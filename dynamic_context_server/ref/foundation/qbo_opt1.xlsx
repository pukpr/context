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github\context\dynamic_context_server\ref\foundation\"/>
    </mc:Choice>
  </mc:AlternateContent>
  <bookViews>
    <workbookView minimized="1" xWindow="0" yWindow="0" windowWidth="18240" windowHeight="9060" firstSheet="3" activeTab="5"/>
  </bookViews>
  <sheets>
    <sheet name="Sheet1" sheetId="1" r:id="rId1"/>
    <sheet name="saturated_qbo" sheetId="2" r:id="rId2"/>
    <sheet name="saturated_qbo_all_terms" sheetId="5" r:id="rId3"/>
    <sheet name="offset_qbo_all_terms_30hPa" sheetId="6" r:id="rId4"/>
    <sheet name="offset_qbo_all_terms_70hPa" sheetId="7" r:id="rId5"/>
    <sheet name="corr" sheetId="8" r:id="rId6"/>
    <sheet name="Sheet4" sheetId="9" r:id="rId7"/>
  </sheets>
  <definedNames>
    <definedName name="k" localSheetId="2">saturated_qbo_all_terms!$B$3</definedName>
    <definedName name="k">saturated_qbo!$B$3</definedName>
  </definedNames>
  <calcPr calcId="152511"/>
</workbook>
</file>

<file path=xl/calcChain.xml><?xml version="1.0" encoding="utf-8"?>
<calcChain xmlns="http://schemas.openxmlformats.org/spreadsheetml/2006/main">
  <c r="C20" i="8" l="1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756" i="7"/>
  <c r="R756" i="7" s="1"/>
  <c r="C755" i="7"/>
  <c r="R755" i="7" s="1"/>
  <c r="C754" i="7"/>
  <c r="R754" i="7" s="1"/>
  <c r="C753" i="7"/>
  <c r="R753" i="7" s="1"/>
  <c r="C752" i="7"/>
  <c r="R752" i="7" s="1"/>
  <c r="C751" i="7"/>
  <c r="R751" i="7" s="1"/>
  <c r="C750" i="7"/>
  <c r="R750" i="7" s="1"/>
  <c r="C749" i="7"/>
  <c r="C748" i="7"/>
  <c r="R748" i="7" s="1"/>
  <c r="C747" i="7"/>
  <c r="R747" i="7" s="1"/>
  <c r="C746" i="7"/>
  <c r="R746" i="7" s="1"/>
  <c r="C745" i="7"/>
  <c r="R745" i="7" s="1"/>
  <c r="C744" i="7"/>
  <c r="R744" i="7" s="1"/>
  <c r="C743" i="7"/>
  <c r="R743" i="7" s="1"/>
  <c r="C742" i="7"/>
  <c r="R742" i="7" s="1"/>
  <c r="C741" i="7"/>
  <c r="R741" i="7" s="1"/>
  <c r="C740" i="7"/>
  <c r="R740" i="7" s="1"/>
  <c r="C739" i="7"/>
  <c r="R739" i="7" s="1"/>
  <c r="C738" i="7"/>
  <c r="R738" i="7" s="1"/>
  <c r="C737" i="7"/>
  <c r="R737" i="7" s="1"/>
  <c r="C736" i="7"/>
  <c r="R736" i="7" s="1"/>
  <c r="C735" i="7"/>
  <c r="R735" i="7" s="1"/>
  <c r="C734" i="7"/>
  <c r="R734" i="7" s="1"/>
  <c r="C733" i="7"/>
  <c r="R733" i="7" s="1"/>
  <c r="C732" i="7"/>
  <c r="R732" i="7" s="1"/>
  <c r="C731" i="7"/>
  <c r="R731" i="7" s="1"/>
  <c r="C730" i="7"/>
  <c r="R730" i="7" s="1"/>
  <c r="C729" i="7"/>
  <c r="R729" i="7" s="1"/>
  <c r="C728" i="7"/>
  <c r="R728" i="7" s="1"/>
  <c r="C727" i="7"/>
  <c r="R727" i="7" s="1"/>
  <c r="C726" i="7"/>
  <c r="R726" i="7" s="1"/>
  <c r="C725" i="7"/>
  <c r="C724" i="7"/>
  <c r="R724" i="7" s="1"/>
  <c r="C723" i="7"/>
  <c r="R723" i="7" s="1"/>
  <c r="C722" i="7"/>
  <c r="R722" i="7" s="1"/>
  <c r="C721" i="7"/>
  <c r="R721" i="7" s="1"/>
  <c r="C720" i="7"/>
  <c r="R720" i="7" s="1"/>
  <c r="C719" i="7"/>
  <c r="R719" i="7" s="1"/>
  <c r="C718" i="7"/>
  <c r="R718" i="7" s="1"/>
  <c r="C717" i="7"/>
  <c r="R717" i="7" s="1"/>
  <c r="C716" i="7"/>
  <c r="R716" i="7" s="1"/>
  <c r="C715" i="7"/>
  <c r="R715" i="7" s="1"/>
  <c r="C714" i="7"/>
  <c r="R714" i="7" s="1"/>
  <c r="C713" i="7"/>
  <c r="R713" i="7" s="1"/>
  <c r="C712" i="7"/>
  <c r="R712" i="7" s="1"/>
  <c r="C711" i="7"/>
  <c r="R711" i="7" s="1"/>
  <c r="C710" i="7"/>
  <c r="R710" i="7" s="1"/>
  <c r="C709" i="7"/>
  <c r="R709" i="7" s="1"/>
  <c r="C708" i="7"/>
  <c r="R708" i="7" s="1"/>
  <c r="C707" i="7"/>
  <c r="R707" i="7" s="1"/>
  <c r="C706" i="7"/>
  <c r="R706" i="7" s="1"/>
  <c r="C705" i="7"/>
  <c r="R705" i="7" s="1"/>
  <c r="C704" i="7"/>
  <c r="R704" i="7" s="1"/>
  <c r="C703" i="7"/>
  <c r="R703" i="7" s="1"/>
  <c r="C702" i="7"/>
  <c r="R702" i="7" s="1"/>
  <c r="C701" i="7"/>
  <c r="R701" i="7" s="1"/>
  <c r="C700" i="7"/>
  <c r="R700" i="7" s="1"/>
  <c r="C699" i="7"/>
  <c r="R699" i="7" s="1"/>
  <c r="C698" i="7"/>
  <c r="R698" i="7" s="1"/>
  <c r="C697" i="7"/>
  <c r="R697" i="7" s="1"/>
  <c r="C696" i="7"/>
  <c r="R696" i="7" s="1"/>
  <c r="C695" i="7"/>
  <c r="R695" i="7" s="1"/>
  <c r="C694" i="7"/>
  <c r="R694" i="7" s="1"/>
  <c r="C693" i="7"/>
  <c r="R693" i="7" s="1"/>
  <c r="C692" i="7"/>
  <c r="R692" i="7" s="1"/>
  <c r="C691" i="7"/>
  <c r="R691" i="7" s="1"/>
  <c r="C690" i="7"/>
  <c r="R690" i="7" s="1"/>
  <c r="C689" i="7"/>
  <c r="R689" i="7" s="1"/>
  <c r="C688" i="7"/>
  <c r="R688" i="7" s="1"/>
  <c r="C687" i="7"/>
  <c r="R687" i="7" s="1"/>
  <c r="C686" i="7"/>
  <c r="R686" i="7" s="1"/>
  <c r="C685" i="7"/>
  <c r="R685" i="7" s="1"/>
  <c r="C684" i="7"/>
  <c r="R684" i="7" s="1"/>
  <c r="C683" i="7"/>
  <c r="R683" i="7" s="1"/>
  <c r="C682" i="7"/>
  <c r="R682" i="7" s="1"/>
  <c r="C681" i="7"/>
  <c r="R681" i="7" s="1"/>
  <c r="C680" i="7"/>
  <c r="R680" i="7" s="1"/>
  <c r="C679" i="7"/>
  <c r="R679" i="7" s="1"/>
  <c r="C678" i="7"/>
  <c r="R678" i="7" s="1"/>
  <c r="C677" i="7"/>
  <c r="R677" i="7" s="1"/>
  <c r="C676" i="7"/>
  <c r="R676" i="7" s="1"/>
  <c r="C675" i="7"/>
  <c r="R675" i="7" s="1"/>
  <c r="C674" i="7"/>
  <c r="R674" i="7" s="1"/>
  <c r="C673" i="7"/>
  <c r="R673" i="7" s="1"/>
  <c r="C672" i="7"/>
  <c r="R672" i="7" s="1"/>
  <c r="C671" i="7"/>
  <c r="R671" i="7" s="1"/>
  <c r="C670" i="7"/>
  <c r="R670" i="7" s="1"/>
  <c r="C669" i="7"/>
  <c r="R669" i="7" s="1"/>
  <c r="C668" i="7"/>
  <c r="R668" i="7" s="1"/>
  <c r="C667" i="7"/>
  <c r="R667" i="7" s="1"/>
  <c r="C666" i="7"/>
  <c r="R666" i="7" s="1"/>
  <c r="C665" i="7"/>
  <c r="R665" i="7" s="1"/>
  <c r="C664" i="7"/>
  <c r="R664" i="7" s="1"/>
  <c r="C663" i="7"/>
  <c r="R663" i="7" s="1"/>
  <c r="C662" i="7"/>
  <c r="R662" i="7" s="1"/>
  <c r="C661" i="7"/>
  <c r="R661" i="7" s="1"/>
  <c r="C660" i="7"/>
  <c r="R660" i="7" s="1"/>
  <c r="C659" i="7"/>
  <c r="R659" i="7" s="1"/>
  <c r="C658" i="7"/>
  <c r="R658" i="7" s="1"/>
  <c r="C657" i="7"/>
  <c r="R657" i="7" s="1"/>
  <c r="C656" i="7"/>
  <c r="R656" i="7" s="1"/>
  <c r="C655" i="7"/>
  <c r="R655" i="7" s="1"/>
  <c r="C654" i="7"/>
  <c r="R654" i="7" s="1"/>
  <c r="C653" i="7"/>
  <c r="R653" i="7" s="1"/>
  <c r="C652" i="7"/>
  <c r="R652" i="7" s="1"/>
  <c r="C651" i="7"/>
  <c r="R651" i="7" s="1"/>
  <c r="C650" i="7"/>
  <c r="R650" i="7" s="1"/>
  <c r="C649" i="7"/>
  <c r="R649" i="7" s="1"/>
  <c r="C648" i="7"/>
  <c r="R648" i="7" s="1"/>
  <c r="C647" i="7"/>
  <c r="R647" i="7" s="1"/>
  <c r="C646" i="7"/>
  <c r="R646" i="7" s="1"/>
  <c r="C645" i="7"/>
  <c r="R645" i="7" s="1"/>
  <c r="C644" i="7"/>
  <c r="R644" i="7" s="1"/>
  <c r="C643" i="7"/>
  <c r="R643" i="7" s="1"/>
  <c r="C642" i="7"/>
  <c r="R642" i="7" s="1"/>
  <c r="C641" i="7"/>
  <c r="R641" i="7" s="1"/>
  <c r="C640" i="7"/>
  <c r="R640" i="7" s="1"/>
  <c r="C639" i="7"/>
  <c r="R639" i="7" s="1"/>
  <c r="C638" i="7"/>
  <c r="R638" i="7" s="1"/>
  <c r="C637" i="7"/>
  <c r="R637" i="7" s="1"/>
  <c r="C636" i="7"/>
  <c r="R636" i="7" s="1"/>
  <c r="C635" i="7"/>
  <c r="R635" i="7" s="1"/>
  <c r="C634" i="7"/>
  <c r="R634" i="7" s="1"/>
  <c r="C633" i="7"/>
  <c r="R633" i="7" s="1"/>
  <c r="C632" i="7"/>
  <c r="R632" i="7" s="1"/>
  <c r="C631" i="7"/>
  <c r="R631" i="7" s="1"/>
  <c r="C630" i="7"/>
  <c r="R630" i="7" s="1"/>
  <c r="C629" i="7"/>
  <c r="R629" i="7" s="1"/>
  <c r="C628" i="7"/>
  <c r="R628" i="7" s="1"/>
  <c r="C627" i="7"/>
  <c r="R627" i="7" s="1"/>
  <c r="C626" i="7"/>
  <c r="R626" i="7" s="1"/>
  <c r="C625" i="7"/>
  <c r="R625" i="7" s="1"/>
  <c r="C624" i="7"/>
  <c r="R624" i="7" s="1"/>
  <c r="C623" i="7"/>
  <c r="R623" i="7" s="1"/>
  <c r="C622" i="7"/>
  <c r="R622" i="7" s="1"/>
  <c r="C621" i="7"/>
  <c r="R621" i="7" s="1"/>
  <c r="C620" i="7"/>
  <c r="R620" i="7" s="1"/>
  <c r="C619" i="7"/>
  <c r="R619" i="7" s="1"/>
  <c r="C618" i="7"/>
  <c r="R618" i="7" s="1"/>
  <c r="C617" i="7"/>
  <c r="R617" i="7" s="1"/>
  <c r="C616" i="7"/>
  <c r="R616" i="7" s="1"/>
  <c r="C615" i="7"/>
  <c r="R615" i="7" s="1"/>
  <c r="C614" i="7"/>
  <c r="R614" i="7" s="1"/>
  <c r="C613" i="7"/>
  <c r="R613" i="7" s="1"/>
  <c r="C612" i="7"/>
  <c r="R612" i="7" s="1"/>
  <c r="C611" i="7"/>
  <c r="R611" i="7" s="1"/>
  <c r="C610" i="7"/>
  <c r="R610" i="7" s="1"/>
  <c r="C609" i="7"/>
  <c r="R609" i="7" s="1"/>
  <c r="C608" i="7"/>
  <c r="R608" i="7" s="1"/>
  <c r="C607" i="7"/>
  <c r="R607" i="7" s="1"/>
  <c r="C606" i="7"/>
  <c r="R606" i="7" s="1"/>
  <c r="C605" i="7"/>
  <c r="R605" i="7" s="1"/>
  <c r="C604" i="7"/>
  <c r="R604" i="7" s="1"/>
  <c r="C603" i="7"/>
  <c r="R603" i="7" s="1"/>
  <c r="C602" i="7"/>
  <c r="R602" i="7" s="1"/>
  <c r="C601" i="7"/>
  <c r="R601" i="7" s="1"/>
  <c r="C600" i="7"/>
  <c r="R600" i="7" s="1"/>
  <c r="C599" i="7"/>
  <c r="R599" i="7" s="1"/>
  <c r="C598" i="7"/>
  <c r="R598" i="7" s="1"/>
  <c r="C597" i="7"/>
  <c r="R597" i="7" s="1"/>
  <c r="C596" i="7"/>
  <c r="R596" i="7" s="1"/>
  <c r="C595" i="7"/>
  <c r="R595" i="7" s="1"/>
  <c r="C594" i="7"/>
  <c r="R594" i="7" s="1"/>
  <c r="C593" i="7"/>
  <c r="R593" i="7" s="1"/>
  <c r="C592" i="7"/>
  <c r="R592" i="7" s="1"/>
  <c r="C591" i="7"/>
  <c r="R591" i="7" s="1"/>
  <c r="C590" i="7"/>
  <c r="R590" i="7" s="1"/>
  <c r="C589" i="7"/>
  <c r="R589" i="7" s="1"/>
  <c r="C588" i="7"/>
  <c r="R588" i="7" s="1"/>
  <c r="C587" i="7"/>
  <c r="R587" i="7" s="1"/>
  <c r="C586" i="7"/>
  <c r="R586" i="7" s="1"/>
  <c r="C585" i="7"/>
  <c r="R585" i="7" s="1"/>
  <c r="C584" i="7"/>
  <c r="R584" i="7" s="1"/>
  <c r="C583" i="7"/>
  <c r="R583" i="7" s="1"/>
  <c r="C582" i="7"/>
  <c r="R582" i="7" s="1"/>
  <c r="C581" i="7"/>
  <c r="R581" i="7" s="1"/>
  <c r="C580" i="7"/>
  <c r="R580" i="7" s="1"/>
  <c r="C579" i="7"/>
  <c r="R579" i="7" s="1"/>
  <c r="C578" i="7"/>
  <c r="R578" i="7" s="1"/>
  <c r="C577" i="7"/>
  <c r="R577" i="7" s="1"/>
  <c r="C576" i="7"/>
  <c r="R576" i="7" s="1"/>
  <c r="C575" i="7"/>
  <c r="R575" i="7" s="1"/>
  <c r="C574" i="7"/>
  <c r="R574" i="7" s="1"/>
  <c r="C573" i="7"/>
  <c r="R573" i="7" s="1"/>
  <c r="C572" i="7"/>
  <c r="R572" i="7" s="1"/>
  <c r="C571" i="7"/>
  <c r="R571" i="7" s="1"/>
  <c r="C570" i="7"/>
  <c r="R570" i="7" s="1"/>
  <c r="C569" i="7"/>
  <c r="R569" i="7" s="1"/>
  <c r="C568" i="7"/>
  <c r="R568" i="7" s="1"/>
  <c r="C567" i="7"/>
  <c r="R567" i="7" s="1"/>
  <c r="C566" i="7"/>
  <c r="R566" i="7" s="1"/>
  <c r="C565" i="7"/>
  <c r="R565" i="7" s="1"/>
  <c r="C564" i="7"/>
  <c r="R564" i="7" s="1"/>
  <c r="C563" i="7"/>
  <c r="R563" i="7" s="1"/>
  <c r="C562" i="7"/>
  <c r="R562" i="7" s="1"/>
  <c r="C561" i="7"/>
  <c r="R561" i="7" s="1"/>
  <c r="C560" i="7"/>
  <c r="R560" i="7" s="1"/>
  <c r="C559" i="7"/>
  <c r="R559" i="7" s="1"/>
  <c r="C558" i="7"/>
  <c r="R558" i="7" s="1"/>
  <c r="C557" i="7"/>
  <c r="R557" i="7" s="1"/>
  <c r="C556" i="7"/>
  <c r="R556" i="7" s="1"/>
  <c r="C555" i="7"/>
  <c r="R555" i="7" s="1"/>
  <c r="C554" i="7"/>
  <c r="R554" i="7" s="1"/>
  <c r="C553" i="7"/>
  <c r="R553" i="7" s="1"/>
  <c r="C552" i="7"/>
  <c r="R552" i="7" s="1"/>
  <c r="C551" i="7"/>
  <c r="R551" i="7" s="1"/>
  <c r="C550" i="7"/>
  <c r="R550" i="7" s="1"/>
  <c r="C549" i="7"/>
  <c r="R549" i="7" s="1"/>
  <c r="C548" i="7"/>
  <c r="R548" i="7" s="1"/>
  <c r="C547" i="7"/>
  <c r="R547" i="7" s="1"/>
  <c r="C546" i="7"/>
  <c r="R546" i="7" s="1"/>
  <c r="C545" i="7"/>
  <c r="R545" i="7" s="1"/>
  <c r="C544" i="7"/>
  <c r="R544" i="7" s="1"/>
  <c r="C543" i="7"/>
  <c r="R543" i="7" s="1"/>
  <c r="C542" i="7"/>
  <c r="R542" i="7" s="1"/>
  <c r="C541" i="7"/>
  <c r="R541" i="7" s="1"/>
  <c r="C540" i="7"/>
  <c r="R540" i="7" s="1"/>
  <c r="C539" i="7"/>
  <c r="R539" i="7" s="1"/>
  <c r="C538" i="7"/>
  <c r="R538" i="7" s="1"/>
  <c r="C537" i="7"/>
  <c r="R537" i="7" s="1"/>
  <c r="C536" i="7"/>
  <c r="R536" i="7" s="1"/>
  <c r="C535" i="7"/>
  <c r="R535" i="7" s="1"/>
  <c r="C534" i="7"/>
  <c r="R534" i="7" s="1"/>
  <c r="C533" i="7"/>
  <c r="R533" i="7" s="1"/>
  <c r="C532" i="7"/>
  <c r="R532" i="7" s="1"/>
  <c r="C531" i="7"/>
  <c r="R531" i="7" s="1"/>
  <c r="C530" i="7"/>
  <c r="R530" i="7" s="1"/>
  <c r="C529" i="7"/>
  <c r="R529" i="7" s="1"/>
  <c r="C528" i="7"/>
  <c r="R528" i="7" s="1"/>
  <c r="C527" i="7"/>
  <c r="R527" i="7" s="1"/>
  <c r="C526" i="7"/>
  <c r="R526" i="7" s="1"/>
  <c r="C525" i="7"/>
  <c r="R525" i="7" s="1"/>
  <c r="C524" i="7"/>
  <c r="R524" i="7" s="1"/>
  <c r="C523" i="7"/>
  <c r="R523" i="7" s="1"/>
  <c r="C522" i="7"/>
  <c r="R522" i="7" s="1"/>
  <c r="C521" i="7"/>
  <c r="R521" i="7" s="1"/>
  <c r="C520" i="7"/>
  <c r="R520" i="7" s="1"/>
  <c r="C519" i="7"/>
  <c r="R519" i="7" s="1"/>
  <c r="C518" i="7"/>
  <c r="R518" i="7" s="1"/>
  <c r="C517" i="7"/>
  <c r="R517" i="7" s="1"/>
  <c r="C516" i="7"/>
  <c r="R516" i="7" s="1"/>
  <c r="C515" i="7"/>
  <c r="R515" i="7" s="1"/>
  <c r="C514" i="7"/>
  <c r="R514" i="7" s="1"/>
  <c r="C513" i="7"/>
  <c r="R513" i="7" s="1"/>
  <c r="C512" i="7"/>
  <c r="R512" i="7" s="1"/>
  <c r="C511" i="7"/>
  <c r="R511" i="7" s="1"/>
  <c r="C510" i="7"/>
  <c r="R510" i="7" s="1"/>
  <c r="C509" i="7"/>
  <c r="R509" i="7" s="1"/>
  <c r="C508" i="7"/>
  <c r="R508" i="7" s="1"/>
  <c r="C507" i="7"/>
  <c r="R507" i="7" s="1"/>
  <c r="C506" i="7"/>
  <c r="R506" i="7" s="1"/>
  <c r="C505" i="7"/>
  <c r="R505" i="7" s="1"/>
  <c r="C504" i="7"/>
  <c r="R504" i="7" s="1"/>
  <c r="C503" i="7"/>
  <c r="R503" i="7" s="1"/>
  <c r="C502" i="7"/>
  <c r="R502" i="7" s="1"/>
  <c r="C501" i="7"/>
  <c r="R501" i="7" s="1"/>
  <c r="C500" i="7"/>
  <c r="R500" i="7" s="1"/>
  <c r="C499" i="7"/>
  <c r="R499" i="7" s="1"/>
  <c r="C498" i="7"/>
  <c r="R498" i="7" s="1"/>
  <c r="C497" i="7"/>
  <c r="R497" i="7" s="1"/>
  <c r="C496" i="7"/>
  <c r="R496" i="7" s="1"/>
  <c r="C495" i="7"/>
  <c r="R495" i="7" s="1"/>
  <c r="C494" i="7"/>
  <c r="R494" i="7" s="1"/>
  <c r="C493" i="7"/>
  <c r="R493" i="7" s="1"/>
  <c r="C492" i="7"/>
  <c r="R492" i="7" s="1"/>
  <c r="C491" i="7"/>
  <c r="R491" i="7" s="1"/>
  <c r="C490" i="7"/>
  <c r="R490" i="7" s="1"/>
  <c r="C489" i="7"/>
  <c r="R489" i="7" s="1"/>
  <c r="C488" i="7"/>
  <c r="R488" i="7" s="1"/>
  <c r="C487" i="7"/>
  <c r="R487" i="7" s="1"/>
  <c r="C486" i="7"/>
  <c r="R486" i="7" s="1"/>
  <c r="C485" i="7"/>
  <c r="R485" i="7" s="1"/>
  <c r="C484" i="7"/>
  <c r="R484" i="7" s="1"/>
  <c r="C483" i="7"/>
  <c r="R483" i="7" s="1"/>
  <c r="C482" i="7"/>
  <c r="R482" i="7" s="1"/>
  <c r="C481" i="7"/>
  <c r="R481" i="7" s="1"/>
  <c r="C480" i="7"/>
  <c r="R480" i="7" s="1"/>
  <c r="C479" i="7"/>
  <c r="R479" i="7" s="1"/>
  <c r="C478" i="7"/>
  <c r="R478" i="7" s="1"/>
  <c r="C477" i="7"/>
  <c r="C476" i="7"/>
  <c r="R476" i="7" s="1"/>
  <c r="C475" i="7"/>
  <c r="R475" i="7" s="1"/>
  <c r="C474" i="7"/>
  <c r="R474" i="7" s="1"/>
  <c r="C473" i="7"/>
  <c r="R473" i="7" s="1"/>
  <c r="C472" i="7"/>
  <c r="R472" i="7" s="1"/>
  <c r="C471" i="7"/>
  <c r="R471" i="7" s="1"/>
  <c r="C470" i="7"/>
  <c r="R470" i="7" s="1"/>
  <c r="C469" i="7"/>
  <c r="R469" i="7" s="1"/>
  <c r="C468" i="7"/>
  <c r="R468" i="7" s="1"/>
  <c r="C467" i="7"/>
  <c r="R467" i="7" s="1"/>
  <c r="C466" i="7"/>
  <c r="R466" i="7" s="1"/>
  <c r="C465" i="7"/>
  <c r="R465" i="7" s="1"/>
  <c r="C464" i="7"/>
  <c r="R464" i="7" s="1"/>
  <c r="C463" i="7"/>
  <c r="R463" i="7" s="1"/>
  <c r="C462" i="7"/>
  <c r="R462" i="7" s="1"/>
  <c r="C461" i="7"/>
  <c r="R461" i="7" s="1"/>
  <c r="C460" i="7"/>
  <c r="R460" i="7" s="1"/>
  <c r="C459" i="7"/>
  <c r="R459" i="7" s="1"/>
  <c r="C458" i="7"/>
  <c r="R458" i="7" s="1"/>
  <c r="C457" i="7"/>
  <c r="R457" i="7" s="1"/>
  <c r="C456" i="7"/>
  <c r="R456" i="7" s="1"/>
  <c r="C455" i="7"/>
  <c r="R455" i="7" s="1"/>
  <c r="C454" i="7"/>
  <c r="R454" i="7" s="1"/>
  <c r="C453" i="7"/>
  <c r="R453" i="7" s="1"/>
  <c r="C452" i="7"/>
  <c r="R452" i="7" s="1"/>
  <c r="C451" i="7"/>
  <c r="R451" i="7" s="1"/>
  <c r="C450" i="7"/>
  <c r="R450" i="7" s="1"/>
  <c r="C449" i="7"/>
  <c r="R449" i="7" s="1"/>
  <c r="C448" i="7"/>
  <c r="R448" i="7" s="1"/>
  <c r="C447" i="7"/>
  <c r="R447" i="7" s="1"/>
  <c r="C446" i="7"/>
  <c r="C445" i="7"/>
  <c r="R445" i="7" s="1"/>
  <c r="C444" i="7"/>
  <c r="R444" i="7" s="1"/>
  <c r="C443" i="7"/>
  <c r="R443" i="7" s="1"/>
  <c r="C442" i="7"/>
  <c r="R442" i="7" s="1"/>
  <c r="C441" i="7"/>
  <c r="R441" i="7" s="1"/>
  <c r="C440" i="7"/>
  <c r="R440" i="7" s="1"/>
  <c r="C439" i="7"/>
  <c r="R439" i="7" s="1"/>
  <c r="C438" i="7"/>
  <c r="R438" i="7" s="1"/>
  <c r="C437" i="7"/>
  <c r="R437" i="7" s="1"/>
  <c r="C436" i="7"/>
  <c r="R436" i="7" s="1"/>
  <c r="C435" i="7"/>
  <c r="R435" i="7" s="1"/>
  <c r="C434" i="7"/>
  <c r="R434" i="7" s="1"/>
  <c r="C433" i="7"/>
  <c r="R433" i="7" s="1"/>
  <c r="C432" i="7"/>
  <c r="R432" i="7" s="1"/>
  <c r="C431" i="7"/>
  <c r="R431" i="7" s="1"/>
  <c r="C430" i="7"/>
  <c r="R430" i="7" s="1"/>
  <c r="C429" i="7"/>
  <c r="C428" i="7"/>
  <c r="R428" i="7" s="1"/>
  <c r="C427" i="7"/>
  <c r="R427" i="7" s="1"/>
  <c r="C426" i="7"/>
  <c r="R426" i="7" s="1"/>
  <c r="C425" i="7"/>
  <c r="R425" i="7" s="1"/>
  <c r="C424" i="7"/>
  <c r="R424" i="7" s="1"/>
  <c r="C423" i="7"/>
  <c r="R423" i="7" s="1"/>
  <c r="C422" i="7"/>
  <c r="R422" i="7" s="1"/>
  <c r="C421" i="7"/>
  <c r="R421" i="7" s="1"/>
  <c r="C420" i="7"/>
  <c r="R420" i="7" s="1"/>
  <c r="C419" i="7"/>
  <c r="R419" i="7" s="1"/>
  <c r="C418" i="7"/>
  <c r="R418" i="7" s="1"/>
  <c r="C417" i="7"/>
  <c r="R417" i="7" s="1"/>
  <c r="C416" i="7"/>
  <c r="R416" i="7" s="1"/>
  <c r="C415" i="7"/>
  <c r="R415" i="7" s="1"/>
  <c r="C414" i="7"/>
  <c r="R414" i="7" s="1"/>
  <c r="C413" i="7"/>
  <c r="C412" i="7"/>
  <c r="R412" i="7" s="1"/>
  <c r="C411" i="7"/>
  <c r="R411" i="7" s="1"/>
  <c r="C410" i="7"/>
  <c r="R410" i="7" s="1"/>
  <c r="C409" i="7"/>
  <c r="R409" i="7" s="1"/>
  <c r="C408" i="7"/>
  <c r="R408" i="7" s="1"/>
  <c r="C407" i="7"/>
  <c r="R407" i="7" s="1"/>
  <c r="C406" i="7"/>
  <c r="R406" i="7" s="1"/>
  <c r="C405" i="7"/>
  <c r="R405" i="7" s="1"/>
  <c r="C404" i="7"/>
  <c r="R404" i="7" s="1"/>
  <c r="C403" i="7"/>
  <c r="R403" i="7" s="1"/>
  <c r="C402" i="7"/>
  <c r="R402" i="7" s="1"/>
  <c r="C401" i="7"/>
  <c r="R401" i="7" s="1"/>
  <c r="C400" i="7"/>
  <c r="R400" i="7" s="1"/>
  <c r="C399" i="7"/>
  <c r="R399" i="7" s="1"/>
  <c r="C398" i="7"/>
  <c r="R398" i="7" s="1"/>
  <c r="C397" i="7"/>
  <c r="R397" i="7" s="1"/>
  <c r="C396" i="7"/>
  <c r="R396" i="7" s="1"/>
  <c r="C395" i="7"/>
  <c r="R395" i="7" s="1"/>
  <c r="C394" i="7"/>
  <c r="R394" i="7" s="1"/>
  <c r="C393" i="7"/>
  <c r="R393" i="7" s="1"/>
  <c r="C392" i="7"/>
  <c r="R392" i="7" s="1"/>
  <c r="C391" i="7"/>
  <c r="R391" i="7" s="1"/>
  <c r="C390" i="7"/>
  <c r="R390" i="7" s="1"/>
  <c r="C389" i="7"/>
  <c r="R389" i="7" s="1"/>
  <c r="C388" i="7"/>
  <c r="R388" i="7" s="1"/>
  <c r="C387" i="7"/>
  <c r="R387" i="7" s="1"/>
  <c r="C386" i="7"/>
  <c r="R386" i="7" s="1"/>
  <c r="C385" i="7"/>
  <c r="R385" i="7" s="1"/>
  <c r="C384" i="7"/>
  <c r="R384" i="7" s="1"/>
  <c r="C383" i="7"/>
  <c r="R383" i="7" s="1"/>
  <c r="C382" i="7"/>
  <c r="R382" i="7" s="1"/>
  <c r="C381" i="7"/>
  <c r="R381" i="7" s="1"/>
  <c r="C380" i="7"/>
  <c r="R380" i="7" s="1"/>
  <c r="C379" i="7"/>
  <c r="R379" i="7" s="1"/>
  <c r="C378" i="7"/>
  <c r="R378" i="7" s="1"/>
  <c r="C377" i="7"/>
  <c r="R377" i="7" s="1"/>
  <c r="C376" i="7"/>
  <c r="R376" i="7" s="1"/>
  <c r="C375" i="7"/>
  <c r="R375" i="7" s="1"/>
  <c r="C374" i="7"/>
  <c r="R374" i="7" s="1"/>
  <c r="C373" i="7"/>
  <c r="R373" i="7" s="1"/>
  <c r="C372" i="7"/>
  <c r="R372" i="7" s="1"/>
  <c r="C371" i="7"/>
  <c r="R371" i="7" s="1"/>
  <c r="C370" i="7"/>
  <c r="R370" i="7" s="1"/>
  <c r="C369" i="7"/>
  <c r="R369" i="7" s="1"/>
  <c r="C368" i="7"/>
  <c r="R368" i="7" s="1"/>
  <c r="C367" i="7"/>
  <c r="R367" i="7" s="1"/>
  <c r="C366" i="7"/>
  <c r="R366" i="7" s="1"/>
  <c r="C365" i="7"/>
  <c r="R365" i="7" s="1"/>
  <c r="C364" i="7"/>
  <c r="R364" i="7" s="1"/>
  <c r="C363" i="7"/>
  <c r="R363" i="7" s="1"/>
  <c r="C362" i="7"/>
  <c r="R362" i="7" s="1"/>
  <c r="C361" i="7"/>
  <c r="R361" i="7" s="1"/>
  <c r="C360" i="7"/>
  <c r="R360" i="7" s="1"/>
  <c r="C359" i="7"/>
  <c r="R359" i="7" s="1"/>
  <c r="C358" i="7"/>
  <c r="R358" i="7" s="1"/>
  <c r="C357" i="7"/>
  <c r="R357" i="7" s="1"/>
  <c r="C356" i="7"/>
  <c r="R356" i="7" s="1"/>
  <c r="C355" i="7"/>
  <c r="R355" i="7" s="1"/>
  <c r="C354" i="7"/>
  <c r="R354" i="7" s="1"/>
  <c r="C353" i="7"/>
  <c r="R353" i="7" s="1"/>
  <c r="C352" i="7"/>
  <c r="R352" i="7" s="1"/>
  <c r="C351" i="7"/>
  <c r="R351" i="7" s="1"/>
  <c r="C350" i="7"/>
  <c r="R350" i="7" s="1"/>
  <c r="C349" i="7"/>
  <c r="R349" i="7" s="1"/>
  <c r="C348" i="7"/>
  <c r="R348" i="7" s="1"/>
  <c r="C347" i="7"/>
  <c r="R347" i="7" s="1"/>
  <c r="C346" i="7"/>
  <c r="R346" i="7" s="1"/>
  <c r="C345" i="7"/>
  <c r="R345" i="7" s="1"/>
  <c r="C344" i="7"/>
  <c r="R344" i="7" s="1"/>
  <c r="C343" i="7"/>
  <c r="R343" i="7" s="1"/>
  <c r="C342" i="7"/>
  <c r="R342" i="7" s="1"/>
  <c r="C341" i="7"/>
  <c r="R341" i="7" s="1"/>
  <c r="C340" i="7"/>
  <c r="R340" i="7" s="1"/>
  <c r="C339" i="7"/>
  <c r="R339" i="7" s="1"/>
  <c r="C338" i="7"/>
  <c r="R338" i="7" s="1"/>
  <c r="C337" i="7"/>
  <c r="R337" i="7" s="1"/>
  <c r="C336" i="7"/>
  <c r="R336" i="7" s="1"/>
  <c r="C335" i="7"/>
  <c r="R335" i="7" s="1"/>
  <c r="C334" i="7"/>
  <c r="R334" i="7" s="1"/>
  <c r="C333" i="7"/>
  <c r="R333" i="7" s="1"/>
  <c r="C332" i="7"/>
  <c r="R332" i="7" s="1"/>
  <c r="C331" i="7"/>
  <c r="R331" i="7" s="1"/>
  <c r="C330" i="7"/>
  <c r="R330" i="7" s="1"/>
  <c r="C329" i="7"/>
  <c r="R329" i="7" s="1"/>
  <c r="C328" i="7"/>
  <c r="R328" i="7" s="1"/>
  <c r="C327" i="7"/>
  <c r="R327" i="7" s="1"/>
  <c r="C326" i="7"/>
  <c r="R326" i="7" s="1"/>
  <c r="C325" i="7"/>
  <c r="R325" i="7" s="1"/>
  <c r="C324" i="7"/>
  <c r="R324" i="7" s="1"/>
  <c r="C323" i="7"/>
  <c r="R323" i="7" s="1"/>
  <c r="C322" i="7"/>
  <c r="R322" i="7" s="1"/>
  <c r="C321" i="7"/>
  <c r="R321" i="7" s="1"/>
  <c r="C320" i="7"/>
  <c r="R320" i="7" s="1"/>
  <c r="C319" i="7"/>
  <c r="R319" i="7" s="1"/>
  <c r="C318" i="7"/>
  <c r="R318" i="7" s="1"/>
  <c r="C317" i="7"/>
  <c r="R317" i="7" s="1"/>
  <c r="C316" i="7"/>
  <c r="R316" i="7" s="1"/>
  <c r="C315" i="7"/>
  <c r="R315" i="7" s="1"/>
  <c r="C314" i="7"/>
  <c r="R314" i="7" s="1"/>
  <c r="C313" i="7"/>
  <c r="R313" i="7" s="1"/>
  <c r="C312" i="7"/>
  <c r="R312" i="7" s="1"/>
  <c r="C311" i="7"/>
  <c r="R311" i="7" s="1"/>
  <c r="C310" i="7"/>
  <c r="R310" i="7" s="1"/>
  <c r="C309" i="7"/>
  <c r="R309" i="7" s="1"/>
  <c r="C308" i="7"/>
  <c r="R308" i="7" s="1"/>
  <c r="C307" i="7"/>
  <c r="R307" i="7" s="1"/>
  <c r="C306" i="7"/>
  <c r="R306" i="7" s="1"/>
  <c r="C305" i="7"/>
  <c r="R305" i="7" s="1"/>
  <c r="C304" i="7"/>
  <c r="R304" i="7" s="1"/>
  <c r="C303" i="7"/>
  <c r="R303" i="7" s="1"/>
  <c r="C302" i="7"/>
  <c r="C301" i="7"/>
  <c r="R301" i="7" s="1"/>
  <c r="C300" i="7"/>
  <c r="R300" i="7" s="1"/>
  <c r="C299" i="7"/>
  <c r="R299" i="7" s="1"/>
  <c r="C298" i="7"/>
  <c r="R298" i="7" s="1"/>
  <c r="C297" i="7"/>
  <c r="R297" i="7" s="1"/>
  <c r="C296" i="7"/>
  <c r="R296" i="7" s="1"/>
  <c r="C295" i="7"/>
  <c r="R295" i="7" s="1"/>
  <c r="C294" i="7"/>
  <c r="R294" i="7" s="1"/>
  <c r="C293" i="7"/>
  <c r="R293" i="7" s="1"/>
  <c r="C292" i="7"/>
  <c r="R292" i="7" s="1"/>
  <c r="C291" i="7"/>
  <c r="R291" i="7" s="1"/>
  <c r="C290" i="7"/>
  <c r="R290" i="7" s="1"/>
  <c r="C289" i="7"/>
  <c r="R289" i="7" s="1"/>
  <c r="C288" i="7"/>
  <c r="R288" i="7" s="1"/>
  <c r="C287" i="7"/>
  <c r="R287" i="7" s="1"/>
  <c r="C286" i="7"/>
  <c r="R286" i="7" s="1"/>
  <c r="C285" i="7"/>
  <c r="C284" i="7"/>
  <c r="R284" i="7" s="1"/>
  <c r="C283" i="7"/>
  <c r="R283" i="7" s="1"/>
  <c r="C282" i="7"/>
  <c r="R282" i="7" s="1"/>
  <c r="C281" i="7"/>
  <c r="R281" i="7" s="1"/>
  <c r="C280" i="7"/>
  <c r="R280" i="7" s="1"/>
  <c r="C279" i="7"/>
  <c r="R279" i="7" s="1"/>
  <c r="C278" i="7"/>
  <c r="R278" i="7" s="1"/>
  <c r="C277" i="7"/>
  <c r="R277" i="7" s="1"/>
  <c r="C276" i="7"/>
  <c r="R276" i="7" s="1"/>
  <c r="C275" i="7"/>
  <c r="R275" i="7" s="1"/>
  <c r="C274" i="7"/>
  <c r="R274" i="7" s="1"/>
  <c r="C273" i="7"/>
  <c r="R273" i="7" s="1"/>
  <c r="C272" i="7"/>
  <c r="R272" i="7" s="1"/>
  <c r="C271" i="7"/>
  <c r="R271" i="7" s="1"/>
  <c r="C270" i="7"/>
  <c r="R270" i="7" s="1"/>
  <c r="C269" i="7"/>
  <c r="R269" i="7" s="1"/>
  <c r="C268" i="7"/>
  <c r="R268" i="7" s="1"/>
  <c r="C267" i="7"/>
  <c r="R267" i="7" s="1"/>
  <c r="C266" i="7"/>
  <c r="R266" i="7" s="1"/>
  <c r="C265" i="7"/>
  <c r="R265" i="7" s="1"/>
  <c r="C264" i="7"/>
  <c r="R264" i="7" s="1"/>
  <c r="C263" i="7"/>
  <c r="R263" i="7" s="1"/>
  <c r="C262" i="7"/>
  <c r="R262" i="7" s="1"/>
  <c r="C261" i="7"/>
  <c r="R261" i="7" s="1"/>
  <c r="C260" i="7"/>
  <c r="R260" i="7" s="1"/>
  <c r="C259" i="7"/>
  <c r="R259" i="7" s="1"/>
  <c r="C258" i="7"/>
  <c r="R258" i="7" s="1"/>
  <c r="C257" i="7"/>
  <c r="R257" i="7" s="1"/>
  <c r="C256" i="7"/>
  <c r="R256" i="7" s="1"/>
  <c r="C255" i="7"/>
  <c r="R255" i="7" s="1"/>
  <c r="C254" i="7"/>
  <c r="R254" i="7" s="1"/>
  <c r="C253" i="7"/>
  <c r="R253" i="7" s="1"/>
  <c r="C252" i="7"/>
  <c r="R252" i="7" s="1"/>
  <c r="C251" i="7"/>
  <c r="R251" i="7" s="1"/>
  <c r="C250" i="7"/>
  <c r="R250" i="7" s="1"/>
  <c r="C249" i="7"/>
  <c r="R249" i="7" s="1"/>
  <c r="C248" i="7"/>
  <c r="R248" i="7" s="1"/>
  <c r="C247" i="7"/>
  <c r="R247" i="7" s="1"/>
  <c r="C246" i="7"/>
  <c r="R246" i="7" s="1"/>
  <c r="C245" i="7"/>
  <c r="R245" i="7" s="1"/>
  <c r="C244" i="7"/>
  <c r="R244" i="7" s="1"/>
  <c r="C243" i="7"/>
  <c r="R243" i="7" s="1"/>
  <c r="C242" i="7"/>
  <c r="R242" i="7" s="1"/>
  <c r="C241" i="7"/>
  <c r="R241" i="7" s="1"/>
  <c r="C240" i="7"/>
  <c r="R240" i="7" s="1"/>
  <c r="C239" i="7"/>
  <c r="R239" i="7" s="1"/>
  <c r="C238" i="7"/>
  <c r="R238" i="7" s="1"/>
  <c r="C237" i="7"/>
  <c r="R237" i="7" s="1"/>
  <c r="C236" i="7"/>
  <c r="R236" i="7" s="1"/>
  <c r="C235" i="7"/>
  <c r="R235" i="7" s="1"/>
  <c r="C234" i="7"/>
  <c r="R234" i="7" s="1"/>
  <c r="C233" i="7"/>
  <c r="R233" i="7" s="1"/>
  <c r="C232" i="7"/>
  <c r="R232" i="7" s="1"/>
  <c r="C231" i="7"/>
  <c r="R231" i="7" s="1"/>
  <c r="C230" i="7"/>
  <c r="C229" i="7"/>
  <c r="R229" i="7" s="1"/>
  <c r="C228" i="7"/>
  <c r="R228" i="7" s="1"/>
  <c r="C227" i="7"/>
  <c r="R227" i="7" s="1"/>
  <c r="C226" i="7"/>
  <c r="R226" i="7" s="1"/>
  <c r="C225" i="7"/>
  <c r="R225" i="7" s="1"/>
  <c r="C224" i="7"/>
  <c r="R224" i="7" s="1"/>
  <c r="C223" i="7"/>
  <c r="R223" i="7" s="1"/>
  <c r="C222" i="7"/>
  <c r="R222" i="7" s="1"/>
  <c r="C221" i="7"/>
  <c r="R221" i="7" s="1"/>
  <c r="C220" i="7"/>
  <c r="R220" i="7" s="1"/>
  <c r="C219" i="7"/>
  <c r="R219" i="7" s="1"/>
  <c r="C218" i="7"/>
  <c r="R218" i="7" s="1"/>
  <c r="C217" i="7"/>
  <c r="R217" i="7" s="1"/>
  <c r="C216" i="7"/>
  <c r="R216" i="7" s="1"/>
  <c r="C215" i="7"/>
  <c r="R215" i="7" s="1"/>
  <c r="C214" i="7"/>
  <c r="R214" i="7" s="1"/>
  <c r="C213" i="7"/>
  <c r="R213" i="7" s="1"/>
  <c r="C212" i="7"/>
  <c r="R212" i="7" s="1"/>
  <c r="C211" i="7"/>
  <c r="R211" i="7" s="1"/>
  <c r="C210" i="7"/>
  <c r="R210" i="7" s="1"/>
  <c r="C209" i="7"/>
  <c r="R209" i="7" s="1"/>
  <c r="C208" i="7"/>
  <c r="R208" i="7" s="1"/>
  <c r="C207" i="7"/>
  <c r="R207" i="7" s="1"/>
  <c r="C206" i="7"/>
  <c r="R206" i="7" s="1"/>
  <c r="C205" i="7"/>
  <c r="R205" i="7" s="1"/>
  <c r="C204" i="7"/>
  <c r="R204" i="7" s="1"/>
  <c r="C203" i="7"/>
  <c r="R203" i="7" s="1"/>
  <c r="C202" i="7"/>
  <c r="R202" i="7" s="1"/>
  <c r="C201" i="7"/>
  <c r="R201" i="7" s="1"/>
  <c r="C200" i="7"/>
  <c r="R200" i="7" s="1"/>
  <c r="C199" i="7"/>
  <c r="R199" i="7" s="1"/>
  <c r="C198" i="7"/>
  <c r="R198" i="7" s="1"/>
  <c r="C197" i="7"/>
  <c r="C196" i="7"/>
  <c r="R196" i="7" s="1"/>
  <c r="C195" i="7"/>
  <c r="R195" i="7" s="1"/>
  <c r="C194" i="7"/>
  <c r="R194" i="7" s="1"/>
  <c r="C193" i="7"/>
  <c r="R193" i="7" s="1"/>
  <c r="C192" i="7"/>
  <c r="R192" i="7" s="1"/>
  <c r="C191" i="7"/>
  <c r="R191" i="7" s="1"/>
  <c r="C190" i="7"/>
  <c r="R190" i="7" s="1"/>
  <c r="C189" i="7"/>
  <c r="C188" i="7"/>
  <c r="R188" i="7" s="1"/>
  <c r="C187" i="7"/>
  <c r="R187" i="7" s="1"/>
  <c r="C186" i="7"/>
  <c r="R186" i="7" s="1"/>
  <c r="C185" i="7"/>
  <c r="R185" i="7" s="1"/>
  <c r="C184" i="7"/>
  <c r="R184" i="7" s="1"/>
  <c r="C183" i="7"/>
  <c r="R183" i="7" s="1"/>
  <c r="C182" i="7"/>
  <c r="R182" i="7" s="1"/>
  <c r="C181" i="7"/>
  <c r="R181" i="7" s="1"/>
  <c r="C180" i="7"/>
  <c r="R180" i="7" s="1"/>
  <c r="C179" i="7"/>
  <c r="R179" i="7" s="1"/>
  <c r="C178" i="7"/>
  <c r="R178" i="7" s="1"/>
  <c r="C177" i="7"/>
  <c r="R177" i="7" s="1"/>
  <c r="C176" i="7"/>
  <c r="R176" i="7" s="1"/>
  <c r="C175" i="7"/>
  <c r="R175" i="7" s="1"/>
  <c r="C174" i="7"/>
  <c r="R174" i="7" s="1"/>
  <c r="C173" i="7"/>
  <c r="C172" i="7"/>
  <c r="R172" i="7" s="1"/>
  <c r="C171" i="7"/>
  <c r="R171" i="7" s="1"/>
  <c r="C170" i="7"/>
  <c r="R170" i="7" s="1"/>
  <c r="C169" i="7"/>
  <c r="R169" i="7" s="1"/>
  <c r="C168" i="7"/>
  <c r="R168" i="7" s="1"/>
  <c r="C167" i="7"/>
  <c r="R167" i="7" s="1"/>
  <c r="C166" i="7"/>
  <c r="R166" i="7" s="1"/>
  <c r="C165" i="7"/>
  <c r="R165" i="7" s="1"/>
  <c r="C164" i="7"/>
  <c r="R164" i="7" s="1"/>
  <c r="C163" i="7"/>
  <c r="R163" i="7" s="1"/>
  <c r="C162" i="7"/>
  <c r="R162" i="7" s="1"/>
  <c r="C161" i="7"/>
  <c r="R161" i="7" s="1"/>
  <c r="C160" i="7"/>
  <c r="R160" i="7" s="1"/>
  <c r="C159" i="7"/>
  <c r="R159" i="7" s="1"/>
  <c r="C158" i="7"/>
  <c r="R158" i="7" s="1"/>
  <c r="C157" i="7"/>
  <c r="R157" i="7" s="1"/>
  <c r="C156" i="7"/>
  <c r="R156" i="7" s="1"/>
  <c r="C155" i="7"/>
  <c r="R155" i="7" s="1"/>
  <c r="C154" i="7"/>
  <c r="R154" i="7" s="1"/>
  <c r="C153" i="7"/>
  <c r="R153" i="7" s="1"/>
  <c r="C152" i="7"/>
  <c r="R152" i="7" s="1"/>
  <c r="C151" i="7"/>
  <c r="R151" i="7" s="1"/>
  <c r="C150" i="7"/>
  <c r="R150" i="7" s="1"/>
  <c r="C149" i="7"/>
  <c r="R149" i="7" s="1"/>
  <c r="C148" i="7"/>
  <c r="R148" i="7" s="1"/>
  <c r="C147" i="7"/>
  <c r="R147" i="7" s="1"/>
  <c r="C146" i="7"/>
  <c r="R146" i="7" s="1"/>
  <c r="C145" i="7"/>
  <c r="R145" i="7" s="1"/>
  <c r="C144" i="7"/>
  <c r="R144" i="7" s="1"/>
  <c r="C143" i="7"/>
  <c r="R143" i="7" s="1"/>
  <c r="C142" i="7"/>
  <c r="R142" i="7" s="1"/>
  <c r="C141" i="7"/>
  <c r="R141" i="7" s="1"/>
  <c r="C140" i="7"/>
  <c r="R140" i="7" s="1"/>
  <c r="C139" i="7"/>
  <c r="R139" i="7" s="1"/>
  <c r="C138" i="7"/>
  <c r="R138" i="7" s="1"/>
  <c r="C137" i="7"/>
  <c r="R137" i="7" s="1"/>
  <c r="C136" i="7"/>
  <c r="R136" i="7" s="1"/>
  <c r="C135" i="7"/>
  <c r="R135" i="7" s="1"/>
  <c r="C134" i="7"/>
  <c r="R134" i="7" s="1"/>
  <c r="C133" i="7"/>
  <c r="R133" i="7" s="1"/>
  <c r="C132" i="7"/>
  <c r="R132" i="7" s="1"/>
  <c r="C131" i="7"/>
  <c r="R131" i="7" s="1"/>
  <c r="C130" i="7"/>
  <c r="R130" i="7" s="1"/>
  <c r="C129" i="7"/>
  <c r="R129" i="7" s="1"/>
  <c r="C128" i="7"/>
  <c r="R128" i="7" s="1"/>
  <c r="C127" i="7"/>
  <c r="R127" i="7" s="1"/>
  <c r="C126" i="7"/>
  <c r="R126" i="7" s="1"/>
  <c r="C125" i="7"/>
  <c r="R125" i="7" s="1"/>
  <c r="C124" i="7"/>
  <c r="R124" i="7" s="1"/>
  <c r="C123" i="7"/>
  <c r="R123" i="7" s="1"/>
  <c r="C122" i="7"/>
  <c r="R122" i="7" s="1"/>
  <c r="C121" i="7"/>
  <c r="R121" i="7" s="1"/>
  <c r="C120" i="7"/>
  <c r="R120" i="7" s="1"/>
  <c r="C119" i="7"/>
  <c r="R119" i="7" s="1"/>
  <c r="C118" i="7"/>
  <c r="R118" i="7" s="1"/>
  <c r="C117" i="7"/>
  <c r="R117" i="7" s="1"/>
  <c r="C116" i="7"/>
  <c r="C115" i="7"/>
  <c r="R115" i="7" s="1"/>
  <c r="C114" i="7"/>
  <c r="R114" i="7" s="1"/>
  <c r="C113" i="7"/>
  <c r="R113" i="7" s="1"/>
  <c r="C112" i="7"/>
  <c r="R112" i="7" s="1"/>
  <c r="C111" i="7"/>
  <c r="R111" i="7" s="1"/>
  <c r="C110" i="7"/>
  <c r="R110" i="7" s="1"/>
  <c r="C109" i="7"/>
  <c r="R109" i="7" s="1"/>
  <c r="C108" i="7"/>
  <c r="R108" i="7" s="1"/>
  <c r="C107" i="7"/>
  <c r="R107" i="7" s="1"/>
  <c r="C106" i="7"/>
  <c r="R106" i="7" s="1"/>
  <c r="C105" i="7"/>
  <c r="R105" i="7" s="1"/>
  <c r="C104" i="7"/>
  <c r="R104" i="7" s="1"/>
  <c r="C103" i="7"/>
  <c r="R103" i="7" s="1"/>
  <c r="C102" i="7"/>
  <c r="R102" i="7" s="1"/>
  <c r="C101" i="7"/>
  <c r="R101" i="7" s="1"/>
  <c r="C100" i="7"/>
  <c r="R100" i="7" s="1"/>
  <c r="C99" i="7"/>
  <c r="R99" i="7" s="1"/>
  <c r="C98" i="7"/>
  <c r="R98" i="7" s="1"/>
  <c r="C97" i="7"/>
  <c r="R97" i="7" s="1"/>
  <c r="C96" i="7"/>
  <c r="R96" i="7" s="1"/>
  <c r="C95" i="7"/>
  <c r="R95" i="7" s="1"/>
  <c r="C94" i="7"/>
  <c r="R94" i="7" s="1"/>
  <c r="C93" i="7"/>
  <c r="R93" i="7" s="1"/>
  <c r="C92" i="7"/>
  <c r="R92" i="7" s="1"/>
  <c r="C91" i="7"/>
  <c r="R91" i="7" s="1"/>
  <c r="C90" i="7"/>
  <c r="R90" i="7" s="1"/>
  <c r="C89" i="7"/>
  <c r="R89" i="7" s="1"/>
  <c r="C88" i="7"/>
  <c r="R88" i="7" s="1"/>
  <c r="C87" i="7"/>
  <c r="R87" i="7" s="1"/>
  <c r="C86" i="7"/>
  <c r="R86" i="7" s="1"/>
  <c r="C85" i="7"/>
  <c r="R85" i="7" s="1"/>
  <c r="C84" i="7"/>
  <c r="R84" i="7" s="1"/>
  <c r="C83" i="7"/>
  <c r="R83" i="7" s="1"/>
  <c r="C82" i="7"/>
  <c r="R82" i="7" s="1"/>
  <c r="C81" i="7"/>
  <c r="R81" i="7" s="1"/>
  <c r="C80" i="7"/>
  <c r="R80" i="7" s="1"/>
  <c r="C79" i="7"/>
  <c r="R79" i="7" s="1"/>
  <c r="C78" i="7"/>
  <c r="R78" i="7" s="1"/>
  <c r="C77" i="7"/>
  <c r="R77" i="7" s="1"/>
  <c r="C76" i="7"/>
  <c r="R76" i="7" s="1"/>
  <c r="C75" i="7"/>
  <c r="R75" i="7" s="1"/>
  <c r="C74" i="7"/>
  <c r="R74" i="7" s="1"/>
  <c r="C73" i="7"/>
  <c r="R73" i="7" s="1"/>
  <c r="C72" i="7"/>
  <c r="R72" i="7" s="1"/>
  <c r="C71" i="7"/>
  <c r="R71" i="7" s="1"/>
  <c r="C70" i="7"/>
  <c r="R70" i="7" s="1"/>
  <c r="C69" i="7"/>
  <c r="R69" i="7" s="1"/>
  <c r="C68" i="7"/>
  <c r="R68" i="7" s="1"/>
  <c r="C67" i="7"/>
  <c r="R67" i="7" s="1"/>
  <c r="C66" i="7"/>
  <c r="R66" i="7" s="1"/>
  <c r="C65" i="7"/>
  <c r="R65" i="7" s="1"/>
  <c r="C64" i="7"/>
  <c r="R64" i="7" s="1"/>
  <c r="C63" i="7"/>
  <c r="R63" i="7" s="1"/>
  <c r="C62" i="7"/>
  <c r="R62" i="7" s="1"/>
  <c r="C61" i="7"/>
  <c r="R61" i="7" s="1"/>
  <c r="C60" i="7"/>
  <c r="R60" i="7" s="1"/>
  <c r="C59" i="7"/>
  <c r="R59" i="7" s="1"/>
  <c r="C58" i="7"/>
  <c r="R58" i="7" s="1"/>
  <c r="C57" i="7"/>
  <c r="R57" i="7" s="1"/>
  <c r="C56" i="7"/>
  <c r="R56" i="7" s="1"/>
  <c r="C55" i="7"/>
  <c r="R55" i="7" s="1"/>
  <c r="C54" i="7"/>
  <c r="R54" i="7" s="1"/>
  <c r="C53" i="7"/>
  <c r="R53" i="7" s="1"/>
  <c r="C52" i="7"/>
  <c r="R52" i="7" s="1"/>
  <c r="C51" i="7"/>
  <c r="R51" i="7" s="1"/>
  <c r="C50" i="7"/>
  <c r="R50" i="7" s="1"/>
  <c r="C49" i="7"/>
  <c r="R49" i="7" s="1"/>
  <c r="C48" i="7"/>
  <c r="R48" i="7" s="1"/>
  <c r="C47" i="7"/>
  <c r="R47" i="7" s="1"/>
  <c r="C46" i="7"/>
  <c r="R46" i="7" s="1"/>
  <c r="C45" i="7"/>
  <c r="R45" i="7" s="1"/>
  <c r="C44" i="7"/>
  <c r="R44" i="7" s="1"/>
  <c r="C43" i="7"/>
  <c r="R43" i="7" s="1"/>
  <c r="C42" i="7"/>
  <c r="R42" i="7" s="1"/>
  <c r="C41" i="7"/>
  <c r="R41" i="7" s="1"/>
  <c r="C40" i="7"/>
  <c r="R40" i="7" s="1"/>
  <c r="C39" i="7"/>
  <c r="R39" i="7" s="1"/>
  <c r="C38" i="7"/>
  <c r="R38" i="7" s="1"/>
  <c r="C37" i="7"/>
  <c r="R37" i="7" s="1"/>
  <c r="C36" i="7"/>
  <c r="R36" i="7" s="1"/>
  <c r="C35" i="7"/>
  <c r="R35" i="7" s="1"/>
  <c r="C34" i="7"/>
  <c r="R34" i="7" s="1"/>
  <c r="C33" i="7"/>
  <c r="R33" i="7" s="1"/>
  <c r="C32" i="7"/>
  <c r="R32" i="7" s="1"/>
  <c r="C31" i="7"/>
  <c r="R31" i="7" s="1"/>
  <c r="C30" i="7"/>
  <c r="R30" i="7" s="1"/>
  <c r="C29" i="7"/>
  <c r="R29" i="7" s="1"/>
  <c r="C28" i="7"/>
  <c r="R28" i="7" s="1"/>
  <c r="C27" i="7"/>
  <c r="R27" i="7" s="1"/>
  <c r="C26" i="7"/>
  <c r="R26" i="7" s="1"/>
  <c r="C25" i="7"/>
  <c r="R25" i="7" s="1"/>
  <c r="C24" i="7"/>
  <c r="R24" i="7" s="1"/>
  <c r="C23" i="7"/>
  <c r="R23" i="7" s="1"/>
  <c r="C22" i="7"/>
  <c r="R22" i="7" s="1"/>
  <c r="C21" i="7"/>
  <c r="R21" i="7" s="1"/>
  <c r="C20" i="7"/>
  <c r="R20" i="7" s="1"/>
  <c r="C19" i="7"/>
  <c r="R19" i="7" s="1"/>
  <c r="C18" i="7"/>
  <c r="R18" i="7" s="1"/>
  <c r="C17" i="7"/>
  <c r="R17" i="7" s="1"/>
  <c r="C16" i="7"/>
  <c r="R16" i="7" s="1"/>
  <c r="C15" i="7"/>
  <c r="R15" i="7" s="1"/>
  <c r="C14" i="7"/>
  <c r="R14" i="7" s="1"/>
  <c r="C13" i="7"/>
  <c r="R13" i="7" s="1"/>
  <c r="C12" i="7"/>
  <c r="R12" i="7" s="1"/>
  <c r="C11" i="7"/>
  <c r="R11" i="7" s="1"/>
  <c r="C10" i="7"/>
  <c r="R10" i="7" s="1"/>
  <c r="C9" i="7"/>
  <c r="R9" i="7" s="1"/>
  <c r="C8" i="7"/>
  <c r="R8" i="7" s="1"/>
  <c r="C7" i="7"/>
  <c r="R7" i="7" s="1"/>
  <c r="C6" i="7"/>
  <c r="R6" i="7" s="1"/>
  <c r="C5" i="7"/>
  <c r="C4" i="7"/>
  <c r="R4" i="7" s="1"/>
  <c r="C3" i="7"/>
  <c r="R3" i="7" s="1"/>
  <c r="L756" i="7"/>
  <c r="K756" i="7"/>
  <c r="J756" i="7"/>
  <c r="B756" i="7"/>
  <c r="A756" i="7"/>
  <c r="L755" i="7"/>
  <c r="K755" i="7"/>
  <c r="B755" i="7" s="1"/>
  <c r="D754" i="7" s="1"/>
  <c r="J755" i="7"/>
  <c r="A755" i="7" s="1"/>
  <c r="L754" i="7"/>
  <c r="K754" i="7"/>
  <c r="J754" i="7"/>
  <c r="A754" i="7" s="1"/>
  <c r="B754" i="7"/>
  <c r="L753" i="7"/>
  <c r="K753" i="7"/>
  <c r="J753" i="7"/>
  <c r="A753" i="7" s="1"/>
  <c r="B753" i="7"/>
  <c r="L752" i="7"/>
  <c r="K752" i="7"/>
  <c r="B752" i="7" s="1"/>
  <c r="J752" i="7"/>
  <c r="A752" i="7" s="1"/>
  <c r="L751" i="7"/>
  <c r="K751" i="7"/>
  <c r="J751" i="7"/>
  <c r="B751" i="7"/>
  <c r="A751" i="7"/>
  <c r="L750" i="7"/>
  <c r="K750" i="7"/>
  <c r="B750" i="7" s="1"/>
  <c r="D749" i="7" s="1"/>
  <c r="J750" i="7"/>
  <c r="A750" i="7" s="1"/>
  <c r="L749" i="7"/>
  <c r="K749" i="7"/>
  <c r="B749" i="7" s="1"/>
  <c r="J749" i="7"/>
  <c r="A749" i="7" s="1"/>
  <c r="L748" i="7"/>
  <c r="K748" i="7"/>
  <c r="B748" i="7" s="1"/>
  <c r="J748" i="7"/>
  <c r="A748" i="7"/>
  <c r="L747" i="7"/>
  <c r="K747" i="7"/>
  <c r="B747" i="7" s="1"/>
  <c r="J747" i="7"/>
  <c r="A747" i="7" s="1"/>
  <c r="L746" i="7"/>
  <c r="K746" i="7"/>
  <c r="B746" i="7" s="1"/>
  <c r="J746" i="7"/>
  <c r="A746" i="7" s="1"/>
  <c r="L745" i="7"/>
  <c r="K745" i="7"/>
  <c r="B745" i="7" s="1"/>
  <c r="J745" i="7"/>
  <c r="A745" i="7"/>
  <c r="L744" i="7"/>
  <c r="K744" i="7"/>
  <c r="B744" i="7" s="1"/>
  <c r="J744" i="7"/>
  <c r="A744" i="7" s="1"/>
  <c r="L743" i="7"/>
  <c r="K743" i="7"/>
  <c r="J743" i="7"/>
  <c r="A743" i="7" s="1"/>
  <c r="B743" i="7"/>
  <c r="L742" i="7"/>
  <c r="K742" i="7"/>
  <c r="J742" i="7"/>
  <c r="A742" i="7" s="1"/>
  <c r="B742" i="7"/>
  <c r="L741" i="7"/>
  <c r="K741" i="7"/>
  <c r="B741" i="7" s="1"/>
  <c r="J741" i="7"/>
  <c r="A741" i="7"/>
  <c r="L740" i="7"/>
  <c r="K740" i="7"/>
  <c r="B740" i="7" s="1"/>
  <c r="J740" i="7"/>
  <c r="A740" i="7" s="1"/>
  <c r="L739" i="7"/>
  <c r="K739" i="7"/>
  <c r="B739" i="7" s="1"/>
  <c r="J739" i="7"/>
  <c r="A739" i="7" s="1"/>
  <c r="L738" i="7"/>
  <c r="K738" i="7"/>
  <c r="B738" i="7" s="1"/>
  <c r="J738" i="7"/>
  <c r="A738" i="7" s="1"/>
  <c r="L737" i="7"/>
  <c r="K737" i="7"/>
  <c r="B737" i="7" s="1"/>
  <c r="J737" i="7"/>
  <c r="A737" i="7" s="1"/>
  <c r="L736" i="7"/>
  <c r="K736" i="7"/>
  <c r="J736" i="7"/>
  <c r="A736" i="7" s="1"/>
  <c r="B736" i="7"/>
  <c r="L735" i="7"/>
  <c r="K735" i="7"/>
  <c r="J735" i="7"/>
  <c r="B735" i="7"/>
  <c r="A735" i="7"/>
  <c r="L734" i="7"/>
  <c r="K734" i="7"/>
  <c r="B734" i="7" s="1"/>
  <c r="D733" i="7" s="1"/>
  <c r="J734" i="7"/>
  <c r="A734" i="7" s="1"/>
  <c r="L733" i="7"/>
  <c r="K733" i="7"/>
  <c r="B733" i="7" s="1"/>
  <c r="J733" i="7"/>
  <c r="A733" i="7"/>
  <c r="L732" i="7"/>
  <c r="K732" i="7"/>
  <c r="J732" i="7"/>
  <c r="B732" i="7"/>
  <c r="A732" i="7"/>
  <c r="L731" i="7"/>
  <c r="K731" i="7"/>
  <c r="B731" i="7" s="1"/>
  <c r="J731" i="7"/>
  <c r="A731" i="7" s="1"/>
  <c r="L730" i="7"/>
  <c r="K730" i="7"/>
  <c r="J730" i="7"/>
  <c r="A730" i="7" s="1"/>
  <c r="B730" i="7"/>
  <c r="L729" i="7"/>
  <c r="K729" i="7"/>
  <c r="B729" i="7" s="1"/>
  <c r="J729" i="7"/>
  <c r="A729" i="7" s="1"/>
  <c r="L728" i="7"/>
  <c r="K728" i="7"/>
  <c r="J728" i="7"/>
  <c r="A728" i="7" s="1"/>
  <c r="B728" i="7"/>
  <c r="L727" i="7"/>
  <c r="K727" i="7"/>
  <c r="J727" i="7"/>
  <c r="A727" i="7" s="1"/>
  <c r="B727" i="7"/>
  <c r="L726" i="7"/>
  <c r="K726" i="7"/>
  <c r="B726" i="7" s="1"/>
  <c r="J726" i="7"/>
  <c r="A726" i="7" s="1"/>
  <c r="L725" i="7"/>
  <c r="K725" i="7"/>
  <c r="B725" i="7" s="1"/>
  <c r="J725" i="7"/>
  <c r="D725" i="7"/>
  <c r="A725" i="7"/>
  <c r="L724" i="7"/>
  <c r="K724" i="7"/>
  <c r="B724" i="7" s="1"/>
  <c r="J724" i="7"/>
  <c r="A724" i="7"/>
  <c r="L723" i="7"/>
  <c r="K723" i="7"/>
  <c r="B723" i="7" s="1"/>
  <c r="J723" i="7"/>
  <c r="A723" i="7" s="1"/>
  <c r="L722" i="7"/>
  <c r="K722" i="7"/>
  <c r="J722" i="7"/>
  <c r="A722" i="7" s="1"/>
  <c r="B722" i="7"/>
  <c r="L721" i="7"/>
  <c r="K721" i="7"/>
  <c r="J721" i="7"/>
  <c r="B721" i="7"/>
  <c r="A721" i="7"/>
  <c r="L720" i="7"/>
  <c r="E721" i="7" s="1"/>
  <c r="K720" i="7"/>
  <c r="B720" i="7" s="1"/>
  <c r="J720" i="7"/>
  <c r="A720" i="7" s="1"/>
  <c r="L719" i="7"/>
  <c r="K719" i="7"/>
  <c r="J719" i="7"/>
  <c r="A719" i="7" s="1"/>
  <c r="B719" i="7"/>
  <c r="D719" i="7" s="1"/>
  <c r="L718" i="7"/>
  <c r="K718" i="7"/>
  <c r="B718" i="7" s="1"/>
  <c r="J718" i="7"/>
  <c r="A718" i="7"/>
  <c r="L717" i="7"/>
  <c r="K717" i="7"/>
  <c r="B717" i="7" s="1"/>
  <c r="J717" i="7"/>
  <c r="A717" i="7" s="1"/>
  <c r="L716" i="7"/>
  <c r="K716" i="7"/>
  <c r="J716" i="7"/>
  <c r="A716" i="7" s="1"/>
  <c r="B716" i="7"/>
  <c r="L715" i="7"/>
  <c r="K715" i="7"/>
  <c r="B715" i="7" s="1"/>
  <c r="J715" i="7"/>
  <c r="A715" i="7"/>
  <c r="L714" i="7"/>
  <c r="K714" i="7"/>
  <c r="B714" i="7" s="1"/>
  <c r="J714" i="7"/>
  <c r="A714" i="7" s="1"/>
  <c r="L713" i="7"/>
  <c r="K713" i="7"/>
  <c r="B713" i="7" s="1"/>
  <c r="J713" i="7"/>
  <c r="A713" i="7" s="1"/>
  <c r="L712" i="7"/>
  <c r="K712" i="7"/>
  <c r="J712" i="7"/>
  <c r="A712" i="7" s="1"/>
  <c r="B712" i="7"/>
  <c r="L711" i="7"/>
  <c r="K711" i="7"/>
  <c r="B711" i="7" s="1"/>
  <c r="J711" i="7"/>
  <c r="A711" i="7" s="1"/>
  <c r="L710" i="7"/>
  <c r="K710" i="7"/>
  <c r="J710" i="7"/>
  <c r="A710" i="7" s="1"/>
  <c r="B710" i="7"/>
  <c r="L709" i="7"/>
  <c r="K709" i="7"/>
  <c r="B709" i="7" s="1"/>
  <c r="D709" i="7" s="1"/>
  <c r="J709" i="7"/>
  <c r="A709" i="7"/>
  <c r="L708" i="7"/>
  <c r="K708" i="7"/>
  <c r="B708" i="7" s="1"/>
  <c r="J708" i="7"/>
  <c r="A708" i="7"/>
  <c r="L707" i="7"/>
  <c r="K707" i="7"/>
  <c r="B707" i="7" s="1"/>
  <c r="J707" i="7"/>
  <c r="A707" i="7" s="1"/>
  <c r="L706" i="7"/>
  <c r="K706" i="7"/>
  <c r="B706" i="7" s="1"/>
  <c r="J706" i="7"/>
  <c r="A706" i="7" s="1"/>
  <c r="L705" i="7"/>
  <c r="K705" i="7"/>
  <c r="B705" i="7" s="1"/>
  <c r="J705" i="7"/>
  <c r="A705" i="7" s="1"/>
  <c r="L704" i="7"/>
  <c r="K704" i="7"/>
  <c r="J704" i="7"/>
  <c r="A704" i="7" s="1"/>
  <c r="B704" i="7"/>
  <c r="L703" i="7"/>
  <c r="K703" i="7"/>
  <c r="B703" i="7" s="1"/>
  <c r="D703" i="7" s="1"/>
  <c r="J703" i="7"/>
  <c r="A703" i="7" s="1"/>
  <c r="L702" i="7"/>
  <c r="K702" i="7"/>
  <c r="J702" i="7"/>
  <c r="A702" i="7" s="1"/>
  <c r="B702" i="7"/>
  <c r="L701" i="7"/>
  <c r="K701" i="7"/>
  <c r="B701" i="7" s="1"/>
  <c r="J701" i="7"/>
  <c r="A701" i="7" s="1"/>
  <c r="L700" i="7"/>
  <c r="K700" i="7"/>
  <c r="B700" i="7" s="1"/>
  <c r="D700" i="7" s="1"/>
  <c r="J700" i="7"/>
  <c r="A700" i="7" s="1"/>
  <c r="L699" i="7"/>
  <c r="K699" i="7"/>
  <c r="B699" i="7" s="1"/>
  <c r="J699" i="7"/>
  <c r="A699" i="7"/>
  <c r="L698" i="7"/>
  <c r="K698" i="7"/>
  <c r="B698" i="7" s="1"/>
  <c r="D698" i="7" s="1"/>
  <c r="J698" i="7"/>
  <c r="A698" i="7" s="1"/>
  <c r="L697" i="7"/>
  <c r="K697" i="7"/>
  <c r="B697" i="7" s="1"/>
  <c r="J697" i="7"/>
  <c r="A697" i="7"/>
  <c r="L696" i="7"/>
  <c r="K696" i="7"/>
  <c r="B696" i="7" s="1"/>
  <c r="J696" i="7"/>
  <c r="A696" i="7" s="1"/>
  <c r="L695" i="7"/>
  <c r="K695" i="7"/>
  <c r="B695" i="7" s="1"/>
  <c r="J695" i="7"/>
  <c r="A695" i="7" s="1"/>
  <c r="L694" i="7"/>
  <c r="K694" i="7"/>
  <c r="J694" i="7"/>
  <c r="B694" i="7"/>
  <c r="A694" i="7"/>
  <c r="L693" i="7"/>
  <c r="K693" i="7"/>
  <c r="B693" i="7" s="1"/>
  <c r="J693" i="7"/>
  <c r="A693" i="7" s="1"/>
  <c r="L692" i="7"/>
  <c r="K692" i="7"/>
  <c r="B692" i="7" s="1"/>
  <c r="J692" i="7"/>
  <c r="A692" i="7" s="1"/>
  <c r="L691" i="7"/>
  <c r="K691" i="7"/>
  <c r="B691" i="7" s="1"/>
  <c r="J691" i="7"/>
  <c r="A691" i="7"/>
  <c r="L690" i="7"/>
  <c r="K690" i="7"/>
  <c r="B690" i="7" s="1"/>
  <c r="D690" i="7" s="1"/>
  <c r="J690" i="7"/>
  <c r="A690" i="7" s="1"/>
  <c r="L689" i="7"/>
  <c r="K689" i="7"/>
  <c r="B689" i="7" s="1"/>
  <c r="J689" i="7"/>
  <c r="A689" i="7" s="1"/>
  <c r="L688" i="7"/>
  <c r="K688" i="7"/>
  <c r="B688" i="7" s="1"/>
  <c r="J688" i="7"/>
  <c r="A688" i="7" s="1"/>
  <c r="L687" i="7"/>
  <c r="K687" i="7"/>
  <c r="J687" i="7"/>
  <c r="D687" i="7"/>
  <c r="B687" i="7"/>
  <c r="A687" i="7"/>
  <c r="L686" i="7"/>
  <c r="K686" i="7"/>
  <c r="J686" i="7"/>
  <c r="A686" i="7" s="1"/>
  <c r="B686" i="7"/>
  <c r="L685" i="7"/>
  <c r="K685" i="7"/>
  <c r="B685" i="7" s="1"/>
  <c r="D685" i="7" s="1"/>
  <c r="J685" i="7"/>
  <c r="A685" i="7" s="1"/>
  <c r="L684" i="7"/>
  <c r="K684" i="7"/>
  <c r="B684" i="7" s="1"/>
  <c r="J684" i="7"/>
  <c r="A684" i="7" s="1"/>
  <c r="L683" i="7"/>
  <c r="K683" i="7"/>
  <c r="B683" i="7" s="1"/>
  <c r="D683" i="7" s="1"/>
  <c r="J683" i="7"/>
  <c r="A683" i="7"/>
  <c r="L682" i="7"/>
  <c r="K682" i="7"/>
  <c r="J682" i="7"/>
  <c r="B682" i="7"/>
  <c r="A682" i="7"/>
  <c r="L681" i="7"/>
  <c r="K681" i="7"/>
  <c r="B681" i="7" s="1"/>
  <c r="J681" i="7"/>
  <c r="A681" i="7"/>
  <c r="L680" i="7"/>
  <c r="K680" i="7"/>
  <c r="B680" i="7" s="1"/>
  <c r="D680" i="7" s="1"/>
  <c r="J680" i="7"/>
  <c r="A680" i="7" s="1"/>
  <c r="L679" i="7"/>
  <c r="K679" i="7"/>
  <c r="B679" i="7" s="1"/>
  <c r="J679" i="7"/>
  <c r="A679" i="7"/>
  <c r="L678" i="7"/>
  <c r="K678" i="7"/>
  <c r="B678" i="7" s="1"/>
  <c r="J678" i="7"/>
  <c r="A678" i="7" s="1"/>
  <c r="L677" i="7"/>
  <c r="K677" i="7"/>
  <c r="J677" i="7"/>
  <c r="A677" i="7" s="1"/>
  <c r="B677" i="7"/>
  <c r="L676" i="7"/>
  <c r="K676" i="7"/>
  <c r="B676" i="7" s="1"/>
  <c r="J676" i="7"/>
  <c r="A676" i="7" s="1"/>
  <c r="L675" i="7"/>
  <c r="K675" i="7"/>
  <c r="B675" i="7" s="1"/>
  <c r="J675" i="7"/>
  <c r="A675" i="7"/>
  <c r="L674" i="7"/>
  <c r="K674" i="7"/>
  <c r="B674" i="7" s="1"/>
  <c r="J674" i="7"/>
  <c r="A674" i="7" s="1"/>
  <c r="L673" i="7"/>
  <c r="E673" i="7" s="1"/>
  <c r="K673" i="7"/>
  <c r="B673" i="7" s="1"/>
  <c r="J673" i="7"/>
  <c r="A673" i="7"/>
  <c r="L672" i="7"/>
  <c r="K672" i="7"/>
  <c r="B672" i="7" s="1"/>
  <c r="J672" i="7"/>
  <c r="A672" i="7" s="1"/>
  <c r="L671" i="7"/>
  <c r="K671" i="7"/>
  <c r="B671" i="7" s="1"/>
  <c r="J671" i="7"/>
  <c r="A671" i="7"/>
  <c r="L670" i="7"/>
  <c r="K670" i="7"/>
  <c r="J670" i="7"/>
  <c r="A670" i="7" s="1"/>
  <c r="B670" i="7"/>
  <c r="L669" i="7"/>
  <c r="K669" i="7"/>
  <c r="B669" i="7" s="1"/>
  <c r="J669" i="7"/>
  <c r="A669" i="7" s="1"/>
  <c r="L668" i="7"/>
  <c r="K668" i="7"/>
  <c r="B668" i="7" s="1"/>
  <c r="J668" i="7"/>
  <c r="A668" i="7" s="1"/>
  <c r="L667" i="7"/>
  <c r="K667" i="7"/>
  <c r="B667" i="7" s="1"/>
  <c r="J667" i="7"/>
  <c r="A667" i="7" s="1"/>
  <c r="D667" i="7"/>
  <c r="L666" i="7"/>
  <c r="K666" i="7"/>
  <c r="B666" i="7" s="1"/>
  <c r="J666" i="7"/>
  <c r="A666" i="7" s="1"/>
  <c r="L665" i="7"/>
  <c r="K665" i="7"/>
  <c r="B665" i="7" s="1"/>
  <c r="D665" i="7" s="1"/>
  <c r="J665" i="7"/>
  <c r="A665" i="7" s="1"/>
  <c r="L664" i="7"/>
  <c r="K664" i="7"/>
  <c r="B664" i="7" s="1"/>
  <c r="D664" i="7" s="1"/>
  <c r="J664" i="7"/>
  <c r="A664" i="7" s="1"/>
  <c r="L663" i="7"/>
  <c r="K663" i="7"/>
  <c r="B663" i="7" s="1"/>
  <c r="J663" i="7"/>
  <c r="A663" i="7" s="1"/>
  <c r="L662" i="7"/>
  <c r="K662" i="7"/>
  <c r="J662" i="7"/>
  <c r="A662" i="7" s="1"/>
  <c r="B662" i="7"/>
  <c r="L661" i="7"/>
  <c r="K661" i="7"/>
  <c r="B661" i="7" s="1"/>
  <c r="J661" i="7"/>
  <c r="A661" i="7" s="1"/>
  <c r="L660" i="7"/>
  <c r="K660" i="7"/>
  <c r="B660" i="7" s="1"/>
  <c r="D659" i="7" s="1"/>
  <c r="J660" i="7"/>
  <c r="A660" i="7" s="1"/>
  <c r="L659" i="7"/>
  <c r="K659" i="7"/>
  <c r="B659" i="7" s="1"/>
  <c r="J659" i="7"/>
  <c r="A659" i="7"/>
  <c r="L658" i="7"/>
  <c r="K658" i="7"/>
  <c r="J658" i="7"/>
  <c r="A658" i="7" s="1"/>
  <c r="B658" i="7"/>
  <c r="L657" i="7"/>
  <c r="K657" i="7"/>
  <c r="B657" i="7" s="1"/>
  <c r="J657" i="7"/>
  <c r="A657" i="7" s="1"/>
  <c r="L656" i="7"/>
  <c r="K656" i="7"/>
  <c r="B656" i="7" s="1"/>
  <c r="J656" i="7"/>
  <c r="A656" i="7" s="1"/>
  <c r="L655" i="7"/>
  <c r="K655" i="7"/>
  <c r="B655" i="7" s="1"/>
  <c r="J655" i="7"/>
  <c r="A655" i="7" s="1"/>
  <c r="L654" i="7"/>
  <c r="K654" i="7"/>
  <c r="J654" i="7"/>
  <c r="A654" i="7" s="1"/>
  <c r="B654" i="7"/>
  <c r="L653" i="7"/>
  <c r="K653" i="7"/>
  <c r="B653" i="7" s="1"/>
  <c r="J653" i="7"/>
  <c r="A653" i="7" s="1"/>
  <c r="L652" i="7"/>
  <c r="K652" i="7"/>
  <c r="J652" i="7"/>
  <c r="A652" i="7" s="1"/>
  <c r="B652" i="7"/>
  <c r="L651" i="7"/>
  <c r="K651" i="7"/>
  <c r="B651" i="7" s="1"/>
  <c r="J651" i="7"/>
  <c r="A651" i="7"/>
  <c r="L650" i="7"/>
  <c r="K650" i="7"/>
  <c r="J650" i="7"/>
  <c r="A650" i="7" s="1"/>
  <c r="B650" i="7"/>
  <c r="D650" i="7" s="1"/>
  <c r="L649" i="7"/>
  <c r="K649" i="7"/>
  <c r="B649" i="7" s="1"/>
  <c r="J649" i="7"/>
  <c r="A649" i="7" s="1"/>
  <c r="L648" i="7"/>
  <c r="K648" i="7"/>
  <c r="B648" i="7" s="1"/>
  <c r="D648" i="7" s="1"/>
  <c r="J648" i="7"/>
  <c r="A648" i="7" s="1"/>
  <c r="L647" i="7"/>
  <c r="K647" i="7"/>
  <c r="B647" i="7" s="1"/>
  <c r="J647" i="7"/>
  <c r="A647" i="7"/>
  <c r="L646" i="7"/>
  <c r="K646" i="7"/>
  <c r="J646" i="7"/>
  <c r="A646" i="7" s="1"/>
  <c r="B646" i="7"/>
  <c r="L645" i="7"/>
  <c r="K645" i="7"/>
  <c r="J645" i="7"/>
  <c r="A645" i="7" s="1"/>
  <c r="B645" i="7"/>
  <c r="L644" i="7"/>
  <c r="K644" i="7"/>
  <c r="B644" i="7" s="1"/>
  <c r="J644" i="7"/>
  <c r="A644" i="7" s="1"/>
  <c r="L643" i="7"/>
  <c r="K643" i="7"/>
  <c r="J643" i="7"/>
  <c r="A643" i="7" s="1"/>
  <c r="B643" i="7"/>
  <c r="L642" i="7"/>
  <c r="K642" i="7"/>
  <c r="J642" i="7"/>
  <c r="A642" i="7" s="1"/>
  <c r="B642" i="7"/>
  <c r="L641" i="7"/>
  <c r="K641" i="7"/>
  <c r="B641" i="7" s="1"/>
  <c r="J641" i="7"/>
  <c r="A641" i="7" s="1"/>
  <c r="L640" i="7"/>
  <c r="K640" i="7"/>
  <c r="B640" i="7" s="1"/>
  <c r="J640" i="7"/>
  <c r="A640" i="7" s="1"/>
  <c r="L639" i="7"/>
  <c r="K639" i="7"/>
  <c r="B639" i="7" s="1"/>
  <c r="J639" i="7"/>
  <c r="A639" i="7" s="1"/>
  <c r="L638" i="7"/>
  <c r="K638" i="7"/>
  <c r="J638" i="7"/>
  <c r="A638" i="7" s="1"/>
  <c r="B638" i="7"/>
  <c r="L637" i="7"/>
  <c r="K637" i="7"/>
  <c r="J637" i="7"/>
  <c r="A637" i="7" s="1"/>
  <c r="B637" i="7"/>
  <c r="L636" i="7"/>
  <c r="K636" i="7"/>
  <c r="B636" i="7" s="1"/>
  <c r="J636" i="7"/>
  <c r="A636" i="7" s="1"/>
  <c r="L635" i="7"/>
  <c r="K635" i="7"/>
  <c r="B635" i="7" s="1"/>
  <c r="D635" i="7" s="1"/>
  <c r="J635" i="7"/>
  <c r="A635" i="7"/>
  <c r="L634" i="7"/>
  <c r="K634" i="7"/>
  <c r="B634" i="7" s="1"/>
  <c r="J634" i="7"/>
  <c r="A634" i="7" s="1"/>
  <c r="L633" i="7"/>
  <c r="K633" i="7"/>
  <c r="B633" i="7" s="1"/>
  <c r="J633" i="7"/>
  <c r="A633" i="7" s="1"/>
  <c r="L632" i="7"/>
  <c r="K632" i="7"/>
  <c r="B632" i="7" s="1"/>
  <c r="J632" i="7"/>
  <c r="A632" i="7" s="1"/>
  <c r="L631" i="7"/>
  <c r="K631" i="7"/>
  <c r="B631" i="7" s="1"/>
  <c r="J631" i="7"/>
  <c r="A631" i="7"/>
  <c r="L630" i="7"/>
  <c r="K630" i="7"/>
  <c r="J630" i="7"/>
  <c r="A630" i="7" s="1"/>
  <c r="B630" i="7"/>
  <c r="L629" i="7"/>
  <c r="K629" i="7"/>
  <c r="J629" i="7"/>
  <c r="A629" i="7" s="1"/>
  <c r="B629" i="7"/>
  <c r="L628" i="7"/>
  <c r="K628" i="7"/>
  <c r="B628" i="7" s="1"/>
  <c r="J628" i="7"/>
  <c r="A628" i="7"/>
  <c r="L627" i="7"/>
  <c r="K627" i="7"/>
  <c r="B627" i="7" s="1"/>
  <c r="J627" i="7"/>
  <c r="A627" i="7"/>
  <c r="L626" i="7"/>
  <c r="K626" i="7"/>
  <c r="J626" i="7"/>
  <c r="A626" i="7" s="1"/>
  <c r="B626" i="7"/>
  <c r="L625" i="7"/>
  <c r="K625" i="7"/>
  <c r="B625" i="7" s="1"/>
  <c r="D625" i="7" s="1"/>
  <c r="J625" i="7"/>
  <c r="A625" i="7" s="1"/>
  <c r="L624" i="7"/>
  <c r="K624" i="7"/>
  <c r="B624" i="7" s="1"/>
  <c r="J624" i="7"/>
  <c r="A624" i="7" s="1"/>
  <c r="L623" i="7"/>
  <c r="K623" i="7"/>
  <c r="J623" i="7"/>
  <c r="B623" i="7"/>
  <c r="A623" i="7"/>
  <c r="L622" i="7"/>
  <c r="K622" i="7"/>
  <c r="J622" i="7"/>
  <c r="A622" i="7" s="1"/>
  <c r="B622" i="7"/>
  <c r="L621" i="7"/>
  <c r="K621" i="7"/>
  <c r="B621" i="7" s="1"/>
  <c r="J621" i="7"/>
  <c r="A621" i="7" s="1"/>
  <c r="L620" i="7"/>
  <c r="K620" i="7"/>
  <c r="B620" i="7" s="1"/>
  <c r="J620" i="7"/>
  <c r="A620" i="7" s="1"/>
  <c r="L619" i="7"/>
  <c r="K619" i="7"/>
  <c r="B619" i="7" s="1"/>
  <c r="J619" i="7"/>
  <c r="A619" i="7" s="1"/>
  <c r="L618" i="7"/>
  <c r="K618" i="7"/>
  <c r="B618" i="7" s="1"/>
  <c r="J618" i="7"/>
  <c r="A618" i="7" s="1"/>
  <c r="L617" i="7"/>
  <c r="K617" i="7"/>
  <c r="B617" i="7" s="1"/>
  <c r="J617" i="7"/>
  <c r="A617" i="7" s="1"/>
  <c r="L616" i="7"/>
  <c r="K616" i="7"/>
  <c r="B616" i="7" s="1"/>
  <c r="J616" i="7"/>
  <c r="A616" i="7"/>
  <c r="L615" i="7"/>
  <c r="K615" i="7"/>
  <c r="B615" i="7" s="1"/>
  <c r="J615" i="7"/>
  <c r="A615" i="7" s="1"/>
  <c r="L614" i="7"/>
  <c r="K614" i="7"/>
  <c r="B614" i="7" s="1"/>
  <c r="D613" i="7" s="1"/>
  <c r="J614" i="7"/>
  <c r="A614" i="7"/>
  <c r="L613" i="7"/>
  <c r="K613" i="7"/>
  <c r="J613" i="7"/>
  <c r="A613" i="7" s="1"/>
  <c r="B613" i="7"/>
  <c r="L612" i="7"/>
  <c r="K612" i="7"/>
  <c r="B612" i="7" s="1"/>
  <c r="J612" i="7"/>
  <c r="A612" i="7" s="1"/>
  <c r="L611" i="7"/>
  <c r="K611" i="7"/>
  <c r="B611" i="7" s="1"/>
  <c r="D611" i="7" s="1"/>
  <c r="J611" i="7"/>
  <c r="A611" i="7"/>
  <c r="L610" i="7"/>
  <c r="K610" i="7"/>
  <c r="J610" i="7"/>
  <c r="A610" i="7" s="1"/>
  <c r="B610" i="7"/>
  <c r="L609" i="7"/>
  <c r="E609" i="7" s="1"/>
  <c r="K609" i="7"/>
  <c r="J609" i="7"/>
  <c r="A609" i="7" s="1"/>
  <c r="B609" i="7"/>
  <c r="L608" i="7"/>
  <c r="K608" i="7"/>
  <c r="B608" i="7" s="1"/>
  <c r="J608" i="7"/>
  <c r="A608" i="7"/>
  <c r="L607" i="7"/>
  <c r="K607" i="7"/>
  <c r="J607" i="7"/>
  <c r="A607" i="7" s="1"/>
  <c r="B607" i="7"/>
  <c r="D607" i="7" s="1"/>
  <c r="L606" i="7"/>
  <c r="K606" i="7"/>
  <c r="B606" i="7" s="1"/>
  <c r="J606" i="7"/>
  <c r="A606" i="7"/>
  <c r="L605" i="7"/>
  <c r="K605" i="7"/>
  <c r="B605" i="7" s="1"/>
  <c r="J605" i="7"/>
  <c r="A605" i="7" s="1"/>
  <c r="L604" i="7"/>
  <c r="K604" i="7"/>
  <c r="B604" i="7" s="1"/>
  <c r="J604" i="7"/>
  <c r="A604" i="7"/>
  <c r="L603" i="7"/>
  <c r="K603" i="7"/>
  <c r="B603" i="7" s="1"/>
  <c r="J603" i="7"/>
  <c r="A603" i="7" s="1"/>
  <c r="L602" i="7"/>
  <c r="K602" i="7"/>
  <c r="B602" i="7" s="1"/>
  <c r="J602" i="7"/>
  <c r="A602" i="7" s="1"/>
  <c r="L601" i="7"/>
  <c r="K601" i="7"/>
  <c r="B601" i="7" s="1"/>
  <c r="J601" i="7"/>
  <c r="A601" i="7" s="1"/>
  <c r="L600" i="7"/>
  <c r="K600" i="7"/>
  <c r="B600" i="7" s="1"/>
  <c r="J600" i="7"/>
  <c r="A600" i="7" s="1"/>
  <c r="L599" i="7"/>
  <c r="K599" i="7"/>
  <c r="B599" i="7" s="1"/>
  <c r="J599" i="7"/>
  <c r="A599" i="7"/>
  <c r="L598" i="7"/>
  <c r="K598" i="7"/>
  <c r="B598" i="7" s="1"/>
  <c r="D597" i="7" s="1"/>
  <c r="J598" i="7"/>
  <c r="A598" i="7" s="1"/>
  <c r="L597" i="7"/>
  <c r="K597" i="7"/>
  <c r="B597" i="7" s="1"/>
  <c r="J597" i="7"/>
  <c r="A597" i="7" s="1"/>
  <c r="L596" i="7"/>
  <c r="K596" i="7"/>
  <c r="B596" i="7" s="1"/>
  <c r="J596" i="7"/>
  <c r="A596" i="7"/>
  <c r="L595" i="7"/>
  <c r="K595" i="7"/>
  <c r="B595" i="7" s="1"/>
  <c r="J595" i="7"/>
  <c r="A595" i="7"/>
  <c r="L594" i="7"/>
  <c r="K594" i="7"/>
  <c r="B594" i="7" s="1"/>
  <c r="J594" i="7"/>
  <c r="A594" i="7" s="1"/>
  <c r="L593" i="7"/>
  <c r="K593" i="7"/>
  <c r="J593" i="7"/>
  <c r="A593" i="7" s="1"/>
  <c r="B593" i="7"/>
  <c r="L592" i="7"/>
  <c r="K592" i="7"/>
  <c r="B592" i="7" s="1"/>
  <c r="D592" i="7" s="1"/>
  <c r="J592" i="7"/>
  <c r="A592" i="7" s="1"/>
  <c r="L591" i="7"/>
  <c r="K591" i="7"/>
  <c r="J591" i="7"/>
  <c r="A591" i="7" s="1"/>
  <c r="B591" i="7"/>
  <c r="L590" i="7"/>
  <c r="K590" i="7"/>
  <c r="B590" i="7" s="1"/>
  <c r="J590" i="7"/>
  <c r="A590" i="7" s="1"/>
  <c r="L589" i="7"/>
  <c r="K589" i="7"/>
  <c r="J589" i="7"/>
  <c r="A589" i="7" s="1"/>
  <c r="B589" i="7"/>
  <c r="D589" i="7" s="1"/>
  <c r="L588" i="7"/>
  <c r="K588" i="7"/>
  <c r="B588" i="7" s="1"/>
  <c r="J588" i="7"/>
  <c r="A588" i="7"/>
  <c r="L587" i="7"/>
  <c r="K587" i="7"/>
  <c r="B587" i="7" s="1"/>
  <c r="J587" i="7"/>
  <c r="A587" i="7" s="1"/>
  <c r="L586" i="7"/>
  <c r="K586" i="7"/>
  <c r="B586" i="7" s="1"/>
  <c r="D586" i="7" s="1"/>
  <c r="J586" i="7"/>
  <c r="A586" i="7" s="1"/>
  <c r="L585" i="7"/>
  <c r="K585" i="7"/>
  <c r="J585" i="7"/>
  <c r="A585" i="7" s="1"/>
  <c r="B585" i="7"/>
  <c r="L584" i="7"/>
  <c r="K584" i="7"/>
  <c r="B584" i="7" s="1"/>
  <c r="J584" i="7"/>
  <c r="A584" i="7"/>
  <c r="L583" i="7"/>
  <c r="K583" i="7"/>
  <c r="J583" i="7"/>
  <c r="B583" i="7"/>
  <c r="A583" i="7"/>
  <c r="L582" i="7"/>
  <c r="K582" i="7"/>
  <c r="B582" i="7" s="1"/>
  <c r="J582" i="7"/>
  <c r="A582" i="7" s="1"/>
  <c r="L581" i="7"/>
  <c r="K581" i="7"/>
  <c r="B581" i="7" s="1"/>
  <c r="J581" i="7"/>
  <c r="A581" i="7" s="1"/>
  <c r="L580" i="7"/>
  <c r="K580" i="7"/>
  <c r="J580" i="7"/>
  <c r="A580" i="7" s="1"/>
  <c r="B580" i="7"/>
  <c r="L579" i="7"/>
  <c r="K579" i="7"/>
  <c r="B579" i="7" s="1"/>
  <c r="D579" i="7" s="1"/>
  <c r="J579" i="7"/>
  <c r="A579" i="7" s="1"/>
  <c r="L578" i="7"/>
  <c r="K578" i="7"/>
  <c r="B578" i="7" s="1"/>
  <c r="J578" i="7"/>
  <c r="A578" i="7"/>
  <c r="L577" i="7"/>
  <c r="K577" i="7"/>
  <c r="B577" i="7" s="1"/>
  <c r="D578" i="7" s="1"/>
  <c r="J577" i="7"/>
  <c r="A577" i="7" s="1"/>
  <c r="L576" i="7"/>
  <c r="K576" i="7"/>
  <c r="B576" i="7" s="1"/>
  <c r="J576" i="7"/>
  <c r="A576" i="7" s="1"/>
  <c r="L575" i="7"/>
  <c r="K575" i="7"/>
  <c r="B575" i="7" s="1"/>
  <c r="J575" i="7"/>
  <c r="A575" i="7" s="1"/>
  <c r="L574" i="7"/>
  <c r="K574" i="7"/>
  <c r="B574" i="7" s="1"/>
  <c r="J574" i="7"/>
  <c r="A574" i="7"/>
  <c r="L573" i="7"/>
  <c r="K573" i="7"/>
  <c r="J573" i="7"/>
  <c r="A573" i="7" s="1"/>
  <c r="B573" i="7"/>
  <c r="L572" i="7"/>
  <c r="K572" i="7"/>
  <c r="J572" i="7"/>
  <c r="A572" i="7" s="1"/>
  <c r="B572" i="7"/>
  <c r="L571" i="7"/>
  <c r="K571" i="7"/>
  <c r="B571" i="7" s="1"/>
  <c r="J571" i="7"/>
  <c r="A571" i="7" s="1"/>
  <c r="L570" i="7"/>
  <c r="K570" i="7"/>
  <c r="B570" i="7" s="1"/>
  <c r="J570" i="7"/>
  <c r="A570" i="7"/>
  <c r="L569" i="7"/>
  <c r="K569" i="7"/>
  <c r="J569" i="7"/>
  <c r="A569" i="7" s="1"/>
  <c r="B569" i="7"/>
  <c r="L568" i="7"/>
  <c r="K568" i="7"/>
  <c r="B568" i="7" s="1"/>
  <c r="J568" i="7"/>
  <c r="A568" i="7" s="1"/>
  <c r="L567" i="7"/>
  <c r="K567" i="7"/>
  <c r="B567" i="7" s="1"/>
  <c r="J567" i="7"/>
  <c r="A567" i="7" s="1"/>
  <c r="L566" i="7"/>
  <c r="K566" i="7"/>
  <c r="B566" i="7" s="1"/>
  <c r="J566" i="7"/>
  <c r="A566" i="7"/>
  <c r="L565" i="7"/>
  <c r="K565" i="7"/>
  <c r="J565" i="7"/>
  <c r="A565" i="7" s="1"/>
  <c r="B565" i="7"/>
  <c r="L564" i="7"/>
  <c r="K564" i="7"/>
  <c r="B564" i="7" s="1"/>
  <c r="J564" i="7"/>
  <c r="A564" i="7" s="1"/>
  <c r="L563" i="7"/>
  <c r="K563" i="7"/>
  <c r="J563" i="7"/>
  <c r="A563" i="7" s="1"/>
  <c r="B563" i="7"/>
  <c r="L562" i="7"/>
  <c r="K562" i="7"/>
  <c r="B562" i="7" s="1"/>
  <c r="J562" i="7"/>
  <c r="A562" i="7" s="1"/>
  <c r="L561" i="7"/>
  <c r="K561" i="7"/>
  <c r="B561" i="7" s="1"/>
  <c r="D561" i="7" s="1"/>
  <c r="J561" i="7"/>
  <c r="A561" i="7"/>
  <c r="L560" i="7"/>
  <c r="K560" i="7"/>
  <c r="B560" i="7" s="1"/>
  <c r="J560" i="7"/>
  <c r="A560" i="7" s="1"/>
  <c r="L559" i="7"/>
  <c r="K559" i="7"/>
  <c r="B559" i="7" s="1"/>
  <c r="J559" i="7"/>
  <c r="A559" i="7" s="1"/>
  <c r="L558" i="7"/>
  <c r="K558" i="7"/>
  <c r="B558" i="7" s="1"/>
  <c r="J558" i="7"/>
  <c r="A558" i="7" s="1"/>
  <c r="L557" i="7"/>
  <c r="K557" i="7"/>
  <c r="J557" i="7"/>
  <c r="A557" i="7" s="1"/>
  <c r="B557" i="7"/>
  <c r="L556" i="7"/>
  <c r="K556" i="7"/>
  <c r="B556" i="7" s="1"/>
  <c r="J556" i="7"/>
  <c r="A556" i="7" s="1"/>
  <c r="L555" i="7"/>
  <c r="K555" i="7"/>
  <c r="J555" i="7"/>
  <c r="B555" i="7"/>
  <c r="A555" i="7"/>
  <c r="L554" i="7"/>
  <c r="K554" i="7"/>
  <c r="B554" i="7" s="1"/>
  <c r="D554" i="7" s="1"/>
  <c r="J554" i="7"/>
  <c r="A554" i="7"/>
  <c r="L553" i="7"/>
  <c r="K553" i="7"/>
  <c r="B553" i="7" s="1"/>
  <c r="J553" i="7"/>
  <c r="A553" i="7" s="1"/>
  <c r="L552" i="7"/>
  <c r="K552" i="7"/>
  <c r="B552" i="7" s="1"/>
  <c r="J552" i="7"/>
  <c r="A552" i="7"/>
  <c r="L551" i="7"/>
  <c r="K551" i="7"/>
  <c r="B551" i="7" s="1"/>
  <c r="J551" i="7"/>
  <c r="A551" i="7" s="1"/>
  <c r="L550" i="7"/>
  <c r="K550" i="7"/>
  <c r="B550" i="7" s="1"/>
  <c r="J550" i="7"/>
  <c r="A550" i="7" s="1"/>
  <c r="L549" i="7"/>
  <c r="K549" i="7"/>
  <c r="J549" i="7"/>
  <c r="A549" i="7" s="1"/>
  <c r="B549" i="7"/>
  <c r="L548" i="7"/>
  <c r="K548" i="7"/>
  <c r="B548" i="7" s="1"/>
  <c r="D548" i="7" s="1"/>
  <c r="J548" i="7"/>
  <c r="A548" i="7"/>
  <c r="L547" i="7"/>
  <c r="K547" i="7"/>
  <c r="B547" i="7" s="1"/>
  <c r="J547" i="7"/>
  <c r="A547" i="7" s="1"/>
  <c r="L546" i="7"/>
  <c r="K546" i="7"/>
  <c r="B546" i="7" s="1"/>
  <c r="D546" i="7" s="1"/>
  <c r="J546" i="7"/>
  <c r="A546" i="7"/>
  <c r="L545" i="7"/>
  <c r="K545" i="7"/>
  <c r="J545" i="7"/>
  <c r="B545" i="7"/>
  <c r="A545" i="7"/>
  <c r="L544" i="7"/>
  <c r="K544" i="7"/>
  <c r="B544" i="7" s="1"/>
  <c r="J544" i="7"/>
  <c r="A544" i="7" s="1"/>
  <c r="L543" i="7"/>
  <c r="K543" i="7"/>
  <c r="B543" i="7" s="1"/>
  <c r="J543" i="7"/>
  <c r="A543" i="7" s="1"/>
  <c r="L542" i="7"/>
  <c r="K542" i="7"/>
  <c r="B542" i="7" s="1"/>
  <c r="D542" i="7" s="1"/>
  <c r="J542" i="7"/>
  <c r="A542" i="7" s="1"/>
  <c r="L541" i="7"/>
  <c r="K541" i="7"/>
  <c r="J541" i="7"/>
  <c r="A541" i="7" s="1"/>
  <c r="B541" i="7"/>
  <c r="L540" i="7"/>
  <c r="K540" i="7"/>
  <c r="B540" i="7" s="1"/>
  <c r="J540" i="7"/>
  <c r="A540" i="7" s="1"/>
  <c r="L539" i="7"/>
  <c r="K539" i="7"/>
  <c r="B539" i="7" s="1"/>
  <c r="J539" i="7"/>
  <c r="A539" i="7" s="1"/>
  <c r="L538" i="7"/>
  <c r="K538" i="7"/>
  <c r="B538" i="7" s="1"/>
  <c r="J538" i="7"/>
  <c r="A538" i="7" s="1"/>
  <c r="L537" i="7"/>
  <c r="K537" i="7"/>
  <c r="B537" i="7" s="1"/>
  <c r="J537" i="7"/>
  <c r="A537" i="7" s="1"/>
  <c r="L536" i="7"/>
  <c r="K536" i="7"/>
  <c r="B536" i="7" s="1"/>
  <c r="J536" i="7"/>
  <c r="A536" i="7" s="1"/>
  <c r="L535" i="7"/>
  <c r="K535" i="7"/>
  <c r="B535" i="7" s="1"/>
  <c r="J535" i="7"/>
  <c r="A535" i="7"/>
  <c r="L534" i="7"/>
  <c r="K534" i="7"/>
  <c r="B534" i="7" s="1"/>
  <c r="D534" i="7" s="1"/>
  <c r="J534" i="7"/>
  <c r="A534" i="7" s="1"/>
  <c r="L533" i="7"/>
  <c r="K533" i="7"/>
  <c r="J533" i="7"/>
  <c r="A533" i="7" s="1"/>
  <c r="B533" i="7"/>
  <c r="L532" i="7"/>
  <c r="K532" i="7"/>
  <c r="B532" i="7" s="1"/>
  <c r="J532" i="7"/>
  <c r="A532" i="7" s="1"/>
  <c r="L531" i="7"/>
  <c r="K531" i="7"/>
  <c r="B531" i="7" s="1"/>
  <c r="J531" i="7"/>
  <c r="A531" i="7" s="1"/>
  <c r="L530" i="7"/>
  <c r="K530" i="7"/>
  <c r="B530" i="7" s="1"/>
  <c r="J530" i="7"/>
  <c r="A530" i="7" s="1"/>
  <c r="L529" i="7"/>
  <c r="K529" i="7"/>
  <c r="B529" i="7" s="1"/>
  <c r="J529" i="7"/>
  <c r="A529" i="7" s="1"/>
  <c r="L528" i="7"/>
  <c r="K528" i="7"/>
  <c r="B528" i="7" s="1"/>
  <c r="D528" i="7" s="1"/>
  <c r="J528" i="7"/>
  <c r="A528" i="7" s="1"/>
  <c r="L527" i="7"/>
  <c r="K527" i="7"/>
  <c r="B527" i="7" s="1"/>
  <c r="J527" i="7"/>
  <c r="A527" i="7"/>
  <c r="L526" i="7"/>
  <c r="K526" i="7"/>
  <c r="B526" i="7" s="1"/>
  <c r="D526" i="7" s="1"/>
  <c r="J526" i="7"/>
  <c r="A526" i="7" s="1"/>
  <c r="L525" i="7"/>
  <c r="K525" i="7"/>
  <c r="B525" i="7" s="1"/>
  <c r="J525" i="7"/>
  <c r="A525" i="7" s="1"/>
  <c r="L524" i="7"/>
  <c r="K524" i="7"/>
  <c r="B524" i="7" s="1"/>
  <c r="J524" i="7"/>
  <c r="A524" i="7" s="1"/>
  <c r="L523" i="7"/>
  <c r="K523" i="7"/>
  <c r="B523" i="7" s="1"/>
  <c r="D523" i="7" s="1"/>
  <c r="J523" i="7"/>
  <c r="A523" i="7" s="1"/>
  <c r="L522" i="7"/>
  <c r="K522" i="7"/>
  <c r="B522" i="7" s="1"/>
  <c r="J522" i="7"/>
  <c r="A522" i="7" s="1"/>
  <c r="L521" i="7"/>
  <c r="K521" i="7"/>
  <c r="B521" i="7" s="1"/>
  <c r="J521" i="7"/>
  <c r="A521" i="7" s="1"/>
  <c r="L520" i="7"/>
  <c r="K520" i="7"/>
  <c r="B520" i="7" s="1"/>
  <c r="J520" i="7"/>
  <c r="A520" i="7" s="1"/>
  <c r="L519" i="7"/>
  <c r="K519" i="7"/>
  <c r="B519" i="7" s="1"/>
  <c r="J519" i="7"/>
  <c r="A519" i="7"/>
  <c r="L518" i="7"/>
  <c r="K518" i="7"/>
  <c r="B518" i="7" s="1"/>
  <c r="J518" i="7"/>
  <c r="A518" i="7" s="1"/>
  <c r="L517" i="7"/>
  <c r="K517" i="7"/>
  <c r="J517" i="7"/>
  <c r="B517" i="7"/>
  <c r="D517" i="7" s="1"/>
  <c r="A517" i="7"/>
  <c r="L516" i="7"/>
  <c r="K516" i="7"/>
  <c r="B516" i="7" s="1"/>
  <c r="J516" i="7"/>
  <c r="A516" i="7" s="1"/>
  <c r="L515" i="7"/>
  <c r="K515" i="7"/>
  <c r="B515" i="7" s="1"/>
  <c r="J515" i="7"/>
  <c r="A515" i="7" s="1"/>
  <c r="D515" i="7"/>
  <c r="L514" i="7"/>
  <c r="K514" i="7"/>
  <c r="J514" i="7"/>
  <c r="A514" i="7" s="1"/>
  <c r="B514" i="7"/>
  <c r="L513" i="7"/>
  <c r="K513" i="7"/>
  <c r="B513" i="7" s="1"/>
  <c r="J513" i="7"/>
  <c r="A513" i="7"/>
  <c r="L512" i="7"/>
  <c r="K512" i="7"/>
  <c r="J512" i="7"/>
  <c r="A512" i="7" s="1"/>
  <c r="B512" i="7"/>
  <c r="L511" i="7"/>
  <c r="K511" i="7"/>
  <c r="J511" i="7"/>
  <c r="B511" i="7"/>
  <c r="A511" i="7"/>
  <c r="L510" i="7"/>
  <c r="K510" i="7"/>
  <c r="B510" i="7" s="1"/>
  <c r="D510" i="7" s="1"/>
  <c r="J510" i="7"/>
  <c r="A510" i="7" s="1"/>
  <c r="L509" i="7"/>
  <c r="K509" i="7"/>
  <c r="J509" i="7"/>
  <c r="A509" i="7" s="1"/>
  <c r="B509" i="7"/>
  <c r="L508" i="7"/>
  <c r="K508" i="7"/>
  <c r="B508" i="7" s="1"/>
  <c r="J508" i="7"/>
  <c r="A508" i="7" s="1"/>
  <c r="L507" i="7"/>
  <c r="K507" i="7"/>
  <c r="B507" i="7" s="1"/>
  <c r="J507" i="7"/>
  <c r="A507" i="7" s="1"/>
  <c r="D507" i="7"/>
  <c r="L506" i="7"/>
  <c r="K506" i="7"/>
  <c r="J506" i="7"/>
  <c r="B506" i="7"/>
  <c r="A506" i="7"/>
  <c r="L505" i="7"/>
  <c r="K505" i="7"/>
  <c r="B505" i="7" s="1"/>
  <c r="J505" i="7"/>
  <c r="A505" i="7" s="1"/>
  <c r="L504" i="7"/>
  <c r="K504" i="7"/>
  <c r="B504" i="7" s="1"/>
  <c r="J504" i="7"/>
  <c r="A504" i="7" s="1"/>
  <c r="L503" i="7"/>
  <c r="K503" i="7"/>
  <c r="J503" i="7"/>
  <c r="B503" i="7"/>
  <c r="A503" i="7"/>
  <c r="L502" i="7"/>
  <c r="K502" i="7"/>
  <c r="B502" i="7" s="1"/>
  <c r="D502" i="7" s="1"/>
  <c r="J502" i="7"/>
  <c r="A502" i="7" s="1"/>
  <c r="L501" i="7"/>
  <c r="K501" i="7"/>
  <c r="J501" i="7"/>
  <c r="A501" i="7" s="1"/>
  <c r="B501" i="7"/>
  <c r="L500" i="7"/>
  <c r="K500" i="7"/>
  <c r="B500" i="7" s="1"/>
  <c r="D500" i="7" s="1"/>
  <c r="J500" i="7"/>
  <c r="A500" i="7" s="1"/>
  <c r="L499" i="7"/>
  <c r="K499" i="7"/>
  <c r="J499" i="7"/>
  <c r="A499" i="7" s="1"/>
  <c r="B499" i="7"/>
  <c r="D499" i="7" s="1"/>
  <c r="L498" i="7"/>
  <c r="K498" i="7"/>
  <c r="B498" i="7" s="1"/>
  <c r="J498" i="7"/>
  <c r="A498" i="7"/>
  <c r="L497" i="7"/>
  <c r="K497" i="7"/>
  <c r="B497" i="7" s="1"/>
  <c r="D497" i="7" s="1"/>
  <c r="J497" i="7"/>
  <c r="A497" i="7" s="1"/>
  <c r="E497" i="7"/>
  <c r="L496" i="7"/>
  <c r="K496" i="7"/>
  <c r="J496" i="7"/>
  <c r="B496" i="7"/>
  <c r="D496" i="7" s="1"/>
  <c r="A496" i="7"/>
  <c r="L495" i="7"/>
  <c r="K495" i="7"/>
  <c r="J495" i="7"/>
  <c r="A495" i="7" s="1"/>
  <c r="B495" i="7"/>
  <c r="L494" i="7"/>
  <c r="K494" i="7"/>
  <c r="B494" i="7" s="1"/>
  <c r="J494" i="7"/>
  <c r="A494" i="7" s="1"/>
  <c r="L493" i="7"/>
  <c r="K493" i="7"/>
  <c r="J493" i="7"/>
  <c r="B493" i="7"/>
  <c r="A493" i="7"/>
  <c r="L492" i="7"/>
  <c r="K492" i="7"/>
  <c r="J492" i="7"/>
  <c r="B492" i="7"/>
  <c r="A492" i="7"/>
  <c r="L491" i="7"/>
  <c r="K491" i="7"/>
  <c r="B491" i="7" s="1"/>
  <c r="D491" i="7" s="1"/>
  <c r="J491" i="7"/>
  <c r="A491" i="7" s="1"/>
  <c r="L490" i="7"/>
  <c r="K490" i="7"/>
  <c r="B490" i="7" s="1"/>
  <c r="J490" i="7"/>
  <c r="A490" i="7"/>
  <c r="L489" i="7"/>
  <c r="K489" i="7"/>
  <c r="J489" i="7"/>
  <c r="B489" i="7"/>
  <c r="A489" i="7"/>
  <c r="L488" i="7"/>
  <c r="K488" i="7"/>
  <c r="B488" i="7" s="1"/>
  <c r="D488" i="7" s="1"/>
  <c r="J488" i="7"/>
  <c r="A488" i="7" s="1"/>
  <c r="L487" i="7"/>
  <c r="K487" i="7"/>
  <c r="J487" i="7"/>
  <c r="A487" i="7" s="1"/>
  <c r="B487" i="7"/>
  <c r="L486" i="7"/>
  <c r="K486" i="7"/>
  <c r="B486" i="7" s="1"/>
  <c r="J486" i="7"/>
  <c r="A486" i="7"/>
  <c r="L485" i="7"/>
  <c r="K485" i="7"/>
  <c r="J485" i="7"/>
  <c r="A485" i="7" s="1"/>
  <c r="B485" i="7"/>
  <c r="L484" i="7"/>
  <c r="K484" i="7"/>
  <c r="B484" i="7" s="1"/>
  <c r="J484" i="7"/>
  <c r="A484" i="7"/>
  <c r="L483" i="7"/>
  <c r="K483" i="7"/>
  <c r="B483" i="7" s="1"/>
  <c r="J483" i="7"/>
  <c r="A483" i="7" s="1"/>
  <c r="L482" i="7"/>
  <c r="K482" i="7"/>
  <c r="B482" i="7" s="1"/>
  <c r="J482" i="7"/>
  <c r="A482" i="7"/>
  <c r="L481" i="7"/>
  <c r="K481" i="7"/>
  <c r="B481" i="7" s="1"/>
  <c r="J481" i="7"/>
  <c r="A481" i="7" s="1"/>
  <c r="L480" i="7"/>
  <c r="K480" i="7"/>
  <c r="J480" i="7"/>
  <c r="B480" i="7"/>
  <c r="A480" i="7"/>
  <c r="L479" i="7"/>
  <c r="K479" i="7"/>
  <c r="B479" i="7" s="1"/>
  <c r="J479" i="7"/>
  <c r="A479" i="7" s="1"/>
  <c r="L478" i="7"/>
  <c r="K478" i="7"/>
  <c r="B478" i="7" s="1"/>
  <c r="J478" i="7"/>
  <c r="A478" i="7" s="1"/>
  <c r="L477" i="7"/>
  <c r="K477" i="7"/>
  <c r="B477" i="7" s="1"/>
  <c r="D477" i="7" s="1"/>
  <c r="J477" i="7"/>
  <c r="A477" i="7" s="1"/>
  <c r="L476" i="7"/>
  <c r="K476" i="7"/>
  <c r="B476" i="7" s="1"/>
  <c r="J476" i="7"/>
  <c r="A476" i="7" s="1"/>
  <c r="L475" i="7"/>
  <c r="K475" i="7"/>
  <c r="B475" i="7" s="1"/>
  <c r="J475" i="7"/>
  <c r="A475" i="7" s="1"/>
  <c r="L474" i="7"/>
  <c r="K474" i="7"/>
  <c r="B474" i="7" s="1"/>
  <c r="J474" i="7"/>
  <c r="A474" i="7"/>
  <c r="L473" i="7"/>
  <c r="K473" i="7"/>
  <c r="B473" i="7" s="1"/>
  <c r="J473" i="7"/>
  <c r="D473" i="7"/>
  <c r="A473" i="7"/>
  <c r="L472" i="7"/>
  <c r="K472" i="7"/>
  <c r="B472" i="7" s="1"/>
  <c r="D472" i="7" s="1"/>
  <c r="J472" i="7"/>
  <c r="A472" i="7"/>
  <c r="L471" i="7"/>
  <c r="K471" i="7"/>
  <c r="B471" i="7" s="1"/>
  <c r="J471" i="7"/>
  <c r="A471" i="7" s="1"/>
  <c r="L470" i="7"/>
  <c r="K470" i="7"/>
  <c r="B470" i="7" s="1"/>
  <c r="J470" i="7"/>
  <c r="A470" i="7" s="1"/>
  <c r="L469" i="7"/>
  <c r="K469" i="7"/>
  <c r="B469" i="7" s="1"/>
  <c r="J469" i="7"/>
  <c r="A469" i="7" s="1"/>
  <c r="L468" i="7"/>
  <c r="K468" i="7"/>
  <c r="J468" i="7"/>
  <c r="A468" i="7" s="1"/>
  <c r="B468" i="7"/>
  <c r="L467" i="7"/>
  <c r="K467" i="7"/>
  <c r="B467" i="7" s="1"/>
  <c r="D467" i="7" s="1"/>
  <c r="J467" i="7"/>
  <c r="A467" i="7" s="1"/>
  <c r="L466" i="7"/>
  <c r="K466" i="7"/>
  <c r="B466" i="7" s="1"/>
  <c r="J466" i="7"/>
  <c r="A466" i="7" s="1"/>
  <c r="L465" i="7"/>
  <c r="K465" i="7"/>
  <c r="B465" i="7" s="1"/>
  <c r="J465" i="7"/>
  <c r="A465" i="7"/>
  <c r="L464" i="7"/>
  <c r="K464" i="7"/>
  <c r="B464" i="7" s="1"/>
  <c r="J464" i="7"/>
  <c r="A464" i="7" s="1"/>
  <c r="L463" i="7"/>
  <c r="K463" i="7"/>
  <c r="B463" i="7" s="1"/>
  <c r="J463" i="7"/>
  <c r="A463" i="7" s="1"/>
  <c r="L462" i="7"/>
  <c r="K462" i="7"/>
  <c r="B462" i="7" s="1"/>
  <c r="J462" i="7"/>
  <c r="A462" i="7" s="1"/>
  <c r="L461" i="7"/>
  <c r="K461" i="7"/>
  <c r="J461" i="7"/>
  <c r="A461" i="7" s="1"/>
  <c r="B461" i="7"/>
  <c r="L460" i="7"/>
  <c r="K460" i="7"/>
  <c r="J460" i="7"/>
  <c r="A460" i="7" s="1"/>
  <c r="B460" i="7"/>
  <c r="L459" i="7"/>
  <c r="K459" i="7"/>
  <c r="J459" i="7"/>
  <c r="A459" i="7" s="1"/>
  <c r="B459" i="7"/>
  <c r="L458" i="7"/>
  <c r="K458" i="7"/>
  <c r="B458" i="7" s="1"/>
  <c r="D457" i="7" s="1"/>
  <c r="J458" i="7"/>
  <c r="A458" i="7" s="1"/>
  <c r="L457" i="7"/>
  <c r="E457" i="7" s="1"/>
  <c r="K457" i="7"/>
  <c r="B457" i="7" s="1"/>
  <c r="J457" i="7"/>
  <c r="A457" i="7"/>
  <c r="L456" i="7"/>
  <c r="K456" i="7"/>
  <c r="J456" i="7"/>
  <c r="A456" i="7" s="1"/>
  <c r="B456" i="7"/>
  <c r="L455" i="7"/>
  <c r="K455" i="7"/>
  <c r="B455" i="7" s="1"/>
  <c r="J455" i="7"/>
  <c r="A455" i="7" s="1"/>
  <c r="L454" i="7"/>
  <c r="K454" i="7"/>
  <c r="B454" i="7" s="1"/>
  <c r="J454" i="7"/>
  <c r="A454" i="7" s="1"/>
  <c r="L453" i="7"/>
  <c r="K453" i="7"/>
  <c r="B453" i="7" s="1"/>
  <c r="J453" i="7"/>
  <c r="A453" i="7" s="1"/>
  <c r="L452" i="7"/>
  <c r="K452" i="7"/>
  <c r="B452" i="7" s="1"/>
  <c r="J452" i="7"/>
  <c r="A452" i="7" s="1"/>
  <c r="L451" i="7"/>
  <c r="K451" i="7"/>
  <c r="B451" i="7" s="1"/>
  <c r="D451" i="7" s="1"/>
  <c r="J451" i="7"/>
  <c r="A451" i="7" s="1"/>
  <c r="L450" i="7"/>
  <c r="K450" i="7"/>
  <c r="B450" i="7" s="1"/>
  <c r="J450" i="7"/>
  <c r="A450" i="7"/>
  <c r="L449" i="7"/>
  <c r="K449" i="7"/>
  <c r="B449" i="7" s="1"/>
  <c r="J449" i="7"/>
  <c r="A449" i="7" s="1"/>
  <c r="L448" i="7"/>
  <c r="K448" i="7"/>
  <c r="B448" i="7" s="1"/>
  <c r="J448" i="7"/>
  <c r="A448" i="7" s="1"/>
  <c r="L447" i="7"/>
  <c r="K447" i="7"/>
  <c r="B447" i="7" s="1"/>
  <c r="J447" i="7"/>
  <c r="A447" i="7" s="1"/>
  <c r="L446" i="7"/>
  <c r="K446" i="7"/>
  <c r="J446" i="7"/>
  <c r="A446" i="7" s="1"/>
  <c r="B446" i="7"/>
  <c r="L445" i="7"/>
  <c r="K445" i="7"/>
  <c r="J445" i="7"/>
  <c r="B445" i="7"/>
  <c r="A445" i="7"/>
  <c r="L444" i="7"/>
  <c r="K444" i="7"/>
  <c r="B444" i="7" s="1"/>
  <c r="D444" i="7" s="1"/>
  <c r="J444" i="7"/>
  <c r="A444" i="7" s="1"/>
  <c r="L443" i="7"/>
  <c r="K443" i="7"/>
  <c r="J443" i="7"/>
  <c r="A443" i="7" s="1"/>
  <c r="B443" i="7"/>
  <c r="L442" i="7"/>
  <c r="K442" i="7"/>
  <c r="B442" i="7" s="1"/>
  <c r="D442" i="7" s="1"/>
  <c r="J442" i="7"/>
  <c r="A442" i="7" s="1"/>
  <c r="L441" i="7"/>
  <c r="K441" i="7"/>
  <c r="B441" i="7" s="1"/>
  <c r="J441" i="7"/>
  <c r="A441" i="7" s="1"/>
  <c r="L440" i="7"/>
  <c r="K440" i="7"/>
  <c r="B440" i="7" s="1"/>
  <c r="J440" i="7"/>
  <c r="A440" i="7"/>
  <c r="L439" i="7"/>
  <c r="K439" i="7"/>
  <c r="B439" i="7" s="1"/>
  <c r="J439" i="7"/>
  <c r="A439" i="7" s="1"/>
  <c r="L438" i="7"/>
  <c r="K438" i="7"/>
  <c r="B438" i="7" s="1"/>
  <c r="J438" i="7"/>
  <c r="A438" i="7" s="1"/>
  <c r="L437" i="7"/>
  <c r="K437" i="7"/>
  <c r="B437" i="7" s="1"/>
  <c r="J437" i="7"/>
  <c r="A437" i="7" s="1"/>
  <c r="L436" i="7"/>
  <c r="K436" i="7"/>
  <c r="B436" i="7" s="1"/>
  <c r="J436" i="7"/>
  <c r="A436" i="7" s="1"/>
  <c r="L435" i="7"/>
  <c r="K435" i="7"/>
  <c r="J435" i="7"/>
  <c r="B435" i="7"/>
  <c r="A435" i="7"/>
  <c r="L434" i="7"/>
  <c r="K434" i="7"/>
  <c r="B434" i="7" s="1"/>
  <c r="J434" i="7"/>
  <c r="A434" i="7" s="1"/>
  <c r="L433" i="7"/>
  <c r="K433" i="7"/>
  <c r="B433" i="7" s="1"/>
  <c r="J433" i="7"/>
  <c r="A433" i="7" s="1"/>
  <c r="L432" i="7"/>
  <c r="K432" i="7"/>
  <c r="B432" i="7" s="1"/>
  <c r="J432" i="7"/>
  <c r="A432" i="7" s="1"/>
  <c r="L431" i="7"/>
  <c r="K431" i="7"/>
  <c r="B431" i="7" s="1"/>
  <c r="J431" i="7"/>
  <c r="A431" i="7"/>
  <c r="L430" i="7"/>
  <c r="K430" i="7"/>
  <c r="J430" i="7"/>
  <c r="A430" i="7" s="1"/>
  <c r="B430" i="7"/>
  <c r="D430" i="7" s="1"/>
  <c r="L429" i="7"/>
  <c r="K429" i="7"/>
  <c r="B429" i="7" s="1"/>
  <c r="J429" i="7"/>
  <c r="A429" i="7" s="1"/>
  <c r="L428" i="7"/>
  <c r="K428" i="7"/>
  <c r="B428" i="7" s="1"/>
  <c r="D428" i="7" s="1"/>
  <c r="J428" i="7"/>
  <c r="A428" i="7" s="1"/>
  <c r="L427" i="7"/>
  <c r="K427" i="7"/>
  <c r="J427" i="7"/>
  <c r="A427" i="7" s="1"/>
  <c r="B427" i="7"/>
  <c r="L426" i="7"/>
  <c r="K426" i="7"/>
  <c r="B426" i="7" s="1"/>
  <c r="J426" i="7"/>
  <c r="A426" i="7" s="1"/>
  <c r="L425" i="7"/>
  <c r="K425" i="7"/>
  <c r="B425" i="7" s="1"/>
  <c r="D425" i="7" s="1"/>
  <c r="J425" i="7"/>
  <c r="A425" i="7" s="1"/>
  <c r="E425" i="7"/>
  <c r="L424" i="7"/>
  <c r="K424" i="7"/>
  <c r="B424" i="7" s="1"/>
  <c r="J424" i="7"/>
  <c r="A424" i="7"/>
  <c r="L423" i="7"/>
  <c r="K423" i="7"/>
  <c r="B423" i="7" s="1"/>
  <c r="D423" i="7" s="1"/>
  <c r="J423" i="7"/>
  <c r="A423" i="7" s="1"/>
  <c r="L422" i="7"/>
  <c r="K422" i="7"/>
  <c r="J422" i="7"/>
  <c r="A422" i="7" s="1"/>
  <c r="B422" i="7"/>
  <c r="L421" i="7"/>
  <c r="K421" i="7"/>
  <c r="B421" i="7" s="1"/>
  <c r="J421" i="7"/>
  <c r="A421" i="7"/>
  <c r="L420" i="7"/>
  <c r="K420" i="7"/>
  <c r="B420" i="7" s="1"/>
  <c r="J420" i="7"/>
  <c r="A420" i="7" s="1"/>
  <c r="L419" i="7"/>
  <c r="K419" i="7"/>
  <c r="J419" i="7"/>
  <c r="B419" i="7"/>
  <c r="A419" i="7"/>
  <c r="L418" i="7"/>
  <c r="K418" i="7"/>
  <c r="B418" i="7" s="1"/>
  <c r="D418" i="7" s="1"/>
  <c r="J418" i="7"/>
  <c r="A418" i="7" s="1"/>
  <c r="L417" i="7"/>
  <c r="K417" i="7"/>
  <c r="B417" i="7" s="1"/>
  <c r="J417" i="7"/>
  <c r="A417" i="7" s="1"/>
  <c r="L416" i="7"/>
  <c r="K416" i="7"/>
  <c r="B416" i="7" s="1"/>
  <c r="J416" i="7"/>
  <c r="A416" i="7"/>
  <c r="L415" i="7"/>
  <c r="K415" i="7"/>
  <c r="B415" i="7" s="1"/>
  <c r="J415" i="7"/>
  <c r="A415" i="7" s="1"/>
  <c r="L414" i="7"/>
  <c r="K414" i="7"/>
  <c r="B414" i="7" s="1"/>
  <c r="J414" i="7"/>
  <c r="A414" i="7" s="1"/>
  <c r="L413" i="7"/>
  <c r="K413" i="7"/>
  <c r="B413" i="7" s="1"/>
  <c r="D412" i="7" s="1"/>
  <c r="J413" i="7"/>
  <c r="A413" i="7" s="1"/>
  <c r="L412" i="7"/>
  <c r="K412" i="7"/>
  <c r="B412" i="7" s="1"/>
  <c r="J412" i="7"/>
  <c r="A412" i="7" s="1"/>
  <c r="L411" i="7"/>
  <c r="K411" i="7"/>
  <c r="J411" i="7"/>
  <c r="B411" i="7"/>
  <c r="A411" i="7"/>
  <c r="L410" i="7"/>
  <c r="K410" i="7"/>
  <c r="B410" i="7" s="1"/>
  <c r="J410" i="7"/>
  <c r="A410" i="7" s="1"/>
  <c r="L409" i="7"/>
  <c r="K409" i="7"/>
  <c r="B409" i="7" s="1"/>
  <c r="J409" i="7"/>
  <c r="A409" i="7" s="1"/>
  <c r="L408" i="7"/>
  <c r="K408" i="7"/>
  <c r="B408" i="7" s="1"/>
  <c r="J408" i="7"/>
  <c r="A408" i="7" s="1"/>
  <c r="L407" i="7"/>
  <c r="K407" i="7"/>
  <c r="B407" i="7" s="1"/>
  <c r="J407" i="7"/>
  <c r="A407" i="7" s="1"/>
  <c r="L406" i="7"/>
  <c r="K406" i="7"/>
  <c r="J406" i="7"/>
  <c r="A406" i="7" s="1"/>
  <c r="B406" i="7"/>
  <c r="L405" i="7"/>
  <c r="K405" i="7"/>
  <c r="B405" i="7" s="1"/>
  <c r="J405" i="7"/>
  <c r="A405" i="7" s="1"/>
  <c r="L404" i="7"/>
  <c r="K404" i="7"/>
  <c r="B404" i="7" s="1"/>
  <c r="J404" i="7"/>
  <c r="A404" i="7" s="1"/>
  <c r="L403" i="7"/>
  <c r="K403" i="7"/>
  <c r="B403" i="7" s="1"/>
  <c r="J403" i="7"/>
  <c r="A403" i="7" s="1"/>
  <c r="L402" i="7"/>
  <c r="K402" i="7"/>
  <c r="J402" i="7"/>
  <c r="A402" i="7" s="1"/>
  <c r="B402" i="7"/>
  <c r="L401" i="7"/>
  <c r="K401" i="7"/>
  <c r="B401" i="7" s="1"/>
  <c r="J401" i="7"/>
  <c r="A401" i="7" s="1"/>
  <c r="L400" i="7"/>
  <c r="K400" i="7"/>
  <c r="B400" i="7" s="1"/>
  <c r="J400" i="7"/>
  <c r="A400" i="7" s="1"/>
  <c r="L399" i="7"/>
  <c r="K399" i="7"/>
  <c r="B399" i="7" s="1"/>
  <c r="J399" i="7"/>
  <c r="A399" i="7" s="1"/>
  <c r="L398" i="7"/>
  <c r="K398" i="7"/>
  <c r="B398" i="7" s="1"/>
  <c r="J398" i="7"/>
  <c r="A398" i="7" s="1"/>
  <c r="L397" i="7"/>
  <c r="K397" i="7"/>
  <c r="B397" i="7" s="1"/>
  <c r="J397" i="7"/>
  <c r="A397" i="7" s="1"/>
  <c r="L396" i="7"/>
  <c r="K396" i="7"/>
  <c r="B396" i="7" s="1"/>
  <c r="J396" i="7"/>
  <c r="A396" i="7" s="1"/>
  <c r="L395" i="7"/>
  <c r="K395" i="7"/>
  <c r="B395" i="7" s="1"/>
  <c r="J395" i="7"/>
  <c r="A395" i="7"/>
  <c r="L394" i="7"/>
  <c r="K394" i="7"/>
  <c r="J394" i="7"/>
  <c r="A394" i="7" s="1"/>
  <c r="B394" i="7"/>
  <c r="L393" i="7"/>
  <c r="K393" i="7"/>
  <c r="B393" i="7" s="1"/>
  <c r="J393" i="7"/>
  <c r="A393" i="7" s="1"/>
  <c r="L392" i="7"/>
  <c r="K392" i="7"/>
  <c r="B392" i="7" s="1"/>
  <c r="J392" i="7"/>
  <c r="A392" i="7" s="1"/>
  <c r="L391" i="7"/>
  <c r="K391" i="7"/>
  <c r="B391" i="7" s="1"/>
  <c r="J391" i="7"/>
  <c r="A391" i="7"/>
  <c r="L390" i="7"/>
  <c r="K390" i="7"/>
  <c r="J390" i="7"/>
  <c r="A390" i="7" s="1"/>
  <c r="B390" i="7"/>
  <c r="L389" i="7"/>
  <c r="K389" i="7"/>
  <c r="B389" i="7" s="1"/>
  <c r="D389" i="7" s="1"/>
  <c r="J389" i="7"/>
  <c r="A389" i="7" s="1"/>
  <c r="L388" i="7"/>
  <c r="K388" i="7"/>
  <c r="B388" i="7" s="1"/>
  <c r="J388" i="7"/>
  <c r="A388" i="7" s="1"/>
  <c r="L387" i="7"/>
  <c r="K387" i="7"/>
  <c r="B387" i="7" s="1"/>
  <c r="J387" i="7"/>
  <c r="A387" i="7"/>
  <c r="L386" i="7"/>
  <c r="K386" i="7"/>
  <c r="J386" i="7"/>
  <c r="A386" i="7" s="1"/>
  <c r="B386" i="7"/>
  <c r="L385" i="7"/>
  <c r="K385" i="7"/>
  <c r="B385" i="7" s="1"/>
  <c r="J385" i="7"/>
  <c r="A385" i="7" s="1"/>
  <c r="L384" i="7"/>
  <c r="K384" i="7"/>
  <c r="B384" i="7" s="1"/>
  <c r="J384" i="7"/>
  <c r="A384" i="7" s="1"/>
  <c r="L383" i="7"/>
  <c r="K383" i="7"/>
  <c r="B383" i="7" s="1"/>
  <c r="J383" i="7"/>
  <c r="A383" i="7"/>
  <c r="L382" i="7"/>
  <c r="K382" i="7"/>
  <c r="B382" i="7" s="1"/>
  <c r="J382" i="7"/>
  <c r="A382" i="7" s="1"/>
  <c r="L381" i="7"/>
  <c r="K381" i="7"/>
  <c r="J381" i="7"/>
  <c r="B381" i="7"/>
  <c r="A381" i="7"/>
  <c r="L380" i="7"/>
  <c r="K380" i="7"/>
  <c r="B380" i="7" s="1"/>
  <c r="J380" i="7"/>
  <c r="A380" i="7" s="1"/>
  <c r="L379" i="7"/>
  <c r="K379" i="7"/>
  <c r="J379" i="7"/>
  <c r="A379" i="7" s="1"/>
  <c r="B379" i="7"/>
  <c r="L378" i="7"/>
  <c r="K378" i="7"/>
  <c r="B378" i="7" s="1"/>
  <c r="D378" i="7" s="1"/>
  <c r="J378" i="7"/>
  <c r="A378" i="7" s="1"/>
  <c r="L377" i="7"/>
  <c r="K377" i="7"/>
  <c r="B377" i="7" s="1"/>
  <c r="J377" i="7"/>
  <c r="A377" i="7" s="1"/>
  <c r="L376" i="7"/>
  <c r="K376" i="7"/>
  <c r="J376" i="7"/>
  <c r="B376" i="7"/>
  <c r="A376" i="7"/>
  <c r="L375" i="7"/>
  <c r="K375" i="7"/>
  <c r="B375" i="7" s="1"/>
  <c r="J375" i="7"/>
  <c r="A375" i="7" s="1"/>
  <c r="L374" i="7"/>
  <c r="K374" i="7"/>
  <c r="B374" i="7" s="1"/>
  <c r="J374" i="7"/>
  <c r="A374" i="7" s="1"/>
  <c r="L373" i="7"/>
  <c r="K373" i="7"/>
  <c r="B373" i="7" s="1"/>
  <c r="J373" i="7"/>
  <c r="A373" i="7"/>
  <c r="L372" i="7"/>
  <c r="K372" i="7"/>
  <c r="B372" i="7" s="1"/>
  <c r="J372" i="7"/>
  <c r="A372" i="7" s="1"/>
  <c r="L371" i="7"/>
  <c r="K371" i="7"/>
  <c r="J371" i="7"/>
  <c r="B371" i="7"/>
  <c r="A371" i="7"/>
  <c r="L370" i="7"/>
  <c r="K370" i="7"/>
  <c r="B370" i="7" s="1"/>
  <c r="J370" i="7"/>
  <c r="A370" i="7"/>
  <c r="L369" i="7"/>
  <c r="K369" i="7"/>
  <c r="B369" i="7" s="1"/>
  <c r="J369" i="7"/>
  <c r="A369" i="7" s="1"/>
  <c r="L368" i="7"/>
  <c r="K368" i="7"/>
  <c r="J368" i="7"/>
  <c r="B368" i="7"/>
  <c r="A368" i="7"/>
  <c r="L367" i="7"/>
  <c r="K367" i="7"/>
  <c r="B367" i="7" s="1"/>
  <c r="J367" i="7"/>
  <c r="A367" i="7" s="1"/>
  <c r="L366" i="7"/>
  <c r="K366" i="7"/>
  <c r="J366" i="7"/>
  <c r="A366" i="7" s="1"/>
  <c r="B366" i="7"/>
  <c r="L365" i="7"/>
  <c r="K365" i="7"/>
  <c r="J365" i="7"/>
  <c r="B365" i="7"/>
  <c r="A365" i="7"/>
  <c r="L364" i="7"/>
  <c r="K364" i="7"/>
  <c r="B364" i="7" s="1"/>
  <c r="D364" i="7" s="1"/>
  <c r="J364" i="7"/>
  <c r="A364" i="7" s="1"/>
  <c r="L363" i="7"/>
  <c r="K363" i="7"/>
  <c r="J363" i="7"/>
  <c r="A363" i="7" s="1"/>
  <c r="B363" i="7"/>
  <c r="L362" i="7"/>
  <c r="K362" i="7"/>
  <c r="B362" i="7" s="1"/>
  <c r="D361" i="7" s="1"/>
  <c r="J362" i="7"/>
  <c r="A362" i="7" s="1"/>
  <c r="L361" i="7"/>
  <c r="K361" i="7"/>
  <c r="B361" i="7" s="1"/>
  <c r="J361" i="7"/>
  <c r="A361" i="7" s="1"/>
  <c r="L360" i="7"/>
  <c r="K360" i="7"/>
  <c r="J360" i="7"/>
  <c r="B360" i="7"/>
  <c r="A360" i="7"/>
  <c r="L359" i="7"/>
  <c r="K359" i="7"/>
  <c r="B359" i="7" s="1"/>
  <c r="J359" i="7"/>
  <c r="A359" i="7" s="1"/>
  <c r="L358" i="7"/>
  <c r="K358" i="7"/>
  <c r="B358" i="7" s="1"/>
  <c r="J358" i="7"/>
  <c r="A358" i="7" s="1"/>
  <c r="L357" i="7"/>
  <c r="K357" i="7"/>
  <c r="B357" i="7" s="1"/>
  <c r="J357" i="7"/>
  <c r="A357" i="7"/>
  <c r="L356" i="7"/>
  <c r="K356" i="7"/>
  <c r="B356" i="7" s="1"/>
  <c r="J356" i="7"/>
  <c r="A356" i="7" s="1"/>
  <c r="L355" i="7"/>
  <c r="K355" i="7"/>
  <c r="J355" i="7"/>
  <c r="A355" i="7" s="1"/>
  <c r="B355" i="7"/>
  <c r="L354" i="7"/>
  <c r="K354" i="7"/>
  <c r="J354" i="7"/>
  <c r="A354" i="7" s="1"/>
  <c r="B354" i="7"/>
  <c r="D354" i="7" s="1"/>
  <c r="L353" i="7"/>
  <c r="K353" i="7"/>
  <c r="B353" i="7" s="1"/>
  <c r="J353" i="7"/>
  <c r="A353" i="7" s="1"/>
  <c r="L352" i="7"/>
  <c r="K352" i="7"/>
  <c r="B352" i="7" s="1"/>
  <c r="J352" i="7"/>
  <c r="A352" i="7" s="1"/>
  <c r="L351" i="7"/>
  <c r="K351" i="7"/>
  <c r="B351" i="7" s="1"/>
  <c r="J351" i="7"/>
  <c r="A351" i="7"/>
  <c r="L350" i="7"/>
  <c r="K350" i="7"/>
  <c r="B350" i="7" s="1"/>
  <c r="J350" i="7"/>
  <c r="A350" i="7" s="1"/>
  <c r="L349" i="7"/>
  <c r="K349" i="7"/>
  <c r="J349" i="7"/>
  <c r="B349" i="7"/>
  <c r="A349" i="7"/>
  <c r="L348" i="7"/>
  <c r="K348" i="7"/>
  <c r="B348" i="7" s="1"/>
  <c r="J348" i="7"/>
  <c r="A348" i="7" s="1"/>
  <c r="L347" i="7"/>
  <c r="K347" i="7"/>
  <c r="B347" i="7" s="1"/>
  <c r="J347" i="7"/>
  <c r="A347" i="7"/>
  <c r="L346" i="7"/>
  <c r="K346" i="7"/>
  <c r="J346" i="7"/>
  <c r="A346" i="7" s="1"/>
  <c r="B346" i="7"/>
  <c r="L345" i="7"/>
  <c r="K345" i="7"/>
  <c r="B345" i="7" s="1"/>
  <c r="J345" i="7"/>
  <c r="A345" i="7" s="1"/>
  <c r="L344" i="7"/>
  <c r="K344" i="7"/>
  <c r="J344" i="7"/>
  <c r="A344" i="7" s="1"/>
  <c r="B344" i="7"/>
  <c r="L343" i="7"/>
  <c r="K343" i="7"/>
  <c r="B343" i="7" s="1"/>
  <c r="J343" i="7"/>
  <c r="A343" i="7"/>
  <c r="L342" i="7"/>
  <c r="K342" i="7"/>
  <c r="B342" i="7" s="1"/>
  <c r="D342" i="7" s="1"/>
  <c r="J342" i="7"/>
  <c r="A342" i="7" s="1"/>
  <c r="L341" i="7"/>
  <c r="K341" i="7"/>
  <c r="J341" i="7"/>
  <c r="B341" i="7"/>
  <c r="A341" i="7"/>
  <c r="L340" i="7"/>
  <c r="K340" i="7"/>
  <c r="B340" i="7" s="1"/>
  <c r="D340" i="7" s="1"/>
  <c r="J340" i="7"/>
  <c r="A340" i="7"/>
  <c r="L339" i="7"/>
  <c r="K339" i="7"/>
  <c r="J339" i="7"/>
  <c r="A339" i="7" s="1"/>
  <c r="B339" i="7"/>
  <c r="L338" i="7"/>
  <c r="K338" i="7"/>
  <c r="B338" i="7" s="1"/>
  <c r="J338" i="7"/>
  <c r="A338" i="7" s="1"/>
  <c r="L337" i="7"/>
  <c r="K337" i="7"/>
  <c r="J337" i="7"/>
  <c r="A337" i="7" s="1"/>
  <c r="B337" i="7"/>
  <c r="D337" i="7" s="1"/>
  <c r="L336" i="7"/>
  <c r="K336" i="7"/>
  <c r="J336" i="7"/>
  <c r="B336" i="7"/>
  <c r="A336" i="7"/>
  <c r="L335" i="7"/>
  <c r="K335" i="7"/>
  <c r="B335" i="7" s="1"/>
  <c r="J335" i="7"/>
  <c r="A335" i="7" s="1"/>
  <c r="L334" i="7"/>
  <c r="K334" i="7"/>
  <c r="B334" i="7" s="1"/>
  <c r="J334" i="7"/>
  <c r="A334" i="7" s="1"/>
  <c r="L333" i="7"/>
  <c r="K333" i="7"/>
  <c r="B333" i="7" s="1"/>
  <c r="D333" i="7" s="1"/>
  <c r="J333" i="7"/>
  <c r="A333" i="7"/>
  <c r="L332" i="7"/>
  <c r="K332" i="7"/>
  <c r="B332" i="7" s="1"/>
  <c r="J332" i="7"/>
  <c r="A332" i="7" s="1"/>
  <c r="L331" i="7"/>
  <c r="K331" i="7"/>
  <c r="B331" i="7" s="1"/>
  <c r="J331" i="7"/>
  <c r="A331" i="7" s="1"/>
  <c r="L330" i="7"/>
  <c r="K330" i="7"/>
  <c r="J330" i="7"/>
  <c r="A330" i="7" s="1"/>
  <c r="B330" i="7"/>
  <c r="L329" i="7"/>
  <c r="K329" i="7"/>
  <c r="B329" i="7" s="1"/>
  <c r="J329" i="7"/>
  <c r="A329" i="7" s="1"/>
  <c r="L328" i="7"/>
  <c r="K328" i="7"/>
  <c r="J328" i="7"/>
  <c r="B328" i="7"/>
  <c r="A328" i="7"/>
  <c r="L327" i="7"/>
  <c r="K327" i="7"/>
  <c r="B327" i="7" s="1"/>
  <c r="J327" i="7"/>
  <c r="A327" i="7"/>
  <c r="L326" i="7"/>
  <c r="K326" i="7"/>
  <c r="B326" i="7" s="1"/>
  <c r="J326" i="7"/>
  <c r="A326" i="7" s="1"/>
  <c r="L325" i="7"/>
  <c r="K325" i="7"/>
  <c r="B325" i="7" s="1"/>
  <c r="J325" i="7"/>
  <c r="A325" i="7" s="1"/>
  <c r="L324" i="7"/>
  <c r="K324" i="7"/>
  <c r="B324" i="7" s="1"/>
  <c r="D324" i="7" s="1"/>
  <c r="J324" i="7"/>
  <c r="A324" i="7" s="1"/>
  <c r="L323" i="7"/>
  <c r="K323" i="7"/>
  <c r="J323" i="7"/>
  <c r="A323" i="7" s="1"/>
  <c r="B323" i="7"/>
  <c r="L322" i="7"/>
  <c r="K322" i="7"/>
  <c r="J322" i="7"/>
  <c r="A322" i="7" s="1"/>
  <c r="B322" i="7"/>
  <c r="L321" i="7"/>
  <c r="K321" i="7"/>
  <c r="B321" i="7" s="1"/>
  <c r="J321" i="7"/>
  <c r="A321" i="7" s="1"/>
  <c r="L320" i="7"/>
  <c r="K320" i="7"/>
  <c r="J320" i="7"/>
  <c r="B320" i="7"/>
  <c r="A320" i="7"/>
  <c r="L319" i="7"/>
  <c r="K319" i="7"/>
  <c r="B319" i="7" s="1"/>
  <c r="J319" i="7"/>
  <c r="A319" i="7" s="1"/>
  <c r="L318" i="7"/>
  <c r="K318" i="7"/>
  <c r="B318" i="7" s="1"/>
  <c r="J318" i="7"/>
  <c r="A318" i="7" s="1"/>
  <c r="L317" i="7"/>
  <c r="K317" i="7"/>
  <c r="B317" i="7" s="1"/>
  <c r="J317" i="7"/>
  <c r="A317" i="7"/>
  <c r="L316" i="7"/>
  <c r="K316" i="7"/>
  <c r="B316" i="7" s="1"/>
  <c r="J316" i="7"/>
  <c r="A316" i="7" s="1"/>
  <c r="L315" i="7"/>
  <c r="K315" i="7"/>
  <c r="J315" i="7"/>
  <c r="A315" i="7" s="1"/>
  <c r="B315" i="7"/>
  <c r="L314" i="7"/>
  <c r="K314" i="7"/>
  <c r="B314" i="7" s="1"/>
  <c r="D314" i="7" s="1"/>
  <c r="J314" i="7"/>
  <c r="A314" i="7" s="1"/>
  <c r="L313" i="7"/>
  <c r="K313" i="7"/>
  <c r="B313" i="7" s="1"/>
  <c r="J313" i="7"/>
  <c r="A313" i="7" s="1"/>
  <c r="L312" i="7"/>
  <c r="K312" i="7"/>
  <c r="J312" i="7"/>
  <c r="B312" i="7"/>
  <c r="A312" i="7"/>
  <c r="L311" i="7"/>
  <c r="K311" i="7"/>
  <c r="B311" i="7" s="1"/>
  <c r="J311" i="7"/>
  <c r="A311" i="7" s="1"/>
  <c r="L310" i="7"/>
  <c r="K310" i="7"/>
  <c r="J310" i="7"/>
  <c r="A310" i="7" s="1"/>
  <c r="B310" i="7"/>
  <c r="L309" i="7"/>
  <c r="K309" i="7"/>
  <c r="B309" i="7" s="1"/>
  <c r="J309" i="7"/>
  <c r="A309" i="7"/>
  <c r="L308" i="7"/>
  <c r="K308" i="7"/>
  <c r="B308" i="7" s="1"/>
  <c r="J308" i="7"/>
  <c r="A308" i="7" s="1"/>
  <c r="L307" i="7"/>
  <c r="K307" i="7"/>
  <c r="J307" i="7"/>
  <c r="B307" i="7"/>
  <c r="A307" i="7"/>
  <c r="L306" i="7"/>
  <c r="K306" i="7"/>
  <c r="B306" i="7" s="1"/>
  <c r="J306" i="7"/>
  <c r="A306" i="7" s="1"/>
  <c r="L305" i="7"/>
  <c r="K305" i="7"/>
  <c r="B305" i="7" s="1"/>
  <c r="J305" i="7"/>
  <c r="A305" i="7" s="1"/>
  <c r="L304" i="7"/>
  <c r="K304" i="7"/>
  <c r="J304" i="7"/>
  <c r="B304" i="7"/>
  <c r="A304" i="7"/>
  <c r="L303" i="7"/>
  <c r="K303" i="7"/>
  <c r="B303" i="7" s="1"/>
  <c r="J303" i="7"/>
  <c r="A303" i="7"/>
  <c r="L302" i="7"/>
  <c r="K302" i="7"/>
  <c r="B302" i="7" s="1"/>
  <c r="J302" i="7"/>
  <c r="A302" i="7" s="1"/>
  <c r="L301" i="7"/>
  <c r="K301" i="7"/>
  <c r="B301" i="7" s="1"/>
  <c r="J301" i="7"/>
  <c r="A301" i="7" s="1"/>
  <c r="L300" i="7"/>
  <c r="K300" i="7"/>
  <c r="B300" i="7" s="1"/>
  <c r="D300" i="7" s="1"/>
  <c r="J300" i="7"/>
  <c r="A300" i="7" s="1"/>
  <c r="L299" i="7"/>
  <c r="K299" i="7"/>
  <c r="J299" i="7"/>
  <c r="B299" i="7"/>
  <c r="A299" i="7"/>
  <c r="L298" i="7"/>
  <c r="K298" i="7"/>
  <c r="B298" i="7" s="1"/>
  <c r="J298" i="7"/>
  <c r="A298" i="7" s="1"/>
  <c r="L297" i="7"/>
  <c r="K297" i="7"/>
  <c r="B297" i="7" s="1"/>
  <c r="J297" i="7"/>
  <c r="A297" i="7" s="1"/>
  <c r="L296" i="7"/>
  <c r="K296" i="7"/>
  <c r="B296" i="7" s="1"/>
  <c r="J296" i="7"/>
  <c r="A296" i="7" s="1"/>
  <c r="L295" i="7"/>
  <c r="K295" i="7"/>
  <c r="B295" i="7" s="1"/>
  <c r="J295" i="7"/>
  <c r="A295" i="7" s="1"/>
  <c r="L294" i="7"/>
  <c r="K294" i="7"/>
  <c r="J294" i="7"/>
  <c r="A294" i="7" s="1"/>
  <c r="B294" i="7"/>
  <c r="L293" i="7"/>
  <c r="K293" i="7"/>
  <c r="B293" i="7" s="1"/>
  <c r="J293" i="7"/>
  <c r="A293" i="7" s="1"/>
  <c r="L292" i="7"/>
  <c r="K292" i="7"/>
  <c r="B292" i="7" s="1"/>
  <c r="J292" i="7"/>
  <c r="A292" i="7" s="1"/>
  <c r="L291" i="7"/>
  <c r="K291" i="7"/>
  <c r="B291" i="7" s="1"/>
  <c r="J291" i="7"/>
  <c r="A291" i="7" s="1"/>
  <c r="L290" i="7"/>
  <c r="K290" i="7"/>
  <c r="B290" i="7" s="1"/>
  <c r="J290" i="7"/>
  <c r="A290" i="7" s="1"/>
  <c r="L289" i="7"/>
  <c r="K289" i="7"/>
  <c r="B289" i="7" s="1"/>
  <c r="J289" i="7"/>
  <c r="A289" i="7" s="1"/>
  <c r="L288" i="7"/>
  <c r="K288" i="7"/>
  <c r="J288" i="7"/>
  <c r="A288" i="7" s="1"/>
  <c r="B288" i="7"/>
  <c r="L287" i="7"/>
  <c r="K287" i="7"/>
  <c r="B287" i="7" s="1"/>
  <c r="J287" i="7"/>
  <c r="A287" i="7" s="1"/>
  <c r="L286" i="7"/>
  <c r="K286" i="7"/>
  <c r="J286" i="7"/>
  <c r="A286" i="7" s="1"/>
  <c r="B286" i="7"/>
  <c r="L285" i="7"/>
  <c r="K285" i="7"/>
  <c r="B285" i="7" s="1"/>
  <c r="J285" i="7"/>
  <c r="A285" i="7"/>
  <c r="L284" i="7"/>
  <c r="K284" i="7"/>
  <c r="B284" i="7" s="1"/>
  <c r="D284" i="7" s="1"/>
  <c r="J284" i="7"/>
  <c r="A284" i="7" s="1"/>
  <c r="L283" i="7"/>
  <c r="K283" i="7"/>
  <c r="J283" i="7"/>
  <c r="B283" i="7"/>
  <c r="D283" i="7" s="1"/>
  <c r="A283" i="7"/>
  <c r="L282" i="7"/>
  <c r="K282" i="7"/>
  <c r="B282" i="7" s="1"/>
  <c r="J282" i="7"/>
  <c r="A282" i="7" s="1"/>
  <c r="L281" i="7"/>
  <c r="K281" i="7"/>
  <c r="B281" i="7" s="1"/>
  <c r="J281" i="7"/>
  <c r="A281" i="7" s="1"/>
  <c r="D281" i="7"/>
  <c r="L280" i="7"/>
  <c r="K280" i="7"/>
  <c r="B280" i="7" s="1"/>
  <c r="J280" i="7"/>
  <c r="A280" i="7" s="1"/>
  <c r="L279" i="7"/>
  <c r="K279" i="7"/>
  <c r="J279" i="7"/>
  <c r="A279" i="7" s="1"/>
  <c r="B279" i="7"/>
  <c r="L278" i="7"/>
  <c r="K278" i="7"/>
  <c r="B278" i="7" s="1"/>
  <c r="J278" i="7"/>
  <c r="A278" i="7" s="1"/>
  <c r="L277" i="7"/>
  <c r="K277" i="7"/>
  <c r="B277" i="7" s="1"/>
  <c r="J277" i="7"/>
  <c r="A277" i="7"/>
  <c r="L276" i="7"/>
  <c r="K276" i="7"/>
  <c r="B276" i="7" s="1"/>
  <c r="D276" i="7" s="1"/>
  <c r="J276" i="7"/>
  <c r="A276" i="7" s="1"/>
  <c r="L275" i="7"/>
  <c r="K275" i="7"/>
  <c r="B275" i="7" s="1"/>
  <c r="J275" i="7"/>
  <c r="A275" i="7"/>
  <c r="L274" i="7"/>
  <c r="K274" i="7"/>
  <c r="B274" i="7" s="1"/>
  <c r="J274" i="7"/>
  <c r="A274" i="7" s="1"/>
  <c r="L273" i="7"/>
  <c r="K273" i="7"/>
  <c r="J273" i="7"/>
  <c r="A273" i="7" s="1"/>
  <c r="B273" i="7"/>
  <c r="L272" i="7"/>
  <c r="K272" i="7"/>
  <c r="B272" i="7" s="1"/>
  <c r="J272" i="7"/>
  <c r="A272" i="7"/>
  <c r="L271" i="7"/>
  <c r="K271" i="7"/>
  <c r="B271" i="7" s="1"/>
  <c r="J271" i="7"/>
  <c r="A271" i="7" s="1"/>
  <c r="L270" i="7"/>
  <c r="K270" i="7"/>
  <c r="J270" i="7"/>
  <c r="B270" i="7"/>
  <c r="A270" i="7"/>
  <c r="L269" i="7"/>
  <c r="K269" i="7"/>
  <c r="B269" i="7" s="1"/>
  <c r="J269" i="7"/>
  <c r="A269" i="7" s="1"/>
  <c r="L268" i="7"/>
  <c r="K268" i="7"/>
  <c r="B268" i="7" s="1"/>
  <c r="J268" i="7"/>
  <c r="A268" i="7" s="1"/>
  <c r="L267" i="7"/>
  <c r="K267" i="7"/>
  <c r="J267" i="7"/>
  <c r="A267" i="7" s="1"/>
  <c r="B267" i="7"/>
  <c r="L266" i="7"/>
  <c r="K266" i="7"/>
  <c r="B266" i="7" s="1"/>
  <c r="J266" i="7"/>
  <c r="A266" i="7" s="1"/>
  <c r="L265" i="7"/>
  <c r="K265" i="7"/>
  <c r="J265" i="7"/>
  <c r="A265" i="7" s="1"/>
  <c r="B265" i="7"/>
  <c r="L264" i="7"/>
  <c r="K264" i="7"/>
  <c r="B264" i="7" s="1"/>
  <c r="J264" i="7"/>
  <c r="A264" i="7" s="1"/>
  <c r="L263" i="7"/>
  <c r="K263" i="7"/>
  <c r="J263" i="7"/>
  <c r="A263" i="7" s="1"/>
  <c r="B263" i="7"/>
  <c r="L262" i="7"/>
  <c r="K262" i="7"/>
  <c r="J262" i="7"/>
  <c r="A262" i="7" s="1"/>
  <c r="B262" i="7"/>
  <c r="L261" i="7"/>
  <c r="K261" i="7"/>
  <c r="B261" i="7" s="1"/>
  <c r="J261" i="7"/>
  <c r="A261" i="7" s="1"/>
  <c r="L260" i="7"/>
  <c r="K260" i="7"/>
  <c r="B260" i="7" s="1"/>
  <c r="J260" i="7"/>
  <c r="A260" i="7"/>
  <c r="L259" i="7"/>
  <c r="K259" i="7"/>
  <c r="B259" i="7" s="1"/>
  <c r="D259" i="7" s="1"/>
  <c r="J259" i="7"/>
  <c r="A259" i="7" s="1"/>
  <c r="L258" i="7"/>
  <c r="K258" i="7"/>
  <c r="B258" i="7" s="1"/>
  <c r="J258" i="7"/>
  <c r="A258" i="7" s="1"/>
  <c r="L257" i="7"/>
  <c r="K257" i="7"/>
  <c r="B257" i="7" s="1"/>
  <c r="D257" i="7" s="1"/>
  <c r="J257" i="7"/>
  <c r="A257" i="7" s="1"/>
  <c r="L256" i="7"/>
  <c r="K256" i="7"/>
  <c r="J256" i="7"/>
  <c r="A256" i="7" s="1"/>
  <c r="B256" i="7"/>
  <c r="L255" i="7"/>
  <c r="K255" i="7"/>
  <c r="B255" i="7" s="1"/>
  <c r="J255" i="7"/>
  <c r="A255" i="7" s="1"/>
  <c r="L254" i="7"/>
  <c r="K254" i="7"/>
  <c r="B254" i="7" s="1"/>
  <c r="J254" i="7"/>
  <c r="A254" i="7"/>
  <c r="L253" i="7"/>
  <c r="K253" i="7"/>
  <c r="B253" i="7" s="1"/>
  <c r="D253" i="7" s="1"/>
  <c r="J253" i="7"/>
  <c r="A253" i="7" s="1"/>
  <c r="L252" i="7"/>
  <c r="K252" i="7"/>
  <c r="B252" i="7" s="1"/>
  <c r="J252" i="7"/>
  <c r="A252" i="7"/>
  <c r="L251" i="7"/>
  <c r="K251" i="7"/>
  <c r="B251" i="7" s="1"/>
  <c r="D251" i="7" s="1"/>
  <c r="J251" i="7"/>
  <c r="A251" i="7" s="1"/>
  <c r="L250" i="7"/>
  <c r="K250" i="7"/>
  <c r="B250" i="7" s="1"/>
  <c r="J250" i="7"/>
  <c r="A250" i="7" s="1"/>
  <c r="L249" i="7"/>
  <c r="K249" i="7"/>
  <c r="B249" i="7" s="1"/>
  <c r="J249" i="7"/>
  <c r="A249" i="7" s="1"/>
  <c r="L248" i="7"/>
  <c r="K248" i="7"/>
  <c r="B248" i="7" s="1"/>
  <c r="J248" i="7"/>
  <c r="A248" i="7" s="1"/>
  <c r="L247" i="7"/>
  <c r="K247" i="7"/>
  <c r="J247" i="7"/>
  <c r="A247" i="7" s="1"/>
  <c r="B247" i="7"/>
  <c r="L246" i="7"/>
  <c r="K246" i="7"/>
  <c r="B246" i="7" s="1"/>
  <c r="D246" i="7" s="1"/>
  <c r="J246" i="7"/>
  <c r="A246" i="7" s="1"/>
  <c r="L245" i="7"/>
  <c r="K245" i="7"/>
  <c r="B245" i="7" s="1"/>
  <c r="J245" i="7"/>
  <c r="A245" i="7" s="1"/>
  <c r="L244" i="7"/>
  <c r="K244" i="7"/>
  <c r="B244" i="7" s="1"/>
  <c r="J244" i="7"/>
  <c r="A244" i="7"/>
  <c r="L243" i="7"/>
  <c r="K243" i="7"/>
  <c r="B243" i="7" s="1"/>
  <c r="D243" i="7" s="1"/>
  <c r="J243" i="7"/>
  <c r="A243" i="7" s="1"/>
  <c r="L242" i="7"/>
  <c r="K242" i="7"/>
  <c r="B242" i="7" s="1"/>
  <c r="J242" i="7"/>
  <c r="A242" i="7"/>
  <c r="L241" i="7"/>
  <c r="K241" i="7"/>
  <c r="B241" i="7" s="1"/>
  <c r="D241" i="7" s="1"/>
  <c r="J241" i="7"/>
  <c r="A241" i="7" s="1"/>
  <c r="L240" i="7"/>
  <c r="K240" i="7"/>
  <c r="J240" i="7"/>
  <c r="B240" i="7"/>
  <c r="A240" i="7"/>
  <c r="L239" i="7"/>
  <c r="K239" i="7"/>
  <c r="J239" i="7"/>
  <c r="A239" i="7" s="1"/>
  <c r="B239" i="7"/>
  <c r="L238" i="7"/>
  <c r="K238" i="7"/>
  <c r="B238" i="7" s="1"/>
  <c r="J238" i="7"/>
  <c r="A238" i="7" s="1"/>
  <c r="L237" i="7"/>
  <c r="K237" i="7"/>
  <c r="J237" i="7"/>
  <c r="A237" i="7" s="1"/>
  <c r="B237" i="7"/>
  <c r="L236" i="7"/>
  <c r="K236" i="7"/>
  <c r="B236" i="7" s="1"/>
  <c r="J236" i="7"/>
  <c r="A236" i="7" s="1"/>
  <c r="L235" i="7"/>
  <c r="K235" i="7"/>
  <c r="J235" i="7"/>
  <c r="B235" i="7"/>
  <c r="A235" i="7"/>
  <c r="L234" i="7"/>
  <c r="K234" i="7"/>
  <c r="B234" i="7" s="1"/>
  <c r="D234" i="7" s="1"/>
  <c r="J234" i="7"/>
  <c r="A234" i="7" s="1"/>
  <c r="L233" i="7"/>
  <c r="K233" i="7"/>
  <c r="J233" i="7"/>
  <c r="A233" i="7" s="1"/>
  <c r="B233" i="7"/>
  <c r="L232" i="7"/>
  <c r="K232" i="7"/>
  <c r="B232" i="7" s="1"/>
  <c r="J232" i="7"/>
  <c r="A232" i="7"/>
  <c r="L231" i="7"/>
  <c r="K231" i="7"/>
  <c r="B231" i="7" s="1"/>
  <c r="J231" i="7"/>
  <c r="A231" i="7"/>
  <c r="L230" i="7"/>
  <c r="K230" i="7"/>
  <c r="B230" i="7" s="1"/>
  <c r="J230" i="7"/>
  <c r="A230" i="7" s="1"/>
  <c r="L229" i="7"/>
  <c r="K229" i="7"/>
  <c r="B229" i="7" s="1"/>
  <c r="J229" i="7"/>
  <c r="A229" i="7" s="1"/>
  <c r="L228" i="7"/>
  <c r="K228" i="7"/>
  <c r="B228" i="7" s="1"/>
  <c r="J228" i="7"/>
  <c r="A228" i="7"/>
  <c r="L227" i="7"/>
  <c r="K227" i="7"/>
  <c r="J227" i="7"/>
  <c r="A227" i="7" s="1"/>
  <c r="B227" i="7"/>
  <c r="L226" i="7"/>
  <c r="K226" i="7"/>
  <c r="J226" i="7"/>
  <c r="A226" i="7" s="1"/>
  <c r="B226" i="7"/>
  <c r="L225" i="7"/>
  <c r="K225" i="7"/>
  <c r="B225" i="7" s="1"/>
  <c r="D225" i="7" s="1"/>
  <c r="J225" i="7"/>
  <c r="A225" i="7" s="1"/>
  <c r="L224" i="7"/>
  <c r="K224" i="7"/>
  <c r="B224" i="7" s="1"/>
  <c r="J224" i="7"/>
  <c r="A224" i="7" s="1"/>
  <c r="L223" i="7"/>
  <c r="K223" i="7"/>
  <c r="B223" i="7" s="1"/>
  <c r="J223" i="7"/>
  <c r="A223" i="7" s="1"/>
  <c r="L222" i="7"/>
  <c r="K222" i="7"/>
  <c r="B222" i="7" s="1"/>
  <c r="J222" i="7"/>
  <c r="A222" i="7"/>
  <c r="L221" i="7"/>
  <c r="K221" i="7"/>
  <c r="B221" i="7" s="1"/>
  <c r="D221" i="7" s="1"/>
  <c r="J221" i="7"/>
  <c r="A221" i="7" s="1"/>
  <c r="L220" i="7"/>
  <c r="K220" i="7"/>
  <c r="B220" i="7" s="1"/>
  <c r="J220" i="7"/>
  <c r="A220" i="7"/>
  <c r="L219" i="7"/>
  <c r="K219" i="7"/>
  <c r="J219" i="7"/>
  <c r="A219" i="7" s="1"/>
  <c r="B219" i="7"/>
  <c r="L218" i="7"/>
  <c r="K218" i="7"/>
  <c r="B218" i="7" s="1"/>
  <c r="J218" i="7"/>
  <c r="A218" i="7"/>
  <c r="L217" i="7"/>
  <c r="K217" i="7"/>
  <c r="B217" i="7" s="1"/>
  <c r="J217" i="7"/>
  <c r="A217" i="7" s="1"/>
  <c r="L216" i="7"/>
  <c r="K216" i="7"/>
  <c r="B216" i="7" s="1"/>
  <c r="J216" i="7"/>
  <c r="A216" i="7" s="1"/>
  <c r="L215" i="7"/>
  <c r="K215" i="7"/>
  <c r="J215" i="7"/>
  <c r="A215" i="7" s="1"/>
  <c r="B215" i="7"/>
  <c r="L214" i="7"/>
  <c r="K214" i="7"/>
  <c r="B214" i="7" s="1"/>
  <c r="J214" i="7"/>
  <c r="A214" i="7" s="1"/>
  <c r="L213" i="7"/>
  <c r="K213" i="7"/>
  <c r="B213" i="7" s="1"/>
  <c r="J213" i="7"/>
  <c r="A213" i="7" s="1"/>
  <c r="L212" i="7"/>
  <c r="K212" i="7"/>
  <c r="B212" i="7" s="1"/>
  <c r="J212" i="7"/>
  <c r="A212" i="7"/>
  <c r="L211" i="7"/>
  <c r="K211" i="7"/>
  <c r="B211" i="7" s="1"/>
  <c r="J211" i="7"/>
  <c r="A211" i="7" s="1"/>
  <c r="L210" i="7"/>
  <c r="K210" i="7"/>
  <c r="B210" i="7" s="1"/>
  <c r="J210" i="7"/>
  <c r="A210" i="7"/>
  <c r="L209" i="7"/>
  <c r="K209" i="7"/>
  <c r="B209" i="7" s="1"/>
  <c r="J209" i="7"/>
  <c r="A209" i="7" s="1"/>
  <c r="L208" i="7"/>
  <c r="K208" i="7"/>
  <c r="B208" i="7" s="1"/>
  <c r="J208" i="7"/>
  <c r="A208" i="7" s="1"/>
  <c r="L207" i="7"/>
  <c r="K207" i="7"/>
  <c r="J207" i="7"/>
  <c r="B207" i="7"/>
  <c r="A207" i="7"/>
  <c r="L206" i="7"/>
  <c r="K206" i="7"/>
  <c r="B206" i="7" s="1"/>
  <c r="J206" i="7"/>
  <c r="A206" i="7" s="1"/>
  <c r="L205" i="7"/>
  <c r="K205" i="7"/>
  <c r="B205" i="7" s="1"/>
  <c r="J205" i="7"/>
  <c r="A205" i="7" s="1"/>
  <c r="L204" i="7"/>
  <c r="K204" i="7"/>
  <c r="B204" i="7" s="1"/>
  <c r="J204" i="7"/>
  <c r="A204" i="7"/>
  <c r="L203" i="7"/>
  <c r="K203" i="7"/>
  <c r="B203" i="7" s="1"/>
  <c r="D204" i="7" s="1"/>
  <c r="J203" i="7"/>
  <c r="A203" i="7" s="1"/>
  <c r="L202" i="7"/>
  <c r="K202" i="7"/>
  <c r="B202" i="7" s="1"/>
  <c r="J202" i="7"/>
  <c r="A202" i="7"/>
  <c r="L201" i="7"/>
  <c r="K201" i="7"/>
  <c r="B201" i="7" s="1"/>
  <c r="J201" i="7"/>
  <c r="A201" i="7" s="1"/>
  <c r="L200" i="7"/>
  <c r="K200" i="7"/>
  <c r="B200" i="7" s="1"/>
  <c r="J200" i="7"/>
  <c r="A200" i="7"/>
  <c r="L199" i="7"/>
  <c r="K199" i="7"/>
  <c r="B199" i="7" s="1"/>
  <c r="J199" i="7"/>
  <c r="A199" i="7" s="1"/>
  <c r="L198" i="7"/>
  <c r="K198" i="7"/>
  <c r="J198" i="7"/>
  <c r="A198" i="7" s="1"/>
  <c r="B198" i="7"/>
  <c r="L197" i="7"/>
  <c r="K197" i="7"/>
  <c r="B197" i="7" s="1"/>
  <c r="J197" i="7"/>
  <c r="A197" i="7" s="1"/>
  <c r="L196" i="7"/>
  <c r="K196" i="7"/>
  <c r="B196" i="7" s="1"/>
  <c r="J196" i="7"/>
  <c r="A196" i="7"/>
  <c r="L195" i="7"/>
  <c r="K195" i="7"/>
  <c r="J195" i="7"/>
  <c r="B195" i="7"/>
  <c r="A195" i="7"/>
  <c r="L194" i="7"/>
  <c r="K194" i="7"/>
  <c r="B194" i="7" s="1"/>
  <c r="D194" i="7" s="1"/>
  <c r="J194" i="7"/>
  <c r="A194" i="7" s="1"/>
  <c r="L193" i="7"/>
  <c r="K193" i="7"/>
  <c r="B193" i="7" s="1"/>
  <c r="J193" i="7"/>
  <c r="A193" i="7" s="1"/>
  <c r="L192" i="7"/>
  <c r="K192" i="7"/>
  <c r="B192" i="7" s="1"/>
  <c r="J192" i="7"/>
  <c r="A192" i="7"/>
  <c r="L191" i="7"/>
  <c r="K191" i="7"/>
  <c r="B191" i="7" s="1"/>
  <c r="J191" i="7"/>
  <c r="A191" i="7"/>
  <c r="L190" i="7"/>
  <c r="K190" i="7"/>
  <c r="B190" i="7" s="1"/>
  <c r="J190" i="7"/>
  <c r="A190" i="7"/>
  <c r="L189" i="7"/>
  <c r="K189" i="7"/>
  <c r="B189" i="7" s="1"/>
  <c r="J189" i="7"/>
  <c r="A189" i="7" s="1"/>
  <c r="L188" i="7"/>
  <c r="K188" i="7"/>
  <c r="B188" i="7" s="1"/>
  <c r="J188" i="7"/>
  <c r="A188" i="7" s="1"/>
  <c r="L187" i="7"/>
  <c r="K187" i="7"/>
  <c r="B187" i="7" s="1"/>
  <c r="J187" i="7"/>
  <c r="A187" i="7" s="1"/>
  <c r="L186" i="7"/>
  <c r="K186" i="7"/>
  <c r="B186" i="7" s="1"/>
  <c r="J186" i="7"/>
  <c r="A186" i="7"/>
  <c r="L185" i="7"/>
  <c r="K185" i="7"/>
  <c r="J185" i="7"/>
  <c r="A185" i="7" s="1"/>
  <c r="B185" i="7"/>
  <c r="L184" i="7"/>
  <c r="K184" i="7"/>
  <c r="B184" i="7" s="1"/>
  <c r="J184" i="7"/>
  <c r="A184" i="7" s="1"/>
  <c r="L183" i="7"/>
  <c r="K183" i="7"/>
  <c r="J183" i="7"/>
  <c r="A183" i="7" s="1"/>
  <c r="B183" i="7"/>
  <c r="L182" i="7"/>
  <c r="K182" i="7"/>
  <c r="B182" i="7" s="1"/>
  <c r="J182" i="7"/>
  <c r="A182" i="7"/>
  <c r="L181" i="7"/>
  <c r="K181" i="7"/>
  <c r="B181" i="7" s="1"/>
  <c r="J181" i="7"/>
  <c r="A181" i="7" s="1"/>
  <c r="L180" i="7"/>
  <c r="K180" i="7"/>
  <c r="B180" i="7" s="1"/>
  <c r="J180" i="7"/>
  <c r="A180" i="7"/>
  <c r="L179" i="7"/>
  <c r="K179" i="7"/>
  <c r="B179" i="7" s="1"/>
  <c r="D179" i="7" s="1"/>
  <c r="J179" i="7"/>
  <c r="A179" i="7" s="1"/>
  <c r="L178" i="7"/>
  <c r="K178" i="7"/>
  <c r="B178" i="7" s="1"/>
  <c r="J178" i="7"/>
  <c r="A178" i="7" s="1"/>
  <c r="L177" i="7"/>
  <c r="K177" i="7"/>
  <c r="B177" i="7" s="1"/>
  <c r="J177" i="7"/>
  <c r="A177" i="7" s="1"/>
  <c r="L176" i="7"/>
  <c r="K176" i="7"/>
  <c r="J176" i="7"/>
  <c r="A176" i="7" s="1"/>
  <c r="B176" i="7"/>
  <c r="L175" i="7"/>
  <c r="K175" i="7"/>
  <c r="B175" i="7" s="1"/>
  <c r="J175" i="7"/>
  <c r="A175" i="7" s="1"/>
  <c r="L174" i="7"/>
  <c r="K174" i="7"/>
  <c r="B174" i="7" s="1"/>
  <c r="J174" i="7"/>
  <c r="A174" i="7"/>
  <c r="L173" i="7"/>
  <c r="K173" i="7"/>
  <c r="B173" i="7" s="1"/>
  <c r="D174" i="7" s="1"/>
  <c r="J173" i="7"/>
  <c r="A173" i="7" s="1"/>
  <c r="L172" i="7"/>
  <c r="K172" i="7"/>
  <c r="B172" i="7" s="1"/>
  <c r="J172" i="7"/>
  <c r="A172" i="7" s="1"/>
  <c r="L171" i="7"/>
  <c r="K171" i="7"/>
  <c r="J171" i="7"/>
  <c r="A171" i="7" s="1"/>
  <c r="B171" i="7"/>
  <c r="L170" i="7"/>
  <c r="K170" i="7"/>
  <c r="B170" i="7" s="1"/>
  <c r="J170" i="7"/>
  <c r="A170" i="7" s="1"/>
  <c r="L169" i="7"/>
  <c r="K169" i="7"/>
  <c r="J169" i="7"/>
  <c r="A169" i="7" s="1"/>
  <c r="B169" i="7"/>
  <c r="D169" i="7" s="1"/>
  <c r="L168" i="7"/>
  <c r="K168" i="7"/>
  <c r="B168" i="7" s="1"/>
  <c r="J168" i="7"/>
  <c r="A168" i="7" s="1"/>
  <c r="L167" i="7"/>
  <c r="K167" i="7"/>
  <c r="B167" i="7" s="1"/>
  <c r="J167" i="7"/>
  <c r="A167" i="7" s="1"/>
  <c r="L166" i="7"/>
  <c r="K166" i="7"/>
  <c r="B166" i="7" s="1"/>
  <c r="J166" i="7"/>
  <c r="A166" i="7"/>
  <c r="L165" i="7"/>
  <c r="K165" i="7"/>
  <c r="B165" i="7" s="1"/>
  <c r="J165" i="7"/>
  <c r="A165" i="7" s="1"/>
  <c r="L164" i="7"/>
  <c r="K164" i="7"/>
  <c r="B164" i="7" s="1"/>
  <c r="J164" i="7"/>
  <c r="A164" i="7"/>
  <c r="L163" i="7"/>
  <c r="K163" i="7"/>
  <c r="B163" i="7" s="1"/>
  <c r="J163" i="7"/>
  <c r="A163" i="7" s="1"/>
  <c r="L162" i="7"/>
  <c r="K162" i="7"/>
  <c r="B162" i="7" s="1"/>
  <c r="J162" i="7"/>
  <c r="A162" i="7" s="1"/>
  <c r="L161" i="7"/>
  <c r="K161" i="7"/>
  <c r="B161" i="7" s="1"/>
  <c r="J161" i="7"/>
  <c r="A161" i="7" s="1"/>
  <c r="L160" i="7"/>
  <c r="K160" i="7"/>
  <c r="J160" i="7"/>
  <c r="A160" i="7" s="1"/>
  <c r="B160" i="7"/>
  <c r="D160" i="7" s="1"/>
  <c r="L159" i="7"/>
  <c r="K159" i="7"/>
  <c r="B159" i="7" s="1"/>
  <c r="J159" i="7"/>
  <c r="A159" i="7" s="1"/>
  <c r="L158" i="7"/>
  <c r="K158" i="7"/>
  <c r="B158" i="7" s="1"/>
  <c r="J158" i="7"/>
  <c r="A158" i="7" s="1"/>
  <c r="L157" i="7"/>
  <c r="K157" i="7"/>
  <c r="B157" i="7" s="1"/>
  <c r="D157" i="7" s="1"/>
  <c r="J157" i="7"/>
  <c r="A157" i="7" s="1"/>
  <c r="L156" i="7"/>
  <c r="K156" i="7"/>
  <c r="B156" i="7" s="1"/>
  <c r="J156" i="7"/>
  <c r="A156" i="7" s="1"/>
  <c r="L155" i="7"/>
  <c r="K155" i="7"/>
  <c r="J155" i="7"/>
  <c r="A155" i="7" s="1"/>
  <c r="B155" i="7"/>
  <c r="L154" i="7"/>
  <c r="K154" i="7"/>
  <c r="B154" i="7" s="1"/>
  <c r="J154" i="7"/>
  <c r="A154" i="7" s="1"/>
  <c r="L153" i="7"/>
  <c r="K153" i="7"/>
  <c r="J153" i="7"/>
  <c r="A153" i="7" s="1"/>
  <c r="B153" i="7"/>
  <c r="D153" i="7" s="1"/>
  <c r="L152" i="7"/>
  <c r="K152" i="7"/>
  <c r="B152" i="7" s="1"/>
  <c r="J152" i="7"/>
  <c r="A152" i="7" s="1"/>
  <c r="L151" i="7"/>
  <c r="K151" i="7"/>
  <c r="J151" i="7"/>
  <c r="A151" i="7" s="1"/>
  <c r="B151" i="7"/>
  <c r="L150" i="7"/>
  <c r="K150" i="7"/>
  <c r="B150" i="7" s="1"/>
  <c r="J150" i="7"/>
  <c r="A150" i="7" s="1"/>
  <c r="L149" i="7"/>
  <c r="K149" i="7"/>
  <c r="B149" i="7" s="1"/>
  <c r="J149" i="7"/>
  <c r="A149" i="7" s="1"/>
  <c r="L148" i="7"/>
  <c r="K148" i="7"/>
  <c r="B148" i="7" s="1"/>
  <c r="J148" i="7"/>
  <c r="A148" i="7" s="1"/>
  <c r="L147" i="7"/>
  <c r="K147" i="7"/>
  <c r="B147" i="7" s="1"/>
  <c r="D147" i="7" s="1"/>
  <c r="J147" i="7"/>
  <c r="A147" i="7" s="1"/>
  <c r="L146" i="7"/>
  <c r="K146" i="7"/>
  <c r="B146" i="7" s="1"/>
  <c r="J146" i="7"/>
  <c r="A146" i="7" s="1"/>
  <c r="L145" i="7"/>
  <c r="K145" i="7"/>
  <c r="B145" i="7" s="1"/>
  <c r="J145" i="7"/>
  <c r="A145" i="7" s="1"/>
  <c r="L144" i="7"/>
  <c r="K144" i="7"/>
  <c r="B144" i="7" s="1"/>
  <c r="J144" i="7"/>
  <c r="A144" i="7" s="1"/>
  <c r="L143" i="7"/>
  <c r="K143" i="7"/>
  <c r="B143" i="7" s="1"/>
  <c r="J143" i="7"/>
  <c r="A143" i="7" s="1"/>
  <c r="L142" i="7"/>
  <c r="K142" i="7"/>
  <c r="B142" i="7" s="1"/>
  <c r="J142" i="7"/>
  <c r="A142" i="7"/>
  <c r="L141" i="7"/>
  <c r="K141" i="7"/>
  <c r="B141" i="7" s="1"/>
  <c r="J141" i="7"/>
  <c r="A141" i="7" s="1"/>
  <c r="L140" i="7"/>
  <c r="K140" i="7"/>
  <c r="B140" i="7" s="1"/>
  <c r="J140" i="7"/>
  <c r="A140" i="7"/>
  <c r="L139" i="7"/>
  <c r="K139" i="7"/>
  <c r="B139" i="7" s="1"/>
  <c r="D139" i="7" s="1"/>
  <c r="J139" i="7"/>
  <c r="A139" i="7" s="1"/>
  <c r="L138" i="7"/>
  <c r="K138" i="7"/>
  <c r="B138" i="7" s="1"/>
  <c r="J138" i="7"/>
  <c r="A138" i="7" s="1"/>
  <c r="L137" i="7"/>
  <c r="E137" i="7" s="1"/>
  <c r="K137" i="7"/>
  <c r="J137" i="7"/>
  <c r="A137" i="7" s="1"/>
  <c r="B137" i="7"/>
  <c r="D137" i="7" s="1"/>
  <c r="L136" i="7"/>
  <c r="K136" i="7"/>
  <c r="B136" i="7" s="1"/>
  <c r="J136" i="7"/>
  <c r="A136" i="7" s="1"/>
  <c r="L135" i="7"/>
  <c r="K135" i="7"/>
  <c r="J135" i="7"/>
  <c r="A135" i="7" s="1"/>
  <c r="B135" i="7"/>
  <c r="L134" i="7"/>
  <c r="K134" i="7"/>
  <c r="B134" i="7" s="1"/>
  <c r="J134" i="7"/>
  <c r="A134" i="7" s="1"/>
  <c r="L133" i="7"/>
  <c r="K133" i="7"/>
  <c r="B133" i="7" s="1"/>
  <c r="J133" i="7"/>
  <c r="A133" i="7" s="1"/>
  <c r="L132" i="7"/>
  <c r="K132" i="7"/>
  <c r="B132" i="7" s="1"/>
  <c r="J132" i="7"/>
  <c r="A132" i="7"/>
  <c r="L131" i="7"/>
  <c r="K131" i="7"/>
  <c r="B131" i="7" s="1"/>
  <c r="J131" i="7"/>
  <c r="A131" i="7" s="1"/>
  <c r="L130" i="7"/>
  <c r="K130" i="7"/>
  <c r="B130" i="7" s="1"/>
  <c r="J130" i="7"/>
  <c r="A130" i="7" s="1"/>
  <c r="L129" i="7"/>
  <c r="K129" i="7"/>
  <c r="B129" i="7" s="1"/>
  <c r="J129" i="7"/>
  <c r="A129" i="7" s="1"/>
  <c r="L128" i="7"/>
  <c r="K128" i="7"/>
  <c r="J128" i="7"/>
  <c r="A128" i="7" s="1"/>
  <c r="B128" i="7"/>
  <c r="D128" i="7" s="1"/>
  <c r="L127" i="7"/>
  <c r="K127" i="7"/>
  <c r="B127" i="7" s="1"/>
  <c r="J127" i="7"/>
  <c r="A127" i="7" s="1"/>
  <c r="L126" i="7"/>
  <c r="K126" i="7"/>
  <c r="B126" i="7" s="1"/>
  <c r="D126" i="7" s="1"/>
  <c r="J126" i="7"/>
  <c r="A126" i="7" s="1"/>
  <c r="L125" i="7"/>
  <c r="K125" i="7"/>
  <c r="B125" i="7" s="1"/>
  <c r="J125" i="7"/>
  <c r="A125" i="7"/>
  <c r="L124" i="7"/>
  <c r="K124" i="7"/>
  <c r="B124" i="7" s="1"/>
  <c r="J124" i="7"/>
  <c r="A124" i="7" s="1"/>
  <c r="L123" i="7"/>
  <c r="K123" i="7"/>
  <c r="B123" i="7" s="1"/>
  <c r="J123" i="7"/>
  <c r="A123" i="7" s="1"/>
  <c r="L122" i="7"/>
  <c r="K122" i="7"/>
  <c r="B122" i="7" s="1"/>
  <c r="J122" i="7"/>
  <c r="A122" i="7" s="1"/>
  <c r="L121" i="7"/>
  <c r="K121" i="7"/>
  <c r="J121" i="7"/>
  <c r="A121" i="7" s="1"/>
  <c r="E121" i="7"/>
  <c r="B121" i="7"/>
  <c r="L120" i="7"/>
  <c r="K120" i="7"/>
  <c r="J120" i="7"/>
  <c r="B120" i="7"/>
  <c r="D120" i="7" s="1"/>
  <c r="A120" i="7"/>
  <c r="L119" i="7"/>
  <c r="K119" i="7"/>
  <c r="B119" i="7" s="1"/>
  <c r="J119" i="7"/>
  <c r="A119" i="7" s="1"/>
  <c r="L118" i="7"/>
  <c r="K118" i="7"/>
  <c r="B118" i="7" s="1"/>
  <c r="D118" i="7" s="1"/>
  <c r="J118" i="7"/>
  <c r="A118" i="7" s="1"/>
  <c r="L117" i="7"/>
  <c r="K117" i="7"/>
  <c r="B117" i="7" s="1"/>
  <c r="J117" i="7"/>
  <c r="A117" i="7" s="1"/>
  <c r="L116" i="7"/>
  <c r="K116" i="7"/>
  <c r="B116" i="7" s="1"/>
  <c r="J116" i="7"/>
  <c r="A116" i="7" s="1"/>
  <c r="L115" i="7"/>
  <c r="K115" i="7"/>
  <c r="B115" i="7" s="1"/>
  <c r="D115" i="7" s="1"/>
  <c r="J115" i="7"/>
  <c r="A115" i="7" s="1"/>
  <c r="L114" i="7"/>
  <c r="K114" i="7"/>
  <c r="B114" i="7" s="1"/>
  <c r="J114" i="7"/>
  <c r="A114" i="7" s="1"/>
  <c r="L113" i="7"/>
  <c r="K113" i="7"/>
  <c r="J113" i="7"/>
  <c r="A113" i="7" s="1"/>
  <c r="B113" i="7"/>
  <c r="D113" i="7" s="1"/>
  <c r="L112" i="7"/>
  <c r="K112" i="7"/>
  <c r="J112" i="7"/>
  <c r="A112" i="7" s="1"/>
  <c r="B112" i="7"/>
  <c r="L111" i="7"/>
  <c r="K111" i="7"/>
  <c r="B111" i="7" s="1"/>
  <c r="D111" i="7" s="1"/>
  <c r="J111" i="7"/>
  <c r="A111" i="7" s="1"/>
  <c r="L110" i="7"/>
  <c r="K110" i="7"/>
  <c r="B110" i="7" s="1"/>
  <c r="D110" i="7" s="1"/>
  <c r="J110" i="7"/>
  <c r="A110" i="7"/>
  <c r="L109" i="7"/>
  <c r="K109" i="7"/>
  <c r="B109" i="7" s="1"/>
  <c r="J109" i="7"/>
  <c r="A109" i="7"/>
  <c r="L108" i="7"/>
  <c r="K108" i="7"/>
  <c r="B108" i="7" s="1"/>
  <c r="D109" i="7" s="1"/>
  <c r="F110" i="7" s="1"/>
  <c r="J108" i="7"/>
  <c r="A108" i="7" s="1"/>
  <c r="L107" i="7"/>
  <c r="K107" i="7"/>
  <c r="J107" i="7"/>
  <c r="A107" i="7" s="1"/>
  <c r="B107" i="7"/>
  <c r="L106" i="7"/>
  <c r="K106" i="7"/>
  <c r="B106" i="7" s="1"/>
  <c r="J106" i="7"/>
  <c r="A106" i="7" s="1"/>
  <c r="L105" i="7"/>
  <c r="K105" i="7"/>
  <c r="J105" i="7"/>
  <c r="A105" i="7" s="1"/>
  <c r="B105" i="7"/>
  <c r="L104" i="7"/>
  <c r="K104" i="7"/>
  <c r="J104" i="7"/>
  <c r="A104" i="7" s="1"/>
  <c r="B104" i="7"/>
  <c r="L103" i="7"/>
  <c r="K103" i="7"/>
  <c r="B103" i="7" s="1"/>
  <c r="J103" i="7"/>
  <c r="A103" i="7" s="1"/>
  <c r="L102" i="7"/>
  <c r="K102" i="7"/>
  <c r="B102" i="7" s="1"/>
  <c r="J102" i="7"/>
  <c r="A102" i="7"/>
  <c r="L101" i="7"/>
  <c r="K101" i="7"/>
  <c r="B101" i="7" s="1"/>
  <c r="J101" i="7"/>
  <c r="A101" i="7" s="1"/>
  <c r="L100" i="7"/>
  <c r="K100" i="7"/>
  <c r="J100" i="7"/>
  <c r="A100" i="7" s="1"/>
  <c r="B100" i="7"/>
  <c r="L99" i="7"/>
  <c r="K99" i="7"/>
  <c r="B99" i="7" s="1"/>
  <c r="J99" i="7"/>
  <c r="A99" i="7" s="1"/>
  <c r="L98" i="7"/>
  <c r="K98" i="7"/>
  <c r="B98" i="7" s="1"/>
  <c r="J98" i="7"/>
  <c r="A98" i="7" s="1"/>
  <c r="L97" i="7"/>
  <c r="K97" i="7"/>
  <c r="J97" i="7"/>
  <c r="B97" i="7"/>
  <c r="A97" i="7"/>
  <c r="L96" i="7"/>
  <c r="K96" i="7"/>
  <c r="B96" i="7" s="1"/>
  <c r="D96" i="7" s="1"/>
  <c r="J96" i="7"/>
  <c r="A96" i="7" s="1"/>
  <c r="L95" i="7"/>
  <c r="K95" i="7"/>
  <c r="J95" i="7"/>
  <c r="A95" i="7" s="1"/>
  <c r="B95" i="7"/>
  <c r="L94" i="7"/>
  <c r="K94" i="7"/>
  <c r="B94" i="7" s="1"/>
  <c r="J94" i="7"/>
  <c r="A94" i="7"/>
  <c r="L93" i="7"/>
  <c r="K93" i="7"/>
  <c r="B93" i="7" s="1"/>
  <c r="J93" i="7"/>
  <c r="A93" i="7" s="1"/>
  <c r="D93" i="7"/>
  <c r="L92" i="7"/>
  <c r="K92" i="7"/>
  <c r="J92" i="7"/>
  <c r="A92" i="7" s="1"/>
  <c r="B92" i="7"/>
  <c r="L91" i="7"/>
  <c r="K91" i="7"/>
  <c r="J91" i="7"/>
  <c r="A91" i="7" s="1"/>
  <c r="B91" i="7"/>
  <c r="L90" i="7"/>
  <c r="K90" i="7"/>
  <c r="B90" i="7" s="1"/>
  <c r="J90" i="7"/>
  <c r="A90" i="7" s="1"/>
  <c r="L89" i="7"/>
  <c r="K89" i="7"/>
  <c r="J89" i="7"/>
  <c r="A89" i="7" s="1"/>
  <c r="B89" i="7"/>
  <c r="L88" i="7"/>
  <c r="K88" i="7"/>
  <c r="B88" i="7" s="1"/>
  <c r="J88" i="7"/>
  <c r="A88" i="7"/>
  <c r="L87" i="7"/>
  <c r="K87" i="7"/>
  <c r="B87" i="7" s="1"/>
  <c r="D87" i="7" s="1"/>
  <c r="J87" i="7"/>
  <c r="A87" i="7" s="1"/>
  <c r="L86" i="7"/>
  <c r="K86" i="7"/>
  <c r="J86" i="7"/>
  <c r="B86" i="7"/>
  <c r="A86" i="7"/>
  <c r="L85" i="7"/>
  <c r="K85" i="7"/>
  <c r="B85" i="7" s="1"/>
  <c r="J85" i="7"/>
  <c r="A85" i="7" s="1"/>
  <c r="L84" i="7"/>
  <c r="K84" i="7"/>
  <c r="B84" i="7" s="1"/>
  <c r="J84" i="7"/>
  <c r="A84" i="7"/>
  <c r="L83" i="7"/>
  <c r="K83" i="7"/>
  <c r="J83" i="7"/>
  <c r="B83" i="7"/>
  <c r="A83" i="7"/>
  <c r="L82" i="7"/>
  <c r="K82" i="7"/>
  <c r="B82" i="7" s="1"/>
  <c r="J82" i="7"/>
  <c r="A82" i="7" s="1"/>
  <c r="L81" i="7"/>
  <c r="K81" i="7"/>
  <c r="J81" i="7"/>
  <c r="A81" i="7" s="1"/>
  <c r="B81" i="7"/>
  <c r="L80" i="7"/>
  <c r="K80" i="7"/>
  <c r="B80" i="7" s="1"/>
  <c r="J80" i="7"/>
  <c r="A80" i="7"/>
  <c r="L79" i="7"/>
  <c r="K79" i="7"/>
  <c r="B79" i="7" s="1"/>
  <c r="D79" i="7" s="1"/>
  <c r="J79" i="7"/>
  <c r="A79" i="7" s="1"/>
  <c r="L78" i="7"/>
  <c r="K78" i="7"/>
  <c r="J78" i="7"/>
  <c r="B78" i="7"/>
  <c r="A78" i="7"/>
  <c r="L77" i="7"/>
  <c r="K77" i="7"/>
  <c r="B77" i="7" s="1"/>
  <c r="D77" i="7" s="1"/>
  <c r="J77" i="7"/>
  <c r="A77" i="7" s="1"/>
  <c r="L76" i="7"/>
  <c r="K76" i="7"/>
  <c r="B76" i="7" s="1"/>
  <c r="J76" i="7"/>
  <c r="A76" i="7"/>
  <c r="L75" i="7"/>
  <c r="K75" i="7"/>
  <c r="J75" i="7"/>
  <c r="B75" i="7"/>
  <c r="A75" i="7"/>
  <c r="L74" i="7"/>
  <c r="K74" i="7"/>
  <c r="B74" i="7" s="1"/>
  <c r="J74" i="7"/>
  <c r="A74" i="7" s="1"/>
  <c r="L73" i="7"/>
  <c r="K73" i="7"/>
  <c r="J73" i="7"/>
  <c r="A73" i="7" s="1"/>
  <c r="B73" i="7"/>
  <c r="D73" i="7" s="1"/>
  <c r="L72" i="7"/>
  <c r="K72" i="7"/>
  <c r="B72" i="7" s="1"/>
  <c r="J72" i="7"/>
  <c r="A72" i="7"/>
  <c r="L71" i="7"/>
  <c r="K71" i="7"/>
  <c r="B71" i="7" s="1"/>
  <c r="D71" i="7" s="1"/>
  <c r="J71" i="7"/>
  <c r="A71" i="7" s="1"/>
  <c r="L70" i="7"/>
  <c r="K70" i="7"/>
  <c r="J70" i="7"/>
  <c r="B70" i="7"/>
  <c r="A70" i="7"/>
  <c r="L69" i="7"/>
  <c r="K69" i="7"/>
  <c r="J69" i="7"/>
  <c r="A69" i="7" s="1"/>
  <c r="B69" i="7"/>
  <c r="L68" i="7"/>
  <c r="K68" i="7"/>
  <c r="B68" i="7" s="1"/>
  <c r="J68" i="7"/>
  <c r="A68" i="7" s="1"/>
  <c r="L67" i="7"/>
  <c r="K67" i="7"/>
  <c r="J67" i="7"/>
  <c r="B67" i="7"/>
  <c r="A67" i="7"/>
  <c r="L66" i="7"/>
  <c r="K66" i="7"/>
  <c r="B66" i="7" s="1"/>
  <c r="J66" i="7"/>
  <c r="A66" i="7" s="1"/>
  <c r="L65" i="7"/>
  <c r="K65" i="7"/>
  <c r="J65" i="7"/>
  <c r="A65" i="7" s="1"/>
  <c r="B65" i="7"/>
  <c r="L64" i="7"/>
  <c r="K64" i="7"/>
  <c r="B64" i="7" s="1"/>
  <c r="J64" i="7"/>
  <c r="A64" i="7"/>
  <c r="L63" i="7"/>
  <c r="K63" i="7"/>
  <c r="B63" i="7" s="1"/>
  <c r="D63" i="7" s="1"/>
  <c r="J63" i="7"/>
  <c r="A63" i="7" s="1"/>
  <c r="L62" i="7"/>
  <c r="K62" i="7"/>
  <c r="J62" i="7"/>
  <c r="A62" i="7" s="1"/>
  <c r="B62" i="7"/>
  <c r="L61" i="7"/>
  <c r="K61" i="7"/>
  <c r="B61" i="7" s="1"/>
  <c r="J61" i="7"/>
  <c r="A61" i="7" s="1"/>
  <c r="L60" i="7"/>
  <c r="K60" i="7"/>
  <c r="B60" i="7" s="1"/>
  <c r="D60" i="7" s="1"/>
  <c r="J60" i="7"/>
  <c r="A60" i="7" s="1"/>
  <c r="L59" i="7"/>
  <c r="K59" i="7"/>
  <c r="J59" i="7"/>
  <c r="B59" i="7"/>
  <c r="A59" i="7"/>
  <c r="L58" i="7"/>
  <c r="K58" i="7"/>
  <c r="J58" i="7"/>
  <c r="A58" i="7" s="1"/>
  <c r="B58" i="7"/>
  <c r="L57" i="7"/>
  <c r="K57" i="7"/>
  <c r="B57" i="7" s="1"/>
  <c r="D57" i="7" s="1"/>
  <c r="J57" i="7"/>
  <c r="A57" i="7" s="1"/>
  <c r="L56" i="7"/>
  <c r="K56" i="7"/>
  <c r="B56" i="7" s="1"/>
  <c r="J56" i="7"/>
  <c r="A56" i="7" s="1"/>
  <c r="L55" i="7"/>
  <c r="K55" i="7"/>
  <c r="B55" i="7" s="1"/>
  <c r="J55" i="7"/>
  <c r="A55" i="7"/>
  <c r="L54" i="7"/>
  <c r="K54" i="7"/>
  <c r="B54" i="7" s="1"/>
  <c r="J54" i="7"/>
  <c r="A54" i="7" s="1"/>
  <c r="L53" i="7"/>
  <c r="K53" i="7"/>
  <c r="B53" i="7" s="1"/>
  <c r="J53" i="7"/>
  <c r="A53" i="7" s="1"/>
  <c r="L52" i="7"/>
  <c r="K52" i="7"/>
  <c r="B52" i="7" s="1"/>
  <c r="J52" i="7"/>
  <c r="A52" i="7" s="1"/>
  <c r="L51" i="7"/>
  <c r="K51" i="7"/>
  <c r="J51" i="7"/>
  <c r="B51" i="7"/>
  <c r="A51" i="7"/>
  <c r="L50" i="7"/>
  <c r="K50" i="7"/>
  <c r="J50" i="7"/>
  <c r="A50" i="7" s="1"/>
  <c r="B50" i="7"/>
  <c r="L49" i="7"/>
  <c r="K49" i="7"/>
  <c r="B49" i="7" s="1"/>
  <c r="J49" i="7"/>
  <c r="A49" i="7" s="1"/>
  <c r="L48" i="7"/>
  <c r="K48" i="7"/>
  <c r="B48" i="7" s="1"/>
  <c r="J48" i="7"/>
  <c r="A48" i="7"/>
  <c r="L47" i="7"/>
  <c r="K47" i="7"/>
  <c r="B47" i="7" s="1"/>
  <c r="J47" i="7"/>
  <c r="A47" i="7"/>
  <c r="L46" i="7"/>
  <c r="K46" i="7"/>
  <c r="B46" i="7" s="1"/>
  <c r="J46" i="7"/>
  <c r="A46" i="7" s="1"/>
  <c r="L45" i="7"/>
  <c r="K45" i="7"/>
  <c r="B45" i="7" s="1"/>
  <c r="J45" i="7"/>
  <c r="A45" i="7" s="1"/>
  <c r="L44" i="7"/>
  <c r="K44" i="7"/>
  <c r="B44" i="7" s="1"/>
  <c r="D44" i="7" s="1"/>
  <c r="J44" i="7"/>
  <c r="A44" i="7" s="1"/>
  <c r="L43" i="7"/>
  <c r="K43" i="7"/>
  <c r="J43" i="7"/>
  <c r="B43" i="7"/>
  <c r="A43" i="7"/>
  <c r="L42" i="7"/>
  <c r="K42" i="7"/>
  <c r="J42" i="7"/>
  <c r="A42" i="7" s="1"/>
  <c r="B42" i="7"/>
  <c r="L41" i="7"/>
  <c r="K41" i="7"/>
  <c r="B41" i="7" s="1"/>
  <c r="D41" i="7" s="1"/>
  <c r="J41" i="7"/>
  <c r="A41" i="7" s="1"/>
  <c r="L40" i="7"/>
  <c r="K40" i="7"/>
  <c r="B40" i="7" s="1"/>
  <c r="J40" i="7"/>
  <c r="A40" i="7" s="1"/>
  <c r="L39" i="7"/>
  <c r="K39" i="7"/>
  <c r="B39" i="7" s="1"/>
  <c r="J39" i="7"/>
  <c r="A39" i="7"/>
  <c r="L38" i="7"/>
  <c r="K38" i="7"/>
  <c r="B38" i="7" s="1"/>
  <c r="J38" i="7"/>
  <c r="A38" i="7" s="1"/>
  <c r="L37" i="7"/>
  <c r="K37" i="7"/>
  <c r="B37" i="7" s="1"/>
  <c r="J37" i="7"/>
  <c r="A37" i="7" s="1"/>
  <c r="L36" i="7"/>
  <c r="K36" i="7"/>
  <c r="B36" i="7" s="1"/>
  <c r="J36" i="7"/>
  <c r="A36" i="7" s="1"/>
  <c r="L35" i="7"/>
  <c r="K35" i="7"/>
  <c r="J35" i="7"/>
  <c r="B35" i="7"/>
  <c r="A35" i="7"/>
  <c r="L34" i="7"/>
  <c r="K34" i="7"/>
  <c r="J34" i="7"/>
  <c r="A34" i="7" s="1"/>
  <c r="B34" i="7"/>
  <c r="L33" i="7"/>
  <c r="K33" i="7"/>
  <c r="B33" i="7" s="1"/>
  <c r="J33" i="7"/>
  <c r="A33" i="7" s="1"/>
  <c r="L32" i="7"/>
  <c r="K32" i="7"/>
  <c r="B32" i="7" s="1"/>
  <c r="J32" i="7"/>
  <c r="A32" i="7"/>
  <c r="L31" i="7"/>
  <c r="K31" i="7"/>
  <c r="J31" i="7"/>
  <c r="B31" i="7"/>
  <c r="A31" i="7"/>
  <c r="L30" i="7"/>
  <c r="K30" i="7"/>
  <c r="B30" i="7" s="1"/>
  <c r="D30" i="7" s="1"/>
  <c r="J30" i="7"/>
  <c r="A30" i="7" s="1"/>
  <c r="L29" i="7"/>
  <c r="K29" i="7"/>
  <c r="B29" i="7" s="1"/>
  <c r="J29" i="7"/>
  <c r="A29" i="7" s="1"/>
  <c r="L28" i="7"/>
  <c r="K28" i="7"/>
  <c r="B28" i="7" s="1"/>
  <c r="D28" i="7" s="1"/>
  <c r="J28" i="7"/>
  <c r="A28" i="7"/>
  <c r="L27" i="7"/>
  <c r="K27" i="7"/>
  <c r="J27" i="7"/>
  <c r="B27" i="7"/>
  <c r="A27" i="7"/>
  <c r="L26" i="7"/>
  <c r="K26" i="7"/>
  <c r="J26" i="7"/>
  <c r="A26" i="7" s="1"/>
  <c r="B26" i="7"/>
  <c r="L25" i="7"/>
  <c r="K25" i="7"/>
  <c r="B25" i="7" s="1"/>
  <c r="D25" i="7" s="1"/>
  <c r="J25" i="7"/>
  <c r="A25" i="7" s="1"/>
  <c r="L24" i="7"/>
  <c r="K24" i="7"/>
  <c r="B24" i="7" s="1"/>
  <c r="J24" i="7"/>
  <c r="A24" i="7"/>
  <c r="L23" i="7"/>
  <c r="K23" i="7"/>
  <c r="J23" i="7"/>
  <c r="B23" i="7"/>
  <c r="D23" i="7" s="1"/>
  <c r="A23" i="7"/>
  <c r="L22" i="7"/>
  <c r="K22" i="7"/>
  <c r="B22" i="7" s="1"/>
  <c r="J22" i="7"/>
  <c r="A22" i="7" s="1"/>
  <c r="L21" i="7"/>
  <c r="K21" i="7"/>
  <c r="B21" i="7" s="1"/>
  <c r="J21" i="7"/>
  <c r="A21" i="7" s="1"/>
  <c r="L20" i="7"/>
  <c r="K20" i="7"/>
  <c r="B20" i="7" s="1"/>
  <c r="J20" i="7"/>
  <c r="A20" i="7"/>
  <c r="L19" i="7"/>
  <c r="K19" i="7"/>
  <c r="J19" i="7"/>
  <c r="A19" i="7" s="1"/>
  <c r="B19" i="7"/>
  <c r="L18" i="7"/>
  <c r="K18" i="7"/>
  <c r="J18" i="7"/>
  <c r="A18" i="7" s="1"/>
  <c r="B18" i="7"/>
  <c r="L17" i="7"/>
  <c r="K17" i="7"/>
  <c r="J17" i="7"/>
  <c r="A17" i="7" s="1"/>
  <c r="B17" i="7"/>
  <c r="L16" i="7"/>
  <c r="K16" i="7"/>
  <c r="B16" i="7" s="1"/>
  <c r="J16" i="7"/>
  <c r="A16" i="7"/>
  <c r="L15" i="7"/>
  <c r="K15" i="7"/>
  <c r="J15" i="7"/>
  <c r="B15" i="7"/>
  <c r="A15" i="7"/>
  <c r="L14" i="7"/>
  <c r="K14" i="7"/>
  <c r="B14" i="7" s="1"/>
  <c r="J14" i="7"/>
  <c r="A14" i="7" s="1"/>
  <c r="L13" i="7"/>
  <c r="K13" i="7"/>
  <c r="B13" i="7" s="1"/>
  <c r="J13" i="7"/>
  <c r="A13" i="7" s="1"/>
  <c r="L12" i="7"/>
  <c r="K12" i="7"/>
  <c r="B12" i="7" s="1"/>
  <c r="J12" i="7"/>
  <c r="A12" i="7"/>
  <c r="L11" i="7"/>
  <c r="K11" i="7"/>
  <c r="J11" i="7"/>
  <c r="A11" i="7" s="1"/>
  <c r="B11" i="7"/>
  <c r="L10" i="7"/>
  <c r="K10" i="7"/>
  <c r="J10" i="7"/>
  <c r="A10" i="7" s="1"/>
  <c r="B10" i="7"/>
  <c r="L9" i="7"/>
  <c r="K9" i="7"/>
  <c r="B9" i="7" s="1"/>
  <c r="D9" i="7" s="1"/>
  <c r="J9" i="7"/>
  <c r="A9" i="7" s="1"/>
  <c r="L8" i="7"/>
  <c r="K8" i="7"/>
  <c r="B8" i="7" s="1"/>
  <c r="J8" i="7"/>
  <c r="A8" i="7"/>
  <c r="L7" i="7"/>
  <c r="K7" i="7"/>
  <c r="B7" i="7" s="1"/>
  <c r="J7" i="7"/>
  <c r="A7" i="7"/>
  <c r="L6" i="7"/>
  <c r="K6" i="7"/>
  <c r="B6" i="7" s="1"/>
  <c r="J6" i="7"/>
  <c r="A6" i="7" s="1"/>
  <c r="L5" i="7"/>
  <c r="K5" i="7"/>
  <c r="J5" i="7"/>
  <c r="A5" i="7" s="1"/>
  <c r="B5" i="7"/>
  <c r="L4" i="7"/>
  <c r="K4" i="7"/>
  <c r="B4" i="7" s="1"/>
  <c r="J4" i="7"/>
  <c r="A4" i="7" s="1"/>
  <c r="L3" i="7"/>
  <c r="K3" i="7"/>
  <c r="B3" i="7" s="1"/>
  <c r="J3" i="7"/>
  <c r="A3" i="7"/>
  <c r="E336" i="7" l="1"/>
  <c r="E456" i="7"/>
  <c r="E88" i="7"/>
  <c r="E496" i="7"/>
  <c r="E736" i="7"/>
  <c r="E584" i="7"/>
  <c r="E648" i="7"/>
  <c r="E616" i="7"/>
  <c r="E754" i="7"/>
  <c r="E338" i="7"/>
  <c r="E474" i="7"/>
  <c r="E554" i="7"/>
  <c r="E586" i="7"/>
  <c r="E498" i="7"/>
  <c r="E594" i="7"/>
  <c r="E250" i="7"/>
  <c r="E34" i="7"/>
  <c r="E18" i="7"/>
  <c r="E58" i="7"/>
  <c r="E50" i="7"/>
  <c r="E74" i="7"/>
  <c r="E146" i="7"/>
  <c r="E186" i="7"/>
  <c r="E162" i="7"/>
  <c r="E278" i="7"/>
  <c r="E655" i="7"/>
  <c r="E224" i="7"/>
  <c r="E246" i="7"/>
  <c r="E715" i="7"/>
  <c r="E179" i="7"/>
  <c r="E651" i="7"/>
  <c r="E571" i="7"/>
  <c r="E9" i="7"/>
  <c r="E96" i="7"/>
  <c r="E7" i="7"/>
  <c r="E41" i="7"/>
  <c r="E105" i="7"/>
  <c r="E241" i="7"/>
  <c r="E287" i="7"/>
  <c r="E216" i="7"/>
  <c r="E654" i="7"/>
  <c r="E129" i="7"/>
  <c r="E177" i="7"/>
  <c r="E337" i="7"/>
  <c r="E518" i="7"/>
  <c r="E550" i="7"/>
  <c r="E169" i="7"/>
  <c r="E113" i="7"/>
  <c r="E361" i="7"/>
  <c r="E441" i="7"/>
  <c r="E115" i="7"/>
  <c r="E227" i="7"/>
  <c r="E723" i="7"/>
  <c r="E755" i="7"/>
  <c r="E4" i="7"/>
  <c r="E174" i="7"/>
  <c r="R173" i="7"/>
  <c r="E188" i="7"/>
  <c r="R189" i="7"/>
  <c r="E196" i="7"/>
  <c r="R197" i="7"/>
  <c r="E284" i="7"/>
  <c r="R285" i="7"/>
  <c r="E413" i="7"/>
  <c r="R413" i="7"/>
  <c r="E428" i="7"/>
  <c r="R429" i="7"/>
  <c r="E478" i="7"/>
  <c r="R477" i="7"/>
  <c r="E725" i="7"/>
  <c r="R725" i="7"/>
  <c r="E749" i="7"/>
  <c r="R749" i="7"/>
  <c r="E683" i="7"/>
  <c r="E230" i="7"/>
  <c r="R230" i="7"/>
  <c r="E302" i="7"/>
  <c r="R302" i="7"/>
  <c r="E446" i="7"/>
  <c r="R446" i="7"/>
  <c r="E139" i="7"/>
  <c r="E419" i="7"/>
  <c r="E669" i="7"/>
  <c r="E747" i="7"/>
  <c r="R5" i="7"/>
  <c r="R116" i="7"/>
  <c r="E259" i="7"/>
  <c r="E731" i="7"/>
  <c r="E171" i="7"/>
  <c r="E627" i="7"/>
  <c r="E691" i="7"/>
  <c r="E214" i="7"/>
  <c r="E332" i="7"/>
  <c r="E494" i="7"/>
  <c r="E637" i="7"/>
  <c r="E646" i="7"/>
  <c r="E94" i="7"/>
  <c r="E20" i="7"/>
  <c r="E52" i="7"/>
  <c r="E285" i="7"/>
  <c r="E319" i="7"/>
  <c r="E340" i="7"/>
  <c r="E342" i="7"/>
  <c r="E372" i="7"/>
  <c r="E534" i="7"/>
  <c r="E164" i="7"/>
  <c r="E229" i="7"/>
  <c r="E316" i="7"/>
  <c r="E212" i="7"/>
  <c r="E221" i="7"/>
  <c r="E254" i="7"/>
  <c r="E270" i="7"/>
  <c r="E308" i="7"/>
  <c r="E556" i="7"/>
  <c r="E92" i="7"/>
  <c r="E134" i="7"/>
  <c r="E295" i="7"/>
  <c r="E437" i="7"/>
  <c r="E444" i="7"/>
  <c r="E542" i="7"/>
  <c r="E660" i="7"/>
  <c r="E127" i="7"/>
  <c r="E324" i="7"/>
  <c r="E348" i="7"/>
  <c r="E407" i="7"/>
  <c r="E629" i="7"/>
  <c r="E276" i="7"/>
  <c r="E412" i="7"/>
  <c r="E574" i="7"/>
  <c r="E132" i="7"/>
  <c r="E262" i="7"/>
  <c r="E311" i="7"/>
  <c r="E383" i="7"/>
  <c r="E436" i="7"/>
  <c r="E662" i="7"/>
  <c r="E717" i="7"/>
  <c r="D55" i="7"/>
  <c r="E26" i="7"/>
  <c r="D39" i="7"/>
  <c r="E91" i="7"/>
  <c r="E90" i="7"/>
  <c r="E76" i="7"/>
  <c r="D7" i="7"/>
  <c r="D16" i="7"/>
  <c r="D26" i="7"/>
  <c r="E29" i="7"/>
  <c r="E37" i="7"/>
  <c r="D50" i="7"/>
  <c r="F51" i="7" s="1"/>
  <c r="E63" i="7"/>
  <c r="D68" i="7"/>
  <c r="E71" i="7"/>
  <c r="D78" i="7"/>
  <c r="F78" i="7" s="1"/>
  <c r="E81" i="7"/>
  <c r="D86" i="7"/>
  <c r="E89" i="7"/>
  <c r="D94" i="7"/>
  <c r="E155" i="7"/>
  <c r="D186" i="7"/>
  <c r="E310" i="7"/>
  <c r="E360" i="7"/>
  <c r="E395" i="7"/>
  <c r="E396" i="7"/>
  <c r="D400" i="7"/>
  <c r="D401" i="7"/>
  <c r="E6" i="7"/>
  <c r="D107" i="7"/>
  <c r="E65" i="7"/>
  <c r="E110" i="7"/>
  <c r="D487" i="7"/>
  <c r="E573" i="7"/>
  <c r="D21" i="7"/>
  <c r="D32" i="7"/>
  <c r="D48" i="7"/>
  <c r="D58" i="7"/>
  <c r="E61" i="7"/>
  <c r="D76" i="7"/>
  <c r="E79" i="7"/>
  <c r="D84" i="7"/>
  <c r="E87" i="7"/>
  <c r="G88" i="7" s="1"/>
  <c r="E97" i="7"/>
  <c r="D102" i="7"/>
  <c r="D112" i="7"/>
  <c r="F111" i="7" s="1"/>
  <c r="D144" i="7"/>
  <c r="D193" i="7"/>
  <c r="E290" i="7"/>
  <c r="E289" i="7"/>
  <c r="D394" i="7"/>
  <c r="E107" i="7"/>
  <c r="E24" i="7"/>
  <c r="E27" i="7"/>
  <c r="E32" i="7"/>
  <c r="E35" i="7"/>
  <c r="D37" i="7"/>
  <c r="E43" i="7"/>
  <c r="D53" i="7"/>
  <c r="E72" i="7"/>
  <c r="E102" i="7"/>
  <c r="E116" i="7"/>
  <c r="E211" i="7"/>
  <c r="E218" i="7"/>
  <c r="E244" i="7"/>
  <c r="D247" i="7"/>
  <c r="D249" i="7"/>
  <c r="D307" i="7"/>
  <c r="D315" i="7"/>
  <c r="E398" i="7"/>
  <c r="F750" i="7"/>
  <c r="D18" i="7"/>
  <c r="E389" i="7"/>
  <c r="E11" i="7"/>
  <c r="D5" i="7"/>
  <c r="E56" i="7"/>
  <c r="E59" i="7"/>
  <c r="D99" i="7"/>
  <c r="E131" i="7"/>
  <c r="D142" i="7"/>
  <c r="D188" i="7"/>
  <c r="D187" i="7"/>
  <c r="E232" i="7"/>
  <c r="E249" i="7"/>
  <c r="D265" i="7"/>
  <c r="E307" i="7"/>
  <c r="D336" i="7"/>
  <c r="E359" i="7"/>
  <c r="D367" i="7"/>
  <c r="D369" i="7"/>
  <c r="D377" i="7"/>
  <c r="D403" i="7"/>
  <c r="D420" i="7"/>
  <c r="D424" i="7"/>
  <c r="F424" i="7" s="1"/>
  <c r="E47" i="7"/>
  <c r="E207" i="7"/>
  <c r="E206" i="7"/>
  <c r="D70" i="7"/>
  <c r="D64" i="7"/>
  <c r="E67" i="7"/>
  <c r="D121" i="7"/>
  <c r="E123" i="7"/>
  <c r="D136" i="7"/>
  <c r="D152" i="7"/>
  <c r="E163" i="7"/>
  <c r="D168" i="7"/>
  <c r="E192" i="7"/>
  <c r="D199" i="7"/>
  <c r="D305" i="7"/>
  <c r="F305" i="7" s="1"/>
  <c r="E325" i="7"/>
  <c r="E341" i="7"/>
  <c r="E349" i="7"/>
  <c r="E377" i="7"/>
  <c r="D393" i="7"/>
  <c r="E418" i="7"/>
  <c r="E424" i="7"/>
  <c r="E423" i="7"/>
  <c r="D62" i="7"/>
  <c r="F63" i="7" s="1"/>
  <c r="E39" i="7"/>
  <c r="E73" i="7"/>
  <c r="E473" i="7"/>
  <c r="E5" i="7"/>
  <c r="D12" i="7"/>
  <c r="E15" i="7"/>
  <c r="D80" i="7"/>
  <c r="E83" i="7"/>
  <c r="D88" i="7"/>
  <c r="D101" i="7"/>
  <c r="E130" i="7"/>
  <c r="E191" i="7"/>
  <c r="D215" i="7"/>
  <c r="D216" i="7"/>
  <c r="D229" i="7"/>
  <c r="E267" i="7"/>
  <c r="D280" i="7"/>
  <c r="D297" i="7"/>
  <c r="D313" i="7"/>
  <c r="F314" i="7" s="1"/>
  <c r="D347" i="7"/>
  <c r="D348" i="7"/>
  <c r="E373" i="7"/>
  <c r="D388" i="7"/>
  <c r="E118" i="7"/>
  <c r="D123" i="7"/>
  <c r="E142" i="7"/>
  <c r="E145" i="7"/>
  <c r="D155" i="7"/>
  <c r="D162" i="7"/>
  <c r="F163" i="7" s="1"/>
  <c r="D171" i="7"/>
  <c r="D176" i="7"/>
  <c r="E178" i="7"/>
  <c r="E181" i="7"/>
  <c r="E203" i="7"/>
  <c r="D205" i="7"/>
  <c r="E213" i="7"/>
  <c r="E238" i="7"/>
  <c r="D245" i="7"/>
  <c r="F246" i="7" s="1"/>
  <c r="E286" i="7"/>
  <c r="E292" i="7"/>
  <c r="E299" i="7"/>
  <c r="E300" i="7"/>
  <c r="D304" i="7"/>
  <c r="D312" i="7"/>
  <c r="D356" i="7"/>
  <c r="E358" i="7"/>
  <c r="E364" i="7"/>
  <c r="E366" i="7"/>
  <c r="E369" i="7"/>
  <c r="D374" i="7"/>
  <c r="E401" i="7"/>
  <c r="D404" i="7"/>
  <c r="D406" i="7"/>
  <c r="E415" i="7"/>
  <c r="E420" i="7"/>
  <c r="E422" i="7"/>
  <c r="E505" i="7"/>
  <c r="D531" i="7"/>
  <c r="D583" i="7"/>
  <c r="D585" i="7"/>
  <c r="E603" i="7"/>
  <c r="E658" i="7"/>
  <c r="E696" i="7"/>
  <c r="E719" i="7"/>
  <c r="E746" i="7"/>
  <c r="D130" i="7"/>
  <c r="E149" i="7"/>
  <c r="E158" i="7"/>
  <c r="E160" i="7"/>
  <c r="D195" i="7"/>
  <c r="F195" i="7" s="1"/>
  <c r="D200" i="7"/>
  <c r="D210" i="7"/>
  <c r="E260" i="7"/>
  <c r="D263" i="7"/>
  <c r="E263" i="7"/>
  <c r="E353" i="7"/>
  <c r="E356" i="7"/>
  <c r="D363" i="7"/>
  <c r="F364" i="7" s="1"/>
  <c r="D391" i="7"/>
  <c r="E404" i="7"/>
  <c r="E406" i="7"/>
  <c r="D409" i="7"/>
  <c r="D411" i="7"/>
  <c r="D417" i="7"/>
  <c r="D427" i="7"/>
  <c r="F428" i="7" s="1"/>
  <c r="D459" i="7"/>
  <c r="E521" i="7"/>
  <c r="D615" i="7"/>
  <c r="D631" i="7"/>
  <c r="D645" i="7"/>
  <c r="D682" i="7"/>
  <c r="D713" i="7"/>
  <c r="D718" i="7"/>
  <c r="D717" i="7"/>
  <c r="F718" i="7" s="1"/>
  <c r="E120" i="7"/>
  <c r="E151" i="7"/>
  <c r="E226" i="7"/>
  <c r="D262" i="7"/>
  <c r="D339" i="7"/>
  <c r="E351" i="7"/>
  <c r="D358" i="7"/>
  <c r="D360" i="7"/>
  <c r="E363" i="7"/>
  <c r="D365" i="7"/>
  <c r="E391" i="7"/>
  <c r="D396" i="7"/>
  <c r="E409" i="7"/>
  <c r="D547" i="7"/>
  <c r="F547" i="7" s="1"/>
  <c r="D551" i="7"/>
  <c r="E561" i="7"/>
  <c r="E562" i="7"/>
  <c r="D587" i="7"/>
  <c r="D599" i="7"/>
  <c r="E602" i="7"/>
  <c r="E645" i="7"/>
  <c r="E711" i="7"/>
  <c r="E712" i="7"/>
  <c r="E745" i="7"/>
  <c r="E744" i="7"/>
  <c r="D753" i="7"/>
  <c r="D752" i="7"/>
  <c r="E125" i="7"/>
  <c r="E153" i="7"/>
  <c r="D164" i="7"/>
  <c r="D166" i="7"/>
  <c r="E176" i="7"/>
  <c r="D192" i="7"/>
  <c r="F193" i="7" s="1"/>
  <c r="D224" i="7"/>
  <c r="D232" i="7"/>
  <c r="E235" i="7"/>
  <c r="D260" i="7"/>
  <c r="D288" i="7"/>
  <c r="D345" i="7"/>
  <c r="D353" i="7"/>
  <c r="D380" i="7"/>
  <c r="D385" i="7"/>
  <c r="E388" i="7"/>
  <c r="D414" i="7"/>
  <c r="E480" i="7"/>
  <c r="D512" i="7"/>
  <c r="E545" i="7"/>
  <c r="E553" i="7"/>
  <c r="E610" i="7"/>
  <c r="D624" i="7"/>
  <c r="E630" i="7"/>
  <c r="D132" i="7"/>
  <c r="D134" i="7"/>
  <c r="E144" i="7"/>
  <c r="E166" i="7"/>
  <c r="D173" i="7"/>
  <c r="D182" i="7"/>
  <c r="D184" i="7"/>
  <c r="E187" i="7"/>
  <c r="E195" i="7"/>
  <c r="D244" i="7"/>
  <c r="E272" i="7"/>
  <c r="D293" i="7"/>
  <c r="E345" i="7"/>
  <c r="E380" i="7"/>
  <c r="E385" i="7"/>
  <c r="E393" i="7"/>
  <c r="D398" i="7"/>
  <c r="E427" i="7"/>
  <c r="E459" i="7"/>
  <c r="D476" i="7"/>
  <c r="F477" i="7" s="1"/>
  <c r="E489" i="7"/>
  <c r="E491" i="7"/>
  <c r="E517" i="7"/>
  <c r="D566" i="7"/>
  <c r="D567" i="7"/>
  <c r="D618" i="7"/>
  <c r="D653" i="7"/>
  <c r="E659" i="7"/>
  <c r="E664" i="7"/>
  <c r="D693" i="7"/>
  <c r="E716" i="7"/>
  <c r="D751" i="7"/>
  <c r="E147" i="7"/>
  <c r="D150" i="7"/>
  <c r="E161" i="7"/>
  <c r="E184" i="7"/>
  <c r="E197" i="7"/>
  <c r="D273" i="7"/>
  <c r="E318" i="7"/>
  <c r="D321" i="7"/>
  <c r="D323" i="7"/>
  <c r="E327" i="7"/>
  <c r="D329" i="7"/>
  <c r="E331" i="7"/>
  <c r="D350" i="7"/>
  <c r="E375" i="7"/>
  <c r="D382" i="7"/>
  <c r="E476" i="7"/>
  <c r="E506" i="7"/>
  <c r="E508" i="7"/>
  <c r="D576" i="7"/>
  <c r="E592" i="7"/>
  <c r="D600" i="7"/>
  <c r="E608" i="7"/>
  <c r="G609" i="7" s="1"/>
  <c r="D632" i="7"/>
  <c r="E672" i="7"/>
  <c r="D708" i="7"/>
  <c r="E714" i="7"/>
  <c r="E722" i="7"/>
  <c r="E439" i="7"/>
  <c r="E462" i="7"/>
  <c r="E490" i="7"/>
  <c r="D493" i="7"/>
  <c r="E510" i="7"/>
  <c r="E512" i="7"/>
  <c r="E538" i="7"/>
  <c r="E587" i="7"/>
  <c r="D591" i="7"/>
  <c r="E600" i="7"/>
  <c r="D633" i="7"/>
  <c r="D654" i="7"/>
  <c r="D669" i="7"/>
  <c r="D677" i="7"/>
  <c r="E680" i="7"/>
  <c r="E692" i="7"/>
  <c r="E709" i="7"/>
  <c r="E730" i="7"/>
  <c r="D750" i="7"/>
  <c r="F751" i="7" s="1"/>
  <c r="E752" i="7"/>
  <c r="D441" i="7"/>
  <c r="E448" i="7"/>
  <c r="D470" i="7"/>
  <c r="E472" i="7"/>
  <c r="D475" i="7"/>
  <c r="E485" i="7"/>
  <c r="D504" i="7"/>
  <c r="D506" i="7"/>
  <c r="F507" i="7" s="1"/>
  <c r="D508" i="7"/>
  <c r="E515" i="7"/>
  <c r="D519" i="7"/>
  <c r="D543" i="7"/>
  <c r="D545" i="7"/>
  <c r="F546" i="7" s="1"/>
  <c r="E551" i="7"/>
  <c r="E565" i="7"/>
  <c r="D570" i="7"/>
  <c r="D627" i="7"/>
  <c r="D640" i="7"/>
  <c r="E643" i="7"/>
  <c r="E667" i="7"/>
  <c r="D686" i="7"/>
  <c r="F686" i="7" s="1"/>
  <c r="D726" i="7"/>
  <c r="F726" i="7" s="1"/>
  <c r="D727" i="7"/>
  <c r="D735" i="7"/>
  <c r="E741" i="7"/>
  <c r="D433" i="7"/>
  <c r="D454" i="7"/>
  <c r="E470" i="7"/>
  <c r="E519" i="7"/>
  <c r="D537" i="7"/>
  <c r="E578" i="7"/>
  <c r="D580" i="7"/>
  <c r="E583" i="7"/>
  <c r="E626" i="7"/>
  <c r="D647" i="7"/>
  <c r="E652" i="7"/>
  <c r="D675" i="7"/>
  <c r="D706" i="7"/>
  <c r="D738" i="7"/>
  <c r="E433" i="7"/>
  <c r="D438" i="7"/>
  <c r="E454" i="7"/>
  <c r="D463" i="7"/>
  <c r="D482" i="7"/>
  <c r="E527" i="7"/>
  <c r="E529" i="7"/>
  <c r="D539" i="7"/>
  <c r="E557" i="7"/>
  <c r="D559" i="7"/>
  <c r="D623" i="7"/>
  <c r="E635" i="7"/>
  <c r="D646" i="7"/>
  <c r="F647" i="7" s="1"/>
  <c r="D656" i="7"/>
  <c r="F657" i="7" s="1"/>
  <c r="D661" i="7"/>
  <c r="E675" i="7"/>
  <c r="E684" i="7"/>
  <c r="D702" i="7"/>
  <c r="E713" i="7"/>
  <c r="E733" i="7"/>
  <c r="D745" i="7"/>
  <c r="F746" i="7" s="1"/>
  <c r="E523" i="7"/>
  <c r="E531" i="7"/>
  <c r="E619" i="7"/>
  <c r="E621" i="7"/>
  <c r="E642" i="7"/>
  <c r="E656" i="7"/>
  <c r="E666" i="7"/>
  <c r="D679" i="7"/>
  <c r="E701" i="7"/>
  <c r="E447" i="7"/>
  <c r="E465" i="7"/>
  <c r="D486" i="7"/>
  <c r="E597" i="7"/>
  <c r="D605" i="7"/>
  <c r="D610" i="7"/>
  <c r="E618" i="7"/>
  <c r="E644" i="7"/>
  <c r="E707" i="7"/>
  <c r="D716" i="7"/>
  <c r="D722" i="7"/>
  <c r="D82" i="7"/>
  <c r="D83" i="7"/>
  <c r="F77" i="7"/>
  <c r="E31" i="7"/>
  <c r="D4" i="7"/>
  <c r="E8" i="7"/>
  <c r="E10" i="7"/>
  <c r="E13" i="7"/>
  <c r="E17" i="7"/>
  <c r="E19" i="7"/>
  <c r="E28" i="7"/>
  <c r="D34" i="7"/>
  <c r="D36" i="7"/>
  <c r="D38" i="7"/>
  <c r="E40" i="7"/>
  <c r="E42" i="7"/>
  <c r="E45" i="7"/>
  <c r="E49" i="7"/>
  <c r="E51" i="7"/>
  <c r="E60" i="7"/>
  <c r="D72" i="7"/>
  <c r="D81" i="7"/>
  <c r="D197" i="7"/>
  <c r="D196" i="7"/>
  <c r="D209" i="7"/>
  <c r="F210" i="7" s="1"/>
  <c r="D31" i="7"/>
  <c r="D13" i="7"/>
  <c r="D24" i="7"/>
  <c r="F25" i="7" s="1"/>
  <c r="D33" i="7"/>
  <c r="F33" i="7" s="1"/>
  <c r="D45" i="7"/>
  <c r="D56" i="7"/>
  <c r="F57" i="7" s="1"/>
  <c r="E66" i="7"/>
  <c r="D69" i="7"/>
  <c r="F70" i="7" s="1"/>
  <c r="D74" i="7"/>
  <c r="F75" i="7" s="1"/>
  <c r="D75" i="7"/>
  <c r="F76" i="7" s="1"/>
  <c r="E75" i="7"/>
  <c r="E80" i="7"/>
  <c r="E84" i="7"/>
  <c r="E85" i="7"/>
  <c r="E86" i="7"/>
  <c r="D213" i="7"/>
  <c r="D212" i="7"/>
  <c r="D6" i="7"/>
  <c r="E12" i="7"/>
  <c r="D20" i="7"/>
  <c r="D22" i="7"/>
  <c r="F24" i="7"/>
  <c r="E33" i="7"/>
  <c r="E44" i="7"/>
  <c r="D52" i="7"/>
  <c r="F53" i="7" s="1"/>
  <c r="D54" i="7"/>
  <c r="D65" i="7"/>
  <c r="E77" i="7"/>
  <c r="E78" i="7"/>
  <c r="F74" i="7"/>
  <c r="F38" i="7"/>
  <c r="F49" i="7"/>
  <c r="D66" i="7"/>
  <c r="D67" i="7"/>
  <c r="F68" i="7" s="1"/>
  <c r="D15" i="7"/>
  <c r="E16" i="7"/>
  <c r="E21" i="7"/>
  <c r="E36" i="7"/>
  <c r="D42" i="7"/>
  <c r="D46" i="7"/>
  <c r="F47" i="7" s="1"/>
  <c r="D47" i="7"/>
  <c r="E48" i="7"/>
  <c r="E53" i="7"/>
  <c r="E57" i="7"/>
  <c r="F81" i="7"/>
  <c r="D89" i="7"/>
  <c r="F88" i="7" s="1"/>
  <c r="E200" i="7"/>
  <c r="E199" i="7"/>
  <c r="C1" i="7"/>
  <c r="D10" i="7"/>
  <c r="D14" i="7"/>
  <c r="F15" i="7" s="1"/>
  <c r="E25" i="7"/>
  <c r="D8" i="7"/>
  <c r="F9" i="7" s="1"/>
  <c r="D17" i="7"/>
  <c r="E23" i="7"/>
  <c r="D29" i="7"/>
  <c r="D40" i="7"/>
  <c r="F40" i="7" s="1"/>
  <c r="D49" i="7"/>
  <c r="E55" i="7"/>
  <c r="D61" i="7"/>
  <c r="F62" i="7" s="1"/>
  <c r="E64" i="7"/>
  <c r="E68" i="7"/>
  <c r="E69" i="7"/>
  <c r="E70" i="7"/>
  <c r="F79" i="7"/>
  <c r="E82" i="7"/>
  <c r="D85" i="7"/>
  <c r="F86" i="7" s="1"/>
  <c r="D90" i="7"/>
  <c r="D91" i="7"/>
  <c r="F108" i="7"/>
  <c r="F196" i="7"/>
  <c r="D203" i="7"/>
  <c r="F204" i="7" s="1"/>
  <c r="D211" i="7"/>
  <c r="F212" i="7" s="1"/>
  <c r="D98" i="7"/>
  <c r="E101" i="7"/>
  <c r="D103" i="7"/>
  <c r="D104" i="7"/>
  <c r="F105" i="7" s="1"/>
  <c r="E106" i="7"/>
  <c r="E114" i="7"/>
  <c r="D117" i="7"/>
  <c r="F118" i="7" s="1"/>
  <c r="D119" i="7"/>
  <c r="E126" i="7"/>
  <c r="D131" i="7"/>
  <c r="D138" i="7"/>
  <c r="F138" i="7" s="1"/>
  <c r="E143" i="7"/>
  <c r="D145" i="7"/>
  <c r="E150" i="7"/>
  <c r="E152" i="7"/>
  <c r="E154" i="7"/>
  <c r="D156" i="7"/>
  <c r="E157" i="7"/>
  <c r="D163" i="7"/>
  <c r="D170" i="7"/>
  <c r="E175" i="7"/>
  <c r="D177" i="7"/>
  <c r="E182" i="7"/>
  <c r="D185" i="7"/>
  <c r="F186" i="7" s="1"/>
  <c r="E202" i="7"/>
  <c r="E112" i="7"/>
  <c r="E266" i="7"/>
  <c r="E265" i="7"/>
  <c r="D100" i="7"/>
  <c r="F101" i="7" s="1"/>
  <c r="E103" i="7"/>
  <c r="E104" i="7"/>
  <c r="D105" i="7"/>
  <c r="E117" i="7"/>
  <c r="E119" i="7"/>
  <c r="D122" i="7"/>
  <c r="D124" i="7"/>
  <c r="E128" i="7"/>
  <c r="D133" i="7"/>
  <c r="F134" i="7" s="1"/>
  <c r="D135" i="7"/>
  <c r="F136" i="7" s="1"/>
  <c r="E140" i="7"/>
  <c r="D165" i="7"/>
  <c r="D167" i="7"/>
  <c r="F168" i="7" s="1"/>
  <c r="E172" i="7"/>
  <c r="E190" i="7"/>
  <c r="E198" i="7"/>
  <c r="D201" i="7"/>
  <c r="D208" i="7"/>
  <c r="E135" i="7"/>
  <c r="D148" i="7"/>
  <c r="E108" i="7"/>
  <c r="D159" i="7"/>
  <c r="D218" i="7"/>
  <c r="D219" i="7"/>
  <c r="F220" i="7" s="1"/>
  <c r="D11" i="7"/>
  <c r="E14" i="7"/>
  <c r="D19" i="7"/>
  <c r="F19" i="7" s="1"/>
  <c r="E22" i="7"/>
  <c r="D27" i="7"/>
  <c r="F27" i="7" s="1"/>
  <c r="E30" i="7"/>
  <c r="D35" i="7"/>
  <c r="F36" i="7" s="1"/>
  <c r="E38" i="7"/>
  <c r="D43" i="7"/>
  <c r="E46" i="7"/>
  <c r="D51" i="7"/>
  <c r="E54" i="7"/>
  <c r="D59" i="7"/>
  <c r="F60" i="7" s="1"/>
  <c r="E62" i="7"/>
  <c r="E95" i="7"/>
  <c r="E133" i="7"/>
  <c r="F145" i="7"/>
  <c r="D146" i="7"/>
  <c r="E165" i="7"/>
  <c r="F177" i="7"/>
  <c r="D178" i="7"/>
  <c r="E183" i="7"/>
  <c r="E193" i="7"/>
  <c r="E194" i="7"/>
  <c r="D226" i="7"/>
  <c r="F225" i="7" s="1"/>
  <c r="D227" i="7"/>
  <c r="F294" i="7"/>
  <c r="E99" i="7"/>
  <c r="E100" i="7"/>
  <c r="F112" i="7"/>
  <c r="E124" i="7"/>
  <c r="D141" i="7"/>
  <c r="D143" i="7"/>
  <c r="F144" i="7" s="1"/>
  <c r="E148" i="7"/>
  <c r="D158" i="7"/>
  <c r="F174" i="7"/>
  <c r="D175" i="7"/>
  <c r="F176" i="7" s="1"/>
  <c r="E180" i="7"/>
  <c r="F187" i="7"/>
  <c r="D190" i="7"/>
  <c r="D191" i="7"/>
  <c r="F192" i="7" s="1"/>
  <c r="F194" i="7"/>
  <c r="E209" i="7"/>
  <c r="E208" i="7"/>
  <c r="E210" i="7"/>
  <c r="D270" i="7"/>
  <c r="D271" i="7"/>
  <c r="F322" i="7"/>
  <c r="D92" i="7"/>
  <c r="F93" i="7" s="1"/>
  <c r="E98" i="7"/>
  <c r="D106" i="7"/>
  <c r="F107" i="7" s="1"/>
  <c r="E109" i="7"/>
  <c r="E111" i="7"/>
  <c r="D114" i="7"/>
  <c r="F115" i="7" s="1"/>
  <c r="D116" i="7"/>
  <c r="F117" i="7" s="1"/>
  <c r="D129" i="7"/>
  <c r="E136" i="7"/>
  <c r="E138" i="7"/>
  <c r="D140" i="7"/>
  <c r="F141" i="7" s="1"/>
  <c r="E141" i="7"/>
  <c r="D154" i="7"/>
  <c r="F154" i="7" s="1"/>
  <c r="E159" i="7"/>
  <c r="D161" i="7"/>
  <c r="E168" i="7"/>
  <c r="E170" i="7"/>
  <c r="D172" i="7"/>
  <c r="E173" i="7"/>
  <c r="G174" i="7" s="1"/>
  <c r="D202" i="7"/>
  <c r="F201" i="7" s="1"/>
  <c r="D206" i="7"/>
  <c r="F206" i="7" s="1"/>
  <c r="D207" i="7"/>
  <c r="D222" i="7"/>
  <c r="F261" i="7"/>
  <c r="D267" i="7"/>
  <c r="D268" i="7"/>
  <c r="E167" i="7"/>
  <c r="D180" i="7"/>
  <c r="F200" i="7"/>
  <c r="E93" i="7"/>
  <c r="D95" i="7"/>
  <c r="D97" i="7"/>
  <c r="D108" i="7"/>
  <c r="F109" i="7" s="1"/>
  <c r="E122" i="7"/>
  <c r="D125" i="7"/>
  <c r="D127" i="7"/>
  <c r="F127" i="7" s="1"/>
  <c r="D149" i="7"/>
  <c r="D151" i="7"/>
  <c r="F152" i="7" s="1"/>
  <c r="E156" i="7"/>
  <c r="D181" i="7"/>
  <c r="F182" i="7" s="1"/>
  <c r="D183" i="7"/>
  <c r="F183" i="7" s="1"/>
  <c r="D189" i="7"/>
  <c r="F188" i="7" s="1"/>
  <c r="E204" i="7"/>
  <c r="E219" i="7"/>
  <c r="D236" i="7"/>
  <c r="D237" i="7"/>
  <c r="E223" i="7"/>
  <c r="D228" i="7"/>
  <c r="D231" i="7"/>
  <c r="D239" i="7"/>
  <c r="F240" i="7" s="1"/>
  <c r="D238" i="7"/>
  <c r="E247" i="7"/>
  <c r="E273" i="7"/>
  <c r="D278" i="7"/>
  <c r="D279" i="7"/>
  <c r="F280" i="7" s="1"/>
  <c r="E321" i="7"/>
  <c r="E322" i="7"/>
  <c r="D371" i="7"/>
  <c r="D372" i="7"/>
  <c r="D198" i="7"/>
  <c r="D214" i="7"/>
  <c r="D220" i="7"/>
  <c r="F250" i="7"/>
  <c r="E257" i="7"/>
  <c r="E258" i="7"/>
  <c r="D289" i="7"/>
  <c r="D292" i="7"/>
  <c r="E303" i="7"/>
  <c r="D308" i="7"/>
  <c r="E313" i="7"/>
  <c r="E314" i="7"/>
  <c r="E185" i="7"/>
  <c r="E201" i="7"/>
  <c r="E253" i="7"/>
  <c r="E255" i="7"/>
  <c r="E305" i="7"/>
  <c r="E306" i="7"/>
  <c r="D326" i="7"/>
  <c r="D327" i="7"/>
  <c r="D479" i="7"/>
  <c r="D478" i="7"/>
  <c r="E215" i="7"/>
  <c r="E217" i="7"/>
  <c r="E222" i="7"/>
  <c r="D223" i="7"/>
  <c r="F224" i="7" s="1"/>
  <c r="E236" i="7"/>
  <c r="E297" i="7"/>
  <c r="E298" i="7"/>
  <c r="D302" i="7"/>
  <c r="F303" i="7" s="1"/>
  <c r="D303" i="7"/>
  <c r="D306" i="7"/>
  <c r="D318" i="7"/>
  <c r="D319" i="7"/>
  <c r="E450" i="7"/>
  <c r="E449" i="7"/>
  <c r="E189" i="7"/>
  <c r="E205" i="7"/>
  <c r="E220" i="7"/>
  <c r="E225" i="7"/>
  <c r="E228" i="7"/>
  <c r="D230" i="7"/>
  <c r="D233" i="7"/>
  <c r="D235" i="7"/>
  <c r="F236" i="7" s="1"/>
  <c r="E242" i="7"/>
  <c r="D252" i="7"/>
  <c r="D258" i="7"/>
  <c r="F259" i="7" s="1"/>
  <c r="E268" i="7"/>
  <c r="D287" i="7"/>
  <c r="F288" i="7" s="1"/>
  <c r="D286" i="7"/>
  <c r="D296" i="7"/>
  <c r="D217" i="7"/>
  <c r="E231" i="7"/>
  <c r="E233" i="7"/>
  <c r="E234" i="7"/>
  <c r="E237" i="7"/>
  <c r="E240" i="7"/>
  <c r="D248" i="7"/>
  <c r="F248" i="7" s="1"/>
  <c r="F252" i="7"/>
  <c r="E252" i="7"/>
  <c r="D254" i="7"/>
  <c r="D255" i="7"/>
  <c r="D275" i="7"/>
  <c r="D277" i="7"/>
  <c r="F277" i="7" s="1"/>
  <c r="E279" i="7"/>
  <c r="E282" i="7"/>
  <c r="E281" i="7"/>
  <c r="D291" i="7"/>
  <c r="E301" i="7"/>
  <c r="E328" i="7"/>
  <c r="E256" i="7"/>
  <c r="E271" i="7"/>
  <c r="D272" i="7"/>
  <c r="E274" i="7"/>
  <c r="E277" i="7"/>
  <c r="E280" i="7"/>
  <c r="D294" i="7"/>
  <c r="D295" i="7"/>
  <c r="E304" i="7"/>
  <c r="D309" i="7"/>
  <c r="F308" i="7" s="1"/>
  <c r="F313" i="7"/>
  <c r="D322" i="7"/>
  <c r="F323" i="7" s="1"/>
  <c r="E329" i="7"/>
  <c r="E330" i="7"/>
  <c r="E355" i="7"/>
  <c r="E251" i="7"/>
  <c r="D261" i="7"/>
  <c r="F262" i="7" s="1"/>
  <c r="E283" i="7"/>
  <c r="E294" i="7"/>
  <c r="D298" i="7"/>
  <c r="F299" i="7" s="1"/>
  <c r="D299" i="7"/>
  <c r="E317" i="7"/>
  <c r="E323" i="7"/>
  <c r="D335" i="7"/>
  <c r="D334" i="7"/>
  <c r="E386" i="7"/>
  <c r="D431" i="7"/>
  <c r="E243" i="7"/>
  <c r="D256" i="7"/>
  <c r="F257" i="7" s="1"/>
  <c r="E261" i="7"/>
  <c r="D266" i="7"/>
  <c r="E275" i="7"/>
  <c r="E293" i="7"/>
  <c r="D310" i="7"/>
  <c r="F311" i="7" s="1"/>
  <c r="D311" i="7"/>
  <c r="F312" i="7" s="1"/>
  <c r="D316" i="7"/>
  <c r="E320" i="7"/>
  <c r="D325" i="7"/>
  <c r="F325" i="7" s="1"/>
  <c r="D328" i="7"/>
  <c r="E335" i="7"/>
  <c r="G336" i="7" s="1"/>
  <c r="E334" i="7"/>
  <c r="F431" i="7"/>
  <c r="F474" i="7"/>
  <c r="E239" i="7"/>
  <c r="D240" i="7"/>
  <c r="E245" i="7"/>
  <c r="E264" i="7"/>
  <c r="E288" i="7"/>
  <c r="D290" i="7"/>
  <c r="E296" i="7"/>
  <c r="D301" i="7"/>
  <c r="F301" i="7" s="1"/>
  <c r="E346" i="7"/>
  <c r="E390" i="7"/>
  <c r="D395" i="7"/>
  <c r="E430" i="7"/>
  <c r="E431" i="7"/>
  <c r="D435" i="7"/>
  <c r="D436" i="7"/>
  <c r="D250" i="7"/>
  <c r="F251" i="7" s="1"/>
  <c r="D269" i="7"/>
  <c r="D285" i="7"/>
  <c r="E309" i="7"/>
  <c r="E315" i="7"/>
  <c r="F419" i="7"/>
  <c r="D447" i="7"/>
  <c r="D446" i="7"/>
  <c r="E503" i="7"/>
  <c r="E502" i="7"/>
  <c r="D242" i="7"/>
  <c r="F243" i="7" s="1"/>
  <c r="E248" i="7"/>
  <c r="D264" i="7"/>
  <c r="F265" i="7" s="1"/>
  <c r="E269" i="7"/>
  <c r="D274" i="7"/>
  <c r="F275" i="7" s="1"/>
  <c r="D282" i="7"/>
  <c r="E291" i="7"/>
  <c r="E312" i="7"/>
  <c r="D317" i="7"/>
  <c r="D320" i="7"/>
  <c r="F321" i="7" s="1"/>
  <c r="E326" i="7"/>
  <c r="D330" i="7"/>
  <c r="D331" i="7"/>
  <c r="D332" i="7"/>
  <c r="F333" i="7" s="1"/>
  <c r="D341" i="7"/>
  <c r="F340" i="7" s="1"/>
  <c r="D366" i="7"/>
  <c r="E367" i="7"/>
  <c r="E384" i="7"/>
  <c r="E410" i="7"/>
  <c r="D429" i="7"/>
  <c r="D338" i="7"/>
  <c r="F339" i="7" s="1"/>
  <c r="E343" i="7"/>
  <c r="E344" i="7"/>
  <c r="D349" i="7"/>
  <c r="E350" i="7"/>
  <c r="D351" i="7"/>
  <c r="D355" i="7"/>
  <c r="E370" i="7"/>
  <c r="E379" i="7"/>
  <c r="D384" i="7"/>
  <c r="D390" i="7"/>
  <c r="F389" i="7" s="1"/>
  <c r="E408" i="7"/>
  <c r="D413" i="7"/>
  <c r="F413" i="7" s="1"/>
  <c r="E414" i="7"/>
  <c r="D415" i="7"/>
  <c r="D419" i="7"/>
  <c r="E434" i="7"/>
  <c r="F443" i="7"/>
  <c r="E443" i="7"/>
  <c r="E333" i="7"/>
  <c r="D343" i="7"/>
  <c r="E362" i="7"/>
  <c r="E365" i="7"/>
  <c r="D370" i="7"/>
  <c r="E371" i="7"/>
  <c r="D376" i="7"/>
  <c r="F377" i="7" s="1"/>
  <c r="E399" i="7"/>
  <c r="E400" i="7"/>
  <c r="D405" i="7"/>
  <c r="D407" i="7"/>
  <c r="F407" i="7" s="1"/>
  <c r="F412" i="7"/>
  <c r="E417" i="7"/>
  <c r="E426" i="7"/>
  <c r="E429" i="7"/>
  <c r="D434" i="7"/>
  <c r="E435" i="7"/>
  <c r="D440" i="7"/>
  <c r="F441" i="7" s="1"/>
  <c r="D448" i="7"/>
  <c r="D449" i="7"/>
  <c r="E451" i="7"/>
  <c r="E467" i="7"/>
  <c r="E468" i="7"/>
  <c r="E339" i="7"/>
  <c r="D346" i="7"/>
  <c r="E347" i="7"/>
  <c r="D352" i="7"/>
  <c r="F353" i="7" s="1"/>
  <c r="E376" i="7"/>
  <c r="D381" i="7"/>
  <c r="F382" i="7" s="1"/>
  <c r="E382" i="7"/>
  <c r="D383" i="7"/>
  <c r="D387" i="7"/>
  <c r="F388" i="7" s="1"/>
  <c r="E402" i="7"/>
  <c r="E405" i="7"/>
  <c r="D410" i="7"/>
  <c r="F411" i="7" s="1"/>
  <c r="E411" i="7"/>
  <c r="D416" i="7"/>
  <c r="F417" i="7" s="1"/>
  <c r="D422" i="7"/>
  <c r="E440" i="7"/>
  <c r="D445" i="7"/>
  <c r="D452" i="7"/>
  <c r="E352" i="7"/>
  <c r="D357" i="7"/>
  <c r="D359" i="7"/>
  <c r="E378" i="7"/>
  <c r="E381" i="7"/>
  <c r="D386" i="7"/>
  <c r="E387" i="7"/>
  <c r="D392" i="7"/>
  <c r="F393" i="7" s="1"/>
  <c r="E416" i="7"/>
  <c r="D421" i="7"/>
  <c r="E442" i="7"/>
  <c r="E445" i="7"/>
  <c r="E354" i="7"/>
  <c r="E357" i="7"/>
  <c r="D362" i="7"/>
  <c r="D368" i="7"/>
  <c r="E392" i="7"/>
  <c r="D397" i="7"/>
  <c r="F397" i="7" s="1"/>
  <c r="D399" i="7"/>
  <c r="F404" i="7"/>
  <c r="E421" i="7"/>
  <c r="D426" i="7"/>
  <c r="D432" i="7"/>
  <c r="F433" i="7" s="1"/>
  <c r="D462" i="7"/>
  <c r="F463" i="7" s="1"/>
  <c r="F476" i="7"/>
  <c r="F337" i="7"/>
  <c r="D344" i="7"/>
  <c r="E368" i="7"/>
  <c r="D373" i="7"/>
  <c r="E374" i="7"/>
  <c r="D375" i="7"/>
  <c r="D379" i="7"/>
  <c r="F379" i="7" s="1"/>
  <c r="E394" i="7"/>
  <c r="E397" i="7"/>
  <c r="D402" i="7"/>
  <c r="F403" i="7" s="1"/>
  <c r="E403" i="7"/>
  <c r="D408" i="7"/>
  <c r="E432" i="7"/>
  <c r="D437" i="7"/>
  <c r="E438" i="7"/>
  <c r="D439" i="7"/>
  <c r="F439" i="7" s="1"/>
  <c r="D443" i="7"/>
  <c r="D450" i="7"/>
  <c r="E452" i="7"/>
  <c r="E460" i="7"/>
  <c r="D464" i="7"/>
  <c r="F464" i="7" s="1"/>
  <c r="D465" i="7"/>
  <c r="E482" i="7"/>
  <c r="E481" i="7"/>
  <c r="D455" i="7"/>
  <c r="E466" i="7"/>
  <c r="D469" i="7"/>
  <c r="E483" i="7"/>
  <c r="E484" i="7"/>
  <c r="F508" i="7"/>
  <c r="E513" i="7"/>
  <c r="D529" i="7"/>
  <c r="E453" i="7"/>
  <c r="E455" i="7"/>
  <c r="D456" i="7"/>
  <c r="E471" i="7"/>
  <c r="D474" i="7"/>
  <c r="D511" i="7"/>
  <c r="E461" i="7"/>
  <c r="E463" i="7"/>
  <c r="D480" i="7"/>
  <c r="F481" i="7" s="1"/>
  <c r="D481" i="7"/>
  <c r="D602" i="7"/>
  <c r="D603" i="7"/>
  <c r="E464" i="7"/>
  <c r="E469" i="7"/>
  <c r="E479" i="7"/>
  <c r="E486" i="7"/>
  <c r="E526" i="7"/>
  <c r="E537" i="7"/>
  <c r="D564" i="7"/>
  <c r="D565" i="7"/>
  <c r="F566" i="7" s="1"/>
  <c r="D453" i="7"/>
  <c r="F454" i="7" s="1"/>
  <c r="D458" i="7"/>
  <c r="F459" i="7" s="1"/>
  <c r="D460" i="7"/>
  <c r="E475" i="7"/>
  <c r="D492" i="7"/>
  <c r="D495" i="7"/>
  <c r="F496" i="7" s="1"/>
  <c r="E499" i="7"/>
  <c r="E500" i="7"/>
  <c r="E525" i="7"/>
  <c r="D536" i="7"/>
  <c r="E458" i="7"/>
  <c r="D461" i="7"/>
  <c r="D466" i="7"/>
  <c r="F467" i="7" s="1"/>
  <c r="D468" i="7"/>
  <c r="F469" i="7" s="1"/>
  <c r="D471" i="7"/>
  <c r="E477" i="7"/>
  <c r="D483" i="7"/>
  <c r="F483" i="7" s="1"/>
  <c r="F487" i="7"/>
  <c r="E495" i="7"/>
  <c r="G496" i="7" s="1"/>
  <c r="D513" i="7"/>
  <c r="D518" i="7"/>
  <c r="E536" i="7"/>
  <c r="D484" i="7"/>
  <c r="D490" i="7"/>
  <c r="E493" i="7"/>
  <c r="E501" i="7"/>
  <c r="E507" i="7"/>
  <c r="D525" i="7"/>
  <c r="F526" i="7" s="1"/>
  <c r="D527" i="7"/>
  <c r="E533" i="7"/>
  <c r="E535" i="7"/>
  <c r="D556" i="7"/>
  <c r="D557" i="7"/>
  <c r="E589" i="7"/>
  <c r="E590" i="7"/>
  <c r="E613" i="7"/>
  <c r="E614" i="7"/>
  <c r="E487" i="7"/>
  <c r="D489" i="7"/>
  <c r="E492" i="7"/>
  <c r="F494" i="7"/>
  <c r="D494" i="7"/>
  <c r="F495" i="7" s="1"/>
  <c r="F509" i="7"/>
  <c r="F511" i="7"/>
  <c r="D520" i="7"/>
  <c r="D521" i="7"/>
  <c r="E528" i="7"/>
  <c r="E530" i="7"/>
  <c r="E539" i="7"/>
  <c r="D540" i="7"/>
  <c r="E548" i="7"/>
  <c r="E549" i="7"/>
  <c r="D485" i="7"/>
  <c r="F486" i="7" s="1"/>
  <c r="E488" i="7"/>
  <c r="E520" i="7"/>
  <c r="E522" i="7"/>
  <c r="D532" i="7"/>
  <c r="E540" i="7"/>
  <c r="E544" i="7"/>
  <c r="E543" i="7"/>
  <c r="D562" i="7"/>
  <c r="E570" i="7"/>
  <c r="D581" i="7"/>
  <c r="F581" i="7" s="1"/>
  <c r="D503" i="7"/>
  <c r="F504" i="7" s="1"/>
  <c r="E504" i="7"/>
  <c r="D505" i="7"/>
  <c r="F506" i="7" s="1"/>
  <c r="D509" i="7"/>
  <c r="F510" i="7" s="1"/>
  <c r="D524" i="7"/>
  <c r="E532" i="7"/>
  <c r="D538" i="7"/>
  <c r="F538" i="7" s="1"/>
  <c r="E581" i="7"/>
  <c r="E582" i="7"/>
  <c r="D498" i="7"/>
  <c r="F499" i="7" s="1"/>
  <c r="E509" i="7"/>
  <c r="D514" i="7"/>
  <c r="D516" i="7"/>
  <c r="E524" i="7"/>
  <c r="D530" i="7"/>
  <c r="D541" i="7"/>
  <c r="F542" i="7" s="1"/>
  <c r="E546" i="7"/>
  <c r="D575" i="7"/>
  <c r="D501" i="7"/>
  <c r="F500" i="7" s="1"/>
  <c r="E511" i="7"/>
  <c r="E514" i="7"/>
  <c r="E516" i="7"/>
  <c r="D522" i="7"/>
  <c r="D533" i="7"/>
  <c r="F534" i="7" s="1"/>
  <c r="D535" i="7"/>
  <c r="F535" i="7" s="1"/>
  <c r="E541" i="7"/>
  <c r="E559" i="7"/>
  <c r="E560" i="7"/>
  <c r="E567" i="7"/>
  <c r="E568" i="7"/>
  <c r="D638" i="7"/>
  <c r="D637" i="7"/>
  <c r="E638" i="7"/>
  <c r="D643" i="7"/>
  <c r="D642" i="7"/>
  <c r="D563" i="7"/>
  <c r="E569" i="7"/>
  <c r="D574" i="7"/>
  <c r="D622" i="7"/>
  <c r="F623" i="7" s="1"/>
  <c r="D621" i="7"/>
  <c r="D552" i="7"/>
  <c r="D572" i="7"/>
  <c r="F571" i="7" s="1"/>
  <c r="D573" i="7"/>
  <c r="F579" i="7"/>
  <c r="E579" i="7"/>
  <c r="E580" i="7"/>
  <c r="D594" i="7"/>
  <c r="D595" i="7"/>
  <c r="F596" i="7" s="1"/>
  <c r="E598" i="7"/>
  <c r="E605" i="7"/>
  <c r="E606" i="7"/>
  <c r="E623" i="7"/>
  <c r="F632" i="7"/>
  <c r="E641" i="7"/>
  <c r="E640" i="7"/>
  <c r="D544" i="7"/>
  <c r="E566" i="7"/>
  <c r="D568" i="7"/>
  <c r="E572" i="7"/>
  <c r="D577" i="7"/>
  <c r="D584" i="7"/>
  <c r="E585" i="7"/>
  <c r="D590" i="7"/>
  <c r="F590" i="7" s="1"/>
  <c r="E599" i="7"/>
  <c r="D608" i="7"/>
  <c r="E612" i="7"/>
  <c r="E555" i="7"/>
  <c r="E563" i="7"/>
  <c r="D571" i="7"/>
  <c r="E577" i="7"/>
  <c r="E596" i="7"/>
  <c r="D628" i="7"/>
  <c r="E547" i="7"/>
  <c r="D558" i="7"/>
  <c r="E622" i="7"/>
  <c r="D549" i="7"/>
  <c r="D550" i="7"/>
  <c r="E552" i="7"/>
  <c r="D553" i="7"/>
  <c r="F554" i="7" s="1"/>
  <c r="D555" i="7"/>
  <c r="E558" i="7"/>
  <c r="D560" i="7"/>
  <c r="E564" i="7"/>
  <c r="D569" i="7"/>
  <c r="E575" i="7"/>
  <c r="E576" i="7"/>
  <c r="D582" i="7"/>
  <c r="E595" i="7"/>
  <c r="F611" i="7"/>
  <c r="E611" i="7"/>
  <c r="D619" i="7"/>
  <c r="F634" i="7"/>
  <c r="E670" i="7"/>
  <c r="F586" i="7"/>
  <c r="D588" i="7"/>
  <c r="D598" i="7"/>
  <c r="F599" i="7" s="1"/>
  <c r="D609" i="7"/>
  <c r="F610" i="7" s="1"/>
  <c r="D616" i="7"/>
  <c r="D626" i="7"/>
  <c r="E633" i="7"/>
  <c r="E632" i="7"/>
  <c r="E636" i="7"/>
  <c r="D695" i="7"/>
  <c r="D694" i="7"/>
  <c r="F694" i="7" s="1"/>
  <c r="D696" i="7"/>
  <c r="E704" i="7"/>
  <c r="E705" i="7"/>
  <c r="D711" i="7"/>
  <c r="F712" i="7" s="1"/>
  <c r="D712" i="7"/>
  <c r="E588" i="7"/>
  <c r="E591" i="7"/>
  <c r="D601" i="7"/>
  <c r="D620" i="7"/>
  <c r="F621" i="7" s="1"/>
  <c r="E625" i="7"/>
  <c r="E624" i="7"/>
  <c r="D636" i="7"/>
  <c r="F637" i="7" s="1"/>
  <c r="D651" i="7"/>
  <c r="E601" i="7"/>
  <c r="D604" i="7"/>
  <c r="D614" i="7"/>
  <c r="D630" i="7"/>
  <c r="F631" i="7" s="1"/>
  <c r="D629" i="7"/>
  <c r="F630" i="7" s="1"/>
  <c r="D593" i="7"/>
  <c r="F593" i="7" s="1"/>
  <c r="E615" i="7"/>
  <c r="F624" i="7"/>
  <c r="D634" i="7"/>
  <c r="D671" i="7"/>
  <c r="D672" i="7"/>
  <c r="E676" i="7"/>
  <c r="E593" i="7"/>
  <c r="D596" i="7"/>
  <c r="D606" i="7"/>
  <c r="D612" i="7"/>
  <c r="F613" i="7" s="1"/>
  <c r="D617" i="7"/>
  <c r="E620" i="7"/>
  <c r="E628" i="7"/>
  <c r="E634" i="7"/>
  <c r="D639" i="7"/>
  <c r="E649" i="7"/>
  <c r="D668" i="7"/>
  <c r="E604" i="7"/>
  <c r="E607" i="7"/>
  <c r="E617" i="7"/>
  <c r="E631" i="7"/>
  <c r="E639" i="7"/>
  <c r="D641" i="7"/>
  <c r="D657" i="7"/>
  <c r="F658" i="7" s="1"/>
  <c r="E688" i="7"/>
  <c r="E689" i="7"/>
  <c r="D662" i="7"/>
  <c r="E663" i="7"/>
  <c r="E677" i="7"/>
  <c r="E681" i="7"/>
  <c r="E698" i="7"/>
  <c r="E699" i="7"/>
  <c r="E647" i="7"/>
  <c r="D658" i="7"/>
  <c r="E674" i="7"/>
  <c r="D676" i="7"/>
  <c r="E687" i="7"/>
  <c r="D729" i="7"/>
  <c r="D728" i="7"/>
  <c r="E653" i="7"/>
  <c r="D655" i="7"/>
  <c r="E657" i="7"/>
  <c r="D670" i="7"/>
  <c r="E671" i="7"/>
  <c r="D673" i="7"/>
  <c r="E685" i="7"/>
  <c r="D689" i="7"/>
  <c r="D705" i="7"/>
  <c r="D644" i="7"/>
  <c r="F645" i="7" s="1"/>
  <c r="D649" i="7"/>
  <c r="F648" i="7" s="1"/>
  <c r="E650" i="7"/>
  <c r="D652" i="7"/>
  <c r="D666" i="7"/>
  <c r="E682" i="7"/>
  <c r="D684" i="7"/>
  <c r="E686" i="7"/>
  <c r="D688" i="7"/>
  <c r="F689" i="7" s="1"/>
  <c r="E697" i="7"/>
  <c r="D743" i="7"/>
  <c r="D744" i="7"/>
  <c r="E661" i="7"/>
  <c r="D663" i="7"/>
  <c r="F664" i="7" s="1"/>
  <c r="E665" i="7"/>
  <c r="E668" i="7"/>
  <c r="D678" i="7"/>
  <c r="E679" i="7"/>
  <c r="D681" i="7"/>
  <c r="F682" i="7" s="1"/>
  <c r="E735" i="7"/>
  <c r="E734" i="7"/>
  <c r="D740" i="7"/>
  <c r="D739" i="7"/>
  <c r="D660" i="7"/>
  <c r="D674" i="7"/>
  <c r="E678" i="7"/>
  <c r="E729" i="7"/>
  <c r="E728" i="7"/>
  <c r="F734" i="7"/>
  <c r="E738" i="7"/>
  <c r="E739" i="7"/>
  <c r="D691" i="7"/>
  <c r="F692" i="7" s="1"/>
  <c r="D692" i="7"/>
  <c r="E694" i="7"/>
  <c r="D701" i="7"/>
  <c r="D707" i="7"/>
  <c r="F708" i="7" s="1"/>
  <c r="E720" i="7"/>
  <c r="E727" i="7"/>
  <c r="D742" i="7"/>
  <c r="E693" i="7"/>
  <c r="D699" i="7"/>
  <c r="E724" i="7"/>
  <c r="D730" i="7"/>
  <c r="D734" i="7"/>
  <c r="F735" i="7" s="1"/>
  <c r="D736" i="7"/>
  <c r="F736" i="7" s="1"/>
  <c r="E740" i="7"/>
  <c r="E751" i="7"/>
  <c r="E750" i="7"/>
  <c r="F754" i="7"/>
  <c r="E702" i="7"/>
  <c r="F753" i="7"/>
  <c r="D697" i="7"/>
  <c r="E708" i="7"/>
  <c r="D714" i="7"/>
  <c r="F714" i="7" s="1"/>
  <c r="E726" i="7"/>
  <c r="D732" i="7"/>
  <c r="D731" i="7"/>
  <c r="D746" i="7"/>
  <c r="F752" i="7"/>
  <c r="E690" i="7"/>
  <c r="D704" i="7"/>
  <c r="F705" i="7" s="1"/>
  <c r="E706" i="7"/>
  <c r="E718" i="7"/>
  <c r="D721" i="7"/>
  <c r="E732" i="7"/>
  <c r="D737" i="7"/>
  <c r="D741" i="7"/>
  <c r="F742" i="7" s="1"/>
  <c r="D748" i="7"/>
  <c r="F749" i="7" s="1"/>
  <c r="E753" i="7"/>
  <c r="E695" i="7"/>
  <c r="E700" i="7"/>
  <c r="E703" i="7"/>
  <c r="D710" i="7"/>
  <c r="F709" i="7" s="1"/>
  <c r="E710" i="7"/>
  <c r="D715" i="7"/>
  <c r="D720" i="7"/>
  <c r="D723" i="7"/>
  <c r="D724" i="7"/>
  <c r="F725" i="7" s="1"/>
  <c r="F728" i="7"/>
  <c r="E737" i="7"/>
  <c r="E743" i="7"/>
  <c r="E742" i="7"/>
  <c r="D747" i="7"/>
  <c r="F748" i="7" s="1"/>
  <c r="E748" i="7"/>
  <c r="D755" i="7"/>
  <c r="L756" i="6"/>
  <c r="C756" i="6" s="1"/>
  <c r="K756" i="6"/>
  <c r="B756" i="6" s="1"/>
  <c r="J756" i="6"/>
  <c r="A756" i="6" s="1"/>
  <c r="L755" i="6"/>
  <c r="C755" i="6" s="1"/>
  <c r="K755" i="6"/>
  <c r="B755" i="6" s="1"/>
  <c r="J755" i="6"/>
  <c r="A755" i="6" s="1"/>
  <c r="L754" i="6"/>
  <c r="C754" i="6" s="1"/>
  <c r="K754" i="6"/>
  <c r="B754" i="6" s="1"/>
  <c r="J754" i="6"/>
  <c r="A754" i="6" s="1"/>
  <c r="L753" i="6"/>
  <c r="C753" i="6" s="1"/>
  <c r="K753" i="6"/>
  <c r="B753" i="6" s="1"/>
  <c r="J753" i="6"/>
  <c r="A753" i="6" s="1"/>
  <c r="L752" i="6"/>
  <c r="C752" i="6" s="1"/>
  <c r="K752" i="6"/>
  <c r="B752" i="6" s="1"/>
  <c r="J752" i="6"/>
  <c r="A752" i="6" s="1"/>
  <c r="L751" i="6"/>
  <c r="C751" i="6" s="1"/>
  <c r="K751" i="6"/>
  <c r="B751" i="6" s="1"/>
  <c r="J751" i="6"/>
  <c r="A751" i="6" s="1"/>
  <c r="L750" i="6"/>
  <c r="C750" i="6" s="1"/>
  <c r="K750" i="6"/>
  <c r="B750" i="6" s="1"/>
  <c r="J750" i="6"/>
  <c r="A750" i="6" s="1"/>
  <c r="L749" i="6"/>
  <c r="C749" i="6" s="1"/>
  <c r="K749" i="6"/>
  <c r="B749" i="6" s="1"/>
  <c r="J749" i="6"/>
  <c r="A749" i="6" s="1"/>
  <c r="L748" i="6"/>
  <c r="C748" i="6" s="1"/>
  <c r="K748" i="6"/>
  <c r="B748" i="6" s="1"/>
  <c r="J748" i="6"/>
  <c r="A748" i="6" s="1"/>
  <c r="L747" i="6"/>
  <c r="C747" i="6" s="1"/>
  <c r="K747" i="6"/>
  <c r="B747" i="6" s="1"/>
  <c r="J747" i="6"/>
  <c r="A747" i="6" s="1"/>
  <c r="L746" i="6"/>
  <c r="C746" i="6" s="1"/>
  <c r="K746" i="6"/>
  <c r="B746" i="6" s="1"/>
  <c r="J746" i="6"/>
  <c r="A746" i="6" s="1"/>
  <c r="L745" i="6"/>
  <c r="C745" i="6" s="1"/>
  <c r="K745" i="6"/>
  <c r="B745" i="6" s="1"/>
  <c r="J745" i="6"/>
  <c r="A745" i="6" s="1"/>
  <c r="L744" i="6"/>
  <c r="C744" i="6" s="1"/>
  <c r="K744" i="6"/>
  <c r="B744" i="6" s="1"/>
  <c r="J744" i="6"/>
  <c r="A744" i="6" s="1"/>
  <c r="L743" i="6"/>
  <c r="C743" i="6" s="1"/>
  <c r="K743" i="6"/>
  <c r="B743" i="6" s="1"/>
  <c r="J743" i="6"/>
  <c r="A743" i="6" s="1"/>
  <c r="L742" i="6"/>
  <c r="C742" i="6" s="1"/>
  <c r="K742" i="6"/>
  <c r="B742" i="6" s="1"/>
  <c r="J742" i="6"/>
  <c r="A742" i="6" s="1"/>
  <c r="L741" i="6"/>
  <c r="C741" i="6" s="1"/>
  <c r="K741" i="6"/>
  <c r="B741" i="6" s="1"/>
  <c r="J741" i="6"/>
  <c r="A741" i="6" s="1"/>
  <c r="L740" i="6"/>
  <c r="C740" i="6" s="1"/>
  <c r="K740" i="6"/>
  <c r="B740" i="6" s="1"/>
  <c r="J740" i="6"/>
  <c r="A740" i="6" s="1"/>
  <c r="L739" i="6"/>
  <c r="C739" i="6" s="1"/>
  <c r="K739" i="6"/>
  <c r="B739" i="6" s="1"/>
  <c r="J739" i="6"/>
  <c r="A739" i="6" s="1"/>
  <c r="L738" i="6"/>
  <c r="C738" i="6" s="1"/>
  <c r="K738" i="6"/>
  <c r="B738" i="6" s="1"/>
  <c r="J738" i="6"/>
  <c r="A738" i="6" s="1"/>
  <c r="L737" i="6"/>
  <c r="C737" i="6" s="1"/>
  <c r="K737" i="6"/>
  <c r="B737" i="6" s="1"/>
  <c r="J737" i="6"/>
  <c r="A737" i="6" s="1"/>
  <c r="L736" i="6"/>
  <c r="C736" i="6" s="1"/>
  <c r="K736" i="6"/>
  <c r="B736" i="6" s="1"/>
  <c r="J736" i="6"/>
  <c r="A736" i="6" s="1"/>
  <c r="L735" i="6"/>
  <c r="C735" i="6" s="1"/>
  <c r="K735" i="6"/>
  <c r="B735" i="6" s="1"/>
  <c r="J735" i="6"/>
  <c r="A735" i="6" s="1"/>
  <c r="L734" i="6"/>
  <c r="C734" i="6" s="1"/>
  <c r="K734" i="6"/>
  <c r="B734" i="6" s="1"/>
  <c r="J734" i="6"/>
  <c r="A734" i="6" s="1"/>
  <c r="L733" i="6"/>
  <c r="C733" i="6" s="1"/>
  <c r="K733" i="6"/>
  <c r="B733" i="6" s="1"/>
  <c r="J733" i="6"/>
  <c r="A733" i="6" s="1"/>
  <c r="L732" i="6"/>
  <c r="C732" i="6" s="1"/>
  <c r="K732" i="6"/>
  <c r="B732" i="6" s="1"/>
  <c r="J732" i="6"/>
  <c r="A732" i="6" s="1"/>
  <c r="L731" i="6"/>
  <c r="C731" i="6" s="1"/>
  <c r="K731" i="6"/>
  <c r="B731" i="6" s="1"/>
  <c r="J731" i="6"/>
  <c r="A731" i="6" s="1"/>
  <c r="L730" i="6"/>
  <c r="C730" i="6" s="1"/>
  <c r="K730" i="6"/>
  <c r="B730" i="6" s="1"/>
  <c r="J730" i="6"/>
  <c r="A730" i="6" s="1"/>
  <c r="L729" i="6"/>
  <c r="C729" i="6" s="1"/>
  <c r="K729" i="6"/>
  <c r="B729" i="6" s="1"/>
  <c r="J729" i="6"/>
  <c r="A729" i="6" s="1"/>
  <c r="L728" i="6"/>
  <c r="C728" i="6" s="1"/>
  <c r="K728" i="6"/>
  <c r="B728" i="6" s="1"/>
  <c r="J728" i="6"/>
  <c r="A728" i="6" s="1"/>
  <c r="L727" i="6"/>
  <c r="C727" i="6" s="1"/>
  <c r="K727" i="6"/>
  <c r="B727" i="6" s="1"/>
  <c r="J727" i="6"/>
  <c r="A727" i="6" s="1"/>
  <c r="L726" i="6"/>
  <c r="C726" i="6" s="1"/>
  <c r="K726" i="6"/>
  <c r="B726" i="6" s="1"/>
  <c r="J726" i="6"/>
  <c r="A726" i="6" s="1"/>
  <c r="L725" i="6"/>
  <c r="C725" i="6" s="1"/>
  <c r="K725" i="6"/>
  <c r="B725" i="6" s="1"/>
  <c r="J725" i="6"/>
  <c r="A725" i="6" s="1"/>
  <c r="L724" i="6"/>
  <c r="C724" i="6" s="1"/>
  <c r="K724" i="6"/>
  <c r="B724" i="6" s="1"/>
  <c r="J724" i="6"/>
  <c r="A724" i="6" s="1"/>
  <c r="L723" i="6"/>
  <c r="C723" i="6" s="1"/>
  <c r="K723" i="6"/>
  <c r="B723" i="6" s="1"/>
  <c r="J723" i="6"/>
  <c r="A723" i="6" s="1"/>
  <c r="L722" i="6"/>
  <c r="C722" i="6" s="1"/>
  <c r="K722" i="6"/>
  <c r="B722" i="6" s="1"/>
  <c r="J722" i="6"/>
  <c r="A722" i="6" s="1"/>
  <c r="L721" i="6"/>
  <c r="C721" i="6" s="1"/>
  <c r="K721" i="6"/>
  <c r="B721" i="6" s="1"/>
  <c r="J721" i="6"/>
  <c r="A721" i="6" s="1"/>
  <c r="L720" i="6"/>
  <c r="C720" i="6" s="1"/>
  <c r="K720" i="6"/>
  <c r="B720" i="6" s="1"/>
  <c r="J720" i="6"/>
  <c r="A720" i="6" s="1"/>
  <c r="L719" i="6"/>
  <c r="C719" i="6" s="1"/>
  <c r="K719" i="6"/>
  <c r="B719" i="6" s="1"/>
  <c r="J719" i="6"/>
  <c r="A719" i="6" s="1"/>
  <c r="L718" i="6"/>
  <c r="C718" i="6" s="1"/>
  <c r="K718" i="6"/>
  <c r="B718" i="6" s="1"/>
  <c r="J718" i="6"/>
  <c r="A718" i="6" s="1"/>
  <c r="L717" i="6"/>
  <c r="C717" i="6" s="1"/>
  <c r="K717" i="6"/>
  <c r="B717" i="6" s="1"/>
  <c r="J717" i="6"/>
  <c r="A717" i="6" s="1"/>
  <c r="L716" i="6"/>
  <c r="C716" i="6" s="1"/>
  <c r="K716" i="6"/>
  <c r="B716" i="6" s="1"/>
  <c r="J716" i="6"/>
  <c r="A716" i="6" s="1"/>
  <c r="L715" i="6"/>
  <c r="C715" i="6" s="1"/>
  <c r="K715" i="6"/>
  <c r="B715" i="6" s="1"/>
  <c r="J715" i="6"/>
  <c r="A715" i="6" s="1"/>
  <c r="L714" i="6"/>
  <c r="C714" i="6" s="1"/>
  <c r="K714" i="6"/>
  <c r="B714" i="6" s="1"/>
  <c r="J714" i="6"/>
  <c r="A714" i="6" s="1"/>
  <c r="L713" i="6"/>
  <c r="C713" i="6" s="1"/>
  <c r="K713" i="6"/>
  <c r="B713" i="6" s="1"/>
  <c r="J713" i="6"/>
  <c r="A713" i="6" s="1"/>
  <c r="L712" i="6"/>
  <c r="C712" i="6" s="1"/>
  <c r="K712" i="6"/>
  <c r="B712" i="6" s="1"/>
  <c r="J712" i="6"/>
  <c r="A712" i="6" s="1"/>
  <c r="L711" i="6"/>
  <c r="C711" i="6" s="1"/>
  <c r="K711" i="6"/>
  <c r="B711" i="6" s="1"/>
  <c r="J711" i="6"/>
  <c r="A711" i="6" s="1"/>
  <c r="L710" i="6"/>
  <c r="C710" i="6" s="1"/>
  <c r="K710" i="6"/>
  <c r="B710" i="6" s="1"/>
  <c r="J710" i="6"/>
  <c r="A710" i="6" s="1"/>
  <c r="L709" i="6"/>
  <c r="C709" i="6" s="1"/>
  <c r="K709" i="6"/>
  <c r="B709" i="6" s="1"/>
  <c r="J709" i="6"/>
  <c r="A709" i="6" s="1"/>
  <c r="L708" i="6"/>
  <c r="C708" i="6" s="1"/>
  <c r="K708" i="6"/>
  <c r="B708" i="6" s="1"/>
  <c r="J708" i="6"/>
  <c r="A708" i="6" s="1"/>
  <c r="L707" i="6"/>
  <c r="C707" i="6" s="1"/>
  <c r="K707" i="6"/>
  <c r="B707" i="6" s="1"/>
  <c r="J707" i="6"/>
  <c r="A707" i="6" s="1"/>
  <c r="L706" i="6"/>
  <c r="C706" i="6" s="1"/>
  <c r="K706" i="6"/>
  <c r="B706" i="6" s="1"/>
  <c r="J706" i="6"/>
  <c r="A706" i="6" s="1"/>
  <c r="L705" i="6"/>
  <c r="C705" i="6" s="1"/>
  <c r="K705" i="6"/>
  <c r="B705" i="6" s="1"/>
  <c r="J705" i="6"/>
  <c r="A705" i="6" s="1"/>
  <c r="L704" i="6"/>
  <c r="C704" i="6" s="1"/>
  <c r="K704" i="6"/>
  <c r="B704" i="6" s="1"/>
  <c r="J704" i="6"/>
  <c r="A704" i="6" s="1"/>
  <c r="L703" i="6"/>
  <c r="C703" i="6" s="1"/>
  <c r="K703" i="6"/>
  <c r="B703" i="6" s="1"/>
  <c r="J703" i="6"/>
  <c r="A703" i="6" s="1"/>
  <c r="L702" i="6"/>
  <c r="C702" i="6" s="1"/>
  <c r="K702" i="6"/>
  <c r="B702" i="6" s="1"/>
  <c r="J702" i="6"/>
  <c r="A702" i="6" s="1"/>
  <c r="L701" i="6"/>
  <c r="C701" i="6" s="1"/>
  <c r="K701" i="6"/>
  <c r="B701" i="6" s="1"/>
  <c r="J701" i="6"/>
  <c r="A701" i="6" s="1"/>
  <c r="L700" i="6"/>
  <c r="C700" i="6" s="1"/>
  <c r="K700" i="6"/>
  <c r="B700" i="6" s="1"/>
  <c r="J700" i="6"/>
  <c r="A700" i="6" s="1"/>
  <c r="L699" i="6"/>
  <c r="C699" i="6" s="1"/>
  <c r="K699" i="6"/>
  <c r="B699" i="6" s="1"/>
  <c r="J699" i="6"/>
  <c r="A699" i="6" s="1"/>
  <c r="L698" i="6"/>
  <c r="C698" i="6" s="1"/>
  <c r="K698" i="6"/>
  <c r="B698" i="6" s="1"/>
  <c r="J698" i="6"/>
  <c r="A698" i="6" s="1"/>
  <c r="L697" i="6"/>
  <c r="C697" i="6" s="1"/>
  <c r="K697" i="6"/>
  <c r="B697" i="6" s="1"/>
  <c r="J697" i="6"/>
  <c r="A697" i="6" s="1"/>
  <c r="L696" i="6"/>
  <c r="C696" i="6" s="1"/>
  <c r="K696" i="6"/>
  <c r="B696" i="6" s="1"/>
  <c r="J696" i="6"/>
  <c r="A696" i="6" s="1"/>
  <c r="L695" i="6"/>
  <c r="C695" i="6" s="1"/>
  <c r="K695" i="6"/>
  <c r="B695" i="6" s="1"/>
  <c r="J695" i="6"/>
  <c r="A695" i="6" s="1"/>
  <c r="L694" i="6"/>
  <c r="C694" i="6" s="1"/>
  <c r="K694" i="6"/>
  <c r="B694" i="6" s="1"/>
  <c r="J694" i="6"/>
  <c r="A694" i="6" s="1"/>
  <c r="L693" i="6"/>
  <c r="C693" i="6" s="1"/>
  <c r="K693" i="6"/>
  <c r="B693" i="6" s="1"/>
  <c r="J693" i="6"/>
  <c r="A693" i="6" s="1"/>
  <c r="L692" i="6"/>
  <c r="C692" i="6" s="1"/>
  <c r="K692" i="6"/>
  <c r="B692" i="6" s="1"/>
  <c r="J692" i="6"/>
  <c r="A692" i="6" s="1"/>
  <c r="L691" i="6"/>
  <c r="C691" i="6" s="1"/>
  <c r="K691" i="6"/>
  <c r="B691" i="6" s="1"/>
  <c r="J691" i="6"/>
  <c r="A691" i="6" s="1"/>
  <c r="L690" i="6"/>
  <c r="C690" i="6" s="1"/>
  <c r="K690" i="6"/>
  <c r="B690" i="6" s="1"/>
  <c r="J690" i="6"/>
  <c r="A690" i="6" s="1"/>
  <c r="L689" i="6"/>
  <c r="C689" i="6" s="1"/>
  <c r="K689" i="6"/>
  <c r="B689" i="6" s="1"/>
  <c r="J689" i="6"/>
  <c r="A689" i="6" s="1"/>
  <c r="L688" i="6"/>
  <c r="C688" i="6" s="1"/>
  <c r="K688" i="6"/>
  <c r="B688" i="6" s="1"/>
  <c r="J688" i="6"/>
  <c r="A688" i="6" s="1"/>
  <c r="L687" i="6"/>
  <c r="C687" i="6" s="1"/>
  <c r="K687" i="6"/>
  <c r="B687" i="6" s="1"/>
  <c r="J687" i="6"/>
  <c r="A687" i="6" s="1"/>
  <c r="L686" i="6"/>
  <c r="C686" i="6" s="1"/>
  <c r="K686" i="6"/>
  <c r="B686" i="6" s="1"/>
  <c r="J686" i="6"/>
  <c r="A686" i="6" s="1"/>
  <c r="L685" i="6"/>
  <c r="C685" i="6" s="1"/>
  <c r="K685" i="6"/>
  <c r="B685" i="6" s="1"/>
  <c r="J685" i="6"/>
  <c r="A685" i="6" s="1"/>
  <c r="L684" i="6"/>
  <c r="C684" i="6" s="1"/>
  <c r="K684" i="6"/>
  <c r="B684" i="6" s="1"/>
  <c r="J684" i="6"/>
  <c r="A684" i="6" s="1"/>
  <c r="L683" i="6"/>
  <c r="C683" i="6" s="1"/>
  <c r="K683" i="6"/>
  <c r="B683" i="6" s="1"/>
  <c r="J683" i="6"/>
  <c r="A683" i="6" s="1"/>
  <c r="L682" i="6"/>
  <c r="C682" i="6" s="1"/>
  <c r="K682" i="6"/>
  <c r="B682" i="6" s="1"/>
  <c r="J682" i="6"/>
  <c r="A682" i="6" s="1"/>
  <c r="L681" i="6"/>
  <c r="C681" i="6" s="1"/>
  <c r="K681" i="6"/>
  <c r="B681" i="6" s="1"/>
  <c r="J681" i="6"/>
  <c r="A681" i="6" s="1"/>
  <c r="L680" i="6"/>
  <c r="C680" i="6" s="1"/>
  <c r="K680" i="6"/>
  <c r="B680" i="6" s="1"/>
  <c r="J680" i="6"/>
  <c r="A680" i="6" s="1"/>
  <c r="L679" i="6"/>
  <c r="C679" i="6" s="1"/>
  <c r="K679" i="6"/>
  <c r="B679" i="6" s="1"/>
  <c r="J679" i="6"/>
  <c r="A679" i="6" s="1"/>
  <c r="L678" i="6"/>
  <c r="C678" i="6" s="1"/>
  <c r="K678" i="6"/>
  <c r="B678" i="6" s="1"/>
  <c r="J678" i="6"/>
  <c r="A678" i="6" s="1"/>
  <c r="L677" i="6"/>
  <c r="C677" i="6" s="1"/>
  <c r="K677" i="6"/>
  <c r="B677" i="6" s="1"/>
  <c r="J677" i="6"/>
  <c r="A677" i="6" s="1"/>
  <c r="L676" i="6"/>
  <c r="C676" i="6" s="1"/>
  <c r="K676" i="6"/>
  <c r="B676" i="6" s="1"/>
  <c r="J676" i="6"/>
  <c r="A676" i="6" s="1"/>
  <c r="L675" i="6"/>
  <c r="C675" i="6" s="1"/>
  <c r="K675" i="6"/>
  <c r="B675" i="6" s="1"/>
  <c r="J675" i="6"/>
  <c r="A675" i="6" s="1"/>
  <c r="L674" i="6"/>
  <c r="C674" i="6" s="1"/>
  <c r="K674" i="6"/>
  <c r="B674" i="6" s="1"/>
  <c r="J674" i="6"/>
  <c r="A674" i="6" s="1"/>
  <c r="L673" i="6"/>
  <c r="C673" i="6" s="1"/>
  <c r="K673" i="6"/>
  <c r="B673" i="6" s="1"/>
  <c r="J673" i="6"/>
  <c r="A673" i="6" s="1"/>
  <c r="L672" i="6"/>
  <c r="C672" i="6" s="1"/>
  <c r="K672" i="6"/>
  <c r="B672" i="6" s="1"/>
  <c r="J672" i="6"/>
  <c r="A672" i="6" s="1"/>
  <c r="L671" i="6"/>
  <c r="C671" i="6" s="1"/>
  <c r="K671" i="6"/>
  <c r="B671" i="6" s="1"/>
  <c r="J671" i="6"/>
  <c r="A671" i="6" s="1"/>
  <c r="L670" i="6"/>
  <c r="C670" i="6" s="1"/>
  <c r="K670" i="6"/>
  <c r="B670" i="6" s="1"/>
  <c r="J670" i="6"/>
  <c r="A670" i="6" s="1"/>
  <c r="L669" i="6"/>
  <c r="C669" i="6" s="1"/>
  <c r="K669" i="6"/>
  <c r="B669" i="6" s="1"/>
  <c r="J669" i="6"/>
  <c r="A669" i="6" s="1"/>
  <c r="L668" i="6"/>
  <c r="C668" i="6" s="1"/>
  <c r="K668" i="6"/>
  <c r="B668" i="6" s="1"/>
  <c r="J668" i="6"/>
  <c r="A668" i="6" s="1"/>
  <c r="L667" i="6"/>
  <c r="C667" i="6" s="1"/>
  <c r="K667" i="6"/>
  <c r="B667" i="6" s="1"/>
  <c r="J667" i="6"/>
  <c r="A667" i="6" s="1"/>
  <c r="L666" i="6"/>
  <c r="C666" i="6" s="1"/>
  <c r="K666" i="6"/>
  <c r="B666" i="6" s="1"/>
  <c r="J666" i="6"/>
  <c r="A666" i="6" s="1"/>
  <c r="L665" i="6"/>
  <c r="C665" i="6" s="1"/>
  <c r="K665" i="6"/>
  <c r="B665" i="6" s="1"/>
  <c r="J665" i="6"/>
  <c r="A665" i="6" s="1"/>
  <c r="L664" i="6"/>
  <c r="C664" i="6" s="1"/>
  <c r="K664" i="6"/>
  <c r="B664" i="6" s="1"/>
  <c r="J664" i="6"/>
  <c r="A664" i="6" s="1"/>
  <c r="L663" i="6"/>
  <c r="C663" i="6" s="1"/>
  <c r="K663" i="6"/>
  <c r="B663" i="6" s="1"/>
  <c r="J663" i="6"/>
  <c r="A663" i="6" s="1"/>
  <c r="L662" i="6"/>
  <c r="C662" i="6" s="1"/>
  <c r="K662" i="6"/>
  <c r="B662" i="6" s="1"/>
  <c r="J662" i="6"/>
  <c r="A662" i="6" s="1"/>
  <c r="L661" i="6"/>
  <c r="C661" i="6" s="1"/>
  <c r="K661" i="6"/>
  <c r="B661" i="6" s="1"/>
  <c r="J661" i="6"/>
  <c r="A661" i="6" s="1"/>
  <c r="L660" i="6"/>
  <c r="C660" i="6" s="1"/>
  <c r="K660" i="6"/>
  <c r="B660" i="6" s="1"/>
  <c r="J660" i="6"/>
  <c r="A660" i="6" s="1"/>
  <c r="L659" i="6"/>
  <c r="C659" i="6" s="1"/>
  <c r="K659" i="6"/>
  <c r="B659" i="6" s="1"/>
  <c r="J659" i="6"/>
  <c r="A659" i="6" s="1"/>
  <c r="L658" i="6"/>
  <c r="C658" i="6" s="1"/>
  <c r="K658" i="6"/>
  <c r="B658" i="6" s="1"/>
  <c r="J658" i="6"/>
  <c r="A658" i="6" s="1"/>
  <c r="L657" i="6"/>
  <c r="C657" i="6" s="1"/>
  <c r="K657" i="6"/>
  <c r="B657" i="6" s="1"/>
  <c r="J657" i="6"/>
  <c r="A657" i="6" s="1"/>
  <c r="L656" i="6"/>
  <c r="C656" i="6" s="1"/>
  <c r="K656" i="6"/>
  <c r="B656" i="6" s="1"/>
  <c r="J656" i="6"/>
  <c r="A656" i="6" s="1"/>
  <c r="L655" i="6"/>
  <c r="C655" i="6" s="1"/>
  <c r="K655" i="6"/>
  <c r="B655" i="6" s="1"/>
  <c r="J655" i="6"/>
  <c r="A655" i="6" s="1"/>
  <c r="L654" i="6"/>
  <c r="C654" i="6" s="1"/>
  <c r="K654" i="6"/>
  <c r="B654" i="6" s="1"/>
  <c r="J654" i="6"/>
  <c r="A654" i="6" s="1"/>
  <c r="L653" i="6"/>
  <c r="C653" i="6" s="1"/>
  <c r="K653" i="6"/>
  <c r="B653" i="6" s="1"/>
  <c r="J653" i="6"/>
  <c r="A653" i="6" s="1"/>
  <c r="L652" i="6"/>
  <c r="C652" i="6" s="1"/>
  <c r="K652" i="6"/>
  <c r="B652" i="6" s="1"/>
  <c r="J652" i="6"/>
  <c r="A652" i="6" s="1"/>
  <c r="L651" i="6"/>
  <c r="C651" i="6" s="1"/>
  <c r="K651" i="6"/>
  <c r="B651" i="6" s="1"/>
  <c r="J651" i="6"/>
  <c r="A651" i="6" s="1"/>
  <c r="L650" i="6"/>
  <c r="C650" i="6" s="1"/>
  <c r="K650" i="6"/>
  <c r="B650" i="6" s="1"/>
  <c r="J650" i="6"/>
  <c r="A650" i="6" s="1"/>
  <c r="L649" i="6"/>
  <c r="C649" i="6" s="1"/>
  <c r="K649" i="6"/>
  <c r="B649" i="6" s="1"/>
  <c r="J649" i="6"/>
  <c r="A649" i="6" s="1"/>
  <c r="L648" i="6"/>
  <c r="C648" i="6" s="1"/>
  <c r="K648" i="6"/>
  <c r="B648" i="6" s="1"/>
  <c r="J648" i="6"/>
  <c r="A648" i="6" s="1"/>
  <c r="L647" i="6"/>
  <c r="C647" i="6" s="1"/>
  <c r="K647" i="6"/>
  <c r="B647" i="6" s="1"/>
  <c r="J647" i="6"/>
  <c r="A647" i="6" s="1"/>
  <c r="L646" i="6"/>
  <c r="C646" i="6" s="1"/>
  <c r="K646" i="6"/>
  <c r="B646" i="6" s="1"/>
  <c r="J646" i="6"/>
  <c r="A646" i="6" s="1"/>
  <c r="L645" i="6"/>
  <c r="C645" i="6" s="1"/>
  <c r="K645" i="6"/>
  <c r="B645" i="6" s="1"/>
  <c r="J645" i="6"/>
  <c r="A645" i="6" s="1"/>
  <c r="L644" i="6"/>
  <c r="C644" i="6" s="1"/>
  <c r="K644" i="6"/>
  <c r="B644" i="6" s="1"/>
  <c r="J644" i="6"/>
  <c r="A644" i="6" s="1"/>
  <c r="L643" i="6"/>
  <c r="C643" i="6" s="1"/>
  <c r="K643" i="6"/>
  <c r="B643" i="6" s="1"/>
  <c r="J643" i="6"/>
  <c r="A643" i="6" s="1"/>
  <c r="L642" i="6"/>
  <c r="C642" i="6" s="1"/>
  <c r="K642" i="6"/>
  <c r="B642" i="6" s="1"/>
  <c r="J642" i="6"/>
  <c r="A642" i="6" s="1"/>
  <c r="L641" i="6"/>
  <c r="C641" i="6" s="1"/>
  <c r="K641" i="6"/>
  <c r="B641" i="6" s="1"/>
  <c r="J641" i="6"/>
  <c r="A641" i="6" s="1"/>
  <c r="L640" i="6"/>
  <c r="C640" i="6" s="1"/>
  <c r="K640" i="6"/>
  <c r="B640" i="6" s="1"/>
  <c r="J640" i="6"/>
  <c r="A640" i="6" s="1"/>
  <c r="L639" i="6"/>
  <c r="C639" i="6" s="1"/>
  <c r="K639" i="6"/>
  <c r="B639" i="6" s="1"/>
  <c r="J639" i="6"/>
  <c r="A639" i="6" s="1"/>
  <c r="L638" i="6"/>
  <c r="C638" i="6" s="1"/>
  <c r="K638" i="6"/>
  <c r="B638" i="6" s="1"/>
  <c r="J638" i="6"/>
  <c r="A638" i="6" s="1"/>
  <c r="L637" i="6"/>
  <c r="C637" i="6" s="1"/>
  <c r="K637" i="6"/>
  <c r="B637" i="6" s="1"/>
  <c r="J637" i="6"/>
  <c r="A637" i="6" s="1"/>
  <c r="L636" i="6"/>
  <c r="C636" i="6" s="1"/>
  <c r="K636" i="6"/>
  <c r="B636" i="6" s="1"/>
  <c r="J636" i="6"/>
  <c r="A636" i="6" s="1"/>
  <c r="L635" i="6"/>
  <c r="C635" i="6" s="1"/>
  <c r="K635" i="6"/>
  <c r="B635" i="6" s="1"/>
  <c r="J635" i="6"/>
  <c r="A635" i="6" s="1"/>
  <c r="L634" i="6"/>
  <c r="C634" i="6" s="1"/>
  <c r="K634" i="6"/>
  <c r="B634" i="6" s="1"/>
  <c r="J634" i="6"/>
  <c r="A634" i="6" s="1"/>
  <c r="L633" i="6"/>
  <c r="C633" i="6" s="1"/>
  <c r="K633" i="6"/>
  <c r="B633" i="6" s="1"/>
  <c r="J633" i="6"/>
  <c r="A633" i="6" s="1"/>
  <c r="L632" i="6"/>
  <c r="C632" i="6" s="1"/>
  <c r="K632" i="6"/>
  <c r="B632" i="6" s="1"/>
  <c r="J632" i="6"/>
  <c r="A632" i="6" s="1"/>
  <c r="L631" i="6"/>
  <c r="C631" i="6" s="1"/>
  <c r="K631" i="6"/>
  <c r="B631" i="6" s="1"/>
  <c r="J631" i="6"/>
  <c r="A631" i="6" s="1"/>
  <c r="L630" i="6"/>
  <c r="C630" i="6" s="1"/>
  <c r="K630" i="6"/>
  <c r="B630" i="6" s="1"/>
  <c r="J630" i="6"/>
  <c r="A630" i="6" s="1"/>
  <c r="L629" i="6"/>
  <c r="C629" i="6" s="1"/>
  <c r="K629" i="6"/>
  <c r="B629" i="6" s="1"/>
  <c r="J629" i="6"/>
  <c r="A629" i="6" s="1"/>
  <c r="L628" i="6"/>
  <c r="C628" i="6" s="1"/>
  <c r="K628" i="6"/>
  <c r="B628" i="6" s="1"/>
  <c r="J628" i="6"/>
  <c r="A628" i="6" s="1"/>
  <c r="L627" i="6"/>
  <c r="C627" i="6" s="1"/>
  <c r="K627" i="6"/>
  <c r="B627" i="6" s="1"/>
  <c r="J627" i="6"/>
  <c r="A627" i="6" s="1"/>
  <c r="L626" i="6"/>
  <c r="C626" i="6" s="1"/>
  <c r="K626" i="6"/>
  <c r="B626" i="6" s="1"/>
  <c r="J626" i="6"/>
  <c r="A626" i="6" s="1"/>
  <c r="L625" i="6"/>
  <c r="C625" i="6" s="1"/>
  <c r="K625" i="6"/>
  <c r="B625" i="6" s="1"/>
  <c r="J625" i="6"/>
  <c r="A625" i="6" s="1"/>
  <c r="L624" i="6"/>
  <c r="C624" i="6" s="1"/>
  <c r="K624" i="6"/>
  <c r="B624" i="6" s="1"/>
  <c r="J624" i="6"/>
  <c r="A624" i="6" s="1"/>
  <c r="L623" i="6"/>
  <c r="C623" i="6" s="1"/>
  <c r="K623" i="6"/>
  <c r="B623" i="6" s="1"/>
  <c r="J623" i="6"/>
  <c r="A623" i="6" s="1"/>
  <c r="L622" i="6"/>
  <c r="C622" i="6" s="1"/>
  <c r="K622" i="6"/>
  <c r="B622" i="6" s="1"/>
  <c r="J622" i="6"/>
  <c r="A622" i="6" s="1"/>
  <c r="L621" i="6"/>
  <c r="C621" i="6" s="1"/>
  <c r="K621" i="6"/>
  <c r="B621" i="6" s="1"/>
  <c r="J621" i="6"/>
  <c r="A621" i="6" s="1"/>
  <c r="L620" i="6"/>
  <c r="C620" i="6" s="1"/>
  <c r="K620" i="6"/>
  <c r="B620" i="6" s="1"/>
  <c r="J620" i="6"/>
  <c r="A620" i="6" s="1"/>
  <c r="L619" i="6"/>
  <c r="C619" i="6" s="1"/>
  <c r="K619" i="6"/>
  <c r="B619" i="6" s="1"/>
  <c r="J619" i="6"/>
  <c r="A619" i="6" s="1"/>
  <c r="L618" i="6"/>
  <c r="C618" i="6" s="1"/>
  <c r="K618" i="6"/>
  <c r="B618" i="6" s="1"/>
  <c r="J618" i="6"/>
  <c r="A618" i="6" s="1"/>
  <c r="L617" i="6"/>
  <c r="C617" i="6" s="1"/>
  <c r="K617" i="6"/>
  <c r="B617" i="6" s="1"/>
  <c r="J617" i="6"/>
  <c r="A617" i="6" s="1"/>
  <c r="L616" i="6"/>
  <c r="C616" i="6" s="1"/>
  <c r="K616" i="6"/>
  <c r="B616" i="6" s="1"/>
  <c r="J616" i="6"/>
  <c r="A616" i="6" s="1"/>
  <c r="L615" i="6"/>
  <c r="C615" i="6" s="1"/>
  <c r="K615" i="6"/>
  <c r="B615" i="6" s="1"/>
  <c r="J615" i="6"/>
  <c r="A615" i="6" s="1"/>
  <c r="L614" i="6"/>
  <c r="C614" i="6" s="1"/>
  <c r="K614" i="6"/>
  <c r="B614" i="6" s="1"/>
  <c r="J614" i="6"/>
  <c r="A614" i="6" s="1"/>
  <c r="L613" i="6"/>
  <c r="C613" i="6" s="1"/>
  <c r="K613" i="6"/>
  <c r="B613" i="6" s="1"/>
  <c r="J613" i="6"/>
  <c r="A613" i="6" s="1"/>
  <c r="L612" i="6"/>
  <c r="C612" i="6" s="1"/>
  <c r="K612" i="6"/>
  <c r="B612" i="6" s="1"/>
  <c r="J612" i="6"/>
  <c r="A612" i="6" s="1"/>
  <c r="L611" i="6"/>
  <c r="C611" i="6" s="1"/>
  <c r="K611" i="6"/>
  <c r="B611" i="6" s="1"/>
  <c r="J611" i="6"/>
  <c r="A611" i="6" s="1"/>
  <c r="L610" i="6"/>
  <c r="C610" i="6" s="1"/>
  <c r="K610" i="6"/>
  <c r="B610" i="6" s="1"/>
  <c r="J610" i="6"/>
  <c r="A610" i="6" s="1"/>
  <c r="L609" i="6"/>
  <c r="C609" i="6" s="1"/>
  <c r="K609" i="6"/>
  <c r="B609" i="6" s="1"/>
  <c r="J609" i="6"/>
  <c r="A609" i="6" s="1"/>
  <c r="L608" i="6"/>
  <c r="C608" i="6" s="1"/>
  <c r="K608" i="6"/>
  <c r="B608" i="6" s="1"/>
  <c r="J608" i="6"/>
  <c r="A608" i="6" s="1"/>
  <c r="L607" i="6"/>
  <c r="C607" i="6" s="1"/>
  <c r="K607" i="6"/>
  <c r="B607" i="6" s="1"/>
  <c r="J607" i="6"/>
  <c r="A607" i="6" s="1"/>
  <c r="L606" i="6"/>
  <c r="C606" i="6" s="1"/>
  <c r="K606" i="6"/>
  <c r="B606" i="6" s="1"/>
  <c r="J606" i="6"/>
  <c r="A606" i="6" s="1"/>
  <c r="L605" i="6"/>
  <c r="C605" i="6" s="1"/>
  <c r="K605" i="6"/>
  <c r="B605" i="6" s="1"/>
  <c r="J605" i="6"/>
  <c r="A605" i="6" s="1"/>
  <c r="L604" i="6"/>
  <c r="C604" i="6" s="1"/>
  <c r="K604" i="6"/>
  <c r="B604" i="6" s="1"/>
  <c r="J604" i="6"/>
  <c r="A604" i="6" s="1"/>
  <c r="L603" i="6"/>
  <c r="C603" i="6" s="1"/>
  <c r="K603" i="6"/>
  <c r="B603" i="6" s="1"/>
  <c r="J603" i="6"/>
  <c r="A603" i="6" s="1"/>
  <c r="L602" i="6"/>
  <c r="C602" i="6" s="1"/>
  <c r="K602" i="6"/>
  <c r="B602" i="6" s="1"/>
  <c r="J602" i="6"/>
  <c r="A602" i="6" s="1"/>
  <c r="L601" i="6"/>
  <c r="C601" i="6" s="1"/>
  <c r="K601" i="6"/>
  <c r="B601" i="6" s="1"/>
  <c r="J601" i="6"/>
  <c r="A601" i="6" s="1"/>
  <c r="L600" i="6"/>
  <c r="C600" i="6" s="1"/>
  <c r="K600" i="6"/>
  <c r="B600" i="6" s="1"/>
  <c r="J600" i="6"/>
  <c r="A600" i="6" s="1"/>
  <c r="L599" i="6"/>
  <c r="C599" i="6" s="1"/>
  <c r="K599" i="6"/>
  <c r="B599" i="6" s="1"/>
  <c r="J599" i="6"/>
  <c r="A599" i="6" s="1"/>
  <c r="L598" i="6"/>
  <c r="C598" i="6" s="1"/>
  <c r="K598" i="6"/>
  <c r="B598" i="6" s="1"/>
  <c r="J598" i="6"/>
  <c r="A598" i="6" s="1"/>
  <c r="L597" i="6"/>
  <c r="C597" i="6" s="1"/>
  <c r="K597" i="6"/>
  <c r="B597" i="6" s="1"/>
  <c r="J597" i="6"/>
  <c r="A597" i="6" s="1"/>
  <c r="L596" i="6"/>
  <c r="C596" i="6" s="1"/>
  <c r="K596" i="6"/>
  <c r="B596" i="6" s="1"/>
  <c r="J596" i="6"/>
  <c r="A596" i="6" s="1"/>
  <c r="L595" i="6"/>
  <c r="C595" i="6" s="1"/>
  <c r="K595" i="6"/>
  <c r="B595" i="6" s="1"/>
  <c r="J595" i="6"/>
  <c r="A595" i="6" s="1"/>
  <c r="L594" i="6"/>
  <c r="C594" i="6" s="1"/>
  <c r="K594" i="6"/>
  <c r="B594" i="6" s="1"/>
  <c r="J594" i="6"/>
  <c r="A594" i="6" s="1"/>
  <c r="L593" i="6"/>
  <c r="C593" i="6" s="1"/>
  <c r="K593" i="6"/>
  <c r="B593" i="6" s="1"/>
  <c r="J593" i="6"/>
  <c r="A593" i="6" s="1"/>
  <c r="L592" i="6"/>
  <c r="C592" i="6" s="1"/>
  <c r="K592" i="6"/>
  <c r="B592" i="6" s="1"/>
  <c r="J592" i="6"/>
  <c r="A592" i="6" s="1"/>
  <c r="L591" i="6"/>
  <c r="C591" i="6" s="1"/>
  <c r="K591" i="6"/>
  <c r="B591" i="6" s="1"/>
  <c r="J591" i="6"/>
  <c r="A591" i="6" s="1"/>
  <c r="L590" i="6"/>
  <c r="C590" i="6" s="1"/>
  <c r="K590" i="6"/>
  <c r="B590" i="6" s="1"/>
  <c r="J590" i="6"/>
  <c r="A590" i="6" s="1"/>
  <c r="L589" i="6"/>
  <c r="C589" i="6" s="1"/>
  <c r="K589" i="6"/>
  <c r="B589" i="6" s="1"/>
  <c r="J589" i="6"/>
  <c r="A589" i="6" s="1"/>
  <c r="L588" i="6"/>
  <c r="C588" i="6" s="1"/>
  <c r="K588" i="6"/>
  <c r="B588" i="6" s="1"/>
  <c r="J588" i="6"/>
  <c r="A588" i="6" s="1"/>
  <c r="L587" i="6"/>
  <c r="C587" i="6" s="1"/>
  <c r="K587" i="6"/>
  <c r="B587" i="6" s="1"/>
  <c r="J587" i="6"/>
  <c r="A587" i="6" s="1"/>
  <c r="L586" i="6"/>
  <c r="C586" i="6" s="1"/>
  <c r="K586" i="6"/>
  <c r="B586" i="6" s="1"/>
  <c r="J586" i="6"/>
  <c r="A586" i="6" s="1"/>
  <c r="L585" i="6"/>
  <c r="C585" i="6" s="1"/>
  <c r="K585" i="6"/>
  <c r="B585" i="6" s="1"/>
  <c r="J585" i="6"/>
  <c r="A585" i="6" s="1"/>
  <c r="L584" i="6"/>
  <c r="C584" i="6" s="1"/>
  <c r="K584" i="6"/>
  <c r="B584" i="6" s="1"/>
  <c r="J584" i="6"/>
  <c r="A584" i="6" s="1"/>
  <c r="L583" i="6"/>
  <c r="C583" i="6" s="1"/>
  <c r="K583" i="6"/>
  <c r="B583" i="6" s="1"/>
  <c r="J583" i="6"/>
  <c r="A583" i="6" s="1"/>
  <c r="L582" i="6"/>
  <c r="C582" i="6" s="1"/>
  <c r="K582" i="6"/>
  <c r="B582" i="6" s="1"/>
  <c r="J582" i="6"/>
  <c r="A582" i="6" s="1"/>
  <c r="L581" i="6"/>
  <c r="C581" i="6" s="1"/>
  <c r="K581" i="6"/>
  <c r="B581" i="6" s="1"/>
  <c r="J581" i="6"/>
  <c r="A581" i="6" s="1"/>
  <c r="L580" i="6"/>
  <c r="C580" i="6" s="1"/>
  <c r="K580" i="6"/>
  <c r="B580" i="6" s="1"/>
  <c r="J580" i="6"/>
  <c r="A580" i="6" s="1"/>
  <c r="L579" i="6"/>
  <c r="C579" i="6" s="1"/>
  <c r="K579" i="6"/>
  <c r="B579" i="6" s="1"/>
  <c r="J579" i="6"/>
  <c r="A579" i="6" s="1"/>
  <c r="L578" i="6"/>
  <c r="C578" i="6" s="1"/>
  <c r="K578" i="6"/>
  <c r="B578" i="6" s="1"/>
  <c r="J578" i="6"/>
  <c r="A578" i="6" s="1"/>
  <c r="L577" i="6"/>
  <c r="C577" i="6" s="1"/>
  <c r="K577" i="6"/>
  <c r="B577" i="6" s="1"/>
  <c r="J577" i="6"/>
  <c r="A577" i="6" s="1"/>
  <c r="L576" i="6"/>
  <c r="C576" i="6" s="1"/>
  <c r="K576" i="6"/>
  <c r="B576" i="6" s="1"/>
  <c r="J576" i="6"/>
  <c r="A576" i="6" s="1"/>
  <c r="L575" i="6"/>
  <c r="C575" i="6" s="1"/>
  <c r="K575" i="6"/>
  <c r="B575" i="6" s="1"/>
  <c r="J575" i="6"/>
  <c r="A575" i="6" s="1"/>
  <c r="L574" i="6"/>
  <c r="C574" i="6" s="1"/>
  <c r="K574" i="6"/>
  <c r="B574" i="6" s="1"/>
  <c r="J574" i="6"/>
  <c r="A574" i="6" s="1"/>
  <c r="L573" i="6"/>
  <c r="C573" i="6" s="1"/>
  <c r="K573" i="6"/>
  <c r="B573" i="6" s="1"/>
  <c r="J573" i="6"/>
  <c r="A573" i="6" s="1"/>
  <c r="L572" i="6"/>
  <c r="C572" i="6" s="1"/>
  <c r="K572" i="6"/>
  <c r="B572" i="6" s="1"/>
  <c r="J572" i="6"/>
  <c r="A572" i="6" s="1"/>
  <c r="L571" i="6"/>
  <c r="C571" i="6" s="1"/>
  <c r="K571" i="6"/>
  <c r="B571" i="6" s="1"/>
  <c r="J571" i="6"/>
  <c r="A571" i="6" s="1"/>
  <c r="L570" i="6"/>
  <c r="C570" i="6" s="1"/>
  <c r="K570" i="6"/>
  <c r="B570" i="6" s="1"/>
  <c r="J570" i="6"/>
  <c r="A570" i="6" s="1"/>
  <c r="L569" i="6"/>
  <c r="C569" i="6" s="1"/>
  <c r="K569" i="6"/>
  <c r="B569" i="6" s="1"/>
  <c r="J569" i="6"/>
  <c r="A569" i="6" s="1"/>
  <c r="L568" i="6"/>
  <c r="C568" i="6" s="1"/>
  <c r="K568" i="6"/>
  <c r="B568" i="6" s="1"/>
  <c r="J568" i="6"/>
  <c r="A568" i="6" s="1"/>
  <c r="L567" i="6"/>
  <c r="C567" i="6" s="1"/>
  <c r="K567" i="6"/>
  <c r="B567" i="6" s="1"/>
  <c r="J567" i="6"/>
  <c r="A567" i="6" s="1"/>
  <c r="L566" i="6"/>
  <c r="C566" i="6" s="1"/>
  <c r="K566" i="6"/>
  <c r="B566" i="6" s="1"/>
  <c r="J566" i="6"/>
  <c r="A566" i="6" s="1"/>
  <c r="L565" i="6"/>
  <c r="C565" i="6" s="1"/>
  <c r="K565" i="6"/>
  <c r="B565" i="6" s="1"/>
  <c r="J565" i="6"/>
  <c r="A565" i="6" s="1"/>
  <c r="L564" i="6"/>
  <c r="C564" i="6" s="1"/>
  <c r="K564" i="6"/>
  <c r="B564" i="6" s="1"/>
  <c r="J564" i="6"/>
  <c r="A564" i="6" s="1"/>
  <c r="L563" i="6"/>
  <c r="C563" i="6" s="1"/>
  <c r="K563" i="6"/>
  <c r="B563" i="6" s="1"/>
  <c r="J563" i="6"/>
  <c r="A563" i="6" s="1"/>
  <c r="L562" i="6"/>
  <c r="C562" i="6" s="1"/>
  <c r="K562" i="6"/>
  <c r="B562" i="6" s="1"/>
  <c r="J562" i="6"/>
  <c r="A562" i="6" s="1"/>
  <c r="L561" i="6"/>
  <c r="C561" i="6" s="1"/>
  <c r="K561" i="6"/>
  <c r="B561" i="6" s="1"/>
  <c r="J561" i="6"/>
  <c r="A561" i="6" s="1"/>
  <c r="L560" i="6"/>
  <c r="C560" i="6" s="1"/>
  <c r="K560" i="6"/>
  <c r="B560" i="6" s="1"/>
  <c r="J560" i="6"/>
  <c r="A560" i="6" s="1"/>
  <c r="L559" i="6"/>
  <c r="C559" i="6" s="1"/>
  <c r="K559" i="6"/>
  <c r="B559" i="6" s="1"/>
  <c r="J559" i="6"/>
  <c r="A559" i="6" s="1"/>
  <c r="L558" i="6"/>
  <c r="C558" i="6" s="1"/>
  <c r="K558" i="6"/>
  <c r="B558" i="6" s="1"/>
  <c r="J558" i="6"/>
  <c r="A558" i="6" s="1"/>
  <c r="L557" i="6"/>
  <c r="C557" i="6" s="1"/>
  <c r="K557" i="6"/>
  <c r="B557" i="6" s="1"/>
  <c r="J557" i="6"/>
  <c r="A557" i="6" s="1"/>
  <c r="L556" i="6"/>
  <c r="C556" i="6" s="1"/>
  <c r="K556" i="6"/>
  <c r="B556" i="6" s="1"/>
  <c r="J556" i="6"/>
  <c r="A556" i="6" s="1"/>
  <c r="L555" i="6"/>
  <c r="C555" i="6" s="1"/>
  <c r="K555" i="6"/>
  <c r="B555" i="6" s="1"/>
  <c r="J555" i="6"/>
  <c r="A555" i="6" s="1"/>
  <c r="L554" i="6"/>
  <c r="C554" i="6" s="1"/>
  <c r="K554" i="6"/>
  <c r="B554" i="6" s="1"/>
  <c r="J554" i="6"/>
  <c r="A554" i="6" s="1"/>
  <c r="L553" i="6"/>
  <c r="C553" i="6" s="1"/>
  <c r="K553" i="6"/>
  <c r="B553" i="6" s="1"/>
  <c r="J553" i="6"/>
  <c r="A553" i="6" s="1"/>
  <c r="L552" i="6"/>
  <c r="C552" i="6" s="1"/>
  <c r="K552" i="6"/>
  <c r="B552" i="6" s="1"/>
  <c r="J552" i="6"/>
  <c r="A552" i="6" s="1"/>
  <c r="L551" i="6"/>
  <c r="C551" i="6" s="1"/>
  <c r="K551" i="6"/>
  <c r="B551" i="6" s="1"/>
  <c r="J551" i="6"/>
  <c r="A551" i="6" s="1"/>
  <c r="L550" i="6"/>
  <c r="C550" i="6" s="1"/>
  <c r="K550" i="6"/>
  <c r="B550" i="6" s="1"/>
  <c r="J550" i="6"/>
  <c r="A550" i="6" s="1"/>
  <c r="L549" i="6"/>
  <c r="C549" i="6" s="1"/>
  <c r="K549" i="6"/>
  <c r="B549" i="6" s="1"/>
  <c r="J549" i="6"/>
  <c r="A549" i="6" s="1"/>
  <c r="L548" i="6"/>
  <c r="C548" i="6" s="1"/>
  <c r="K548" i="6"/>
  <c r="B548" i="6" s="1"/>
  <c r="J548" i="6"/>
  <c r="A548" i="6" s="1"/>
  <c r="L547" i="6"/>
  <c r="C547" i="6" s="1"/>
  <c r="K547" i="6"/>
  <c r="B547" i="6" s="1"/>
  <c r="J547" i="6"/>
  <c r="A547" i="6" s="1"/>
  <c r="L546" i="6"/>
  <c r="C546" i="6" s="1"/>
  <c r="K546" i="6"/>
  <c r="B546" i="6" s="1"/>
  <c r="J546" i="6"/>
  <c r="A546" i="6" s="1"/>
  <c r="L545" i="6"/>
  <c r="C545" i="6" s="1"/>
  <c r="K545" i="6"/>
  <c r="B545" i="6" s="1"/>
  <c r="J545" i="6"/>
  <c r="A545" i="6" s="1"/>
  <c r="L544" i="6"/>
  <c r="C544" i="6" s="1"/>
  <c r="K544" i="6"/>
  <c r="B544" i="6" s="1"/>
  <c r="J544" i="6"/>
  <c r="A544" i="6" s="1"/>
  <c r="L543" i="6"/>
  <c r="C543" i="6" s="1"/>
  <c r="K543" i="6"/>
  <c r="B543" i="6" s="1"/>
  <c r="J543" i="6"/>
  <c r="A543" i="6" s="1"/>
  <c r="L542" i="6"/>
  <c r="C542" i="6" s="1"/>
  <c r="K542" i="6"/>
  <c r="B542" i="6" s="1"/>
  <c r="J542" i="6"/>
  <c r="A542" i="6" s="1"/>
  <c r="L541" i="6"/>
  <c r="C541" i="6" s="1"/>
  <c r="K541" i="6"/>
  <c r="B541" i="6" s="1"/>
  <c r="J541" i="6"/>
  <c r="A541" i="6" s="1"/>
  <c r="L540" i="6"/>
  <c r="C540" i="6" s="1"/>
  <c r="K540" i="6"/>
  <c r="B540" i="6" s="1"/>
  <c r="J540" i="6"/>
  <c r="A540" i="6" s="1"/>
  <c r="L539" i="6"/>
  <c r="C539" i="6" s="1"/>
  <c r="K539" i="6"/>
  <c r="B539" i="6" s="1"/>
  <c r="J539" i="6"/>
  <c r="A539" i="6" s="1"/>
  <c r="L538" i="6"/>
  <c r="C538" i="6" s="1"/>
  <c r="K538" i="6"/>
  <c r="B538" i="6" s="1"/>
  <c r="J538" i="6"/>
  <c r="A538" i="6" s="1"/>
  <c r="L537" i="6"/>
  <c r="C537" i="6" s="1"/>
  <c r="K537" i="6"/>
  <c r="B537" i="6" s="1"/>
  <c r="J537" i="6"/>
  <c r="A537" i="6" s="1"/>
  <c r="L536" i="6"/>
  <c r="C536" i="6" s="1"/>
  <c r="K536" i="6"/>
  <c r="B536" i="6" s="1"/>
  <c r="J536" i="6"/>
  <c r="A536" i="6" s="1"/>
  <c r="L535" i="6"/>
  <c r="C535" i="6" s="1"/>
  <c r="K535" i="6"/>
  <c r="B535" i="6" s="1"/>
  <c r="J535" i="6"/>
  <c r="A535" i="6" s="1"/>
  <c r="L534" i="6"/>
  <c r="C534" i="6" s="1"/>
  <c r="K534" i="6"/>
  <c r="B534" i="6" s="1"/>
  <c r="J534" i="6"/>
  <c r="A534" i="6" s="1"/>
  <c r="L533" i="6"/>
  <c r="C533" i="6" s="1"/>
  <c r="K533" i="6"/>
  <c r="B533" i="6" s="1"/>
  <c r="J533" i="6"/>
  <c r="A533" i="6" s="1"/>
  <c r="L532" i="6"/>
  <c r="C532" i="6" s="1"/>
  <c r="K532" i="6"/>
  <c r="B532" i="6" s="1"/>
  <c r="J532" i="6"/>
  <c r="A532" i="6" s="1"/>
  <c r="L531" i="6"/>
  <c r="C531" i="6" s="1"/>
  <c r="K531" i="6"/>
  <c r="B531" i="6" s="1"/>
  <c r="J531" i="6"/>
  <c r="A531" i="6" s="1"/>
  <c r="L530" i="6"/>
  <c r="C530" i="6" s="1"/>
  <c r="K530" i="6"/>
  <c r="B530" i="6" s="1"/>
  <c r="J530" i="6"/>
  <c r="A530" i="6" s="1"/>
  <c r="L529" i="6"/>
  <c r="C529" i="6" s="1"/>
  <c r="K529" i="6"/>
  <c r="B529" i="6" s="1"/>
  <c r="J529" i="6"/>
  <c r="A529" i="6" s="1"/>
  <c r="L528" i="6"/>
  <c r="C528" i="6" s="1"/>
  <c r="K528" i="6"/>
  <c r="B528" i="6" s="1"/>
  <c r="J528" i="6"/>
  <c r="A528" i="6" s="1"/>
  <c r="L527" i="6"/>
  <c r="C527" i="6" s="1"/>
  <c r="K527" i="6"/>
  <c r="B527" i="6" s="1"/>
  <c r="J527" i="6"/>
  <c r="A527" i="6" s="1"/>
  <c r="L526" i="6"/>
  <c r="C526" i="6" s="1"/>
  <c r="K526" i="6"/>
  <c r="B526" i="6" s="1"/>
  <c r="J526" i="6"/>
  <c r="A526" i="6" s="1"/>
  <c r="L525" i="6"/>
  <c r="C525" i="6" s="1"/>
  <c r="K525" i="6"/>
  <c r="B525" i="6" s="1"/>
  <c r="J525" i="6"/>
  <c r="A525" i="6" s="1"/>
  <c r="L524" i="6"/>
  <c r="C524" i="6" s="1"/>
  <c r="K524" i="6"/>
  <c r="B524" i="6" s="1"/>
  <c r="J524" i="6"/>
  <c r="A524" i="6" s="1"/>
  <c r="L523" i="6"/>
  <c r="C523" i="6" s="1"/>
  <c r="K523" i="6"/>
  <c r="B523" i="6" s="1"/>
  <c r="J523" i="6"/>
  <c r="A523" i="6" s="1"/>
  <c r="L522" i="6"/>
  <c r="C522" i="6" s="1"/>
  <c r="K522" i="6"/>
  <c r="B522" i="6" s="1"/>
  <c r="J522" i="6"/>
  <c r="A522" i="6" s="1"/>
  <c r="L521" i="6"/>
  <c r="C521" i="6" s="1"/>
  <c r="K521" i="6"/>
  <c r="B521" i="6" s="1"/>
  <c r="J521" i="6"/>
  <c r="A521" i="6" s="1"/>
  <c r="L520" i="6"/>
  <c r="C520" i="6" s="1"/>
  <c r="K520" i="6"/>
  <c r="B520" i="6" s="1"/>
  <c r="J520" i="6"/>
  <c r="A520" i="6" s="1"/>
  <c r="L519" i="6"/>
  <c r="C519" i="6" s="1"/>
  <c r="K519" i="6"/>
  <c r="B519" i="6" s="1"/>
  <c r="J519" i="6"/>
  <c r="A519" i="6" s="1"/>
  <c r="L518" i="6"/>
  <c r="C518" i="6" s="1"/>
  <c r="K518" i="6"/>
  <c r="B518" i="6" s="1"/>
  <c r="J518" i="6"/>
  <c r="A518" i="6" s="1"/>
  <c r="L517" i="6"/>
  <c r="C517" i="6" s="1"/>
  <c r="K517" i="6"/>
  <c r="B517" i="6" s="1"/>
  <c r="J517" i="6"/>
  <c r="A517" i="6" s="1"/>
  <c r="L516" i="6"/>
  <c r="C516" i="6" s="1"/>
  <c r="K516" i="6"/>
  <c r="B516" i="6" s="1"/>
  <c r="J516" i="6"/>
  <c r="A516" i="6" s="1"/>
  <c r="L515" i="6"/>
  <c r="C515" i="6" s="1"/>
  <c r="K515" i="6"/>
  <c r="B515" i="6" s="1"/>
  <c r="J515" i="6"/>
  <c r="A515" i="6" s="1"/>
  <c r="L514" i="6"/>
  <c r="C514" i="6" s="1"/>
  <c r="K514" i="6"/>
  <c r="B514" i="6" s="1"/>
  <c r="J514" i="6"/>
  <c r="A514" i="6" s="1"/>
  <c r="L513" i="6"/>
  <c r="C513" i="6" s="1"/>
  <c r="K513" i="6"/>
  <c r="B513" i="6" s="1"/>
  <c r="J513" i="6"/>
  <c r="A513" i="6" s="1"/>
  <c r="L512" i="6"/>
  <c r="C512" i="6" s="1"/>
  <c r="K512" i="6"/>
  <c r="B512" i="6" s="1"/>
  <c r="J512" i="6"/>
  <c r="A512" i="6" s="1"/>
  <c r="L511" i="6"/>
  <c r="C511" i="6" s="1"/>
  <c r="K511" i="6"/>
  <c r="B511" i="6" s="1"/>
  <c r="J511" i="6"/>
  <c r="A511" i="6" s="1"/>
  <c r="L510" i="6"/>
  <c r="C510" i="6" s="1"/>
  <c r="K510" i="6"/>
  <c r="B510" i="6" s="1"/>
  <c r="J510" i="6"/>
  <c r="A510" i="6" s="1"/>
  <c r="L509" i="6"/>
  <c r="C509" i="6" s="1"/>
  <c r="K509" i="6"/>
  <c r="B509" i="6" s="1"/>
  <c r="J509" i="6"/>
  <c r="A509" i="6" s="1"/>
  <c r="L508" i="6"/>
  <c r="C508" i="6" s="1"/>
  <c r="K508" i="6"/>
  <c r="B508" i="6" s="1"/>
  <c r="J508" i="6"/>
  <c r="A508" i="6" s="1"/>
  <c r="L507" i="6"/>
  <c r="C507" i="6" s="1"/>
  <c r="K507" i="6"/>
  <c r="B507" i="6" s="1"/>
  <c r="J507" i="6"/>
  <c r="A507" i="6" s="1"/>
  <c r="L506" i="6"/>
  <c r="C506" i="6" s="1"/>
  <c r="K506" i="6"/>
  <c r="B506" i="6" s="1"/>
  <c r="J506" i="6"/>
  <c r="A506" i="6" s="1"/>
  <c r="L505" i="6"/>
  <c r="C505" i="6" s="1"/>
  <c r="K505" i="6"/>
  <c r="B505" i="6" s="1"/>
  <c r="J505" i="6"/>
  <c r="A505" i="6" s="1"/>
  <c r="L504" i="6"/>
  <c r="C504" i="6" s="1"/>
  <c r="K504" i="6"/>
  <c r="B504" i="6" s="1"/>
  <c r="J504" i="6"/>
  <c r="A504" i="6" s="1"/>
  <c r="L503" i="6"/>
  <c r="C503" i="6" s="1"/>
  <c r="K503" i="6"/>
  <c r="B503" i="6" s="1"/>
  <c r="J503" i="6"/>
  <c r="A503" i="6" s="1"/>
  <c r="L502" i="6"/>
  <c r="C502" i="6" s="1"/>
  <c r="K502" i="6"/>
  <c r="B502" i="6" s="1"/>
  <c r="J502" i="6"/>
  <c r="A502" i="6" s="1"/>
  <c r="L501" i="6"/>
  <c r="C501" i="6" s="1"/>
  <c r="K501" i="6"/>
  <c r="B501" i="6" s="1"/>
  <c r="J501" i="6"/>
  <c r="A501" i="6" s="1"/>
  <c r="L500" i="6"/>
  <c r="C500" i="6" s="1"/>
  <c r="K500" i="6"/>
  <c r="B500" i="6" s="1"/>
  <c r="J500" i="6"/>
  <c r="A500" i="6" s="1"/>
  <c r="L499" i="6"/>
  <c r="C499" i="6" s="1"/>
  <c r="K499" i="6"/>
  <c r="B499" i="6" s="1"/>
  <c r="J499" i="6"/>
  <c r="A499" i="6" s="1"/>
  <c r="L498" i="6"/>
  <c r="C498" i="6" s="1"/>
  <c r="K498" i="6"/>
  <c r="B498" i="6" s="1"/>
  <c r="J498" i="6"/>
  <c r="A498" i="6" s="1"/>
  <c r="L497" i="6"/>
  <c r="C497" i="6" s="1"/>
  <c r="K497" i="6"/>
  <c r="B497" i="6" s="1"/>
  <c r="J497" i="6"/>
  <c r="A497" i="6" s="1"/>
  <c r="L496" i="6"/>
  <c r="C496" i="6" s="1"/>
  <c r="K496" i="6"/>
  <c r="B496" i="6" s="1"/>
  <c r="J496" i="6"/>
  <c r="A496" i="6" s="1"/>
  <c r="L495" i="6"/>
  <c r="C495" i="6" s="1"/>
  <c r="K495" i="6"/>
  <c r="B495" i="6" s="1"/>
  <c r="J495" i="6"/>
  <c r="A495" i="6" s="1"/>
  <c r="L494" i="6"/>
  <c r="C494" i="6" s="1"/>
  <c r="K494" i="6"/>
  <c r="B494" i="6" s="1"/>
  <c r="J494" i="6"/>
  <c r="A494" i="6" s="1"/>
  <c r="L493" i="6"/>
  <c r="C493" i="6" s="1"/>
  <c r="K493" i="6"/>
  <c r="B493" i="6" s="1"/>
  <c r="J493" i="6"/>
  <c r="A493" i="6" s="1"/>
  <c r="L492" i="6"/>
  <c r="C492" i="6" s="1"/>
  <c r="K492" i="6"/>
  <c r="B492" i="6" s="1"/>
  <c r="J492" i="6"/>
  <c r="A492" i="6" s="1"/>
  <c r="L491" i="6"/>
  <c r="C491" i="6" s="1"/>
  <c r="K491" i="6"/>
  <c r="B491" i="6" s="1"/>
  <c r="J491" i="6"/>
  <c r="A491" i="6" s="1"/>
  <c r="L490" i="6"/>
  <c r="C490" i="6" s="1"/>
  <c r="K490" i="6"/>
  <c r="B490" i="6" s="1"/>
  <c r="J490" i="6"/>
  <c r="A490" i="6" s="1"/>
  <c r="L489" i="6"/>
  <c r="C489" i="6" s="1"/>
  <c r="K489" i="6"/>
  <c r="B489" i="6" s="1"/>
  <c r="J489" i="6"/>
  <c r="A489" i="6" s="1"/>
  <c r="L488" i="6"/>
  <c r="C488" i="6" s="1"/>
  <c r="K488" i="6"/>
  <c r="B488" i="6" s="1"/>
  <c r="J488" i="6"/>
  <c r="A488" i="6" s="1"/>
  <c r="L487" i="6"/>
  <c r="C487" i="6" s="1"/>
  <c r="K487" i="6"/>
  <c r="B487" i="6" s="1"/>
  <c r="J487" i="6"/>
  <c r="A487" i="6" s="1"/>
  <c r="L486" i="6"/>
  <c r="C486" i="6" s="1"/>
  <c r="K486" i="6"/>
  <c r="B486" i="6" s="1"/>
  <c r="J486" i="6"/>
  <c r="A486" i="6" s="1"/>
  <c r="L485" i="6"/>
  <c r="C485" i="6" s="1"/>
  <c r="K485" i="6"/>
  <c r="B485" i="6" s="1"/>
  <c r="J485" i="6"/>
  <c r="A485" i="6" s="1"/>
  <c r="L484" i="6"/>
  <c r="C484" i="6" s="1"/>
  <c r="K484" i="6"/>
  <c r="B484" i="6" s="1"/>
  <c r="J484" i="6"/>
  <c r="A484" i="6" s="1"/>
  <c r="L483" i="6"/>
  <c r="C483" i="6" s="1"/>
  <c r="K483" i="6"/>
  <c r="B483" i="6" s="1"/>
  <c r="J483" i="6"/>
  <c r="A483" i="6" s="1"/>
  <c r="L482" i="6"/>
  <c r="C482" i="6" s="1"/>
  <c r="K482" i="6"/>
  <c r="B482" i="6" s="1"/>
  <c r="J482" i="6"/>
  <c r="A482" i="6" s="1"/>
  <c r="L481" i="6"/>
  <c r="C481" i="6" s="1"/>
  <c r="K481" i="6"/>
  <c r="B481" i="6" s="1"/>
  <c r="J481" i="6"/>
  <c r="A481" i="6" s="1"/>
  <c r="L480" i="6"/>
  <c r="C480" i="6" s="1"/>
  <c r="K480" i="6"/>
  <c r="B480" i="6" s="1"/>
  <c r="J480" i="6"/>
  <c r="A480" i="6" s="1"/>
  <c r="L479" i="6"/>
  <c r="C479" i="6" s="1"/>
  <c r="K479" i="6"/>
  <c r="B479" i="6" s="1"/>
  <c r="J479" i="6"/>
  <c r="A479" i="6" s="1"/>
  <c r="L478" i="6"/>
  <c r="C478" i="6" s="1"/>
  <c r="K478" i="6"/>
  <c r="B478" i="6" s="1"/>
  <c r="J478" i="6"/>
  <c r="A478" i="6" s="1"/>
  <c r="L477" i="6"/>
  <c r="C477" i="6" s="1"/>
  <c r="K477" i="6"/>
  <c r="B477" i="6" s="1"/>
  <c r="J477" i="6"/>
  <c r="A477" i="6" s="1"/>
  <c r="L476" i="6"/>
  <c r="C476" i="6" s="1"/>
  <c r="K476" i="6"/>
  <c r="B476" i="6" s="1"/>
  <c r="J476" i="6"/>
  <c r="A476" i="6" s="1"/>
  <c r="L475" i="6"/>
  <c r="C475" i="6" s="1"/>
  <c r="K475" i="6"/>
  <c r="B475" i="6" s="1"/>
  <c r="J475" i="6"/>
  <c r="A475" i="6" s="1"/>
  <c r="L474" i="6"/>
  <c r="C474" i="6" s="1"/>
  <c r="K474" i="6"/>
  <c r="B474" i="6" s="1"/>
  <c r="J474" i="6"/>
  <c r="A474" i="6" s="1"/>
  <c r="L473" i="6"/>
  <c r="C473" i="6" s="1"/>
  <c r="K473" i="6"/>
  <c r="B473" i="6" s="1"/>
  <c r="J473" i="6"/>
  <c r="A473" i="6" s="1"/>
  <c r="L472" i="6"/>
  <c r="C472" i="6" s="1"/>
  <c r="K472" i="6"/>
  <c r="B472" i="6" s="1"/>
  <c r="J472" i="6"/>
  <c r="A472" i="6" s="1"/>
  <c r="L471" i="6"/>
  <c r="C471" i="6" s="1"/>
  <c r="K471" i="6"/>
  <c r="B471" i="6" s="1"/>
  <c r="J471" i="6"/>
  <c r="A471" i="6" s="1"/>
  <c r="L470" i="6"/>
  <c r="C470" i="6" s="1"/>
  <c r="K470" i="6"/>
  <c r="B470" i="6" s="1"/>
  <c r="J470" i="6"/>
  <c r="A470" i="6" s="1"/>
  <c r="L469" i="6"/>
  <c r="C469" i="6" s="1"/>
  <c r="K469" i="6"/>
  <c r="B469" i="6" s="1"/>
  <c r="J469" i="6"/>
  <c r="A469" i="6" s="1"/>
  <c r="L468" i="6"/>
  <c r="C468" i="6" s="1"/>
  <c r="K468" i="6"/>
  <c r="B468" i="6" s="1"/>
  <c r="J468" i="6"/>
  <c r="A468" i="6" s="1"/>
  <c r="L467" i="6"/>
  <c r="C467" i="6" s="1"/>
  <c r="K467" i="6"/>
  <c r="B467" i="6" s="1"/>
  <c r="J467" i="6"/>
  <c r="A467" i="6" s="1"/>
  <c r="L466" i="6"/>
  <c r="C466" i="6" s="1"/>
  <c r="K466" i="6"/>
  <c r="B466" i="6" s="1"/>
  <c r="J466" i="6"/>
  <c r="A466" i="6" s="1"/>
  <c r="L465" i="6"/>
  <c r="C465" i="6" s="1"/>
  <c r="K465" i="6"/>
  <c r="B465" i="6" s="1"/>
  <c r="J465" i="6"/>
  <c r="A465" i="6" s="1"/>
  <c r="L464" i="6"/>
  <c r="C464" i="6" s="1"/>
  <c r="K464" i="6"/>
  <c r="B464" i="6" s="1"/>
  <c r="J464" i="6"/>
  <c r="A464" i="6" s="1"/>
  <c r="L463" i="6"/>
  <c r="C463" i="6" s="1"/>
  <c r="K463" i="6"/>
  <c r="B463" i="6" s="1"/>
  <c r="J463" i="6"/>
  <c r="A463" i="6" s="1"/>
  <c r="L462" i="6"/>
  <c r="C462" i="6" s="1"/>
  <c r="K462" i="6"/>
  <c r="B462" i="6" s="1"/>
  <c r="J462" i="6"/>
  <c r="A462" i="6" s="1"/>
  <c r="L461" i="6"/>
  <c r="C461" i="6" s="1"/>
  <c r="K461" i="6"/>
  <c r="B461" i="6" s="1"/>
  <c r="J461" i="6"/>
  <c r="A461" i="6" s="1"/>
  <c r="L460" i="6"/>
  <c r="C460" i="6" s="1"/>
  <c r="K460" i="6"/>
  <c r="B460" i="6" s="1"/>
  <c r="J460" i="6"/>
  <c r="A460" i="6" s="1"/>
  <c r="L459" i="6"/>
  <c r="C459" i="6" s="1"/>
  <c r="K459" i="6"/>
  <c r="B459" i="6" s="1"/>
  <c r="J459" i="6"/>
  <c r="A459" i="6" s="1"/>
  <c r="L458" i="6"/>
  <c r="C458" i="6" s="1"/>
  <c r="K458" i="6"/>
  <c r="B458" i="6" s="1"/>
  <c r="J458" i="6"/>
  <c r="A458" i="6" s="1"/>
  <c r="L457" i="6"/>
  <c r="C457" i="6" s="1"/>
  <c r="K457" i="6"/>
  <c r="B457" i="6" s="1"/>
  <c r="J457" i="6"/>
  <c r="A457" i="6" s="1"/>
  <c r="L456" i="6"/>
  <c r="C456" i="6" s="1"/>
  <c r="K456" i="6"/>
  <c r="B456" i="6" s="1"/>
  <c r="J456" i="6"/>
  <c r="A456" i="6" s="1"/>
  <c r="L455" i="6"/>
  <c r="C455" i="6" s="1"/>
  <c r="K455" i="6"/>
  <c r="B455" i="6" s="1"/>
  <c r="J455" i="6"/>
  <c r="A455" i="6" s="1"/>
  <c r="L454" i="6"/>
  <c r="C454" i="6" s="1"/>
  <c r="K454" i="6"/>
  <c r="B454" i="6" s="1"/>
  <c r="J454" i="6"/>
  <c r="A454" i="6" s="1"/>
  <c r="L453" i="6"/>
  <c r="C453" i="6" s="1"/>
  <c r="K453" i="6"/>
  <c r="B453" i="6" s="1"/>
  <c r="J453" i="6"/>
  <c r="A453" i="6" s="1"/>
  <c r="L452" i="6"/>
  <c r="C452" i="6" s="1"/>
  <c r="K452" i="6"/>
  <c r="B452" i="6" s="1"/>
  <c r="J452" i="6"/>
  <c r="A452" i="6" s="1"/>
  <c r="L451" i="6"/>
  <c r="C451" i="6" s="1"/>
  <c r="K451" i="6"/>
  <c r="B451" i="6" s="1"/>
  <c r="J451" i="6"/>
  <c r="A451" i="6" s="1"/>
  <c r="L450" i="6"/>
  <c r="C450" i="6" s="1"/>
  <c r="K450" i="6"/>
  <c r="B450" i="6" s="1"/>
  <c r="J450" i="6"/>
  <c r="A450" i="6" s="1"/>
  <c r="L449" i="6"/>
  <c r="C449" i="6" s="1"/>
  <c r="K449" i="6"/>
  <c r="B449" i="6" s="1"/>
  <c r="J449" i="6"/>
  <c r="A449" i="6" s="1"/>
  <c r="L448" i="6"/>
  <c r="C448" i="6" s="1"/>
  <c r="K448" i="6"/>
  <c r="B448" i="6" s="1"/>
  <c r="J448" i="6"/>
  <c r="A448" i="6" s="1"/>
  <c r="L447" i="6"/>
  <c r="C447" i="6" s="1"/>
  <c r="K447" i="6"/>
  <c r="B447" i="6" s="1"/>
  <c r="J447" i="6"/>
  <c r="A447" i="6" s="1"/>
  <c r="L446" i="6"/>
  <c r="C446" i="6" s="1"/>
  <c r="K446" i="6"/>
  <c r="B446" i="6" s="1"/>
  <c r="J446" i="6"/>
  <c r="A446" i="6" s="1"/>
  <c r="L445" i="6"/>
  <c r="C445" i="6" s="1"/>
  <c r="K445" i="6"/>
  <c r="B445" i="6" s="1"/>
  <c r="J445" i="6"/>
  <c r="A445" i="6" s="1"/>
  <c r="L444" i="6"/>
  <c r="C444" i="6" s="1"/>
  <c r="K444" i="6"/>
  <c r="B444" i="6" s="1"/>
  <c r="J444" i="6"/>
  <c r="A444" i="6" s="1"/>
  <c r="L443" i="6"/>
  <c r="C443" i="6" s="1"/>
  <c r="K443" i="6"/>
  <c r="B443" i="6" s="1"/>
  <c r="J443" i="6"/>
  <c r="A443" i="6" s="1"/>
  <c r="L442" i="6"/>
  <c r="C442" i="6" s="1"/>
  <c r="K442" i="6"/>
  <c r="B442" i="6" s="1"/>
  <c r="J442" i="6"/>
  <c r="A442" i="6" s="1"/>
  <c r="L441" i="6"/>
  <c r="C441" i="6" s="1"/>
  <c r="K441" i="6"/>
  <c r="B441" i="6" s="1"/>
  <c r="J441" i="6"/>
  <c r="A441" i="6" s="1"/>
  <c r="L440" i="6"/>
  <c r="C440" i="6" s="1"/>
  <c r="K440" i="6"/>
  <c r="B440" i="6" s="1"/>
  <c r="J440" i="6"/>
  <c r="A440" i="6" s="1"/>
  <c r="L439" i="6"/>
  <c r="C439" i="6" s="1"/>
  <c r="K439" i="6"/>
  <c r="B439" i="6" s="1"/>
  <c r="J439" i="6"/>
  <c r="A439" i="6" s="1"/>
  <c r="L438" i="6"/>
  <c r="C438" i="6" s="1"/>
  <c r="K438" i="6"/>
  <c r="B438" i="6" s="1"/>
  <c r="J438" i="6"/>
  <c r="A438" i="6" s="1"/>
  <c r="L437" i="6"/>
  <c r="C437" i="6" s="1"/>
  <c r="K437" i="6"/>
  <c r="B437" i="6" s="1"/>
  <c r="J437" i="6"/>
  <c r="A437" i="6" s="1"/>
  <c r="L436" i="6"/>
  <c r="C436" i="6" s="1"/>
  <c r="K436" i="6"/>
  <c r="B436" i="6" s="1"/>
  <c r="J436" i="6"/>
  <c r="A436" i="6" s="1"/>
  <c r="L435" i="6"/>
  <c r="C435" i="6" s="1"/>
  <c r="K435" i="6"/>
  <c r="B435" i="6" s="1"/>
  <c r="J435" i="6"/>
  <c r="A435" i="6" s="1"/>
  <c r="L434" i="6"/>
  <c r="C434" i="6" s="1"/>
  <c r="K434" i="6"/>
  <c r="B434" i="6" s="1"/>
  <c r="J434" i="6"/>
  <c r="A434" i="6" s="1"/>
  <c r="L433" i="6"/>
  <c r="C433" i="6" s="1"/>
  <c r="K433" i="6"/>
  <c r="B433" i="6" s="1"/>
  <c r="J433" i="6"/>
  <c r="A433" i="6" s="1"/>
  <c r="L432" i="6"/>
  <c r="C432" i="6" s="1"/>
  <c r="K432" i="6"/>
  <c r="B432" i="6" s="1"/>
  <c r="J432" i="6"/>
  <c r="A432" i="6" s="1"/>
  <c r="L431" i="6"/>
  <c r="C431" i="6" s="1"/>
  <c r="K431" i="6"/>
  <c r="B431" i="6" s="1"/>
  <c r="J431" i="6"/>
  <c r="A431" i="6" s="1"/>
  <c r="L430" i="6"/>
  <c r="C430" i="6" s="1"/>
  <c r="K430" i="6"/>
  <c r="B430" i="6" s="1"/>
  <c r="J430" i="6"/>
  <c r="A430" i="6" s="1"/>
  <c r="L429" i="6"/>
  <c r="C429" i="6" s="1"/>
  <c r="K429" i="6"/>
  <c r="B429" i="6" s="1"/>
  <c r="J429" i="6"/>
  <c r="A429" i="6" s="1"/>
  <c r="L428" i="6"/>
  <c r="C428" i="6" s="1"/>
  <c r="K428" i="6"/>
  <c r="B428" i="6" s="1"/>
  <c r="J428" i="6"/>
  <c r="A428" i="6" s="1"/>
  <c r="L427" i="6"/>
  <c r="C427" i="6" s="1"/>
  <c r="K427" i="6"/>
  <c r="B427" i="6" s="1"/>
  <c r="J427" i="6"/>
  <c r="A427" i="6" s="1"/>
  <c r="L426" i="6"/>
  <c r="C426" i="6" s="1"/>
  <c r="K426" i="6"/>
  <c r="B426" i="6" s="1"/>
  <c r="J426" i="6"/>
  <c r="A426" i="6" s="1"/>
  <c r="L425" i="6"/>
  <c r="C425" i="6" s="1"/>
  <c r="K425" i="6"/>
  <c r="B425" i="6" s="1"/>
  <c r="J425" i="6"/>
  <c r="A425" i="6" s="1"/>
  <c r="L424" i="6"/>
  <c r="C424" i="6" s="1"/>
  <c r="K424" i="6"/>
  <c r="B424" i="6" s="1"/>
  <c r="J424" i="6"/>
  <c r="A424" i="6" s="1"/>
  <c r="L423" i="6"/>
  <c r="C423" i="6" s="1"/>
  <c r="K423" i="6"/>
  <c r="B423" i="6" s="1"/>
  <c r="J423" i="6"/>
  <c r="A423" i="6" s="1"/>
  <c r="L422" i="6"/>
  <c r="C422" i="6" s="1"/>
  <c r="K422" i="6"/>
  <c r="B422" i="6" s="1"/>
  <c r="J422" i="6"/>
  <c r="A422" i="6" s="1"/>
  <c r="L421" i="6"/>
  <c r="C421" i="6" s="1"/>
  <c r="K421" i="6"/>
  <c r="B421" i="6" s="1"/>
  <c r="J421" i="6"/>
  <c r="A421" i="6" s="1"/>
  <c r="L420" i="6"/>
  <c r="C420" i="6" s="1"/>
  <c r="K420" i="6"/>
  <c r="B420" i="6" s="1"/>
  <c r="J420" i="6"/>
  <c r="A420" i="6" s="1"/>
  <c r="L419" i="6"/>
  <c r="C419" i="6" s="1"/>
  <c r="K419" i="6"/>
  <c r="B419" i="6" s="1"/>
  <c r="J419" i="6"/>
  <c r="A419" i="6" s="1"/>
  <c r="L418" i="6"/>
  <c r="C418" i="6" s="1"/>
  <c r="K418" i="6"/>
  <c r="B418" i="6" s="1"/>
  <c r="J418" i="6"/>
  <c r="A418" i="6" s="1"/>
  <c r="L417" i="6"/>
  <c r="C417" i="6" s="1"/>
  <c r="K417" i="6"/>
  <c r="B417" i="6" s="1"/>
  <c r="J417" i="6"/>
  <c r="A417" i="6" s="1"/>
  <c r="L416" i="6"/>
  <c r="C416" i="6" s="1"/>
  <c r="K416" i="6"/>
  <c r="B416" i="6" s="1"/>
  <c r="J416" i="6"/>
  <c r="A416" i="6" s="1"/>
  <c r="L415" i="6"/>
  <c r="C415" i="6" s="1"/>
  <c r="K415" i="6"/>
  <c r="B415" i="6" s="1"/>
  <c r="J415" i="6"/>
  <c r="A415" i="6" s="1"/>
  <c r="L414" i="6"/>
  <c r="C414" i="6" s="1"/>
  <c r="K414" i="6"/>
  <c r="B414" i="6" s="1"/>
  <c r="J414" i="6"/>
  <c r="A414" i="6" s="1"/>
  <c r="L413" i="6"/>
  <c r="C413" i="6" s="1"/>
  <c r="K413" i="6"/>
  <c r="B413" i="6" s="1"/>
  <c r="J413" i="6"/>
  <c r="A413" i="6" s="1"/>
  <c r="L412" i="6"/>
  <c r="C412" i="6" s="1"/>
  <c r="K412" i="6"/>
  <c r="B412" i="6" s="1"/>
  <c r="J412" i="6"/>
  <c r="A412" i="6" s="1"/>
  <c r="L411" i="6"/>
  <c r="C411" i="6" s="1"/>
  <c r="K411" i="6"/>
  <c r="B411" i="6" s="1"/>
  <c r="J411" i="6"/>
  <c r="A411" i="6" s="1"/>
  <c r="L410" i="6"/>
  <c r="C410" i="6" s="1"/>
  <c r="K410" i="6"/>
  <c r="B410" i="6" s="1"/>
  <c r="J410" i="6"/>
  <c r="A410" i="6" s="1"/>
  <c r="L409" i="6"/>
  <c r="C409" i="6" s="1"/>
  <c r="K409" i="6"/>
  <c r="B409" i="6" s="1"/>
  <c r="J409" i="6"/>
  <c r="A409" i="6" s="1"/>
  <c r="L408" i="6"/>
  <c r="C408" i="6" s="1"/>
  <c r="K408" i="6"/>
  <c r="B408" i="6" s="1"/>
  <c r="J408" i="6"/>
  <c r="A408" i="6" s="1"/>
  <c r="L407" i="6"/>
  <c r="C407" i="6" s="1"/>
  <c r="K407" i="6"/>
  <c r="B407" i="6" s="1"/>
  <c r="J407" i="6"/>
  <c r="A407" i="6" s="1"/>
  <c r="L406" i="6"/>
  <c r="C406" i="6" s="1"/>
  <c r="K406" i="6"/>
  <c r="B406" i="6" s="1"/>
  <c r="J406" i="6"/>
  <c r="A406" i="6" s="1"/>
  <c r="L405" i="6"/>
  <c r="C405" i="6" s="1"/>
  <c r="K405" i="6"/>
  <c r="B405" i="6" s="1"/>
  <c r="J405" i="6"/>
  <c r="A405" i="6" s="1"/>
  <c r="L404" i="6"/>
  <c r="C404" i="6" s="1"/>
  <c r="K404" i="6"/>
  <c r="B404" i="6" s="1"/>
  <c r="J404" i="6"/>
  <c r="A404" i="6" s="1"/>
  <c r="L403" i="6"/>
  <c r="C403" i="6" s="1"/>
  <c r="K403" i="6"/>
  <c r="B403" i="6" s="1"/>
  <c r="J403" i="6"/>
  <c r="A403" i="6" s="1"/>
  <c r="L402" i="6"/>
  <c r="C402" i="6" s="1"/>
  <c r="K402" i="6"/>
  <c r="B402" i="6" s="1"/>
  <c r="J402" i="6"/>
  <c r="A402" i="6" s="1"/>
  <c r="L401" i="6"/>
  <c r="C401" i="6" s="1"/>
  <c r="K401" i="6"/>
  <c r="B401" i="6" s="1"/>
  <c r="J401" i="6"/>
  <c r="A401" i="6" s="1"/>
  <c r="L400" i="6"/>
  <c r="C400" i="6" s="1"/>
  <c r="K400" i="6"/>
  <c r="B400" i="6" s="1"/>
  <c r="J400" i="6"/>
  <c r="A400" i="6" s="1"/>
  <c r="L399" i="6"/>
  <c r="C399" i="6" s="1"/>
  <c r="K399" i="6"/>
  <c r="B399" i="6" s="1"/>
  <c r="J399" i="6"/>
  <c r="A399" i="6" s="1"/>
  <c r="L398" i="6"/>
  <c r="C398" i="6" s="1"/>
  <c r="K398" i="6"/>
  <c r="B398" i="6" s="1"/>
  <c r="J398" i="6"/>
  <c r="A398" i="6" s="1"/>
  <c r="L397" i="6"/>
  <c r="C397" i="6" s="1"/>
  <c r="K397" i="6"/>
  <c r="B397" i="6" s="1"/>
  <c r="J397" i="6"/>
  <c r="A397" i="6" s="1"/>
  <c r="L396" i="6"/>
  <c r="C396" i="6" s="1"/>
  <c r="K396" i="6"/>
  <c r="B396" i="6" s="1"/>
  <c r="J396" i="6"/>
  <c r="A396" i="6" s="1"/>
  <c r="L395" i="6"/>
  <c r="C395" i="6" s="1"/>
  <c r="K395" i="6"/>
  <c r="B395" i="6" s="1"/>
  <c r="J395" i="6"/>
  <c r="A395" i="6" s="1"/>
  <c r="L394" i="6"/>
  <c r="C394" i="6" s="1"/>
  <c r="K394" i="6"/>
  <c r="B394" i="6" s="1"/>
  <c r="J394" i="6"/>
  <c r="A394" i="6" s="1"/>
  <c r="L393" i="6"/>
  <c r="C393" i="6" s="1"/>
  <c r="K393" i="6"/>
  <c r="B393" i="6" s="1"/>
  <c r="J393" i="6"/>
  <c r="A393" i="6" s="1"/>
  <c r="L392" i="6"/>
  <c r="C392" i="6" s="1"/>
  <c r="K392" i="6"/>
  <c r="B392" i="6" s="1"/>
  <c r="J392" i="6"/>
  <c r="A392" i="6" s="1"/>
  <c r="L391" i="6"/>
  <c r="C391" i="6" s="1"/>
  <c r="K391" i="6"/>
  <c r="B391" i="6" s="1"/>
  <c r="J391" i="6"/>
  <c r="A391" i="6" s="1"/>
  <c r="L390" i="6"/>
  <c r="C390" i="6" s="1"/>
  <c r="K390" i="6"/>
  <c r="B390" i="6" s="1"/>
  <c r="J390" i="6"/>
  <c r="A390" i="6" s="1"/>
  <c r="L389" i="6"/>
  <c r="C389" i="6" s="1"/>
  <c r="K389" i="6"/>
  <c r="B389" i="6" s="1"/>
  <c r="J389" i="6"/>
  <c r="A389" i="6" s="1"/>
  <c r="L388" i="6"/>
  <c r="C388" i="6" s="1"/>
  <c r="K388" i="6"/>
  <c r="B388" i="6" s="1"/>
  <c r="J388" i="6"/>
  <c r="A388" i="6" s="1"/>
  <c r="L387" i="6"/>
  <c r="C387" i="6" s="1"/>
  <c r="K387" i="6"/>
  <c r="B387" i="6" s="1"/>
  <c r="J387" i="6"/>
  <c r="A387" i="6" s="1"/>
  <c r="L386" i="6"/>
  <c r="C386" i="6" s="1"/>
  <c r="K386" i="6"/>
  <c r="B386" i="6" s="1"/>
  <c r="J386" i="6"/>
  <c r="A386" i="6" s="1"/>
  <c r="L385" i="6"/>
  <c r="C385" i="6" s="1"/>
  <c r="K385" i="6"/>
  <c r="B385" i="6" s="1"/>
  <c r="J385" i="6"/>
  <c r="A385" i="6" s="1"/>
  <c r="L384" i="6"/>
  <c r="C384" i="6" s="1"/>
  <c r="K384" i="6"/>
  <c r="B384" i="6" s="1"/>
  <c r="J384" i="6"/>
  <c r="A384" i="6" s="1"/>
  <c r="L383" i="6"/>
  <c r="C383" i="6" s="1"/>
  <c r="K383" i="6"/>
  <c r="B383" i="6" s="1"/>
  <c r="J383" i="6"/>
  <c r="A383" i="6" s="1"/>
  <c r="L382" i="6"/>
  <c r="C382" i="6" s="1"/>
  <c r="K382" i="6"/>
  <c r="B382" i="6" s="1"/>
  <c r="J382" i="6"/>
  <c r="A382" i="6" s="1"/>
  <c r="L381" i="6"/>
  <c r="C381" i="6" s="1"/>
  <c r="K381" i="6"/>
  <c r="B381" i="6" s="1"/>
  <c r="J381" i="6"/>
  <c r="A381" i="6" s="1"/>
  <c r="L380" i="6"/>
  <c r="C380" i="6" s="1"/>
  <c r="K380" i="6"/>
  <c r="B380" i="6" s="1"/>
  <c r="J380" i="6"/>
  <c r="A380" i="6" s="1"/>
  <c r="L379" i="6"/>
  <c r="C379" i="6" s="1"/>
  <c r="K379" i="6"/>
  <c r="B379" i="6" s="1"/>
  <c r="J379" i="6"/>
  <c r="A379" i="6" s="1"/>
  <c r="L378" i="6"/>
  <c r="C378" i="6" s="1"/>
  <c r="K378" i="6"/>
  <c r="B378" i="6" s="1"/>
  <c r="J378" i="6"/>
  <c r="A378" i="6" s="1"/>
  <c r="L377" i="6"/>
  <c r="C377" i="6" s="1"/>
  <c r="K377" i="6"/>
  <c r="B377" i="6" s="1"/>
  <c r="J377" i="6"/>
  <c r="A377" i="6" s="1"/>
  <c r="L376" i="6"/>
  <c r="C376" i="6" s="1"/>
  <c r="K376" i="6"/>
  <c r="B376" i="6" s="1"/>
  <c r="J376" i="6"/>
  <c r="A376" i="6" s="1"/>
  <c r="L375" i="6"/>
  <c r="C375" i="6" s="1"/>
  <c r="K375" i="6"/>
  <c r="B375" i="6" s="1"/>
  <c r="J375" i="6"/>
  <c r="A375" i="6" s="1"/>
  <c r="L374" i="6"/>
  <c r="C374" i="6" s="1"/>
  <c r="K374" i="6"/>
  <c r="B374" i="6" s="1"/>
  <c r="J374" i="6"/>
  <c r="A374" i="6" s="1"/>
  <c r="L373" i="6"/>
  <c r="C373" i="6" s="1"/>
  <c r="K373" i="6"/>
  <c r="B373" i="6" s="1"/>
  <c r="J373" i="6"/>
  <c r="A373" i="6" s="1"/>
  <c r="L372" i="6"/>
  <c r="C372" i="6" s="1"/>
  <c r="K372" i="6"/>
  <c r="B372" i="6" s="1"/>
  <c r="J372" i="6"/>
  <c r="A372" i="6" s="1"/>
  <c r="L371" i="6"/>
  <c r="C371" i="6" s="1"/>
  <c r="K371" i="6"/>
  <c r="B371" i="6" s="1"/>
  <c r="J371" i="6"/>
  <c r="A371" i="6" s="1"/>
  <c r="L370" i="6"/>
  <c r="C370" i="6" s="1"/>
  <c r="K370" i="6"/>
  <c r="B370" i="6" s="1"/>
  <c r="J370" i="6"/>
  <c r="A370" i="6" s="1"/>
  <c r="L369" i="6"/>
  <c r="C369" i="6" s="1"/>
  <c r="K369" i="6"/>
  <c r="B369" i="6" s="1"/>
  <c r="J369" i="6"/>
  <c r="A369" i="6" s="1"/>
  <c r="L368" i="6"/>
  <c r="C368" i="6" s="1"/>
  <c r="K368" i="6"/>
  <c r="B368" i="6" s="1"/>
  <c r="J368" i="6"/>
  <c r="A368" i="6" s="1"/>
  <c r="L367" i="6"/>
  <c r="C367" i="6" s="1"/>
  <c r="K367" i="6"/>
  <c r="B367" i="6" s="1"/>
  <c r="J367" i="6"/>
  <c r="A367" i="6" s="1"/>
  <c r="L366" i="6"/>
  <c r="C366" i="6" s="1"/>
  <c r="K366" i="6"/>
  <c r="B366" i="6" s="1"/>
  <c r="J366" i="6"/>
  <c r="A366" i="6" s="1"/>
  <c r="L365" i="6"/>
  <c r="C365" i="6" s="1"/>
  <c r="K365" i="6"/>
  <c r="B365" i="6" s="1"/>
  <c r="J365" i="6"/>
  <c r="A365" i="6" s="1"/>
  <c r="L364" i="6"/>
  <c r="C364" i="6" s="1"/>
  <c r="K364" i="6"/>
  <c r="B364" i="6" s="1"/>
  <c r="J364" i="6"/>
  <c r="A364" i="6" s="1"/>
  <c r="L363" i="6"/>
  <c r="C363" i="6" s="1"/>
  <c r="K363" i="6"/>
  <c r="B363" i="6" s="1"/>
  <c r="J363" i="6"/>
  <c r="A363" i="6" s="1"/>
  <c r="L362" i="6"/>
  <c r="C362" i="6" s="1"/>
  <c r="K362" i="6"/>
  <c r="B362" i="6" s="1"/>
  <c r="J362" i="6"/>
  <c r="A362" i="6" s="1"/>
  <c r="L361" i="6"/>
  <c r="C361" i="6" s="1"/>
  <c r="K361" i="6"/>
  <c r="B361" i="6" s="1"/>
  <c r="J361" i="6"/>
  <c r="A361" i="6" s="1"/>
  <c r="L360" i="6"/>
  <c r="C360" i="6" s="1"/>
  <c r="K360" i="6"/>
  <c r="B360" i="6" s="1"/>
  <c r="J360" i="6"/>
  <c r="A360" i="6" s="1"/>
  <c r="L359" i="6"/>
  <c r="C359" i="6" s="1"/>
  <c r="K359" i="6"/>
  <c r="B359" i="6" s="1"/>
  <c r="J359" i="6"/>
  <c r="A359" i="6" s="1"/>
  <c r="L358" i="6"/>
  <c r="C358" i="6" s="1"/>
  <c r="K358" i="6"/>
  <c r="B358" i="6" s="1"/>
  <c r="J358" i="6"/>
  <c r="A358" i="6" s="1"/>
  <c r="L357" i="6"/>
  <c r="C357" i="6" s="1"/>
  <c r="K357" i="6"/>
  <c r="B357" i="6" s="1"/>
  <c r="J357" i="6"/>
  <c r="A357" i="6" s="1"/>
  <c r="L356" i="6"/>
  <c r="C356" i="6" s="1"/>
  <c r="K356" i="6"/>
  <c r="B356" i="6" s="1"/>
  <c r="J356" i="6"/>
  <c r="A356" i="6" s="1"/>
  <c r="L355" i="6"/>
  <c r="C355" i="6" s="1"/>
  <c r="K355" i="6"/>
  <c r="B355" i="6" s="1"/>
  <c r="J355" i="6"/>
  <c r="A355" i="6" s="1"/>
  <c r="L354" i="6"/>
  <c r="C354" i="6" s="1"/>
  <c r="K354" i="6"/>
  <c r="B354" i="6" s="1"/>
  <c r="J354" i="6"/>
  <c r="A354" i="6" s="1"/>
  <c r="L353" i="6"/>
  <c r="C353" i="6" s="1"/>
  <c r="K353" i="6"/>
  <c r="B353" i="6" s="1"/>
  <c r="J353" i="6"/>
  <c r="A353" i="6" s="1"/>
  <c r="L352" i="6"/>
  <c r="C352" i="6" s="1"/>
  <c r="K352" i="6"/>
  <c r="B352" i="6" s="1"/>
  <c r="J352" i="6"/>
  <c r="A352" i="6" s="1"/>
  <c r="L351" i="6"/>
  <c r="C351" i="6" s="1"/>
  <c r="K351" i="6"/>
  <c r="B351" i="6" s="1"/>
  <c r="J351" i="6"/>
  <c r="A351" i="6" s="1"/>
  <c r="L350" i="6"/>
  <c r="C350" i="6" s="1"/>
  <c r="K350" i="6"/>
  <c r="B350" i="6" s="1"/>
  <c r="J350" i="6"/>
  <c r="A350" i="6" s="1"/>
  <c r="L349" i="6"/>
  <c r="C349" i="6" s="1"/>
  <c r="K349" i="6"/>
  <c r="B349" i="6" s="1"/>
  <c r="J349" i="6"/>
  <c r="A349" i="6" s="1"/>
  <c r="L348" i="6"/>
  <c r="C348" i="6" s="1"/>
  <c r="K348" i="6"/>
  <c r="B348" i="6" s="1"/>
  <c r="J348" i="6"/>
  <c r="A348" i="6" s="1"/>
  <c r="L347" i="6"/>
  <c r="C347" i="6" s="1"/>
  <c r="K347" i="6"/>
  <c r="B347" i="6" s="1"/>
  <c r="J347" i="6"/>
  <c r="A347" i="6" s="1"/>
  <c r="L346" i="6"/>
  <c r="C346" i="6" s="1"/>
  <c r="K346" i="6"/>
  <c r="B346" i="6" s="1"/>
  <c r="J346" i="6"/>
  <c r="A346" i="6" s="1"/>
  <c r="L345" i="6"/>
  <c r="C345" i="6" s="1"/>
  <c r="K345" i="6"/>
  <c r="B345" i="6" s="1"/>
  <c r="J345" i="6"/>
  <c r="A345" i="6" s="1"/>
  <c r="L344" i="6"/>
  <c r="C344" i="6" s="1"/>
  <c r="K344" i="6"/>
  <c r="B344" i="6" s="1"/>
  <c r="J344" i="6"/>
  <c r="A344" i="6" s="1"/>
  <c r="L343" i="6"/>
  <c r="C343" i="6" s="1"/>
  <c r="K343" i="6"/>
  <c r="B343" i="6" s="1"/>
  <c r="J343" i="6"/>
  <c r="A343" i="6" s="1"/>
  <c r="L342" i="6"/>
  <c r="C342" i="6" s="1"/>
  <c r="K342" i="6"/>
  <c r="B342" i="6" s="1"/>
  <c r="J342" i="6"/>
  <c r="A342" i="6" s="1"/>
  <c r="L341" i="6"/>
  <c r="C341" i="6" s="1"/>
  <c r="K341" i="6"/>
  <c r="B341" i="6" s="1"/>
  <c r="J341" i="6"/>
  <c r="A341" i="6" s="1"/>
  <c r="L340" i="6"/>
  <c r="C340" i="6" s="1"/>
  <c r="K340" i="6"/>
  <c r="B340" i="6" s="1"/>
  <c r="J340" i="6"/>
  <c r="A340" i="6" s="1"/>
  <c r="L339" i="6"/>
  <c r="C339" i="6" s="1"/>
  <c r="K339" i="6"/>
  <c r="B339" i="6" s="1"/>
  <c r="J339" i="6"/>
  <c r="A339" i="6" s="1"/>
  <c r="L338" i="6"/>
  <c r="C338" i="6" s="1"/>
  <c r="K338" i="6"/>
  <c r="B338" i="6" s="1"/>
  <c r="J338" i="6"/>
  <c r="A338" i="6" s="1"/>
  <c r="L337" i="6"/>
  <c r="C337" i="6" s="1"/>
  <c r="K337" i="6"/>
  <c r="B337" i="6" s="1"/>
  <c r="J337" i="6"/>
  <c r="A337" i="6" s="1"/>
  <c r="L336" i="6"/>
  <c r="C336" i="6" s="1"/>
  <c r="K336" i="6"/>
  <c r="B336" i="6" s="1"/>
  <c r="J336" i="6"/>
  <c r="A336" i="6" s="1"/>
  <c r="L335" i="6"/>
  <c r="C335" i="6" s="1"/>
  <c r="K335" i="6"/>
  <c r="B335" i="6" s="1"/>
  <c r="J335" i="6"/>
  <c r="A335" i="6" s="1"/>
  <c r="L334" i="6"/>
  <c r="C334" i="6" s="1"/>
  <c r="K334" i="6"/>
  <c r="B334" i="6" s="1"/>
  <c r="J334" i="6"/>
  <c r="A334" i="6" s="1"/>
  <c r="L333" i="6"/>
  <c r="C333" i="6" s="1"/>
  <c r="K333" i="6"/>
  <c r="B333" i="6" s="1"/>
  <c r="J333" i="6"/>
  <c r="A333" i="6" s="1"/>
  <c r="L332" i="6"/>
  <c r="C332" i="6" s="1"/>
  <c r="K332" i="6"/>
  <c r="B332" i="6" s="1"/>
  <c r="J332" i="6"/>
  <c r="A332" i="6" s="1"/>
  <c r="L331" i="6"/>
  <c r="C331" i="6" s="1"/>
  <c r="K331" i="6"/>
  <c r="B331" i="6" s="1"/>
  <c r="J331" i="6"/>
  <c r="A331" i="6" s="1"/>
  <c r="L330" i="6"/>
  <c r="C330" i="6" s="1"/>
  <c r="K330" i="6"/>
  <c r="B330" i="6" s="1"/>
  <c r="J330" i="6"/>
  <c r="A330" i="6" s="1"/>
  <c r="L329" i="6"/>
  <c r="C329" i="6" s="1"/>
  <c r="K329" i="6"/>
  <c r="B329" i="6" s="1"/>
  <c r="J329" i="6"/>
  <c r="A329" i="6" s="1"/>
  <c r="L328" i="6"/>
  <c r="C328" i="6" s="1"/>
  <c r="K328" i="6"/>
  <c r="B328" i="6" s="1"/>
  <c r="J328" i="6"/>
  <c r="A328" i="6" s="1"/>
  <c r="L327" i="6"/>
  <c r="C327" i="6" s="1"/>
  <c r="K327" i="6"/>
  <c r="B327" i="6" s="1"/>
  <c r="J327" i="6"/>
  <c r="A327" i="6" s="1"/>
  <c r="L326" i="6"/>
  <c r="C326" i="6" s="1"/>
  <c r="K326" i="6"/>
  <c r="B326" i="6" s="1"/>
  <c r="J326" i="6"/>
  <c r="A326" i="6" s="1"/>
  <c r="L325" i="6"/>
  <c r="C325" i="6" s="1"/>
  <c r="K325" i="6"/>
  <c r="B325" i="6" s="1"/>
  <c r="J325" i="6"/>
  <c r="A325" i="6" s="1"/>
  <c r="L324" i="6"/>
  <c r="C324" i="6" s="1"/>
  <c r="K324" i="6"/>
  <c r="B324" i="6" s="1"/>
  <c r="J324" i="6"/>
  <c r="A324" i="6" s="1"/>
  <c r="L323" i="6"/>
  <c r="C323" i="6" s="1"/>
  <c r="K323" i="6"/>
  <c r="B323" i="6" s="1"/>
  <c r="J323" i="6"/>
  <c r="A323" i="6" s="1"/>
  <c r="L322" i="6"/>
  <c r="C322" i="6" s="1"/>
  <c r="K322" i="6"/>
  <c r="B322" i="6" s="1"/>
  <c r="J322" i="6"/>
  <c r="A322" i="6" s="1"/>
  <c r="L321" i="6"/>
  <c r="C321" i="6" s="1"/>
  <c r="K321" i="6"/>
  <c r="B321" i="6" s="1"/>
  <c r="J321" i="6"/>
  <c r="A321" i="6" s="1"/>
  <c r="L320" i="6"/>
  <c r="C320" i="6" s="1"/>
  <c r="K320" i="6"/>
  <c r="B320" i="6" s="1"/>
  <c r="J320" i="6"/>
  <c r="A320" i="6" s="1"/>
  <c r="L319" i="6"/>
  <c r="C319" i="6" s="1"/>
  <c r="K319" i="6"/>
  <c r="B319" i="6" s="1"/>
  <c r="J319" i="6"/>
  <c r="A319" i="6" s="1"/>
  <c r="L318" i="6"/>
  <c r="C318" i="6" s="1"/>
  <c r="K318" i="6"/>
  <c r="B318" i="6" s="1"/>
  <c r="J318" i="6"/>
  <c r="A318" i="6" s="1"/>
  <c r="L317" i="6"/>
  <c r="C317" i="6" s="1"/>
  <c r="K317" i="6"/>
  <c r="B317" i="6" s="1"/>
  <c r="J317" i="6"/>
  <c r="A317" i="6" s="1"/>
  <c r="L316" i="6"/>
  <c r="C316" i="6" s="1"/>
  <c r="K316" i="6"/>
  <c r="B316" i="6" s="1"/>
  <c r="J316" i="6"/>
  <c r="A316" i="6" s="1"/>
  <c r="L315" i="6"/>
  <c r="C315" i="6" s="1"/>
  <c r="K315" i="6"/>
  <c r="B315" i="6" s="1"/>
  <c r="J315" i="6"/>
  <c r="A315" i="6" s="1"/>
  <c r="L314" i="6"/>
  <c r="C314" i="6" s="1"/>
  <c r="K314" i="6"/>
  <c r="B314" i="6" s="1"/>
  <c r="J314" i="6"/>
  <c r="A314" i="6" s="1"/>
  <c r="L313" i="6"/>
  <c r="C313" i="6" s="1"/>
  <c r="K313" i="6"/>
  <c r="B313" i="6" s="1"/>
  <c r="J313" i="6"/>
  <c r="A313" i="6" s="1"/>
  <c r="L312" i="6"/>
  <c r="C312" i="6" s="1"/>
  <c r="K312" i="6"/>
  <c r="B312" i="6" s="1"/>
  <c r="J312" i="6"/>
  <c r="A312" i="6" s="1"/>
  <c r="L311" i="6"/>
  <c r="C311" i="6" s="1"/>
  <c r="K311" i="6"/>
  <c r="B311" i="6" s="1"/>
  <c r="J311" i="6"/>
  <c r="A311" i="6" s="1"/>
  <c r="L310" i="6"/>
  <c r="C310" i="6" s="1"/>
  <c r="K310" i="6"/>
  <c r="B310" i="6" s="1"/>
  <c r="J310" i="6"/>
  <c r="A310" i="6" s="1"/>
  <c r="L309" i="6"/>
  <c r="C309" i="6" s="1"/>
  <c r="K309" i="6"/>
  <c r="B309" i="6" s="1"/>
  <c r="J309" i="6"/>
  <c r="A309" i="6" s="1"/>
  <c r="L308" i="6"/>
  <c r="C308" i="6" s="1"/>
  <c r="K308" i="6"/>
  <c r="B308" i="6" s="1"/>
  <c r="J308" i="6"/>
  <c r="A308" i="6" s="1"/>
  <c r="L307" i="6"/>
  <c r="C307" i="6" s="1"/>
  <c r="K307" i="6"/>
  <c r="B307" i="6" s="1"/>
  <c r="J307" i="6"/>
  <c r="A307" i="6" s="1"/>
  <c r="L306" i="6"/>
  <c r="C306" i="6" s="1"/>
  <c r="K306" i="6"/>
  <c r="B306" i="6" s="1"/>
  <c r="J306" i="6"/>
  <c r="A306" i="6" s="1"/>
  <c r="L305" i="6"/>
  <c r="C305" i="6" s="1"/>
  <c r="K305" i="6"/>
  <c r="B305" i="6" s="1"/>
  <c r="J305" i="6"/>
  <c r="A305" i="6" s="1"/>
  <c r="L304" i="6"/>
  <c r="C304" i="6" s="1"/>
  <c r="K304" i="6"/>
  <c r="B304" i="6" s="1"/>
  <c r="J304" i="6"/>
  <c r="A304" i="6" s="1"/>
  <c r="L303" i="6"/>
  <c r="C303" i="6" s="1"/>
  <c r="K303" i="6"/>
  <c r="B303" i="6" s="1"/>
  <c r="J303" i="6"/>
  <c r="A303" i="6" s="1"/>
  <c r="L302" i="6"/>
  <c r="C302" i="6" s="1"/>
  <c r="K302" i="6"/>
  <c r="B302" i="6" s="1"/>
  <c r="J302" i="6"/>
  <c r="A302" i="6" s="1"/>
  <c r="L301" i="6"/>
  <c r="C301" i="6" s="1"/>
  <c r="K301" i="6"/>
  <c r="B301" i="6" s="1"/>
  <c r="J301" i="6"/>
  <c r="A301" i="6" s="1"/>
  <c r="L300" i="6"/>
  <c r="C300" i="6" s="1"/>
  <c r="K300" i="6"/>
  <c r="B300" i="6" s="1"/>
  <c r="J300" i="6"/>
  <c r="A300" i="6" s="1"/>
  <c r="L299" i="6"/>
  <c r="C299" i="6" s="1"/>
  <c r="K299" i="6"/>
  <c r="B299" i="6" s="1"/>
  <c r="J299" i="6"/>
  <c r="A299" i="6" s="1"/>
  <c r="L298" i="6"/>
  <c r="C298" i="6" s="1"/>
  <c r="K298" i="6"/>
  <c r="B298" i="6" s="1"/>
  <c r="J298" i="6"/>
  <c r="A298" i="6" s="1"/>
  <c r="L297" i="6"/>
  <c r="C297" i="6" s="1"/>
  <c r="K297" i="6"/>
  <c r="B297" i="6" s="1"/>
  <c r="J297" i="6"/>
  <c r="A297" i="6" s="1"/>
  <c r="L296" i="6"/>
  <c r="C296" i="6" s="1"/>
  <c r="K296" i="6"/>
  <c r="B296" i="6" s="1"/>
  <c r="J296" i="6"/>
  <c r="A296" i="6" s="1"/>
  <c r="L295" i="6"/>
  <c r="C295" i="6" s="1"/>
  <c r="K295" i="6"/>
  <c r="B295" i="6" s="1"/>
  <c r="J295" i="6"/>
  <c r="A295" i="6" s="1"/>
  <c r="L294" i="6"/>
  <c r="C294" i="6" s="1"/>
  <c r="K294" i="6"/>
  <c r="B294" i="6" s="1"/>
  <c r="J294" i="6"/>
  <c r="A294" i="6" s="1"/>
  <c r="L293" i="6"/>
  <c r="C293" i="6" s="1"/>
  <c r="K293" i="6"/>
  <c r="B293" i="6" s="1"/>
  <c r="J293" i="6"/>
  <c r="A293" i="6" s="1"/>
  <c r="L292" i="6"/>
  <c r="C292" i="6" s="1"/>
  <c r="K292" i="6"/>
  <c r="B292" i="6" s="1"/>
  <c r="J292" i="6"/>
  <c r="A292" i="6" s="1"/>
  <c r="L291" i="6"/>
  <c r="C291" i="6" s="1"/>
  <c r="K291" i="6"/>
  <c r="B291" i="6" s="1"/>
  <c r="J291" i="6"/>
  <c r="A291" i="6" s="1"/>
  <c r="L290" i="6"/>
  <c r="C290" i="6" s="1"/>
  <c r="K290" i="6"/>
  <c r="B290" i="6" s="1"/>
  <c r="J290" i="6"/>
  <c r="A290" i="6" s="1"/>
  <c r="L289" i="6"/>
  <c r="C289" i="6" s="1"/>
  <c r="K289" i="6"/>
  <c r="B289" i="6" s="1"/>
  <c r="J289" i="6"/>
  <c r="A289" i="6" s="1"/>
  <c r="L288" i="6"/>
  <c r="C288" i="6" s="1"/>
  <c r="K288" i="6"/>
  <c r="B288" i="6" s="1"/>
  <c r="J288" i="6"/>
  <c r="A288" i="6" s="1"/>
  <c r="L287" i="6"/>
  <c r="C287" i="6" s="1"/>
  <c r="K287" i="6"/>
  <c r="B287" i="6" s="1"/>
  <c r="J287" i="6"/>
  <c r="A287" i="6" s="1"/>
  <c r="L286" i="6"/>
  <c r="C286" i="6" s="1"/>
  <c r="K286" i="6"/>
  <c r="B286" i="6" s="1"/>
  <c r="J286" i="6"/>
  <c r="A286" i="6" s="1"/>
  <c r="L285" i="6"/>
  <c r="C285" i="6" s="1"/>
  <c r="K285" i="6"/>
  <c r="B285" i="6" s="1"/>
  <c r="J285" i="6"/>
  <c r="A285" i="6" s="1"/>
  <c r="L284" i="6"/>
  <c r="C284" i="6" s="1"/>
  <c r="K284" i="6"/>
  <c r="B284" i="6" s="1"/>
  <c r="J284" i="6"/>
  <c r="A284" i="6" s="1"/>
  <c r="L283" i="6"/>
  <c r="C283" i="6" s="1"/>
  <c r="K283" i="6"/>
  <c r="B283" i="6" s="1"/>
  <c r="J283" i="6"/>
  <c r="A283" i="6" s="1"/>
  <c r="L282" i="6"/>
  <c r="C282" i="6" s="1"/>
  <c r="K282" i="6"/>
  <c r="B282" i="6" s="1"/>
  <c r="J282" i="6"/>
  <c r="A282" i="6" s="1"/>
  <c r="L281" i="6"/>
  <c r="C281" i="6" s="1"/>
  <c r="K281" i="6"/>
  <c r="B281" i="6" s="1"/>
  <c r="J281" i="6"/>
  <c r="A281" i="6" s="1"/>
  <c r="L280" i="6"/>
  <c r="C280" i="6" s="1"/>
  <c r="K280" i="6"/>
  <c r="B280" i="6" s="1"/>
  <c r="J280" i="6"/>
  <c r="A280" i="6" s="1"/>
  <c r="L279" i="6"/>
  <c r="C279" i="6" s="1"/>
  <c r="K279" i="6"/>
  <c r="B279" i="6" s="1"/>
  <c r="J279" i="6"/>
  <c r="A279" i="6" s="1"/>
  <c r="L278" i="6"/>
  <c r="C278" i="6" s="1"/>
  <c r="K278" i="6"/>
  <c r="B278" i="6" s="1"/>
  <c r="J278" i="6"/>
  <c r="A278" i="6" s="1"/>
  <c r="L277" i="6"/>
  <c r="C277" i="6" s="1"/>
  <c r="K277" i="6"/>
  <c r="B277" i="6" s="1"/>
  <c r="J277" i="6"/>
  <c r="A277" i="6" s="1"/>
  <c r="L276" i="6"/>
  <c r="C276" i="6" s="1"/>
  <c r="K276" i="6"/>
  <c r="B276" i="6" s="1"/>
  <c r="J276" i="6"/>
  <c r="A276" i="6" s="1"/>
  <c r="L275" i="6"/>
  <c r="C275" i="6" s="1"/>
  <c r="K275" i="6"/>
  <c r="B275" i="6" s="1"/>
  <c r="J275" i="6"/>
  <c r="A275" i="6" s="1"/>
  <c r="L274" i="6"/>
  <c r="C274" i="6" s="1"/>
  <c r="K274" i="6"/>
  <c r="B274" i="6" s="1"/>
  <c r="J274" i="6"/>
  <c r="A274" i="6" s="1"/>
  <c r="L273" i="6"/>
  <c r="C273" i="6" s="1"/>
  <c r="K273" i="6"/>
  <c r="B273" i="6" s="1"/>
  <c r="J273" i="6"/>
  <c r="A273" i="6" s="1"/>
  <c r="L272" i="6"/>
  <c r="C272" i="6" s="1"/>
  <c r="K272" i="6"/>
  <c r="B272" i="6" s="1"/>
  <c r="J272" i="6"/>
  <c r="A272" i="6" s="1"/>
  <c r="L271" i="6"/>
  <c r="C271" i="6" s="1"/>
  <c r="K271" i="6"/>
  <c r="B271" i="6" s="1"/>
  <c r="J271" i="6"/>
  <c r="A271" i="6" s="1"/>
  <c r="L270" i="6"/>
  <c r="C270" i="6" s="1"/>
  <c r="K270" i="6"/>
  <c r="B270" i="6" s="1"/>
  <c r="J270" i="6"/>
  <c r="A270" i="6" s="1"/>
  <c r="L269" i="6"/>
  <c r="C269" i="6" s="1"/>
  <c r="K269" i="6"/>
  <c r="B269" i="6" s="1"/>
  <c r="J269" i="6"/>
  <c r="A269" i="6" s="1"/>
  <c r="L268" i="6"/>
  <c r="C268" i="6" s="1"/>
  <c r="K268" i="6"/>
  <c r="B268" i="6" s="1"/>
  <c r="J268" i="6"/>
  <c r="A268" i="6" s="1"/>
  <c r="L267" i="6"/>
  <c r="C267" i="6" s="1"/>
  <c r="K267" i="6"/>
  <c r="B267" i="6" s="1"/>
  <c r="J267" i="6"/>
  <c r="A267" i="6" s="1"/>
  <c r="L266" i="6"/>
  <c r="C266" i="6" s="1"/>
  <c r="K266" i="6"/>
  <c r="B266" i="6" s="1"/>
  <c r="J266" i="6"/>
  <c r="A266" i="6" s="1"/>
  <c r="L265" i="6"/>
  <c r="C265" i="6" s="1"/>
  <c r="K265" i="6"/>
  <c r="B265" i="6" s="1"/>
  <c r="J265" i="6"/>
  <c r="A265" i="6" s="1"/>
  <c r="L264" i="6"/>
  <c r="C264" i="6" s="1"/>
  <c r="K264" i="6"/>
  <c r="B264" i="6" s="1"/>
  <c r="J264" i="6"/>
  <c r="A264" i="6" s="1"/>
  <c r="L263" i="6"/>
  <c r="C263" i="6" s="1"/>
  <c r="K263" i="6"/>
  <c r="B263" i="6" s="1"/>
  <c r="J263" i="6"/>
  <c r="A263" i="6" s="1"/>
  <c r="L262" i="6"/>
  <c r="C262" i="6" s="1"/>
  <c r="K262" i="6"/>
  <c r="B262" i="6" s="1"/>
  <c r="J262" i="6"/>
  <c r="A262" i="6" s="1"/>
  <c r="L261" i="6"/>
  <c r="C261" i="6" s="1"/>
  <c r="K261" i="6"/>
  <c r="B261" i="6" s="1"/>
  <c r="J261" i="6"/>
  <c r="A261" i="6" s="1"/>
  <c r="L260" i="6"/>
  <c r="C260" i="6" s="1"/>
  <c r="K260" i="6"/>
  <c r="B260" i="6" s="1"/>
  <c r="J260" i="6"/>
  <c r="A260" i="6" s="1"/>
  <c r="L259" i="6"/>
  <c r="C259" i="6" s="1"/>
  <c r="K259" i="6"/>
  <c r="B259" i="6" s="1"/>
  <c r="J259" i="6"/>
  <c r="A259" i="6" s="1"/>
  <c r="L258" i="6"/>
  <c r="C258" i="6" s="1"/>
  <c r="K258" i="6"/>
  <c r="B258" i="6" s="1"/>
  <c r="J258" i="6"/>
  <c r="A258" i="6" s="1"/>
  <c r="L257" i="6"/>
  <c r="C257" i="6" s="1"/>
  <c r="K257" i="6"/>
  <c r="B257" i="6" s="1"/>
  <c r="J257" i="6"/>
  <c r="A257" i="6" s="1"/>
  <c r="L256" i="6"/>
  <c r="C256" i="6" s="1"/>
  <c r="K256" i="6"/>
  <c r="B256" i="6" s="1"/>
  <c r="J256" i="6"/>
  <c r="A256" i="6" s="1"/>
  <c r="L255" i="6"/>
  <c r="C255" i="6" s="1"/>
  <c r="K255" i="6"/>
  <c r="B255" i="6" s="1"/>
  <c r="J255" i="6"/>
  <c r="A255" i="6" s="1"/>
  <c r="L254" i="6"/>
  <c r="C254" i="6" s="1"/>
  <c r="K254" i="6"/>
  <c r="B254" i="6" s="1"/>
  <c r="J254" i="6"/>
  <c r="A254" i="6" s="1"/>
  <c r="L253" i="6"/>
  <c r="C253" i="6" s="1"/>
  <c r="K253" i="6"/>
  <c r="B253" i="6" s="1"/>
  <c r="J253" i="6"/>
  <c r="A253" i="6" s="1"/>
  <c r="L252" i="6"/>
  <c r="C252" i="6" s="1"/>
  <c r="K252" i="6"/>
  <c r="B252" i="6" s="1"/>
  <c r="J252" i="6"/>
  <c r="A252" i="6" s="1"/>
  <c r="L251" i="6"/>
  <c r="C251" i="6" s="1"/>
  <c r="K251" i="6"/>
  <c r="B251" i="6" s="1"/>
  <c r="J251" i="6"/>
  <c r="A251" i="6" s="1"/>
  <c r="L250" i="6"/>
  <c r="C250" i="6" s="1"/>
  <c r="K250" i="6"/>
  <c r="B250" i="6" s="1"/>
  <c r="J250" i="6"/>
  <c r="A250" i="6" s="1"/>
  <c r="L249" i="6"/>
  <c r="C249" i="6" s="1"/>
  <c r="K249" i="6"/>
  <c r="B249" i="6" s="1"/>
  <c r="J249" i="6"/>
  <c r="A249" i="6" s="1"/>
  <c r="L248" i="6"/>
  <c r="C248" i="6" s="1"/>
  <c r="K248" i="6"/>
  <c r="B248" i="6" s="1"/>
  <c r="J248" i="6"/>
  <c r="A248" i="6" s="1"/>
  <c r="L247" i="6"/>
  <c r="C247" i="6" s="1"/>
  <c r="K247" i="6"/>
  <c r="B247" i="6" s="1"/>
  <c r="J247" i="6"/>
  <c r="A247" i="6" s="1"/>
  <c r="L246" i="6"/>
  <c r="C246" i="6" s="1"/>
  <c r="K246" i="6"/>
  <c r="B246" i="6" s="1"/>
  <c r="J246" i="6"/>
  <c r="A246" i="6" s="1"/>
  <c r="L245" i="6"/>
  <c r="C245" i="6" s="1"/>
  <c r="K245" i="6"/>
  <c r="B245" i="6" s="1"/>
  <c r="J245" i="6"/>
  <c r="A245" i="6" s="1"/>
  <c r="L244" i="6"/>
  <c r="C244" i="6" s="1"/>
  <c r="K244" i="6"/>
  <c r="B244" i="6" s="1"/>
  <c r="J244" i="6"/>
  <c r="A244" i="6" s="1"/>
  <c r="L243" i="6"/>
  <c r="C243" i="6" s="1"/>
  <c r="K243" i="6"/>
  <c r="B243" i="6" s="1"/>
  <c r="J243" i="6"/>
  <c r="A243" i="6" s="1"/>
  <c r="L242" i="6"/>
  <c r="C242" i="6" s="1"/>
  <c r="K242" i="6"/>
  <c r="B242" i="6" s="1"/>
  <c r="J242" i="6"/>
  <c r="A242" i="6" s="1"/>
  <c r="L241" i="6"/>
  <c r="C241" i="6" s="1"/>
  <c r="K241" i="6"/>
  <c r="B241" i="6" s="1"/>
  <c r="J241" i="6"/>
  <c r="A241" i="6" s="1"/>
  <c r="L240" i="6"/>
  <c r="C240" i="6" s="1"/>
  <c r="K240" i="6"/>
  <c r="B240" i="6" s="1"/>
  <c r="J240" i="6"/>
  <c r="A240" i="6" s="1"/>
  <c r="L239" i="6"/>
  <c r="C239" i="6" s="1"/>
  <c r="K239" i="6"/>
  <c r="B239" i="6" s="1"/>
  <c r="J239" i="6"/>
  <c r="A239" i="6" s="1"/>
  <c r="L238" i="6"/>
  <c r="C238" i="6" s="1"/>
  <c r="K238" i="6"/>
  <c r="B238" i="6" s="1"/>
  <c r="J238" i="6"/>
  <c r="A238" i="6" s="1"/>
  <c r="L237" i="6"/>
  <c r="C237" i="6" s="1"/>
  <c r="K237" i="6"/>
  <c r="B237" i="6" s="1"/>
  <c r="J237" i="6"/>
  <c r="A237" i="6" s="1"/>
  <c r="L236" i="6"/>
  <c r="C236" i="6" s="1"/>
  <c r="K236" i="6"/>
  <c r="B236" i="6" s="1"/>
  <c r="J236" i="6"/>
  <c r="A236" i="6" s="1"/>
  <c r="L235" i="6"/>
  <c r="C235" i="6" s="1"/>
  <c r="K235" i="6"/>
  <c r="B235" i="6" s="1"/>
  <c r="J235" i="6"/>
  <c r="A235" i="6" s="1"/>
  <c r="L234" i="6"/>
  <c r="C234" i="6" s="1"/>
  <c r="K234" i="6"/>
  <c r="B234" i="6" s="1"/>
  <c r="J234" i="6"/>
  <c r="A234" i="6" s="1"/>
  <c r="L233" i="6"/>
  <c r="C233" i="6" s="1"/>
  <c r="K233" i="6"/>
  <c r="B233" i="6" s="1"/>
  <c r="J233" i="6"/>
  <c r="A233" i="6" s="1"/>
  <c r="L232" i="6"/>
  <c r="C232" i="6" s="1"/>
  <c r="K232" i="6"/>
  <c r="B232" i="6" s="1"/>
  <c r="J232" i="6"/>
  <c r="A232" i="6" s="1"/>
  <c r="L231" i="6"/>
  <c r="C231" i="6" s="1"/>
  <c r="K231" i="6"/>
  <c r="B231" i="6" s="1"/>
  <c r="J231" i="6"/>
  <c r="A231" i="6" s="1"/>
  <c r="L230" i="6"/>
  <c r="C230" i="6" s="1"/>
  <c r="K230" i="6"/>
  <c r="B230" i="6" s="1"/>
  <c r="J230" i="6"/>
  <c r="A230" i="6" s="1"/>
  <c r="L229" i="6"/>
  <c r="C229" i="6" s="1"/>
  <c r="K229" i="6"/>
  <c r="B229" i="6" s="1"/>
  <c r="J229" i="6"/>
  <c r="A229" i="6" s="1"/>
  <c r="L228" i="6"/>
  <c r="C228" i="6" s="1"/>
  <c r="K228" i="6"/>
  <c r="B228" i="6" s="1"/>
  <c r="J228" i="6"/>
  <c r="A228" i="6" s="1"/>
  <c r="L227" i="6"/>
  <c r="C227" i="6" s="1"/>
  <c r="K227" i="6"/>
  <c r="B227" i="6" s="1"/>
  <c r="J227" i="6"/>
  <c r="A227" i="6" s="1"/>
  <c r="L226" i="6"/>
  <c r="C226" i="6" s="1"/>
  <c r="K226" i="6"/>
  <c r="B226" i="6" s="1"/>
  <c r="J226" i="6"/>
  <c r="A226" i="6" s="1"/>
  <c r="L225" i="6"/>
  <c r="C225" i="6" s="1"/>
  <c r="K225" i="6"/>
  <c r="B225" i="6" s="1"/>
  <c r="J225" i="6"/>
  <c r="A225" i="6" s="1"/>
  <c r="L224" i="6"/>
  <c r="C224" i="6" s="1"/>
  <c r="K224" i="6"/>
  <c r="B224" i="6" s="1"/>
  <c r="J224" i="6"/>
  <c r="A224" i="6" s="1"/>
  <c r="L223" i="6"/>
  <c r="C223" i="6" s="1"/>
  <c r="K223" i="6"/>
  <c r="B223" i="6" s="1"/>
  <c r="J223" i="6"/>
  <c r="A223" i="6" s="1"/>
  <c r="L222" i="6"/>
  <c r="C222" i="6" s="1"/>
  <c r="K222" i="6"/>
  <c r="B222" i="6" s="1"/>
  <c r="J222" i="6"/>
  <c r="A222" i="6" s="1"/>
  <c r="L221" i="6"/>
  <c r="C221" i="6" s="1"/>
  <c r="K221" i="6"/>
  <c r="B221" i="6" s="1"/>
  <c r="J221" i="6"/>
  <c r="A221" i="6" s="1"/>
  <c r="L220" i="6"/>
  <c r="C220" i="6" s="1"/>
  <c r="K220" i="6"/>
  <c r="B220" i="6" s="1"/>
  <c r="J220" i="6"/>
  <c r="A220" i="6" s="1"/>
  <c r="L219" i="6"/>
  <c r="C219" i="6" s="1"/>
  <c r="K219" i="6"/>
  <c r="B219" i="6" s="1"/>
  <c r="J219" i="6"/>
  <c r="A219" i="6" s="1"/>
  <c r="L218" i="6"/>
  <c r="C218" i="6" s="1"/>
  <c r="K218" i="6"/>
  <c r="B218" i="6" s="1"/>
  <c r="J218" i="6"/>
  <c r="A218" i="6" s="1"/>
  <c r="L217" i="6"/>
  <c r="C217" i="6" s="1"/>
  <c r="K217" i="6"/>
  <c r="B217" i="6" s="1"/>
  <c r="J217" i="6"/>
  <c r="A217" i="6" s="1"/>
  <c r="L216" i="6"/>
  <c r="C216" i="6" s="1"/>
  <c r="K216" i="6"/>
  <c r="B216" i="6" s="1"/>
  <c r="J216" i="6"/>
  <c r="A216" i="6" s="1"/>
  <c r="L215" i="6"/>
  <c r="C215" i="6" s="1"/>
  <c r="K215" i="6"/>
  <c r="B215" i="6" s="1"/>
  <c r="J215" i="6"/>
  <c r="A215" i="6" s="1"/>
  <c r="L214" i="6"/>
  <c r="C214" i="6" s="1"/>
  <c r="K214" i="6"/>
  <c r="B214" i="6" s="1"/>
  <c r="J214" i="6"/>
  <c r="A214" i="6" s="1"/>
  <c r="L213" i="6"/>
  <c r="C213" i="6" s="1"/>
  <c r="K213" i="6"/>
  <c r="B213" i="6" s="1"/>
  <c r="J213" i="6"/>
  <c r="A213" i="6" s="1"/>
  <c r="L212" i="6"/>
  <c r="C212" i="6" s="1"/>
  <c r="K212" i="6"/>
  <c r="B212" i="6" s="1"/>
  <c r="J212" i="6"/>
  <c r="A212" i="6" s="1"/>
  <c r="L211" i="6"/>
  <c r="C211" i="6" s="1"/>
  <c r="K211" i="6"/>
  <c r="B211" i="6" s="1"/>
  <c r="J211" i="6"/>
  <c r="A211" i="6" s="1"/>
  <c r="L210" i="6"/>
  <c r="C210" i="6" s="1"/>
  <c r="K210" i="6"/>
  <c r="B210" i="6" s="1"/>
  <c r="J210" i="6"/>
  <c r="A210" i="6" s="1"/>
  <c r="L209" i="6"/>
  <c r="C209" i="6" s="1"/>
  <c r="K209" i="6"/>
  <c r="B209" i="6" s="1"/>
  <c r="J209" i="6"/>
  <c r="A209" i="6" s="1"/>
  <c r="L208" i="6"/>
  <c r="C208" i="6" s="1"/>
  <c r="K208" i="6"/>
  <c r="B208" i="6" s="1"/>
  <c r="J208" i="6"/>
  <c r="A208" i="6" s="1"/>
  <c r="L207" i="6"/>
  <c r="C207" i="6" s="1"/>
  <c r="K207" i="6"/>
  <c r="B207" i="6" s="1"/>
  <c r="J207" i="6"/>
  <c r="A207" i="6" s="1"/>
  <c r="L206" i="6"/>
  <c r="C206" i="6" s="1"/>
  <c r="K206" i="6"/>
  <c r="B206" i="6" s="1"/>
  <c r="J206" i="6"/>
  <c r="A206" i="6" s="1"/>
  <c r="L205" i="6"/>
  <c r="C205" i="6" s="1"/>
  <c r="K205" i="6"/>
  <c r="B205" i="6" s="1"/>
  <c r="J205" i="6"/>
  <c r="A205" i="6" s="1"/>
  <c r="L204" i="6"/>
  <c r="C204" i="6" s="1"/>
  <c r="K204" i="6"/>
  <c r="B204" i="6" s="1"/>
  <c r="J204" i="6"/>
  <c r="A204" i="6" s="1"/>
  <c r="L203" i="6"/>
  <c r="C203" i="6" s="1"/>
  <c r="K203" i="6"/>
  <c r="B203" i="6" s="1"/>
  <c r="J203" i="6"/>
  <c r="A203" i="6" s="1"/>
  <c r="L202" i="6"/>
  <c r="C202" i="6" s="1"/>
  <c r="K202" i="6"/>
  <c r="B202" i="6" s="1"/>
  <c r="J202" i="6"/>
  <c r="A202" i="6" s="1"/>
  <c r="L201" i="6"/>
  <c r="C201" i="6" s="1"/>
  <c r="K201" i="6"/>
  <c r="B201" i="6" s="1"/>
  <c r="J201" i="6"/>
  <c r="A201" i="6" s="1"/>
  <c r="L200" i="6"/>
  <c r="C200" i="6" s="1"/>
  <c r="K200" i="6"/>
  <c r="B200" i="6" s="1"/>
  <c r="J200" i="6"/>
  <c r="A200" i="6" s="1"/>
  <c r="L199" i="6"/>
  <c r="C199" i="6" s="1"/>
  <c r="K199" i="6"/>
  <c r="B199" i="6" s="1"/>
  <c r="J199" i="6"/>
  <c r="A199" i="6" s="1"/>
  <c r="L198" i="6"/>
  <c r="C198" i="6" s="1"/>
  <c r="K198" i="6"/>
  <c r="B198" i="6" s="1"/>
  <c r="J198" i="6"/>
  <c r="A198" i="6" s="1"/>
  <c r="L197" i="6"/>
  <c r="C197" i="6" s="1"/>
  <c r="K197" i="6"/>
  <c r="B197" i="6" s="1"/>
  <c r="J197" i="6"/>
  <c r="A197" i="6" s="1"/>
  <c r="L196" i="6"/>
  <c r="C196" i="6" s="1"/>
  <c r="K196" i="6"/>
  <c r="B196" i="6" s="1"/>
  <c r="J196" i="6"/>
  <c r="A196" i="6" s="1"/>
  <c r="L195" i="6"/>
  <c r="C195" i="6" s="1"/>
  <c r="K195" i="6"/>
  <c r="B195" i="6" s="1"/>
  <c r="J195" i="6"/>
  <c r="A195" i="6" s="1"/>
  <c r="L194" i="6"/>
  <c r="C194" i="6" s="1"/>
  <c r="K194" i="6"/>
  <c r="B194" i="6" s="1"/>
  <c r="J194" i="6"/>
  <c r="A194" i="6" s="1"/>
  <c r="L193" i="6"/>
  <c r="C193" i="6" s="1"/>
  <c r="K193" i="6"/>
  <c r="B193" i="6" s="1"/>
  <c r="J193" i="6"/>
  <c r="A193" i="6" s="1"/>
  <c r="L192" i="6"/>
  <c r="C192" i="6" s="1"/>
  <c r="K192" i="6"/>
  <c r="B192" i="6" s="1"/>
  <c r="J192" i="6"/>
  <c r="A192" i="6" s="1"/>
  <c r="L191" i="6"/>
  <c r="C191" i="6" s="1"/>
  <c r="K191" i="6"/>
  <c r="B191" i="6" s="1"/>
  <c r="J191" i="6"/>
  <c r="A191" i="6" s="1"/>
  <c r="L190" i="6"/>
  <c r="C190" i="6" s="1"/>
  <c r="K190" i="6"/>
  <c r="B190" i="6" s="1"/>
  <c r="J190" i="6"/>
  <c r="A190" i="6" s="1"/>
  <c r="L189" i="6"/>
  <c r="C189" i="6" s="1"/>
  <c r="K189" i="6"/>
  <c r="B189" i="6" s="1"/>
  <c r="J189" i="6"/>
  <c r="A189" i="6" s="1"/>
  <c r="L188" i="6"/>
  <c r="C188" i="6" s="1"/>
  <c r="K188" i="6"/>
  <c r="B188" i="6" s="1"/>
  <c r="J188" i="6"/>
  <c r="A188" i="6" s="1"/>
  <c r="L187" i="6"/>
  <c r="C187" i="6" s="1"/>
  <c r="K187" i="6"/>
  <c r="B187" i="6" s="1"/>
  <c r="J187" i="6"/>
  <c r="A187" i="6" s="1"/>
  <c r="L186" i="6"/>
  <c r="C186" i="6" s="1"/>
  <c r="K186" i="6"/>
  <c r="B186" i="6" s="1"/>
  <c r="J186" i="6"/>
  <c r="A186" i="6" s="1"/>
  <c r="L185" i="6"/>
  <c r="C185" i="6" s="1"/>
  <c r="K185" i="6"/>
  <c r="B185" i="6" s="1"/>
  <c r="J185" i="6"/>
  <c r="A185" i="6" s="1"/>
  <c r="L184" i="6"/>
  <c r="C184" i="6" s="1"/>
  <c r="K184" i="6"/>
  <c r="B184" i="6" s="1"/>
  <c r="J184" i="6"/>
  <c r="A184" i="6" s="1"/>
  <c r="L183" i="6"/>
  <c r="C183" i="6" s="1"/>
  <c r="K183" i="6"/>
  <c r="B183" i="6" s="1"/>
  <c r="J183" i="6"/>
  <c r="A183" i="6" s="1"/>
  <c r="L182" i="6"/>
  <c r="C182" i="6" s="1"/>
  <c r="K182" i="6"/>
  <c r="B182" i="6" s="1"/>
  <c r="J182" i="6"/>
  <c r="A182" i="6" s="1"/>
  <c r="L181" i="6"/>
  <c r="C181" i="6" s="1"/>
  <c r="K181" i="6"/>
  <c r="B181" i="6" s="1"/>
  <c r="J181" i="6"/>
  <c r="A181" i="6" s="1"/>
  <c r="L180" i="6"/>
  <c r="C180" i="6" s="1"/>
  <c r="K180" i="6"/>
  <c r="B180" i="6" s="1"/>
  <c r="J180" i="6"/>
  <c r="A180" i="6" s="1"/>
  <c r="L179" i="6"/>
  <c r="C179" i="6" s="1"/>
  <c r="K179" i="6"/>
  <c r="B179" i="6" s="1"/>
  <c r="J179" i="6"/>
  <c r="A179" i="6" s="1"/>
  <c r="L178" i="6"/>
  <c r="C178" i="6" s="1"/>
  <c r="K178" i="6"/>
  <c r="B178" i="6" s="1"/>
  <c r="J178" i="6"/>
  <c r="A178" i="6" s="1"/>
  <c r="L177" i="6"/>
  <c r="C177" i="6" s="1"/>
  <c r="K177" i="6"/>
  <c r="B177" i="6" s="1"/>
  <c r="J177" i="6"/>
  <c r="A177" i="6" s="1"/>
  <c r="L176" i="6"/>
  <c r="C176" i="6" s="1"/>
  <c r="K176" i="6"/>
  <c r="B176" i="6" s="1"/>
  <c r="J176" i="6"/>
  <c r="A176" i="6" s="1"/>
  <c r="L175" i="6"/>
  <c r="C175" i="6" s="1"/>
  <c r="K175" i="6"/>
  <c r="B175" i="6" s="1"/>
  <c r="J175" i="6"/>
  <c r="A175" i="6" s="1"/>
  <c r="L174" i="6"/>
  <c r="C174" i="6" s="1"/>
  <c r="K174" i="6"/>
  <c r="B174" i="6" s="1"/>
  <c r="J174" i="6"/>
  <c r="A174" i="6" s="1"/>
  <c r="L173" i="6"/>
  <c r="C173" i="6" s="1"/>
  <c r="K173" i="6"/>
  <c r="B173" i="6" s="1"/>
  <c r="J173" i="6"/>
  <c r="A173" i="6" s="1"/>
  <c r="L172" i="6"/>
  <c r="C172" i="6" s="1"/>
  <c r="K172" i="6"/>
  <c r="B172" i="6" s="1"/>
  <c r="J172" i="6"/>
  <c r="A172" i="6" s="1"/>
  <c r="L171" i="6"/>
  <c r="C171" i="6" s="1"/>
  <c r="K171" i="6"/>
  <c r="B171" i="6" s="1"/>
  <c r="J171" i="6"/>
  <c r="A171" i="6" s="1"/>
  <c r="L170" i="6"/>
  <c r="C170" i="6" s="1"/>
  <c r="K170" i="6"/>
  <c r="B170" i="6" s="1"/>
  <c r="J170" i="6"/>
  <c r="A170" i="6" s="1"/>
  <c r="L169" i="6"/>
  <c r="C169" i="6" s="1"/>
  <c r="K169" i="6"/>
  <c r="B169" i="6" s="1"/>
  <c r="J169" i="6"/>
  <c r="A169" i="6" s="1"/>
  <c r="L168" i="6"/>
  <c r="C168" i="6" s="1"/>
  <c r="K168" i="6"/>
  <c r="B168" i="6" s="1"/>
  <c r="J168" i="6"/>
  <c r="A168" i="6" s="1"/>
  <c r="L167" i="6"/>
  <c r="C167" i="6" s="1"/>
  <c r="K167" i="6"/>
  <c r="B167" i="6" s="1"/>
  <c r="J167" i="6"/>
  <c r="A167" i="6" s="1"/>
  <c r="L166" i="6"/>
  <c r="C166" i="6" s="1"/>
  <c r="K166" i="6"/>
  <c r="B166" i="6" s="1"/>
  <c r="J166" i="6"/>
  <c r="A166" i="6" s="1"/>
  <c r="L165" i="6"/>
  <c r="C165" i="6" s="1"/>
  <c r="K165" i="6"/>
  <c r="B165" i="6" s="1"/>
  <c r="J165" i="6"/>
  <c r="A165" i="6" s="1"/>
  <c r="L164" i="6"/>
  <c r="C164" i="6" s="1"/>
  <c r="K164" i="6"/>
  <c r="B164" i="6" s="1"/>
  <c r="J164" i="6"/>
  <c r="A164" i="6" s="1"/>
  <c r="L163" i="6"/>
  <c r="C163" i="6" s="1"/>
  <c r="K163" i="6"/>
  <c r="B163" i="6" s="1"/>
  <c r="J163" i="6"/>
  <c r="A163" i="6" s="1"/>
  <c r="L162" i="6"/>
  <c r="C162" i="6" s="1"/>
  <c r="K162" i="6"/>
  <c r="B162" i="6" s="1"/>
  <c r="J162" i="6"/>
  <c r="A162" i="6" s="1"/>
  <c r="L161" i="6"/>
  <c r="C161" i="6" s="1"/>
  <c r="K161" i="6"/>
  <c r="B161" i="6" s="1"/>
  <c r="J161" i="6"/>
  <c r="A161" i="6" s="1"/>
  <c r="L160" i="6"/>
  <c r="C160" i="6" s="1"/>
  <c r="K160" i="6"/>
  <c r="B160" i="6" s="1"/>
  <c r="J160" i="6"/>
  <c r="A160" i="6" s="1"/>
  <c r="L159" i="6"/>
  <c r="C159" i="6" s="1"/>
  <c r="K159" i="6"/>
  <c r="B159" i="6" s="1"/>
  <c r="J159" i="6"/>
  <c r="A159" i="6" s="1"/>
  <c r="L158" i="6"/>
  <c r="C158" i="6" s="1"/>
  <c r="K158" i="6"/>
  <c r="B158" i="6" s="1"/>
  <c r="J158" i="6"/>
  <c r="A158" i="6" s="1"/>
  <c r="L157" i="6"/>
  <c r="C157" i="6" s="1"/>
  <c r="K157" i="6"/>
  <c r="B157" i="6" s="1"/>
  <c r="J157" i="6"/>
  <c r="A157" i="6" s="1"/>
  <c r="L156" i="6"/>
  <c r="C156" i="6" s="1"/>
  <c r="K156" i="6"/>
  <c r="B156" i="6" s="1"/>
  <c r="J156" i="6"/>
  <c r="A156" i="6" s="1"/>
  <c r="L155" i="6"/>
  <c r="C155" i="6" s="1"/>
  <c r="K155" i="6"/>
  <c r="B155" i="6" s="1"/>
  <c r="J155" i="6"/>
  <c r="A155" i="6" s="1"/>
  <c r="L154" i="6"/>
  <c r="C154" i="6" s="1"/>
  <c r="K154" i="6"/>
  <c r="B154" i="6" s="1"/>
  <c r="J154" i="6"/>
  <c r="A154" i="6" s="1"/>
  <c r="L153" i="6"/>
  <c r="C153" i="6" s="1"/>
  <c r="K153" i="6"/>
  <c r="B153" i="6" s="1"/>
  <c r="J153" i="6"/>
  <c r="A153" i="6" s="1"/>
  <c r="L152" i="6"/>
  <c r="C152" i="6" s="1"/>
  <c r="K152" i="6"/>
  <c r="B152" i="6" s="1"/>
  <c r="J152" i="6"/>
  <c r="A152" i="6" s="1"/>
  <c r="L151" i="6"/>
  <c r="C151" i="6" s="1"/>
  <c r="K151" i="6"/>
  <c r="B151" i="6" s="1"/>
  <c r="J151" i="6"/>
  <c r="A151" i="6" s="1"/>
  <c r="L150" i="6"/>
  <c r="C150" i="6" s="1"/>
  <c r="K150" i="6"/>
  <c r="B150" i="6" s="1"/>
  <c r="J150" i="6"/>
  <c r="A150" i="6" s="1"/>
  <c r="L149" i="6"/>
  <c r="C149" i="6" s="1"/>
  <c r="K149" i="6"/>
  <c r="B149" i="6" s="1"/>
  <c r="J149" i="6"/>
  <c r="A149" i="6" s="1"/>
  <c r="L148" i="6"/>
  <c r="C148" i="6" s="1"/>
  <c r="K148" i="6"/>
  <c r="B148" i="6" s="1"/>
  <c r="J148" i="6"/>
  <c r="A148" i="6" s="1"/>
  <c r="L147" i="6"/>
  <c r="C147" i="6" s="1"/>
  <c r="K147" i="6"/>
  <c r="B147" i="6" s="1"/>
  <c r="J147" i="6"/>
  <c r="A147" i="6" s="1"/>
  <c r="L146" i="6"/>
  <c r="C146" i="6" s="1"/>
  <c r="K146" i="6"/>
  <c r="B146" i="6" s="1"/>
  <c r="J146" i="6"/>
  <c r="A146" i="6" s="1"/>
  <c r="L145" i="6"/>
  <c r="C145" i="6" s="1"/>
  <c r="K145" i="6"/>
  <c r="B145" i="6" s="1"/>
  <c r="J145" i="6"/>
  <c r="A145" i="6" s="1"/>
  <c r="L144" i="6"/>
  <c r="C144" i="6" s="1"/>
  <c r="K144" i="6"/>
  <c r="B144" i="6" s="1"/>
  <c r="J144" i="6"/>
  <c r="A144" i="6" s="1"/>
  <c r="L143" i="6"/>
  <c r="C143" i="6" s="1"/>
  <c r="K143" i="6"/>
  <c r="B143" i="6" s="1"/>
  <c r="J143" i="6"/>
  <c r="A143" i="6" s="1"/>
  <c r="L142" i="6"/>
  <c r="C142" i="6" s="1"/>
  <c r="K142" i="6"/>
  <c r="B142" i="6" s="1"/>
  <c r="J142" i="6"/>
  <c r="A142" i="6" s="1"/>
  <c r="L141" i="6"/>
  <c r="C141" i="6" s="1"/>
  <c r="K141" i="6"/>
  <c r="B141" i="6" s="1"/>
  <c r="J141" i="6"/>
  <c r="A141" i="6" s="1"/>
  <c r="L140" i="6"/>
  <c r="C140" i="6" s="1"/>
  <c r="K140" i="6"/>
  <c r="B140" i="6" s="1"/>
  <c r="J140" i="6"/>
  <c r="A140" i="6" s="1"/>
  <c r="L139" i="6"/>
  <c r="C139" i="6" s="1"/>
  <c r="K139" i="6"/>
  <c r="B139" i="6" s="1"/>
  <c r="J139" i="6"/>
  <c r="A139" i="6" s="1"/>
  <c r="L138" i="6"/>
  <c r="C138" i="6" s="1"/>
  <c r="K138" i="6"/>
  <c r="B138" i="6" s="1"/>
  <c r="J138" i="6"/>
  <c r="A138" i="6" s="1"/>
  <c r="L137" i="6"/>
  <c r="C137" i="6" s="1"/>
  <c r="K137" i="6"/>
  <c r="B137" i="6" s="1"/>
  <c r="J137" i="6"/>
  <c r="A137" i="6" s="1"/>
  <c r="L136" i="6"/>
  <c r="C136" i="6" s="1"/>
  <c r="K136" i="6"/>
  <c r="B136" i="6" s="1"/>
  <c r="J136" i="6"/>
  <c r="A136" i="6" s="1"/>
  <c r="L135" i="6"/>
  <c r="C135" i="6" s="1"/>
  <c r="K135" i="6"/>
  <c r="B135" i="6" s="1"/>
  <c r="J135" i="6"/>
  <c r="A135" i="6" s="1"/>
  <c r="L134" i="6"/>
  <c r="C134" i="6" s="1"/>
  <c r="K134" i="6"/>
  <c r="B134" i="6" s="1"/>
  <c r="J134" i="6"/>
  <c r="A134" i="6" s="1"/>
  <c r="L133" i="6"/>
  <c r="C133" i="6" s="1"/>
  <c r="K133" i="6"/>
  <c r="B133" i="6" s="1"/>
  <c r="J133" i="6"/>
  <c r="A133" i="6" s="1"/>
  <c r="L132" i="6"/>
  <c r="C132" i="6" s="1"/>
  <c r="K132" i="6"/>
  <c r="B132" i="6" s="1"/>
  <c r="J132" i="6"/>
  <c r="A132" i="6" s="1"/>
  <c r="L131" i="6"/>
  <c r="C131" i="6" s="1"/>
  <c r="K131" i="6"/>
  <c r="B131" i="6" s="1"/>
  <c r="J131" i="6"/>
  <c r="A131" i="6" s="1"/>
  <c r="L130" i="6"/>
  <c r="C130" i="6" s="1"/>
  <c r="K130" i="6"/>
  <c r="B130" i="6" s="1"/>
  <c r="J130" i="6"/>
  <c r="A130" i="6" s="1"/>
  <c r="L129" i="6"/>
  <c r="C129" i="6" s="1"/>
  <c r="K129" i="6"/>
  <c r="B129" i="6" s="1"/>
  <c r="J129" i="6"/>
  <c r="A129" i="6" s="1"/>
  <c r="L128" i="6"/>
  <c r="C128" i="6" s="1"/>
  <c r="K128" i="6"/>
  <c r="B128" i="6" s="1"/>
  <c r="J128" i="6"/>
  <c r="A128" i="6" s="1"/>
  <c r="L127" i="6"/>
  <c r="C127" i="6" s="1"/>
  <c r="K127" i="6"/>
  <c r="B127" i="6" s="1"/>
  <c r="J127" i="6"/>
  <c r="A127" i="6" s="1"/>
  <c r="L126" i="6"/>
  <c r="C126" i="6" s="1"/>
  <c r="K126" i="6"/>
  <c r="B126" i="6" s="1"/>
  <c r="J126" i="6"/>
  <c r="A126" i="6" s="1"/>
  <c r="L125" i="6"/>
  <c r="C125" i="6" s="1"/>
  <c r="K125" i="6"/>
  <c r="B125" i="6" s="1"/>
  <c r="J125" i="6"/>
  <c r="A125" i="6" s="1"/>
  <c r="L124" i="6"/>
  <c r="C124" i="6" s="1"/>
  <c r="K124" i="6"/>
  <c r="B124" i="6" s="1"/>
  <c r="J124" i="6"/>
  <c r="A124" i="6" s="1"/>
  <c r="L123" i="6"/>
  <c r="C123" i="6" s="1"/>
  <c r="K123" i="6"/>
  <c r="B123" i="6" s="1"/>
  <c r="J123" i="6"/>
  <c r="A123" i="6" s="1"/>
  <c r="L122" i="6"/>
  <c r="C122" i="6" s="1"/>
  <c r="K122" i="6"/>
  <c r="B122" i="6" s="1"/>
  <c r="J122" i="6"/>
  <c r="A122" i="6" s="1"/>
  <c r="L121" i="6"/>
  <c r="C121" i="6" s="1"/>
  <c r="K121" i="6"/>
  <c r="B121" i="6" s="1"/>
  <c r="J121" i="6"/>
  <c r="A121" i="6" s="1"/>
  <c r="L120" i="6"/>
  <c r="C120" i="6" s="1"/>
  <c r="K120" i="6"/>
  <c r="B120" i="6" s="1"/>
  <c r="J120" i="6"/>
  <c r="A120" i="6" s="1"/>
  <c r="L119" i="6"/>
  <c r="C119" i="6" s="1"/>
  <c r="K119" i="6"/>
  <c r="B119" i="6" s="1"/>
  <c r="J119" i="6"/>
  <c r="A119" i="6" s="1"/>
  <c r="L118" i="6"/>
  <c r="C118" i="6" s="1"/>
  <c r="K118" i="6"/>
  <c r="B118" i="6" s="1"/>
  <c r="J118" i="6"/>
  <c r="A118" i="6" s="1"/>
  <c r="L117" i="6"/>
  <c r="C117" i="6" s="1"/>
  <c r="K117" i="6"/>
  <c r="B117" i="6" s="1"/>
  <c r="J117" i="6"/>
  <c r="A117" i="6" s="1"/>
  <c r="L116" i="6"/>
  <c r="C116" i="6" s="1"/>
  <c r="K116" i="6"/>
  <c r="B116" i="6" s="1"/>
  <c r="J116" i="6"/>
  <c r="A116" i="6" s="1"/>
  <c r="L115" i="6"/>
  <c r="C115" i="6" s="1"/>
  <c r="K115" i="6"/>
  <c r="B115" i="6" s="1"/>
  <c r="J115" i="6"/>
  <c r="A115" i="6" s="1"/>
  <c r="L114" i="6"/>
  <c r="C114" i="6" s="1"/>
  <c r="K114" i="6"/>
  <c r="B114" i="6" s="1"/>
  <c r="J114" i="6"/>
  <c r="A114" i="6" s="1"/>
  <c r="L113" i="6"/>
  <c r="C113" i="6" s="1"/>
  <c r="K113" i="6"/>
  <c r="B113" i="6" s="1"/>
  <c r="J113" i="6"/>
  <c r="A113" i="6" s="1"/>
  <c r="L112" i="6"/>
  <c r="C112" i="6" s="1"/>
  <c r="K112" i="6"/>
  <c r="B112" i="6" s="1"/>
  <c r="J112" i="6"/>
  <c r="A112" i="6" s="1"/>
  <c r="L111" i="6"/>
  <c r="C111" i="6" s="1"/>
  <c r="K111" i="6"/>
  <c r="B111" i="6" s="1"/>
  <c r="J111" i="6"/>
  <c r="A111" i="6" s="1"/>
  <c r="L110" i="6"/>
  <c r="C110" i="6" s="1"/>
  <c r="K110" i="6"/>
  <c r="B110" i="6" s="1"/>
  <c r="J110" i="6"/>
  <c r="A110" i="6" s="1"/>
  <c r="L109" i="6"/>
  <c r="C109" i="6" s="1"/>
  <c r="K109" i="6"/>
  <c r="B109" i="6" s="1"/>
  <c r="J109" i="6"/>
  <c r="A109" i="6" s="1"/>
  <c r="L108" i="6"/>
  <c r="C108" i="6" s="1"/>
  <c r="K108" i="6"/>
  <c r="B108" i="6" s="1"/>
  <c r="J108" i="6"/>
  <c r="A108" i="6" s="1"/>
  <c r="L107" i="6"/>
  <c r="C107" i="6" s="1"/>
  <c r="K107" i="6"/>
  <c r="B107" i="6" s="1"/>
  <c r="J107" i="6"/>
  <c r="A107" i="6" s="1"/>
  <c r="L106" i="6"/>
  <c r="C106" i="6" s="1"/>
  <c r="K106" i="6"/>
  <c r="B106" i="6" s="1"/>
  <c r="J106" i="6"/>
  <c r="A106" i="6" s="1"/>
  <c r="L105" i="6"/>
  <c r="C105" i="6" s="1"/>
  <c r="K105" i="6"/>
  <c r="B105" i="6" s="1"/>
  <c r="J105" i="6"/>
  <c r="A105" i="6" s="1"/>
  <c r="L104" i="6"/>
  <c r="C104" i="6" s="1"/>
  <c r="K104" i="6"/>
  <c r="B104" i="6" s="1"/>
  <c r="J104" i="6"/>
  <c r="A104" i="6" s="1"/>
  <c r="L103" i="6"/>
  <c r="C103" i="6" s="1"/>
  <c r="K103" i="6"/>
  <c r="B103" i="6" s="1"/>
  <c r="J103" i="6"/>
  <c r="A103" i="6" s="1"/>
  <c r="L102" i="6"/>
  <c r="C102" i="6" s="1"/>
  <c r="K102" i="6"/>
  <c r="B102" i="6" s="1"/>
  <c r="J102" i="6"/>
  <c r="A102" i="6" s="1"/>
  <c r="L101" i="6"/>
  <c r="C101" i="6" s="1"/>
  <c r="K101" i="6"/>
  <c r="B101" i="6" s="1"/>
  <c r="J101" i="6"/>
  <c r="A101" i="6" s="1"/>
  <c r="L100" i="6"/>
  <c r="C100" i="6" s="1"/>
  <c r="K100" i="6"/>
  <c r="B100" i="6" s="1"/>
  <c r="J100" i="6"/>
  <c r="A100" i="6" s="1"/>
  <c r="L99" i="6"/>
  <c r="C99" i="6" s="1"/>
  <c r="K99" i="6"/>
  <c r="B99" i="6" s="1"/>
  <c r="J99" i="6"/>
  <c r="A99" i="6" s="1"/>
  <c r="L98" i="6"/>
  <c r="C98" i="6" s="1"/>
  <c r="K98" i="6"/>
  <c r="B98" i="6" s="1"/>
  <c r="J98" i="6"/>
  <c r="A98" i="6" s="1"/>
  <c r="L97" i="6"/>
  <c r="C97" i="6" s="1"/>
  <c r="K97" i="6"/>
  <c r="B97" i="6" s="1"/>
  <c r="J97" i="6"/>
  <c r="A97" i="6" s="1"/>
  <c r="L96" i="6"/>
  <c r="C96" i="6" s="1"/>
  <c r="K96" i="6"/>
  <c r="B96" i="6" s="1"/>
  <c r="J96" i="6"/>
  <c r="A96" i="6" s="1"/>
  <c r="L95" i="6"/>
  <c r="C95" i="6" s="1"/>
  <c r="K95" i="6"/>
  <c r="B95" i="6" s="1"/>
  <c r="J95" i="6"/>
  <c r="A95" i="6" s="1"/>
  <c r="L94" i="6"/>
  <c r="C94" i="6" s="1"/>
  <c r="K94" i="6"/>
  <c r="B94" i="6" s="1"/>
  <c r="J94" i="6"/>
  <c r="A94" i="6" s="1"/>
  <c r="L93" i="6"/>
  <c r="C93" i="6" s="1"/>
  <c r="K93" i="6"/>
  <c r="B93" i="6" s="1"/>
  <c r="J93" i="6"/>
  <c r="A93" i="6" s="1"/>
  <c r="L92" i="6"/>
  <c r="C92" i="6" s="1"/>
  <c r="K92" i="6"/>
  <c r="B92" i="6" s="1"/>
  <c r="J92" i="6"/>
  <c r="A92" i="6" s="1"/>
  <c r="L91" i="6"/>
  <c r="C91" i="6" s="1"/>
  <c r="K91" i="6"/>
  <c r="B91" i="6" s="1"/>
  <c r="J91" i="6"/>
  <c r="A91" i="6" s="1"/>
  <c r="L90" i="6"/>
  <c r="C90" i="6" s="1"/>
  <c r="K90" i="6"/>
  <c r="B90" i="6" s="1"/>
  <c r="J90" i="6"/>
  <c r="A90" i="6" s="1"/>
  <c r="L89" i="6"/>
  <c r="C89" i="6" s="1"/>
  <c r="K89" i="6"/>
  <c r="B89" i="6" s="1"/>
  <c r="J89" i="6"/>
  <c r="A89" i="6" s="1"/>
  <c r="L88" i="6"/>
  <c r="C88" i="6" s="1"/>
  <c r="K88" i="6"/>
  <c r="B88" i="6" s="1"/>
  <c r="J88" i="6"/>
  <c r="A88" i="6" s="1"/>
  <c r="L87" i="6"/>
  <c r="C87" i="6" s="1"/>
  <c r="K87" i="6"/>
  <c r="B87" i="6" s="1"/>
  <c r="J87" i="6"/>
  <c r="A87" i="6" s="1"/>
  <c r="L86" i="6"/>
  <c r="C86" i="6" s="1"/>
  <c r="K86" i="6"/>
  <c r="B86" i="6" s="1"/>
  <c r="J86" i="6"/>
  <c r="A86" i="6" s="1"/>
  <c r="L85" i="6"/>
  <c r="C85" i="6" s="1"/>
  <c r="K85" i="6"/>
  <c r="B85" i="6" s="1"/>
  <c r="J85" i="6"/>
  <c r="A85" i="6" s="1"/>
  <c r="L84" i="6"/>
  <c r="C84" i="6" s="1"/>
  <c r="K84" i="6"/>
  <c r="B84" i="6" s="1"/>
  <c r="J84" i="6"/>
  <c r="A84" i="6" s="1"/>
  <c r="L83" i="6"/>
  <c r="C83" i="6" s="1"/>
  <c r="K83" i="6"/>
  <c r="B83" i="6" s="1"/>
  <c r="J83" i="6"/>
  <c r="A83" i="6" s="1"/>
  <c r="L82" i="6"/>
  <c r="C82" i="6" s="1"/>
  <c r="K82" i="6"/>
  <c r="B82" i="6" s="1"/>
  <c r="J82" i="6"/>
  <c r="A82" i="6" s="1"/>
  <c r="L81" i="6"/>
  <c r="C81" i="6" s="1"/>
  <c r="K81" i="6"/>
  <c r="B81" i="6" s="1"/>
  <c r="J81" i="6"/>
  <c r="A81" i="6" s="1"/>
  <c r="L80" i="6"/>
  <c r="C80" i="6" s="1"/>
  <c r="K80" i="6"/>
  <c r="B80" i="6" s="1"/>
  <c r="J80" i="6"/>
  <c r="A80" i="6" s="1"/>
  <c r="L79" i="6"/>
  <c r="C79" i="6" s="1"/>
  <c r="K79" i="6"/>
  <c r="B79" i="6" s="1"/>
  <c r="J79" i="6"/>
  <c r="A79" i="6" s="1"/>
  <c r="L78" i="6"/>
  <c r="C78" i="6" s="1"/>
  <c r="K78" i="6"/>
  <c r="B78" i="6" s="1"/>
  <c r="J78" i="6"/>
  <c r="A78" i="6" s="1"/>
  <c r="L77" i="6"/>
  <c r="C77" i="6" s="1"/>
  <c r="K77" i="6"/>
  <c r="B77" i="6" s="1"/>
  <c r="J77" i="6"/>
  <c r="A77" i="6" s="1"/>
  <c r="L76" i="6"/>
  <c r="C76" i="6" s="1"/>
  <c r="K76" i="6"/>
  <c r="B76" i="6" s="1"/>
  <c r="J76" i="6"/>
  <c r="A76" i="6" s="1"/>
  <c r="L75" i="6"/>
  <c r="C75" i="6" s="1"/>
  <c r="K75" i="6"/>
  <c r="B75" i="6" s="1"/>
  <c r="J75" i="6"/>
  <c r="A75" i="6" s="1"/>
  <c r="L74" i="6"/>
  <c r="C74" i="6" s="1"/>
  <c r="K74" i="6"/>
  <c r="B74" i="6" s="1"/>
  <c r="J74" i="6"/>
  <c r="A74" i="6" s="1"/>
  <c r="L73" i="6"/>
  <c r="C73" i="6" s="1"/>
  <c r="K73" i="6"/>
  <c r="B73" i="6" s="1"/>
  <c r="J73" i="6"/>
  <c r="A73" i="6" s="1"/>
  <c r="L72" i="6"/>
  <c r="C72" i="6" s="1"/>
  <c r="K72" i="6"/>
  <c r="B72" i="6" s="1"/>
  <c r="J72" i="6"/>
  <c r="A72" i="6" s="1"/>
  <c r="L71" i="6"/>
  <c r="C71" i="6" s="1"/>
  <c r="K71" i="6"/>
  <c r="B71" i="6" s="1"/>
  <c r="J71" i="6"/>
  <c r="A71" i="6" s="1"/>
  <c r="L70" i="6"/>
  <c r="C70" i="6" s="1"/>
  <c r="K70" i="6"/>
  <c r="B70" i="6" s="1"/>
  <c r="J70" i="6"/>
  <c r="A70" i="6" s="1"/>
  <c r="L69" i="6"/>
  <c r="C69" i="6" s="1"/>
  <c r="K69" i="6"/>
  <c r="B69" i="6" s="1"/>
  <c r="J69" i="6"/>
  <c r="A69" i="6" s="1"/>
  <c r="L68" i="6"/>
  <c r="C68" i="6" s="1"/>
  <c r="K68" i="6"/>
  <c r="B68" i="6" s="1"/>
  <c r="J68" i="6"/>
  <c r="A68" i="6" s="1"/>
  <c r="L67" i="6"/>
  <c r="C67" i="6" s="1"/>
  <c r="K67" i="6"/>
  <c r="B67" i="6" s="1"/>
  <c r="J67" i="6"/>
  <c r="A67" i="6" s="1"/>
  <c r="L66" i="6"/>
  <c r="C66" i="6" s="1"/>
  <c r="K66" i="6"/>
  <c r="B66" i="6" s="1"/>
  <c r="J66" i="6"/>
  <c r="A66" i="6" s="1"/>
  <c r="L65" i="6"/>
  <c r="C65" i="6" s="1"/>
  <c r="K65" i="6"/>
  <c r="B65" i="6" s="1"/>
  <c r="J65" i="6"/>
  <c r="A65" i="6" s="1"/>
  <c r="L64" i="6"/>
  <c r="C64" i="6" s="1"/>
  <c r="K64" i="6"/>
  <c r="B64" i="6" s="1"/>
  <c r="J64" i="6"/>
  <c r="A64" i="6" s="1"/>
  <c r="L63" i="6"/>
  <c r="C63" i="6" s="1"/>
  <c r="K63" i="6"/>
  <c r="B63" i="6" s="1"/>
  <c r="J63" i="6"/>
  <c r="A63" i="6" s="1"/>
  <c r="L62" i="6"/>
  <c r="C62" i="6" s="1"/>
  <c r="K62" i="6"/>
  <c r="B62" i="6" s="1"/>
  <c r="J62" i="6"/>
  <c r="A62" i="6" s="1"/>
  <c r="L61" i="6"/>
  <c r="C61" i="6" s="1"/>
  <c r="K61" i="6"/>
  <c r="B61" i="6" s="1"/>
  <c r="J61" i="6"/>
  <c r="A61" i="6" s="1"/>
  <c r="L60" i="6"/>
  <c r="C60" i="6" s="1"/>
  <c r="K60" i="6"/>
  <c r="B60" i="6" s="1"/>
  <c r="J60" i="6"/>
  <c r="A60" i="6" s="1"/>
  <c r="L59" i="6"/>
  <c r="C59" i="6" s="1"/>
  <c r="K59" i="6"/>
  <c r="B59" i="6" s="1"/>
  <c r="J59" i="6"/>
  <c r="A59" i="6" s="1"/>
  <c r="L58" i="6"/>
  <c r="C58" i="6" s="1"/>
  <c r="K58" i="6"/>
  <c r="B58" i="6" s="1"/>
  <c r="J58" i="6"/>
  <c r="A58" i="6" s="1"/>
  <c r="L57" i="6"/>
  <c r="C57" i="6" s="1"/>
  <c r="K57" i="6"/>
  <c r="B57" i="6" s="1"/>
  <c r="J57" i="6"/>
  <c r="A57" i="6" s="1"/>
  <c r="L56" i="6"/>
  <c r="C56" i="6" s="1"/>
  <c r="K56" i="6"/>
  <c r="B56" i="6" s="1"/>
  <c r="J56" i="6"/>
  <c r="A56" i="6" s="1"/>
  <c r="L55" i="6"/>
  <c r="C55" i="6" s="1"/>
  <c r="K55" i="6"/>
  <c r="B55" i="6" s="1"/>
  <c r="J55" i="6"/>
  <c r="A55" i="6" s="1"/>
  <c r="L54" i="6"/>
  <c r="C54" i="6" s="1"/>
  <c r="K54" i="6"/>
  <c r="B54" i="6" s="1"/>
  <c r="J54" i="6"/>
  <c r="A54" i="6" s="1"/>
  <c r="L53" i="6"/>
  <c r="C53" i="6" s="1"/>
  <c r="K53" i="6"/>
  <c r="B53" i="6" s="1"/>
  <c r="J53" i="6"/>
  <c r="A53" i="6" s="1"/>
  <c r="L52" i="6"/>
  <c r="C52" i="6" s="1"/>
  <c r="K52" i="6"/>
  <c r="B52" i="6" s="1"/>
  <c r="J52" i="6"/>
  <c r="A52" i="6" s="1"/>
  <c r="L51" i="6"/>
  <c r="C51" i="6" s="1"/>
  <c r="K51" i="6"/>
  <c r="B51" i="6" s="1"/>
  <c r="J51" i="6"/>
  <c r="A51" i="6" s="1"/>
  <c r="L50" i="6"/>
  <c r="C50" i="6" s="1"/>
  <c r="K50" i="6"/>
  <c r="B50" i="6" s="1"/>
  <c r="J50" i="6"/>
  <c r="A50" i="6" s="1"/>
  <c r="L49" i="6"/>
  <c r="C49" i="6" s="1"/>
  <c r="K49" i="6"/>
  <c r="B49" i="6" s="1"/>
  <c r="J49" i="6"/>
  <c r="A49" i="6" s="1"/>
  <c r="L48" i="6"/>
  <c r="C48" i="6" s="1"/>
  <c r="K48" i="6"/>
  <c r="B48" i="6" s="1"/>
  <c r="J48" i="6"/>
  <c r="A48" i="6" s="1"/>
  <c r="L47" i="6"/>
  <c r="C47" i="6" s="1"/>
  <c r="K47" i="6"/>
  <c r="B47" i="6" s="1"/>
  <c r="J47" i="6"/>
  <c r="A47" i="6" s="1"/>
  <c r="L46" i="6"/>
  <c r="C46" i="6" s="1"/>
  <c r="K46" i="6"/>
  <c r="B46" i="6" s="1"/>
  <c r="J46" i="6"/>
  <c r="A46" i="6" s="1"/>
  <c r="L45" i="6"/>
  <c r="C45" i="6" s="1"/>
  <c r="K45" i="6"/>
  <c r="B45" i="6" s="1"/>
  <c r="J45" i="6"/>
  <c r="A45" i="6" s="1"/>
  <c r="L44" i="6"/>
  <c r="C44" i="6" s="1"/>
  <c r="K44" i="6"/>
  <c r="B44" i="6" s="1"/>
  <c r="J44" i="6"/>
  <c r="A44" i="6" s="1"/>
  <c r="L43" i="6"/>
  <c r="C43" i="6" s="1"/>
  <c r="K43" i="6"/>
  <c r="B43" i="6" s="1"/>
  <c r="J43" i="6"/>
  <c r="A43" i="6" s="1"/>
  <c r="L42" i="6"/>
  <c r="C42" i="6" s="1"/>
  <c r="K42" i="6"/>
  <c r="B42" i="6" s="1"/>
  <c r="J42" i="6"/>
  <c r="A42" i="6" s="1"/>
  <c r="L41" i="6"/>
  <c r="C41" i="6" s="1"/>
  <c r="K41" i="6"/>
  <c r="B41" i="6" s="1"/>
  <c r="J41" i="6"/>
  <c r="A41" i="6" s="1"/>
  <c r="L40" i="6"/>
  <c r="C40" i="6" s="1"/>
  <c r="K40" i="6"/>
  <c r="B40" i="6" s="1"/>
  <c r="J40" i="6"/>
  <c r="A40" i="6" s="1"/>
  <c r="L39" i="6"/>
  <c r="C39" i="6" s="1"/>
  <c r="K39" i="6"/>
  <c r="B39" i="6" s="1"/>
  <c r="J39" i="6"/>
  <c r="A39" i="6" s="1"/>
  <c r="L38" i="6"/>
  <c r="C38" i="6" s="1"/>
  <c r="K38" i="6"/>
  <c r="B38" i="6" s="1"/>
  <c r="J38" i="6"/>
  <c r="A38" i="6" s="1"/>
  <c r="L37" i="6"/>
  <c r="C37" i="6" s="1"/>
  <c r="K37" i="6"/>
  <c r="B37" i="6" s="1"/>
  <c r="J37" i="6"/>
  <c r="A37" i="6" s="1"/>
  <c r="L36" i="6"/>
  <c r="C36" i="6" s="1"/>
  <c r="K36" i="6"/>
  <c r="B36" i="6" s="1"/>
  <c r="J36" i="6"/>
  <c r="A36" i="6" s="1"/>
  <c r="L35" i="6"/>
  <c r="C35" i="6" s="1"/>
  <c r="K35" i="6"/>
  <c r="B35" i="6" s="1"/>
  <c r="J35" i="6"/>
  <c r="A35" i="6" s="1"/>
  <c r="L34" i="6"/>
  <c r="C34" i="6" s="1"/>
  <c r="K34" i="6"/>
  <c r="B34" i="6" s="1"/>
  <c r="J34" i="6"/>
  <c r="A34" i="6" s="1"/>
  <c r="L33" i="6"/>
  <c r="C33" i="6" s="1"/>
  <c r="K33" i="6"/>
  <c r="B33" i="6" s="1"/>
  <c r="J33" i="6"/>
  <c r="A33" i="6" s="1"/>
  <c r="L32" i="6"/>
  <c r="C32" i="6" s="1"/>
  <c r="K32" i="6"/>
  <c r="B32" i="6" s="1"/>
  <c r="J32" i="6"/>
  <c r="A32" i="6" s="1"/>
  <c r="L31" i="6"/>
  <c r="C31" i="6" s="1"/>
  <c r="K31" i="6"/>
  <c r="B31" i="6" s="1"/>
  <c r="J31" i="6"/>
  <c r="A31" i="6" s="1"/>
  <c r="L30" i="6"/>
  <c r="C30" i="6" s="1"/>
  <c r="K30" i="6"/>
  <c r="B30" i="6" s="1"/>
  <c r="J30" i="6"/>
  <c r="A30" i="6" s="1"/>
  <c r="L29" i="6"/>
  <c r="C29" i="6" s="1"/>
  <c r="K29" i="6"/>
  <c r="B29" i="6" s="1"/>
  <c r="J29" i="6"/>
  <c r="A29" i="6" s="1"/>
  <c r="L28" i="6"/>
  <c r="C28" i="6" s="1"/>
  <c r="K28" i="6"/>
  <c r="B28" i="6" s="1"/>
  <c r="J28" i="6"/>
  <c r="A28" i="6" s="1"/>
  <c r="L27" i="6"/>
  <c r="C27" i="6" s="1"/>
  <c r="K27" i="6"/>
  <c r="B27" i="6" s="1"/>
  <c r="J27" i="6"/>
  <c r="A27" i="6" s="1"/>
  <c r="L26" i="6"/>
  <c r="C26" i="6" s="1"/>
  <c r="K26" i="6"/>
  <c r="B26" i="6" s="1"/>
  <c r="J26" i="6"/>
  <c r="A26" i="6" s="1"/>
  <c r="L25" i="6"/>
  <c r="C25" i="6" s="1"/>
  <c r="K25" i="6"/>
  <c r="B25" i="6" s="1"/>
  <c r="J25" i="6"/>
  <c r="A25" i="6" s="1"/>
  <c r="L24" i="6"/>
  <c r="C24" i="6" s="1"/>
  <c r="K24" i="6"/>
  <c r="B24" i="6" s="1"/>
  <c r="J24" i="6"/>
  <c r="A24" i="6" s="1"/>
  <c r="L23" i="6"/>
  <c r="C23" i="6" s="1"/>
  <c r="K23" i="6"/>
  <c r="B23" i="6" s="1"/>
  <c r="J23" i="6"/>
  <c r="A23" i="6" s="1"/>
  <c r="L22" i="6"/>
  <c r="C22" i="6" s="1"/>
  <c r="K22" i="6"/>
  <c r="B22" i="6" s="1"/>
  <c r="J22" i="6"/>
  <c r="A22" i="6" s="1"/>
  <c r="L21" i="6"/>
  <c r="C21" i="6" s="1"/>
  <c r="K21" i="6"/>
  <c r="B21" i="6" s="1"/>
  <c r="J21" i="6"/>
  <c r="A21" i="6" s="1"/>
  <c r="L20" i="6"/>
  <c r="C20" i="6" s="1"/>
  <c r="K20" i="6"/>
  <c r="B20" i="6" s="1"/>
  <c r="J20" i="6"/>
  <c r="A20" i="6" s="1"/>
  <c r="L19" i="6"/>
  <c r="C19" i="6" s="1"/>
  <c r="K19" i="6"/>
  <c r="B19" i="6" s="1"/>
  <c r="J19" i="6"/>
  <c r="A19" i="6" s="1"/>
  <c r="L18" i="6"/>
  <c r="C18" i="6" s="1"/>
  <c r="K18" i="6"/>
  <c r="B18" i="6" s="1"/>
  <c r="J18" i="6"/>
  <c r="A18" i="6" s="1"/>
  <c r="L17" i="6"/>
  <c r="C17" i="6" s="1"/>
  <c r="K17" i="6"/>
  <c r="B17" i="6" s="1"/>
  <c r="J17" i="6"/>
  <c r="A17" i="6" s="1"/>
  <c r="L16" i="6"/>
  <c r="C16" i="6" s="1"/>
  <c r="K16" i="6"/>
  <c r="B16" i="6" s="1"/>
  <c r="J16" i="6"/>
  <c r="A16" i="6" s="1"/>
  <c r="L15" i="6"/>
  <c r="C15" i="6" s="1"/>
  <c r="K15" i="6"/>
  <c r="B15" i="6" s="1"/>
  <c r="J15" i="6"/>
  <c r="A15" i="6" s="1"/>
  <c r="L14" i="6"/>
  <c r="C14" i="6" s="1"/>
  <c r="K14" i="6"/>
  <c r="B14" i="6" s="1"/>
  <c r="J14" i="6"/>
  <c r="A14" i="6" s="1"/>
  <c r="L13" i="6"/>
  <c r="C13" i="6" s="1"/>
  <c r="K13" i="6"/>
  <c r="B13" i="6" s="1"/>
  <c r="J13" i="6"/>
  <c r="A13" i="6" s="1"/>
  <c r="L12" i="6"/>
  <c r="C12" i="6" s="1"/>
  <c r="K12" i="6"/>
  <c r="B12" i="6" s="1"/>
  <c r="J12" i="6"/>
  <c r="A12" i="6" s="1"/>
  <c r="L11" i="6"/>
  <c r="C11" i="6" s="1"/>
  <c r="K11" i="6"/>
  <c r="B11" i="6" s="1"/>
  <c r="J11" i="6"/>
  <c r="A11" i="6" s="1"/>
  <c r="L10" i="6"/>
  <c r="C10" i="6" s="1"/>
  <c r="K10" i="6"/>
  <c r="B10" i="6" s="1"/>
  <c r="J10" i="6"/>
  <c r="A10" i="6" s="1"/>
  <c r="L9" i="6"/>
  <c r="C9" i="6" s="1"/>
  <c r="K9" i="6"/>
  <c r="B9" i="6" s="1"/>
  <c r="J9" i="6"/>
  <c r="A9" i="6" s="1"/>
  <c r="L8" i="6"/>
  <c r="C8" i="6" s="1"/>
  <c r="K8" i="6"/>
  <c r="B8" i="6" s="1"/>
  <c r="J8" i="6"/>
  <c r="A8" i="6" s="1"/>
  <c r="L7" i="6"/>
  <c r="C7" i="6" s="1"/>
  <c r="K7" i="6"/>
  <c r="B7" i="6" s="1"/>
  <c r="J7" i="6"/>
  <c r="A7" i="6" s="1"/>
  <c r="L6" i="6"/>
  <c r="C6" i="6" s="1"/>
  <c r="K6" i="6"/>
  <c r="B6" i="6" s="1"/>
  <c r="J6" i="6"/>
  <c r="A6" i="6" s="1"/>
  <c r="L5" i="6"/>
  <c r="C5" i="6" s="1"/>
  <c r="K5" i="6"/>
  <c r="B5" i="6" s="1"/>
  <c r="J5" i="6"/>
  <c r="A5" i="6" s="1"/>
  <c r="L4" i="6"/>
  <c r="C4" i="6" s="1"/>
  <c r="K4" i="6"/>
  <c r="B4" i="6" s="1"/>
  <c r="J4" i="6"/>
  <c r="A4" i="6" s="1"/>
  <c r="L3" i="6"/>
  <c r="C3" i="6" s="1"/>
  <c r="K3" i="6"/>
  <c r="B3" i="6" s="1"/>
  <c r="J3" i="6"/>
  <c r="A3" i="6" s="1"/>
  <c r="G456" i="7" l="1"/>
  <c r="G517" i="7"/>
  <c r="G608" i="7"/>
  <c r="G530" i="7"/>
  <c r="G363" i="7"/>
  <c r="Q363" i="7" s="1"/>
  <c r="G337" i="7"/>
  <c r="Q337" i="7" s="1"/>
  <c r="G721" i="7"/>
  <c r="G587" i="7"/>
  <c r="G457" i="7"/>
  <c r="G497" i="7"/>
  <c r="G187" i="7"/>
  <c r="Q187" i="7" s="1"/>
  <c r="G364" i="7"/>
  <c r="Q364" i="7" s="1"/>
  <c r="G58" i="7"/>
  <c r="Q58" i="7" s="1"/>
  <c r="G96" i="7"/>
  <c r="G73" i="7"/>
  <c r="Q73" i="7" s="1"/>
  <c r="G285" i="7"/>
  <c r="G550" i="7"/>
  <c r="G384" i="7"/>
  <c r="G259" i="7"/>
  <c r="Q259" i="7" s="1"/>
  <c r="G754" i="7"/>
  <c r="Q754" i="7" s="1"/>
  <c r="G150" i="7"/>
  <c r="G654" i="7"/>
  <c r="G436" i="7"/>
  <c r="G683" i="7"/>
  <c r="G684" i="7"/>
  <c r="Q684" i="7" s="1"/>
  <c r="G339" i="7"/>
  <c r="Q339" i="7" s="1"/>
  <c r="G311" i="7"/>
  <c r="Q311" i="7" s="1"/>
  <c r="G629" i="7"/>
  <c r="G583" i="7"/>
  <c r="G180" i="7"/>
  <c r="G419" i="7"/>
  <c r="Q419" i="7" s="1"/>
  <c r="G747" i="7"/>
  <c r="G663" i="7"/>
  <c r="G284" i="7"/>
  <c r="G75" i="7"/>
  <c r="Q75" i="7" s="1"/>
  <c r="G673" i="7"/>
  <c r="G475" i="7"/>
  <c r="Q475" i="7" s="1"/>
  <c r="G672" i="7"/>
  <c r="G689" i="7"/>
  <c r="Q689" i="7" s="1"/>
  <c r="G392" i="7"/>
  <c r="Q392" i="7" s="1"/>
  <c r="G406" i="7"/>
  <c r="G584" i="7"/>
  <c r="G446" i="7"/>
  <c r="Q446" i="7" s="1"/>
  <c r="G130" i="7"/>
  <c r="G163" i="7"/>
  <c r="Q163" i="7" s="1"/>
  <c r="G414" i="7"/>
  <c r="G71" i="7"/>
  <c r="G717" i="7"/>
  <c r="Q717" i="7" s="1"/>
  <c r="G106" i="7"/>
  <c r="G59" i="7"/>
  <c r="G489" i="7"/>
  <c r="G226" i="7"/>
  <c r="G249" i="7"/>
  <c r="G186" i="7"/>
  <c r="Q186" i="7" s="1"/>
  <c r="G42" i="7"/>
  <c r="G381" i="7"/>
  <c r="G120" i="7"/>
  <c r="Q120" i="7" s="1"/>
  <c r="G47" i="7"/>
  <c r="Q47" i="7" s="1"/>
  <c r="G60" i="7"/>
  <c r="Q60" i="7" s="1"/>
  <c r="G655" i="7"/>
  <c r="G388" i="7"/>
  <c r="Q388" i="7" s="1"/>
  <c r="G213" i="7"/>
  <c r="G182" i="7"/>
  <c r="Q182" i="7" s="1"/>
  <c r="G447" i="7"/>
  <c r="G196" i="7"/>
  <c r="Q196" i="7" s="1"/>
  <c r="G169" i="7"/>
  <c r="G63" i="7"/>
  <c r="Q63" i="7" s="1"/>
  <c r="G7" i="7"/>
  <c r="G711" i="7"/>
  <c r="G418" i="7"/>
  <c r="G100" i="7"/>
  <c r="G649" i="7"/>
  <c r="G463" i="7"/>
  <c r="Q463" i="7" s="1"/>
  <c r="G152" i="7"/>
  <c r="Q152" i="7" s="1"/>
  <c r="G126" i="7"/>
  <c r="G360" i="7"/>
  <c r="G417" i="7"/>
  <c r="Q417" i="7" s="1"/>
  <c r="G246" i="7"/>
  <c r="Q246" i="7" s="1"/>
  <c r="G115" i="7"/>
  <c r="Q115" i="7" s="1"/>
  <c r="G178" i="7"/>
  <c r="G283" i="7"/>
  <c r="G192" i="7"/>
  <c r="Q192" i="7" s="1"/>
  <c r="G191" i="7"/>
  <c r="Q191" i="7" s="1"/>
  <c r="G676" i="7"/>
  <c r="G212" i="7"/>
  <c r="Q212" i="7" s="1"/>
  <c r="G5" i="7"/>
  <c r="G236" i="7"/>
  <c r="Q236" i="7" s="1"/>
  <c r="G716" i="7"/>
  <c r="G460" i="7"/>
  <c r="G343" i="7"/>
  <c r="G424" i="7"/>
  <c r="Q424" i="7" s="1"/>
  <c r="G730" i="7"/>
  <c r="G379" i="7"/>
  <c r="Q379" i="7" s="1"/>
  <c r="G294" i="7"/>
  <c r="Q294" i="7" s="1"/>
  <c r="G56" i="7"/>
  <c r="G148" i="7"/>
  <c r="G300" i="7"/>
  <c r="Q300" i="7" s="1"/>
  <c r="G731" i="7"/>
  <c r="G648" i="7"/>
  <c r="Q648" i="7" s="1"/>
  <c r="G412" i="7"/>
  <c r="Q412" i="7" s="1"/>
  <c r="R1" i="7"/>
  <c r="G135" i="7"/>
  <c r="G732" i="7"/>
  <c r="G715" i="7"/>
  <c r="G408" i="7"/>
  <c r="G473" i="7"/>
  <c r="G397" i="7"/>
  <c r="Q397" i="7" s="1"/>
  <c r="G28" i="7"/>
  <c r="G19" i="7"/>
  <c r="Q19" i="7" s="1"/>
  <c r="G579" i="7"/>
  <c r="Q579" i="7" s="1"/>
  <c r="G355" i="7"/>
  <c r="G435" i="7"/>
  <c r="Q435" i="7" s="1"/>
  <c r="G104" i="7"/>
  <c r="G341" i="7"/>
  <c r="G626" i="7"/>
  <c r="G199" i="7"/>
  <c r="Q199" i="7" s="1"/>
  <c r="G635" i="7"/>
  <c r="Q635" i="7" s="1"/>
  <c r="G612" i="7"/>
  <c r="G257" i="7"/>
  <c r="Q257" i="7" s="1"/>
  <c r="G221" i="7"/>
  <c r="Q221" i="7" s="1"/>
  <c r="G197" i="7"/>
  <c r="G79" i="7"/>
  <c r="Q79" i="7" s="1"/>
  <c r="G286" i="7"/>
  <c r="G631" i="7"/>
  <c r="Q631" i="7" s="1"/>
  <c r="G502" i="7"/>
  <c r="G267" i="7"/>
  <c r="G746" i="7"/>
  <c r="Q746" i="7" s="1"/>
  <c r="G348" i="7"/>
  <c r="G597" i="7"/>
  <c r="Q597" i="7" s="1"/>
  <c r="G49" i="7"/>
  <c r="Q49" i="7" s="1"/>
  <c r="G10" i="7"/>
  <c r="Q10" i="7" s="1"/>
  <c r="G90" i="7"/>
  <c r="G93" i="7"/>
  <c r="Q93" i="7" s="1"/>
  <c r="G51" i="7"/>
  <c r="Q51" i="7" s="1"/>
  <c r="G86" i="7"/>
  <c r="Q86" i="7" s="1"/>
  <c r="G714" i="7"/>
  <c r="Q714" i="7" s="1"/>
  <c r="G229" i="7"/>
  <c r="G99" i="7"/>
  <c r="G164" i="7"/>
  <c r="G129" i="7"/>
  <c r="G151" i="7"/>
  <c r="Q151" i="7" s="1"/>
  <c r="G749" i="7"/>
  <c r="Q749" i="7" s="1"/>
  <c r="G752" i="7"/>
  <c r="Q752" i="7" s="1"/>
  <c r="G534" i="7"/>
  <c r="Q534" i="7" s="1"/>
  <c r="G537" i="7"/>
  <c r="G472" i="7"/>
  <c r="G334" i="7"/>
  <c r="G349" i="7"/>
  <c r="G223" i="7"/>
  <c r="G171" i="7"/>
  <c r="G137" i="7"/>
  <c r="Q137" i="7" s="1"/>
  <c r="G149" i="7"/>
  <c r="G293" i="7"/>
  <c r="Q293" i="7" s="1"/>
  <c r="G143" i="7"/>
  <c r="G124" i="7"/>
  <c r="G132" i="7"/>
  <c r="Q132" i="7" s="1"/>
  <c r="G305" i="7"/>
  <c r="Q305" i="7" s="1"/>
  <c r="G743" i="7"/>
  <c r="G572" i="7"/>
  <c r="G486" i="7"/>
  <c r="Q486" i="7" s="1"/>
  <c r="G345" i="7"/>
  <c r="G389" i="7"/>
  <c r="Q389" i="7" s="1"/>
  <c r="G318" i="7"/>
  <c r="Q318" i="7" s="1"/>
  <c r="G206" i="7"/>
  <c r="Q206" i="7" s="1"/>
  <c r="G205" i="7"/>
  <c r="G195" i="7"/>
  <c r="Q195" i="7" s="1"/>
  <c r="G113" i="7"/>
  <c r="Q113" i="7" s="1"/>
  <c r="G33" i="7"/>
  <c r="Q33" i="7" s="1"/>
  <c r="G669" i="7"/>
  <c r="G642" i="7"/>
  <c r="G753" i="7"/>
  <c r="Q753" i="7" s="1"/>
  <c r="G595" i="7"/>
  <c r="G596" i="7"/>
  <c r="Q596" i="7" s="1"/>
  <c r="G613" i="7"/>
  <c r="Q613" i="7" s="1"/>
  <c r="G507" i="7"/>
  <c r="Q507" i="7" s="1"/>
  <c r="G240" i="7"/>
  <c r="Q240" i="7" s="1"/>
  <c r="G230" i="7"/>
  <c r="G299" i="7"/>
  <c r="Q299" i="7" s="1"/>
  <c r="G125" i="7"/>
  <c r="G245" i="7"/>
  <c r="Q245" i="7" s="1"/>
  <c r="G158" i="7"/>
  <c r="G26" i="7"/>
  <c r="G490" i="7"/>
  <c r="Q490" i="7" s="1"/>
  <c r="G177" i="7"/>
  <c r="G562" i="7"/>
  <c r="G659" i="7"/>
  <c r="G359" i="7"/>
  <c r="G16" i="7"/>
  <c r="G734" i="7"/>
  <c r="Q734" i="7" s="1"/>
  <c r="G637" i="7"/>
  <c r="Q637" i="7" s="1"/>
  <c r="G652" i="7"/>
  <c r="G566" i="7"/>
  <c r="Q566" i="7" s="1"/>
  <c r="G505" i="7"/>
  <c r="G540" i="7"/>
  <c r="Q540" i="7" s="1"/>
  <c r="G462" i="7"/>
  <c r="G396" i="7"/>
  <c r="G253" i="7"/>
  <c r="G298" i="7"/>
  <c r="G179" i="7"/>
  <c r="G181" i="7"/>
  <c r="G27" i="7"/>
  <c r="Q27" i="7" s="1"/>
  <c r="G645" i="7"/>
  <c r="G519" i="7"/>
  <c r="G440" i="7"/>
  <c r="G332" i="7"/>
  <c r="G713" i="7"/>
  <c r="G161" i="7"/>
  <c r="G603" i="7"/>
  <c r="G91" i="7"/>
  <c r="G326" i="7"/>
  <c r="G324" i="7"/>
  <c r="Q324" i="7" s="1"/>
  <c r="G697" i="7"/>
  <c r="G494" i="7"/>
  <c r="Q494" i="7" s="1"/>
  <c r="G513" i="7"/>
  <c r="G481" i="7"/>
  <c r="Q481" i="7" s="1"/>
  <c r="G395" i="7"/>
  <c r="G377" i="7"/>
  <c r="Q377" i="7" s="1"/>
  <c r="G370" i="7"/>
  <c r="G278" i="7"/>
  <c r="G207" i="7"/>
  <c r="G101" i="7"/>
  <c r="Q101" i="7" s="1"/>
  <c r="G131" i="7"/>
  <c r="G82" i="7"/>
  <c r="G50" i="7"/>
  <c r="G653" i="7"/>
  <c r="G693" i="7"/>
  <c r="Q693" i="7" s="1"/>
  <c r="G723" i="7"/>
  <c r="G162" i="7"/>
  <c r="G273" i="7"/>
  <c r="G145" i="7"/>
  <c r="Q145" i="7" s="1"/>
  <c r="G744" i="7"/>
  <c r="F162" i="7"/>
  <c r="F137" i="7"/>
  <c r="G78" i="7"/>
  <c r="Q78" i="7" s="1"/>
  <c r="G18" i="7"/>
  <c r="G738" i="7"/>
  <c r="G691" i="7"/>
  <c r="G722" i="7"/>
  <c r="G729" i="7"/>
  <c r="F739" i="7"/>
  <c r="G666" i="7"/>
  <c r="F685" i="7"/>
  <c r="G657" i="7"/>
  <c r="Q657" i="7" s="1"/>
  <c r="G678" i="7"/>
  <c r="F684" i="7"/>
  <c r="F618" i="7"/>
  <c r="F662" i="7"/>
  <c r="F589" i="7"/>
  <c r="G628" i="7"/>
  <c r="F598" i="7"/>
  <c r="F545" i="7"/>
  <c r="H547" i="7" s="1"/>
  <c r="F643" i="7"/>
  <c r="H645" i="7" s="1"/>
  <c r="G561" i="7"/>
  <c r="G512" i="7"/>
  <c r="G533" i="7"/>
  <c r="F563" i="7"/>
  <c r="F522" i="7"/>
  <c r="F490" i="7"/>
  <c r="G535" i="7"/>
  <c r="Q535" i="7" s="1"/>
  <c r="G501" i="7"/>
  <c r="G485" i="7"/>
  <c r="F438" i="7"/>
  <c r="G455" i="7"/>
  <c r="F318" i="7"/>
  <c r="F300" i="7"/>
  <c r="G279" i="7"/>
  <c r="G241" i="7"/>
  <c r="F244" i="7"/>
  <c r="H245" i="7" s="1"/>
  <c r="F245" i="7"/>
  <c r="F232" i="7"/>
  <c r="G160" i="7"/>
  <c r="F191" i="7"/>
  <c r="F142" i="7"/>
  <c r="G31" i="7"/>
  <c r="F260" i="7"/>
  <c r="H261" i="7" s="1"/>
  <c r="F157" i="7"/>
  <c r="H159" i="7" s="1"/>
  <c r="F132" i="7"/>
  <c r="F10" i="7"/>
  <c r="G98" i="7"/>
  <c r="Q98" i="7" s="1"/>
  <c r="F58" i="7"/>
  <c r="G45" i="7"/>
  <c r="G14" i="7"/>
  <c r="F84" i="7"/>
  <c r="H86" i="7" s="1"/>
  <c r="G712" i="7"/>
  <c r="F87" i="7"/>
  <c r="G89" i="7"/>
  <c r="G604" i="7"/>
  <c r="G438" i="7"/>
  <c r="Q438" i="7" s="1"/>
  <c r="G297" i="7"/>
  <c r="G247" i="7"/>
  <c r="F264" i="7"/>
  <c r="G643" i="7"/>
  <c r="G544" i="7"/>
  <c r="G488" i="7"/>
  <c r="G433" i="7"/>
  <c r="Q433" i="7" s="1"/>
  <c r="F446" i="7"/>
  <c r="G346" i="7"/>
  <c r="G289" i="7"/>
  <c r="G238" i="7"/>
  <c r="F247" i="7"/>
  <c r="H248" i="7" s="1"/>
  <c r="F221" i="7"/>
  <c r="F209" i="7"/>
  <c r="G17" i="7"/>
  <c r="G34" i="7"/>
  <c r="F151" i="7"/>
  <c r="G11" i="7"/>
  <c r="G146" i="7"/>
  <c r="F704" i="7"/>
  <c r="H706" i="7" s="1"/>
  <c r="G529" i="7"/>
  <c r="G344" i="7"/>
  <c r="F717" i="7"/>
  <c r="G560" i="7"/>
  <c r="G316" i="7"/>
  <c r="G696" i="7"/>
  <c r="F722" i="7"/>
  <c r="G748" i="7"/>
  <c r="F703" i="7"/>
  <c r="G692" i="7"/>
  <c r="Q692" i="7" s="1"/>
  <c r="F607" i="7"/>
  <c r="F635" i="7"/>
  <c r="G634" i="7"/>
  <c r="Q634" i="7" s="1"/>
  <c r="G670" i="7"/>
  <c r="F556" i="7"/>
  <c r="G586" i="7"/>
  <c r="Q586" i="7" s="1"/>
  <c r="F515" i="7"/>
  <c r="G454" i="7"/>
  <c r="Q454" i="7" s="1"/>
  <c r="G461" i="7"/>
  <c r="F409" i="7"/>
  <c r="F435" i="7"/>
  <c r="G342" i="7"/>
  <c r="F468" i="7"/>
  <c r="H469" i="7" s="1"/>
  <c r="G333" i="7"/>
  <c r="G511" i="7"/>
  <c r="Q511" i="7" s="1"/>
  <c r="F392" i="7"/>
  <c r="G331" i="7"/>
  <c r="F296" i="7"/>
  <c r="G235" i="7"/>
  <c r="F304" i="7"/>
  <c r="F327" i="7"/>
  <c r="G202" i="7"/>
  <c r="F293" i="7"/>
  <c r="F215" i="7"/>
  <c r="G211" i="7"/>
  <c r="F113" i="7"/>
  <c r="G55" i="7"/>
  <c r="F226" i="7"/>
  <c r="G153" i="7"/>
  <c r="F120" i="7"/>
  <c r="G97" i="7"/>
  <c r="G24" i="7"/>
  <c r="Q24" i="7" s="1"/>
  <c r="F73" i="7"/>
  <c r="F646" i="7"/>
  <c r="G644" i="7"/>
  <c r="Q644" i="7" s="1"/>
  <c r="G526" i="7"/>
  <c r="Q526" i="7" s="1"/>
  <c r="F400" i="7"/>
  <c r="F591" i="7"/>
  <c r="F644" i="7"/>
  <c r="G741" i="7"/>
  <c r="F693" i="7"/>
  <c r="G736" i="7"/>
  <c r="Q736" i="7" s="1"/>
  <c r="F745" i="7"/>
  <c r="F653" i="7"/>
  <c r="G640" i="7"/>
  <c r="F597" i="7"/>
  <c r="G705" i="7"/>
  <c r="Q705" i="7" s="1"/>
  <c r="G647" i="7"/>
  <c r="Q647" i="7" s="1"/>
  <c r="F536" i="7"/>
  <c r="G510" i="7"/>
  <c r="Q510" i="7" s="1"/>
  <c r="F493" i="7"/>
  <c r="G527" i="7"/>
  <c r="G520" i="7"/>
  <c r="G404" i="7"/>
  <c r="Q404" i="7" s="1"/>
  <c r="G369" i="7"/>
  <c r="G423" i="7"/>
  <c r="Q423" i="7" s="1"/>
  <c r="F423" i="7"/>
  <c r="G383" i="7"/>
  <c r="F445" i="7"/>
  <c r="F285" i="7"/>
  <c r="F338" i="7"/>
  <c r="F295" i="7"/>
  <c r="G302" i="7"/>
  <c r="G307" i="7"/>
  <c r="F199" i="7"/>
  <c r="F98" i="7"/>
  <c r="F147" i="7"/>
  <c r="F52" i="7"/>
  <c r="F185" i="7"/>
  <c r="G105" i="7"/>
  <c r="Q105" i="7" s="1"/>
  <c r="G518" i="7"/>
  <c r="G72" i="7"/>
  <c r="G709" i="7"/>
  <c r="Q709" i="7" s="1"/>
  <c r="G668" i="7"/>
  <c r="F478" i="7"/>
  <c r="H480" i="7" s="1"/>
  <c r="G165" i="7"/>
  <c r="F733" i="7"/>
  <c r="F737" i="7"/>
  <c r="G679" i="7"/>
  <c r="G651" i="7"/>
  <c r="G594" i="7"/>
  <c r="G616" i="7"/>
  <c r="F697" i="7"/>
  <c r="F617" i="7"/>
  <c r="G577" i="7"/>
  <c r="G624" i="7"/>
  <c r="Q624" i="7" s="1"/>
  <c r="F575" i="7"/>
  <c r="F540" i="7"/>
  <c r="G591" i="7"/>
  <c r="Q591" i="7" s="1"/>
  <c r="F462" i="7"/>
  <c r="F497" i="7"/>
  <c r="F363" i="7"/>
  <c r="F458" i="7"/>
  <c r="G372" i="7"/>
  <c r="F430" i="7"/>
  <c r="F270" i="7"/>
  <c r="F324" i="7"/>
  <c r="G281" i="7"/>
  <c r="G301" i="7"/>
  <c r="G742" i="7"/>
  <c r="Q742" i="7" s="1"/>
  <c r="F237" i="7"/>
  <c r="G139" i="7"/>
  <c r="G210" i="7"/>
  <c r="Q210" i="7" s="1"/>
  <c r="G15" i="7"/>
  <c r="Q15" i="7" s="1"/>
  <c r="G176" i="7"/>
  <c r="Q176" i="7" s="1"/>
  <c r="G138" i="7"/>
  <c r="Q138" i="7" s="1"/>
  <c r="F32" i="7"/>
  <c r="G515" i="7"/>
  <c r="Q515" i="7" s="1"/>
  <c r="G701" i="7"/>
  <c r="G313" i="7"/>
  <c r="Q313" i="7" s="1"/>
  <c r="F716" i="7"/>
  <c r="F675" i="7"/>
  <c r="G680" i="7"/>
  <c r="G708" i="7"/>
  <c r="Q708" i="7" s="1"/>
  <c r="G618" i="7"/>
  <c r="Q618" i="7" s="1"/>
  <c r="G576" i="7"/>
  <c r="G573" i="7"/>
  <c r="G570" i="7"/>
  <c r="G575" i="7"/>
  <c r="Q575" i="7" s="1"/>
  <c r="F523" i="7"/>
  <c r="F460" i="7"/>
  <c r="H461" i="7" s="1"/>
  <c r="F475" i="7"/>
  <c r="G358" i="7"/>
  <c r="F371" i="7"/>
  <c r="G444" i="7"/>
  <c r="G405" i="7"/>
  <c r="G287" i="7"/>
  <c r="F298" i="7"/>
  <c r="Q298" i="7" s="1"/>
  <c r="G94" i="7"/>
  <c r="F44" i="7"/>
  <c r="F12" i="7"/>
  <c r="F170" i="7"/>
  <c r="G144" i="7"/>
  <c r="Q144" i="7" s="1"/>
  <c r="G198" i="7"/>
  <c r="G87" i="7"/>
  <c r="G745" i="7"/>
  <c r="G6" i="7"/>
  <c r="G478" i="7"/>
  <c r="G477" i="7"/>
  <c r="F642" i="7"/>
  <c r="F641" i="7"/>
  <c r="F578" i="7"/>
  <c r="F577" i="7"/>
  <c r="F698" i="7"/>
  <c r="G690" i="7"/>
  <c r="F561" i="7"/>
  <c r="F560" i="7"/>
  <c r="F531" i="7"/>
  <c r="G493" i="7"/>
  <c r="G491" i="7"/>
  <c r="F456" i="7"/>
  <c r="F455" i="7"/>
  <c r="F427" i="7"/>
  <c r="H426" i="7" s="1"/>
  <c r="F425" i="7"/>
  <c r="F426" i="7"/>
  <c r="G340" i="7"/>
  <c r="Q340" i="7" s="1"/>
  <c r="G338" i="7"/>
  <c r="G272" i="7"/>
  <c r="G271" i="7"/>
  <c r="G422" i="7"/>
  <c r="G420" i="7"/>
  <c r="G421" i="7"/>
  <c r="G400" i="7"/>
  <c r="Q400" i="7" s="1"/>
  <c r="G399" i="7"/>
  <c r="G292" i="7"/>
  <c r="G290" i="7"/>
  <c r="G291" i="7"/>
  <c r="G67" i="7"/>
  <c r="G66" i="7"/>
  <c r="F553" i="7"/>
  <c r="F552" i="7"/>
  <c r="F521" i="7"/>
  <c r="F520" i="7"/>
  <c r="G430" i="7"/>
  <c r="G428" i="7"/>
  <c r="Q428" i="7" s="1"/>
  <c r="G429" i="7"/>
  <c r="F352" i="7"/>
  <c r="F351" i="7"/>
  <c r="F283" i="7"/>
  <c r="F282" i="7"/>
  <c r="F281" i="7"/>
  <c r="G387" i="7"/>
  <c r="G386" i="7"/>
  <c r="Q174" i="7"/>
  <c r="G194" i="7"/>
  <c r="G193" i="7"/>
  <c r="G109" i="7"/>
  <c r="G108" i="7"/>
  <c r="H110" i="7"/>
  <c r="F30" i="7"/>
  <c r="F29" i="7"/>
  <c r="G695" i="7"/>
  <c r="G735" i="7"/>
  <c r="Q735" i="7" s="1"/>
  <c r="G662" i="7"/>
  <c r="Q662" i="7" s="1"/>
  <c r="G660" i="7"/>
  <c r="G661" i="7"/>
  <c r="F667" i="7"/>
  <c r="H666" i="7" s="1"/>
  <c r="F665" i="7"/>
  <c r="F666" i="7"/>
  <c r="G621" i="7"/>
  <c r="G619" i="7"/>
  <c r="G620" i="7"/>
  <c r="F616" i="7"/>
  <c r="F595" i="7"/>
  <c r="F622" i="7"/>
  <c r="F528" i="7"/>
  <c r="F527" i="7"/>
  <c r="F503" i="7"/>
  <c r="F422" i="7"/>
  <c r="F421" i="7"/>
  <c r="F360" i="7"/>
  <c r="F359" i="7"/>
  <c r="G427" i="7"/>
  <c r="G426" i="7"/>
  <c r="G425" i="7"/>
  <c r="G409" i="7"/>
  <c r="G407" i="7"/>
  <c r="G255" i="7"/>
  <c r="G172" i="7"/>
  <c r="G84" i="7"/>
  <c r="G559" i="7"/>
  <c r="G557" i="7"/>
  <c r="G558" i="7"/>
  <c r="F356" i="7"/>
  <c r="F354" i="7"/>
  <c r="F355" i="7"/>
  <c r="G310" i="7"/>
  <c r="G309" i="7"/>
  <c r="G308" i="7"/>
  <c r="F702" i="7"/>
  <c r="F701" i="7"/>
  <c r="F656" i="7"/>
  <c r="F655" i="7"/>
  <c r="G677" i="7"/>
  <c r="F602" i="7"/>
  <c r="F600" i="7"/>
  <c r="F601" i="7"/>
  <c r="H646" i="7"/>
  <c r="F472" i="7"/>
  <c r="F471" i="7"/>
  <c r="H509" i="7"/>
  <c r="F700" i="7"/>
  <c r="F699" i="7"/>
  <c r="F669" i="7"/>
  <c r="F668" i="7"/>
  <c r="G564" i="7"/>
  <c r="G563" i="7"/>
  <c r="Q563" i="7" s="1"/>
  <c r="F585" i="7"/>
  <c r="F584" i="7"/>
  <c r="F376" i="7"/>
  <c r="F375" i="7"/>
  <c r="G492" i="7"/>
  <c r="G452" i="7"/>
  <c r="F336" i="7"/>
  <c r="F334" i="7"/>
  <c r="G252" i="7"/>
  <c r="Q252" i="7" s="1"/>
  <c r="G251" i="7"/>
  <c r="Q251" i="7" s="1"/>
  <c r="G250" i="7"/>
  <c r="F292" i="7"/>
  <c r="F255" i="7"/>
  <c r="F254" i="7"/>
  <c r="G232" i="7"/>
  <c r="G231" i="7"/>
  <c r="F126" i="7"/>
  <c r="F124" i="7"/>
  <c r="G41" i="7"/>
  <c r="G40" i="7"/>
  <c r="H752" i="7"/>
  <c r="G658" i="7"/>
  <c r="G656" i="7"/>
  <c r="G602" i="7"/>
  <c r="G601" i="7"/>
  <c r="F173" i="7"/>
  <c r="F172" i="7"/>
  <c r="G556" i="7"/>
  <c r="G555" i="7"/>
  <c r="G554" i="7"/>
  <c r="G375" i="7"/>
  <c r="G374" i="7"/>
  <c r="G373" i="7"/>
  <c r="G321" i="7"/>
  <c r="Q321" i="7" s="1"/>
  <c r="G319" i="7"/>
  <c r="G262" i="7"/>
  <c r="Q262" i="7" s="1"/>
  <c r="G260" i="7"/>
  <c r="G261" i="7"/>
  <c r="Q261" i="7" s="1"/>
  <c r="F218" i="7"/>
  <c r="F217" i="7"/>
  <c r="H217" i="7" s="1"/>
  <c r="F216" i="7"/>
  <c r="G320" i="7"/>
  <c r="G123" i="7"/>
  <c r="G122" i="7"/>
  <c r="G121" i="7"/>
  <c r="G168" i="7"/>
  <c r="Q168" i="7" s="1"/>
  <c r="G167" i="7"/>
  <c r="G296" i="7"/>
  <c r="Q88" i="7"/>
  <c r="F82" i="7"/>
  <c r="F80" i="7"/>
  <c r="F480" i="7"/>
  <c r="F654" i="7"/>
  <c r="F533" i="7"/>
  <c r="F532" i="7"/>
  <c r="G523" i="7"/>
  <c r="G522" i="7"/>
  <c r="Q522" i="7" s="1"/>
  <c r="G590" i="7"/>
  <c r="Q590" i="7" s="1"/>
  <c r="G368" i="7"/>
  <c r="G367" i="7"/>
  <c r="F317" i="7"/>
  <c r="F315" i="7"/>
  <c r="F316" i="7"/>
  <c r="F235" i="7"/>
  <c r="G450" i="7"/>
  <c r="G449" i="7"/>
  <c r="G448" i="7"/>
  <c r="F290" i="7"/>
  <c r="F289" i="7"/>
  <c r="H117" i="7"/>
  <c r="F114" i="7"/>
  <c r="H115" i="7" s="1"/>
  <c r="G39" i="7"/>
  <c r="G38" i="7"/>
  <c r="Q38" i="7" s="1"/>
  <c r="F140" i="7"/>
  <c r="F594" i="7"/>
  <c r="F592" i="7"/>
  <c r="H591" i="7" s="1"/>
  <c r="G190" i="7"/>
  <c r="G189" i="7"/>
  <c r="G188" i="7"/>
  <c r="F661" i="7"/>
  <c r="F660" i="7"/>
  <c r="G688" i="7"/>
  <c r="G569" i="7"/>
  <c r="G582" i="7"/>
  <c r="G480" i="7"/>
  <c r="G479" i="7"/>
  <c r="G467" i="7"/>
  <c r="Q467" i="7" s="1"/>
  <c r="G466" i="7"/>
  <c r="F369" i="7"/>
  <c r="F368" i="7"/>
  <c r="G442" i="7"/>
  <c r="F453" i="7"/>
  <c r="F452" i="7"/>
  <c r="G403" i="7"/>
  <c r="Q403" i="7" s="1"/>
  <c r="G402" i="7"/>
  <c r="F347" i="7"/>
  <c r="F346" i="7"/>
  <c r="F367" i="7"/>
  <c r="F366" i="7"/>
  <c r="F365" i="7"/>
  <c r="H366" i="7" s="1"/>
  <c r="F291" i="7"/>
  <c r="F287" i="7"/>
  <c r="F238" i="7"/>
  <c r="G142" i="7"/>
  <c r="Q142" i="7" s="1"/>
  <c r="G140" i="7"/>
  <c r="G112" i="7"/>
  <c r="Q112" i="7" s="1"/>
  <c r="G111" i="7"/>
  <c r="F166" i="7"/>
  <c r="F165" i="7"/>
  <c r="F123" i="7"/>
  <c r="F122" i="7"/>
  <c r="F121" i="7"/>
  <c r="F23" i="7"/>
  <c r="F22" i="7"/>
  <c r="F724" i="7"/>
  <c r="G719" i="7"/>
  <c r="F747" i="7"/>
  <c r="G694" i="7"/>
  <c r="Q694" i="7" s="1"/>
  <c r="F744" i="7"/>
  <c r="F690" i="7"/>
  <c r="F677" i="7"/>
  <c r="G664" i="7"/>
  <c r="Q664" i="7" s="1"/>
  <c r="F683" i="7"/>
  <c r="F673" i="7"/>
  <c r="F652" i="7"/>
  <c r="G592" i="7"/>
  <c r="F695" i="7"/>
  <c r="H696" i="7" s="1"/>
  <c r="F620" i="7"/>
  <c r="G623" i="7"/>
  <c r="F629" i="7"/>
  <c r="F619" i="7"/>
  <c r="G581" i="7"/>
  <c r="Q581" i="7" s="1"/>
  <c r="F564" i="7"/>
  <c r="G568" i="7"/>
  <c r="F576" i="7"/>
  <c r="H577" i="7" s="1"/>
  <c r="G525" i="7"/>
  <c r="F582" i="7"/>
  <c r="G521" i="7"/>
  <c r="G549" i="7"/>
  <c r="F580" i="7"/>
  <c r="H581" i="7" s="1"/>
  <c r="F519" i="7"/>
  <c r="H517" i="7" s="1"/>
  <c r="G500" i="7"/>
  <c r="G498" i="7"/>
  <c r="F565" i="7"/>
  <c r="G470" i="7"/>
  <c r="G464" i="7"/>
  <c r="G499" i="7"/>
  <c r="Q499" i="7" s="1"/>
  <c r="F374" i="7"/>
  <c r="G471" i="7"/>
  <c r="G441" i="7"/>
  <c r="Q441" i="7" s="1"/>
  <c r="F384" i="7"/>
  <c r="F383" i="7"/>
  <c r="F450" i="7"/>
  <c r="F391" i="7"/>
  <c r="G351" i="7"/>
  <c r="F332" i="7"/>
  <c r="G503" i="7"/>
  <c r="F401" i="7"/>
  <c r="F437" i="7"/>
  <c r="F396" i="7"/>
  <c r="F429" i="7"/>
  <c r="G244" i="7"/>
  <c r="F381" i="7"/>
  <c r="G330" i="7"/>
  <c r="G416" i="7"/>
  <c r="G282" i="7"/>
  <c r="G445" i="7"/>
  <c r="Q445" i="7" s="1"/>
  <c r="F284" i="7"/>
  <c r="F234" i="7"/>
  <c r="G451" i="7"/>
  <c r="G315" i="7"/>
  <c r="F373" i="7"/>
  <c r="F279" i="7"/>
  <c r="F229" i="7"/>
  <c r="G225" i="7"/>
  <c r="G157" i="7"/>
  <c r="Q157" i="7" s="1"/>
  <c r="H111" i="7"/>
  <c r="G110" i="7"/>
  <c r="F272" i="7"/>
  <c r="F159" i="7"/>
  <c r="F242" i="7"/>
  <c r="F219" i="7"/>
  <c r="F202" i="7"/>
  <c r="G141" i="7"/>
  <c r="G118" i="7"/>
  <c r="G228" i="7"/>
  <c r="G183" i="7"/>
  <c r="G155" i="7"/>
  <c r="G127" i="7"/>
  <c r="Q127" i="7" s="1"/>
  <c r="G102" i="7"/>
  <c r="F92" i="7"/>
  <c r="G69" i="7"/>
  <c r="F18" i="7"/>
  <c r="G37" i="7"/>
  <c r="H76" i="7"/>
  <c r="G119" i="7"/>
  <c r="G62" i="7"/>
  <c r="Q62" i="7" s="1"/>
  <c r="G36" i="7"/>
  <c r="F116" i="7"/>
  <c r="G175" i="7"/>
  <c r="G81" i="7"/>
  <c r="F46" i="7"/>
  <c r="F45" i="7"/>
  <c r="F197" i="7"/>
  <c r="F72" i="7"/>
  <c r="F39" i="7"/>
  <c r="H40" i="7" s="1"/>
  <c r="G9" i="7"/>
  <c r="G8" i="7"/>
  <c r="F85" i="7"/>
  <c r="F104" i="7"/>
  <c r="F43" i="7"/>
  <c r="F66" i="7"/>
  <c r="F83" i="7"/>
  <c r="F721" i="7"/>
  <c r="H751" i="7"/>
  <c r="F719" i="7"/>
  <c r="F732" i="7"/>
  <c r="G703" i="7"/>
  <c r="Q703" i="7" s="1"/>
  <c r="F743" i="7"/>
  <c r="H744" i="7" s="1"/>
  <c r="G750" i="7"/>
  <c r="G698" i="7"/>
  <c r="F650" i="7"/>
  <c r="F649" i="7"/>
  <c r="H647" i="7" s="1"/>
  <c r="G686" i="7"/>
  <c r="Q686" i="7" s="1"/>
  <c r="G675" i="7"/>
  <c r="G700" i="7"/>
  <c r="F663" i="7"/>
  <c r="H664" i="7" s="1"/>
  <c r="F681" i="7"/>
  <c r="G632" i="7"/>
  <c r="Q632" i="7" s="1"/>
  <c r="G650" i="7"/>
  <c r="F672" i="7"/>
  <c r="F636" i="7"/>
  <c r="G589" i="7"/>
  <c r="Q589" i="7" s="1"/>
  <c r="F696" i="7"/>
  <c r="H695" i="7" s="1"/>
  <c r="G633" i="7"/>
  <c r="F583" i="7"/>
  <c r="F612" i="7"/>
  <c r="F609" i="7"/>
  <c r="F569" i="7"/>
  <c r="F568" i="7"/>
  <c r="G580" i="7"/>
  <c r="F651" i="7"/>
  <c r="G611" i="7"/>
  <c r="Q611" i="7" s="1"/>
  <c r="G639" i="7"/>
  <c r="F562" i="7"/>
  <c r="F517" i="7"/>
  <c r="F516" i="7"/>
  <c r="F539" i="7"/>
  <c r="H538" i="7" s="1"/>
  <c r="G571" i="7"/>
  <c r="F544" i="7"/>
  <c r="G509" i="7"/>
  <c r="G574" i="7"/>
  <c r="G508" i="7"/>
  <c r="F514" i="7"/>
  <c r="Q496" i="7"/>
  <c r="G465" i="7"/>
  <c r="F530" i="7"/>
  <c r="F492" i="7"/>
  <c r="G528" i="7"/>
  <c r="G453" i="7"/>
  <c r="F358" i="7"/>
  <c r="F449" i="7"/>
  <c r="F555" i="7"/>
  <c r="F385" i="7"/>
  <c r="F350" i="7"/>
  <c r="G362" i="7"/>
  <c r="F331" i="7"/>
  <c r="G270" i="7"/>
  <c r="Q270" i="7" s="1"/>
  <c r="G504" i="7"/>
  <c r="F286" i="7"/>
  <c r="F436" i="7"/>
  <c r="G391" i="7"/>
  <c r="F349" i="7"/>
  <c r="H313" i="7"/>
  <c r="G702" i="7"/>
  <c r="F249" i="7"/>
  <c r="H250" i="7" s="1"/>
  <c r="G269" i="7"/>
  <c r="F231" i="7"/>
  <c r="G218" i="7"/>
  <c r="G217" i="7"/>
  <c r="F395" i="7"/>
  <c r="G314" i="7"/>
  <c r="G239" i="7"/>
  <c r="F372" i="7"/>
  <c r="G274" i="7"/>
  <c r="G224" i="7"/>
  <c r="Q224" i="7" s="1"/>
  <c r="G222" i="7"/>
  <c r="F223" i="7"/>
  <c r="H109" i="7"/>
  <c r="F271" i="7"/>
  <c r="H194" i="7"/>
  <c r="F230" i="7"/>
  <c r="G184" i="7"/>
  <c r="F149" i="7"/>
  <c r="F106" i="7"/>
  <c r="H107" i="7" s="1"/>
  <c r="F161" i="7"/>
  <c r="F178" i="7"/>
  <c r="F99" i="7"/>
  <c r="G156" i="7"/>
  <c r="F91" i="7"/>
  <c r="G65" i="7"/>
  <c r="F71" i="7"/>
  <c r="F64" i="7"/>
  <c r="F175" i="7"/>
  <c r="H176" i="7" s="1"/>
  <c r="G114" i="7"/>
  <c r="G13" i="7"/>
  <c r="F148" i="7"/>
  <c r="G76" i="7"/>
  <c r="F34" i="7"/>
  <c r="G12" i="7"/>
  <c r="Q12" i="7" s="1"/>
  <c r="F198" i="7"/>
  <c r="G61" i="7"/>
  <c r="F37" i="7"/>
  <c r="F5" i="7"/>
  <c r="F42" i="7"/>
  <c r="F8" i="7"/>
  <c r="H79" i="7"/>
  <c r="H750" i="7"/>
  <c r="H735" i="7"/>
  <c r="F731" i="7"/>
  <c r="G728" i="7"/>
  <c r="G710" i="7"/>
  <c r="F679" i="7"/>
  <c r="F678" i="7"/>
  <c r="H691" i="7"/>
  <c r="F674" i="7"/>
  <c r="F729" i="7"/>
  <c r="G699" i="7"/>
  <c r="H599" i="7"/>
  <c r="F723" i="7"/>
  <c r="F713" i="7"/>
  <c r="F691" i="7"/>
  <c r="G553" i="7"/>
  <c r="G552" i="7"/>
  <c r="F588" i="7"/>
  <c r="G600" i="7"/>
  <c r="G567" i="7"/>
  <c r="G607" i="7"/>
  <c r="G646" i="7"/>
  <c r="F638" i="7"/>
  <c r="F541" i="7"/>
  <c r="F558" i="7"/>
  <c r="G538" i="7"/>
  <c r="G610" i="7"/>
  <c r="G524" i="7"/>
  <c r="F489" i="7"/>
  <c r="G482" i="7"/>
  <c r="F451" i="7"/>
  <c r="F345" i="7"/>
  <c r="G353" i="7"/>
  <c r="Q353" i="7" s="1"/>
  <c r="F505" i="7"/>
  <c r="H506" i="7" s="1"/>
  <c r="F408" i="7"/>
  <c r="G366" i="7"/>
  <c r="G532" i="7"/>
  <c r="F420" i="7"/>
  <c r="G380" i="7"/>
  <c r="G411" i="7"/>
  <c r="Q411" i="7" s="1"/>
  <c r="G354" i="7"/>
  <c r="G327" i="7"/>
  <c r="G325" i="7"/>
  <c r="F447" i="7"/>
  <c r="H447" i="7" s="1"/>
  <c r="G394" i="7"/>
  <c r="F434" i="7"/>
  <c r="G265" i="7"/>
  <c r="G263" i="7"/>
  <c r="G335" i="7"/>
  <c r="F432" i="7"/>
  <c r="H432" i="7" s="1"/>
  <c r="G361" i="7"/>
  <c r="G622" i="7"/>
  <c r="F361" i="7"/>
  <c r="G280" i="7"/>
  <c r="F320" i="7"/>
  <c r="H320" i="7" s="1"/>
  <c r="G288" i="7"/>
  <c r="G216" i="7"/>
  <c r="G390" i="7"/>
  <c r="G312" i="7"/>
  <c r="G277" i="7"/>
  <c r="F309" i="7"/>
  <c r="F370" i="7"/>
  <c r="G378" i="7"/>
  <c r="G220" i="7"/>
  <c r="Q220" i="7" s="1"/>
  <c r="F150" i="7"/>
  <c r="F96" i="7"/>
  <c r="F131" i="7"/>
  <c r="G219" i="7"/>
  <c r="F130" i="7"/>
  <c r="G227" i="7"/>
  <c r="H193" i="7"/>
  <c r="F418" i="7"/>
  <c r="F228" i="7"/>
  <c r="F179" i="7"/>
  <c r="H178" i="7" s="1"/>
  <c r="F28" i="7"/>
  <c r="G136" i="7"/>
  <c r="F158" i="7"/>
  <c r="G147" i="7"/>
  <c r="G214" i="7"/>
  <c r="F341" i="7"/>
  <c r="G116" i="7"/>
  <c r="G128" i="7"/>
  <c r="G200" i="7"/>
  <c r="Q200" i="7" s="1"/>
  <c r="G54" i="7"/>
  <c r="G22" i="7"/>
  <c r="F59" i="7"/>
  <c r="F263" i="7"/>
  <c r="F100" i="7"/>
  <c r="G57" i="7"/>
  <c r="G30" i="7"/>
  <c r="F7" i="7"/>
  <c r="H78" i="7"/>
  <c r="G52" i="7"/>
  <c r="F35" i="7"/>
  <c r="G53" i="7"/>
  <c r="G64" i="7"/>
  <c r="G707" i="7"/>
  <c r="G727" i="7"/>
  <c r="G725" i="7"/>
  <c r="F740" i="7"/>
  <c r="G687" i="7"/>
  <c r="F730" i="7"/>
  <c r="G685" i="7"/>
  <c r="Q685" i="7" s="1"/>
  <c r="G667" i="7"/>
  <c r="F640" i="7"/>
  <c r="F688" i="7"/>
  <c r="F627" i="7"/>
  <c r="F625" i="7"/>
  <c r="F551" i="7"/>
  <c r="F559" i="7"/>
  <c r="F587" i="7"/>
  <c r="H600" i="7"/>
  <c r="G606" i="7"/>
  <c r="F574" i="7"/>
  <c r="F633" i="7"/>
  <c r="H634" i="7" s="1"/>
  <c r="G551" i="7"/>
  <c r="F639" i="7"/>
  <c r="F502" i="7"/>
  <c r="F525" i="7"/>
  <c r="F524" i="7"/>
  <c r="G617" i="7"/>
  <c r="F501" i="7"/>
  <c r="H502" i="7" s="1"/>
  <c r="G638" i="7"/>
  <c r="F557" i="7"/>
  <c r="G459" i="7"/>
  <c r="G458" i="7"/>
  <c r="G476" i="7"/>
  <c r="F604" i="7"/>
  <c r="H499" i="7"/>
  <c r="G483" i="7"/>
  <c r="F444" i="7"/>
  <c r="G398" i="7"/>
  <c r="G543" i="7"/>
  <c r="G443" i="7"/>
  <c r="F387" i="7"/>
  <c r="F543" i="7"/>
  <c r="G474" i="7"/>
  <c r="F529" i="7"/>
  <c r="F416" i="7"/>
  <c r="H414" i="7" s="1"/>
  <c r="F399" i="7"/>
  <c r="G352" i="7"/>
  <c r="H323" i="7"/>
  <c r="F448" i="7"/>
  <c r="G432" i="7"/>
  <c r="F386" i="7"/>
  <c r="F415" i="7"/>
  <c r="G350" i="7"/>
  <c r="G295" i="7"/>
  <c r="G329" i="7"/>
  <c r="F278" i="7"/>
  <c r="H279" i="7" s="1"/>
  <c r="F319" i="7"/>
  <c r="G636" i="7"/>
  <c r="G256" i="7"/>
  <c r="G365" i="7"/>
  <c r="G328" i="7"/>
  <c r="F258" i="7"/>
  <c r="G376" i="7"/>
  <c r="F269" i="7"/>
  <c r="F208" i="7"/>
  <c r="F97" i="7"/>
  <c r="G215" i="7"/>
  <c r="Q215" i="7" s="1"/>
  <c r="F410" i="7"/>
  <c r="F227" i="7"/>
  <c r="G23" i="7"/>
  <c r="F160" i="7"/>
  <c r="F171" i="7"/>
  <c r="F146" i="7"/>
  <c r="H147" i="7" s="1"/>
  <c r="H120" i="7"/>
  <c r="F233" i="7"/>
  <c r="G201" i="7"/>
  <c r="Q201" i="7" s="1"/>
  <c r="F26" i="7"/>
  <c r="F211" i="7"/>
  <c r="H211" i="7" s="1"/>
  <c r="G170" i="7"/>
  <c r="G95" i="7"/>
  <c r="F56" i="7"/>
  <c r="F103" i="7"/>
  <c r="F213" i="7"/>
  <c r="F119" i="7"/>
  <c r="H77" i="7"/>
  <c r="F14" i="7"/>
  <c r="F13" i="7"/>
  <c r="G29" i="7"/>
  <c r="G32" i="7"/>
  <c r="G35" i="7"/>
  <c r="G48" i="7"/>
  <c r="F69" i="7"/>
  <c r="F21" i="7"/>
  <c r="F711" i="7"/>
  <c r="F710" i="7"/>
  <c r="F738" i="7"/>
  <c r="H737" i="7" s="1"/>
  <c r="F727" i="7"/>
  <c r="G751" i="7"/>
  <c r="Q751" i="7" s="1"/>
  <c r="F720" i="7"/>
  <c r="G740" i="7"/>
  <c r="F741" i="7"/>
  <c r="G718" i="7"/>
  <c r="F671" i="7"/>
  <c r="F659" i="7"/>
  <c r="H660" i="7" s="1"/>
  <c r="G682" i="7"/>
  <c r="G605" i="7"/>
  <c r="G726" i="7"/>
  <c r="G630" i="7"/>
  <c r="G674" i="7"/>
  <c r="F615" i="7"/>
  <c r="F614" i="7"/>
  <c r="G625" i="7"/>
  <c r="F707" i="7"/>
  <c r="G681" i="7"/>
  <c r="F626" i="7"/>
  <c r="H626" i="7" s="1"/>
  <c r="H588" i="7"/>
  <c r="F570" i="7"/>
  <c r="F550" i="7"/>
  <c r="F549" i="7"/>
  <c r="G548" i="7"/>
  <c r="G578" i="7"/>
  <c r="G641" i="7"/>
  <c r="G599" i="7"/>
  <c r="Q599" i="7" s="1"/>
  <c r="F573" i="7"/>
  <c r="F628" i="7"/>
  <c r="G593" i="7"/>
  <c r="F548" i="7"/>
  <c r="F608" i="7"/>
  <c r="H609" i="7" s="1"/>
  <c r="G542" i="7"/>
  <c r="G547" i="7"/>
  <c r="G545" i="7"/>
  <c r="G531" i="7"/>
  <c r="G615" i="7"/>
  <c r="G536" i="7"/>
  <c r="F491" i="7"/>
  <c r="G585" i="7"/>
  <c r="F461" i="7"/>
  <c r="G506" i="7"/>
  <c r="Q506" i="7" s="1"/>
  <c r="F603" i="7"/>
  <c r="H601" i="7" s="1"/>
  <c r="G516" i="7"/>
  <c r="F457" i="7"/>
  <c r="G514" i="7"/>
  <c r="G484" i="7"/>
  <c r="F466" i="7"/>
  <c r="F440" i="7"/>
  <c r="G539" i="7"/>
  <c r="H435" i="7"/>
  <c r="F398" i="7"/>
  <c r="F498" i="7"/>
  <c r="G382" i="7"/>
  <c r="F473" i="7"/>
  <c r="G469" i="7"/>
  <c r="F406" i="7"/>
  <c r="F348" i="7"/>
  <c r="G415" i="7"/>
  <c r="G413" i="7"/>
  <c r="Q413" i="7" s="1"/>
  <c r="F390" i="7"/>
  <c r="H391" i="7" s="1"/>
  <c r="G434" i="7"/>
  <c r="G431" i="7"/>
  <c r="F241" i="7"/>
  <c r="F405" i="7"/>
  <c r="F329" i="7"/>
  <c r="G276" i="7"/>
  <c r="G356" i="7"/>
  <c r="G275" i="7"/>
  <c r="F276" i="7"/>
  <c r="G317" i="7"/>
  <c r="F253" i="7"/>
  <c r="H252" i="7" s="1"/>
  <c r="F307" i="7"/>
  <c r="G357" i="7"/>
  <c r="G254" i="7"/>
  <c r="F362" i="7"/>
  <c r="G304" i="7"/>
  <c r="G258" i="7"/>
  <c r="G323" i="7"/>
  <c r="G248" i="7"/>
  <c r="F190" i="7"/>
  <c r="F189" i="7"/>
  <c r="H189" i="7" s="1"/>
  <c r="F129" i="7"/>
  <c r="F268" i="7"/>
  <c r="F207" i="7"/>
  <c r="F155" i="7"/>
  <c r="G166" i="7"/>
  <c r="G134" i="7"/>
  <c r="F20" i="7"/>
  <c r="H21" i="7" s="1"/>
  <c r="G133" i="7"/>
  <c r="F274" i="7"/>
  <c r="G173" i="7"/>
  <c r="G117" i="7"/>
  <c r="G203" i="7"/>
  <c r="F169" i="7"/>
  <c r="F222" i="7"/>
  <c r="H223" i="7" s="1"/>
  <c r="F94" i="7"/>
  <c r="H95" i="7" s="1"/>
  <c r="F167" i="7"/>
  <c r="G83" i="7"/>
  <c r="F50" i="7"/>
  <c r="H51" i="7" s="1"/>
  <c r="F102" i="7"/>
  <c r="H103" i="7" s="1"/>
  <c r="F16" i="7"/>
  <c r="F6" i="7"/>
  <c r="G21" i="7"/>
  <c r="G159" i="7"/>
  <c r="G77" i="7"/>
  <c r="Q77" i="7" s="1"/>
  <c r="F156" i="7"/>
  <c r="G92" i="7"/>
  <c r="F55" i="7"/>
  <c r="G25" i="7"/>
  <c r="G44" i="7"/>
  <c r="F214" i="7"/>
  <c r="G103" i="7"/>
  <c r="G74" i="7"/>
  <c r="F54" i="7"/>
  <c r="F135" i="7"/>
  <c r="G46" i="7"/>
  <c r="G20" i="7"/>
  <c r="F17" i="7"/>
  <c r="F205" i="7"/>
  <c r="H206" i="7" s="1"/>
  <c r="F61" i="7"/>
  <c r="H62" i="7" s="1"/>
  <c r="G70" i="7"/>
  <c r="F67" i="7"/>
  <c r="G85" i="7"/>
  <c r="H75" i="7"/>
  <c r="G704" i="7"/>
  <c r="G733" i="7"/>
  <c r="Q733" i="7" s="1"/>
  <c r="F715" i="7"/>
  <c r="H716" i="7" s="1"/>
  <c r="G724" i="7"/>
  <c r="H719" i="7"/>
  <c r="G739" i="7"/>
  <c r="G737" i="7"/>
  <c r="F706" i="7"/>
  <c r="F680" i="7"/>
  <c r="G720" i="7"/>
  <c r="F670" i="7"/>
  <c r="F605" i="7"/>
  <c r="G706" i="7"/>
  <c r="F676" i="7"/>
  <c r="G671" i="7"/>
  <c r="G565" i="7"/>
  <c r="H688" i="7"/>
  <c r="F687" i="7"/>
  <c r="H687" i="7" s="1"/>
  <c r="F572" i="7"/>
  <c r="H573" i="7" s="1"/>
  <c r="G598" i="7"/>
  <c r="F567" i="7"/>
  <c r="G627" i="7"/>
  <c r="G588" i="7"/>
  <c r="F606" i="7"/>
  <c r="G546" i="7"/>
  <c r="G665" i="7"/>
  <c r="H508" i="7"/>
  <c r="G541" i="7"/>
  <c r="G614" i="7"/>
  <c r="F485" i="7"/>
  <c r="F484" i="7"/>
  <c r="F537" i="7"/>
  <c r="H536" i="7" s="1"/>
  <c r="G487" i="7"/>
  <c r="F482" i="7"/>
  <c r="F512" i="7"/>
  <c r="H511" i="7" s="1"/>
  <c r="F513" i="7"/>
  <c r="F470" i="7"/>
  <c r="F465" i="7"/>
  <c r="G439" i="7"/>
  <c r="G437" i="7"/>
  <c r="F380" i="7"/>
  <c r="H381" i="7" s="1"/>
  <c r="F378" i="7"/>
  <c r="H379" i="7" s="1"/>
  <c r="F488" i="7"/>
  <c r="G393" i="7"/>
  <c r="G495" i="7"/>
  <c r="Q495" i="7" s="1"/>
  <c r="G468" i="7"/>
  <c r="H437" i="7"/>
  <c r="G401" i="7"/>
  <c r="F344" i="7"/>
  <c r="F343" i="7"/>
  <c r="F414" i="7"/>
  <c r="H413" i="7" s="1"/>
  <c r="G371" i="7"/>
  <c r="G385" i="7"/>
  <c r="F342" i="7"/>
  <c r="F518" i="7"/>
  <c r="G347" i="7"/>
  <c r="F302" i="7"/>
  <c r="H303" i="7" s="1"/>
  <c r="F402" i="7"/>
  <c r="H402" i="7" s="1"/>
  <c r="F326" i="7"/>
  <c r="F267" i="7"/>
  <c r="F266" i="7"/>
  <c r="F394" i="7"/>
  <c r="F335" i="7"/>
  <c r="G410" i="7"/>
  <c r="F310" i="7"/>
  <c r="F273" i="7"/>
  <c r="F256" i="7"/>
  <c r="G234" i="7"/>
  <c r="G233" i="7"/>
  <c r="F297" i="7"/>
  <c r="H297" i="7" s="1"/>
  <c r="G243" i="7"/>
  <c r="G237" i="7"/>
  <c r="F479" i="7"/>
  <c r="F328" i="7"/>
  <c r="G306" i="7"/>
  <c r="F357" i="7"/>
  <c r="G303" i="7"/>
  <c r="G322" i="7"/>
  <c r="F239" i="7"/>
  <c r="G268" i="7"/>
  <c r="F184" i="7"/>
  <c r="F128" i="7"/>
  <c r="F181" i="7"/>
  <c r="G264" i="7"/>
  <c r="F203" i="7"/>
  <c r="F153" i="7"/>
  <c r="H153" i="7" s="1"/>
  <c r="H119" i="7"/>
  <c r="F330" i="7"/>
  <c r="G209" i="7"/>
  <c r="G208" i="7"/>
  <c r="F306" i="7"/>
  <c r="H306" i="7" s="1"/>
  <c r="G204" i="7"/>
  <c r="F133" i="7"/>
  <c r="G242" i="7"/>
  <c r="F125" i="7"/>
  <c r="G266" i="7"/>
  <c r="F442" i="7"/>
  <c r="H197" i="7"/>
  <c r="F164" i="7"/>
  <c r="H165" i="7" s="1"/>
  <c r="F139" i="7"/>
  <c r="H138" i="7" s="1"/>
  <c r="G107" i="7"/>
  <c r="Q107" i="7" s="1"/>
  <c r="H214" i="7"/>
  <c r="G154" i="7"/>
  <c r="F41" i="7"/>
  <c r="F11" i="7"/>
  <c r="F90" i="7"/>
  <c r="F48" i="7"/>
  <c r="F180" i="7"/>
  <c r="G185" i="7"/>
  <c r="F143" i="7"/>
  <c r="G68" i="7"/>
  <c r="Q68" i="7" s="1"/>
  <c r="F89" i="7"/>
  <c r="F31" i="7"/>
  <c r="H72" i="7"/>
  <c r="F65" i="7"/>
  <c r="G43" i="7"/>
  <c r="F95" i="7"/>
  <c r="G80" i="7"/>
  <c r="E93" i="6"/>
  <c r="D104" i="6"/>
  <c r="E117" i="6"/>
  <c r="D120" i="6"/>
  <c r="E125" i="6"/>
  <c r="D128" i="6"/>
  <c r="D136" i="6"/>
  <c r="E149" i="6"/>
  <c r="D152" i="6"/>
  <c r="E157" i="6"/>
  <c r="D160" i="6"/>
  <c r="E165" i="6"/>
  <c r="D168" i="6"/>
  <c r="E173" i="6"/>
  <c r="D176" i="6"/>
  <c r="E181" i="6"/>
  <c r="D184" i="6"/>
  <c r="E189" i="6"/>
  <c r="D192" i="6"/>
  <c r="E205" i="6"/>
  <c r="D216" i="6"/>
  <c r="E221" i="6"/>
  <c r="D224" i="6"/>
  <c r="D232" i="6"/>
  <c r="E237" i="6"/>
  <c r="E253" i="6"/>
  <c r="D256" i="6"/>
  <c r="E261" i="6"/>
  <c r="D264" i="6"/>
  <c r="E269" i="6"/>
  <c r="D272" i="6"/>
  <c r="E277" i="6"/>
  <c r="D280" i="6"/>
  <c r="E285" i="6"/>
  <c r="D288" i="6"/>
  <c r="E301" i="6"/>
  <c r="D312" i="6"/>
  <c r="E317" i="6"/>
  <c r="D320" i="6"/>
  <c r="E333" i="6"/>
  <c r="D336" i="6"/>
  <c r="E365" i="6"/>
  <c r="D368" i="6"/>
  <c r="E373" i="6"/>
  <c r="D376" i="6"/>
  <c r="E381" i="6"/>
  <c r="D384" i="6"/>
  <c r="E389" i="6"/>
  <c r="D392" i="6"/>
  <c r="E405" i="6"/>
  <c r="E413" i="6"/>
  <c r="E421" i="6"/>
  <c r="D440" i="6"/>
  <c r="E445" i="6"/>
  <c r="E461" i="6"/>
  <c r="D464" i="6"/>
  <c r="D496" i="6"/>
  <c r="E501" i="6"/>
  <c r="E509" i="6"/>
  <c r="D512" i="6"/>
  <c r="E605" i="6"/>
  <c r="D608" i="6"/>
  <c r="D624" i="6"/>
  <c r="E637" i="6"/>
  <c r="D640" i="6"/>
  <c r="E645" i="6"/>
  <c r="D648" i="6"/>
  <c r="D656" i="6"/>
  <c r="E669" i="6"/>
  <c r="D672" i="6"/>
  <c r="E677" i="6"/>
  <c r="E701" i="6"/>
  <c r="D704" i="6"/>
  <c r="D712" i="6"/>
  <c r="E717" i="6"/>
  <c r="D720" i="6"/>
  <c r="D728" i="6"/>
  <c r="E733" i="6"/>
  <c r="D736" i="6"/>
  <c r="E741" i="6"/>
  <c r="E109" i="6"/>
  <c r="E141" i="6"/>
  <c r="D208" i="6"/>
  <c r="D240" i="6"/>
  <c r="E245" i="6"/>
  <c r="D248" i="6"/>
  <c r="E293" i="6"/>
  <c r="E309" i="6"/>
  <c r="E341" i="6"/>
  <c r="E349" i="6"/>
  <c r="E357" i="6"/>
  <c r="D408" i="6"/>
  <c r="D416" i="6"/>
  <c r="D424" i="6"/>
  <c r="E429" i="6"/>
  <c r="D432" i="6"/>
  <c r="E477" i="6"/>
  <c r="D96" i="6"/>
  <c r="D200" i="6"/>
  <c r="E213" i="6"/>
  <c r="D296" i="6"/>
  <c r="E325" i="6"/>
  <c r="D328" i="6"/>
  <c r="D344" i="6"/>
  <c r="D352" i="6"/>
  <c r="D360" i="6"/>
  <c r="E397" i="6"/>
  <c r="D400" i="6"/>
  <c r="E437" i="6"/>
  <c r="E453" i="6"/>
  <c r="D456" i="6"/>
  <c r="E469" i="6"/>
  <c r="D480" i="6"/>
  <c r="E485" i="6"/>
  <c r="E517" i="6"/>
  <c r="E541" i="6"/>
  <c r="D544" i="6"/>
  <c r="E549" i="6"/>
  <c r="D560" i="6"/>
  <c r="E565" i="6"/>
  <c r="E573" i="6"/>
  <c r="D576" i="6"/>
  <c r="E581" i="6"/>
  <c r="D584" i="6"/>
  <c r="D592" i="6"/>
  <c r="E597" i="6"/>
  <c r="D616" i="6"/>
  <c r="E629" i="6"/>
  <c r="D744" i="6"/>
  <c r="D114" i="6"/>
  <c r="E311" i="6"/>
  <c r="D314" i="6"/>
  <c r="E319" i="6"/>
  <c r="D322" i="6"/>
  <c r="E327" i="6"/>
  <c r="D330" i="6"/>
  <c r="E335" i="6"/>
  <c r="E343" i="6"/>
  <c r="D346" i="6"/>
  <c r="D41" i="6"/>
  <c r="E46" i="6"/>
  <c r="E70" i="6"/>
  <c r="D4" i="6"/>
  <c r="E9" i="6"/>
  <c r="E17" i="6"/>
  <c r="D20" i="6"/>
  <c r="E25" i="6"/>
  <c r="D60" i="6"/>
  <c r="E351" i="6"/>
  <c r="D354" i="6"/>
  <c r="E359" i="6"/>
  <c r="D362" i="6"/>
  <c r="E367" i="6"/>
  <c r="D370" i="6"/>
  <c r="E375" i="6"/>
  <c r="D378" i="6"/>
  <c r="E383" i="6"/>
  <c r="D386" i="6"/>
  <c r="E391" i="6"/>
  <c r="D394" i="6"/>
  <c r="E399" i="6"/>
  <c r="D402" i="6"/>
  <c r="E407" i="6"/>
  <c r="D410" i="6"/>
  <c r="E415" i="6"/>
  <c r="D418" i="6"/>
  <c r="E423" i="6"/>
  <c r="D426" i="6"/>
  <c r="D434" i="6"/>
  <c r="E439" i="6"/>
  <c r="E447" i="6"/>
  <c r="D450" i="6"/>
  <c r="E455" i="6"/>
  <c r="D458" i="6"/>
  <c r="D466" i="6"/>
  <c r="E471" i="6"/>
  <c r="E479" i="6"/>
  <c r="D482" i="6"/>
  <c r="E487" i="6"/>
  <c r="D490" i="6"/>
  <c r="D498" i="6"/>
  <c r="E503" i="6"/>
  <c r="E511" i="6"/>
  <c r="D514" i="6"/>
  <c r="E519" i="6"/>
  <c r="D522" i="6"/>
  <c r="D530" i="6"/>
  <c r="E535" i="6"/>
  <c r="E543" i="6"/>
  <c r="D546" i="6"/>
  <c r="E551" i="6"/>
  <c r="D554" i="6"/>
  <c r="D562" i="6"/>
  <c r="E567" i="6"/>
  <c r="E575" i="6"/>
  <c r="D578" i="6"/>
  <c r="E583" i="6"/>
  <c r="D586" i="6"/>
  <c r="D594" i="6"/>
  <c r="E599" i="6"/>
  <c r="E607" i="6"/>
  <c r="D610" i="6"/>
  <c r="E615" i="6"/>
  <c r="D618" i="6"/>
  <c r="D626" i="6"/>
  <c r="E631" i="6"/>
  <c r="E639" i="6"/>
  <c r="D642" i="6"/>
  <c r="E647" i="6"/>
  <c r="D650" i="6"/>
  <c r="D658" i="6"/>
  <c r="E663" i="6"/>
  <c r="E671" i="6"/>
  <c r="D674" i="6"/>
  <c r="E679" i="6"/>
  <c r="D682" i="6"/>
  <c r="D690" i="6"/>
  <c r="E695" i="6"/>
  <c r="E703" i="6"/>
  <c r="D706" i="6"/>
  <c r="E711" i="6"/>
  <c r="D714" i="6"/>
  <c r="E719" i="6"/>
  <c r="D722" i="6"/>
  <c r="E727" i="6"/>
  <c r="D730" i="6"/>
  <c r="E735" i="6"/>
  <c r="D738" i="6"/>
  <c r="E743" i="6"/>
  <c r="D746" i="6"/>
  <c r="E751" i="6"/>
  <c r="D754" i="6"/>
  <c r="D448" i="6"/>
  <c r="D488" i="6"/>
  <c r="D520" i="6"/>
  <c r="D528" i="6"/>
  <c r="E533" i="6"/>
  <c r="D552" i="6"/>
  <c r="E613" i="6"/>
  <c r="E661" i="6"/>
  <c r="D680" i="6"/>
  <c r="D688" i="6"/>
  <c r="E709" i="6"/>
  <c r="E5" i="6"/>
  <c r="E13" i="6"/>
  <c r="D24" i="6"/>
  <c r="D32" i="6"/>
  <c r="D40" i="6"/>
  <c r="D48" i="6"/>
  <c r="E53" i="6"/>
  <c r="D56" i="6"/>
  <c r="E61" i="6"/>
  <c r="D64" i="6"/>
  <c r="D11" i="6"/>
  <c r="D27" i="6"/>
  <c r="E40" i="6"/>
  <c r="E48" i="6"/>
  <c r="D6" i="6"/>
  <c r="E11" i="6"/>
  <c r="D14" i="6"/>
  <c r="E19" i="6"/>
  <c r="D22" i="6"/>
  <c r="D30" i="6"/>
  <c r="E35" i="6"/>
  <c r="D38" i="6"/>
  <c r="E43" i="6"/>
  <c r="D46" i="6"/>
  <c r="E51" i="6"/>
  <c r="D54" i="6"/>
  <c r="E59" i="6"/>
  <c r="D62" i="6"/>
  <c r="E67" i="6"/>
  <c r="D70" i="6"/>
  <c r="E75" i="6"/>
  <c r="D78" i="6"/>
  <c r="E83" i="6"/>
  <c r="D86" i="6"/>
  <c r="E91" i="6"/>
  <c r="D94" i="6"/>
  <c r="E28" i="6"/>
  <c r="E31" i="6"/>
  <c r="D306" i="6"/>
  <c r="D8" i="6"/>
  <c r="D16" i="6"/>
  <c r="E21" i="6"/>
  <c r="E37" i="6"/>
  <c r="D72" i="6"/>
  <c r="E77" i="6"/>
  <c r="E85" i="6"/>
  <c r="D304" i="6"/>
  <c r="D80" i="6"/>
  <c r="D88" i="6"/>
  <c r="E229" i="6"/>
  <c r="D35" i="6"/>
  <c r="D43" i="6"/>
  <c r="D51" i="6"/>
  <c r="E56" i="6"/>
  <c r="E64" i="6"/>
  <c r="D67" i="6"/>
  <c r="E72" i="6"/>
  <c r="D75" i="6"/>
  <c r="E80" i="6"/>
  <c r="D83" i="6"/>
  <c r="E88" i="6"/>
  <c r="D91" i="6"/>
  <c r="E96" i="6"/>
  <c r="D99" i="6"/>
  <c r="E104" i="6"/>
  <c r="D107" i="6"/>
  <c r="E112" i="6"/>
  <c r="D115" i="6"/>
  <c r="E120" i="6"/>
  <c r="D123" i="6"/>
  <c r="E128" i="6"/>
  <c r="D131" i="6"/>
  <c r="E136" i="6"/>
  <c r="D139" i="6"/>
  <c r="E144" i="6"/>
  <c r="D147" i="6"/>
  <c r="E152" i="6"/>
  <c r="D155" i="6"/>
  <c r="E160" i="6"/>
  <c r="D163" i="6"/>
  <c r="E168" i="6"/>
  <c r="D171" i="6"/>
  <c r="E176" i="6"/>
  <c r="D179" i="6"/>
  <c r="E184" i="6"/>
  <c r="D187" i="6"/>
  <c r="E192" i="6"/>
  <c r="D195" i="6"/>
  <c r="E200" i="6"/>
  <c r="D203" i="6"/>
  <c r="E208" i="6"/>
  <c r="D211" i="6"/>
  <c r="E216" i="6"/>
  <c r="D219" i="6"/>
  <c r="E224" i="6"/>
  <c r="D227" i="6"/>
  <c r="E232" i="6"/>
  <c r="D235" i="6"/>
  <c r="E240" i="6"/>
  <c r="D243" i="6"/>
  <c r="E248" i="6"/>
  <c r="D251" i="6"/>
  <c r="E256" i="6"/>
  <c r="D259" i="6"/>
  <c r="E264" i="6"/>
  <c r="D267" i="6"/>
  <c r="E272" i="6"/>
  <c r="D275" i="6"/>
  <c r="E280" i="6"/>
  <c r="D283" i="6"/>
  <c r="E288" i="6"/>
  <c r="D291" i="6"/>
  <c r="E296" i="6"/>
  <c r="D299" i="6"/>
  <c r="E304" i="6"/>
  <c r="E99" i="6"/>
  <c r="D102" i="6"/>
  <c r="E107" i="6"/>
  <c r="D110" i="6"/>
  <c r="E115" i="6"/>
  <c r="D118" i="6"/>
  <c r="E123" i="6"/>
  <c r="D126" i="6"/>
  <c r="E131" i="6"/>
  <c r="D134" i="6"/>
  <c r="E139" i="6"/>
  <c r="D142" i="6"/>
  <c r="E147" i="6"/>
  <c r="D150" i="6"/>
  <c r="E155" i="6"/>
  <c r="D158" i="6"/>
  <c r="E163" i="6"/>
  <c r="D166" i="6"/>
  <c r="E171" i="6"/>
  <c r="D174" i="6"/>
  <c r="E179" i="6"/>
  <c r="D182" i="6"/>
  <c r="E187" i="6"/>
  <c r="D190" i="6"/>
  <c r="E195" i="6"/>
  <c r="D198" i="6"/>
  <c r="E203" i="6"/>
  <c r="D206" i="6"/>
  <c r="E211" i="6"/>
  <c r="D214" i="6"/>
  <c r="E219" i="6"/>
  <c r="D222" i="6"/>
  <c r="E227" i="6"/>
  <c r="D230" i="6"/>
  <c r="E235" i="6"/>
  <c r="D238" i="6"/>
  <c r="E243" i="6"/>
  <c r="D246" i="6"/>
  <c r="E251" i="6"/>
  <c r="D254" i="6"/>
  <c r="E259" i="6"/>
  <c r="D262" i="6"/>
  <c r="E267" i="6"/>
  <c r="D270" i="6"/>
  <c r="E275" i="6"/>
  <c r="D278" i="6"/>
  <c r="E283" i="6"/>
  <c r="D286" i="6"/>
  <c r="E291" i="6"/>
  <c r="D294" i="6"/>
  <c r="E299" i="6"/>
  <c r="D302" i="6"/>
  <c r="E307" i="6"/>
  <c r="D310" i="6"/>
  <c r="E315" i="6"/>
  <c r="D318" i="6"/>
  <c r="E323" i="6"/>
  <c r="D326" i="6"/>
  <c r="E331" i="6"/>
  <c r="D334" i="6"/>
  <c r="E339" i="6"/>
  <c r="D342" i="6"/>
  <c r="E347" i="6"/>
  <c r="D350" i="6"/>
  <c r="E355" i="6"/>
  <c r="D358" i="6"/>
  <c r="E363" i="6"/>
  <c r="D366" i="6"/>
  <c r="E371" i="6"/>
  <c r="D374" i="6"/>
  <c r="E379" i="6"/>
  <c r="D382" i="6"/>
  <c r="E387" i="6"/>
  <c r="D390" i="6"/>
  <c r="E395" i="6"/>
  <c r="D398" i="6"/>
  <c r="E403" i="6"/>
  <c r="D406" i="6"/>
  <c r="E411" i="6"/>
  <c r="D414" i="6"/>
  <c r="E419" i="6"/>
  <c r="D422" i="6"/>
  <c r="E427" i="6"/>
  <c r="D430" i="6"/>
  <c r="E102" i="6"/>
  <c r="D113" i="6"/>
  <c r="E134" i="6"/>
  <c r="D145" i="6"/>
  <c r="E198" i="6"/>
  <c r="D537" i="6"/>
  <c r="E622" i="6"/>
  <c r="D665" i="6"/>
  <c r="D308" i="6"/>
  <c r="E313" i="6"/>
  <c r="D316" i="6"/>
  <c r="E321" i="6"/>
  <c r="D324" i="6"/>
  <c r="E329" i="6"/>
  <c r="D332" i="6"/>
  <c r="E337" i="6"/>
  <c r="D340" i="6"/>
  <c r="E345" i="6"/>
  <c r="D348" i="6"/>
  <c r="E353" i="6"/>
  <c r="D356" i="6"/>
  <c r="E361" i="6"/>
  <c r="D364" i="6"/>
  <c r="E369" i="6"/>
  <c r="D372" i="6"/>
  <c r="E377" i="6"/>
  <c r="D380" i="6"/>
  <c r="E385" i="6"/>
  <c r="D388" i="6"/>
  <c r="E393" i="6"/>
  <c r="D396" i="6"/>
  <c r="E401" i="6"/>
  <c r="D404" i="6"/>
  <c r="E409" i="6"/>
  <c r="D412" i="6"/>
  <c r="E417" i="6"/>
  <c r="D420" i="6"/>
  <c r="E425" i="6"/>
  <c r="D428" i="6"/>
  <c r="E433" i="6"/>
  <c r="E494" i="6"/>
  <c r="E693" i="6"/>
  <c r="E725" i="6"/>
  <c r="E435" i="6"/>
  <c r="D438" i="6"/>
  <c r="E443" i="6"/>
  <c r="D446" i="6"/>
  <c r="E451" i="6"/>
  <c r="D454" i="6"/>
  <c r="E459" i="6"/>
  <c r="D462" i="6"/>
  <c r="E467" i="6"/>
  <c r="D470" i="6"/>
  <c r="E475" i="6"/>
  <c r="D478" i="6"/>
  <c r="E483" i="6"/>
  <c r="D486" i="6"/>
  <c r="E491" i="6"/>
  <c r="D494" i="6"/>
  <c r="E499" i="6"/>
  <c r="D502" i="6"/>
  <c r="E507" i="6"/>
  <c r="D510" i="6"/>
  <c r="E515" i="6"/>
  <c r="D518" i="6"/>
  <c r="E523" i="6"/>
  <c r="D526" i="6"/>
  <c r="E531" i="6"/>
  <c r="D534" i="6"/>
  <c r="E539" i="6"/>
  <c r="D542" i="6"/>
  <c r="E547" i="6"/>
  <c r="D550" i="6"/>
  <c r="E555" i="6"/>
  <c r="D558" i="6"/>
  <c r="E563" i="6"/>
  <c r="D566" i="6"/>
  <c r="E571" i="6"/>
  <c r="D574" i="6"/>
  <c r="E579" i="6"/>
  <c r="D582" i="6"/>
  <c r="E587" i="6"/>
  <c r="D590" i="6"/>
  <c r="E595" i="6"/>
  <c r="D598" i="6"/>
  <c r="E603" i="6"/>
  <c r="D606" i="6"/>
  <c r="E611" i="6"/>
  <c r="D614" i="6"/>
  <c r="E619" i="6"/>
  <c r="D622" i="6"/>
  <c r="E627" i="6"/>
  <c r="D630" i="6"/>
  <c r="E635" i="6"/>
  <c r="D638" i="6"/>
  <c r="E643" i="6"/>
  <c r="D646" i="6"/>
  <c r="E651" i="6"/>
  <c r="D654" i="6"/>
  <c r="E659" i="6"/>
  <c r="D662" i="6"/>
  <c r="E667" i="6"/>
  <c r="D670" i="6"/>
  <c r="E675" i="6"/>
  <c r="D678" i="6"/>
  <c r="E683" i="6"/>
  <c r="D686" i="6"/>
  <c r="E691" i="6"/>
  <c r="D694" i="6"/>
  <c r="E699" i="6"/>
  <c r="D702" i="6"/>
  <c r="E707" i="6"/>
  <c r="D710" i="6"/>
  <c r="E715" i="6"/>
  <c r="D718" i="6"/>
  <c r="E723" i="6"/>
  <c r="D726" i="6"/>
  <c r="E731" i="6"/>
  <c r="D734" i="6"/>
  <c r="E739" i="6"/>
  <c r="D742" i="6"/>
  <c r="E747" i="6"/>
  <c r="D750" i="6"/>
  <c r="E755" i="6"/>
  <c r="D473" i="6"/>
  <c r="D505" i="6"/>
  <c r="E526" i="6"/>
  <c r="E558" i="6"/>
  <c r="D569" i="6"/>
  <c r="E590" i="6"/>
  <c r="D601" i="6"/>
  <c r="D633" i="6"/>
  <c r="E654" i="6"/>
  <c r="E686" i="6"/>
  <c r="D697" i="6"/>
  <c r="D436" i="6"/>
  <c r="E441" i="6"/>
  <c r="D444" i="6"/>
  <c r="E449" i="6"/>
  <c r="D452" i="6"/>
  <c r="E457" i="6"/>
  <c r="D460" i="6"/>
  <c r="E465" i="6"/>
  <c r="D468" i="6"/>
  <c r="E473" i="6"/>
  <c r="D476" i="6"/>
  <c r="E481" i="6"/>
  <c r="D484" i="6"/>
  <c r="E489" i="6"/>
  <c r="D492" i="6"/>
  <c r="E497" i="6"/>
  <c r="D500" i="6"/>
  <c r="E505" i="6"/>
  <c r="D508" i="6"/>
  <c r="E513" i="6"/>
  <c r="D516" i="6"/>
  <c r="E521" i="6"/>
  <c r="D524" i="6"/>
  <c r="E529" i="6"/>
  <c r="D532" i="6"/>
  <c r="E537" i="6"/>
  <c r="D540" i="6"/>
  <c r="E545" i="6"/>
  <c r="D548" i="6"/>
  <c r="E553" i="6"/>
  <c r="D556" i="6"/>
  <c r="E561" i="6"/>
  <c r="D564" i="6"/>
  <c r="E569" i="6"/>
  <c r="D572" i="6"/>
  <c r="E577" i="6"/>
  <c r="D580" i="6"/>
  <c r="E585" i="6"/>
  <c r="D588" i="6"/>
  <c r="E593" i="6"/>
  <c r="D596" i="6"/>
  <c r="E601" i="6"/>
  <c r="D604" i="6"/>
  <c r="E609" i="6"/>
  <c r="D612" i="6"/>
  <c r="E617" i="6"/>
  <c r="D620" i="6"/>
  <c r="E625" i="6"/>
  <c r="D628" i="6"/>
  <c r="E633" i="6"/>
  <c r="D636" i="6"/>
  <c r="E641" i="6"/>
  <c r="D644" i="6"/>
  <c r="E649" i="6"/>
  <c r="D652" i="6"/>
  <c r="E657" i="6"/>
  <c r="D660" i="6"/>
  <c r="E665" i="6"/>
  <c r="D668" i="6"/>
  <c r="E673" i="6"/>
  <c r="D676" i="6"/>
  <c r="E681" i="6"/>
  <c r="D684" i="6"/>
  <c r="E689" i="6"/>
  <c r="D692" i="6"/>
  <c r="E697" i="6"/>
  <c r="D700" i="6"/>
  <c r="E705" i="6"/>
  <c r="D708" i="6"/>
  <c r="E713" i="6"/>
  <c r="D716" i="6"/>
  <c r="E721" i="6"/>
  <c r="D724" i="6"/>
  <c r="D732" i="6"/>
  <c r="E737" i="6"/>
  <c r="D740" i="6"/>
  <c r="E745" i="6"/>
  <c r="D748" i="6"/>
  <c r="E753" i="6"/>
  <c r="E45" i="6"/>
  <c r="E69" i="6"/>
  <c r="E32" i="6"/>
  <c r="E262" i="6"/>
  <c r="E33" i="6"/>
  <c r="D52" i="6"/>
  <c r="D10" i="6"/>
  <c r="D18" i="6"/>
  <c r="E23" i="6"/>
  <c r="D34" i="6"/>
  <c r="E39" i="6"/>
  <c r="D50" i="6"/>
  <c r="E55" i="6"/>
  <c r="D66" i="6"/>
  <c r="E71" i="6"/>
  <c r="E79" i="6"/>
  <c r="D90" i="6"/>
  <c r="E95" i="6"/>
  <c r="D106" i="6"/>
  <c r="D122" i="6"/>
  <c r="E127" i="6"/>
  <c r="D138" i="6"/>
  <c r="E143" i="6"/>
  <c r="D154" i="6"/>
  <c r="E159" i="6"/>
  <c r="E167" i="6"/>
  <c r="D178" i="6"/>
  <c r="E207" i="6"/>
  <c r="D5" i="6"/>
  <c r="E10" i="6"/>
  <c r="D13" i="6"/>
  <c r="E18" i="6"/>
  <c r="D21" i="6"/>
  <c r="E26" i="6"/>
  <c r="D29" i="6"/>
  <c r="E34" i="6"/>
  <c r="D37" i="6"/>
  <c r="E42" i="6"/>
  <c r="D45" i="6"/>
  <c r="E50" i="6"/>
  <c r="D53" i="6"/>
  <c r="E58" i="6"/>
  <c r="D61" i="6"/>
  <c r="E66" i="6"/>
  <c r="D69" i="6"/>
  <c r="E74" i="6"/>
  <c r="D77" i="6"/>
  <c r="E82" i="6"/>
  <c r="D85" i="6"/>
  <c r="E90" i="6"/>
  <c r="D93" i="6"/>
  <c r="E98" i="6"/>
  <c r="D101" i="6"/>
  <c r="E106" i="6"/>
  <c r="D109" i="6"/>
  <c r="E114" i="6"/>
  <c r="D117" i="6"/>
  <c r="E122" i="6"/>
  <c r="D125" i="6"/>
  <c r="E130" i="6"/>
  <c r="D133" i="6"/>
  <c r="E138" i="6"/>
  <c r="D141" i="6"/>
  <c r="E146" i="6"/>
  <c r="D149" i="6"/>
  <c r="E154" i="6"/>
  <c r="D157" i="6"/>
  <c r="E162" i="6"/>
  <c r="D165" i="6"/>
  <c r="E170" i="6"/>
  <c r="D173" i="6"/>
  <c r="E178" i="6"/>
  <c r="D181" i="6"/>
  <c r="E186" i="6"/>
  <c r="D189" i="6"/>
  <c r="E194" i="6"/>
  <c r="D197" i="6"/>
  <c r="E202" i="6"/>
  <c r="D205" i="6"/>
  <c r="E210" i="6"/>
  <c r="D213" i="6"/>
  <c r="E218" i="6"/>
  <c r="D221" i="6"/>
  <c r="E226" i="6"/>
  <c r="D229" i="6"/>
  <c r="E234" i="6"/>
  <c r="D237" i="6"/>
  <c r="E242" i="6"/>
  <c r="D245" i="6"/>
  <c r="E250" i="6"/>
  <c r="D253" i="6"/>
  <c r="E258" i="6"/>
  <c r="D261" i="6"/>
  <c r="E266" i="6"/>
  <c r="D269" i="6"/>
  <c r="E274" i="6"/>
  <c r="E730" i="6"/>
  <c r="D241" i="6"/>
  <c r="E326" i="6"/>
  <c r="E133" i="6"/>
  <c r="E197" i="6"/>
  <c r="D19" i="6"/>
  <c r="D273" i="6"/>
  <c r="E358" i="6"/>
  <c r="D112" i="6"/>
  <c r="F113" i="6" s="1"/>
  <c r="D144" i="6"/>
  <c r="D337" i="6"/>
  <c r="E8" i="6"/>
  <c r="E24" i="6"/>
  <c r="E6" i="6"/>
  <c r="D9" i="6"/>
  <c r="E14" i="6"/>
  <c r="D17" i="6"/>
  <c r="E22" i="6"/>
  <c r="D25" i="6"/>
  <c r="E30" i="6"/>
  <c r="D33" i="6"/>
  <c r="E38" i="6"/>
  <c r="D49" i="6"/>
  <c r="E54" i="6"/>
  <c r="D57" i="6"/>
  <c r="E62" i="6"/>
  <c r="D65" i="6"/>
  <c r="D73" i="6"/>
  <c r="E78" i="6"/>
  <c r="E86" i="6"/>
  <c r="D89" i="6"/>
  <c r="E94" i="6"/>
  <c r="D97" i="6"/>
  <c r="D105" i="6"/>
  <c r="E110" i="6"/>
  <c r="E118" i="6"/>
  <c r="D121" i="6"/>
  <c r="E126" i="6"/>
  <c r="D129" i="6"/>
  <c r="D137" i="6"/>
  <c r="E142" i="6"/>
  <c r="E150" i="6"/>
  <c r="D153" i="6"/>
  <c r="E158" i="6"/>
  <c r="D161" i="6"/>
  <c r="D169" i="6"/>
  <c r="E174" i="6"/>
  <c r="E182" i="6"/>
  <c r="D185" i="6"/>
  <c r="E190" i="6"/>
  <c r="D193" i="6"/>
  <c r="D201" i="6"/>
  <c r="E206" i="6"/>
  <c r="E214" i="6"/>
  <c r="D217" i="6"/>
  <c r="E222" i="6"/>
  <c r="D225" i="6"/>
  <c r="D233" i="6"/>
  <c r="E238" i="6"/>
  <c r="E246" i="6"/>
  <c r="D249" i="6"/>
  <c r="E254" i="6"/>
  <c r="D257" i="6"/>
  <c r="D265" i="6"/>
  <c r="E270" i="6"/>
  <c r="E278" i="6"/>
  <c r="D281" i="6"/>
  <c r="E286" i="6"/>
  <c r="D289" i="6"/>
  <c r="D297" i="6"/>
  <c r="E302" i="6"/>
  <c r="E310" i="6"/>
  <c r="G310" i="6" s="1"/>
  <c r="D313" i="6"/>
  <c r="E318" i="6"/>
  <c r="D321" i="6"/>
  <c r="D329" i="6"/>
  <c r="E334" i="6"/>
  <c r="E342" i="6"/>
  <c r="G342" i="6" s="1"/>
  <c r="D345" i="6"/>
  <c r="E350" i="6"/>
  <c r="G350" i="6" s="1"/>
  <c r="D353" i="6"/>
  <c r="D361" i="6"/>
  <c r="E366" i="6"/>
  <c r="E374" i="6"/>
  <c r="G374" i="6" s="1"/>
  <c r="D377" i="6"/>
  <c r="F377" i="6" s="1"/>
  <c r="D401" i="6"/>
  <c r="F401" i="6" s="1"/>
  <c r="E430" i="6"/>
  <c r="D441" i="6"/>
  <c r="E462" i="6"/>
  <c r="D369" i="6"/>
  <c r="C1" i="6"/>
  <c r="E16" i="6"/>
  <c r="D59" i="6"/>
  <c r="D28" i="6"/>
  <c r="D44" i="6"/>
  <c r="D68" i="6"/>
  <c r="E73" i="6"/>
  <c r="D84" i="6"/>
  <c r="E89" i="6"/>
  <c r="D100" i="6"/>
  <c r="D108" i="6"/>
  <c r="D116" i="6"/>
  <c r="E121" i="6"/>
  <c r="D132" i="6"/>
  <c r="E137" i="6"/>
  <c r="D148" i="6"/>
  <c r="D156" i="6"/>
  <c r="E161" i="6"/>
  <c r="E169" i="6"/>
  <c r="D180" i="6"/>
  <c r="D188" i="6"/>
  <c r="E193" i="6"/>
  <c r="E201" i="6"/>
  <c r="D204" i="6"/>
  <c r="E209" i="6"/>
  <c r="D212" i="6"/>
  <c r="E217" i="6"/>
  <c r="D220" i="6"/>
  <c r="E225" i="6"/>
  <c r="D228" i="6"/>
  <c r="E233" i="6"/>
  <c r="D236" i="6"/>
  <c r="E241" i="6"/>
  <c r="D244" i="6"/>
  <c r="E249" i="6"/>
  <c r="D252" i="6"/>
  <c r="E257" i="6"/>
  <c r="E265" i="6"/>
  <c r="D268" i="6"/>
  <c r="E273" i="6"/>
  <c r="D276" i="6"/>
  <c r="E281" i="6"/>
  <c r="D284" i="6"/>
  <c r="E289" i="6"/>
  <c r="D292" i="6"/>
  <c r="E297" i="6"/>
  <c r="D300" i="6"/>
  <c r="E305" i="6"/>
  <c r="D209" i="6"/>
  <c r="E294" i="6"/>
  <c r="E29" i="6"/>
  <c r="G126" i="6"/>
  <c r="D81" i="6"/>
  <c r="D177" i="6"/>
  <c r="E27" i="6"/>
  <c r="D36" i="6"/>
  <c r="E41" i="6"/>
  <c r="E57" i="6"/>
  <c r="E65" i="6"/>
  <c r="D76" i="6"/>
  <c r="E81" i="6"/>
  <c r="D92" i="6"/>
  <c r="E97" i="6"/>
  <c r="E105" i="6"/>
  <c r="E113" i="6"/>
  <c r="D124" i="6"/>
  <c r="E129" i="6"/>
  <c r="D140" i="6"/>
  <c r="E145" i="6"/>
  <c r="E153" i="6"/>
  <c r="D164" i="6"/>
  <c r="D172" i="6"/>
  <c r="E177" i="6"/>
  <c r="E185" i="6"/>
  <c r="D196" i="6"/>
  <c r="D260" i="6"/>
  <c r="E4" i="6"/>
  <c r="D7" i="6"/>
  <c r="E12" i="6"/>
  <c r="D15" i="6"/>
  <c r="E20" i="6"/>
  <c r="D23" i="6"/>
  <c r="D31" i="6"/>
  <c r="E36" i="6"/>
  <c r="D39" i="6"/>
  <c r="E44" i="6"/>
  <c r="G45" i="6" s="1"/>
  <c r="D47" i="6"/>
  <c r="E52" i="6"/>
  <c r="D55" i="6"/>
  <c r="E60" i="6"/>
  <c r="D63" i="6"/>
  <c r="E68" i="6"/>
  <c r="D71" i="6"/>
  <c r="E76" i="6"/>
  <c r="D79" i="6"/>
  <c r="E84" i="6"/>
  <c r="D87" i="6"/>
  <c r="E92" i="6"/>
  <c r="D95" i="6"/>
  <c r="E100" i="6"/>
  <c r="D103" i="6"/>
  <c r="E108" i="6"/>
  <c r="D111" i="6"/>
  <c r="E116" i="6"/>
  <c r="D119" i="6"/>
  <c r="F120" i="6" s="1"/>
  <c r="E124" i="6"/>
  <c r="D127" i="6"/>
  <c r="E132" i="6"/>
  <c r="D135" i="6"/>
  <c r="E140" i="6"/>
  <c r="D143" i="6"/>
  <c r="E148" i="6"/>
  <c r="D151" i="6"/>
  <c r="F151" i="6" s="1"/>
  <c r="E156" i="6"/>
  <c r="D159" i="6"/>
  <c r="F160" i="6" s="1"/>
  <c r="E164" i="6"/>
  <c r="D167" i="6"/>
  <c r="E172" i="6"/>
  <c r="D175" i="6"/>
  <c r="E180" i="6"/>
  <c r="D183" i="6"/>
  <c r="E188" i="6"/>
  <c r="D191" i="6"/>
  <c r="E196" i="6"/>
  <c r="D199" i="6"/>
  <c r="E204" i="6"/>
  <c r="G205" i="6" s="1"/>
  <c r="D207" i="6"/>
  <c r="E212" i="6"/>
  <c r="D215" i="6"/>
  <c r="E220" i="6"/>
  <c r="D223" i="6"/>
  <c r="E228" i="6"/>
  <c r="D231" i="6"/>
  <c r="E236" i="6"/>
  <c r="D239" i="6"/>
  <c r="E244" i="6"/>
  <c r="G244" i="6" s="1"/>
  <c r="D247" i="6"/>
  <c r="E252" i="6"/>
  <c r="D255" i="6"/>
  <c r="E260" i="6"/>
  <c r="D263" i="6"/>
  <c r="E268" i="6"/>
  <c r="D271" i="6"/>
  <c r="E276" i="6"/>
  <c r="D279" i="6"/>
  <c r="E284" i="6"/>
  <c r="D287" i="6"/>
  <c r="F288" i="6" s="1"/>
  <c r="E292" i="6"/>
  <c r="D295" i="6"/>
  <c r="E300" i="6"/>
  <c r="D303" i="6"/>
  <c r="D407" i="6"/>
  <c r="F407" i="6" s="1"/>
  <c r="D305" i="6"/>
  <c r="D409" i="6"/>
  <c r="E101" i="6"/>
  <c r="E166" i="6"/>
  <c r="D12" i="6"/>
  <c r="E49" i="6"/>
  <c r="E7" i="6"/>
  <c r="E15" i="6"/>
  <c r="D26" i="6"/>
  <c r="D42" i="6"/>
  <c r="E47" i="6"/>
  <c r="D58" i="6"/>
  <c r="F59" i="6" s="1"/>
  <c r="E63" i="6"/>
  <c r="D74" i="6"/>
  <c r="D82" i="6"/>
  <c r="E87" i="6"/>
  <c r="D98" i="6"/>
  <c r="E103" i="6"/>
  <c r="E111" i="6"/>
  <c r="E119" i="6"/>
  <c r="D130" i="6"/>
  <c r="E135" i="6"/>
  <c r="D146" i="6"/>
  <c r="E151" i="6"/>
  <c r="D162" i="6"/>
  <c r="D170" i="6"/>
  <c r="E175" i="6"/>
  <c r="E183" i="6"/>
  <c r="D186" i="6"/>
  <c r="E191" i="6"/>
  <c r="D194" i="6"/>
  <c r="E199" i="6"/>
  <c r="D202" i="6"/>
  <c r="D210" i="6"/>
  <c r="E215" i="6"/>
  <c r="D218" i="6"/>
  <c r="E223" i="6"/>
  <c r="D226" i="6"/>
  <c r="E231" i="6"/>
  <c r="D234" i="6"/>
  <c r="E239" i="6"/>
  <c r="D242" i="6"/>
  <c r="E247" i="6"/>
  <c r="D250" i="6"/>
  <c r="E255" i="6"/>
  <c r="D258" i="6"/>
  <c r="E263" i="6"/>
  <c r="D266" i="6"/>
  <c r="E271" i="6"/>
  <c r="D274" i="6"/>
  <c r="E279" i="6"/>
  <c r="D282" i="6"/>
  <c r="E287" i="6"/>
  <c r="D290" i="6"/>
  <c r="E295" i="6"/>
  <c r="D298" i="6"/>
  <c r="E303" i="6"/>
  <c r="D338" i="6"/>
  <c r="E431" i="6"/>
  <c r="D442" i="6"/>
  <c r="E463" i="6"/>
  <c r="E230" i="6"/>
  <c r="D307" i="6"/>
  <c r="E312" i="6"/>
  <c r="G312" i="6" s="1"/>
  <c r="D315" i="6"/>
  <c r="E320" i="6"/>
  <c r="D323" i="6"/>
  <c r="E328" i="6"/>
  <c r="D331" i="6"/>
  <c r="E336" i="6"/>
  <c r="D339" i="6"/>
  <c r="E344" i="6"/>
  <c r="G344" i="6" s="1"/>
  <c r="D347" i="6"/>
  <c r="E352" i="6"/>
  <c r="D355" i="6"/>
  <c r="E360" i="6"/>
  <c r="D363" i="6"/>
  <c r="E368" i="6"/>
  <c r="D371" i="6"/>
  <c r="E376" i="6"/>
  <c r="G376" i="6" s="1"/>
  <c r="D379" i="6"/>
  <c r="E384" i="6"/>
  <c r="D387" i="6"/>
  <c r="E392" i="6"/>
  <c r="D395" i="6"/>
  <c r="E400" i="6"/>
  <c r="D403" i="6"/>
  <c r="E408" i="6"/>
  <c r="G408" i="6" s="1"/>
  <c r="D411" i="6"/>
  <c r="E416" i="6"/>
  <c r="D419" i="6"/>
  <c r="E424" i="6"/>
  <c r="D427" i="6"/>
  <c r="E432" i="6"/>
  <c r="D435" i="6"/>
  <c r="E440" i="6"/>
  <c r="G440" i="6" s="1"/>
  <c r="D443" i="6"/>
  <c r="E448" i="6"/>
  <c r="D451" i="6"/>
  <c r="E456" i="6"/>
  <c r="D459" i="6"/>
  <c r="E464" i="6"/>
  <c r="D467" i="6"/>
  <c r="E472" i="6"/>
  <c r="D475" i="6"/>
  <c r="E480" i="6"/>
  <c r="D483" i="6"/>
  <c r="E488" i="6"/>
  <c r="D491" i="6"/>
  <c r="E496" i="6"/>
  <c r="D499" i="6"/>
  <c r="E504" i="6"/>
  <c r="D507" i="6"/>
  <c r="E512" i="6"/>
  <c r="D515" i="6"/>
  <c r="E520" i="6"/>
  <c r="D523" i="6"/>
  <c r="E528" i="6"/>
  <c r="D531" i="6"/>
  <c r="E536" i="6"/>
  <c r="G536" i="6" s="1"/>
  <c r="D539" i="6"/>
  <c r="E544" i="6"/>
  <c r="G544" i="6" s="1"/>
  <c r="D547" i="6"/>
  <c r="E552" i="6"/>
  <c r="D555" i="6"/>
  <c r="E560" i="6"/>
  <c r="D563" i="6"/>
  <c r="E568" i="6"/>
  <c r="G568" i="6" s="1"/>
  <c r="D571" i="6"/>
  <c r="E576" i="6"/>
  <c r="G576" i="6" s="1"/>
  <c r="D579" i="6"/>
  <c r="E584" i="6"/>
  <c r="D587" i="6"/>
  <c r="E592" i="6"/>
  <c r="D595" i="6"/>
  <c r="E600" i="6"/>
  <c r="D603" i="6"/>
  <c r="E608" i="6"/>
  <c r="D611" i="6"/>
  <c r="E616" i="6"/>
  <c r="D619" i="6"/>
  <c r="E624" i="6"/>
  <c r="D627" i="6"/>
  <c r="E632" i="6"/>
  <c r="D635" i="6"/>
  <c r="E640" i="6"/>
  <c r="D643" i="6"/>
  <c r="E648" i="6"/>
  <c r="D651" i="6"/>
  <c r="E656" i="6"/>
  <c r="D659" i="6"/>
  <c r="E664" i="6"/>
  <c r="G664" i="6" s="1"/>
  <c r="D667" i="6"/>
  <c r="E672" i="6"/>
  <c r="G672" i="6" s="1"/>
  <c r="D675" i="6"/>
  <c r="E680" i="6"/>
  <c r="D683" i="6"/>
  <c r="E688" i="6"/>
  <c r="D691" i="6"/>
  <c r="E696" i="6"/>
  <c r="G696" i="6" s="1"/>
  <c r="D699" i="6"/>
  <c r="E704" i="6"/>
  <c r="G704" i="6" s="1"/>
  <c r="D707" i="6"/>
  <c r="E712" i="6"/>
  <c r="D715" i="6"/>
  <c r="E720" i="6"/>
  <c r="D723" i="6"/>
  <c r="E728" i="6"/>
  <c r="D731" i="6"/>
  <c r="E736" i="6"/>
  <c r="D739" i="6"/>
  <c r="F739" i="6" s="1"/>
  <c r="E744" i="6"/>
  <c r="G744" i="6" s="1"/>
  <c r="D747" i="6"/>
  <c r="E752" i="6"/>
  <c r="D755" i="6"/>
  <c r="E382" i="6"/>
  <c r="D385" i="6"/>
  <c r="E390" i="6"/>
  <c r="D393" i="6"/>
  <c r="E398" i="6"/>
  <c r="E406" i="6"/>
  <c r="E414" i="6"/>
  <c r="D417" i="6"/>
  <c r="E422" i="6"/>
  <c r="D425" i="6"/>
  <c r="D433" i="6"/>
  <c r="E438" i="6"/>
  <c r="E446" i="6"/>
  <c r="D449" i="6"/>
  <c r="E454" i="6"/>
  <c r="D457" i="6"/>
  <c r="D465" i="6"/>
  <c r="E470" i="6"/>
  <c r="E478" i="6"/>
  <c r="D481" i="6"/>
  <c r="F482" i="6" s="1"/>
  <c r="E486" i="6"/>
  <c r="G487" i="6" s="1"/>
  <c r="D489" i="6"/>
  <c r="F490" i="6" s="1"/>
  <c r="D497" i="6"/>
  <c r="E502" i="6"/>
  <c r="E510" i="6"/>
  <c r="D513" i="6"/>
  <c r="E518" i="6"/>
  <c r="D521" i="6"/>
  <c r="D529" i="6"/>
  <c r="E534" i="6"/>
  <c r="E542" i="6"/>
  <c r="D545" i="6"/>
  <c r="E550" i="6"/>
  <c r="D553" i="6"/>
  <c r="D561" i="6"/>
  <c r="E566" i="6"/>
  <c r="E574" i="6"/>
  <c r="G574" i="6" s="1"/>
  <c r="D577" i="6"/>
  <c r="E582" i="6"/>
  <c r="D585" i="6"/>
  <c r="D593" i="6"/>
  <c r="E598" i="6"/>
  <c r="E606" i="6"/>
  <c r="D609" i="6"/>
  <c r="F610" i="6" s="1"/>
  <c r="E614" i="6"/>
  <c r="G615" i="6" s="1"/>
  <c r="D617" i="6"/>
  <c r="F618" i="6" s="1"/>
  <c r="D625" i="6"/>
  <c r="E630" i="6"/>
  <c r="E638" i="6"/>
  <c r="D641" i="6"/>
  <c r="E646" i="6"/>
  <c r="D649" i="6"/>
  <c r="D657" i="6"/>
  <c r="F657" i="6" s="1"/>
  <c r="E662" i="6"/>
  <c r="E670" i="6"/>
  <c r="D673" i="6"/>
  <c r="E678" i="6"/>
  <c r="D681" i="6"/>
  <c r="D689" i="6"/>
  <c r="E694" i="6"/>
  <c r="E702" i="6"/>
  <c r="D705" i="6"/>
  <c r="F705" i="6" s="1"/>
  <c r="E710" i="6"/>
  <c r="D713" i="6"/>
  <c r="E718" i="6"/>
  <c r="D721" i="6"/>
  <c r="E726" i="6"/>
  <c r="D729" i="6"/>
  <c r="F729" i="6" s="1"/>
  <c r="E734" i="6"/>
  <c r="G734" i="6" s="1"/>
  <c r="D737" i="6"/>
  <c r="E742" i="6"/>
  <c r="D745" i="6"/>
  <c r="E750" i="6"/>
  <c r="D753" i="6"/>
  <c r="E729" i="6"/>
  <c r="E308" i="6"/>
  <c r="D311" i="6"/>
  <c r="E316" i="6"/>
  <c r="G317" i="6" s="1"/>
  <c r="D319" i="6"/>
  <c r="E324" i="6"/>
  <c r="D327" i="6"/>
  <c r="E332" i="6"/>
  <c r="D335" i="6"/>
  <c r="E340" i="6"/>
  <c r="D343" i="6"/>
  <c r="E348" i="6"/>
  <c r="D351" i="6"/>
  <c r="E356" i="6"/>
  <c r="D359" i="6"/>
  <c r="F360" i="6" s="1"/>
  <c r="E364" i="6"/>
  <c r="G365" i="6" s="1"/>
  <c r="D367" i="6"/>
  <c r="E372" i="6"/>
  <c r="D375" i="6"/>
  <c r="F376" i="6" s="1"/>
  <c r="E380" i="6"/>
  <c r="D383" i="6"/>
  <c r="E388" i="6"/>
  <c r="D391" i="6"/>
  <c r="E396" i="6"/>
  <c r="D399" i="6"/>
  <c r="E404" i="6"/>
  <c r="E412" i="6"/>
  <c r="D415" i="6"/>
  <c r="E420" i="6"/>
  <c r="D423" i="6"/>
  <c r="E428" i="6"/>
  <c r="D431" i="6"/>
  <c r="E436" i="6"/>
  <c r="D439" i="6"/>
  <c r="E444" i="6"/>
  <c r="D447" i="6"/>
  <c r="E452" i="6"/>
  <c r="D455" i="6"/>
  <c r="E460" i="6"/>
  <c r="D463" i="6"/>
  <c r="E468" i="6"/>
  <c r="D471" i="6"/>
  <c r="E476" i="6"/>
  <c r="D479" i="6"/>
  <c r="E484" i="6"/>
  <c r="D487" i="6"/>
  <c r="E492" i="6"/>
  <c r="D495" i="6"/>
  <c r="F495" i="6" s="1"/>
  <c r="E500" i="6"/>
  <c r="D503" i="6"/>
  <c r="E508" i="6"/>
  <c r="D511" i="6"/>
  <c r="E516" i="6"/>
  <c r="D519" i="6"/>
  <c r="E524" i="6"/>
  <c r="D527" i="6"/>
  <c r="E532" i="6"/>
  <c r="D535" i="6"/>
  <c r="E540" i="6"/>
  <c r="D543" i="6"/>
  <c r="E548" i="6"/>
  <c r="D551" i="6"/>
  <c r="E556" i="6"/>
  <c r="D559" i="6"/>
  <c r="E564" i="6"/>
  <c r="D567" i="6"/>
  <c r="E572" i="6"/>
  <c r="D575" i="6"/>
  <c r="E580" i="6"/>
  <c r="D583" i="6"/>
  <c r="E588" i="6"/>
  <c r="D591" i="6"/>
  <c r="E596" i="6"/>
  <c r="D599" i="6"/>
  <c r="E604" i="6"/>
  <c r="D607" i="6"/>
  <c r="E612" i="6"/>
  <c r="D615" i="6"/>
  <c r="E620" i="6"/>
  <c r="D623" i="6"/>
  <c r="E628" i="6"/>
  <c r="D631" i="6"/>
  <c r="E636" i="6"/>
  <c r="D639" i="6"/>
  <c r="E644" i="6"/>
  <c r="D647" i="6"/>
  <c r="E652" i="6"/>
  <c r="D655" i="6"/>
  <c r="E660" i="6"/>
  <c r="D663" i="6"/>
  <c r="E668" i="6"/>
  <c r="D671" i="6"/>
  <c r="E676" i="6"/>
  <c r="D679" i="6"/>
  <c r="E684" i="6"/>
  <c r="D687" i="6"/>
  <c r="E692" i="6"/>
  <c r="D695" i="6"/>
  <c r="E700" i="6"/>
  <c r="D703" i="6"/>
  <c r="E708" i="6"/>
  <c r="D711" i="6"/>
  <c r="E716" i="6"/>
  <c r="G717" i="6" s="1"/>
  <c r="D719" i="6"/>
  <c r="F719" i="6" s="1"/>
  <c r="E724" i="6"/>
  <c r="G725" i="6" s="1"/>
  <c r="D727" i="6"/>
  <c r="E732" i="6"/>
  <c r="D735" i="6"/>
  <c r="E740" i="6"/>
  <c r="D743" i="6"/>
  <c r="E748" i="6"/>
  <c r="D751" i="6"/>
  <c r="D474" i="6"/>
  <c r="E495" i="6"/>
  <c r="D506" i="6"/>
  <c r="E527" i="6"/>
  <c r="D538" i="6"/>
  <c r="E559" i="6"/>
  <c r="D570" i="6"/>
  <c r="E591" i="6"/>
  <c r="D602" i="6"/>
  <c r="E623" i="6"/>
  <c r="D634" i="6"/>
  <c r="E655" i="6"/>
  <c r="D666" i="6"/>
  <c r="E687" i="6"/>
  <c r="D698" i="6"/>
  <c r="G736" i="6"/>
  <c r="D277" i="6"/>
  <c r="E282" i="6"/>
  <c r="D285" i="6"/>
  <c r="F286" i="6" s="1"/>
  <c r="E290" i="6"/>
  <c r="D293" i="6"/>
  <c r="E298" i="6"/>
  <c r="D301" i="6"/>
  <c r="E306" i="6"/>
  <c r="D309" i="6"/>
  <c r="E314" i="6"/>
  <c r="D317" i="6"/>
  <c r="E322" i="6"/>
  <c r="D325" i="6"/>
  <c r="E330" i="6"/>
  <c r="D333" i="6"/>
  <c r="E338" i="6"/>
  <c r="D341" i="6"/>
  <c r="E346" i="6"/>
  <c r="D349" i="6"/>
  <c r="E354" i="6"/>
  <c r="D357" i="6"/>
  <c r="E362" i="6"/>
  <c r="D365" i="6"/>
  <c r="E370" i="6"/>
  <c r="D373" i="6"/>
  <c r="E378" i="6"/>
  <c r="D381" i="6"/>
  <c r="E386" i="6"/>
  <c r="D389" i="6"/>
  <c r="E394" i="6"/>
  <c r="D397" i="6"/>
  <c r="E402" i="6"/>
  <c r="D405" i="6"/>
  <c r="E410" i="6"/>
  <c r="D413" i="6"/>
  <c r="E418" i="6"/>
  <c r="D421" i="6"/>
  <c r="E426" i="6"/>
  <c r="D429" i="6"/>
  <c r="E434" i="6"/>
  <c r="D437" i="6"/>
  <c r="E442" i="6"/>
  <c r="D445" i="6"/>
  <c r="E450" i="6"/>
  <c r="D453" i="6"/>
  <c r="E458" i="6"/>
  <c r="D461" i="6"/>
  <c r="E466" i="6"/>
  <c r="D469" i="6"/>
  <c r="E474" i="6"/>
  <c r="D477" i="6"/>
  <c r="E482" i="6"/>
  <c r="D485" i="6"/>
  <c r="E490" i="6"/>
  <c r="D493" i="6"/>
  <c r="E498" i="6"/>
  <c r="D501" i="6"/>
  <c r="E506" i="6"/>
  <c r="D509" i="6"/>
  <c r="E514" i="6"/>
  <c r="D517" i="6"/>
  <c r="E522" i="6"/>
  <c r="D525" i="6"/>
  <c r="E530" i="6"/>
  <c r="D533" i="6"/>
  <c r="E538" i="6"/>
  <c r="D541" i="6"/>
  <c r="E546" i="6"/>
  <c r="D549" i="6"/>
  <c r="E554" i="6"/>
  <c r="D557" i="6"/>
  <c r="E562" i="6"/>
  <c r="D565" i="6"/>
  <c r="E570" i="6"/>
  <c r="D573" i="6"/>
  <c r="E578" i="6"/>
  <c r="D581" i="6"/>
  <c r="E586" i="6"/>
  <c r="D589" i="6"/>
  <c r="E594" i="6"/>
  <c r="D597" i="6"/>
  <c r="E602" i="6"/>
  <c r="D605" i="6"/>
  <c r="E610" i="6"/>
  <c r="D613" i="6"/>
  <c r="E618" i="6"/>
  <c r="D621" i="6"/>
  <c r="E626" i="6"/>
  <c r="D629" i="6"/>
  <c r="E634" i="6"/>
  <c r="D637" i="6"/>
  <c r="E642" i="6"/>
  <c r="D645" i="6"/>
  <c r="E650" i="6"/>
  <c r="D653" i="6"/>
  <c r="E658" i="6"/>
  <c r="D661" i="6"/>
  <c r="E666" i="6"/>
  <c r="D669" i="6"/>
  <c r="E674" i="6"/>
  <c r="D677" i="6"/>
  <c r="E682" i="6"/>
  <c r="D685" i="6"/>
  <c r="E690" i="6"/>
  <c r="D693" i="6"/>
  <c r="E698" i="6"/>
  <c r="D701" i="6"/>
  <c r="E706" i="6"/>
  <c r="D709" i="6"/>
  <c r="E714" i="6"/>
  <c r="D717" i="6"/>
  <c r="E722" i="6"/>
  <c r="D725" i="6"/>
  <c r="D733" i="6"/>
  <c r="E738" i="6"/>
  <c r="D741" i="6"/>
  <c r="F741" i="6" s="1"/>
  <c r="E746" i="6"/>
  <c r="D749" i="6"/>
  <c r="E754" i="6"/>
  <c r="D472" i="6"/>
  <c r="E493" i="6"/>
  <c r="D504" i="6"/>
  <c r="E525" i="6"/>
  <c r="D536" i="6"/>
  <c r="E557" i="6"/>
  <c r="D568" i="6"/>
  <c r="E589" i="6"/>
  <c r="D600" i="6"/>
  <c r="E621" i="6"/>
  <c r="D632" i="6"/>
  <c r="E653" i="6"/>
  <c r="D664" i="6"/>
  <c r="E685" i="6"/>
  <c r="D696" i="6"/>
  <c r="E749" i="6"/>
  <c r="D752" i="6"/>
  <c r="Q497" i="7" l="1"/>
  <c r="Q285" i="7"/>
  <c r="I80" i="7"/>
  <c r="I87" i="7"/>
  <c r="I211" i="7"/>
  <c r="I742" i="7"/>
  <c r="Q226" i="7"/>
  <c r="I187" i="7"/>
  <c r="I73" i="7"/>
  <c r="I59" i="7"/>
  <c r="I180" i="7"/>
  <c r="I261" i="7"/>
  <c r="I168" i="7"/>
  <c r="I381" i="7"/>
  <c r="I57" i="7"/>
  <c r="I418" i="7"/>
  <c r="I179" i="7"/>
  <c r="I285" i="7"/>
  <c r="I284" i="7"/>
  <c r="I126" i="7"/>
  <c r="I745" i="7"/>
  <c r="I653" i="7"/>
  <c r="I397" i="7"/>
  <c r="I239" i="7"/>
  <c r="I117" i="7"/>
  <c r="Q177" i="7"/>
  <c r="I304" i="7"/>
  <c r="I387" i="7"/>
  <c r="I668" i="7"/>
  <c r="Q653" i="7"/>
  <c r="I343" i="7"/>
  <c r="I511" i="7"/>
  <c r="I448" i="7"/>
  <c r="I298" i="7"/>
  <c r="I675" i="7"/>
  <c r="I299" i="7"/>
  <c r="I99" i="7"/>
  <c r="I178" i="7"/>
  <c r="I490" i="7"/>
  <c r="I715" i="7"/>
  <c r="I192" i="7"/>
  <c r="I713" i="7"/>
  <c r="I420" i="7"/>
  <c r="I647" i="7"/>
  <c r="I339" i="7"/>
  <c r="I646" i="7"/>
  <c r="I730" i="7"/>
  <c r="I98" i="7"/>
  <c r="I341" i="7"/>
  <c r="I150" i="7"/>
  <c r="I671" i="7"/>
  <c r="I97" i="7"/>
  <c r="I115" i="7"/>
  <c r="I300" i="7"/>
  <c r="I184" i="7"/>
  <c r="I72" i="7"/>
  <c r="I102" i="7"/>
  <c r="I535" i="7"/>
  <c r="I477" i="7"/>
  <c r="I709" i="7"/>
  <c r="Q645" i="7"/>
  <c r="I230" i="7"/>
  <c r="I419" i="7"/>
  <c r="I49" i="7"/>
  <c r="I390" i="7"/>
  <c r="Q716" i="7"/>
  <c r="I455" i="7"/>
  <c r="I654" i="7"/>
  <c r="I255" i="7"/>
  <c r="I297" i="7"/>
  <c r="I461" i="7"/>
  <c r="I652" i="7"/>
  <c r="I177" i="7"/>
  <c r="I421" i="7"/>
  <c r="I333" i="7"/>
  <c r="I750" i="7"/>
  <c r="I644" i="7"/>
  <c r="I162" i="7"/>
  <c r="I209" i="7"/>
  <c r="I350" i="7"/>
  <c r="I89" i="7"/>
  <c r="I489" i="7"/>
  <c r="I716" i="7"/>
  <c r="I689" i="7"/>
  <c r="I289" i="7"/>
  <c r="I691" i="7"/>
  <c r="I620" i="7"/>
  <c r="I27" i="7"/>
  <c r="I278" i="7"/>
  <c r="I458" i="7"/>
  <c r="I15" i="7"/>
  <c r="I425" i="7"/>
  <c r="I197" i="7"/>
  <c r="I313" i="7"/>
  <c r="I141" i="7"/>
  <c r="I90" i="7"/>
  <c r="I630" i="7"/>
  <c r="I131" i="7"/>
  <c r="I29" i="7"/>
  <c r="I498" i="7"/>
  <c r="I52" i="7"/>
  <c r="I483" i="7"/>
  <c r="I342" i="7"/>
  <c r="Q462" i="7"/>
  <c r="I45" i="7"/>
  <c r="I599" i="7"/>
  <c r="I708" i="7"/>
  <c r="I515" i="7"/>
  <c r="Q712" i="7"/>
  <c r="I32" i="7"/>
  <c r="I660" i="7"/>
  <c r="I379" i="7"/>
  <c r="Q459" i="7"/>
  <c r="I667" i="7"/>
  <c r="I445" i="7"/>
  <c r="I633" i="7"/>
  <c r="I88" i="7"/>
  <c r="I714" i="7"/>
  <c r="I570" i="7"/>
  <c r="I196" i="7"/>
  <c r="I340" i="7"/>
  <c r="Q338" i="7"/>
  <c r="I522" i="7"/>
  <c r="I151" i="7"/>
  <c r="Q327" i="7"/>
  <c r="Q556" i="7"/>
  <c r="Q722" i="7"/>
  <c r="I146" i="7"/>
  <c r="I243" i="7"/>
  <c r="I656" i="7"/>
  <c r="I20" i="7"/>
  <c r="I130" i="7"/>
  <c r="I245" i="7"/>
  <c r="I412" i="7"/>
  <c r="I161" i="7"/>
  <c r="I318" i="7"/>
  <c r="I643" i="7"/>
  <c r="Q697" i="7"/>
  <c r="I163" i="7"/>
  <c r="Q52" i="7"/>
  <c r="I344" i="7"/>
  <c r="I156" i="7"/>
  <c r="I127" i="7"/>
  <c r="I349" i="7"/>
  <c r="I497" i="7"/>
  <c r="I260" i="7"/>
  <c r="I729" i="7"/>
  <c r="I610" i="7"/>
  <c r="I200" i="7"/>
  <c r="I464" i="7"/>
  <c r="I690" i="7"/>
  <c r="Q443" i="7"/>
  <c r="I562" i="7"/>
  <c r="I661" i="7"/>
  <c r="I283" i="7"/>
  <c r="I268" i="7"/>
  <c r="I403" i="7"/>
  <c r="I133" i="7"/>
  <c r="I277" i="7"/>
  <c r="I606" i="7"/>
  <c r="I58" i="7"/>
  <c r="I128" i="7"/>
  <c r="Q162" i="7"/>
  <c r="I143" i="7"/>
  <c r="I404" i="7"/>
  <c r="I374" i="7"/>
  <c r="I93" i="7"/>
  <c r="I681" i="7"/>
  <c r="I210" i="7"/>
  <c r="I617" i="7"/>
  <c r="I531" i="7"/>
  <c r="I575" i="7"/>
  <c r="I315" i="7"/>
  <c r="Q296" i="7"/>
  <c r="I694" i="7"/>
  <c r="I123" i="7"/>
  <c r="I311" i="7"/>
  <c r="I293" i="7"/>
  <c r="I499" i="7"/>
  <c r="Q117" i="7"/>
  <c r="I441" i="7"/>
  <c r="I60" i="7"/>
  <c r="Q658" i="7"/>
  <c r="I48" i="7"/>
  <c r="I595" i="7"/>
  <c r="I217" i="7"/>
  <c r="I503" i="7"/>
  <c r="I751" i="7"/>
  <c r="I100" i="7"/>
  <c r="I251" i="7"/>
  <c r="I368" i="7"/>
  <c r="Q630" i="7"/>
  <c r="Q247" i="7"/>
  <c r="H202" i="7"/>
  <c r="I373" i="7"/>
  <c r="H483" i="7"/>
  <c r="I616" i="7"/>
  <c r="I548" i="7"/>
  <c r="H156" i="7"/>
  <c r="Q244" i="7"/>
  <c r="I433" i="7"/>
  <c r="I518" i="7"/>
  <c r="I580" i="7"/>
  <c r="I683" i="7"/>
  <c r="H188" i="7"/>
  <c r="I258" i="7"/>
  <c r="I280" i="7"/>
  <c r="I434" i="7"/>
  <c r="H339" i="7"/>
  <c r="I618" i="7"/>
  <c r="I578" i="7"/>
  <c r="H633" i="7"/>
  <c r="I55" i="7"/>
  <c r="I201" i="7"/>
  <c r="H164" i="7"/>
  <c r="I337" i="7"/>
  <c r="I327" i="7"/>
  <c r="H495" i="7"/>
  <c r="H632" i="7"/>
  <c r="I655" i="7"/>
  <c r="I154" i="7"/>
  <c r="I139" i="7"/>
  <c r="I271" i="7"/>
  <c r="H636" i="7"/>
  <c r="H198" i="7"/>
  <c r="I121" i="7"/>
  <c r="I188" i="7"/>
  <c r="H595" i="7"/>
  <c r="Q250" i="7"/>
  <c r="Q333" i="7"/>
  <c r="I695" i="7"/>
  <c r="Q84" i="7"/>
  <c r="I122" i="7"/>
  <c r="I747" i="7"/>
  <c r="I16" i="7"/>
  <c r="I250" i="7"/>
  <c r="I707" i="7"/>
  <c r="I244" i="7"/>
  <c r="Q264" i="7"/>
  <c r="I305" i="7"/>
  <c r="I235" i="7"/>
  <c r="H415" i="7"/>
  <c r="I439" i="7"/>
  <c r="H497" i="7"/>
  <c r="H705" i="7"/>
  <c r="I22" i="7"/>
  <c r="H246" i="7"/>
  <c r="I358" i="7"/>
  <c r="I541" i="7"/>
  <c r="I533" i="7"/>
  <c r="I550" i="7"/>
  <c r="I684" i="7"/>
  <c r="I207" i="7"/>
  <c r="I638" i="7"/>
  <c r="I476" i="7"/>
  <c r="I460" i="7"/>
  <c r="I282" i="7"/>
  <c r="I701" i="7"/>
  <c r="I748" i="7"/>
  <c r="Q748" i="7"/>
  <c r="I186" i="7"/>
  <c r="H425" i="7"/>
  <c r="I301" i="7"/>
  <c r="H620" i="7"/>
  <c r="I164" i="7"/>
  <c r="H314" i="7"/>
  <c r="Q460" i="7"/>
  <c r="Q643" i="7"/>
  <c r="I232" i="7"/>
  <c r="H335" i="7"/>
  <c r="I12" i="7"/>
  <c r="H90" i="7"/>
  <c r="H12" i="7"/>
  <c r="I17" i="7"/>
  <c r="I236" i="7"/>
  <c r="I286" i="7"/>
  <c r="I435" i="7"/>
  <c r="Q545" i="7"/>
  <c r="I746" i="7"/>
  <c r="I378" i="7"/>
  <c r="I287" i="7"/>
  <c r="H445" i="7"/>
  <c r="I608" i="7"/>
  <c r="I92" i="7"/>
  <c r="H146" i="7"/>
  <c r="I221" i="7"/>
  <c r="I279" i="7"/>
  <c r="I645" i="7"/>
  <c r="H730" i="7"/>
  <c r="I712" i="7"/>
  <c r="I517" i="7"/>
  <c r="Q260" i="7"/>
  <c r="I453" i="7"/>
  <c r="I332" i="7"/>
  <c r="I519" i="7"/>
  <c r="H222" i="7"/>
  <c r="H296" i="7"/>
  <c r="I556" i="7"/>
  <c r="I388" i="7"/>
  <c r="Q288" i="7"/>
  <c r="H390" i="7"/>
  <c r="Q301" i="7"/>
  <c r="I530" i="7"/>
  <c r="Q504" i="7"/>
  <c r="H38" i="7"/>
  <c r="H129" i="7"/>
  <c r="H264" i="7"/>
  <c r="I520" i="7"/>
  <c r="I590" i="7"/>
  <c r="I223" i="7"/>
  <c r="H479" i="7"/>
  <c r="I384" i="7"/>
  <c r="H441" i="7"/>
  <c r="H462" i="7"/>
  <c r="H615" i="7"/>
  <c r="I13" i="7"/>
  <c r="I37" i="7"/>
  <c r="H259" i="7"/>
  <c r="I338" i="7"/>
  <c r="I512" i="7"/>
  <c r="I193" i="7"/>
  <c r="I314" i="7"/>
  <c r="I391" i="7"/>
  <c r="I140" i="7"/>
  <c r="H154" i="7"/>
  <c r="Q295" i="7"/>
  <c r="I641" i="7"/>
  <c r="I698" i="7"/>
  <c r="I62" i="7"/>
  <c r="I449" i="7"/>
  <c r="I321" i="7"/>
  <c r="I557" i="7"/>
  <c r="I603" i="7"/>
  <c r="I623" i="7"/>
  <c r="I697" i="7"/>
  <c r="I68" i="7"/>
  <c r="I495" i="7"/>
  <c r="I479" i="7"/>
  <c r="I743" i="7"/>
  <c r="I242" i="7"/>
  <c r="I536" i="7"/>
  <c r="H470" i="7"/>
  <c r="I543" i="7"/>
  <c r="I629" i="7"/>
  <c r="I563" i="7"/>
  <c r="I722" i="7"/>
  <c r="I739" i="7"/>
  <c r="Q704" i="7"/>
  <c r="H53" i="7"/>
  <c r="Q243" i="7"/>
  <c r="I586" i="7"/>
  <c r="H501" i="7"/>
  <c r="I354" i="7"/>
  <c r="I521" i="7"/>
  <c r="I496" i="7"/>
  <c r="H35" i="7"/>
  <c r="I138" i="7"/>
  <c r="H540" i="7"/>
  <c r="I78" i="7"/>
  <c r="I219" i="7"/>
  <c r="I10" i="7"/>
  <c r="I120" i="7"/>
  <c r="Q194" i="7"/>
  <c r="I500" i="7"/>
  <c r="H558" i="7"/>
  <c r="H496" i="7"/>
  <c r="I558" i="7"/>
  <c r="I359" i="7"/>
  <c r="I331" i="7"/>
  <c r="I540" i="7"/>
  <c r="I677" i="7"/>
  <c r="I409" i="7"/>
  <c r="H64" i="7"/>
  <c r="I206" i="7"/>
  <c r="I270" i="7"/>
  <c r="H272" i="7"/>
  <c r="H325" i="7"/>
  <c r="H341" i="7"/>
  <c r="I395" i="7"/>
  <c r="H485" i="7"/>
  <c r="I673" i="7"/>
  <c r="I84" i="7"/>
  <c r="I136" i="7"/>
  <c r="H498" i="7"/>
  <c r="I601" i="7"/>
  <c r="I676" i="7"/>
  <c r="I31" i="7"/>
  <c r="I248" i="7"/>
  <c r="H342" i="7"/>
  <c r="H26" i="7"/>
  <c r="H421" i="7"/>
  <c r="I609" i="7"/>
  <c r="I224" i="7"/>
  <c r="I573" i="7"/>
  <c r="I11" i="7"/>
  <c r="Q312" i="7"/>
  <c r="I732" i="7"/>
  <c r="I144" i="7"/>
  <c r="H365" i="7"/>
  <c r="I532" i="7"/>
  <c r="H655" i="7"/>
  <c r="H476" i="7"/>
  <c r="I658" i="7"/>
  <c r="I564" i="7"/>
  <c r="Q745" i="7"/>
  <c r="I678" i="7"/>
  <c r="I310" i="7"/>
  <c r="I560" i="7"/>
  <c r="I432" i="7"/>
  <c r="I744" i="7"/>
  <c r="Q87" i="7"/>
  <c r="H575" i="7"/>
  <c r="Q573" i="7"/>
  <c r="I19" i="7"/>
  <c r="H738" i="7"/>
  <c r="Q59" i="7"/>
  <c r="H61" i="7"/>
  <c r="H420" i="7"/>
  <c r="Q418" i="7"/>
  <c r="I231" i="7"/>
  <c r="Q91" i="7"/>
  <c r="H93" i="7"/>
  <c r="Q609" i="7"/>
  <c r="H611" i="7"/>
  <c r="Q229" i="7"/>
  <c r="H231" i="7"/>
  <c r="Q238" i="7"/>
  <c r="H240" i="7"/>
  <c r="Q368" i="7"/>
  <c r="H370" i="7"/>
  <c r="H318" i="7"/>
  <c r="Q316" i="7"/>
  <c r="H659" i="7"/>
  <c r="H89" i="7"/>
  <c r="Q217" i="7"/>
  <c r="H219" i="7"/>
  <c r="H174" i="7"/>
  <c r="Q172" i="7"/>
  <c r="H624" i="7"/>
  <c r="Q622" i="7"/>
  <c r="H554" i="7"/>
  <c r="Q552" i="7"/>
  <c r="Q125" i="7"/>
  <c r="H127" i="7"/>
  <c r="H481" i="7"/>
  <c r="Q479" i="7"/>
  <c r="I53" i="7"/>
  <c r="Q95" i="7"/>
  <c r="H97" i="7"/>
  <c r="H182" i="7"/>
  <c r="Q180" i="7"/>
  <c r="H444" i="7"/>
  <c r="Q442" i="7"/>
  <c r="Q133" i="7"/>
  <c r="H135" i="7"/>
  <c r="H332" i="7"/>
  <c r="Q330" i="7"/>
  <c r="H186" i="7"/>
  <c r="Q184" i="7"/>
  <c r="I308" i="7"/>
  <c r="Q297" i="7"/>
  <c r="H299" i="7"/>
  <c r="I470" i="7"/>
  <c r="Q488" i="7"/>
  <c r="H490" i="7"/>
  <c r="Q485" i="7"/>
  <c r="H487" i="7"/>
  <c r="Q605" i="7"/>
  <c r="H607" i="7"/>
  <c r="I726" i="7"/>
  <c r="Q17" i="7"/>
  <c r="H19" i="7"/>
  <c r="I46" i="7"/>
  <c r="Q6" i="7"/>
  <c r="H8" i="7"/>
  <c r="Q167" i="7"/>
  <c r="H169" i="7"/>
  <c r="H54" i="7"/>
  <c r="H209" i="7"/>
  <c r="Q207" i="7"/>
  <c r="I325" i="7"/>
  <c r="H278" i="7"/>
  <c r="Q276" i="7"/>
  <c r="Q405" i="7"/>
  <c r="H407" i="7"/>
  <c r="I417" i="7"/>
  <c r="Q398" i="7"/>
  <c r="H400" i="7"/>
  <c r="I516" i="7"/>
  <c r="Q487" i="7"/>
  <c r="H512" i="7"/>
  <c r="Q628" i="7"/>
  <c r="H630" i="7"/>
  <c r="H551" i="7"/>
  <c r="Q549" i="7"/>
  <c r="I627" i="7"/>
  <c r="H707" i="7"/>
  <c r="Q21" i="7"/>
  <c r="H23" i="7"/>
  <c r="Q103" i="7"/>
  <c r="H105" i="7"/>
  <c r="H28" i="7"/>
  <c r="Q26" i="7"/>
  <c r="Q233" i="7"/>
  <c r="H235" i="7"/>
  <c r="I96" i="7"/>
  <c r="I367" i="7"/>
  <c r="I240" i="7"/>
  <c r="H417" i="7"/>
  <c r="Q415" i="7"/>
  <c r="I474" i="7"/>
  <c r="H526" i="7"/>
  <c r="Q524" i="7"/>
  <c r="Q574" i="7"/>
  <c r="H576" i="7"/>
  <c r="Q551" i="7"/>
  <c r="H553" i="7"/>
  <c r="I596" i="7"/>
  <c r="I734" i="7"/>
  <c r="I66" i="7"/>
  <c r="H265" i="7"/>
  <c r="Q263" i="7"/>
  <c r="I153" i="7"/>
  <c r="Q228" i="7"/>
  <c r="H230" i="7"/>
  <c r="Q130" i="7"/>
  <c r="H132" i="7"/>
  <c r="I380" i="7"/>
  <c r="Q320" i="7"/>
  <c r="H322" i="7"/>
  <c r="I624" i="7"/>
  <c r="I267" i="7"/>
  <c r="Q265" i="7"/>
  <c r="I534" i="7"/>
  <c r="I355" i="7"/>
  <c r="H405" i="7"/>
  <c r="I612" i="7"/>
  <c r="I579" i="7"/>
  <c r="H733" i="7"/>
  <c r="Q731" i="7"/>
  <c r="I247" i="7"/>
  <c r="H36" i="7"/>
  <c r="Q34" i="7"/>
  <c r="Q64" i="7"/>
  <c r="H66" i="7"/>
  <c r="H65" i="7"/>
  <c r="I67" i="7"/>
  <c r="H163" i="7"/>
  <c r="Q161" i="7"/>
  <c r="I65" i="7"/>
  <c r="H273" i="7"/>
  <c r="Q271" i="7"/>
  <c r="I316" i="7"/>
  <c r="Q314" i="7"/>
  <c r="H333" i="7"/>
  <c r="Q331" i="7"/>
  <c r="Q393" i="7"/>
  <c r="H564" i="7"/>
  <c r="Q562" i="7"/>
  <c r="Q569" i="7"/>
  <c r="H571" i="7"/>
  <c r="I688" i="7"/>
  <c r="Q743" i="7"/>
  <c r="H745" i="7"/>
  <c r="H723" i="7"/>
  <c r="Q721" i="7"/>
  <c r="Q85" i="7"/>
  <c r="H87" i="7"/>
  <c r="I83" i="7"/>
  <c r="I39" i="7"/>
  <c r="I185" i="7"/>
  <c r="Q272" i="7"/>
  <c r="H274" i="7"/>
  <c r="I227" i="7"/>
  <c r="I225" i="7"/>
  <c r="H277" i="7"/>
  <c r="I466" i="7"/>
  <c r="H582" i="7"/>
  <c r="Q580" i="7"/>
  <c r="I625" i="7"/>
  <c r="I594" i="7"/>
  <c r="I47" i="7"/>
  <c r="H168" i="7"/>
  <c r="Q166" i="7"/>
  <c r="Q366" i="7"/>
  <c r="H368" i="7"/>
  <c r="I444" i="7"/>
  <c r="H594" i="7"/>
  <c r="Q592" i="7"/>
  <c r="I137" i="7"/>
  <c r="H291" i="7"/>
  <c r="Q289" i="7"/>
  <c r="I525" i="7"/>
  <c r="H534" i="7"/>
  <c r="Q532" i="7"/>
  <c r="I77" i="7"/>
  <c r="Q204" i="7"/>
  <c r="I125" i="7"/>
  <c r="H218" i="7"/>
  <c r="Q216" i="7"/>
  <c r="I264" i="7"/>
  <c r="I593" i="7"/>
  <c r="I181" i="7"/>
  <c r="H249" i="7"/>
  <c r="I234" i="7"/>
  <c r="Q336" i="7"/>
  <c r="H338" i="7"/>
  <c r="H377" i="7"/>
  <c r="Q375" i="7"/>
  <c r="Q623" i="7"/>
  <c r="I589" i="7"/>
  <c r="H473" i="7"/>
  <c r="Q471" i="7"/>
  <c r="Q656" i="7"/>
  <c r="H658" i="7"/>
  <c r="I198" i="7"/>
  <c r="I416" i="7"/>
  <c r="H361" i="7"/>
  <c r="Q359" i="7"/>
  <c r="I440" i="7"/>
  <c r="I621" i="7"/>
  <c r="I664" i="7"/>
  <c r="Q464" i="7"/>
  <c r="H283" i="7"/>
  <c r="Q281" i="7"/>
  <c r="I430" i="7"/>
  <c r="I424" i="7"/>
  <c r="I160" i="7"/>
  <c r="I176" i="7"/>
  <c r="H290" i="7"/>
  <c r="Q427" i="7"/>
  <c r="H429" i="7"/>
  <c r="I493" i="7"/>
  <c r="I492" i="7"/>
  <c r="Q561" i="7"/>
  <c r="H563" i="7"/>
  <c r="I733" i="7"/>
  <c r="Q642" i="7"/>
  <c r="H644" i="7"/>
  <c r="I513" i="7"/>
  <c r="I659" i="7"/>
  <c r="Q328" i="7"/>
  <c r="H330" i="7"/>
  <c r="H315" i="7"/>
  <c r="H307" i="7"/>
  <c r="Q477" i="7"/>
  <c r="I538" i="7"/>
  <c r="H572" i="7"/>
  <c r="Q570" i="7"/>
  <c r="Q615" i="7"/>
  <c r="H617" i="7"/>
  <c r="Q671" i="7"/>
  <c r="H673" i="7"/>
  <c r="H712" i="7"/>
  <c r="Q710" i="7"/>
  <c r="Q13" i="7"/>
  <c r="H15" i="7"/>
  <c r="H401" i="7"/>
  <c r="Q399" i="7"/>
  <c r="H559" i="7"/>
  <c r="Q557" i="7"/>
  <c r="I605" i="7"/>
  <c r="I75" i="7"/>
  <c r="I216" i="7"/>
  <c r="I214" i="7"/>
  <c r="I215" i="7"/>
  <c r="H30" i="7"/>
  <c r="Q28" i="7"/>
  <c r="Q309" i="7"/>
  <c r="H311" i="7"/>
  <c r="H436" i="7"/>
  <c r="Q434" i="7"/>
  <c r="I329" i="7"/>
  <c r="Q408" i="7"/>
  <c r="H410" i="7"/>
  <c r="Q451" i="7"/>
  <c r="H453" i="7"/>
  <c r="Q509" i="7"/>
  <c r="I569" i="7"/>
  <c r="H613" i="7"/>
  <c r="H44" i="7"/>
  <c r="Q42" i="7"/>
  <c r="H150" i="7"/>
  <c r="Q148" i="7"/>
  <c r="Q349" i="7"/>
  <c r="H351" i="7"/>
  <c r="Q350" i="7"/>
  <c r="H352" i="7"/>
  <c r="H451" i="7"/>
  <c r="Q449" i="7"/>
  <c r="H494" i="7"/>
  <c r="Q492" i="7"/>
  <c r="H546" i="7"/>
  <c r="Q544" i="7"/>
  <c r="I635" i="7"/>
  <c r="Q650" i="7"/>
  <c r="H652" i="7"/>
  <c r="Q83" i="7"/>
  <c r="H85" i="7"/>
  <c r="H118" i="7"/>
  <c r="Q116" i="7"/>
  <c r="H20" i="7"/>
  <c r="Q18" i="7"/>
  <c r="H244" i="7"/>
  <c r="Q242" i="7"/>
  <c r="H281" i="7"/>
  <c r="Q279" i="7"/>
  <c r="H298" i="7"/>
  <c r="Q429" i="7"/>
  <c r="H431" i="7"/>
  <c r="H334" i="7"/>
  <c r="Q332" i="7"/>
  <c r="Q450" i="7"/>
  <c r="H452" i="7"/>
  <c r="H567" i="7"/>
  <c r="Q565" i="7"/>
  <c r="Q564" i="7"/>
  <c r="H566" i="7"/>
  <c r="H675" i="7"/>
  <c r="Q673" i="7"/>
  <c r="H749" i="7"/>
  <c r="Q747" i="7"/>
  <c r="I165" i="7"/>
  <c r="I351" i="7"/>
  <c r="H399" i="7"/>
  <c r="H348" i="7"/>
  <c r="Q346" i="7"/>
  <c r="Q369" i="7"/>
  <c r="H371" i="7"/>
  <c r="Q661" i="7"/>
  <c r="H663" i="7"/>
  <c r="H142" i="7"/>
  <c r="Q140" i="7"/>
  <c r="I450" i="7"/>
  <c r="Q315" i="7"/>
  <c r="H317" i="7"/>
  <c r="H316" i="7"/>
  <c r="I369" i="7"/>
  <c r="H482" i="7"/>
  <c r="Q480" i="7"/>
  <c r="I275" i="7"/>
  <c r="H184" i="7"/>
  <c r="Q218" i="7"/>
  <c r="H220" i="7"/>
  <c r="I323" i="7"/>
  <c r="I375" i="7"/>
  <c r="Q173" i="7"/>
  <c r="H175" i="7"/>
  <c r="I42" i="7"/>
  <c r="H128" i="7"/>
  <c r="Q126" i="7"/>
  <c r="H329" i="7"/>
  <c r="H257" i="7"/>
  <c r="Q255" i="7"/>
  <c r="Q325" i="7"/>
  <c r="H440" i="7"/>
  <c r="I539" i="7"/>
  <c r="I649" i="7"/>
  <c r="Q701" i="7"/>
  <c r="H703" i="7"/>
  <c r="I411" i="7"/>
  <c r="Q421" i="7"/>
  <c r="H423" i="7"/>
  <c r="H537" i="7"/>
  <c r="H597" i="7"/>
  <c r="Q595" i="7"/>
  <c r="Q666" i="7"/>
  <c r="H668" i="7"/>
  <c r="Q29" i="7"/>
  <c r="H31" i="7"/>
  <c r="I111" i="7"/>
  <c r="Q283" i="7"/>
  <c r="H285" i="7"/>
  <c r="Q553" i="7"/>
  <c r="H555" i="7"/>
  <c r="I69" i="7"/>
  <c r="I292" i="7"/>
  <c r="H623" i="7"/>
  <c r="I166" i="7"/>
  <c r="Q237" i="7"/>
  <c r="I281" i="7"/>
  <c r="Q456" i="7"/>
  <c r="H458" i="7"/>
  <c r="I480" i="7"/>
  <c r="Q478" i="7"/>
  <c r="H380" i="7"/>
  <c r="Q378" i="7"/>
  <c r="Q738" i="7"/>
  <c r="H740" i="7"/>
  <c r="H714" i="7"/>
  <c r="Q8" i="7"/>
  <c r="H10" i="7"/>
  <c r="I364" i="7"/>
  <c r="H651" i="7"/>
  <c r="Q649" i="7"/>
  <c r="H649" i="7"/>
  <c r="H648" i="7"/>
  <c r="I472" i="7"/>
  <c r="H457" i="7"/>
  <c r="Q455" i="7"/>
  <c r="H57" i="7"/>
  <c r="Q55" i="7"/>
  <c r="Q65" i="7"/>
  <c r="H67" i="7"/>
  <c r="Q53" i="7"/>
  <c r="H92" i="7"/>
  <c r="Q90" i="7"/>
  <c r="I109" i="7"/>
  <c r="H170" i="7"/>
  <c r="H155" i="7"/>
  <c r="Q153" i="7"/>
  <c r="I324" i="7"/>
  <c r="Q256" i="7"/>
  <c r="H258" i="7"/>
  <c r="H396" i="7"/>
  <c r="Q394" i="7"/>
  <c r="H520" i="7"/>
  <c r="Q518" i="7"/>
  <c r="H345" i="7"/>
  <c r="Q343" i="7"/>
  <c r="H608" i="7"/>
  <c r="Q606" i="7"/>
  <c r="I600" i="7"/>
  <c r="I598" i="7"/>
  <c r="Q680" i="7"/>
  <c r="H682" i="7"/>
  <c r="I741" i="7"/>
  <c r="Q135" i="7"/>
  <c r="H137" i="7"/>
  <c r="I94" i="7"/>
  <c r="I91" i="7"/>
  <c r="H104" i="7"/>
  <c r="Q102" i="7"/>
  <c r="I175" i="7"/>
  <c r="I183" i="7"/>
  <c r="Q307" i="7"/>
  <c r="H309" i="7"/>
  <c r="H350" i="7"/>
  <c r="Q348" i="7"/>
  <c r="H475" i="7"/>
  <c r="Q473" i="7"/>
  <c r="H605" i="7"/>
  <c r="Q603" i="7"/>
  <c r="I549" i="7"/>
  <c r="Q547" i="7"/>
  <c r="I720" i="7"/>
  <c r="Q718" i="7"/>
  <c r="I718" i="7"/>
  <c r="H722" i="7"/>
  <c r="Q720" i="7"/>
  <c r="Q711" i="7"/>
  <c r="H713" i="7"/>
  <c r="Q14" i="7"/>
  <c r="H16" i="7"/>
  <c r="I203" i="7"/>
  <c r="Q118" i="7"/>
  <c r="I134" i="7"/>
  <c r="H179" i="7"/>
  <c r="H99" i="7"/>
  <c r="Q97" i="7"/>
  <c r="H260" i="7"/>
  <c r="Q258" i="7"/>
  <c r="H388" i="7"/>
  <c r="Q386" i="7"/>
  <c r="I346" i="7"/>
  <c r="I414" i="7"/>
  <c r="I400" i="7"/>
  <c r="Q604" i="7"/>
  <c r="H606" i="7"/>
  <c r="I640" i="7"/>
  <c r="H504" i="7"/>
  <c r="Q502" i="7"/>
  <c r="I669" i="7"/>
  <c r="Q740" i="7"/>
  <c r="H742" i="7"/>
  <c r="Q35" i="7"/>
  <c r="H37" i="7"/>
  <c r="Q7" i="7"/>
  <c r="H9" i="7"/>
  <c r="I149" i="7"/>
  <c r="I148" i="7"/>
  <c r="I363" i="7"/>
  <c r="I362" i="7"/>
  <c r="I356" i="7"/>
  <c r="H507" i="7"/>
  <c r="Q505" i="7"/>
  <c r="I357" i="7"/>
  <c r="I484" i="7"/>
  <c r="Q493" i="7"/>
  <c r="H543" i="7"/>
  <c r="Q541" i="7"/>
  <c r="I514" i="7"/>
  <c r="I602" i="7"/>
  <c r="I597" i="7"/>
  <c r="H725" i="7"/>
  <c r="Q723" i="7"/>
  <c r="H680" i="7"/>
  <c r="Q678" i="7"/>
  <c r="Q5" i="7"/>
  <c r="G1" i="7"/>
  <c r="H7" i="7"/>
  <c r="I30" i="7"/>
  <c r="Q136" i="7"/>
  <c r="H232" i="7"/>
  <c r="Q230" i="7"/>
  <c r="I220" i="7"/>
  <c r="I393" i="7"/>
  <c r="Q385" i="7"/>
  <c r="H387" i="7"/>
  <c r="I385" i="7"/>
  <c r="H406" i="7"/>
  <c r="Q530" i="7"/>
  <c r="H532" i="7"/>
  <c r="I491" i="7"/>
  <c r="I613" i="7"/>
  <c r="Q612" i="7"/>
  <c r="H614" i="7"/>
  <c r="Q696" i="7"/>
  <c r="H698" i="7"/>
  <c r="I634" i="7"/>
  <c r="I700" i="7"/>
  <c r="I705" i="7"/>
  <c r="H68" i="7"/>
  <c r="Q66" i="7"/>
  <c r="H41" i="7"/>
  <c r="Q39" i="7"/>
  <c r="I38" i="7"/>
  <c r="I71" i="7"/>
  <c r="I103" i="7"/>
  <c r="I173" i="7"/>
  <c r="Q373" i="7"/>
  <c r="H375" i="7"/>
  <c r="Q234" i="7"/>
  <c r="H236" i="7"/>
  <c r="I291" i="7"/>
  <c r="H385" i="7"/>
  <c r="Q383" i="7"/>
  <c r="I473" i="7"/>
  <c r="I551" i="7"/>
  <c r="I583" i="7"/>
  <c r="Q620" i="7"/>
  <c r="H622" i="7"/>
  <c r="Q690" i="7"/>
  <c r="H692" i="7"/>
  <c r="I721" i="7"/>
  <c r="H208" i="7"/>
  <c r="I269" i="7"/>
  <c r="I113" i="7"/>
  <c r="Q111" i="7"/>
  <c r="H289" i="7"/>
  <c r="Q287" i="7"/>
  <c r="Q347" i="7"/>
  <c r="H349" i="7"/>
  <c r="I468" i="7"/>
  <c r="I584" i="7"/>
  <c r="I711" i="7"/>
  <c r="H83" i="7"/>
  <c r="I40" i="7"/>
  <c r="I451" i="7"/>
  <c r="Q317" i="7"/>
  <c r="H319" i="7"/>
  <c r="I370" i="7"/>
  <c r="I585" i="7"/>
  <c r="I710" i="7"/>
  <c r="H699" i="7"/>
  <c r="I288" i="7"/>
  <c r="I376" i="7"/>
  <c r="I604" i="7"/>
  <c r="I43" i="7"/>
  <c r="H185" i="7"/>
  <c r="H294" i="7"/>
  <c r="Q292" i="7"/>
  <c r="I407" i="7"/>
  <c r="H586" i="7"/>
  <c r="Q584" i="7"/>
  <c r="H747" i="7"/>
  <c r="Q601" i="7"/>
  <c r="H603" i="7"/>
  <c r="H704" i="7"/>
  <c r="Q702" i="7"/>
  <c r="I312" i="7"/>
  <c r="I427" i="7"/>
  <c r="I426" i="7"/>
  <c r="Q422" i="7"/>
  <c r="H424" i="7"/>
  <c r="Q30" i="7"/>
  <c r="H32" i="7"/>
  <c r="I195" i="7"/>
  <c r="Q193" i="7"/>
  <c r="I212" i="7"/>
  <c r="I389" i="7"/>
  <c r="I294" i="7"/>
  <c r="Q621" i="7"/>
  <c r="I238" i="7"/>
  <c r="Q439" i="7"/>
  <c r="I273" i="7"/>
  <c r="H448" i="7"/>
  <c r="Q538" i="7"/>
  <c r="I692" i="7"/>
  <c r="H542" i="7"/>
  <c r="H661" i="7"/>
  <c r="Q659" i="7"/>
  <c r="H55" i="7"/>
  <c r="I408" i="7"/>
  <c r="Q567" i="7"/>
  <c r="H569" i="7"/>
  <c r="Q67" i="7"/>
  <c r="H69" i="7"/>
  <c r="Q89" i="7"/>
  <c r="H91" i="7"/>
  <c r="Q139" i="7"/>
  <c r="H141" i="7"/>
  <c r="H205" i="7"/>
  <c r="Q203" i="7"/>
  <c r="H201" i="7"/>
  <c r="H268" i="7"/>
  <c r="Q266" i="7"/>
  <c r="Q344" i="7"/>
  <c r="H346" i="7"/>
  <c r="I650" i="7"/>
  <c r="H710" i="7"/>
  <c r="I735" i="7"/>
  <c r="Q54" i="7"/>
  <c r="H56" i="7"/>
  <c r="H158" i="7"/>
  <c r="Q156" i="7"/>
  <c r="H276" i="7"/>
  <c r="Q274" i="7"/>
  <c r="I213" i="7"/>
  <c r="H131" i="7"/>
  <c r="Q129" i="7"/>
  <c r="I306" i="7"/>
  <c r="Q390" i="7"/>
  <c r="H392" i="7"/>
  <c r="Q406" i="7"/>
  <c r="H408" i="7"/>
  <c r="I508" i="7"/>
  <c r="I544" i="7"/>
  <c r="H593" i="7"/>
  <c r="I632" i="7"/>
  <c r="I724" i="7"/>
  <c r="Q69" i="7"/>
  <c r="H71" i="7"/>
  <c r="I172" i="7"/>
  <c r="I21" i="7"/>
  <c r="H229" i="7"/>
  <c r="Q227" i="7"/>
  <c r="I330" i="7"/>
  <c r="H321" i="7"/>
  <c r="Q319" i="7"/>
  <c r="Q416" i="7"/>
  <c r="H418" i="7"/>
  <c r="Q543" i="7"/>
  <c r="H545" i="7"/>
  <c r="H446" i="7"/>
  <c r="Q444" i="7"/>
  <c r="I529" i="7"/>
  <c r="Q501" i="7"/>
  <c r="H503" i="7"/>
  <c r="Q598" i="7"/>
  <c r="I687" i="7"/>
  <c r="I54" i="7"/>
  <c r="I24" i="7"/>
  <c r="I118" i="7"/>
  <c r="H160" i="7"/>
  <c r="Q158" i="7"/>
  <c r="Q131" i="7"/>
  <c r="H133" i="7"/>
  <c r="Q432" i="7"/>
  <c r="H434" i="7"/>
  <c r="I413" i="7"/>
  <c r="H384" i="7"/>
  <c r="H491" i="7"/>
  <c r="Q489" i="7"/>
  <c r="Q588" i="7"/>
  <c r="H590" i="7"/>
  <c r="I636" i="7"/>
  <c r="Q679" i="7"/>
  <c r="H681" i="7"/>
  <c r="I717" i="7"/>
  <c r="H59" i="7"/>
  <c r="Q37" i="7"/>
  <c r="H39" i="7"/>
  <c r="I36" i="7"/>
  <c r="I158" i="7"/>
  <c r="I171" i="7"/>
  <c r="I226" i="7"/>
  <c r="H326" i="7"/>
  <c r="H438" i="7"/>
  <c r="Q436" i="7"/>
  <c r="I437" i="7"/>
  <c r="H477" i="7"/>
  <c r="Q514" i="7"/>
  <c r="H516" i="7"/>
  <c r="H653" i="7"/>
  <c r="Q651" i="7"/>
  <c r="Q554" i="7"/>
  <c r="I591" i="7"/>
  <c r="H683" i="7"/>
  <c r="Q681" i="7"/>
  <c r="I682" i="7"/>
  <c r="Q732" i="7"/>
  <c r="H734" i="7"/>
  <c r="Q43" i="7"/>
  <c r="H45" i="7"/>
  <c r="Q72" i="7"/>
  <c r="H74" i="7"/>
  <c r="I64" i="7"/>
  <c r="H94" i="7"/>
  <c r="Q92" i="7"/>
  <c r="H204" i="7"/>
  <c r="Q202" i="7"/>
  <c r="Q159" i="7"/>
  <c r="H161" i="7"/>
  <c r="I152" i="7"/>
  <c r="H247" i="7"/>
  <c r="H286" i="7"/>
  <c r="Q284" i="7"/>
  <c r="H398" i="7"/>
  <c r="Q396" i="7"/>
  <c r="Q430" i="7"/>
  <c r="Q384" i="7"/>
  <c r="H386" i="7"/>
  <c r="Q374" i="7"/>
  <c r="H376" i="7"/>
  <c r="I502" i="7"/>
  <c r="I523" i="7"/>
  <c r="H621" i="7"/>
  <c r="Q619" i="7"/>
  <c r="H612" i="7"/>
  <c r="I696" i="7"/>
  <c r="Q724" i="7"/>
  <c r="H726" i="7"/>
  <c r="I44" i="7"/>
  <c r="H123" i="7"/>
  <c r="Q121" i="7"/>
  <c r="I114" i="7"/>
  <c r="Q291" i="7"/>
  <c r="H293" i="7"/>
  <c r="I469" i="7"/>
  <c r="Q542" i="7"/>
  <c r="I190" i="7"/>
  <c r="I189" i="7"/>
  <c r="Q81" i="7"/>
  <c r="I41" i="7"/>
  <c r="Q154" i="7"/>
  <c r="I452" i="7"/>
  <c r="Q431" i="7"/>
  <c r="Q407" i="7"/>
  <c r="H525" i="7"/>
  <c r="Q675" i="7"/>
  <c r="Q468" i="7"/>
  <c r="H14" i="7"/>
  <c r="I169" i="7"/>
  <c r="I322" i="7"/>
  <c r="Q474" i="7"/>
  <c r="I377" i="7"/>
  <c r="I7" i="7"/>
  <c r="I145" i="7"/>
  <c r="Q183" i="7"/>
  <c r="H226" i="7"/>
  <c r="I252" i="7"/>
  <c r="I410" i="7"/>
  <c r="Q585" i="7"/>
  <c r="H587" i="7"/>
  <c r="I738" i="7"/>
  <c r="Q571" i="7"/>
  <c r="H602" i="7"/>
  <c r="Q600" i="7"/>
  <c r="H724" i="7"/>
  <c r="Q355" i="7"/>
  <c r="H357" i="7"/>
  <c r="I559" i="7"/>
  <c r="H60" i="7"/>
  <c r="Q188" i="7"/>
  <c r="I428" i="7"/>
  <c r="Q476" i="7"/>
  <c r="Q527" i="7"/>
  <c r="H529" i="7"/>
  <c r="H667" i="7"/>
  <c r="Q665" i="7"/>
  <c r="H263" i="7"/>
  <c r="H592" i="7"/>
  <c r="Q209" i="7"/>
  <c r="I401" i="7"/>
  <c r="I731" i="7"/>
  <c r="H227" i="7"/>
  <c r="I274" i="7"/>
  <c r="I372" i="7"/>
  <c r="I383" i="7"/>
  <c r="H456" i="7"/>
  <c r="Q531" i="7"/>
  <c r="H533" i="7"/>
  <c r="I507" i="7"/>
  <c r="I672" i="7"/>
  <c r="Q512" i="7"/>
  <c r="H514" i="7"/>
  <c r="Q16" i="7"/>
  <c r="H18" i="7"/>
  <c r="H270" i="7"/>
  <c r="Q268" i="7"/>
  <c r="Q241" i="7"/>
  <c r="H243" i="7"/>
  <c r="H459" i="7"/>
  <c r="Q457" i="7"/>
  <c r="Q550" i="7"/>
  <c r="H552" i="7"/>
  <c r="Q525" i="7"/>
  <c r="H527" i="7"/>
  <c r="H642" i="7"/>
  <c r="Q640" i="7"/>
  <c r="Q607" i="7"/>
  <c r="I112" i="7"/>
  <c r="Q110" i="7"/>
  <c r="Q652" i="7"/>
  <c r="H654" i="7"/>
  <c r="Q594" i="7"/>
  <c r="H596" i="7"/>
  <c r="H327" i="7"/>
  <c r="I86" i="7"/>
  <c r="Q503" i="7"/>
  <c r="H505" i="7"/>
  <c r="I110" i="7"/>
  <c r="H284" i="7"/>
  <c r="Q282" i="7"/>
  <c r="H239" i="7"/>
  <c r="I204" i="7"/>
  <c r="H308" i="7"/>
  <c r="Q306" i="7"/>
  <c r="H337" i="7"/>
  <c r="Q335" i="7"/>
  <c r="I567" i="7"/>
  <c r="I51" i="7"/>
  <c r="I106" i="7"/>
  <c r="Q11" i="7"/>
  <c r="H13" i="7"/>
  <c r="Q70" i="7"/>
  <c r="I70" i="7"/>
  <c r="Q41" i="7"/>
  <c r="H43" i="7"/>
  <c r="H166" i="7"/>
  <c r="Q164" i="7"/>
  <c r="I266" i="7"/>
  <c r="Q304" i="7"/>
  <c r="H275" i="7"/>
  <c r="Q273" i="7"/>
  <c r="Q267" i="7"/>
  <c r="H269" i="7"/>
  <c r="H467" i="7"/>
  <c r="Q465" i="7"/>
  <c r="Q536" i="7"/>
  <c r="I588" i="7"/>
  <c r="Q676" i="7"/>
  <c r="H678" i="7"/>
  <c r="I631" i="7"/>
  <c r="Q706" i="7"/>
  <c r="H708" i="7"/>
  <c r="I706" i="7"/>
  <c r="H134" i="7"/>
  <c r="I76" i="7"/>
  <c r="I74" i="7"/>
  <c r="I79" i="7"/>
  <c r="H17" i="7"/>
  <c r="H171" i="7"/>
  <c r="Q169" i="7"/>
  <c r="I135" i="7"/>
  <c r="Q189" i="7"/>
  <c r="H191" i="7"/>
  <c r="H364" i="7"/>
  <c r="Q362" i="7"/>
  <c r="Q253" i="7"/>
  <c r="H255" i="7"/>
  <c r="H253" i="7"/>
  <c r="I438" i="7"/>
  <c r="Q440" i="7"/>
  <c r="H442" i="7"/>
  <c r="Q461" i="7"/>
  <c r="H463" i="7"/>
  <c r="H610" i="7"/>
  <c r="Q608" i="7"/>
  <c r="Q626" i="7"/>
  <c r="H628" i="7"/>
  <c r="I728" i="7"/>
  <c r="Q726" i="7"/>
  <c r="I50" i="7"/>
  <c r="Q146" i="7"/>
  <c r="H148" i="7"/>
  <c r="Q160" i="7"/>
  <c r="H162" i="7"/>
  <c r="H412" i="7"/>
  <c r="Q410" i="7"/>
  <c r="I228" i="7"/>
  <c r="I352" i="7"/>
  <c r="H450" i="7"/>
  <c r="Q448" i="7"/>
  <c r="H531" i="7"/>
  <c r="Q529" i="7"/>
  <c r="Q387" i="7"/>
  <c r="H389" i="7"/>
  <c r="I485" i="7"/>
  <c r="I478" i="7"/>
  <c r="I542" i="7"/>
  <c r="Q639" i="7"/>
  <c r="H641" i="7"/>
  <c r="Q625" i="7"/>
  <c r="H627" i="7"/>
  <c r="I686" i="7"/>
  <c r="I665" i="7"/>
  <c r="H27" i="7"/>
  <c r="I56" i="7"/>
  <c r="Q341" i="7"/>
  <c r="H343" i="7"/>
  <c r="I107" i="7"/>
  <c r="H149" i="7"/>
  <c r="Q96" i="7"/>
  <c r="H98" i="7"/>
  <c r="I392" i="7"/>
  <c r="I302" i="7"/>
  <c r="I396" i="7"/>
  <c r="I347" i="7"/>
  <c r="Q382" i="7"/>
  <c r="I526" i="7"/>
  <c r="H464" i="7"/>
  <c r="H488" i="7"/>
  <c r="H640" i="7"/>
  <c r="Q638" i="7"/>
  <c r="H693" i="7"/>
  <c r="Q691" i="7"/>
  <c r="H731" i="7"/>
  <c r="Q729" i="7"/>
  <c r="I749" i="7"/>
  <c r="Q57" i="7"/>
  <c r="I63" i="7"/>
  <c r="I61" i="7"/>
  <c r="H73" i="7"/>
  <c r="Q71" i="7"/>
  <c r="Q99" i="7"/>
  <c r="H101" i="7"/>
  <c r="Q149" i="7"/>
  <c r="H151" i="7"/>
  <c r="Q223" i="7"/>
  <c r="H225" i="7"/>
  <c r="I276" i="7"/>
  <c r="Q231" i="7"/>
  <c r="H233" i="7"/>
  <c r="I704" i="7"/>
  <c r="Q286" i="7"/>
  <c r="H288" i="7"/>
  <c r="Q555" i="7"/>
  <c r="H557" i="7"/>
  <c r="H465" i="7"/>
  <c r="I510" i="7"/>
  <c r="Q539" i="7"/>
  <c r="H541" i="7"/>
  <c r="I582" i="7"/>
  <c r="H556" i="7"/>
  <c r="Q663" i="7"/>
  <c r="H665" i="7"/>
  <c r="I752" i="7"/>
  <c r="Q750" i="7"/>
  <c r="Q719" i="7"/>
  <c r="H721" i="7"/>
  <c r="H720" i="7"/>
  <c r="H106" i="7"/>
  <c r="Q104" i="7"/>
  <c r="Q197" i="7"/>
  <c r="H199" i="7"/>
  <c r="I104" i="7"/>
  <c r="H195" i="7"/>
  <c r="I447" i="7"/>
  <c r="Q381" i="7"/>
  <c r="H383" i="7"/>
  <c r="Q437" i="7"/>
  <c r="H439" i="7"/>
  <c r="I353" i="7"/>
  <c r="I443" i="7"/>
  <c r="H411" i="7"/>
  <c r="H471" i="7"/>
  <c r="Q582" i="7"/>
  <c r="H584" i="7"/>
  <c r="Q610" i="7"/>
  <c r="I642" i="7"/>
  <c r="H746" i="7"/>
  <c r="Q744" i="7"/>
  <c r="Q737" i="7"/>
  <c r="I18" i="7"/>
  <c r="Q22" i="7"/>
  <c r="H24" i="7"/>
  <c r="Q122" i="7"/>
  <c r="H124" i="7"/>
  <c r="I142" i="7"/>
  <c r="Q248" i="7"/>
  <c r="I405" i="7"/>
  <c r="I488" i="7"/>
  <c r="H544" i="7"/>
  <c r="I191" i="7"/>
  <c r="I108" i="7"/>
  <c r="Q114" i="7"/>
  <c r="H116" i="7"/>
  <c r="I182" i="7"/>
  <c r="H237" i="7"/>
  <c r="Q235" i="7"/>
  <c r="H433" i="7"/>
  <c r="H409" i="7"/>
  <c r="I459" i="7"/>
  <c r="Q523" i="7"/>
  <c r="H677" i="7"/>
  <c r="I703" i="7"/>
  <c r="H70" i="7"/>
  <c r="Q44" i="7"/>
  <c r="I170" i="7"/>
  <c r="I303" i="7"/>
  <c r="I326" i="7"/>
  <c r="I462" i="7"/>
  <c r="I8" i="7"/>
  <c r="I259" i="7"/>
  <c r="Q322" i="7"/>
  <c r="Q232" i="7"/>
  <c r="Q303" i="7"/>
  <c r="I253" i="7"/>
  <c r="I446" i="7"/>
  <c r="H528" i="7"/>
  <c r="I565" i="7"/>
  <c r="Q668" i="7"/>
  <c r="H670" i="7"/>
  <c r="H701" i="7"/>
  <c r="Q699" i="7"/>
  <c r="Q602" i="7"/>
  <c r="H604" i="7"/>
  <c r="H356" i="7"/>
  <c r="Q354" i="7"/>
  <c r="I561" i="7"/>
  <c r="H190" i="7"/>
  <c r="I429" i="7"/>
  <c r="H478" i="7"/>
  <c r="Q528" i="7"/>
  <c r="H530" i="7"/>
  <c r="H618" i="7"/>
  <c r="Q616" i="7"/>
  <c r="H669" i="7"/>
  <c r="Q667" i="7"/>
  <c r="H748" i="7"/>
  <c r="Q108" i="7"/>
  <c r="H113" i="7"/>
  <c r="H340" i="7"/>
  <c r="H353" i="7"/>
  <c r="Q351" i="7"/>
  <c r="Q520" i="7"/>
  <c r="H522" i="7"/>
  <c r="H619" i="7"/>
  <c r="I402" i="7"/>
  <c r="Q225" i="7"/>
  <c r="I334" i="7"/>
  <c r="I307" i="7"/>
  <c r="I345" i="7"/>
  <c r="I366" i="7"/>
  <c r="I528" i="7"/>
  <c r="H736" i="7"/>
  <c r="Q577" i="7"/>
  <c r="H579" i="7"/>
  <c r="I295" i="7"/>
  <c r="Q739" i="7"/>
  <c r="Q593" i="7"/>
  <c r="H717" i="7"/>
  <c r="Q715" i="7"/>
  <c r="Q491" i="7"/>
  <c r="H493" i="7"/>
  <c r="H616" i="7"/>
  <c r="Q614" i="7"/>
  <c r="Q278" i="7"/>
  <c r="H280" i="7"/>
  <c r="I360" i="7"/>
  <c r="H369" i="7"/>
  <c r="Q367" i="7"/>
  <c r="Q660" i="7"/>
  <c r="H662" i="7"/>
  <c r="H292" i="7"/>
  <c r="Q290" i="7"/>
  <c r="Q533" i="7"/>
  <c r="H535" i="7"/>
  <c r="H126" i="7"/>
  <c r="Q124" i="7"/>
  <c r="Q376" i="7"/>
  <c r="H378" i="7"/>
  <c r="I257" i="7"/>
  <c r="Q48" i="7"/>
  <c r="H50" i="7"/>
  <c r="Q414" i="7"/>
  <c r="H416" i="7"/>
  <c r="H484" i="7"/>
  <c r="Q482" i="7"/>
  <c r="H224" i="7"/>
  <c r="Q222" i="7"/>
  <c r="Q56" i="7"/>
  <c r="H58" i="7"/>
  <c r="Q143" i="7"/>
  <c r="H145" i="7"/>
  <c r="Q181" i="7"/>
  <c r="H183" i="7"/>
  <c r="I208" i="7"/>
  <c r="Q310" i="7"/>
  <c r="H312" i="7"/>
  <c r="Q326" i="7"/>
  <c r="H328" i="7"/>
  <c r="Q342" i="7"/>
  <c r="H344" i="7"/>
  <c r="Q470" i="7"/>
  <c r="H472" i="7"/>
  <c r="H539" i="7"/>
  <c r="Q537" i="7"/>
  <c r="Q546" i="7"/>
  <c r="Q572" i="7"/>
  <c r="H574" i="7"/>
  <c r="I685" i="7"/>
  <c r="I740" i="7"/>
  <c r="Q61" i="7"/>
  <c r="H63" i="7"/>
  <c r="I105" i="7"/>
  <c r="H52" i="7"/>
  <c r="Q50" i="7"/>
  <c r="I205" i="7"/>
  <c r="H22" i="7"/>
  <c r="Q20" i="7"/>
  <c r="Q190" i="7"/>
  <c r="H192" i="7"/>
  <c r="I256" i="7"/>
  <c r="I319" i="7"/>
  <c r="I471" i="7"/>
  <c r="H430" i="7"/>
  <c r="Q466" i="7"/>
  <c r="H468" i="7"/>
  <c r="I587" i="7"/>
  <c r="I547" i="7"/>
  <c r="Q548" i="7"/>
  <c r="H550" i="7"/>
  <c r="H549" i="7"/>
  <c r="I637" i="7"/>
  <c r="Q727" i="7"/>
  <c r="H729" i="7"/>
  <c r="H728" i="7"/>
  <c r="Q119" i="7"/>
  <c r="H121" i="7"/>
  <c r="H213" i="7"/>
  <c r="Q211" i="7"/>
  <c r="H88" i="7"/>
  <c r="Q171" i="7"/>
  <c r="H173" i="7"/>
  <c r="I25" i="7"/>
  <c r="H210" i="7"/>
  <c r="Q208" i="7"/>
  <c r="I296" i="7"/>
  <c r="I365" i="7"/>
  <c r="I487" i="7"/>
  <c r="I619" i="7"/>
  <c r="I553" i="7"/>
  <c r="H589" i="7"/>
  <c r="Q587" i="7"/>
  <c r="H629" i="7"/>
  <c r="Q627" i="7"/>
  <c r="Q730" i="7"/>
  <c r="H732" i="7"/>
  <c r="I723" i="7"/>
  <c r="H42" i="7"/>
  <c r="H187" i="7"/>
  <c r="Q25" i="7"/>
  <c r="H102" i="7"/>
  <c r="Q100" i="7"/>
  <c r="I202" i="7"/>
  <c r="H122" i="7"/>
  <c r="Q134" i="7"/>
  <c r="Q147" i="7"/>
  <c r="I229" i="7"/>
  <c r="H152" i="7"/>
  <c r="Q150" i="7"/>
  <c r="I218" i="7"/>
  <c r="Q323" i="7"/>
  <c r="H449" i="7"/>
  <c r="Q447" i="7"/>
  <c r="I382" i="7"/>
  <c r="H419" i="7"/>
  <c r="I457" i="7"/>
  <c r="I475" i="7"/>
  <c r="I504" i="7"/>
  <c r="H565" i="7"/>
  <c r="I648" i="7"/>
  <c r="Q646" i="7"/>
  <c r="I554" i="7"/>
  <c r="H715" i="7"/>
  <c r="Q713" i="7"/>
  <c r="Q674" i="7"/>
  <c r="H676" i="7"/>
  <c r="H718" i="7"/>
  <c r="H200" i="7"/>
  <c r="Q198" i="7"/>
  <c r="I116" i="7"/>
  <c r="H11" i="7"/>
  <c r="I155" i="7"/>
  <c r="I199" i="7"/>
  <c r="I147" i="7"/>
  <c r="H374" i="7"/>
  <c r="Q372" i="7"/>
  <c r="I506" i="7"/>
  <c r="H373" i="7"/>
  <c r="Q358" i="7"/>
  <c r="H360" i="7"/>
  <c r="I371" i="7"/>
  <c r="I576" i="7"/>
  <c r="H518" i="7"/>
  <c r="Q516" i="7"/>
  <c r="I611" i="7"/>
  <c r="H585" i="7"/>
  <c r="Q583" i="7"/>
  <c r="Q636" i="7"/>
  <c r="H638" i="7"/>
  <c r="I702" i="7"/>
  <c r="H694" i="7"/>
  <c r="Q45" i="7"/>
  <c r="H47" i="7"/>
  <c r="Q74" i="7"/>
  <c r="I129" i="7"/>
  <c r="H221" i="7"/>
  <c r="Q219" i="7"/>
  <c r="Q109" i="7"/>
  <c r="I317" i="7"/>
  <c r="I320" i="7"/>
  <c r="Q401" i="7"/>
  <c r="H403" i="7"/>
  <c r="H393" i="7"/>
  <c r="Q391" i="7"/>
  <c r="I361" i="7"/>
  <c r="Q409" i="7"/>
  <c r="Q469" i="7"/>
  <c r="I527" i="7"/>
  <c r="I615" i="7"/>
  <c r="I639" i="7"/>
  <c r="H685" i="7"/>
  <c r="Q683" i="7"/>
  <c r="H684" i="7"/>
  <c r="H739" i="7"/>
  <c r="H34" i="7"/>
  <c r="H25" i="7"/>
  <c r="Q23" i="7"/>
  <c r="Q123" i="7"/>
  <c r="H125" i="7"/>
  <c r="Q308" i="7"/>
  <c r="H454" i="7"/>
  <c r="Q452" i="7"/>
  <c r="I481" i="7"/>
  <c r="I571" i="7"/>
  <c r="H172" i="7"/>
  <c r="I167" i="7"/>
  <c r="H282" i="7"/>
  <c r="I399" i="7"/>
  <c r="I463" i="7"/>
  <c r="I592" i="7"/>
  <c r="I577" i="7"/>
  <c r="H295" i="7"/>
  <c r="H656" i="7"/>
  <c r="Q654" i="7"/>
  <c r="I398" i="7"/>
  <c r="Q80" i="7"/>
  <c r="H82" i="7"/>
  <c r="H80" i="7"/>
  <c r="H49" i="7"/>
  <c r="H46" i="7"/>
  <c r="I263" i="7"/>
  <c r="I328" i="7"/>
  <c r="I465" i="7"/>
  <c r="I9" i="7"/>
  <c r="I335" i="7"/>
  <c r="H324" i="7"/>
  <c r="H234" i="7"/>
  <c r="H305" i="7"/>
  <c r="I254" i="7"/>
  <c r="I454" i="7"/>
  <c r="I581" i="7"/>
  <c r="I566" i="7"/>
  <c r="Q669" i="7"/>
  <c r="H671" i="7"/>
  <c r="Q700" i="7"/>
  <c r="H702" i="7"/>
  <c r="Q508" i="7"/>
  <c r="I679" i="7"/>
  <c r="H727" i="7"/>
  <c r="H358" i="7"/>
  <c r="Q356" i="7"/>
  <c r="I699" i="7"/>
  <c r="H242" i="7"/>
  <c r="H460" i="7"/>
  <c r="I552" i="7"/>
  <c r="I670" i="7"/>
  <c r="I663" i="7"/>
  <c r="H112" i="7"/>
  <c r="I249" i="7"/>
  <c r="H287" i="7"/>
  <c r="Q352" i="7"/>
  <c r="H354" i="7"/>
  <c r="H523" i="7"/>
  <c r="Q521" i="7"/>
  <c r="Q617" i="7"/>
  <c r="Q277" i="7"/>
  <c r="I423" i="7"/>
  <c r="H143" i="7"/>
  <c r="I394" i="7"/>
  <c r="H428" i="7"/>
  <c r="Q426" i="7"/>
  <c r="I568" i="7"/>
  <c r="Q698" i="7"/>
  <c r="H700" i="7"/>
  <c r="H580" i="7"/>
  <c r="Q578" i="7"/>
  <c r="H741" i="7"/>
  <c r="Q302" i="7"/>
  <c r="H304" i="7"/>
  <c r="H672" i="7"/>
  <c r="Q670" i="7"/>
  <c r="H96" i="7"/>
  <c r="Q94" i="7"/>
  <c r="H372" i="7"/>
  <c r="Q370" i="7"/>
  <c r="H301" i="7"/>
  <c r="Q106" i="7"/>
  <c r="H108" i="7"/>
  <c r="Q395" i="7"/>
  <c r="H397" i="7"/>
  <c r="Q275" i="7"/>
  <c r="H513" i="7"/>
  <c r="Q677" i="7"/>
  <c r="H679" i="7"/>
  <c r="I509" i="7"/>
  <c r="Q254" i="7"/>
  <c r="H256" i="7"/>
  <c r="Q472" i="7"/>
  <c r="H474" i="7"/>
  <c r="H524" i="7"/>
  <c r="Q360" i="7"/>
  <c r="H362" i="7"/>
  <c r="I737" i="7"/>
  <c r="H241" i="7"/>
  <c r="Q239" i="7"/>
  <c r="H382" i="7"/>
  <c r="Q380" i="7"/>
  <c r="I82" i="7"/>
  <c r="H33" i="7"/>
  <c r="Q31" i="7"/>
  <c r="H81" i="7"/>
  <c r="Q128" i="7"/>
  <c r="H130" i="7"/>
  <c r="Q357" i="7"/>
  <c r="H359" i="7"/>
  <c r="H404" i="7"/>
  <c r="Q402" i="7"/>
  <c r="H515" i="7"/>
  <c r="Q513" i="7"/>
  <c r="H486" i="7"/>
  <c r="Q484" i="7"/>
  <c r="H548" i="7"/>
  <c r="H689" i="7"/>
  <c r="Q687" i="7"/>
  <c r="I628" i="7"/>
  <c r="H686" i="7"/>
  <c r="Q205" i="7"/>
  <c r="H207" i="7"/>
  <c r="H216" i="7"/>
  <c r="Q214" i="7"/>
  <c r="I23" i="7"/>
  <c r="I85" i="7"/>
  <c r="I119" i="7"/>
  <c r="Q155" i="7"/>
  <c r="H157" i="7"/>
  <c r="I309" i="7"/>
  <c r="I237" i="7"/>
  <c r="Q329" i="7"/>
  <c r="H331" i="7"/>
  <c r="I436" i="7"/>
  <c r="I415" i="7"/>
  <c r="H355" i="7"/>
  <c r="Q498" i="7"/>
  <c r="H500" i="7"/>
  <c r="I486" i="7"/>
  <c r="H489" i="7"/>
  <c r="H709" i="7"/>
  <c r="Q707" i="7"/>
  <c r="I607" i="7"/>
  <c r="Q741" i="7"/>
  <c r="H743" i="7"/>
  <c r="H212" i="7"/>
  <c r="I34" i="7"/>
  <c r="Q213" i="7"/>
  <c r="H215" i="7"/>
  <c r="I35" i="7"/>
  <c r="H140" i="7"/>
  <c r="H144" i="7"/>
  <c r="Q269" i="7"/>
  <c r="H271" i="7"/>
  <c r="H443" i="7"/>
  <c r="I545" i="7"/>
  <c r="I546" i="7"/>
  <c r="Q633" i="7"/>
  <c r="H635" i="7"/>
  <c r="Q559" i="7"/>
  <c r="H561" i="7"/>
  <c r="H690" i="7"/>
  <c r="Q688" i="7"/>
  <c r="H637" i="7"/>
  <c r="I674" i="7"/>
  <c r="I727" i="7"/>
  <c r="Q40" i="7"/>
  <c r="Q185" i="7"/>
  <c r="Q76" i="7"/>
  <c r="I81" i="7"/>
  <c r="I28" i="7"/>
  <c r="H136" i="7"/>
  <c r="Q179" i="7"/>
  <c r="H181" i="7"/>
  <c r="I101" i="7"/>
  <c r="I222" i="7"/>
  <c r="I290" i="7"/>
  <c r="Q361" i="7"/>
  <c r="H363" i="7"/>
  <c r="I265" i="7"/>
  <c r="H267" i="7"/>
  <c r="H422" i="7"/>
  <c r="Q420" i="7"/>
  <c r="Q345" i="7"/>
  <c r="H347" i="7"/>
  <c r="Q558" i="7"/>
  <c r="H560" i="7"/>
  <c r="I555" i="7"/>
  <c r="H639" i="7"/>
  <c r="H650" i="7"/>
  <c r="I26" i="7"/>
  <c r="I14" i="7"/>
  <c r="Q175" i="7"/>
  <c r="H177" i="7"/>
  <c r="Q9" i="7"/>
  <c r="Q178" i="7"/>
  <c r="H180" i="7"/>
  <c r="I33" i="7"/>
  <c r="H100" i="7"/>
  <c r="I241" i="7"/>
  <c r="Q249" i="7"/>
  <c r="H251" i="7"/>
  <c r="H302" i="7"/>
  <c r="I272" i="7"/>
  <c r="Q371" i="7"/>
  <c r="H395" i="7"/>
  <c r="I406" i="7"/>
  <c r="I467" i="7"/>
  <c r="H492" i="7"/>
  <c r="Q517" i="7"/>
  <c r="H519" i="7"/>
  <c r="H570" i="7"/>
  <c r="Q568" i="7"/>
  <c r="I614" i="7"/>
  <c r="Q672" i="7"/>
  <c r="H674" i="7"/>
  <c r="H262" i="7"/>
  <c r="Q46" i="7"/>
  <c r="H48" i="7"/>
  <c r="I157" i="7"/>
  <c r="Q36" i="7"/>
  <c r="H196" i="7"/>
  <c r="I159" i="7"/>
  <c r="H254" i="7"/>
  <c r="I246" i="7"/>
  <c r="I505" i="7"/>
  <c r="I336" i="7"/>
  <c r="I501" i="7"/>
  <c r="Q519" i="7"/>
  <c r="H521" i="7"/>
  <c r="H578" i="7"/>
  <c r="Q576" i="7"/>
  <c r="Q629" i="7"/>
  <c r="H631" i="7"/>
  <c r="Q695" i="7"/>
  <c r="H697" i="7"/>
  <c r="I666" i="7"/>
  <c r="Q682" i="7"/>
  <c r="H711" i="7"/>
  <c r="Q32" i="7"/>
  <c r="Q165" i="7"/>
  <c r="H167" i="7"/>
  <c r="H203" i="7"/>
  <c r="H310" i="7"/>
  <c r="Q365" i="7"/>
  <c r="H367" i="7"/>
  <c r="Q453" i="7"/>
  <c r="H455" i="7"/>
  <c r="I482" i="7"/>
  <c r="I626" i="7"/>
  <c r="Q170" i="7"/>
  <c r="H266" i="7"/>
  <c r="Q280" i="7"/>
  <c r="I442" i="7"/>
  <c r="I574" i="7"/>
  <c r="I524" i="7"/>
  <c r="I572" i="7"/>
  <c r="I736" i="7"/>
  <c r="I537" i="7"/>
  <c r="H84" i="7"/>
  <c r="Q82" i="7"/>
  <c r="I132" i="7"/>
  <c r="I124" i="7"/>
  <c r="H238" i="7"/>
  <c r="I262" i="7"/>
  <c r="I386" i="7"/>
  <c r="I456" i="7"/>
  <c r="H29" i="7"/>
  <c r="H568" i="7"/>
  <c r="I233" i="7"/>
  <c r="Q334" i="7"/>
  <c r="H336" i="7"/>
  <c r="I494" i="7"/>
  <c r="H625" i="7"/>
  <c r="I651" i="7"/>
  <c r="I657" i="7"/>
  <c r="I719" i="7"/>
  <c r="H510" i="7"/>
  <c r="H598" i="7"/>
  <c r="Q655" i="7"/>
  <c r="H657" i="7"/>
  <c r="Q725" i="7"/>
  <c r="Q728" i="7"/>
  <c r="I174" i="7"/>
  <c r="Q458" i="7"/>
  <c r="H583" i="7"/>
  <c r="I622" i="7"/>
  <c r="I662" i="7"/>
  <c r="I95" i="7"/>
  <c r="H228" i="7"/>
  <c r="H114" i="7"/>
  <c r="H466" i="7"/>
  <c r="I431" i="7"/>
  <c r="Q500" i="7"/>
  <c r="I680" i="7"/>
  <c r="H394" i="7"/>
  <c r="I422" i="7"/>
  <c r="H139" i="7"/>
  <c r="Q141" i="7"/>
  <c r="H300" i="7"/>
  <c r="I348" i="7"/>
  <c r="Q425" i="7"/>
  <c r="H427" i="7"/>
  <c r="Q483" i="7"/>
  <c r="H562" i="7"/>
  <c r="Q560" i="7"/>
  <c r="I693" i="7"/>
  <c r="H643" i="7"/>
  <c r="Q641" i="7"/>
  <c r="I725" i="7"/>
  <c r="I194" i="7"/>
  <c r="F248" i="6"/>
  <c r="G382" i="6"/>
  <c r="G632" i="6"/>
  <c r="G504" i="6"/>
  <c r="G318" i="6"/>
  <c r="G434" i="6"/>
  <c r="F713" i="6"/>
  <c r="F673" i="6"/>
  <c r="F585" i="6"/>
  <c r="F545" i="6"/>
  <c r="G502" i="6"/>
  <c r="F353" i="6"/>
  <c r="F581" i="6"/>
  <c r="F453" i="6"/>
  <c r="F707" i="6"/>
  <c r="F675" i="6"/>
  <c r="F611" i="6"/>
  <c r="F579" i="6"/>
  <c r="F547" i="6"/>
  <c r="F483" i="6"/>
  <c r="F451" i="6"/>
  <c r="F745" i="6"/>
  <c r="G739" i="6"/>
  <c r="Q739" i="6" s="1"/>
  <c r="F382" i="6"/>
  <c r="F350" i="6"/>
  <c r="Q350" i="6" s="1"/>
  <c r="F318" i="6"/>
  <c r="F278" i="6"/>
  <c r="F634" i="6"/>
  <c r="G702" i="6"/>
  <c r="G277" i="6"/>
  <c r="G149" i="6"/>
  <c r="F750" i="6"/>
  <c r="G630" i="6"/>
  <c r="F106" i="6"/>
  <c r="G64" i="6"/>
  <c r="F104" i="6"/>
  <c r="F723" i="6"/>
  <c r="G21" i="6"/>
  <c r="G133" i="6"/>
  <c r="G69" i="6"/>
  <c r="F345" i="6"/>
  <c r="F114" i="6"/>
  <c r="G326" i="6"/>
  <c r="F561" i="6"/>
  <c r="F625" i="6"/>
  <c r="G728" i="6"/>
  <c r="G333" i="6"/>
  <c r="F99" i="6"/>
  <c r="G472" i="6"/>
  <c r="G177" i="6"/>
  <c r="G17" i="6"/>
  <c r="F165" i="6"/>
  <c r="G274" i="6"/>
  <c r="F310" i="6"/>
  <c r="Q310" i="6" s="1"/>
  <c r="F715" i="6"/>
  <c r="F651" i="6"/>
  <c r="F619" i="6"/>
  <c r="F587" i="6"/>
  <c r="F523" i="6"/>
  <c r="F491" i="6"/>
  <c r="F131" i="6"/>
  <c r="F672" i="6"/>
  <c r="Q672" i="6" s="1"/>
  <c r="G750" i="6"/>
  <c r="Q750" i="6" s="1"/>
  <c r="F344" i="6"/>
  <c r="F658" i="6"/>
  <c r="F530" i="6"/>
  <c r="F256" i="6"/>
  <c r="F128" i="6"/>
  <c r="G678" i="6"/>
  <c r="F710" i="6"/>
  <c r="G629" i="6"/>
  <c r="G526" i="6"/>
  <c r="F163" i="6"/>
  <c r="F601" i="6"/>
  <c r="G461" i="6"/>
  <c r="G429" i="6"/>
  <c r="G718" i="6"/>
  <c r="G638" i="6"/>
  <c r="F594" i="6"/>
  <c r="G550" i="6"/>
  <c r="G510" i="6"/>
  <c r="F466" i="6"/>
  <c r="Q382" i="6"/>
  <c r="Q376" i="6"/>
  <c r="Q344" i="6"/>
  <c r="F216" i="6"/>
  <c r="F88" i="6"/>
  <c r="F626" i="6"/>
  <c r="F498" i="6"/>
  <c r="F75" i="6"/>
  <c r="F204" i="6"/>
  <c r="F544" i="6"/>
  <c r="Q544" i="6" s="1"/>
  <c r="F416" i="6"/>
  <c r="G256" i="6"/>
  <c r="G224" i="6"/>
  <c r="G301" i="6"/>
  <c r="G173" i="6"/>
  <c r="F8" i="6"/>
  <c r="G535" i="6"/>
  <c r="F747" i="6"/>
  <c r="F414" i="6"/>
  <c r="F474" i="6"/>
  <c r="F342" i="6"/>
  <c r="Q342" i="6" s="1"/>
  <c r="F623" i="6"/>
  <c r="F592" i="6"/>
  <c r="F464" i="6"/>
  <c r="F243" i="6"/>
  <c r="F211" i="6"/>
  <c r="F224" i="6"/>
  <c r="Q224" i="6" s="1"/>
  <c r="F96" i="6"/>
  <c r="G130" i="6"/>
  <c r="F593" i="6"/>
  <c r="G682" i="6"/>
  <c r="G554" i="6"/>
  <c r="F457" i="6"/>
  <c r="G169" i="6"/>
  <c r="G207" i="6"/>
  <c r="F421" i="6"/>
  <c r="G213" i="6"/>
  <c r="G105" i="6"/>
  <c r="G162" i="6"/>
  <c r="F61" i="6"/>
  <c r="G354" i="6"/>
  <c r="G637" i="6"/>
  <c r="G509" i="6"/>
  <c r="G712" i="6"/>
  <c r="G680" i="6"/>
  <c r="G616" i="6"/>
  <c r="G584" i="6"/>
  <c r="G552" i="6"/>
  <c r="G488" i="6"/>
  <c r="G322" i="6"/>
  <c r="G407" i="6"/>
  <c r="Q407" i="6" s="1"/>
  <c r="G341" i="6"/>
  <c r="G695" i="6"/>
  <c r="G567" i="6"/>
  <c r="G439" i="6"/>
  <c r="F419" i="6"/>
  <c r="F387" i="6"/>
  <c r="F355" i="6"/>
  <c r="F323" i="6"/>
  <c r="F168" i="6"/>
  <c r="G5" i="6"/>
  <c r="G386" i="6"/>
  <c r="G663" i="6"/>
  <c r="G98" i="6"/>
  <c r="F374" i="6"/>
  <c r="Q374" i="6" s="1"/>
  <c r="G661" i="6"/>
  <c r="G533" i="6"/>
  <c r="F400" i="6"/>
  <c r="G640" i="6"/>
  <c r="G512" i="6"/>
  <c r="Q318" i="6"/>
  <c r="G293" i="6"/>
  <c r="G228" i="6"/>
  <c r="G197" i="6"/>
  <c r="G37" i="6"/>
  <c r="G194" i="6"/>
  <c r="G358" i="6"/>
  <c r="G419" i="6"/>
  <c r="G152" i="6"/>
  <c r="G88" i="6"/>
  <c r="Q88" i="6" s="1"/>
  <c r="G125" i="6"/>
  <c r="G258" i="6"/>
  <c r="G226" i="6"/>
  <c r="F66" i="6"/>
  <c r="G305" i="6"/>
  <c r="F275" i="6"/>
  <c r="G240" i="6"/>
  <c r="F138" i="6"/>
  <c r="G209" i="6"/>
  <c r="G113" i="6"/>
  <c r="Q113" i="6" s="1"/>
  <c r="F17" i="6"/>
  <c r="G722" i="6"/>
  <c r="G626" i="6"/>
  <c r="G498" i="6"/>
  <c r="Q498" i="6" s="1"/>
  <c r="G466" i="6"/>
  <c r="G396" i="6"/>
  <c r="F92" i="6"/>
  <c r="F47" i="6"/>
  <c r="G726" i="6"/>
  <c r="G646" i="6"/>
  <c r="G520" i="6"/>
  <c r="G366" i="6"/>
  <c r="G334" i="6"/>
  <c r="G677" i="6"/>
  <c r="G549" i="6"/>
  <c r="G421" i="6"/>
  <c r="G631" i="6"/>
  <c r="G503" i="6"/>
  <c r="G132" i="6"/>
  <c r="F208" i="6"/>
  <c r="F144" i="6"/>
  <c r="F80" i="6"/>
  <c r="F247" i="6"/>
  <c r="F119" i="6"/>
  <c r="F140" i="6"/>
  <c r="F44" i="6"/>
  <c r="F12" i="6"/>
  <c r="F683" i="6"/>
  <c r="G600" i="6"/>
  <c r="F553" i="6"/>
  <c r="G10" i="6"/>
  <c r="F633" i="6"/>
  <c r="F726" i="6"/>
  <c r="F694" i="6"/>
  <c r="F662" i="6"/>
  <c r="F630" i="6"/>
  <c r="F598" i="6"/>
  <c r="F566" i="6"/>
  <c r="F534" i="6"/>
  <c r="F502" i="6"/>
  <c r="F470" i="6"/>
  <c r="F438" i="6"/>
  <c r="G381" i="6"/>
  <c r="F93" i="6"/>
  <c r="F60" i="6"/>
  <c r="G614" i="6"/>
  <c r="F473" i="6"/>
  <c r="G403" i="6"/>
  <c r="G371" i="6"/>
  <c r="G339" i="6"/>
  <c r="G307" i="6"/>
  <c r="F157" i="6"/>
  <c r="G292" i="6"/>
  <c r="F656" i="6"/>
  <c r="F528" i="6"/>
  <c r="G397" i="6"/>
  <c r="G291" i="6"/>
  <c r="F392" i="6"/>
  <c r="G196" i="6"/>
  <c r="F189" i="6"/>
  <c r="G94" i="6"/>
  <c r="G398" i="6"/>
  <c r="F505" i="6"/>
  <c r="F506" i="6"/>
  <c r="F650" i="6"/>
  <c r="F522" i="6"/>
  <c r="F394" i="6"/>
  <c r="F643" i="6"/>
  <c r="F515" i="6"/>
  <c r="F147" i="6"/>
  <c r="F83" i="6"/>
  <c r="G8" i="6"/>
  <c r="F87" i="6"/>
  <c r="G237" i="6"/>
  <c r="G109" i="6"/>
  <c r="G77" i="6"/>
  <c r="G297" i="6"/>
  <c r="G266" i="6"/>
  <c r="F229" i="6"/>
  <c r="F133" i="6"/>
  <c r="F69" i="6"/>
  <c r="Q69" i="6" s="1"/>
  <c r="F361" i="6"/>
  <c r="F233" i="6"/>
  <c r="F702" i="6"/>
  <c r="F638" i="6"/>
  <c r="F606" i="6"/>
  <c r="F574" i="6"/>
  <c r="Q574" i="6" s="1"/>
  <c r="F542" i="6"/>
  <c r="F510" i="6"/>
  <c r="Q510" i="6" s="1"/>
  <c r="F478" i="6"/>
  <c r="F446" i="6"/>
  <c r="F555" i="6"/>
  <c r="G727" i="6"/>
  <c r="F690" i="6"/>
  <c r="G647" i="6"/>
  <c r="G607" i="6"/>
  <c r="F562" i="6"/>
  <c r="G519" i="6"/>
  <c r="G479" i="6"/>
  <c r="F434" i="6"/>
  <c r="Q434" i="6" s="1"/>
  <c r="G391" i="6"/>
  <c r="G608" i="6"/>
  <c r="G480" i="6"/>
  <c r="F13" i="6"/>
  <c r="F65" i="6"/>
  <c r="F45" i="6"/>
  <c r="Q45" i="6" s="1"/>
  <c r="G270" i="6"/>
  <c r="G143" i="6"/>
  <c r="F97" i="6"/>
  <c r="F57" i="6"/>
  <c r="F18" i="6"/>
  <c r="F670" i="6"/>
  <c r="G667" i="6"/>
  <c r="G539" i="6"/>
  <c r="G613" i="6"/>
  <c r="G485" i="6"/>
  <c r="F320" i="6"/>
  <c r="F754" i="6"/>
  <c r="F722" i="6"/>
  <c r="G286" i="6"/>
  <c r="Q286" i="6" s="1"/>
  <c r="F187" i="6"/>
  <c r="F261" i="6"/>
  <c r="F77" i="6"/>
  <c r="G222" i="6"/>
  <c r="G55" i="6"/>
  <c r="F537" i="6"/>
  <c r="G486" i="6"/>
  <c r="F406" i="6"/>
  <c r="G648" i="6"/>
  <c r="G679" i="6"/>
  <c r="G551" i="6"/>
  <c r="G423" i="6"/>
  <c r="F283" i="6"/>
  <c r="G120" i="6"/>
  <c r="Q120" i="6" s="1"/>
  <c r="G276" i="6"/>
  <c r="F192" i="6"/>
  <c r="F64" i="6"/>
  <c r="F32" i="6"/>
  <c r="F197" i="6"/>
  <c r="G66" i="6"/>
  <c r="F50" i="6"/>
  <c r="F10" i="6"/>
  <c r="G534" i="6"/>
  <c r="Q534" i="6" s="1"/>
  <c r="G733" i="6"/>
  <c r="G701" i="6"/>
  <c r="G573" i="6"/>
  <c r="G445" i="6"/>
  <c r="G280" i="6"/>
  <c r="G248" i="6"/>
  <c r="Q248" i="6" s="1"/>
  <c r="G216" i="6"/>
  <c r="G176" i="6"/>
  <c r="G112" i="6"/>
  <c r="F410" i="6"/>
  <c r="F101" i="6"/>
  <c r="G39" i="6"/>
  <c r="G249" i="6"/>
  <c r="G217" i="6"/>
  <c r="G26" i="6"/>
  <c r="G16" i="6"/>
  <c r="F569" i="6"/>
  <c r="F529" i="6"/>
  <c r="G754" i="6"/>
  <c r="F654" i="6"/>
  <c r="F526" i="6"/>
  <c r="Q526" i="6" s="1"/>
  <c r="G455" i="6"/>
  <c r="F171" i="6"/>
  <c r="G104" i="6"/>
  <c r="Q104" i="6" s="1"/>
  <c r="F280" i="6"/>
  <c r="F152" i="6"/>
  <c r="G178" i="6"/>
  <c r="G114" i="6"/>
  <c r="Q114" i="6" s="1"/>
  <c r="G242" i="6"/>
  <c r="G210" i="6"/>
  <c r="F249" i="6"/>
  <c r="G79" i="6"/>
  <c r="G731" i="6"/>
  <c r="F214" i="6"/>
  <c r="F182" i="6"/>
  <c r="F150" i="6"/>
  <c r="F118" i="6"/>
  <c r="F54" i="6"/>
  <c r="F691" i="6"/>
  <c r="F659" i="6"/>
  <c r="F627" i="6"/>
  <c r="F597" i="6"/>
  <c r="F563" i="6"/>
  <c r="F531" i="6"/>
  <c r="F499" i="6"/>
  <c r="G402" i="6"/>
  <c r="F399" i="6"/>
  <c r="G225" i="6"/>
  <c r="G161" i="6"/>
  <c r="F305" i="6"/>
  <c r="F7" i="6"/>
  <c r="G52" i="6"/>
  <c r="G686" i="6"/>
  <c r="F609" i="6"/>
  <c r="F390" i="6"/>
  <c r="F326" i="6"/>
  <c r="G693" i="6"/>
  <c r="F738" i="6"/>
  <c r="F706" i="6"/>
  <c r="F578" i="6"/>
  <c r="F450" i="6"/>
  <c r="G296" i="6"/>
  <c r="G264" i="6"/>
  <c r="F195" i="6"/>
  <c r="F228" i="6"/>
  <c r="G167" i="6"/>
  <c r="F237" i="6"/>
  <c r="F205" i="6"/>
  <c r="Q205" i="6" s="1"/>
  <c r="G606" i="6"/>
  <c r="G566" i="6"/>
  <c r="F489" i="6"/>
  <c r="G707" i="6"/>
  <c r="G675" i="6"/>
  <c r="Q675" i="6" s="1"/>
  <c r="G643" i="6"/>
  <c r="G611" i="6"/>
  <c r="Q611" i="6" s="1"/>
  <c r="G579" i="6"/>
  <c r="Q579" i="6" s="1"/>
  <c r="G547" i="6"/>
  <c r="G515" i="6"/>
  <c r="Q515" i="6" s="1"/>
  <c r="G483" i="6"/>
  <c r="Q483" i="6" s="1"/>
  <c r="G451" i="6"/>
  <c r="Q451" i="6" s="1"/>
  <c r="F595" i="6"/>
  <c r="F751" i="6"/>
  <c r="F688" i="6"/>
  <c r="F560" i="6"/>
  <c r="F432" i="6"/>
  <c r="G735" i="6"/>
  <c r="G703" i="6"/>
  <c r="G575" i="6"/>
  <c r="G447" i="6"/>
  <c r="F291" i="6"/>
  <c r="F227" i="6"/>
  <c r="G192" i="6"/>
  <c r="G54" i="6"/>
  <c r="G261" i="6"/>
  <c r="G100" i="6"/>
  <c r="F141" i="6"/>
  <c r="F393" i="6"/>
  <c r="F300" i="6"/>
  <c r="F269" i="6"/>
  <c r="G234" i="6"/>
  <c r="G202" i="6"/>
  <c r="G138" i="6"/>
  <c r="G74" i="6"/>
  <c r="G265" i="6"/>
  <c r="G233" i="6"/>
  <c r="G316" i="6"/>
  <c r="G68" i="6"/>
  <c r="F709" i="6"/>
  <c r="G95" i="6"/>
  <c r="G662" i="6"/>
  <c r="G590" i="6"/>
  <c r="G518" i="6"/>
  <c r="G478" i="6"/>
  <c r="G645" i="6"/>
  <c r="G517" i="6"/>
  <c r="F352" i="6"/>
  <c r="F682" i="6"/>
  <c r="F554" i="6"/>
  <c r="F700" i="6"/>
  <c r="F668" i="6"/>
  <c r="F636" i="6"/>
  <c r="F604" i="6"/>
  <c r="F572" i="6"/>
  <c r="F540" i="6"/>
  <c r="F508" i="6"/>
  <c r="F476" i="6"/>
  <c r="F444" i="6"/>
  <c r="F31" i="6"/>
  <c r="F184" i="6"/>
  <c r="F56" i="6"/>
  <c r="G42" i="6"/>
  <c r="F181" i="6"/>
  <c r="F132" i="6"/>
  <c r="F217" i="6"/>
  <c r="F129" i="6"/>
  <c r="G9" i="6"/>
  <c r="G724" i="6"/>
  <c r="G558" i="6"/>
  <c r="G122" i="6"/>
  <c r="G182" i="6"/>
  <c r="G160" i="6"/>
  <c r="Q160" i="6" s="1"/>
  <c r="F737" i="6"/>
  <c r="F697" i="6"/>
  <c r="G622" i="6"/>
  <c r="F736" i="6"/>
  <c r="Q736" i="6" s="1"/>
  <c r="F704" i="6"/>
  <c r="Q704" i="6" s="1"/>
  <c r="F608" i="6"/>
  <c r="F576" i="6"/>
  <c r="Q576" i="6" s="1"/>
  <c r="F480" i="6"/>
  <c r="F448" i="6"/>
  <c r="G349" i="6"/>
  <c r="F637" i="6"/>
  <c r="G639" i="6"/>
  <c r="G511" i="6"/>
  <c r="G383" i="6"/>
  <c r="F43" i="6"/>
  <c r="G121" i="6"/>
  <c r="G181" i="6"/>
  <c r="G85" i="6"/>
  <c r="G53" i="6"/>
  <c r="F16" i="6"/>
  <c r="F173" i="6"/>
  <c r="Q173" i="6" s="1"/>
  <c r="G106" i="6"/>
  <c r="Q106" i="6" s="1"/>
  <c r="F37" i="6"/>
  <c r="F180" i="6"/>
  <c r="F209" i="6"/>
  <c r="F389" i="6"/>
  <c r="G250" i="6"/>
  <c r="G218" i="6"/>
  <c r="G170" i="6"/>
  <c r="F109" i="6"/>
  <c r="G260" i="6"/>
  <c r="F100" i="6"/>
  <c r="F297" i="6"/>
  <c r="F169" i="6"/>
  <c r="G127" i="6"/>
  <c r="G86" i="6"/>
  <c r="G692" i="6"/>
  <c r="G406" i="6"/>
  <c r="F665" i="6"/>
  <c r="F481" i="6"/>
  <c r="G25" i="6"/>
  <c r="G694" i="6"/>
  <c r="G654" i="6"/>
  <c r="F617" i="6"/>
  <c r="F577" i="6"/>
  <c r="F302" i="6"/>
  <c r="G605" i="6"/>
  <c r="G477" i="6"/>
  <c r="F312" i="6"/>
  <c r="Q312" i="6" s="1"/>
  <c r="F746" i="6"/>
  <c r="F714" i="6"/>
  <c r="F674" i="6"/>
  <c r="F586" i="6"/>
  <c r="F546" i="6"/>
  <c r="F458" i="6"/>
  <c r="F418" i="6"/>
  <c r="G304" i="6"/>
  <c r="G272" i="6"/>
  <c r="F203" i="6"/>
  <c r="F304" i="6"/>
  <c r="F240" i="6"/>
  <c r="F48" i="6"/>
  <c r="G13" i="6"/>
  <c r="G706" i="6"/>
  <c r="F191" i="6"/>
  <c r="F122" i="6"/>
  <c r="F34" i="6"/>
  <c r="G460" i="6"/>
  <c r="F509" i="6"/>
  <c r="F521" i="6"/>
  <c r="F689" i="6"/>
  <c r="F649" i="6"/>
  <c r="G715" i="6"/>
  <c r="G683" i="6"/>
  <c r="G651" i="6"/>
  <c r="Q651" i="6" s="1"/>
  <c r="G619" i="6"/>
  <c r="G587" i="6"/>
  <c r="Q587" i="6" s="1"/>
  <c r="G555" i="6"/>
  <c r="G523" i="6"/>
  <c r="G491" i="6"/>
  <c r="Q491" i="6" s="1"/>
  <c r="G459" i="6"/>
  <c r="G427" i="6"/>
  <c r="G395" i="6"/>
  <c r="G363" i="6"/>
  <c r="G331" i="6"/>
  <c r="G299" i="6"/>
  <c r="F728" i="6"/>
  <c r="Q728" i="6" s="1"/>
  <c r="F695" i="6"/>
  <c r="F663" i="6"/>
  <c r="F631" i="6"/>
  <c r="F599" i="6"/>
  <c r="F567" i="6"/>
  <c r="F535" i="6"/>
  <c r="F440" i="6"/>
  <c r="Q440" i="6" s="1"/>
  <c r="G405" i="6"/>
  <c r="G309" i="6"/>
  <c r="G671" i="6"/>
  <c r="G543" i="6"/>
  <c r="G689" i="6"/>
  <c r="G657" i="6"/>
  <c r="Q657" i="6" s="1"/>
  <c r="G625" i="6"/>
  <c r="G593" i="6"/>
  <c r="Q593" i="6" s="1"/>
  <c r="G561" i="6"/>
  <c r="Q561" i="6" s="1"/>
  <c r="G529" i="6"/>
  <c r="G497" i="6"/>
  <c r="G465" i="6"/>
  <c r="G433" i="6"/>
  <c r="G231" i="6"/>
  <c r="F235" i="6"/>
  <c r="F167" i="6"/>
  <c r="G273" i="6"/>
  <c r="F137" i="6"/>
  <c r="G269" i="6"/>
  <c r="G141" i="6"/>
  <c r="G154" i="6"/>
  <c r="G180" i="6"/>
  <c r="F81" i="6"/>
  <c r="G238" i="6"/>
  <c r="G578" i="6"/>
  <c r="Q578" i="6" s="1"/>
  <c r="G90" i="6"/>
  <c r="F63" i="6"/>
  <c r="G375" i="6"/>
  <c r="G287" i="6"/>
  <c r="F74" i="6"/>
  <c r="G31" i="6"/>
  <c r="F463" i="6"/>
  <c r="F5" i="6"/>
  <c r="F105" i="6"/>
  <c r="G494" i="6"/>
  <c r="F358" i="6"/>
  <c r="G565" i="6"/>
  <c r="F154" i="6"/>
  <c r="F311" i="6"/>
  <c r="F255" i="6"/>
  <c r="G285" i="6"/>
  <c r="G284" i="6"/>
  <c r="G157" i="6"/>
  <c r="G156" i="6"/>
  <c r="F125" i="6"/>
  <c r="F124" i="6"/>
  <c r="G670" i="6"/>
  <c r="G747" i="6"/>
  <c r="G746" i="6"/>
  <c r="G597" i="6"/>
  <c r="G501" i="6"/>
  <c r="G500" i="6"/>
  <c r="G469" i="6"/>
  <c r="G468" i="6"/>
  <c r="G437" i="6"/>
  <c r="G436" i="6"/>
  <c r="F368" i="6"/>
  <c r="F367" i="6"/>
  <c r="F336" i="6"/>
  <c r="F335" i="6"/>
  <c r="F178" i="6"/>
  <c r="F177" i="6"/>
  <c r="Q177" i="6" s="1"/>
  <c r="F525" i="6"/>
  <c r="G214" i="6"/>
  <c r="F274" i="6"/>
  <c r="F273" i="6"/>
  <c r="G230" i="6"/>
  <c r="G221" i="6"/>
  <c r="G220" i="6"/>
  <c r="G61" i="6"/>
  <c r="G60" i="6"/>
  <c r="G58" i="6"/>
  <c r="G57" i="6"/>
  <c r="G721" i="6"/>
  <c r="G720" i="6"/>
  <c r="F330" i="6"/>
  <c r="F329" i="6"/>
  <c r="F734" i="6"/>
  <c r="Q734" i="6" s="1"/>
  <c r="F733" i="6"/>
  <c r="G699" i="6"/>
  <c r="G698" i="6"/>
  <c r="G635" i="6"/>
  <c r="G634" i="6"/>
  <c r="Q634" i="6" s="1"/>
  <c r="G603" i="6"/>
  <c r="G602" i="6"/>
  <c r="G571" i="6"/>
  <c r="G570" i="6"/>
  <c r="G507" i="6"/>
  <c r="G506" i="6"/>
  <c r="G475" i="6"/>
  <c r="G474" i="6"/>
  <c r="G443" i="6"/>
  <c r="G442" i="6"/>
  <c r="G411" i="6"/>
  <c r="G410" i="6"/>
  <c r="Q410" i="6" s="1"/>
  <c r="G379" i="6"/>
  <c r="G378" i="6"/>
  <c r="G347" i="6"/>
  <c r="G346" i="6"/>
  <c r="G315" i="6"/>
  <c r="G314" i="6"/>
  <c r="G283" i="6"/>
  <c r="F744" i="6"/>
  <c r="Q744" i="6" s="1"/>
  <c r="F743" i="6"/>
  <c r="F712" i="6"/>
  <c r="F711" i="6"/>
  <c r="F680" i="6"/>
  <c r="F679" i="6"/>
  <c r="F648" i="6"/>
  <c r="F647" i="6"/>
  <c r="F616" i="6"/>
  <c r="F615" i="6"/>
  <c r="Q615" i="6" s="1"/>
  <c r="F584" i="6"/>
  <c r="F583" i="6"/>
  <c r="F552" i="6"/>
  <c r="F551" i="6"/>
  <c r="F520" i="6"/>
  <c r="F519" i="6"/>
  <c r="F488" i="6"/>
  <c r="F487" i="6"/>
  <c r="Q487" i="6" s="1"/>
  <c r="F456" i="6"/>
  <c r="F455" i="6"/>
  <c r="F424" i="6"/>
  <c r="F423" i="6"/>
  <c r="G389" i="6"/>
  <c r="G388" i="6"/>
  <c r="G357" i="6"/>
  <c r="G356" i="6"/>
  <c r="G325" i="6"/>
  <c r="G324" i="6"/>
  <c r="F698" i="6"/>
  <c r="F409" i="6"/>
  <c r="G660" i="6"/>
  <c r="F24" i="6"/>
  <c r="F23" i="6"/>
  <c r="G415" i="6"/>
  <c r="G414" i="6"/>
  <c r="Q414" i="6" s="1"/>
  <c r="G401" i="6"/>
  <c r="Q401" i="6" s="1"/>
  <c r="G400" i="6"/>
  <c r="G337" i="6"/>
  <c r="G336" i="6"/>
  <c r="G30" i="6"/>
  <c r="G29" i="6"/>
  <c r="G247" i="6"/>
  <c r="G246" i="6"/>
  <c r="F721" i="6"/>
  <c r="G538" i="6"/>
  <c r="F259" i="6"/>
  <c r="F257" i="6"/>
  <c r="G136" i="6"/>
  <c r="G135" i="6"/>
  <c r="G50" i="6"/>
  <c r="G49" i="6"/>
  <c r="G527" i="6"/>
  <c r="G124" i="6"/>
  <c r="G628" i="6"/>
  <c r="G253" i="6"/>
  <c r="G252" i="6"/>
  <c r="G93" i="6"/>
  <c r="G92" i="6"/>
  <c r="G186" i="6"/>
  <c r="G185" i="6"/>
  <c r="G743" i="6"/>
  <c r="G742" i="6"/>
  <c r="G711" i="6"/>
  <c r="G710" i="6"/>
  <c r="Q710" i="6" s="1"/>
  <c r="G583" i="6"/>
  <c r="G582" i="6"/>
  <c r="G753" i="6"/>
  <c r="G752" i="6"/>
  <c r="G369" i="6"/>
  <c r="G368" i="6"/>
  <c r="F202" i="6"/>
  <c r="F201" i="6"/>
  <c r="G159" i="6"/>
  <c r="G158" i="6"/>
  <c r="G119" i="6"/>
  <c r="G118" i="6"/>
  <c r="Q118" i="6" s="1"/>
  <c r="F753" i="6"/>
  <c r="F681" i="6"/>
  <c r="G542" i="6"/>
  <c r="F103" i="6"/>
  <c r="G454" i="6"/>
  <c r="G290" i="6"/>
  <c r="G289" i="6"/>
  <c r="F253" i="6"/>
  <c r="F252" i="6"/>
  <c r="F221" i="6"/>
  <c r="F220" i="6"/>
  <c r="F117" i="6"/>
  <c r="F116" i="6"/>
  <c r="F115" i="6"/>
  <c r="F29" i="6"/>
  <c r="F28" i="6"/>
  <c r="F225" i="6"/>
  <c r="G596" i="6"/>
  <c r="G189" i="6"/>
  <c r="G188" i="6"/>
  <c r="F718" i="6"/>
  <c r="Q718" i="6" s="1"/>
  <c r="F717" i="6"/>
  <c r="Q717" i="6" s="1"/>
  <c r="F686" i="6"/>
  <c r="F685" i="6"/>
  <c r="F622" i="6"/>
  <c r="F621" i="6"/>
  <c r="F590" i="6"/>
  <c r="F589" i="6"/>
  <c r="F558" i="6"/>
  <c r="F557" i="6"/>
  <c r="F494" i="6"/>
  <c r="F493" i="6"/>
  <c r="F462" i="6"/>
  <c r="F461" i="6"/>
  <c r="F430" i="6"/>
  <c r="F429" i="6"/>
  <c r="F398" i="6"/>
  <c r="F397" i="6"/>
  <c r="F366" i="6"/>
  <c r="F365" i="6"/>
  <c r="Q365" i="6" s="1"/>
  <c r="F334" i="6"/>
  <c r="F333" i="6"/>
  <c r="G666" i="6"/>
  <c r="F73" i="6"/>
  <c r="F296" i="6"/>
  <c r="F295" i="6"/>
  <c r="F264" i="6"/>
  <c r="F263" i="6"/>
  <c r="F232" i="6"/>
  <c r="F231" i="6"/>
  <c r="F200" i="6"/>
  <c r="F199" i="6"/>
  <c r="F136" i="6"/>
  <c r="F135" i="6"/>
  <c r="F72" i="6"/>
  <c r="F71" i="6"/>
  <c r="F40" i="6"/>
  <c r="F39" i="6"/>
  <c r="G146" i="6"/>
  <c r="G145" i="6"/>
  <c r="G82" i="6"/>
  <c r="G81" i="6"/>
  <c r="F653" i="6"/>
  <c r="G564" i="6"/>
  <c r="F246" i="6"/>
  <c r="F244" i="6"/>
  <c r="Q244" i="6" s="1"/>
  <c r="F86" i="6"/>
  <c r="F84" i="6"/>
  <c r="F22" i="6"/>
  <c r="F21" i="6"/>
  <c r="Q21" i="6" s="1"/>
  <c r="F91" i="6"/>
  <c r="F89" i="6"/>
  <c r="G24" i="6"/>
  <c r="G22" i="6"/>
  <c r="F497" i="6"/>
  <c r="F642" i="6"/>
  <c r="F641" i="6"/>
  <c r="G599" i="6"/>
  <c r="G598" i="6"/>
  <c r="F514" i="6"/>
  <c r="F513" i="6"/>
  <c r="G471" i="6"/>
  <c r="G470" i="6"/>
  <c r="F426" i="6"/>
  <c r="F425" i="6"/>
  <c r="F386" i="6"/>
  <c r="F385" i="6"/>
  <c r="F732" i="6"/>
  <c r="F731" i="6"/>
  <c r="F412" i="6"/>
  <c r="F411" i="6"/>
  <c r="F380" i="6"/>
  <c r="F379" i="6"/>
  <c r="F348" i="6"/>
  <c r="F347" i="6"/>
  <c r="F316" i="6"/>
  <c r="F315" i="6"/>
  <c r="G48" i="6"/>
  <c r="G47" i="6"/>
  <c r="G110" i="6"/>
  <c r="F212" i="6"/>
  <c r="G174" i="6"/>
  <c r="G532" i="6"/>
  <c r="F52" i="6"/>
  <c r="G723" i="6"/>
  <c r="G691" i="6"/>
  <c r="Q691" i="6" s="1"/>
  <c r="G659" i="6"/>
  <c r="Q659" i="6" s="1"/>
  <c r="G627" i="6"/>
  <c r="Q627" i="6" s="1"/>
  <c r="G595" i="6"/>
  <c r="G563" i="6"/>
  <c r="Q563" i="6" s="1"/>
  <c r="G531" i="6"/>
  <c r="Q531" i="6" s="1"/>
  <c r="G499" i="6"/>
  <c r="Q499" i="6" s="1"/>
  <c r="G467" i="6"/>
  <c r="G435" i="6"/>
  <c r="G688" i="6"/>
  <c r="G656" i="6"/>
  <c r="G624" i="6"/>
  <c r="G592" i="6"/>
  <c r="Q592" i="6" s="1"/>
  <c r="G560" i="6"/>
  <c r="Q560" i="6" s="1"/>
  <c r="G528" i="6"/>
  <c r="G496" i="6"/>
  <c r="G749" i="6"/>
  <c r="G685" i="6"/>
  <c r="G653" i="6"/>
  <c r="G621" i="6"/>
  <c r="G589" i="6"/>
  <c r="G557" i="6"/>
  <c r="G525" i="6"/>
  <c r="G493" i="6"/>
  <c r="F328" i="6"/>
  <c r="G714" i="6"/>
  <c r="Q714" i="6" s="1"/>
  <c r="F669" i="6"/>
  <c r="F629" i="6"/>
  <c r="G586" i="6"/>
  <c r="F541" i="6"/>
  <c r="F501" i="6"/>
  <c r="F724" i="6"/>
  <c r="F692" i="6"/>
  <c r="F660" i="6"/>
  <c r="F628" i="6"/>
  <c r="F596" i="6"/>
  <c r="F564" i="6"/>
  <c r="F532" i="6"/>
  <c r="F500" i="6"/>
  <c r="F468" i="6"/>
  <c r="F436" i="6"/>
  <c r="F404" i="6"/>
  <c r="F372" i="6"/>
  <c r="F340" i="6"/>
  <c r="F308" i="6"/>
  <c r="F443" i="6"/>
  <c r="F251" i="6"/>
  <c r="F219" i="6"/>
  <c r="G184" i="6"/>
  <c r="G308" i="6"/>
  <c r="F241" i="6"/>
  <c r="G12" i="6"/>
  <c r="G129" i="6"/>
  <c r="G422" i="6"/>
  <c r="G254" i="6"/>
  <c r="G674" i="6"/>
  <c r="G546" i="6"/>
  <c r="G458" i="6"/>
  <c r="G426" i="6"/>
  <c r="Q426" i="6" s="1"/>
  <c r="G394" i="6"/>
  <c r="F357" i="6"/>
  <c r="F325" i="6"/>
  <c r="F293" i="6"/>
  <c r="G212" i="6"/>
  <c r="F15" i="6"/>
  <c r="F370" i="6"/>
  <c r="G559" i="6"/>
  <c r="F378" i="6"/>
  <c r="G335" i="6"/>
  <c r="F290" i="6"/>
  <c r="F250" i="6"/>
  <c r="F162" i="6"/>
  <c r="G516" i="6"/>
  <c r="G404" i="6"/>
  <c r="Q404" i="6" s="1"/>
  <c r="F143" i="6"/>
  <c r="G257" i="6"/>
  <c r="G65" i="6"/>
  <c r="G359" i="6"/>
  <c r="F727" i="6"/>
  <c r="G332" i="6"/>
  <c r="G140" i="6"/>
  <c r="Q140" i="6" s="1"/>
  <c r="F433" i="6"/>
  <c r="G262" i="6"/>
  <c r="F121" i="6"/>
  <c r="F242" i="6"/>
  <c r="G251" i="6"/>
  <c r="G219" i="6"/>
  <c r="G187" i="6"/>
  <c r="Q187" i="6" s="1"/>
  <c r="G155" i="6"/>
  <c r="G123" i="6"/>
  <c r="G91" i="6"/>
  <c r="G59" i="6"/>
  <c r="Q59" i="6" s="1"/>
  <c r="G27" i="6"/>
  <c r="G168" i="6"/>
  <c r="G96" i="6"/>
  <c r="F35" i="6"/>
  <c r="F287" i="6"/>
  <c r="F236" i="6"/>
  <c r="F68" i="6"/>
  <c r="G741" i="6"/>
  <c r="Q741" i="6" s="1"/>
  <c r="G709" i="6"/>
  <c r="G581" i="6"/>
  <c r="Q581" i="6" s="1"/>
  <c r="G453" i="6"/>
  <c r="Q453" i="6" s="1"/>
  <c r="F384" i="6"/>
  <c r="G738" i="6"/>
  <c r="Q738" i="6" s="1"/>
  <c r="F701" i="6"/>
  <c r="F661" i="6"/>
  <c r="G618" i="6"/>
  <c r="Q618" i="6" s="1"/>
  <c r="F573" i="6"/>
  <c r="F533" i="6"/>
  <c r="G490" i="6"/>
  <c r="Q490" i="6" s="1"/>
  <c r="F748" i="6"/>
  <c r="F716" i="6"/>
  <c r="F684" i="6"/>
  <c r="F652" i="6"/>
  <c r="F620" i="6"/>
  <c r="F588" i="6"/>
  <c r="F556" i="6"/>
  <c r="F524" i="6"/>
  <c r="F492" i="6"/>
  <c r="F460" i="6"/>
  <c r="F428" i="6"/>
  <c r="F396" i="6"/>
  <c r="F364" i="6"/>
  <c r="F332" i="6"/>
  <c r="F467" i="6"/>
  <c r="F435" i="6"/>
  <c r="F403" i="6"/>
  <c r="F371" i="6"/>
  <c r="F339" i="6"/>
  <c r="F307" i="6"/>
  <c r="G73" i="6"/>
  <c r="G150" i="6"/>
  <c r="F306" i="6"/>
  <c r="F268" i="6"/>
  <c r="G642" i="6"/>
  <c r="G514" i="6"/>
  <c r="G450" i="6"/>
  <c r="G418" i="6"/>
  <c r="F349" i="6"/>
  <c r="F317" i="6"/>
  <c r="Q317" i="6" s="1"/>
  <c r="F285" i="6"/>
  <c r="F375" i="6"/>
  <c r="G172" i="6"/>
  <c r="F284" i="6"/>
  <c r="G687" i="6"/>
  <c r="G367" i="6"/>
  <c r="F322" i="6"/>
  <c r="F282" i="6"/>
  <c r="G239" i="6"/>
  <c r="F194" i="6"/>
  <c r="G111" i="6"/>
  <c r="F26" i="6"/>
  <c r="F391" i="6"/>
  <c r="G300" i="6"/>
  <c r="Q300" i="6" s="1"/>
  <c r="F95" i="6"/>
  <c r="F687" i="6"/>
  <c r="F655" i="6"/>
  <c r="F591" i="6"/>
  <c r="F559" i="6"/>
  <c r="F527" i="6"/>
  <c r="G492" i="6"/>
  <c r="G452" i="6"/>
  <c r="G76" i="6"/>
  <c r="G97" i="6"/>
  <c r="G390" i="6"/>
  <c r="G78" i="6"/>
  <c r="G275" i="6"/>
  <c r="G243" i="6"/>
  <c r="G211" i="6"/>
  <c r="G179" i="6"/>
  <c r="G147" i="6"/>
  <c r="G115" i="6"/>
  <c r="Q115" i="6" s="1"/>
  <c r="G83" i="6"/>
  <c r="G51" i="6"/>
  <c r="G19" i="6"/>
  <c r="F155" i="6"/>
  <c r="G80" i="6"/>
  <c r="F19" i="6"/>
  <c r="F239" i="6"/>
  <c r="G36" i="6"/>
  <c r="F196" i="6"/>
  <c r="G33" i="6"/>
  <c r="F42" i="6"/>
  <c r="F678" i="6"/>
  <c r="F646" i="6"/>
  <c r="F614" i="6"/>
  <c r="F582" i="6"/>
  <c r="F550" i="6"/>
  <c r="F518" i="6"/>
  <c r="F486" i="6"/>
  <c r="F454" i="6"/>
  <c r="F422" i="6"/>
  <c r="F294" i="6"/>
  <c r="F640" i="6"/>
  <c r="F512" i="6"/>
  <c r="G658" i="6"/>
  <c r="F613" i="6"/>
  <c r="G530" i="6"/>
  <c r="Q530" i="6" s="1"/>
  <c r="F485" i="6"/>
  <c r="G399" i="6"/>
  <c r="Q399" i="6" s="1"/>
  <c r="G745" i="6"/>
  <c r="Q745" i="6" s="1"/>
  <c r="G713" i="6"/>
  <c r="G681" i="6"/>
  <c r="G649" i="6"/>
  <c r="G617" i="6"/>
  <c r="G585" i="6"/>
  <c r="Q585" i="6" s="1"/>
  <c r="G553" i="6"/>
  <c r="G521" i="6"/>
  <c r="G489" i="6"/>
  <c r="G457" i="6"/>
  <c r="Q457" i="6" s="1"/>
  <c r="G425" i="6"/>
  <c r="Q425" i="6" s="1"/>
  <c r="G393" i="6"/>
  <c r="G361" i="6"/>
  <c r="G329" i="6"/>
  <c r="G464" i="6"/>
  <c r="G432" i="6"/>
  <c r="F27" i="6"/>
  <c r="F408" i="6"/>
  <c r="Q408" i="6" s="1"/>
  <c r="G245" i="6"/>
  <c r="G117" i="6"/>
  <c r="F185" i="6"/>
  <c r="G6" i="6"/>
  <c r="F445" i="6"/>
  <c r="F413" i="6"/>
  <c r="G282" i="6"/>
  <c r="F245" i="6"/>
  <c r="F213" i="6"/>
  <c r="F319" i="6"/>
  <c r="F127" i="6"/>
  <c r="G655" i="6"/>
  <c r="F362" i="6"/>
  <c r="G319" i="6"/>
  <c r="G279" i="6"/>
  <c r="F234" i="6"/>
  <c r="G191" i="6"/>
  <c r="G151" i="6"/>
  <c r="Q151" i="6" s="1"/>
  <c r="G63" i="6"/>
  <c r="G23" i="6"/>
  <c r="F447" i="6"/>
  <c r="G380" i="6"/>
  <c r="G268" i="6"/>
  <c r="F79" i="6"/>
  <c r="G193" i="6"/>
  <c r="F369" i="6"/>
  <c r="G62" i="6"/>
  <c r="G748" i="6"/>
  <c r="G716" i="6"/>
  <c r="G684" i="6"/>
  <c r="G652" i="6"/>
  <c r="G620" i="6"/>
  <c r="G588" i="6"/>
  <c r="G556" i="6"/>
  <c r="G524" i="6"/>
  <c r="G444" i="6"/>
  <c r="F383" i="6"/>
  <c r="F76" i="6"/>
  <c r="G198" i="6"/>
  <c r="F270" i="6"/>
  <c r="F238" i="6"/>
  <c r="F206" i="6"/>
  <c r="F174" i="6"/>
  <c r="F142" i="6"/>
  <c r="F110" i="6"/>
  <c r="F78" i="6"/>
  <c r="F46" i="6"/>
  <c r="F14" i="6"/>
  <c r="G144" i="6"/>
  <c r="G72" i="6"/>
  <c r="F11" i="6"/>
  <c r="G20" i="6"/>
  <c r="F164" i="6"/>
  <c r="G32" i="6"/>
  <c r="G206" i="6"/>
  <c r="G70" i="6"/>
  <c r="G18" i="6"/>
  <c r="F55" i="6"/>
  <c r="F742" i="6"/>
  <c r="G387" i="6"/>
  <c r="Q387" i="6" s="1"/>
  <c r="G355" i="6"/>
  <c r="G323" i="6"/>
  <c r="Q323" i="6" s="1"/>
  <c r="G669" i="6"/>
  <c r="G541" i="6"/>
  <c r="G413" i="6"/>
  <c r="G730" i="6"/>
  <c r="F693" i="6"/>
  <c r="G650" i="6"/>
  <c r="Q650" i="6" s="1"/>
  <c r="F605" i="6"/>
  <c r="F565" i="6"/>
  <c r="G522" i="6"/>
  <c r="F477" i="6"/>
  <c r="F730" i="6"/>
  <c r="F740" i="6"/>
  <c r="F708" i="6"/>
  <c r="F676" i="6"/>
  <c r="F644" i="6"/>
  <c r="F612" i="6"/>
  <c r="F580" i="6"/>
  <c r="F548" i="6"/>
  <c r="F516" i="6"/>
  <c r="F484" i="6"/>
  <c r="F452" i="6"/>
  <c r="F420" i="6"/>
  <c r="F388" i="6"/>
  <c r="F356" i="6"/>
  <c r="F324" i="6"/>
  <c r="F459" i="6"/>
  <c r="F427" i="6"/>
  <c r="F395" i="6"/>
  <c r="F363" i="6"/>
  <c r="F331" i="6"/>
  <c r="F299" i="6"/>
  <c r="F267" i="6"/>
  <c r="G200" i="6"/>
  <c r="G102" i="6"/>
  <c r="F272" i="6"/>
  <c r="F176" i="6"/>
  <c r="F112" i="6"/>
  <c r="G116" i="6"/>
  <c r="G166" i="6"/>
  <c r="G295" i="6"/>
  <c r="G610" i="6"/>
  <c r="Q610" i="6" s="1"/>
  <c r="G482" i="6"/>
  <c r="Q482" i="6" s="1"/>
  <c r="F373" i="6"/>
  <c r="F341" i="6"/>
  <c r="F309" i="6"/>
  <c r="F277" i="6"/>
  <c r="Q277" i="6" s="1"/>
  <c r="G108" i="6"/>
  <c r="F36" i="6"/>
  <c r="G463" i="6"/>
  <c r="F354" i="6"/>
  <c r="F314" i="6"/>
  <c r="G271" i="6"/>
  <c r="F226" i="6"/>
  <c r="F186" i="6"/>
  <c r="F98" i="6"/>
  <c r="F58" i="6"/>
  <c r="G364" i="6"/>
  <c r="F172" i="6"/>
  <c r="F338" i="6"/>
  <c r="F193" i="6"/>
  <c r="F49" i="6"/>
  <c r="G484" i="6"/>
  <c r="F439" i="6"/>
  <c r="G236" i="6"/>
  <c r="Q236" i="6" s="1"/>
  <c r="F292" i="6"/>
  <c r="G41" i="6"/>
  <c r="G38" i="6"/>
  <c r="G267" i="6"/>
  <c r="G235" i="6"/>
  <c r="G203" i="6"/>
  <c r="G171" i="6"/>
  <c r="G139" i="6"/>
  <c r="G107" i="6"/>
  <c r="G75" i="6"/>
  <c r="G43" i="6"/>
  <c r="G11" i="6"/>
  <c r="F139" i="6"/>
  <c r="F67" i="6"/>
  <c r="F53" i="6"/>
  <c r="G204" i="6"/>
  <c r="Q204" i="6" s="1"/>
  <c r="G263" i="6"/>
  <c r="G462" i="6"/>
  <c r="G190" i="6"/>
  <c r="G46" i="6"/>
  <c r="F699" i="6"/>
  <c r="F667" i="6"/>
  <c r="F635" i="6"/>
  <c r="F603" i="6"/>
  <c r="F571" i="6"/>
  <c r="F539" i="6"/>
  <c r="F507" i="6"/>
  <c r="F475" i="6"/>
  <c r="F696" i="6"/>
  <c r="Q696" i="6" s="1"/>
  <c r="F664" i="6"/>
  <c r="Q664" i="6" s="1"/>
  <c r="F632" i="6"/>
  <c r="Q632" i="6" s="1"/>
  <c r="F600" i="6"/>
  <c r="F568" i="6"/>
  <c r="Q568" i="6" s="1"/>
  <c r="F536" i="6"/>
  <c r="Q536" i="6" s="1"/>
  <c r="F504" i="6"/>
  <c r="Q504" i="6" s="1"/>
  <c r="F472" i="6"/>
  <c r="G373" i="6"/>
  <c r="F725" i="6"/>
  <c r="Q725" i="6" s="1"/>
  <c r="G690" i="6"/>
  <c r="F645" i="6"/>
  <c r="G562" i="6"/>
  <c r="Q562" i="6" s="1"/>
  <c r="F517" i="6"/>
  <c r="G737" i="6"/>
  <c r="G705" i="6"/>
  <c r="Q705" i="6" s="1"/>
  <c r="G673" i="6"/>
  <c r="Q673" i="6" s="1"/>
  <c r="G641" i="6"/>
  <c r="G609" i="6"/>
  <c r="Q609" i="6" s="1"/>
  <c r="G577" i="6"/>
  <c r="Q577" i="6" s="1"/>
  <c r="G545" i="6"/>
  <c r="Q545" i="6" s="1"/>
  <c r="G513" i="6"/>
  <c r="G481" i="6"/>
  <c r="G449" i="6"/>
  <c r="G417" i="6"/>
  <c r="G385" i="6"/>
  <c r="G353" i="6"/>
  <c r="Q353" i="6" s="1"/>
  <c r="G321" i="6"/>
  <c r="G456" i="6"/>
  <c r="G424" i="6"/>
  <c r="G392" i="6"/>
  <c r="G360" i="6"/>
  <c r="Q360" i="6" s="1"/>
  <c r="G328" i="6"/>
  <c r="G232" i="6"/>
  <c r="G302" i="6"/>
  <c r="F271" i="6"/>
  <c r="G84" i="6"/>
  <c r="G201" i="6"/>
  <c r="F82" i="6"/>
  <c r="F210" i="6"/>
  <c r="F469" i="6"/>
  <c r="F437" i="6"/>
  <c r="F405" i="6"/>
  <c r="G370" i="6"/>
  <c r="G338" i="6"/>
  <c r="G306" i="6"/>
  <c r="F149" i="6"/>
  <c r="F85" i="6"/>
  <c r="F279" i="6"/>
  <c r="F188" i="6"/>
  <c r="F602" i="6"/>
  <c r="F442" i="6"/>
  <c r="G351" i="6"/>
  <c r="G311" i="6"/>
  <c r="Q311" i="6" s="1"/>
  <c r="F266" i="6"/>
  <c r="G223" i="6"/>
  <c r="G183" i="6"/>
  <c r="G15" i="6"/>
  <c r="F431" i="6"/>
  <c r="F207" i="6"/>
  <c r="F156" i="6"/>
  <c r="F337" i="6"/>
  <c r="F33" i="6"/>
  <c r="G740" i="6"/>
  <c r="Q740" i="6" s="1"/>
  <c r="G708" i="6"/>
  <c r="G676" i="6"/>
  <c r="G644" i="6"/>
  <c r="Q644" i="6" s="1"/>
  <c r="G612" i="6"/>
  <c r="G580" i="6"/>
  <c r="G548" i="6"/>
  <c r="F511" i="6"/>
  <c r="F479" i="6"/>
  <c r="G428" i="6"/>
  <c r="F359" i="6"/>
  <c r="F215" i="6"/>
  <c r="F260" i="6"/>
  <c r="F20" i="6"/>
  <c r="F313" i="6"/>
  <c r="F9" i="6"/>
  <c r="F262" i="6"/>
  <c r="F230" i="6"/>
  <c r="F198" i="6"/>
  <c r="F166" i="6"/>
  <c r="F134" i="6"/>
  <c r="F102" i="6"/>
  <c r="F70" i="6"/>
  <c r="F38" i="6"/>
  <c r="F6" i="6"/>
  <c r="G128" i="6"/>
  <c r="G56" i="6"/>
  <c r="Q56" i="6" s="1"/>
  <c r="G34" i="6"/>
  <c r="Q34" i="6" s="1"/>
  <c r="F175" i="6"/>
  <c r="G446" i="6"/>
  <c r="G294" i="6"/>
  <c r="F41" i="6"/>
  <c r="F301" i="6"/>
  <c r="G591" i="6"/>
  <c r="G431" i="6"/>
  <c r="F346" i="6"/>
  <c r="G303" i="6"/>
  <c r="F258" i="6"/>
  <c r="F218" i="6"/>
  <c r="G175" i="6"/>
  <c r="F130" i="6"/>
  <c r="F90" i="6"/>
  <c r="G420" i="6"/>
  <c r="G348" i="6"/>
  <c r="F183" i="6"/>
  <c r="G137" i="6"/>
  <c r="F449" i="6"/>
  <c r="F321" i="6"/>
  <c r="F161" i="6"/>
  <c r="G14" i="6"/>
  <c r="F735" i="6"/>
  <c r="F703" i="6"/>
  <c r="F671" i="6"/>
  <c r="H673" i="6" s="1"/>
  <c r="F639" i="6"/>
  <c r="F607" i="6"/>
  <c r="F575" i="6"/>
  <c r="F543" i="6"/>
  <c r="G508" i="6"/>
  <c r="G476" i="6"/>
  <c r="F351" i="6"/>
  <c r="G241" i="6"/>
  <c r="F538" i="6"/>
  <c r="F153" i="6"/>
  <c r="G495" i="6"/>
  <c r="Q495" i="6" s="1"/>
  <c r="G259" i="6"/>
  <c r="G227" i="6"/>
  <c r="G195" i="6"/>
  <c r="G163" i="6"/>
  <c r="G131" i="6"/>
  <c r="G99" i="6"/>
  <c r="Q99" i="6" s="1"/>
  <c r="G67" i="6"/>
  <c r="G35" i="6"/>
  <c r="G208" i="6"/>
  <c r="F123" i="6"/>
  <c r="F51" i="6"/>
  <c r="G372" i="6"/>
  <c r="G148" i="6"/>
  <c r="G281" i="6"/>
  <c r="F108" i="6"/>
  <c r="G430" i="6"/>
  <c r="G278" i="6"/>
  <c r="F25" i="6"/>
  <c r="G199" i="6"/>
  <c r="G103" i="6"/>
  <c r="F752" i="6"/>
  <c r="F720" i="6"/>
  <c r="F624" i="6"/>
  <c r="F496" i="6"/>
  <c r="F749" i="6"/>
  <c r="F677" i="6"/>
  <c r="G594" i="6"/>
  <c r="Q594" i="6" s="1"/>
  <c r="F549" i="6"/>
  <c r="G751" i="6"/>
  <c r="Q751" i="6" s="1"/>
  <c r="G719" i="6"/>
  <c r="Q719" i="6" s="1"/>
  <c r="G729" i="6"/>
  <c r="Q729" i="6" s="1"/>
  <c r="G697" i="6"/>
  <c r="G665" i="6"/>
  <c r="Q665" i="6" s="1"/>
  <c r="G633" i="6"/>
  <c r="G601" i="6"/>
  <c r="Q601" i="6" s="1"/>
  <c r="G569" i="6"/>
  <c r="G537" i="6"/>
  <c r="Q537" i="6" s="1"/>
  <c r="G505" i="6"/>
  <c r="G473" i="6"/>
  <c r="G441" i="6"/>
  <c r="G409" i="6"/>
  <c r="G377" i="6"/>
  <c r="Q377" i="6" s="1"/>
  <c r="G345" i="6"/>
  <c r="G313" i="6"/>
  <c r="G448" i="6"/>
  <c r="G416" i="6"/>
  <c r="Q416" i="6" s="1"/>
  <c r="G384" i="6"/>
  <c r="G352" i="6"/>
  <c r="G320" i="6"/>
  <c r="G288" i="6"/>
  <c r="Q288" i="6" s="1"/>
  <c r="F327" i="6"/>
  <c r="F417" i="6"/>
  <c r="G229" i="6"/>
  <c r="G165" i="6"/>
  <c r="Q165" i="6" s="1"/>
  <c r="G101" i="6"/>
  <c r="F223" i="6"/>
  <c r="G28" i="6"/>
  <c r="G153" i="6"/>
  <c r="F441" i="6"/>
  <c r="G362" i="6"/>
  <c r="Q362" i="6" s="1"/>
  <c r="G330" i="6"/>
  <c r="Q330" i="6" s="1"/>
  <c r="G298" i="6"/>
  <c r="G44" i="6"/>
  <c r="F148" i="6"/>
  <c r="F666" i="6"/>
  <c r="F570" i="6"/>
  <c r="F402" i="6"/>
  <c r="G343" i="6"/>
  <c r="F298" i="6"/>
  <c r="G255" i="6"/>
  <c r="G215" i="6"/>
  <c r="F170" i="6"/>
  <c r="G87" i="6"/>
  <c r="Q87" i="6" s="1"/>
  <c r="G7" i="6"/>
  <c r="F415" i="6"/>
  <c r="F343" i="6"/>
  <c r="F159" i="6"/>
  <c r="F276" i="6"/>
  <c r="G438" i="6"/>
  <c r="F289" i="6"/>
  <c r="F145" i="6"/>
  <c r="G623" i="6"/>
  <c r="G732" i="6"/>
  <c r="G700" i="6"/>
  <c r="G668" i="6"/>
  <c r="G636" i="6"/>
  <c r="G604" i="6"/>
  <c r="Q604" i="6" s="1"/>
  <c r="G572" i="6"/>
  <c r="G540" i="6"/>
  <c r="Q540" i="6" s="1"/>
  <c r="F503" i="6"/>
  <c r="F471" i="6"/>
  <c r="G412" i="6"/>
  <c r="G340" i="6"/>
  <c r="Q340" i="6" s="1"/>
  <c r="G164" i="6"/>
  <c r="F465" i="6"/>
  <c r="F281" i="6"/>
  <c r="G134" i="6"/>
  <c r="G327" i="6"/>
  <c r="F254" i="6"/>
  <c r="F222" i="6"/>
  <c r="F190" i="6"/>
  <c r="F158" i="6"/>
  <c r="F126" i="6"/>
  <c r="Q126" i="6" s="1"/>
  <c r="F94" i="6"/>
  <c r="F62" i="6"/>
  <c r="F30" i="6"/>
  <c r="F179" i="6"/>
  <c r="F107" i="6"/>
  <c r="G40" i="6"/>
  <c r="F303" i="6"/>
  <c r="F111" i="6"/>
  <c r="G89" i="6"/>
  <c r="F265" i="6"/>
  <c r="G142" i="6"/>
  <c r="F381" i="6"/>
  <c r="F146" i="6"/>
  <c r="G71" i="6"/>
  <c r="Q1" i="7" l="1"/>
  <c r="I1" i="7"/>
  <c r="Q168" i="6"/>
  <c r="Q149" i="6"/>
  <c r="Q629" i="6"/>
  <c r="Q713" i="6"/>
  <c r="Q133" i="6"/>
  <c r="Q502" i="6"/>
  <c r="Q421" i="6"/>
  <c r="Q707" i="6"/>
  <c r="Q333" i="6"/>
  <c r="Q216" i="6"/>
  <c r="Q474" i="6"/>
  <c r="Q715" i="6"/>
  <c r="Q96" i="6"/>
  <c r="Q164" i="6"/>
  <c r="Q40" i="6"/>
  <c r="Q448" i="6"/>
  <c r="Q476" i="6"/>
  <c r="Q232" i="6"/>
  <c r="Q748" i="6"/>
  <c r="H376" i="6"/>
  <c r="Q547" i="6"/>
  <c r="Q630" i="6"/>
  <c r="Q63" i="6"/>
  <c r="Q598" i="6"/>
  <c r="Q320" i="6"/>
  <c r="Q97" i="6"/>
  <c r="Q50" i="6"/>
  <c r="Q35" i="6"/>
  <c r="Q737" i="6"/>
  <c r="Q144" i="6"/>
  <c r="Q191" i="6"/>
  <c r="Q60" i="6"/>
  <c r="Q424" i="6"/>
  <c r="Q513" i="6"/>
  <c r="Q462" i="6"/>
  <c r="Q283" i="6"/>
  <c r="Q384" i="6"/>
  <c r="Q638" i="6"/>
  <c r="Q278" i="6"/>
  <c r="Q620" i="6"/>
  <c r="Q142" i="6"/>
  <c r="Q489" i="6"/>
  <c r="Q80" i="6"/>
  <c r="Q211" i="6"/>
  <c r="Q412" i="6"/>
  <c r="Q700" i="6"/>
  <c r="Q690" i="6"/>
  <c r="Q171" i="6"/>
  <c r="Q355" i="6"/>
  <c r="Q553" i="6"/>
  <c r="Q723" i="6"/>
  <c r="Q138" i="6"/>
  <c r="Q15" i="6"/>
  <c r="Q444" i="6"/>
  <c r="Q606" i="6"/>
  <c r="Q702" i="6"/>
  <c r="Q328" i="6"/>
  <c r="Q390" i="6"/>
  <c r="Q57" i="6"/>
  <c r="Q409" i="6"/>
  <c r="Q259" i="6"/>
  <c r="Q335" i="6"/>
  <c r="Q129" i="6"/>
  <c r="Q747" i="6"/>
  <c r="Q697" i="6"/>
  <c r="Q681" i="6"/>
  <c r="Q147" i="6"/>
  <c r="Q656" i="6"/>
  <c r="H664" i="6"/>
  <c r="Q28" i="6"/>
  <c r="Q508" i="6"/>
  <c r="Q591" i="6"/>
  <c r="H468" i="6"/>
  <c r="Q523" i="6"/>
  <c r="Q89" i="6"/>
  <c r="Q208" i="6"/>
  <c r="Q649" i="6"/>
  <c r="Q555" i="6"/>
  <c r="Q481" i="6"/>
  <c r="H375" i="6"/>
  <c r="Q93" i="6"/>
  <c r="Q367" i="6"/>
  <c r="Q418" i="6"/>
  <c r="Q67" i="6"/>
  <c r="Q71" i="6"/>
  <c r="Q137" i="6"/>
  <c r="Q263" i="6"/>
  <c r="Q450" i="6"/>
  <c r="Q189" i="6"/>
  <c r="Q432" i="6"/>
  <c r="Q514" i="6"/>
  <c r="Q683" i="6"/>
  <c r="Q732" i="6"/>
  <c r="H433" i="6"/>
  <c r="Q275" i="6"/>
  <c r="H491" i="6"/>
  <c r="Q157" i="6"/>
  <c r="Q327" i="6"/>
  <c r="Q385" i="6"/>
  <c r="Q352" i="6"/>
  <c r="Q11" i="6"/>
  <c r="Q72" i="6"/>
  <c r="Q556" i="6"/>
  <c r="Q150" i="6"/>
  <c r="Q709" i="6"/>
  <c r="H466" i="6"/>
  <c r="H577" i="6"/>
  <c r="Q43" i="6"/>
  <c r="H730" i="6"/>
  <c r="Q394" i="6"/>
  <c r="Q12" i="6"/>
  <c r="Q64" i="6"/>
  <c r="Q17" i="6"/>
  <c r="Q306" i="6"/>
  <c r="Q75" i="6"/>
  <c r="Q541" i="6"/>
  <c r="H651" i="6"/>
  <c r="Q91" i="6"/>
  <c r="Q653" i="6"/>
  <c r="Q233" i="6"/>
  <c r="Q8" i="6"/>
  <c r="Q446" i="6"/>
  <c r="Q456" i="6"/>
  <c r="Q458" i="6"/>
  <c r="Q326" i="6"/>
  <c r="Q464" i="6"/>
  <c r="Q730" i="6"/>
  <c r="Q65" i="6"/>
  <c r="Q586" i="6"/>
  <c r="Q81" i="6"/>
  <c r="Q214" i="6"/>
  <c r="Q122" i="6"/>
  <c r="Q754" i="6"/>
  <c r="Q619" i="6"/>
  <c r="H594" i="6"/>
  <c r="H15" i="6"/>
  <c r="H408" i="6"/>
  <c r="Q241" i="6"/>
  <c r="Q364" i="6"/>
  <c r="H579" i="6"/>
  <c r="Q470" i="6"/>
  <c r="Q22" i="6"/>
  <c r="Q641" i="6"/>
  <c r="Q212" i="6"/>
  <c r="Q116" i="6"/>
  <c r="Q23" i="6"/>
  <c r="Q525" i="6"/>
  <c r="Q597" i="6"/>
  <c r="Q529" i="6"/>
  <c r="Q235" i="6"/>
  <c r="Q746" i="6"/>
  <c r="Q633" i="6"/>
  <c r="Q580" i="6"/>
  <c r="Q84" i="6"/>
  <c r="H595" i="6"/>
  <c r="Q595" i="6"/>
  <c r="Q670" i="6"/>
  <c r="Q636" i="6"/>
  <c r="Q103" i="6"/>
  <c r="Q372" i="6"/>
  <c r="Q163" i="6"/>
  <c r="H648" i="6"/>
  <c r="Q47" i="6"/>
  <c r="Q542" i="6"/>
  <c r="Q336" i="6"/>
  <c r="H305" i="6"/>
  <c r="H278" i="6"/>
  <c r="H192" i="6"/>
  <c r="Q199" i="6"/>
  <c r="Q420" i="6"/>
  <c r="Q676" i="6"/>
  <c r="Q380" i="6"/>
  <c r="Q184" i="6"/>
  <c r="Q368" i="6"/>
  <c r="Q256" i="6"/>
  <c r="H596" i="6"/>
  <c r="Q674" i="6"/>
  <c r="Q569" i="6"/>
  <c r="Q301" i="6"/>
  <c r="Q472" i="6"/>
  <c r="Q655" i="6"/>
  <c r="H593" i="6"/>
  <c r="Q219" i="6"/>
  <c r="Q54" i="6"/>
  <c r="Q345" i="6"/>
  <c r="Q617" i="6"/>
  <c r="Q119" i="6"/>
  <c r="Q506" i="6"/>
  <c r="Q13" i="6"/>
  <c r="H155" i="6"/>
  <c r="Q201" i="6"/>
  <c r="H508" i="6"/>
  <c r="Q38" i="6"/>
  <c r="H652" i="6"/>
  <c r="Q117" i="6"/>
  <c r="Q393" i="6"/>
  <c r="Q658" i="6"/>
  <c r="Q550" i="6"/>
  <c r="Q589" i="6"/>
  <c r="Q174" i="6"/>
  <c r="H135" i="6"/>
  <c r="H116" i="6"/>
  <c r="Q290" i="6"/>
  <c r="Q379" i="6"/>
  <c r="Q406" i="6"/>
  <c r="H693" i="6"/>
  <c r="Q274" i="6"/>
  <c r="Q192" i="6"/>
  <c r="H461" i="6"/>
  <c r="Q625" i="6"/>
  <c r="Q131" i="6"/>
  <c r="H136" i="6"/>
  <c r="Q429" i="6"/>
  <c r="Q61" i="6"/>
  <c r="Q101" i="6"/>
  <c r="Q139" i="6"/>
  <c r="H597" i="6"/>
  <c r="H507" i="6"/>
  <c r="H530" i="6"/>
  <c r="H475" i="6"/>
  <c r="Q678" i="6"/>
  <c r="Q243" i="6"/>
  <c r="Q255" i="6"/>
  <c r="Q484" i="6"/>
  <c r="Q466" i="6"/>
  <c r="Q419" i="6"/>
  <c r="H632" i="6"/>
  <c r="Q294" i="6"/>
  <c r="H329" i="6"/>
  <c r="Q148" i="6"/>
  <c r="Q612" i="6"/>
  <c r="Q370" i="6"/>
  <c r="Q321" i="6"/>
  <c r="H599" i="6"/>
  <c r="Q200" i="6"/>
  <c r="Q452" i="6"/>
  <c r="Q559" i="6"/>
  <c r="H629" i="6"/>
  <c r="Q252" i="6"/>
  <c r="Q136" i="6"/>
  <c r="Q411" i="6"/>
  <c r="Q180" i="6"/>
  <c r="Q439" i="6"/>
  <c r="Q195" i="6"/>
  <c r="Q431" i="6"/>
  <c r="H199" i="6"/>
  <c r="Q684" i="6"/>
  <c r="H529" i="6"/>
  <c r="Q461" i="6"/>
  <c r="Q596" i="6"/>
  <c r="Q315" i="6"/>
  <c r="Q141" i="6"/>
  <c r="Q169" i="6"/>
  <c r="Q215" i="6"/>
  <c r="Q128" i="6"/>
  <c r="H230" i="6"/>
  <c r="Q428" i="6"/>
  <c r="Q708" i="6"/>
  <c r="Q373" i="6"/>
  <c r="Q203" i="6"/>
  <c r="Q668" i="6"/>
  <c r="Q329" i="6"/>
  <c r="Q528" i="6"/>
  <c r="Q473" i="6"/>
  <c r="H344" i="6"/>
  <c r="Q229" i="6"/>
  <c r="Q505" i="6"/>
  <c r="Q430" i="6"/>
  <c r="H82" i="6"/>
  <c r="Q46" i="6"/>
  <c r="Q267" i="6"/>
  <c r="Q524" i="6"/>
  <c r="Q83" i="6"/>
  <c r="H657" i="6"/>
  <c r="Q239" i="6"/>
  <c r="Q251" i="6"/>
  <c r="Q753" i="6"/>
  <c r="Q246" i="6"/>
  <c r="Q378" i="6"/>
  <c r="Q698" i="6"/>
  <c r="Q626" i="6"/>
  <c r="Q305" i="6"/>
  <c r="Q293" i="6"/>
  <c r="Q190" i="6"/>
  <c r="Q36" i="6"/>
  <c r="Q27" i="6"/>
  <c r="Q599" i="6"/>
  <c r="Q582" i="6"/>
  <c r="Q92" i="6"/>
  <c r="Q247" i="6"/>
  <c r="Q415" i="6"/>
  <c r="Q356" i="6"/>
  <c r="Q507" i="6"/>
  <c r="Q699" i="6"/>
  <c r="Q58" i="6"/>
  <c r="Q436" i="6"/>
  <c r="Q238" i="6"/>
  <c r="Q299" i="6"/>
  <c r="Q383" i="6"/>
  <c r="Q42" i="6"/>
  <c r="Q517" i="6"/>
  <c r="Q68" i="6"/>
  <c r="H562" i="6"/>
  <c r="Q178" i="6"/>
  <c r="Q679" i="6"/>
  <c r="Q519" i="6"/>
  <c r="H524" i="6"/>
  <c r="Q339" i="6"/>
  <c r="H692" i="6"/>
  <c r="Q503" i="6"/>
  <c r="Q646" i="6"/>
  <c r="Q722" i="6"/>
  <c r="H505" i="6"/>
  <c r="Q623" i="6"/>
  <c r="Q351" i="6"/>
  <c r="Q338" i="6"/>
  <c r="Q41" i="6"/>
  <c r="Q102" i="6"/>
  <c r="Q18" i="6"/>
  <c r="Q257" i="6"/>
  <c r="Q31" i="6"/>
  <c r="Q573" i="6"/>
  <c r="Q237" i="6"/>
  <c r="Q386" i="6"/>
  <c r="Q298" i="6"/>
  <c r="Q441" i="6"/>
  <c r="H353" i="6"/>
  <c r="H705" i="6"/>
  <c r="Q348" i="6"/>
  <c r="H217" i="6"/>
  <c r="H407" i="6"/>
  <c r="Q302" i="6"/>
  <c r="Q107" i="6"/>
  <c r="Q463" i="6"/>
  <c r="Q413" i="6"/>
  <c r="Q588" i="6"/>
  <c r="Q193" i="6"/>
  <c r="Q245" i="6"/>
  <c r="Q76" i="6"/>
  <c r="Q73" i="6"/>
  <c r="Q621" i="6"/>
  <c r="Q624" i="6"/>
  <c r="Q82" i="6"/>
  <c r="Q454" i="6"/>
  <c r="Q159" i="6"/>
  <c r="Q583" i="6"/>
  <c r="Q135" i="6"/>
  <c r="Q29" i="6"/>
  <c r="Q357" i="6"/>
  <c r="Q570" i="6"/>
  <c r="Q437" i="6"/>
  <c r="Q331" i="6"/>
  <c r="Q692" i="6"/>
  <c r="Q170" i="6"/>
  <c r="Q511" i="6"/>
  <c r="Q558" i="6"/>
  <c r="Q645" i="6"/>
  <c r="Q316" i="6"/>
  <c r="Q643" i="6"/>
  <c r="Q167" i="6"/>
  <c r="Q701" i="6"/>
  <c r="Q648" i="6"/>
  <c r="Q667" i="6"/>
  <c r="Q291" i="6"/>
  <c r="Q371" i="6"/>
  <c r="Q631" i="6"/>
  <c r="Q726" i="6"/>
  <c r="Q226" i="6"/>
  <c r="Q533" i="6"/>
  <c r="Q567" i="6"/>
  <c r="Q354" i="6"/>
  <c r="Q213" i="6"/>
  <c r="Q539" i="6"/>
  <c r="Q295" i="6"/>
  <c r="Q70" i="6"/>
  <c r="Q179" i="6"/>
  <c r="Q262" i="6"/>
  <c r="Q110" i="6"/>
  <c r="Q145" i="6"/>
  <c r="Q188" i="6"/>
  <c r="Q30" i="6"/>
  <c r="Q388" i="6"/>
  <c r="Q571" i="6"/>
  <c r="Q468" i="6"/>
  <c r="Q231" i="6"/>
  <c r="Q363" i="6"/>
  <c r="Q460" i="6"/>
  <c r="Q86" i="6"/>
  <c r="Q218" i="6"/>
  <c r="Q639" i="6"/>
  <c r="Q724" i="6"/>
  <c r="Q478" i="6"/>
  <c r="Q447" i="6"/>
  <c r="Q693" i="6"/>
  <c r="Q161" i="6"/>
  <c r="Q731" i="6"/>
  <c r="Q112" i="6"/>
  <c r="Q733" i="6"/>
  <c r="Q607" i="6"/>
  <c r="Q397" i="6"/>
  <c r="Q403" i="6"/>
  <c r="Q258" i="6"/>
  <c r="Q194" i="6"/>
  <c r="Q512" i="6"/>
  <c r="Q5" i="6"/>
  <c r="Q695" i="6"/>
  <c r="Q488" i="6"/>
  <c r="Q130" i="6"/>
  <c r="Q343" i="6"/>
  <c r="H361" i="6"/>
  <c r="Q227" i="6"/>
  <c r="Q14" i="6"/>
  <c r="Q183" i="6"/>
  <c r="Q417" i="6"/>
  <c r="Q108" i="6"/>
  <c r="Q166" i="6"/>
  <c r="Q522" i="6"/>
  <c r="Q669" i="6"/>
  <c r="Q206" i="6"/>
  <c r="Q198" i="6"/>
  <c r="Q652" i="6"/>
  <c r="Q268" i="6"/>
  <c r="Q279" i="6"/>
  <c r="Q282" i="6"/>
  <c r="Q492" i="6"/>
  <c r="Q687" i="6"/>
  <c r="Q123" i="6"/>
  <c r="Q308" i="6"/>
  <c r="Q685" i="6"/>
  <c r="Q688" i="6"/>
  <c r="Q146" i="6"/>
  <c r="Q666" i="6"/>
  <c r="Q711" i="6"/>
  <c r="Q253" i="6"/>
  <c r="Q660" i="6"/>
  <c r="Q389" i="6"/>
  <c r="Q314" i="6"/>
  <c r="Q442" i="6"/>
  <c r="Q602" i="6"/>
  <c r="Q220" i="6"/>
  <c r="Q469" i="6"/>
  <c r="Q565" i="6"/>
  <c r="Q287" i="6"/>
  <c r="Q154" i="6"/>
  <c r="Q433" i="6"/>
  <c r="Q689" i="6"/>
  <c r="Q395" i="6"/>
  <c r="Q654" i="6"/>
  <c r="Q127" i="6"/>
  <c r="Q250" i="6"/>
  <c r="Q53" i="6"/>
  <c r="Q622" i="6"/>
  <c r="Q9" i="6"/>
  <c r="Q518" i="6"/>
  <c r="Q265" i="6"/>
  <c r="Q575" i="6"/>
  <c r="Q225" i="6"/>
  <c r="Q79" i="6"/>
  <c r="Q16" i="6"/>
  <c r="Q176" i="6"/>
  <c r="Q276" i="6"/>
  <c r="Q486" i="6"/>
  <c r="Q480" i="6"/>
  <c r="Q647" i="6"/>
  <c r="Q10" i="6"/>
  <c r="Q549" i="6"/>
  <c r="Q209" i="6"/>
  <c r="Q125" i="6"/>
  <c r="Q37" i="6"/>
  <c r="Q661" i="6"/>
  <c r="Q341" i="6"/>
  <c r="Q552" i="6"/>
  <c r="Q535" i="6"/>
  <c r="Q303" i="6"/>
  <c r="H545" i="6"/>
  <c r="Q223" i="6"/>
  <c r="Q449" i="6"/>
  <c r="H564" i="6"/>
  <c r="Q32" i="6"/>
  <c r="Q319" i="6"/>
  <c r="Q521" i="6"/>
  <c r="H715" i="6"/>
  <c r="Q155" i="6"/>
  <c r="Q516" i="6"/>
  <c r="Q546" i="6"/>
  <c r="Q749" i="6"/>
  <c r="Q435" i="6"/>
  <c r="Q48" i="6"/>
  <c r="Q471" i="6"/>
  <c r="Q742" i="6"/>
  <c r="Q628" i="6"/>
  <c r="Q337" i="6"/>
  <c r="Q443" i="6"/>
  <c r="Q603" i="6"/>
  <c r="Q221" i="6"/>
  <c r="Q500" i="6"/>
  <c r="Q156" i="6"/>
  <c r="Q375" i="6"/>
  <c r="Q465" i="6"/>
  <c r="Q543" i="6"/>
  <c r="Q427" i="6"/>
  <c r="Q272" i="6"/>
  <c r="Q694" i="6"/>
  <c r="Q85" i="6"/>
  <c r="Q349" i="6"/>
  <c r="Q590" i="6"/>
  <c r="Q74" i="6"/>
  <c r="Q100" i="6"/>
  <c r="Q703" i="6"/>
  <c r="Q264" i="6"/>
  <c r="Q26" i="6"/>
  <c r="Q608" i="6"/>
  <c r="Q266" i="6"/>
  <c r="Q398" i="6"/>
  <c r="Q614" i="6"/>
  <c r="Q677" i="6"/>
  <c r="Q396" i="6"/>
  <c r="Q584" i="6"/>
  <c r="Q554" i="6"/>
  <c r="Q158" i="6"/>
  <c r="Q7" i="6"/>
  <c r="Q134" i="6"/>
  <c r="Q153" i="6"/>
  <c r="Q313" i="6"/>
  <c r="Q175" i="6"/>
  <c r="Q392" i="6"/>
  <c r="H226" i="6"/>
  <c r="H114" i="6"/>
  <c r="H708" i="6"/>
  <c r="Q716" i="6"/>
  <c r="Q19" i="6"/>
  <c r="Q111" i="6"/>
  <c r="Q172" i="6"/>
  <c r="Q642" i="6"/>
  <c r="Q332" i="6"/>
  <c r="Q493" i="6"/>
  <c r="Q496" i="6"/>
  <c r="Q467" i="6"/>
  <c r="Q24" i="6"/>
  <c r="Q369" i="6"/>
  <c r="Q743" i="6"/>
  <c r="Q124" i="6"/>
  <c r="Q538" i="6"/>
  <c r="Q400" i="6"/>
  <c r="Q346" i="6"/>
  <c r="Q720" i="6"/>
  <c r="Q230" i="6"/>
  <c r="Q501" i="6"/>
  <c r="Q494" i="6"/>
  <c r="Q269" i="6"/>
  <c r="Q497" i="6"/>
  <c r="Q671" i="6"/>
  <c r="Q459" i="6"/>
  <c r="Q304" i="6"/>
  <c r="Q25" i="6"/>
  <c r="Q181" i="6"/>
  <c r="Q662" i="6"/>
  <c r="Q261" i="6"/>
  <c r="Q735" i="6"/>
  <c r="Q566" i="6"/>
  <c r="Q296" i="6"/>
  <c r="Q402" i="6"/>
  <c r="Q210" i="6"/>
  <c r="Q455" i="6"/>
  <c r="Q217" i="6"/>
  <c r="Q55" i="6"/>
  <c r="Q391" i="6"/>
  <c r="Q727" i="6"/>
  <c r="Q297" i="6"/>
  <c r="Q94" i="6"/>
  <c r="Q292" i="6"/>
  <c r="Q600" i="6"/>
  <c r="Q334" i="6"/>
  <c r="Q240" i="6"/>
  <c r="Q152" i="6"/>
  <c r="Q640" i="6"/>
  <c r="Q616" i="6"/>
  <c r="Q682" i="6"/>
  <c r="Q572" i="6"/>
  <c r="H133" i="6"/>
  <c r="Q548" i="6"/>
  <c r="Q271" i="6"/>
  <c r="Q20" i="6"/>
  <c r="Q6" i="6"/>
  <c r="Q33" i="6"/>
  <c r="Q51" i="6"/>
  <c r="Q78" i="6"/>
  <c r="Q254" i="6"/>
  <c r="Q564" i="6"/>
  <c r="Q752" i="6"/>
  <c r="Q185" i="6"/>
  <c r="Q527" i="6"/>
  <c r="Q324" i="6"/>
  <c r="Q347" i="6"/>
  <c r="Q475" i="6"/>
  <c r="Q635" i="6"/>
  <c r="Q721" i="6"/>
  <c r="Q284" i="6"/>
  <c r="Q90" i="6"/>
  <c r="Q309" i="6"/>
  <c r="Q706" i="6"/>
  <c r="Q477" i="6"/>
  <c r="Q121" i="6"/>
  <c r="Q95" i="6"/>
  <c r="Q202" i="6"/>
  <c r="Q686" i="6"/>
  <c r="Q242" i="6"/>
  <c r="Q249" i="6"/>
  <c r="Q280" i="6"/>
  <c r="Q66" i="6"/>
  <c r="Q423" i="6"/>
  <c r="Q222" i="6"/>
  <c r="Q485" i="6"/>
  <c r="Q143" i="6"/>
  <c r="Q77" i="6"/>
  <c r="Q366" i="6"/>
  <c r="Q197" i="6"/>
  <c r="Q98" i="6"/>
  <c r="Q322" i="6"/>
  <c r="Q680" i="6"/>
  <c r="Q509" i="6"/>
  <c r="Q162" i="6"/>
  <c r="H113" i="6"/>
  <c r="Q438" i="6"/>
  <c r="Q44" i="6"/>
  <c r="Q281" i="6"/>
  <c r="Q62" i="6"/>
  <c r="Q361" i="6"/>
  <c r="H306" i="6"/>
  <c r="Q359" i="6"/>
  <c r="Q422" i="6"/>
  <c r="Q557" i="6"/>
  <c r="Q532" i="6"/>
  <c r="Q289" i="6"/>
  <c r="Q186" i="6"/>
  <c r="Q49" i="6"/>
  <c r="Q325" i="6"/>
  <c r="Q285" i="6"/>
  <c r="Q273" i="6"/>
  <c r="Q405" i="6"/>
  <c r="Q605" i="6"/>
  <c r="Q260" i="6"/>
  <c r="Q182" i="6"/>
  <c r="Q234" i="6"/>
  <c r="Q52" i="6"/>
  <c r="Q39" i="6"/>
  <c r="Q445" i="6"/>
  <c r="Q551" i="6"/>
  <c r="Q613" i="6"/>
  <c r="Q270" i="6"/>
  <c r="Q479" i="6"/>
  <c r="Q109" i="6"/>
  <c r="Q196" i="6"/>
  <c r="Q307" i="6"/>
  <c r="Q381" i="6"/>
  <c r="Q132" i="6"/>
  <c r="Q520" i="6"/>
  <c r="Q358" i="6"/>
  <c r="Q228" i="6"/>
  <c r="Q663" i="6"/>
  <c r="Q712" i="6"/>
  <c r="Q637" i="6"/>
  <c r="Q105" i="6"/>
  <c r="Q207" i="6"/>
  <c r="I532" i="6"/>
  <c r="I596" i="6"/>
  <c r="I395" i="6"/>
  <c r="I564" i="6"/>
  <c r="I726" i="6"/>
  <c r="I364" i="6"/>
  <c r="I396" i="6"/>
  <c r="I467" i="6"/>
  <c r="H242" i="6"/>
  <c r="I531" i="6"/>
  <c r="H153" i="6"/>
  <c r="H600" i="6"/>
  <c r="H707" i="6"/>
  <c r="H548" i="6"/>
  <c r="H725" i="6"/>
  <c r="I376" i="6"/>
  <c r="H262" i="6"/>
  <c r="H591" i="6"/>
  <c r="H115" i="6"/>
  <c r="H7" i="6"/>
  <c r="H355" i="6"/>
  <c r="H378" i="6"/>
  <c r="H483" i="6"/>
  <c r="H448" i="6"/>
  <c r="H699" i="6"/>
  <c r="H434" i="6"/>
  <c r="H611" i="6"/>
  <c r="H406" i="6"/>
  <c r="H660" i="6"/>
  <c r="H667" i="6"/>
  <c r="H739" i="6"/>
  <c r="H616" i="6"/>
  <c r="H442" i="6"/>
  <c r="H565" i="6"/>
  <c r="H12" i="6"/>
  <c r="H168" i="6"/>
  <c r="H209" i="6"/>
  <c r="I355" i="6"/>
  <c r="I459" i="6"/>
  <c r="H689" i="6"/>
  <c r="H377" i="6"/>
  <c r="H398" i="6"/>
  <c r="H392" i="6"/>
  <c r="H160" i="6"/>
  <c r="H16" i="6"/>
  <c r="H161" i="6"/>
  <c r="H225" i="6"/>
  <c r="H609" i="6"/>
  <c r="I451" i="6"/>
  <c r="H506" i="6"/>
  <c r="H613" i="6"/>
  <c r="H744" i="6"/>
  <c r="H45" i="6"/>
  <c r="H247" i="6"/>
  <c r="H393" i="6"/>
  <c r="H249" i="6"/>
  <c r="H191" i="6"/>
  <c r="I676" i="6"/>
  <c r="H304" i="6"/>
  <c r="H307" i="6"/>
  <c r="H257" i="6"/>
  <c r="H523" i="6"/>
  <c r="H690" i="6"/>
  <c r="H641" i="6"/>
  <c r="I139" i="6"/>
  <c r="H11" i="6"/>
  <c r="H603" i="6"/>
  <c r="H273" i="6"/>
  <c r="H476" i="6"/>
  <c r="H79" i="6"/>
  <c r="H77" i="6"/>
  <c r="I284" i="6"/>
  <c r="H320" i="6"/>
  <c r="H181" i="6"/>
  <c r="H71" i="6"/>
  <c r="H55" i="6"/>
  <c r="I612" i="6"/>
  <c r="I732" i="6"/>
  <c r="H111" i="6"/>
  <c r="H561" i="6"/>
  <c r="H556" i="6"/>
  <c r="H120" i="6"/>
  <c r="H500" i="6"/>
  <c r="H237" i="6"/>
  <c r="I411" i="6"/>
  <c r="H258" i="6"/>
  <c r="H104" i="6"/>
  <c r="H66" i="6"/>
  <c r="H98" i="6"/>
  <c r="H731" i="6"/>
  <c r="H488" i="6"/>
  <c r="H334" i="6"/>
  <c r="H33" i="6"/>
  <c r="H32" i="6"/>
  <c r="I332" i="6"/>
  <c r="H64" i="6"/>
  <c r="H143" i="6"/>
  <c r="H498" i="6"/>
  <c r="H533" i="6"/>
  <c r="H52" i="6"/>
  <c r="H737" i="6"/>
  <c r="H633" i="6"/>
  <c r="H139" i="6"/>
  <c r="H397" i="6"/>
  <c r="H486" i="6"/>
  <c r="H742" i="6"/>
  <c r="H13" i="6"/>
  <c r="H277" i="6"/>
  <c r="H622" i="6"/>
  <c r="H384" i="6"/>
  <c r="H711" i="6"/>
  <c r="H239" i="6"/>
  <c r="H150" i="6"/>
  <c r="H383" i="6"/>
  <c r="H256" i="6"/>
  <c r="H473" i="6"/>
  <c r="H416" i="6"/>
  <c r="H752" i="6"/>
  <c r="H346" i="6"/>
  <c r="H87" i="6"/>
  <c r="I419" i="6"/>
  <c r="H519" i="6"/>
  <c r="H698" i="6"/>
  <c r="H636" i="6"/>
  <c r="H584" i="6"/>
  <c r="H241" i="6"/>
  <c r="H379" i="6"/>
  <c r="H492" i="6"/>
  <c r="H729" i="6"/>
  <c r="I627" i="6"/>
  <c r="H720" i="6"/>
  <c r="H25" i="6"/>
  <c r="H9" i="6"/>
  <c r="H233" i="6"/>
  <c r="H96" i="6"/>
  <c r="H282" i="6"/>
  <c r="H291" i="6"/>
  <c r="H568" i="6"/>
  <c r="H536" i="6"/>
  <c r="H132" i="6"/>
  <c r="H65" i="6"/>
  <c r="I308" i="6"/>
  <c r="I692" i="6"/>
  <c r="H537" i="6"/>
  <c r="H50" i="6"/>
  <c r="H325" i="6"/>
  <c r="H582" i="6"/>
  <c r="H385" i="6"/>
  <c r="H449" i="6"/>
  <c r="H154" i="6"/>
  <c r="I36" i="6"/>
  <c r="H182" i="6"/>
  <c r="H481" i="6"/>
  <c r="H569" i="6"/>
  <c r="H614" i="6"/>
  <c r="I524" i="6"/>
  <c r="H144" i="6"/>
  <c r="H446" i="6"/>
  <c r="H532" i="6"/>
  <c r="H456" i="6"/>
  <c r="H250" i="6"/>
  <c r="H49" i="6"/>
  <c r="H73" i="6"/>
  <c r="H118" i="6"/>
  <c r="I306" i="6"/>
  <c r="H179" i="6"/>
  <c r="H504" i="6"/>
  <c r="H626" i="6"/>
  <c r="H39" i="6"/>
  <c r="H513" i="6"/>
  <c r="H35" i="6"/>
  <c r="I233" i="6"/>
  <c r="I323" i="6"/>
  <c r="H704" i="6"/>
  <c r="H390" i="6"/>
  <c r="H646" i="6"/>
  <c r="H286" i="6"/>
  <c r="I452" i="6"/>
  <c r="H462" i="6"/>
  <c r="H663" i="6"/>
  <c r="I716" i="6"/>
  <c r="H521" i="6"/>
  <c r="H557" i="6"/>
  <c r="H171" i="6"/>
  <c r="H312" i="6"/>
  <c r="H333" i="6"/>
  <c r="H186" i="6"/>
  <c r="H520" i="6"/>
  <c r="I516" i="6"/>
  <c r="H748" i="6"/>
  <c r="H531" i="6"/>
  <c r="H413" i="6"/>
  <c r="H88" i="6"/>
  <c r="H183" i="6"/>
  <c r="H736" i="6"/>
  <c r="I694" i="6"/>
  <c r="H147" i="6"/>
  <c r="H366" i="6"/>
  <c r="H432" i="6"/>
  <c r="H53" i="6"/>
  <c r="H106" i="6"/>
  <c r="H418" i="6"/>
  <c r="I730" i="6"/>
  <c r="H124" i="6"/>
  <c r="H18" i="6"/>
  <c r="H439" i="6"/>
  <c r="H10" i="6"/>
  <c r="H294" i="6"/>
  <c r="H14" i="6"/>
  <c r="H454" i="6"/>
  <c r="H710" i="6"/>
  <c r="H240" i="6"/>
  <c r="H487" i="6"/>
  <c r="H526" i="6"/>
  <c r="H563" i="6"/>
  <c r="H553" i="6"/>
  <c r="H681" i="6"/>
  <c r="I604" i="6"/>
  <c r="I88" i="6"/>
  <c r="I87" i="6"/>
  <c r="I89" i="6"/>
  <c r="I322" i="6"/>
  <c r="I283" i="6"/>
  <c r="I282" i="6"/>
  <c r="I330" i="6"/>
  <c r="H340" i="6"/>
  <c r="I554" i="6"/>
  <c r="I552" i="6"/>
  <c r="I551" i="6"/>
  <c r="I555" i="6"/>
  <c r="I553" i="6"/>
  <c r="I97" i="6"/>
  <c r="I98" i="6"/>
  <c r="I96" i="6"/>
  <c r="I186" i="6"/>
  <c r="H214" i="6"/>
  <c r="H639" i="6"/>
  <c r="I566" i="6"/>
  <c r="H83" i="6"/>
  <c r="I255" i="6"/>
  <c r="I417" i="6"/>
  <c r="I749" i="6"/>
  <c r="I734" i="6"/>
  <c r="I733" i="6"/>
  <c r="H300" i="6"/>
  <c r="I230" i="6"/>
  <c r="I231" i="6"/>
  <c r="I314" i="6"/>
  <c r="I315" i="6"/>
  <c r="H267" i="6"/>
  <c r="I136" i="6"/>
  <c r="I135" i="6"/>
  <c r="I134" i="6"/>
  <c r="I542" i="6"/>
  <c r="I541" i="6"/>
  <c r="H404" i="6"/>
  <c r="I299" i="6"/>
  <c r="I298" i="6"/>
  <c r="I300" i="6"/>
  <c r="I290" i="6"/>
  <c r="I378" i="6"/>
  <c r="I377" i="6"/>
  <c r="I379" i="6"/>
  <c r="I635" i="6"/>
  <c r="I631" i="6"/>
  <c r="I632" i="6"/>
  <c r="I634" i="6"/>
  <c r="I633" i="6"/>
  <c r="H551" i="6"/>
  <c r="H722" i="6"/>
  <c r="H472" i="6"/>
  <c r="H728" i="6"/>
  <c r="H571" i="6"/>
  <c r="H110" i="6"/>
  <c r="I68" i="6"/>
  <c r="I69" i="6"/>
  <c r="H451" i="6"/>
  <c r="H92" i="6"/>
  <c r="I592" i="6"/>
  <c r="I593" i="6"/>
  <c r="H177" i="6"/>
  <c r="I614" i="6"/>
  <c r="I613" i="6"/>
  <c r="H158" i="6"/>
  <c r="I182" i="6"/>
  <c r="I185" i="6"/>
  <c r="I183" i="6"/>
  <c r="I184" i="6"/>
  <c r="H281" i="6"/>
  <c r="I86" i="6"/>
  <c r="I387" i="6"/>
  <c r="I641" i="6"/>
  <c r="I642" i="6"/>
  <c r="I639" i="6"/>
  <c r="I640" i="6"/>
  <c r="I643" i="6"/>
  <c r="H666" i="6"/>
  <c r="H605" i="6"/>
  <c r="H672" i="6"/>
  <c r="I47" i="6"/>
  <c r="I48" i="6"/>
  <c r="I12" i="6"/>
  <c r="I13" i="6"/>
  <c r="I11" i="6"/>
  <c r="I10" i="6"/>
  <c r="I269" i="6"/>
  <c r="I268" i="6"/>
  <c r="I267" i="6"/>
  <c r="I266" i="6"/>
  <c r="H195" i="6"/>
  <c r="H206" i="6"/>
  <c r="I484" i="6"/>
  <c r="H269" i="6"/>
  <c r="H358" i="6"/>
  <c r="H484" i="6"/>
  <c r="H695" i="6"/>
  <c r="I356" i="6"/>
  <c r="I357" i="6"/>
  <c r="H166" i="6"/>
  <c r="H112" i="6"/>
  <c r="I717" i="6"/>
  <c r="I718" i="6"/>
  <c r="I382" i="6"/>
  <c r="H236" i="6"/>
  <c r="H103" i="6"/>
  <c r="I434" i="6"/>
  <c r="I520" i="6"/>
  <c r="I523" i="6"/>
  <c r="I521" i="6"/>
  <c r="I522" i="6"/>
  <c r="I519" i="6"/>
  <c r="I401" i="6"/>
  <c r="I399" i="6"/>
  <c r="I400" i="6"/>
  <c r="H610" i="6"/>
  <c r="H581" i="6"/>
  <c r="H360" i="6"/>
  <c r="H21" i="6"/>
  <c r="I179" i="6"/>
  <c r="I178" i="6"/>
  <c r="I180" i="6"/>
  <c r="I181" i="6"/>
  <c r="I454" i="6"/>
  <c r="I453" i="6"/>
  <c r="I302" i="6"/>
  <c r="I301" i="6"/>
  <c r="H196" i="6"/>
  <c r="I644" i="6"/>
  <c r="H122" i="6"/>
  <c r="H245" i="6"/>
  <c r="H590" i="6"/>
  <c r="I620" i="6"/>
  <c r="I455" i="6"/>
  <c r="I711" i="6"/>
  <c r="H37" i="6"/>
  <c r="I189" i="6"/>
  <c r="I334" i="6"/>
  <c r="I333" i="6"/>
  <c r="H36" i="6"/>
  <c r="H292" i="6"/>
  <c r="H47" i="6"/>
  <c r="I548" i="6"/>
  <c r="H61" i="6"/>
  <c r="H374" i="6"/>
  <c r="H630" i="6"/>
  <c r="H716" i="6"/>
  <c r="H671" i="6"/>
  <c r="I527" i="6"/>
  <c r="I498" i="6"/>
  <c r="I597" i="6"/>
  <c r="I534" i="6"/>
  <c r="H193" i="6"/>
  <c r="H382" i="6"/>
  <c r="H606" i="6"/>
  <c r="H427" i="6"/>
  <c r="I600" i="6"/>
  <c r="H747" i="6"/>
  <c r="H86" i="6"/>
  <c r="H42" i="6"/>
  <c r="H202" i="6"/>
  <c r="I668" i="6"/>
  <c r="H431" i="6"/>
  <c r="H560" i="6"/>
  <c r="H719" i="6"/>
  <c r="I289" i="6"/>
  <c r="H227" i="6"/>
  <c r="H119" i="6"/>
  <c r="I544" i="6"/>
  <c r="H203" i="6"/>
  <c r="I745" i="6"/>
  <c r="I254" i="6"/>
  <c r="H121" i="6"/>
  <c r="I138" i="6"/>
  <c r="I540" i="6"/>
  <c r="I728" i="6"/>
  <c r="I416" i="6"/>
  <c r="I391" i="6"/>
  <c r="H522" i="6"/>
  <c r="H650" i="6"/>
  <c r="H525" i="6"/>
  <c r="I316" i="6"/>
  <c r="I444" i="6"/>
  <c r="I573" i="6"/>
  <c r="H735" i="6"/>
  <c r="H76" i="6"/>
  <c r="I723" i="6"/>
  <c r="I63" i="6"/>
  <c r="H276" i="6"/>
  <c r="H527" i="6"/>
  <c r="H402" i="6"/>
  <c r="I748" i="6"/>
  <c r="I288" i="6"/>
  <c r="I287" i="6"/>
  <c r="H128" i="6"/>
  <c r="H467" i="6"/>
  <c r="I606" i="6"/>
  <c r="I440" i="6"/>
  <c r="H668" i="6"/>
  <c r="H263" i="6"/>
  <c r="H142" i="6"/>
  <c r="I354" i="6"/>
  <c r="I441" i="6"/>
  <c r="I443" i="6"/>
  <c r="I442" i="6"/>
  <c r="I699" i="6"/>
  <c r="I697" i="6"/>
  <c r="I698" i="6"/>
  <c r="I695" i="6"/>
  <c r="I696" i="6"/>
  <c r="H679" i="6"/>
  <c r="H501" i="6"/>
  <c r="H280" i="6"/>
  <c r="I150" i="6"/>
  <c r="I132" i="6"/>
  <c r="I133" i="6"/>
  <c r="I243" i="6"/>
  <c r="I242" i="6"/>
  <c r="H185" i="6"/>
  <c r="I177" i="6"/>
  <c r="I57" i="6"/>
  <c r="I55" i="6"/>
  <c r="I58" i="6"/>
  <c r="I54" i="6"/>
  <c r="I56" i="6"/>
  <c r="H200" i="6"/>
  <c r="I678" i="6"/>
  <c r="I677" i="6"/>
  <c r="H268" i="6"/>
  <c r="H151" i="6"/>
  <c r="H471" i="6"/>
  <c r="H95" i="6"/>
  <c r="I362" i="6"/>
  <c r="I706" i="6"/>
  <c r="I705" i="6"/>
  <c r="I703" i="6"/>
  <c r="I704" i="6"/>
  <c r="I707" i="6"/>
  <c r="H647" i="6"/>
  <c r="H474" i="6"/>
  <c r="H669" i="6"/>
  <c r="H480" i="6"/>
  <c r="H675" i="6"/>
  <c r="I464" i="6"/>
  <c r="I463" i="6"/>
  <c r="I77" i="6"/>
  <c r="I76" i="6"/>
  <c r="I43" i="6"/>
  <c r="H174" i="6"/>
  <c r="H228" i="6"/>
  <c r="I297" i="6"/>
  <c r="H422" i="6"/>
  <c r="H678" i="6"/>
  <c r="H732" i="6"/>
  <c r="H314" i="6"/>
  <c r="H176" i="6"/>
  <c r="I526" i="6"/>
  <c r="I525" i="6"/>
  <c r="I64" i="6"/>
  <c r="I25" i="6"/>
  <c r="I320" i="6"/>
  <c r="I321" i="6"/>
  <c r="I319" i="6"/>
  <c r="I318" i="6"/>
  <c r="I331" i="6"/>
  <c r="I586" i="6"/>
  <c r="I587" i="6"/>
  <c r="H674" i="6"/>
  <c r="H645" i="6"/>
  <c r="H424" i="6"/>
  <c r="H680" i="6"/>
  <c r="H157" i="6"/>
  <c r="I244" i="6"/>
  <c r="I245" i="6"/>
  <c r="H28" i="6"/>
  <c r="H284" i="6"/>
  <c r="H287" i="6"/>
  <c r="H89" i="6"/>
  <c r="H309" i="6"/>
  <c r="H654" i="6"/>
  <c r="H703" i="6"/>
  <c r="I169" i="6"/>
  <c r="I170" i="6"/>
  <c r="I252" i="6"/>
  <c r="I251" i="6"/>
  <c r="I250" i="6"/>
  <c r="I253" i="6"/>
  <c r="I361" i="6"/>
  <c r="I360" i="6"/>
  <c r="H380" i="6"/>
  <c r="H295" i="6"/>
  <c r="H67" i="6"/>
  <c r="H34" i="6"/>
  <c r="H290" i="6"/>
  <c r="H221" i="6"/>
  <c r="H438" i="6"/>
  <c r="H694" i="6"/>
  <c r="H330" i="6"/>
  <c r="I591" i="6"/>
  <c r="I562" i="6"/>
  <c r="I661" i="6"/>
  <c r="I111" i="6"/>
  <c r="I112" i="6"/>
  <c r="H414" i="6"/>
  <c r="H670" i="6"/>
  <c r="I472" i="6"/>
  <c r="H643" i="6"/>
  <c r="I26" i="6"/>
  <c r="I83" i="6"/>
  <c r="H74" i="6"/>
  <c r="H234" i="6"/>
  <c r="H335" i="6"/>
  <c r="H463" i="6"/>
  <c r="H592" i="6"/>
  <c r="H627" i="6"/>
  <c r="H222" i="6"/>
  <c r="H251" i="6"/>
  <c r="H259" i="6"/>
  <c r="H619" i="6"/>
  <c r="I32" i="6"/>
  <c r="H26" i="6"/>
  <c r="H99" i="6"/>
  <c r="H426" i="6"/>
  <c r="H554" i="6"/>
  <c r="H682" i="6"/>
  <c r="H589" i="6"/>
  <c r="I348" i="6"/>
  <c r="I476" i="6"/>
  <c r="I605" i="6"/>
  <c r="H587" i="6"/>
  <c r="H331" i="6"/>
  <c r="I223" i="6"/>
  <c r="H180" i="6"/>
  <c r="I438" i="6"/>
  <c r="I599" i="6"/>
  <c r="H625" i="6"/>
  <c r="I563" i="6"/>
  <c r="I663" i="6"/>
  <c r="I665" i="6"/>
  <c r="I664" i="6"/>
  <c r="I667" i="6"/>
  <c r="I666" i="6"/>
  <c r="I645" i="6"/>
  <c r="I646" i="6"/>
  <c r="I45" i="6"/>
  <c r="I44" i="6"/>
  <c r="I750" i="6"/>
  <c r="I466" i="6"/>
  <c r="I81" i="6"/>
  <c r="I82" i="6"/>
  <c r="I559" i="6"/>
  <c r="I630" i="6"/>
  <c r="H425" i="6"/>
  <c r="I222" i="6"/>
  <c r="I166" i="6"/>
  <c r="H172" i="6"/>
  <c r="I384" i="6"/>
  <c r="I386" i="6"/>
  <c r="I383" i="6"/>
  <c r="I385" i="6"/>
  <c r="I475" i="6"/>
  <c r="I474" i="6"/>
  <c r="I731" i="6"/>
  <c r="H751" i="6"/>
  <c r="I105" i="6"/>
  <c r="I373" i="6"/>
  <c r="I374" i="6"/>
  <c r="I164" i="6"/>
  <c r="I163" i="6"/>
  <c r="I162" i="6"/>
  <c r="I165" i="6"/>
  <c r="I350" i="6"/>
  <c r="H220" i="6"/>
  <c r="H271" i="6"/>
  <c r="I130" i="6"/>
  <c r="I129" i="6"/>
  <c r="I128" i="6"/>
  <c r="H232" i="6"/>
  <c r="I430" i="6"/>
  <c r="I429" i="6"/>
  <c r="I708" i="6"/>
  <c r="I710" i="6"/>
  <c r="I709" i="6"/>
  <c r="I17" i="6"/>
  <c r="I312" i="6"/>
  <c r="I313" i="6"/>
  <c r="I311" i="6"/>
  <c r="H207" i="6"/>
  <c r="H212" i="6"/>
  <c r="H85" i="6"/>
  <c r="I393" i="6"/>
  <c r="I394" i="6"/>
  <c r="I481" i="6"/>
  <c r="I483" i="6"/>
  <c r="I479" i="6"/>
  <c r="I480" i="6"/>
  <c r="I482" i="6"/>
  <c r="I739" i="6"/>
  <c r="I737" i="6"/>
  <c r="I738" i="6"/>
  <c r="H701" i="6"/>
  <c r="H512" i="6"/>
  <c r="I265" i="6"/>
  <c r="I107" i="6"/>
  <c r="I108" i="6"/>
  <c r="I106" i="6"/>
  <c r="I109" i="6"/>
  <c r="I365" i="6"/>
  <c r="I366" i="6"/>
  <c r="I272" i="6"/>
  <c r="I271" i="6"/>
  <c r="I273" i="6"/>
  <c r="H159" i="6"/>
  <c r="I168" i="6"/>
  <c r="H146" i="6"/>
  <c r="H365" i="6"/>
  <c r="H479" i="6"/>
  <c r="H57" i="6"/>
  <c r="I74" i="6"/>
  <c r="H208" i="6"/>
  <c r="I556" i="6"/>
  <c r="I558" i="6"/>
  <c r="I557" i="6"/>
  <c r="H371" i="6"/>
  <c r="I65" i="6"/>
  <c r="H364" i="6"/>
  <c r="H175" i="6"/>
  <c r="I247" i="6"/>
  <c r="I246" i="6"/>
  <c r="H29" i="6"/>
  <c r="I363" i="6"/>
  <c r="I618" i="6"/>
  <c r="I617" i="6"/>
  <c r="I619" i="6"/>
  <c r="I616" i="6"/>
  <c r="I615" i="6"/>
  <c r="H450" i="6"/>
  <c r="H706" i="6"/>
  <c r="H677" i="6"/>
  <c r="H44" i="6"/>
  <c r="I21" i="6"/>
  <c r="I277" i="6"/>
  <c r="I275" i="6"/>
  <c r="I274" i="6"/>
  <c r="I276" i="6"/>
  <c r="H68" i="6"/>
  <c r="H324" i="6"/>
  <c r="H319" i="6"/>
  <c r="H270" i="6"/>
  <c r="H218" i="6"/>
  <c r="H341" i="6"/>
  <c r="H430" i="6"/>
  <c r="H686" i="6"/>
  <c r="H740" i="6"/>
  <c r="I740" i="6"/>
  <c r="I28" i="6"/>
  <c r="I29" i="6"/>
  <c r="I27" i="6"/>
  <c r="H244" i="6"/>
  <c r="I67" i="6"/>
  <c r="I66" i="6"/>
  <c r="I560" i="6"/>
  <c r="I561" i="6"/>
  <c r="H327" i="6"/>
  <c r="H19" i="6"/>
  <c r="H253" i="6"/>
  <c r="H470" i="6"/>
  <c r="H726" i="6"/>
  <c r="H588" i="6"/>
  <c r="H362" i="6"/>
  <c r="I623" i="6"/>
  <c r="I594" i="6"/>
  <c r="I436" i="6"/>
  <c r="I437" i="6"/>
  <c r="I435" i="6"/>
  <c r="I693" i="6"/>
  <c r="I175" i="6"/>
  <c r="I176" i="6"/>
  <c r="H395" i="6"/>
  <c r="H317" i="6"/>
  <c r="H702" i="6"/>
  <c r="I473" i="6"/>
  <c r="H644" i="6"/>
  <c r="H91" i="6"/>
  <c r="H152" i="6"/>
  <c r="H46" i="6"/>
  <c r="I84" i="6"/>
  <c r="H265" i="6"/>
  <c r="H336" i="6"/>
  <c r="H464" i="6"/>
  <c r="H623" i="6"/>
  <c r="I190" i="6"/>
  <c r="H223" i="6"/>
  <c r="I456" i="6"/>
  <c r="H683" i="6"/>
  <c r="H401" i="6"/>
  <c r="H455" i="6"/>
  <c r="I584" i="6"/>
  <c r="I410" i="6"/>
  <c r="H412" i="6"/>
  <c r="I126" i="6"/>
  <c r="H261" i="6"/>
  <c r="H235" i="6"/>
  <c r="H169" i="6"/>
  <c r="I326" i="6"/>
  <c r="H457" i="6"/>
  <c r="H585" i="6"/>
  <c r="H713" i="6"/>
  <c r="H621" i="6"/>
  <c r="I349" i="6"/>
  <c r="I477" i="6"/>
  <c r="I636" i="6"/>
  <c r="H332" i="6"/>
  <c r="H628" i="6"/>
  <c r="H421" i="6"/>
  <c r="I439" i="6"/>
  <c r="H126" i="6"/>
  <c r="I595" i="6"/>
  <c r="I574" i="6"/>
  <c r="I192" i="6"/>
  <c r="I110" i="6"/>
  <c r="H301" i="6"/>
  <c r="I22" i="6"/>
  <c r="I281" i="6"/>
  <c r="I240" i="6"/>
  <c r="I239" i="6"/>
  <c r="I241" i="6"/>
  <c r="I743" i="6"/>
  <c r="I530" i="6"/>
  <c r="H131" i="6"/>
  <c r="I601" i="6"/>
  <c r="H443" i="6"/>
  <c r="I102" i="6"/>
  <c r="I103" i="6"/>
  <c r="I418" i="6"/>
  <c r="I506" i="6"/>
  <c r="I504" i="6"/>
  <c r="I507" i="6"/>
  <c r="I505" i="6"/>
  <c r="H635" i="6"/>
  <c r="I201" i="6"/>
  <c r="I197" i="6"/>
  <c r="I196" i="6"/>
  <c r="I478" i="6"/>
  <c r="I421" i="6"/>
  <c r="I422" i="6"/>
  <c r="H260" i="6"/>
  <c r="H303" i="6"/>
  <c r="H8" i="6"/>
  <c r="G1" i="6"/>
  <c r="H264" i="6"/>
  <c r="I742" i="6"/>
  <c r="I741" i="6"/>
  <c r="I353" i="6"/>
  <c r="I351" i="6"/>
  <c r="I352" i="6"/>
  <c r="H149" i="6"/>
  <c r="I426" i="6"/>
  <c r="I425" i="6"/>
  <c r="I513" i="6"/>
  <c r="I514" i="6"/>
  <c r="I511" i="6"/>
  <c r="I512" i="6"/>
  <c r="I515" i="6"/>
  <c r="H727" i="6"/>
  <c r="H538" i="6"/>
  <c r="H477" i="6"/>
  <c r="H288" i="6"/>
  <c r="H544" i="6"/>
  <c r="H547" i="6"/>
  <c r="I206" i="6"/>
  <c r="I140" i="6"/>
  <c r="I141" i="6"/>
  <c r="I238" i="6"/>
  <c r="H20" i="6"/>
  <c r="H316" i="6"/>
  <c r="H279" i="6"/>
  <c r="H178" i="6"/>
  <c r="I18" i="6"/>
  <c r="I19" i="6"/>
  <c r="I20" i="6"/>
  <c r="I146" i="6"/>
  <c r="I145" i="6"/>
  <c r="I589" i="6"/>
  <c r="I590" i="6"/>
  <c r="I656" i="6"/>
  <c r="I657" i="6"/>
  <c r="H415" i="6"/>
  <c r="H101" i="6"/>
  <c r="I647" i="6"/>
  <c r="I648" i="6"/>
  <c r="I651" i="6"/>
  <c r="I649" i="6"/>
  <c r="I650" i="6"/>
  <c r="H482" i="6"/>
  <c r="H738" i="6"/>
  <c r="H709" i="6"/>
  <c r="I35" i="6"/>
  <c r="I53" i="6"/>
  <c r="I80" i="6"/>
  <c r="I79" i="6"/>
  <c r="I367" i="6"/>
  <c r="I368" i="6"/>
  <c r="I369" i="6"/>
  <c r="H351" i="6"/>
  <c r="H373" i="6"/>
  <c r="H718" i="6"/>
  <c r="H580" i="6"/>
  <c r="H322" i="6"/>
  <c r="I583" i="6"/>
  <c r="I61" i="6"/>
  <c r="H123" i="6"/>
  <c r="I258" i="6"/>
  <c r="I259" i="6"/>
  <c r="H372" i="6"/>
  <c r="H359" i="6"/>
  <c r="I256" i="6"/>
  <c r="H285" i="6"/>
  <c r="H502" i="6"/>
  <c r="H420" i="6"/>
  <c r="H503" i="6"/>
  <c r="H394" i="6"/>
  <c r="I655" i="6"/>
  <c r="I626" i="6"/>
  <c r="I468" i="6"/>
  <c r="I469" i="6"/>
  <c r="I724" i="6"/>
  <c r="I725" i="6"/>
  <c r="H219" i="6"/>
  <c r="H318" i="6"/>
  <c r="H478" i="6"/>
  <c r="H733" i="6"/>
  <c r="H515" i="6"/>
  <c r="H684" i="6"/>
  <c r="H601" i="6"/>
  <c r="H93" i="6"/>
  <c r="H184" i="6"/>
  <c r="H102" i="6"/>
  <c r="I147" i="6"/>
  <c r="H137" i="6"/>
  <c r="H266" i="6"/>
  <c r="H367" i="6"/>
  <c r="H495" i="6"/>
  <c r="H624" i="6"/>
  <c r="I398" i="6"/>
  <c r="I191" i="6"/>
  <c r="H30" i="6"/>
  <c r="H254" i="6"/>
  <c r="H105" i="6"/>
  <c r="I120" i="6"/>
  <c r="H389" i="6"/>
  <c r="I585" i="6"/>
  <c r="I187" i="6"/>
  <c r="H721" i="6"/>
  <c r="H363" i="6"/>
  <c r="I51" i="6"/>
  <c r="H293" i="6"/>
  <c r="I338" i="6"/>
  <c r="H555" i="6"/>
  <c r="H743" i="6"/>
  <c r="I662" i="6"/>
  <c r="I327" i="6"/>
  <c r="H458" i="6"/>
  <c r="H586" i="6"/>
  <c r="H714" i="6"/>
  <c r="H653" i="6"/>
  <c r="I380" i="6"/>
  <c r="I508" i="6"/>
  <c r="I637" i="6"/>
  <c r="H302" i="6"/>
  <c r="H583" i="6"/>
  <c r="I216" i="6"/>
  <c r="I215" i="6"/>
  <c r="H337" i="6"/>
  <c r="I470" i="6"/>
  <c r="H127" i="6"/>
  <c r="I91" i="6"/>
  <c r="I90" i="6"/>
  <c r="H572" i="6"/>
  <c r="H540" i="6"/>
  <c r="I674" i="6"/>
  <c r="I675" i="6"/>
  <c r="I673" i="6"/>
  <c r="I40" i="6"/>
  <c r="I39" i="6"/>
  <c r="I104" i="6"/>
  <c r="I211" i="6"/>
  <c r="I212" i="6"/>
  <c r="I213" i="6"/>
  <c r="H662" i="6"/>
  <c r="I24" i="6"/>
  <c r="I23" i="6"/>
  <c r="I31" i="6"/>
  <c r="H409" i="6"/>
  <c r="I317" i="6"/>
  <c r="I445" i="6"/>
  <c r="I638" i="6"/>
  <c r="I73" i="6"/>
  <c r="I41" i="6"/>
  <c r="I42" i="6"/>
  <c r="I342" i="6"/>
  <c r="I341" i="6"/>
  <c r="I670" i="6"/>
  <c r="I669" i="6"/>
  <c r="I217" i="6"/>
  <c r="I46" i="6"/>
  <c r="H148" i="6"/>
  <c r="H109" i="6"/>
  <c r="H224" i="6"/>
  <c r="I414" i="6"/>
  <c r="I702" i="6"/>
  <c r="H345" i="6"/>
  <c r="I257" i="6"/>
  <c r="I155" i="6"/>
  <c r="I154" i="6"/>
  <c r="I167" i="6"/>
  <c r="I450" i="6"/>
  <c r="I449" i="6"/>
  <c r="I535" i="6"/>
  <c r="I538" i="6"/>
  <c r="I537" i="6"/>
  <c r="I536" i="6"/>
  <c r="I539" i="6"/>
  <c r="H27" i="6"/>
  <c r="H125" i="6"/>
  <c r="I229" i="6"/>
  <c r="I227" i="6"/>
  <c r="I226" i="6"/>
  <c r="I228" i="6"/>
  <c r="I510" i="6"/>
  <c r="I16" i="6"/>
  <c r="I15" i="6"/>
  <c r="I305" i="6"/>
  <c r="H43" i="6"/>
  <c r="H40" i="6"/>
  <c r="H444" i="6"/>
  <c r="H197" i="6"/>
  <c r="I458" i="6"/>
  <c r="I547" i="6"/>
  <c r="I546" i="6"/>
  <c r="I545" i="6"/>
  <c r="H570" i="6"/>
  <c r="H509" i="6"/>
  <c r="H576" i="6"/>
  <c r="I171" i="6"/>
  <c r="I173" i="6"/>
  <c r="I172" i="6"/>
  <c r="H441" i="6"/>
  <c r="H356" i="6"/>
  <c r="H311" i="6"/>
  <c r="I118" i="6"/>
  <c r="H210" i="6"/>
  <c r="H429" i="6"/>
  <c r="H518" i="6"/>
  <c r="H396" i="6"/>
  <c r="H612" i="6"/>
  <c r="H567" i="6"/>
  <c r="I415" i="6"/>
  <c r="I671" i="6"/>
  <c r="I72" i="6"/>
  <c r="I71" i="6"/>
  <c r="I70" i="6"/>
  <c r="H272" i="6"/>
  <c r="I622" i="6"/>
  <c r="I621" i="6"/>
  <c r="I195" i="6"/>
  <c r="I194" i="6"/>
  <c r="H108" i="6"/>
  <c r="H62" i="6"/>
  <c r="H447" i="6"/>
  <c r="H410" i="6"/>
  <c r="H165" i="6"/>
  <c r="I427" i="6"/>
  <c r="I683" i="6"/>
  <c r="I680" i="6"/>
  <c r="I679" i="6"/>
  <c r="I682" i="6"/>
  <c r="I681" i="6"/>
  <c r="H615" i="6"/>
  <c r="H514" i="6"/>
  <c r="H485" i="6"/>
  <c r="H741" i="6"/>
  <c r="H198" i="6"/>
  <c r="I85" i="6"/>
  <c r="I392" i="6"/>
  <c r="I113" i="6"/>
  <c r="I689" i="6"/>
  <c r="I688" i="6"/>
  <c r="I420" i="6"/>
  <c r="H405" i="6"/>
  <c r="H494" i="6"/>
  <c r="H750" i="6"/>
  <c r="I492" i="6"/>
  <c r="H354" i="6"/>
  <c r="H70" i="6"/>
  <c r="I93" i="6"/>
  <c r="I92" i="6"/>
  <c r="I263" i="6"/>
  <c r="I264" i="6"/>
  <c r="I262" i="6"/>
  <c r="H145" i="6"/>
  <c r="H164" i="6"/>
  <c r="H134" i="6"/>
  <c r="I423" i="6"/>
  <c r="I424" i="6"/>
  <c r="H130" i="6"/>
  <c r="H243" i="6"/>
  <c r="H445" i="6"/>
  <c r="H534" i="6"/>
  <c r="H543" i="6"/>
  <c r="I687" i="6"/>
  <c r="I658" i="6"/>
  <c r="I499" i="6"/>
  <c r="I501" i="6"/>
  <c r="I500" i="6"/>
  <c r="H349" i="6"/>
  <c r="H510" i="6"/>
  <c r="H734" i="6"/>
  <c r="H516" i="6"/>
  <c r="H23" i="6"/>
  <c r="H216" i="6"/>
  <c r="H391" i="6"/>
  <c r="I148" i="6"/>
  <c r="H138" i="6"/>
  <c r="H297" i="6"/>
  <c r="H368" i="6"/>
  <c r="H496" i="6"/>
  <c r="H656" i="6"/>
  <c r="I462" i="6"/>
  <c r="H31" i="6"/>
  <c r="H255" i="6"/>
  <c r="I121" i="6"/>
  <c r="I370" i="6"/>
  <c r="I712" i="6"/>
  <c r="I188" i="6"/>
  <c r="I528" i="6"/>
  <c r="I529" i="6"/>
  <c r="I52" i="6"/>
  <c r="H357" i="6"/>
  <c r="H723" i="6"/>
  <c r="I339" i="6"/>
  <c r="H411" i="6"/>
  <c r="I358" i="6"/>
  <c r="H489" i="6"/>
  <c r="H617" i="6"/>
  <c r="H745" i="6"/>
  <c r="H685" i="6"/>
  <c r="I381" i="6"/>
  <c r="I509" i="6"/>
  <c r="H659" i="6"/>
  <c r="H94" i="6"/>
  <c r="I59" i="6"/>
  <c r="I232" i="6"/>
  <c r="H299" i="6"/>
  <c r="H338" i="6"/>
  <c r="I471" i="6"/>
  <c r="I158" i="6"/>
  <c r="I729" i="6"/>
  <c r="I691" i="6"/>
  <c r="H283" i="6"/>
  <c r="I224" i="6"/>
  <c r="I225" i="6"/>
  <c r="H637" i="6"/>
  <c r="I543" i="6"/>
  <c r="H215" i="6"/>
  <c r="H642" i="6"/>
  <c r="I493" i="6"/>
  <c r="I494" i="6"/>
  <c r="I75" i="6"/>
  <c r="I335" i="6"/>
  <c r="I337" i="6"/>
  <c r="I336" i="6"/>
  <c r="H638" i="6"/>
  <c r="I720" i="6"/>
  <c r="I721" i="6"/>
  <c r="I719" i="6"/>
  <c r="H658" i="6"/>
  <c r="H539" i="6"/>
  <c r="I278" i="6"/>
  <c r="I279" i="6"/>
  <c r="I280" i="6"/>
  <c r="I210" i="6"/>
  <c r="I209" i="6"/>
  <c r="I260" i="6"/>
  <c r="I261" i="6"/>
  <c r="H163" i="6"/>
  <c r="H348" i="6"/>
  <c r="I296" i="6"/>
  <c r="I294" i="6"/>
  <c r="I295" i="6"/>
  <c r="I293" i="6"/>
  <c r="H72" i="6"/>
  <c r="H315" i="6"/>
  <c r="I549" i="6"/>
  <c r="I550" i="6"/>
  <c r="H339" i="6"/>
  <c r="H140" i="6"/>
  <c r="H604" i="6"/>
  <c r="I340" i="6"/>
  <c r="H84" i="6"/>
  <c r="I303" i="6"/>
  <c r="I304" i="6"/>
  <c r="I234" i="6"/>
  <c r="I578" i="6"/>
  <c r="I577" i="6"/>
  <c r="I579" i="6"/>
  <c r="I575" i="6"/>
  <c r="I576" i="6"/>
  <c r="H436" i="6"/>
  <c r="H602" i="6"/>
  <c r="H541" i="6"/>
  <c r="H352" i="6"/>
  <c r="H608" i="6"/>
  <c r="H69" i="6"/>
  <c r="I204" i="6"/>
  <c r="I205" i="6"/>
  <c r="I485" i="6"/>
  <c r="I486" i="6"/>
  <c r="H60" i="6"/>
  <c r="I465" i="6"/>
  <c r="H343" i="6"/>
  <c r="H167" i="6"/>
  <c r="I202" i="6"/>
  <c r="H550" i="6"/>
  <c r="H607" i="6"/>
  <c r="I207" i="6"/>
  <c r="I208" i="6"/>
  <c r="H48" i="6"/>
  <c r="I200" i="6"/>
  <c r="I199" i="6"/>
  <c r="I198" i="6"/>
  <c r="I653" i="6"/>
  <c r="I654" i="6"/>
  <c r="H81" i="6"/>
  <c r="I153" i="6"/>
  <c r="H129" i="6"/>
  <c r="I8" i="6"/>
  <c r="I7" i="6"/>
  <c r="H205" i="6"/>
  <c r="I715" i="6"/>
  <c r="I714" i="6"/>
  <c r="I660" i="6"/>
  <c r="I659" i="6"/>
  <c r="H546" i="6"/>
  <c r="H517" i="6"/>
  <c r="H296" i="6"/>
  <c r="H552" i="6"/>
  <c r="I38" i="6"/>
  <c r="I117" i="6"/>
  <c r="I115" i="6"/>
  <c r="I116" i="6"/>
  <c r="I114" i="6"/>
  <c r="I99" i="6"/>
  <c r="H156" i="6"/>
  <c r="H58" i="6"/>
  <c r="H308" i="6"/>
  <c r="H173" i="6"/>
  <c r="H437" i="6"/>
  <c r="H620" i="6"/>
  <c r="H535" i="6"/>
  <c r="H386" i="6"/>
  <c r="H238" i="6"/>
  <c r="I123" i="6"/>
  <c r="I122" i="6"/>
  <c r="I125" i="6"/>
  <c r="I124" i="6"/>
  <c r="H435" i="6"/>
  <c r="I406" i="6"/>
  <c r="I405" i="6"/>
  <c r="I404" i="6"/>
  <c r="H17" i="6"/>
  <c r="I428" i="6"/>
  <c r="I131" i="6"/>
  <c r="H162" i="6"/>
  <c r="H310" i="6"/>
  <c r="H566" i="6"/>
  <c r="H460" i="6"/>
  <c r="H676" i="6"/>
  <c r="I588" i="6"/>
  <c r="I690" i="6"/>
  <c r="I533" i="6"/>
  <c r="H347" i="6"/>
  <c r="I49" i="6"/>
  <c r="H350" i="6"/>
  <c r="H542" i="6"/>
  <c r="H387" i="6"/>
  <c r="H665" i="6"/>
  <c r="H499" i="6"/>
  <c r="H24" i="6"/>
  <c r="H246" i="6"/>
  <c r="H655" i="6"/>
  <c r="H170" i="6"/>
  <c r="H298" i="6"/>
  <c r="H399" i="6"/>
  <c r="H528" i="6"/>
  <c r="H687" i="6"/>
  <c r="I598" i="6"/>
  <c r="H117" i="6"/>
  <c r="I291" i="6"/>
  <c r="H511" i="6"/>
  <c r="I457" i="6"/>
  <c r="I160" i="6"/>
  <c r="I371" i="6"/>
  <c r="I713" i="6"/>
  <c r="I94" i="6"/>
  <c r="H423" i="6"/>
  <c r="H453" i="6"/>
  <c r="I127" i="6"/>
  <c r="I248" i="6"/>
  <c r="I402" i="6"/>
  <c r="I461" i="6"/>
  <c r="H313" i="6"/>
  <c r="I359" i="6"/>
  <c r="H490" i="6"/>
  <c r="H618" i="6"/>
  <c r="H746" i="6"/>
  <c r="H717" i="6"/>
  <c r="I412" i="6"/>
  <c r="I700" i="6"/>
  <c r="I60" i="6"/>
  <c r="H497" i="6"/>
  <c r="H369" i="6"/>
  <c r="I502" i="6"/>
  <c r="I672" i="6"/>
  <c r="I159" i="6"/>
  <c r="I397" i="6"/>
  <c r="I407" i="6"/>
  <c r="H419" i="6"/>
  <c r="I100" i="6"/>
  <c r="I101" i="6"/>
  <c r="H188" i="6"/>
  <c r="I389" i="6"/>
  <c r="I388" i="6"/>
  <c r="I446" i="6"/>
  <c r="I218" i="6"/>
  <c r="I221" i="6"/>
  <c r="I220" i="6"/>
  <c r="I219" i="6"/>
  <c r="I629" i="6"/>
  <c r="I628" i="6"/>
  <c r="H428" i="6"/>
  <c r="H204" i="6"/>
  <c r="H229" i="6"/>
  <c r="H417" i="6"/>
  <c r="I30" i="6"/>
  <c r="I571" i="6"/>
  <c r="I570" i="6"/>
  <c r="I567" i="6"/>
  <c r="I569" i="6"/>
  <c r="I568" i="6"/>
  <c r="I144" i="6"/>
  <c r="I143" i="6"/>
  <c r="I328" i="6"/>
  <c r="I329" i="6"/>
  <c r="I624" i="6"/>
  <c r="I625" i="6"/>
  <c r="I9" i="6"/>
  <c r="I345" i="6"/>
  <c r="I343" i="6"/>
  <c r="I344" i="6"/>
  <c r="H231" i="6"/>
  <c r="H189" i="6"/>
  <c r="I346" i="6"/>
  <c r="I347" i="6"/>
  <c r="I602" i="6"/>
  <c r="I603" i="6"/>
  <c r="I752" i="6"/>
  <c r="H661" i="6"/>
  <c r="H440" i="6"/>
  <c r="H696" i="6"/>
  <c r="I431" i="6"/>
  <c r="I432" i="6"/>
  <c r="I37" i="6"/>
  <c r="I496" i="6"/>
  <c r="I497" i="6"/>
  <c r="H323" i="6"/>
  <c r="I433" i="6"/>
  <c r="I447" i="6"/>
  <c r="I448" i="6"/>
  <c r="H22" i="6"/>
  <c r="I580" i="6"/>
  <c r="I581" i="6"/>
  <c r="I582" i="6"/>
  <c r="H190" i="6"/>
  <c r="I372" i="6"/>
  <c r="I203" i="6"/>
  <c r="I608" i="6"/>
  <c r="I609" i="6"/>
  <c r="I610" i="6"/>
  <c r="I611" i="6"/>
  <c r="I607" i="6"/>
  <c r="I375" i="6"/>
  <c r="H634" i="6"/>
  <c r="H573" i="6"/>
  <c r="H640" i="6"/>
  <c r="H141" i="6"/>
  <c r="I236" i="6"/>
  <c r="I237" i="6"/>
  <c r="I235" i="6"/>
  <c r="H51" i="6"/>
  <c r="H100" i="6"/>
  <c r="H38" i="6"/>
  <c r="H274" i="6"/>
  <c r="H326" i="6"/>
  <c r="I652" i="6"/>
  <c r="I325" i="6"/>
  <c r="I324" i="6"/>
  <c r="I34" i="6"/>
  <c r="I33" i="6"/>
  <c r="H80" i="6"/>
  <c r="H78" i="6"/>
  <c r="I684" i="6"/>
  <c r="I685" i="6"/>
  <c r="I686" i="6"/>
  <c r="I270" i="6"/>
  <c r="I193" i="6"/>
  <c r="H321" i="6"/>
  <c r="H187" i="6"/>
  <c r="I119" i="6"/>
  <c r="I487" i="6"/>
  <c r="I491" i="6"/>
  <c r="I488" i="6"/>
  <c r="I490" i="6"/>
  <c r="I489" i="6"/>
  <c r="I747" i="6"/>
  <c r="I746" i="6"/>
  <c r="H578" i="6"/>
  <c r="H549" i="6"/>
  <c r="H328" i="6"/>
  <c r="I149" i="6"/>
  <c r="I78" i="6"/>
  <c r="H97" i="6"/>
  <c r="I174" i="6"/>
  <c r="H90" i="6"/>
  <c r="I152" i="6"/>
  <c r="I151" i="6"/>
  <c r="H213" i="6"/>
  <c r="H469" i="6"/>
  <c r="H558" i="6"/>
  <c r="H452" i="6"/>
  <c r="H575" i="6"/>
  <c r="H289" i="6"/>
  <c r="I156" i="6"/>
  <c r="I157" i="6"/>
  <c r="I142" i="6"/>
  <c r="I517" i="6"/>
  <c r="I518" i="6"/>
  <c r="H252" i="6"/>
  <c r="I214" i="6"/>
  <c r="I460" i="6"/>
  <c r="I14" i="6"/>
  <c r="H194" i="6"/>
  <c r="I310" i="6"/>
  <c r="I309" i="6"/>
  <c r="H342" i="6"/>
  <c r="H598" i="6"/>
  <c r="H631" i="6"/>
  <c r="I495" i="6"/>
  <c r="I751" i="6"/>
  <c r="I565" i="6"/>
  <c r="H54" i="6"/>
  <c r="I50" i="6"/>
  <c r="H381" i="6"/>
  <c r="H574" i="6"/>
  <c r="H388" i="6"/>
  <c r="H724" i="6"/>
  <c r="H697" i="6"/>
  <c r="H56" i="6"/>
  <c r="H248" i="6"/>
  <c r="H459" i="6"/>
  <c r="H41" i="6"/>
  <c r="H201" i="6"/>
  <c r="H75" i="6"/>
  <c r="H400" i="6"/>
  <c r="H559" i="6"/>
  <c r="H688" i="6"/>
  <c r="I735" i="6"/>
  <c r="H59" i="6"/>
  <c r="I292" i="6"/>
  <c r="H749" i="6"/>
  <c r="I409" i="6"/>
  <c r="I161" i="6"/>
  <c r="I744" i="6"/>
  <c r="I95" i="6"/>
  <c r="H63" i="6"/>
  <c r="H211" i="6"/>
  <c r="I137" i="6"/>
  <c r="I408" i="6"/>
  <c r="I249" i="6"/>
  <c r="I403" i="6"/>
  <c r="H465" i="6"/>
  <c r="H107" i="6"/>
  <c r="H700" i="6"/>
  <c r="I390" i="6"/>
  <c r="H649" i="6"/>
  <c r="H493" i="6"/>
  <c r="I285" i="6"/>
  <c r="I413" i="6"/>
  <c r="I572" i="6"/>
  <c r="I701" i="6"/>
  <c r="H691" i="6"/>
  <c r="I722" i="6"/>
  <c r="I62" i="6"/>
  <c r="H275" i="6"/>
  <c r="H403" i="6"/>
  <c r="H370" i="6"/>
  <c r="I503" i="6"/>
  <c r="H712" i="6"/>
  <c r="I727" i="6"/>
  <c r="I286" i="6"/>
  <c r="I307" i="6"/>
  <c r="I736" i="6"/>
  <c r="G3" i="5"/>
  <c r="E345" i="5" s="1"/>
  <c r="C345" i="5" s="1"/>
  <c r="F3" i="5"/>
  <c r="D753" i="2"/>
  <c r="D751" i="2"/>
  <c r="B751" i="2" s="1"/>
  <c r="D745" i="2"/>
  <c r="B745" i="2" s="1"/>
  <c r="D743" i="2"/>
  <c r="B743" i="2" s="1"/>
  <c r="D737" i="2"/>
  <c r="D735" i="2"/>
  <c r="B735" i="2" s="1"/>
  <c r="D729" i="2"/>
  <c r="B729" i="2" s="1"/>
  <c r="D727" i="2"/>
  <c r="B727" i="2" s="1"/>
  <c r="D721" i="2"/>
  <c r="D719" i="2"/>
  <c r="B719" i="2" s="1"/>
  <c r="D713" i="2"/>
  <c r="B713" i="2" s="1"/>
  <c r="D711" i="2"/>
  <c r="B711" i="2" s="1"/>
  <c r="D705" i="2"/>
  <c r="D703" i="2"/>
  <c r="B703" i="2" s="1"/>
  <c r="D697" i="2"/>
  <c r="B697" i="2" s="1"/>
  <c r="D695" i="2"/>
  <c r="B695" i="2" s="1"/>
  <c r="D689" i="2"/>
  <c r="D687" i="2"/>
  <c r="B687" i="2" s="1"/>
  <c r="D681" i="2"/>
  <c r="B681" i="2" s="1"/>
  <c r="D679" i="2"/>
  <c r="B679" i="2" s="1"/>
  <c r="D673" i="2"/>
  <c r="D671" i="2"/>
  <c r="B671" i="2" s="1"/>
  <c r="D665" i="2"/>
  <c r="B665" i="2" s="1"/>
  <c r="D663" i="2"/>
  <c r="B663" i="2" s="1"/>
  <c r="D657" i="2"/>
  <c r="D655" i="2"/>
  <c r="B655" i="2" s="1"/>
  <c r="D649" i="2"/>
  <c r="B649" i="2" s="1"/>
  <c r="D647" i="2"/>
  <c r="B647" i="2" s="1"/>
  <c r="D641" i="2"/>
  <c r="D639" i="2"/>
  <c r="B639" i="2" s="1"/>
  <c r="D633" i="2"/>
  <c r="B633" i="2" s="1"/>
  <c r="D631" i="2"/>
  <c r="B631" i="2" s="1"/>
  <c r="D625" i="2"/>
  <c r="B625" i="2" s="1"/>
  <c r="D623" i="2"/>
  <c r="B623" i="2" s="1"/>
  <c r="D617" i="2"/>
  <c r="B617" i="2" s="1"/>
  <c r="D615" i="2"/>
  <c r="B615" i="2" s="1"/>
  <c r="D609" i="2"/>
  <c r="B609" i="2" s="1"/>
  <c r="D607" i="2"/>
  <c r="B607" i="2" s="1"/>
  <c r="D601" i="2"/>
  <c r="B601" i="2" s="1"/>
  <c r="D599" i="2"/>
  <c r="B599" i="2" s="1"/>
  <c r="D593" i="2"/>
  <c r="B593" i="2" s="1"/>
  <c r="D591" i="2"/>
  <c r="B591" i="2" s="1"/>
  <c r="D585" i="2"/>
  <c r="D583" i="2"/>
  <c r="B583" i="2" s="1"/>
  <c r="D577" i="2"/>
  <c r="B577" i="2" s="1"/>
  <c r="D575" i="2"/>
  <c r="B575" i="2" s="1"/>
  <c r="D569" i="2"/>
  <c r="B569" i="2" s="1"/>
  <c r="D567" i="2"/>
  <c r="D561" i="2"/>
  <c r="B561" i="2" s="1"/>
  <c r="D559" i="2"/>
  <c r="B559" i="2" s="1"/>
  <c r="D553" i="2"/>
  <c r="B553" i="2" s="1"/>
  <c r="D551" i="2"/>
  <c r="B551" i="2" s="1"/>
  <c r="D545" i="2"/>
  <c r="B545" i="2" s="1"/>
  <c r="D543" i="2"/>
  <c r="B543" i="2" s="1"/>
  <c r="D537" i="2"/>
  <c r="D535" i="2"/>
  <c r="B535" i="2" s="1"/>
  <c r="D529" i="2"/>
  <c r="B529" i="2" s="1"/>
  <c r="D527" i="2"/>
  <c r="B527" i="2" s="1"/>
  <c r="D521" i="2"/>
  <c r="B521" i="2" s="1"/>
  <c r="D519" i="2"/>
  <c r="B519" i="2" s="1"/>
  <c r="D513" i="2"/>
  <c r="B513" i="2" s="1"/>
  <c r="D511" i="2"/>
  <c r="B511" i="2" s="1"/>
  <c r="D505" i="2"/>
  <c r="D503" i="2"/>
  <c r="B503" i="2" s="1"/>
  <c r="D497" i="2"/>
  <c r="B497" i="2" s="1"/>
  <c r="D495" i="2"/>
  <c r="B495" i="2" s="1"/>
  <c r="D489" i="2"/>
  <c r="B489" i="2" s="1"/>
  <c r="D487" i="2"/>
  <c r="B487" i="2" s="1"/>
  <c r="D481" i="2"/>
  <c r="D479" i="2"/>
  <c r="B479" i="2" s="1"/>
  <c r="D473" i="2"/>
  <c r="B473" i="2" s="1"/>
  <c r="D471" i="2"/>
  <c r="B471" i="2" s="1"/>
  <c r="D465" i="2"/>
  <c r="B465" i="2" s="1"/>
  <c r="D463" i="2"/>
  <c r="B463" i="2" s="1"/>
  <c r="D457" i="2"/>
  <c r="B457" i="2" s="1"/>
  <c r="D455" i="2"/>
  <c r="B455" i="2" s="1"/>
  <c r="D449" i="2"/>
  <c r="D447" i="2"/>
  <c r="B447" i="2" s="1"/>
  <c r="D441" i="2"/>
  <c r="B441" i="2" s="1"/>
  <c r="D439" i="2"/>
  <c r="B439" i="2" s="1"/>
  <c r="D433" i="2"/>
  <c r="B433" i="2" s="1"/>
  <c r="D431" i="2"/>
  <c r="B431" i="2" s="1"/>
  <c r="D425" i="2"/>
  <c r="B425" i="2" s="1"/>
  <c r="D423" i="2"/>
  <c r="B423" i="2" s="1"/>
  <c r="D417" i="2"/>
  <c r="B417" i="2" s="1"/>
  <c r="D415" i="2"/>
  <c r="B415" i="2" s="1"/>
  <c r="D409" i="2"/>
  <c r="B409" i="2" s="1"/>
  <c r="D407" i="2"/>
  <c r="B407" i="2" s="1"/>
  <c r="D401" i="2"/>
  <c r="B401" i="2" s="1"/>
  <c r="D399" i="2"/>
  <c r="B399" i="2" s="1"/>
  <c r="D393" i="2"/>
  <c r="B393" i="2" s="1"/>
  <c r="D391" i="2"/>
  <c r="B391" i="2" s="1"/>
  <c r="D385" i="2"/>
  <c r="B385" i="2" s="1"/>
  <c r="D383" i="2"/>
  <c r="B383" i="2" s="1"/>
  <c r="D377" i="2"/>
  <c r="B377" i="2" s="1"/>
  <c r="D375" i="2"/>
  <c r="D369" i="2"/>
  <c r="B369" i="2" s="1"/>
  <c r="D367" i="2"/>
  <c r="B367" i="2" s="1"/>
  <c r="D361" i="2"/>
  <c r="B361" i="2" s="1"/>
  <c r="D359" i="2"/>
  <c r="B359" i="2" s="1"/>
  <c r="D353" i="2"/>
  <c r="D351" i="2"/>
  <c r="B351" i="2" s="1"/>
  <c r="D345" i="2"/>
  <c r="D343" i="2"/>
  <c r="B343" i="2" s="1"/>
  <c r="D337" i="2"/>
  <c r="B337" i="2" s="1"/>
  <c r="D335" i="2"/>
  <c r="B335" i="2" s="1"/>
  <c r="D329" i="2"/>
  <c r="B329" i="2" s="1"/>
  <c r="D327" i="2"/>
  <c r="B327" i="2" s="1"/>
  <c r="D321" i="2"/>
  <c r="D319" i="2"/>
  <c r="B319" i="2" s="1"/>
  <c r="D313" i="2"/>
  <c r="D311" i="2"/>
  <c r="B311" i="2" s="1"/>
  <c r="D305" i="2"/>
  <c r="B305" i="2" s="1"/>
  <c r="D303" i="2"/>
  <c r="B303" i="2" s="1"/>
  <c r="D297" i="2"/>
  <c r="B297" i="2" s="1"/>
  <c r="D295" i="2"/>
  <c r="B295" i="2" s="1"/>
  <c r="D289" i="2"/>
  <c r="B289" i="2" s="1"/>
  <c r="D287" i="2"/>
  <c r="B287" i="2" s="1"/>
  <c r="D281" i="2"/>
  <c r="B281" i="2" s="1"/>
  <c r="D279" i="2"/>
  <c r="B279" i="2" s="1"/>
  <c r="D273" i="2"/>
  <c r="B273" i="2" s="1"/>
  <c r="D271" i="2"/>
  <c r="B271" i="2" s="1"/>
  <c r="D265" i="2"/>
  <c r="B265" i="2" s="1"/>
  <c r="D263" i="2"/>
  <c r="B263" i="2" s="1"/>
  <c r="D257" i="2"/>
  <c r="B257" i="2" s="1"/>
  <c r="D255" i="2"/>
  <c r="B255" i="2" s="1"/>
  <c r="D249" i="2"/>
  <c r="B249" i="2" s="1"/>
  <c r="D247" i="2"/>
  <c r="B247" i="2" s="1"/>
  <c r="D241" i="2"/>
  <c r="B241" i="2" s="1"/>
  <c r="D239" i="2"/>
  <c r="B239" i="2" s="1"/>
  <c r="D233" i="2"/>
  <c r="B233" i="2" s="1"/>
  <c r="D231" i="2"/>
  <c r="B231" i="2" s="1"/>
  <c r="D225" i="2"/>
  <c r="B225" i="2" s="1"/>
  <c r="D223" i="2"/>
  <c r="B223" i="2" s="1"/>
  <c r="D217" i="2"/>
  <c r="B217" i="2" s="1"/>
  <c r="D215" i="2"/>
  <c r="B215" i="2" s="1"/>
  <c r="D209" i="2"/>
  <c r="B209" i="2" s="1"/>
  <c r="D207" i="2"/>
  <c r="B207" i="2" s="1"/>
  <c r="D201" i="2"/>
  <c r="B201" i="2" s="1"/>
  <c r="D199" i="2"/>
  <c r="B199" i="2" s="1"/>
  <c r="D193" i="2"/>
  <c r="B193" i="2" s="1"/>
  <c r="D191" i="2"/>
  <c r="B191" i="2" s="1"/>
  <c r="D185" i="2"/>
  <c r="B185" i="2" s="1"/>
  <c r="D183" i="2"/>
  <c r="B183" i="2" s="1"/>
  <c r="D177" i="2"/>
  <c r="B177" i="2" s="1"/>
  <c r="D175" i="2"/>
  <c r="B175" i="2" s="1"/>
  <c r="D169" i="2"/>
  <c r="B169" i="2" s="1"/>
  <c r="D167" i="2"/>
  <c r="B167" i="2" s="1"/>
  <c r="D161" i="2"/>
  <c r="B161" i="2" s="1"/>
  <c r="D159" i="2"/>
  <c r="B159" i="2" s="1"/>
  <c r="D153" i="2"/>
  <c r="B153" i="2" s="1"/>
  <c r="D151" i="2"/>
  <c r="B151" i="2" s="1"/>
  <c r="D145" i="2"/>
  <c r="B145" i="2" s="1"/>
  <c r="D143" i="2"/>
  <c r="B143" i="2" s="1"/>
  <c r="D137" i="2"/>
  <c r="B137" i="2" s="1"/>
  <c r="D135" i="2"/>
  <c r="B135" i="2" s="1"/>
  <c r="D129" i="2"/>
  <c r="B129" i="2" s="1"/>
  <c r="D127" i="2"/>
  <c r="B127" i="2" s="1"/>
  <c r="D121" i="2"/>
  <c r="B121" i="2" s="1"/>
  <c r="D119" i="2"/>
  <c r="B119" i="2" s="1"/>
  <c r="D113" i="2"/>
  <c r="B113" i="2" s="1"/>
  <c r="D111" i="2"/>
  <c r="B111" i="2" s="1"/>
  <c r="D105" i="2"/>
  <c r="B105" i="2" s="1"/>
  <c r="D103" i="2"/>
  <c r="B103" i="2" s="1"/>
  <c r="D97" i="2"/>
  <c r="B97" i="2" s="1"/>
  <c r="D95" i="2"/>
  <c r="B95" i="2" s="1"/>
  <c r="D89" i="2"/>
  <c r="B89" i="2" s="1"/>
  <c r="D87" i="2"/>
  <c r="B87" i="2" s="1"/>
  <c r="D81" i="2"/>
  <c r="B81" i="2" s="1"/>
  <c r="D79" i="2"/>
  <c r="B79" i="2" s="1"/>
  <c r="D73" i="2"/>
  <c r="B73" i="2" s="1"/>
  <c r="D71" i="2"/>
  <c r="B71" i="2" s="1"/>
  <c r="D65" i="2"/>
  <c r="B65" i="2" s="1"/>
  <c r="D63" i="2"/>
  <c r="B63" i="2" s="1"/>
  <c r="D57" i="2"/>
  <c r="B57" i="2" s="1"/>
  <c r="D55" i="2"/>
  <c r="B55" i="2" s="1"/>
  <c r="D49" i="2"/>
  <c r="B49" i="2" s="1"/>
  <c r="D47" i="2"/>
  <c r="B47" i="2" s="1"/>
  <c r="D41" i="2"/>
  <c r="B41" i="2" s="1"/>
  <c r="D39" i="2"/>
  <c r="B39" i="2" s="1"/>
  <c r="D33" i="2"/>
  <c r="B33" i="2" s="1"/>
  <c r="D31" i="2"/>
  <c r="B31" i="2" s="1"/>
  <c r="D25" i="2"/>
  <c r="B25" i="2" s="1"/>
  <c r="D23" i="2"/>
  <c r="B23" i="2" s="1"/>
  <c r="D17" i="2"/>
  <c r="B17" i="2" s="1"/>
  <c r="D15" i="2"/>
  <c r="B15" i="2" s="1"/>
  <c r="D9" i="2"/>
  <c r="B9" i="2" s="1"/>
  <c r="D7" i="2"/>
  <c r="F3" i="2"/>
  <c r="D757" i="2" s="1"/>
  <c r="E738" i="2"/>
  <c r="C738" i="2" s="1"/>
  <c r="E706" i="2"/>
  <c r="C706" i="2" s="1"/>
  <c r="E674" i="2"/>
  <c r="C674" i="2" s="1"/>
  <c r="E642" i="2"/>
  <c r="C642" i="2" s="1"/>
  <c r="E610" i="2"/>
  <c r="C610" i="2" s="1"/>
  <c r="E578" i="2"/>
  <c r="C578" i="2" s="1"/>
  <c r="E546" i="2"/>
  <c r="C546" i="2" s="1"/>
  <c r="E514" i="2"/>
  <c r="C514" i="2" s="1"/>
  <c r="E482" i="2"/>
  <c r="C482" i="2" s="1"/>
  <c r="E450" i="2"/>
  <c r="C450" i="2" s="1"/>
  <c r="E418" i="2"/>
  <c r="C418" i="2" s="1"/>
  <c r="E386" i="2"/>
  <c r="C386" i="2" s="1"/>
  <c r="E354" i="2"/>
  <c r="C354" i="2" s="1"/>
  <c r="E322" i="2"/>
  <c r="C322" i="2" s="1"/>
  <c r="E290" i="2"/>
  <c r="C290" i="2" s="1"/>
  <c r="E258" i="2"/>
  <c r="C258" i="2" s="1"/>
  <c r="E226" i="2"/>
  <c r="C226" i="2" s="1"/>
  <c r="E194" i="2"/>
  <c r="C194" i="2" s="1"/>
  <c r="E162" i="2"/>
  <c r="C162" i="2" s="1"/>
  <c r="E130" i="2"/>
  <c r="C130" i="2" s="1"/>
  <c r="E98" i="2"/>
  <c r="C98" i="2" s="1"/>
  <c r="E66" i="2"/>
  <c r="C66" i="2" s="1"/>
  <c r="E34" i="2"/>
  <c r="C34" i="2" s="1"/>
  <c r="G3" i="2"/>
  <c r="E732" i="2" s="1"/>
  <c r="C732" i="2" s="1"/>
  <c r="B7" i="2"/>
  <c r="B313" i="2"/>
  <c r="B321" i="2"/>
  <c r="B345" i="2"/>
  <c r="B353" i="2"/>
  <c r="B375" i="2"/>
  <c r="B449" i="2"/>
  <c r="B481" i="2"/>
  <c r="B505" i="2"/>
  <c r="B537" i="2"/>
  <c r="B567" i="2"/>
  <c r="B585" i="2"/>
  <c r="B641" i="2"/>
  <c r="B657" i="2"/>
  <c r="B673" i="2"/>
  <c r="B689" i="2"/>
  <c r="B705" i="2"/>
  <c r="B721" i="2"/>
  <c r="B737" i="2"/>
  <c r="B753" i="2"/>
  <c r="B757" i="2"/>
  <c r="E68" i="2" l="1"/>
  <c r="C68" i="2" s="1"/>
  <c r="E292" i="2"/>
  <c r="C292" i="2" s="1"/>
  <c r="E516" i="2"/>
  <c r="C516" i="2" s="1"/>
  <c r="E740" i="2"/>
  <c r="C740" i="2" s="1"/>
  <c r="E138" i="2"/>
  <c r="C138" i="2" s="1"/>
  <c r="E298" i="2"/>
  <c r="C298" i="2" s="1"/>
  <c r="E490" i="2"/>
  <c r="C490" i="2" s="1"/>
  <c r="E28" i="2"/>
  <c r="C28" i="2" s="1"/>
  <c r="E60" i="2"/>
  <c r="C60" i="2" s="1"/>
  <c r="E92" i="2"/>
  <c r="C92" i="2" s="1"/>
  <c r="E124" i="2"/>
  <c r="C124" i="2" s="1"/>
  <c r="E156" i="2"/>
  <c r="C156" i="2" s="1"/>
  <c r="E188" i="2"/>
  <c r="C188" i="2" s="1"/>
  <c r="E220" i="2"/>
  <c r="C220" i="2" s="1"/>
  <c r="E252" i="2"/>
  <c r="C252" i="2" s="1"/>
  <c r="E284" i="2"/>
  <c r="C284" i="2" s="1"/>
  <c r="E316" i="2"/>
  <c r="C316" i="2" s="1"/>
  <c r="E348" i="2"/>
  <c r="C348" i="2" s="1"/>
  <c r="E380" i="2"/>
  <c r="C380" i="2" s="1"/>
  <c r="E412" i="2"/>
  <c r="C412" i="2" s="1"/>
  <c r="E444" i="2"/>
  <c r="C444" i="2" s="1"/>
  <c r="E476" i="2"/>
  <c r="C476" i="2" s="1"/>
  <c r="E508" i="2"/>
  <c r="C508" i="2" s="1"/>
  <c r="E540" i="2"/>
  <c r="C540" i="2" s="1"/>
  <c r="E572" i="2"/>
  <c r="C572" i="2" s="1"/>
  <c r="E604" i="2"/>
  <c r="C604" i="2" s="1"/>
  <c r="E636" i="2"/>
  <c r="C636" i="2" s="1"/>
  <c r="E668" i="2"/>
  <c r="C668" i="2" s="1"/>
  <c r="E700" i="2"/>
  <c r="C700" i="2" s="1"/>
  <c r="E752" i="2"/>
  <c r="C752" i="2" s="1"/>
  <c r="E744" i="2"/>
  <c r="C744" i="2" s="1"/>
  <c r="E736" i="2"/>
  <c r="C736" i="2" s="1"/>
  <c r="E728" i="2"/>
  <c r="C728" i="2" s="1"/>
  <c r="E720" i="2"/>
  <c r="C720" i="2" s="1"/>
  <c r="E712" i="2"/>
  <c r="C712" i="2" s="1"/>
  <c r="E704" i="2"/>
  <c r="C704" i="2" s="1"/>
  <c r="E696" i="2"/>
  <c r="C696" i="2" s="1"/>
  <c r="E688" i="2"/>
  <c r="C688" i="2" s="1"/>
  <c r="E680" i="2"/>
  <c r="C680" i="2" s="1"/>
  <c r="E672" i="2"/>
  <c r="C672" i="2" s="1"/>
  <c r="E664" i="2"/>
  <c r="C664" i="2" s="1"/>
  <c r="E656" i="2"/>
  <c r="C656" i="2" s="1"/>
  <c r="E648" i="2"/>
  <c r="C648" i="2" s="1"/>
  <c r="E640" i="2"/>
  <c r="C640" i="2" s="1"/>
  <c r="E632" i="2"/>
  <c r="C632" i="2" s="1"/>
  <c r="E624" i="2"/>
  <c r="C624" i="2" s="1"/>
  <c r="E616" i="2"/>
  <c r="C616" i="2" s="1"/>
  <c r="E608" i="2"/>
  <c r="C608" i="2" s="1"/>
  <c r="E600" i="2"/>
  <c r="C600" i="2" s="1"/>
  <c r="E592" i="2"/>
  <c r="C592" i="2" s="1"/>
  <c r="E584" i="2"/>
  <c r="C584" i="2" s="1"/>
  <c r="E576" i="2"/>
  <c r="C576" i="2" s="1"/>
  <c r="E568" i="2"/>
  <c r="C568" i="2" s="1"/>
  <c r="E560" i="2"/>
  <c r="C560" i="2" s="1"/>
  <c r="E552" i="2"/>
  <c r="C552" i="2" s="1"/>
  <c r="E544" i="2"/>
  <c r="C544" i="2" s="1"/>
  <c r="E536" i="2"/>
  <c r="C536" i="2" s="1"/>
  <c r="E528" i="2"/>
  <c r="C528" i="2" s="1"/>
  <c r="E520" i="2"/>
  <c r="C520" i="2" s="1"/>
  <c r="E512" i="2"/>
  <c r="C512" i="2" s="1"/>
  <c r="E504" i="2"/>
  <c r="C504" i="2" s="1"/>
  <c r="E496" i="2"/>
  <c r="C496" i="2" s="1"/>
  <c r="E488" i="2"/>
  <c r="C488" i="2" s="1"/>
  <c r="E480" i="2"/>
  <c r="C480" i="2" s="1"/>
  <c r="E472" i="2"/>
  <c r="C472" i="2" s="1"/>
  <c r="E464" i="2"/>
  <c r="C464" i="2" s="1"/>
  <c r="E456" i="2"/>
  <c r="C456" i="2" s="1"/>
  <c r="E448" i="2"/>
  <c r="C448" i="2" s="1"/>
  <c r="E440" i="2"/>
  <c r="C440" i="2" s="1"/>
  <c r="E432" i="2"/>
  <c r="C432" i="2" s="1"/>
  <c r="E424" i="2"/>
  <c r="C424" i="2" s="1"/>
  <c r="E416" i="2"/>
  <c r="C416" i="2" s="1"/>
  <c r="E408" i="2"/>
  <c r="C408" i="2" s="1"/>
  <c r="E400" i="2"/>
  <c r="C400" i="2" s="1"/>
  <c r="E392" i="2"/>
  <c r="C392" i="2" s="1"/>
  <c r="E384" i="2"/>
  <c r="C384" i="2" s="1"/>
  <c r="E376" i="2"/>
  <c r="C376" i="2" s="1"/>
  <c r="E368" i="2"/>
  <c r="C368" i="2" s="1"/>
  <c r="E360" i="2"/>
  <c r="C360" i="2" s="1"/>
  <c r="E352" i="2"/>
  <c r="C352" i="2" s="1"/>
  <c r="E344" i="2"/>
  <c r="C344" i="2" s="1"/>
  <c r="E336" i="2"/>
  <c r="C336" i="2" s="1"/>
  <c r="E328" i="2"/>
  <c r="C328" i="2" s="1"/>
  <c r="E320" i="2"/>
  <c r="C320" i="2" s="1"/>
  <c r="E312" i="2"/>
  <c r="C312" i="2" s="1"/>
  <c r="E304" i="2"/>
  <c r="C304" i="2" s="1"/>
  <c r="E296" i="2"/>
  <c r="C296" i="2" s="1"/>
  <c r="E288" i="2"/>
  <c r="C288" i="2" s="1"/>
  <c r="E280" i="2"/>
  <c r="C280" i="2" s="1"/>
  <c r="E272" i="2"/>
  <c r="C272" i="2" s="1"/>
  <c r="E264" i="2"/>
  <c r="C264" i="2" s="1"/>
  <c r="E256" i="2"/>
  <c r="C256" i="2" s="1"/>
  <c r="E248" i="2"/>
  <c r="C248" i="2" s="1"/>
  <c r="E240" i="2"/>
  <c r="C240" i="2" s="1"/>
  <c r="E232" i="2"/>
  <c r="C232" i="2" s="1"/>
  <c r="E224" i="2"/>
  <c r="C224" i="2" s="1"/>
  <c r="E216" i="2"/>
  <c r="C216" i="2" s="1"/>
  <c r="E208" i="2"/>
  <c r="C208" i="2" s="1"/>
  <c r="E200" i="2"/>
  <c r="C200" i="2" s="1"/>
  <c r="E192" i="2"/>
  <c r="C192" i="2" s="1"/>
  <c r="E184" i="2"/>
  <c r="C184" i="2" s="1"/>
  <c r="E176" i="2"/>
  <c r="C176" i="2" s="1"/>
  <c r="E168" i="2"/>
  <c r="C168" i="2" s="1"/>
  <c r="E160" i="2"/>
  <c r="C160" i="2" s="1"/>
  <c r="E152" i="2"/>
  <c r="C152" i="2" s="1"/>
  <c r="E144" i="2"/>
  <c r="C144" i="2" s="1"/>
  <c r="E136" i="2"/>
  <c r="C136" i="2" s="1"/>
  <c r="E128" i="2"/>
  <c r="C128" i="2" s="1"/>
  <c r="E120" i="2"/>
  <c r="C120" i="2" s="1"/>
  <c r="E112" i="2"/>
  <c r="C112" i="2" s="1"/>
  <c r="E104" i="2"/>
  <c r="C104" i="2" s="1"/>
  <c r="E96" i="2"/>
  <c r="C96" i="2" s="1"/>
  <c r="E88" i="2"/>
  <c r="C88" i="2" s="1"/>
  <c r="E80" i="2"/>
  <c r="C80" i="2" s="1"/>
  <c r="E72" i="2"/>
  <c r="C72" i="2" s="1"/>
  <c r="E64" i="2"/>
  <c r="C64" i="2" s="1"/>
  <c r="E56" i="2"/>
  <c r="C56" i="2" s="1"/>
  <c r="E48" i="2"/>
  <c r="C48" i="2" s="1"/>
  <c r="E40" i="2"/>
  <c r="C40" i="2" s="1"/>
  <c r="E32" i="2"/>
  <c r="C32" i="2" s="1"/>
  <c r="E24" i="2"/>
  <c r="C24" i="2" s="1"/>
  <c r="E16" i="2"/>
  <c r="C16" i="2" s="1"/>
  <c r="E8" i="2"/>
  <c r="C8" i="2" s="1"/>
  <c r="E751" i="2"/>
  <c r="C751" i="2" s="1"/>
  <c r="E743" i="2"/>
  <c r="C743" i="2" s="1"/>
  <c r="E735" i="2"/>
  <c r="C735" i="2" s="1"/>
  <c r="E727" i="2"/>
  <c r="C727" i="2" s="1"/>
  <c r="E719" i="2"/>
  <c r="C719" i="2" s="1"/>
  <c r="E711" i="2"/>
  <c r="C711" i="2" s="1"/>
  <c r="E703" i="2"/>
  <c r="C703" i="2" s="1"/>
  <c r="E695" i="2"/>
  <c r="C695" i="2" s="1"/>
  <c r="E687" i="2"/>
  <c r="C687" i="2" s="1"/>
  <c r="E679" i="2"/>
  <c r="C679" i="2" s="1"/>
  <c r="E671" i="2"/>
  <c r="C671" i="2" s="1"/>
  <c r="E663" i="2"/>
  <c r="C663" i="2" s="1"/>
  <c r="E655" i="2"/>
  <c r="C655" i="2" s="1"/>
  <c r="E647" i="2"/>
  <c r="C647" i="2" s="1"/>
  <c r="E639" i="2"/>
  <c r="C639" i="2" s="1"/>
  <c r="E631" i="2"/>
  <c r="C631" i="2" s="1"/>
  <c r="E623" i="2"/>
  <c r="C623" i="2" s="1"/>
  <c r="E615" i="2"/>
  <c r="C615" i="2" s="1"/>
  <c r="E607" i="2"/>
  <c r="C607" i="2" s="1"/>
  <c r="E599" i="2"/>
  <c r="C599" i="2" s="1"/>
  <c r="E591" i="2"/>
  <c r="C591" i="2" s="1"/>
  <c r="E583" i="2"/>
  <c r="C583" i="2" s="1"/>
  <c r="E575" i="2"/>
  <c r="C575" i="2" s="1"/>
  <c r="E567" i="2"/>
  <c r="C567" i="2" s="1"/>
  <c r="E559" i="2"/>
  <c r="C559" i="2" s="1"/>
  <c r="E551" i="2"/>
  <c r="C551" i="2" s="1"/>
  <c r="E543" i="2"/>
  <c r="C543" i="2" s="1"/>
  <c r="E535" i="2"/>
  <c r="C535" i="2" s="1"/>
  <c r="E527" i="2"/>
  <c r="C527" i="2" s="1"/>
  <c r="E519" i="2"/>
  <c r="C519" i="2" s="1"/>
  <c r="E511" i="2"/>
  <c r="C511" i="2" s="1"/>
  <c r="E503" i="2"/>
  <c r="C503" i="2" s="1"/>
  <c r="E495" i="2"/>
  <c r="C495" i="2" s="1"/>
  <c r="E487" i="2"/>
  <c r="C487" i="2" s="1"/>
  <c r="E479" i="2"/>
  <c r="C479" i="2" s="1"/>
  <c r="E471" i="2"/>
  <c r="C471" i="2" s="1"/>
  <c r="E463" i="2"/>
  <c r="C463" i="2" s="1"/>
  <c r="E455" i="2"/>
  <c r="C455" i="2" s="1"/>
  <c r="E447" i="2"/>
  <c r="C447" i="2" s="1"/>
  <c r="E439" i="2"/>
  <c r="C439" i="2" s="1"/>
  <c r="E431" i="2"/>
  <c r="C431" i="2" s="1"/>
  <c r="E423" i="2"/>
  <c r="C423" i="2" s="1"/>
  <c r="E415" i="2"/>
  <c r="C415" i="2" s="1"/>
  <c r="E407" i="2"/>
  <c r="C407" i="2" s="1"/>
  <c r="E399" i="2"/>
  <c r="C399" i="2" s="1"/>
  <c r="E391" i="2"/>
  <c r="C391" i="2" s="1"/>
  <c r="E383" i="2"/>
  <c r="C383" i="2" s="1"/>
  <c r="E375" i="2"/>
  <c r="C375" i="2" s="1"/>
  <c r="E367" i="2"/>
  <c r="C367" i="2" s="1"/>
  <c r="E359" i="2"/>
  <c r="C359" i="2" s="1"/>
  <c r="E351" i="2"/>
  <c r="C351" i="2" s="1"/>
  <c r="E343" i="2"/>
  <c r="C343" i="2" s="1"/>
  <c r="E335" i="2"/>
  <c r="C335" i="2" s="1"/>
  <c r="E327" i="2"/>
  <c r="C327" i="2" s="1"/>
  <c r="E319" i="2"/>
  <c r="C319" i="2" s="1"/>
  <c r="E311" i="2"/>
  <c r="C311" i="2" s="1"/>
  <c r="E303" i="2"/>
  <c r="C303" i="2" s="1"/>
  <c r="E295" i="2"/>
  <c r="C295" i="2" s="1"/>
  <c r="E287" i="2"/>
  <c r="C287" i="2" s="1"/>
  <c r="E279" i="2"/>
  <c r="C279" i="2" s="1"/>
  <c r="E271" i="2"/>
  <c r="C271" i="2" s="1"/>
  <c r="E263" i="2"/>
  <c r="C263" i="2" s="1"/>
  <c r="E255" i="2"/>
  <c r="C255" i="2" s="1"/>
  <c r="E247" i="2"/>
  <c r="C247" i="2" s="1"/>
  <c r="E239" i="2"/>
  <c r="C239" i="2" s="1"/>
  <c r="E231" i="2"/>
  <c r="C231" i="2" s="1"/>
  <c r="E223" i="2"/>
  <c r="C223" i="2" s="1"/>
  <c r="E215" i="2"/>
  <c r="C215" i="2" s="1"/>
  <c r="E207" i="2"/>
  <c r="C207" i="2" s="1"/>
  <c r="E199" i="2"/>
  <c r="C199" i="2" s="1"/>
  <c r="E191" i="2"/>
  <c r="C191" i="2" s="1"/>
  <c r="E183" i="2"/>
  <c r="C183" i="2" s="1"/>
  <c r="E175" i="2"/>
  <c r="C175" i="2" s="1"/>
  <c r="E167" i="2"/>
  <c r="C167" i="2" s="1"/>
  <c r="E159" i="2"/>
  <c r="C159" i="2" s="1"/>
  <c r="E151" i="2"/>
  <c r="C151" i="2" s="1"/>
  <c r="E143" i="2"/>
  <c r="C143" i="2" s="1"/>
  <c r="E135" i="2"/>
  <c r="C135" i="2" s="1"/>
  <c r="E127" i="2"/>
  <c r="C127" i="2" s="1"/>
  <c r="E119" i="2"/>
  <c r="C119" i="2" s="1"/>
  <c r="E111" i="2"/>
  <c r="C111" i="2" s="1"/>
  <c r="E103" i="2"/>
  <c r="C103" i="2" s="1"/>
  <c r="E95" i="2"/>
  <c r="C95" i="2" s="1"/>
  <c r="E87" i="2"/>
  <c r="C87" i="2" s="1"/>
  <c r="E79" i="2"/>
  <c r="C79" i="2" s="1"/>
  <c r="E71" i="2"/>
  <c r="C71" i="2" s="1"/>
  <c r="E63" i="2"/>
  <c r="C63" i="2" s="1"/>
  <c r="E55" i="2"/>
  <c r="C55" i="2" s="1"/>
  <c r="E47" i="2"/>
  <c r="C47" i="2" s="1"/>
  <c r="E39" i="2"/>
  <c r="C39" i="2" s="1"/>
  <c r="E31" i="2"/>
  <c r="C31" i="2" s="1"/>
  <c r="E23" i="2"/>
  <c r="C23" i="2" s="1"/>
  <c r="E15" i="2"/>
  <c r="C15" i="2" s="1"/>
  <c r="E7" i="2"/>
  <c r="C7" i="2" s="1"/>
  <c r="E758" i="2"/>
  <c r="C758" i="2" s="1"/>
  <c r="E750" i="2"/>
  <c r="C750" i="2" s="1"/>
  <c r="E742" i="2"/>
  <c r="C742" i="2" s="1"/>
  <c r="E734" i="2"/>
  <c r="C734" i="2" s="1"/>
  <c r="E726" i="2"/>
  <c r="C726" i="2" s="1"/>
  <c r="E718" i="2"/>
  <c r="C718" i="2" s="1"/>
  <c r="E710" i="2"/>
  <c r="C710" i="2" s="1"/>
  <c r="E702" i="2"/>
  <c r="C702" i="2" s="1"/>
  <c r="E694" i="2"/>
  <c r="C694" i="2" s="1"/>
  <c r="E686" i="2"/>
  <c r="C686" i="2" s="1"/>
  <c r="E678" i="2"/>
  <c r="C678" i="2" s="1"/>
  <c r="E670" i="2"/>
  <c r="C670" i="2" s="1"/>
  <c r="E662" i="2"/>
  <c r="C662" i="2" s="1"/>
  <c r="E654" i="2"/>
  <c r="C654" i="2" s="1"/>
  <c r="E646" i="2"/>
  <c r="C646" i="2" s="1"/>
  <c r="E638" i="2"/>
  <c r="C638" i="2" s="1"/>
  <c r="E630" i="2"/>
  <c r="C630" i="2" s="1"/>
  <c r="E622" i="2"/>
  <c r="C622" i="2" s="1"/>
  <c r="E614" i="2"/>
  <c r="C614" i="2" s="1"/>
  <c r="E606" i="2"/>
  <c r="C606" i="2" s="1"/>
  <c r="E598" i="2"/>
  <c r="C598" i="2" s="1"/>
  <c r="E590" i="2"/>
  <c r="C590" i="2" s="1"/>
  <c r="E582" i="2"/>
  <c r="C582" i="2" s="1"/>
  <c r="E574" i="2"/>
  <c r="C574" i="2" s="1"/>
  <c r="E566" i="2"/>
  <c r="C566" i="2" s="1"/>
  <c r="E558" i="2"/>
  <c r="C558" i="2" s="1"/>
  <c r="E550" i="2"/>
  <c r="C550" i="2" s="1"/>
  <c r="E542" i="2"/>
  <c r="C542" i="2" s="1"/>
  <c r="E534" i="2"/>
  <c r="C534" i="2" s="1"/>
  <c r="E526" i="2"/>
  <c r="C526" i="2" s="1"/>
  <c r="E518" i="2"/>
  <c r="C518" i="2" s="1"/>
  <c r="E510" i="2"/>
  <c r="C510" i="2" s="1"/>
  <c r="E502" i="2"/>
  <c r="C502" i="2" s="1"/>
  <c r="E494" i="2"/>
  <c r="C494" i="2" s="1"/>
  <c r="E486" i="2"/>
  <c r="C486" i="2" s="1"/>
  <c r="E478" i="2"/>
  <c r="C478" i="2" s="1"/>
  <c r="E470" i="2"/>
  <c r="C470" i="2" s="1"/>
  <c r="E462" i="2"/>
  <c r="C462" i="2" s="1"/>
  <c r="E454" i="2"/>
  <c r="C454" i="2" s="1"/>
  <c r="E446" i="2"/>
  <c r="C446" i="2" s="1"/>
  <c r="E438" i="2"/>
  <c r="C438" i="2" s="1"/>
  <c r="E430" i="2"/>
  <c r="C430" i="2" s="1"/>
  <c r="E422" i="2"/>
  <c r="C422" i="2" s="1"/>
  <c r="E414" i="2"/>
  <c r="C414" i="2" s="1"/>
  <c r="E406" i="2"/>
  <c r="C406" i="2" s="1"/>
  <c r="E398" i="2"/>
  <c r="C398" i="2" s="1"/>
  <c r="E390" i="2"/>
  <c r="C390" i="2" s="1"/>
  <c r="E382" i="2"/>
  <c r="C382" i="2" s="1"/>
  <c r="E374" i="2"/>
  <c r="C374" i="2" s="1"/>
  <c r="E366" i="2"/>
  <c r="C366" i="2" s="1"/>
  <c r="E358" i="2"/>
  <c r="C358" i="2" s="1"/>
  <c r="E350" i="2"/>
  <c r="C350" i="2" s="1"/>
  <c r="E342" i="2"/>
  <c r="C342" i="2" s="1"/>
  <c r="E334" i="2"/>
  <c r="C334" i="2" s="1"/>
  <c r="E326" i="2"/>
  <c r="C326" i="2" s="1"/>
  <c r="E318" i="2"/>
  <c r="C318" i="2" s="1"/>
  <c r="E310" i="2"/>
  <c r="C310" i="2" s="1"/>
  <c r="E302" i="2"/>
  <c r="C302" i="2" s="1"/>
  <c r="E294" i="2"/>
  <c r="C294" i="2" s="1"/>
  <c r="E286" i="2"/>
  <c r="C286" i="2" s="1"/>
  <c r="E278" i="2"/>
  <c r="C278" i="2" s="1"/>
  <c r="E270" i="2"/>
  <c r="C270" i="2" s="1"/>
  <c r="E262" i="2"/>
  <c r="C262" i="2" s="1"/>
  <c r="E254" i="2"/>
  <c r="C254" i="2" s="1"/>
  <c r="E246" i="2"/>
  <c r="C246" i="2" s="1"/>
  <c r="E238" i="2"/>
  <c r="C238" i="2" s="1"/>
  <c r="E230" i="2"/>
  <c r="C230" i="2" s="1"/>
  <c r="E222" i="2"/>
  <c r="C222" i="2" s="1"/>
  <c r="E214" i="2"/>
  <c r="C214" i="2" s="1"/>
  <c r="E206" i="2"/>
  <c r="C206" i="2" s="1"/>
  <c r="E198" i="2"/>
  <c r="C198" i="2" s="1"/>
  <c r="E190" i="2"/>
  <c r="C190" i="2" s="1"/>
  <c r="E182" i="2"/>
  <c r="C182" i="2" s="1"/>
  <c r="E174" i="2"/>
  <c r="C174" i="2" s="1"/>
  <c r="E166" i="2"/>
  <c r="C166" i="2" s="1"/>
  <c r="E158" i="2"/>
  <c r="C158" i="2" s="1"/>
  <c r="E150" i="2"/>
  <c r="C150" i="2" s="1"/>
  <c r="E142" i="2"/>
  <c r="C142" i="2" s="1"/>
  <c r="E134" i="2"/>
  <c r="C134" i="2" s="1"/>
  <c r="E126" i="2"/>
  <c r="C126" i="2" s="1"/>
  <c r="E118" i="2"/>
  <c r="C118" i="2" s="1"/>
  <c r="E110" i="2"/>
  <c r="C110" i="2" s="1"/>
  <c r="E102" i="2"/>
  <c r="C102" i="2" s="1"/>
  <c r="E94" i="2"/>
  <c r="C94" i="2" s="1"/>
  <c r="E86" i="2"/>
  <c r="C86" i="2" s="1"/>
  <c r="E78" i="2"/>
  <c r="C78" i="2" s="1"/>
  <c r="E70" i="2"/>
  <c r="C70" i="2" s="1"/>
  <c r="E62" i="2"/>
  <c r="C62" i="2" s="1"/>
  <c r="E54" i="2"/>
  <c r="C54" i="2" s="1"/>
  <c r="E46" i="2"/>
  <c r="C46" i="2" s="1"/>
  <c r="E38" i="2"/>
  <c r="C38" i="2" s="1"/>
  <c r="E30" i="2"/>
  <c r="C30" i="2" s="1"/>
  <c r="E22" i="2"/>
  <c r="C22" i="2" s="1"/>
  <c r="E14" i="2"/>
  <c r="C14" i="2" s="1"/>
  <c r="E6" i="2"/>
  <c r="C6" i="2" s="1"/>
  <c r="E757" i="2"/>
  <c r="C757" i="2" s="1"/>
  <c r="E749" i="2"/>
  <c r="C749" i="2" s="1"/>
  <c r="E741" i="2"/>
  <c r="C741" i="2" s="1"/>
  <c r="E733" i="2"/>
  <c r="C733" i="2" s="1"/>
  <c r="E725" i="2"/>
  <c r="C725" i="2" s="1"/>
  <c r="E717" i="2"/>
  <c r="C717" i="2" s="1"/>
  <c r="E709" i="2"/>
  <c r="C709" i="2" s="1"/>
  <c r="E701" i="2"/>
  <c r="C701" i="2" s="1"/>
  <c r="E693" i="2"/>
  <c r="C693" i="2" s="1"/>
  <c r="E685" i="2"/>
  <c r="C685" i="2" s="1"/>
  <c r="E677" i="2"/>
  <c r="C677" i="2" s="1"/>
  <c r="E669" i="2"/>
  <c r="C669" i="2" s="1"/>
  <c r="E661" i="2"/>
  <c r="C661" i="2" s="1"/>
  <c r="E653" i="2"/>
  <c r="C653" i="2" s="1"/>
  <c r="E645" i="2"/>
  <c r="C645" i="2" s="1"/>
  <c r="E637" i="2"/>
  <c r="C637" i="2" s="1"/>
  <c r="E629" i="2"/>
  <c r="C629" i="2" s="1"/>
  <c r="E621" i="2"/>
  <c r="C621" i="2" s="1"/>
  <c r="E613" i="2"/>
  <c r="C613" i="2" s="1"/>
  <c r="E605" i="2"/>
  <c r="C605" i="2" s="1"/>
  <c r="E597" i="2"/>
  <c r="C597" i="2" s="1"/>
  <c r="E589" i="2"/>
  <c r="C589" i="2" s="1"/>
  <c r="E581" i="2"/>
  <c r="C581" i="2" s="1"/>
  <c r="E573" i="2"/>
  <c r="C573" i="2" s="1"/>
  <c r="E565" i="2"/>
  <c r="C565" i="2" s="1"/>
  <c r="E557" i="2"/>
  <c r="C557" i="2" s="1"/>
  <c r="E549" i="2"/>
  <c r="C549" i="2" s="1"/>
  <c r="E541" i="2"/>
  <c r="C541" i="2" s="1"/>
  <c r="E533" i="2"/>
  <c r="C533" i="2" s="1"/>
  <c r="E525" i="2"/>
  <c r="C525" i="2" s="1"/>
  <c r="E517" i="2"/>
  <c r="C517" i="2" s="1"/>
  <c r="E509" i="2"/>
  <c r="C509" i="2" s="1"/>
  <c r="E501" i="2"/>
  <c r="C501" i="2" s="1"/>
  <c r="E493" i="2"/>
  <c r="C493" i="2" s="1"/>
  <c r="E485" i="2"/>
  <c r="C485" i="2" s="1"/>
  <c r="E477" i="2"/>
  <c r="C477" i="2" s="1"/>
  <c r="E469" i="2"/>
  <c r="C469" i="2" s="1"/>
  <c r="E461" i="2"/>
  <c r="C461" i="2" s="1"/>
  <c r="E453" i="2"/>
  <c r="C453" i="2" s="1"/>
  <c r="E445" i="2"/>
  <c r="C445" i="2" s="1"/>
  <c r="E437" i="2"/>
  <c r="C437" i="2" s="1"/>
  <c r="E429" i="2"/>
  <c r="C429" i="2" s="1"/>
  <c r="E421" i="2"/>
  <c r="C421" i="2" s="1"/>
  <c r="E413" i="2"/>
  <c r="C413" i="2" s="1"/>
  <c r="E405" i="2"/>
  <c r="C405" i="2" s="1"/>
  <c r="E397" i="2"/>
  <c r="C397" i="2" s="1"/>
  <c r="E389" i="2"/>
  <c r="C389" i="2" s="1"/>
  <c r="E381" i="2"/>
  <c r="C381" i="2" s="1"/>
  <c r="E373" i="2"/>
  <c r="C373" i="2" s="1"/>
  <c r="E365" i="2"/>
  <c r="C365" i="2" s="1"/>
  <c r="E357" i="2"/>
  <c r="C357" i="2" s="1"/>
  <c r="E349" i="2"/>
  <c r="C349" i="2" s="1"/>
  <c r="E341" i="2"/>
  <c r="C341" i="2" s="1"/>
  <c r="E333" i="2"/>
  <c r="C333" i="2" s="1"/>
  <c r="E325" i="2"/>
  <c r="C325" i="2" s="1"/>
  <c r="E317" i="2"/>
  <c r="C317" i="2" s="1"/>
  <c r="E309" i="2"/>
  <c r="C309" i="2" s="1"/>
  <c r="E301" i="2"/>
  <c r="C301" i="2" s="1"/>
  <c r="E293" i="2"/>
  <c r="C293" i="2" s="1"/>
  <c r="E285" i="2"/>
  <c r="C285" i="2" s="1"/>
  <c r="E277" i="2"/>
  <c r="C277" i="2" s="1"/>
  <c r="E269" i="2"/>
  <c r="C269" i="2" s="1"/>
  <c r="E261" i="2"/>
  <c r="C261" i="2" s="1"/>
  <c r="E253" i="2"/>
  <c r="C253" i="2" s="1"/>
  <c r="E245" i="2"/>
  <c r="C245" i="2" s="1"/>
  <c r="E237" i="2"/>
  <c r="C237" i="2" s="1"/>
  <c r="E229" i="2"/>
  <c r="C229" i="2" s="1"/>
  <c r="E221" i="2"/>
  <c r="C221" i="2" s="1"/>
  <c r="E213" i="2"/>
  <c r="C213" i="2" s="1"/>
  <c r="E205" i="2"/>
  <c r="C205" i="2" s="1"/>
  <c r="E197" i="2"/>
  <c r="C197" i="2" s="1"/>
  <c r="E189" i="2"/>
  <c r="C189" i="2" s="1"/>
  <c r="E181" i="2"/>
  <c r="C181" i="2" s="1"/>
  <c r="E173" i="2"/>
  <c r="C173" i="2" s="1"/>
  <c r="E165" i="2"/>
  <c r="C165" i="2" s="1"/>
  <c r="E157" i="2"/>
  <c r="C157" i="2" s="1"/>
  <c r="E149" i="2"/>
  <c r="C149" i="2" s="1"/>
  <c r="E141" i="2"/>
  <c r="C141" i="2" s="1"/>
  <c r="E133" i="2"/>
  <c r="C133" i="2" s="1"/>
  <c r="E125" i="2"/>
  <c r="C125" i="2" s="1"/>
  <c r="E117" i="2"/>
  <c r="C117" i="2" s="1"/>
  <c r="E109" i="2"/>
  <c r="C109" i="2" s="1"/>
  <c r="E101" i="2"/>
  <c r="C101" i="2" s="1"/>
  <c r="E93" i="2"/>
  <c r="C93" i="2" s="1"/>
  <c r="E85" i="2"/>
  <c r="C85" i="2" s="1"/>
  <c r="E77" i="2"/>
  <c r="C77" i="2" s="1"/>
  <c r="E69" i="2"/>
  <c r="C69" i="2" s="1"/>
  <c r="E61" i="2"/>
  <c r="C61" i="2" s="1"/>
  <c r="E53" i="2"/>
  <c r="C53" i="2" s="1"/>
  <c r="E45" i="2"/>
  <c r="C45" i="2" s="1"/>
  <c r="E37" i="2"/>
  <c r="C37" i="2" s="1"/>
  <c r="E29" i="2"/>
  <c r="C29" i="2" s="1"/>
  <c r="E21" i="2"/>
  <c r="C21" i="2" s="1"/>
  <c r="E13" i="2"/>
  <c r="C13" i="2" s="1"/>
  <c r="E5" i="2"/>
  <c r="C5" i="2" s="1"/>
  <c r="E755" i="2"/>
  <c r="C755" i="2" s="1"/>
  <c r="E747" i="2"/>
  <c r="C747" i="2" s="1"/>
  <c r="E739" i="2"/>
  <c r="C739" i="2" s="1"/>
  <c r="E731" i="2"/>
  <c r="C731" i="2" s="1"/>
  <c r="E723" i="2"/>
  <c r="C723" i="2" s="1"/>
  <c r="E715" i="2"/>
  <c r="C715" i="2" s="1"/>
  <c r="E707" i="2"/>
  <c r="C707" i="2" s="1"/>
  <c r="E699" i="2"/>
  <c r="C699" i="2" s="1"/>
  <c r="E691" i="2"/>
  <c r="C691" i="2" s="1"/>
  <c r="E683" i="2"/>
  <c r="C683" i="2" s="1"/>
  <c r="E675" i="2"/>
  <c r="C675" i="2" s="1"/>
  <c r="E667" i="2"/>
  <c r="C667" i="2" s="1"/>
  <c r="E659" i="2"/>
  <c r="C659" i="2" s="1"/>
  <c r="E651" i="2"/>
  <c r="C651" i="2" s="1"/>
  <c r="E643" i="2"/>
  <c r="C643" i="2" s="1"/>
  <c r="E635" i="2"/>
  <c r="C635" i="2" s="1"/>
  <c r="E627" i="2"/>
  <c r="C627" i="2" s="1"/>
  <c r="E619" i="2"/>
  <c r="C619" i="2" s="1"/>
  <c r="E611" i="2"/>
  <c r="C611" i="2" s="1"/>
  <c r="E603" i="2"/>
  <c r="C603" i="2" s="1"/>
  <c r="E595" i="2"/>
  <c r="C595" i="2" s="1"/>
  <c r="E587" i="2"/>
  <c r="C587" i="2" s="1"/>
  <c r="E579" i="2"/>
  <c r="C579" i="2" s="1"/>
  <c r="E571" i="2"/>
  <c r="C571" i="2" s="1"/>
  <c r="E563" i="2"/>
  <c r="C563" i="2" s="1"/>
  <c r="E555" i="2"/>
  <c r="C555" i="2" s="1"/>
  <c r="E547" i="2"/>
  <c r="C547" i="2" s="1"/>
  <c r="E539" i="2"/>
  <c r="C539" i="2" s="1"/>
  <c r="E531" i="2"/>
  <c r="C531" i="2" s="1"/>
  <c r="E523" i="2"/>
  <c r="C523" i="2" s="1"/>
  <c r="E515" i="2"/>
  <c r="C515" i="2" s="1"/>
  <c r="E507" i="2"/>
  <c r="C507" i="2" s="1"/>
  <c r="E499" i="2"/>
  <c r="C499" i="2" s="1"/>
  <c r="E491" i="2"/>
  <c r="C491" i="2" s="1"/>
  <c r="E483" i="2"/>
  <c r="C483" i="2" s="1"/>
  <c r="E475" i="2"/>
  <c r="C475" i="2" s="1"/>
  <c r="E467" i="2"/>
  <c r="C467" i="2" s="1"/>
  <c r="E459" i="2"/>
  <c r="C459" i="2" s="1"/>
  <c r="E451" i="2"/>
  <c r="C451" i="2" s="1"/>
  <c r="E443" i="2"/>
  <c r="C443" i="2" s="1"/>
  <c r="E435" i="2"/>
  <c r="C435" i="2" s="1"/>
  <c r="E427" i="2"/>
  <c r="C427" i="2" s="1"/>
  <c r="E419" i="2"/>
  <c r="C419" i="2" s="1"/>
  <c r="E411" i="2"/>
  <c r="C411" i="2" s="1"/>
  <c r="E403" i="2"/>
  <c r="C403" i="2" s="1"/>
  <c r="E395" i="2"/>
  <c r="C395" i="2" s="1"/>
  <c r="E387" i="2"/>
  <c r="C387" i="2" s="1"/>
  <c r="E379" i="2"/>
  <c r="C379" i="2" s="1"/>
  <c r="E371" i="2"/>
  <c r="C371" i="2" s="1"/>
  <c r="E363" i="2"/>
  <c r="C363" i="2" s="1"/>
  <c r="E355" i="2"/>
  <c r="C355" i="2" s="1"/>
  <c r="E347" i="2"/>
  <c r="C347" i="2" s="1"/>
  <c r="E339" i="2"/>
  <c r="C339" i="2" s="1"/>
  <c r="E331" i="2"/>
  <c r="C331" i="2" s="1"/>
  <c r="E323" i="2"/>
  <c r="C323" i="2" s="1"/>
  <c r="E315" i="2"/>
  <c r="C315" i="2" s="1"/>
  <c r="E307" i="2"/>
  <c r="C307" i="2" s="1"/>
  <c r="E299" i="2"/>
  <c r="C299" i="2" s="1"/>
  <c r="E291" i="2"/>
  <c r="C291" i="2" s="1"/>
  <c r="E283" i="2"/>
  <c r="C283" i="2" s="1"/>
  <c r="E275" i="2"/>
  <c r="C275" i="2" s="1"/>
  <c r="E267" i="2"/>
  <c r="C267" i="2" s="1"/>
  <c r="E259" i="2"/>
  <c r="C259" i="2" s="1"/>
  <c r="E251" i="2"/>
  <c r="C251" i="2" s="1"/>
  <c r="E243" i="2"/>
  <c r="C243" i="2" s="1"/>
  <c r="E235" i="2"/>
  <c r="C235" i="2" s="1"/>
  <c r="E227" i="2"/>
  <c r="C227" i="2" s="1"/>
  <c r="E219" i="2"/>
  <c r="C219" i="2" s="1"/>
  <c r="E211" i="2"/>
  <c r="C211" i="2" s="1"/>
  <c r="E203" i="2"/>
  <c r="C203" i="2" s="1"/>
  <c r="E195" i="2"/>
  <c r="C195" i="2" s="1"/>
  <c r="E187" i="2"/>
  <c r="C187" i="2" s="1"/>
  <c r="E179" i="2"/>
  <c r="C179" i="2" s="1"/>
  <c r="E171" i="2"/>
  <c r="C171" i="2" s="1"/>
  <c r="E163" i="2"/>
  <c r="C163" i="2" s="1"/>
  <c r="E155" i="2"/>
  <c r="C155" i="2" s="1"/>
  <c r="E147" i="2"/>
  <c r="C147" i="2" s="1"/>
  <c r="E139" i="2"/>
  <c r="C139" i="2" s="1"/>
  <c r="E131" i="2"/>
  <c r="C131" i="2" s="1"/>
  <c r="E123" i="2"/>
  <c r="C123" i="2" s="1"/>
  <c r="E115" i="2"/>
  <c r="C115" i="2" s="1"/>
  <c r="E107" i="2"/>
  <c r="C107" i="2" s="1"/>
  <c r="E99" i="2"/>
  <c r="C99" i="2" s="1"/>
  <c r="E91" i="2"/>
  <c r="C91" i="2" s="1"/>
  <c r="E83" i="2"/>
  <c r="C83" i="2" s="1"/>
  <c r="E75" i="2"/>
  <c r="C75" i="2" s="1"/>
  <c r="E67" i="2"/>
  <c r="C67" i="2" s="1"/>
  <c r="E59" i="2"/>
  <c r="C59" i="2" s="1"/>
  <c r="E51" i="2"/>
  <c r="C51" i="2" s="1"/>
  <c r="E43" i="2"/>
  <c r="C43" i="2" s="1"/>
  <c r="E35" i="2"/>
  <c r="C35" i="2" s="1"/>
  <c r="E27" i="2"/>
  <c r="C27" i="2" s="1"/>
  <c r="E19" i="2"/>
  <c r="C19" i="2" s="1"/>
  <c r="E11" i="2"/>
  <c r="C11" i="2" s="1"/>
  <c r="E753" i="2"/>
  <c r="C753" i="2" s="1"/>
  <c r="E745" i="2"/>
  <c r="C745" i="2" s="1"/>
  <c r="E737" i="2"/>
  <c r="C737" i="2" s="1"/>
  <c r="E729" i="2"/>
  <c r="C729" i="2" s="1"/>
  <c r="E721" i="2"/>
  <c r="C721" i="2" s="1"/>
  <c r="E713" i="2"/>
  <c r="C713" i="2" s="1"/>
  <c r="E705" i="2"/>
  <c r="C705" i="2" s="1"/>
  <c r="E697" i="2"/>
  <c r="C697" i="2" s="1"/>
  <c r="E689" i="2"/>
  <c r="C689" i="2" s="1"/>
  <c r="E681" i="2"/>
  <c r="C681" i="2" s="1"/>
  <c r="E673" i="2"/>
  <c r="C673" i="2" s="1"/>
  <c r="E665" i="2"/>
  <c r="C665" i="2" s="1"/>
  <c r="E657" i="2"/>
  <c r="C657" i="2" s="1"/>
  <c r="E649" i="2"/>
  <c r="C649" i="2" s="1"/>
  <c r="E641" i="2"/>
  <c r="C641" i="2" s="1"/>
  <c r="E633" i="2"/>
  <c r="C633" i="2" s="1"/>
  <c r="E625" i="2"/>
  <c r="C625" i="2" s="1"/>
  <c r="E617" i="2"/>
  <c r="C617" i="2" s="1"/>
  <c r="E609" i="2"/>
  <c r="C609" i="2" s="1"/>
  <c r="E601" i="2"/>
  <c r="C601" i="2" s="1"/>
  <c r="E593" i="2"/>
  <c r="C593" i="2" s="1"/>
  <c r="E585" i="2"/>
  <c r="C585" i="2" s="1"/>
  <c r="E577" i="2"/>
  <c r="C577" i="2" s="1"/>
  <c r="E569" i="2"/>
  <c r="C569" i="2" s="1"/>
  <c r="E561" i="2"/>
  <c r="C561" i="2" s="1"/>
  <c r="E553" i="2"/>
  <c r="C553" i="2" s="1"/>
  <c r="E545" i="2"/>
  <c r="C545" i="2" s="1"/>
  <c r="E537" i="2"/>
  <c r="C537" i="2" s="1"/>
  <c r="E529" i="2"/>
  <c r="C529" i="2" s="1"/>
  <c r="E521" i="2"/>
  <c r="C521" i="2" s="1"/>
  <c r="E513" i="2"/>
  <c r="C513" i="2" s="1"/>
  <c r="E505" i="2"/>
  <c r="C505" i="2" s="1"/>
  <c r="E497" i="2"/>
  <c r="C497" i="2" s="1"/>
  <c r="E489" i="2"/>
  <c r="C489" i="2" s="1"/>
  <c r="E481" i="2"/>
  <c r="C481" i="2" s="1"/>
  <c r="E473" i="2"/>
  <c r="C473" i="2" s="1"/>
  <c r="E465" i="2"/>
  <c r="C465" i="2" s="1"/>
  <c r="E457" i="2"/>
  <c r="C457" i="2" s="1"/>
  <c r="E449" i="2"/>
  <c r="C449" i="2" s="1"/>
  <c r="E441" i="2"/>
  <c r="C441" i="2" s="1"/>
  <c r="E433" i="2"/>
  <c r="C433" i="2" s="1"/>
  <c r="E425" i="2"/>
  <c r="C425" i="2" s="1"/>
  <c r="E417" i="2"/>
  <c r="C417" i="2" s="1"/>
  <c r="E409" i="2"/>
  <c r="C409" i="2" s="1"/>
  <c r="E401" i="2"/>
  <c r="C401" i="2" s="1"/>
  <c r="E393" i="2"/>
  <c r="C393" i="2" s="1"/>
  <c r="E385" i="2"/>
  <c r="C385" i="2" s="1"/>
  <c r="E377" i="2"/>
  <c r="C377" i="2" s="1"/>
  <c r="E369" i="2"/>
  <c r="C369" i="2" s="1"/>
  <c r="E361" i="2"/>
  <c r="C361" i="2" s="1"/>
  <c r="E353" i="2"/>
  <c r="C353" i="2" s="1"/>
  <c r="E345" i="2"/>
  <c r="C345" i="2" s="1"/>
  <c r="E337" i="2"/>
  <c r="C337" i="2" s="1"/>
  <c r="E329" i="2"/>
  <c r="C329" i="2" s="1"/>
  <c r="E321" i="2"/>
  <c r="C321" i="2" s="1"/>
  <c r="E313" i="2"/>
  <c r="C313" i="2" s="1"/>
  <c r="E305" i="2"/>
  <c r="C305" i="2" s="1"/>
  <c r="E297" i="2"/>
  <c r="C297" i="2" s="1"/>
  <c r="E289" i="2"/>
  <c r="C289" i="2" s="1"/>
  <c r="E281" i="2"/>
  <c r="C281" i="2" s="1"/>
  <c r="E273" i="2"/>
  <c r="C273" i="2" s="1"/>
  <c r="E265" i="2"/>
  <c r="C265" i="2" s="1"/>
  <c r="E257" i="2"/>
  <c r="C257" i="2" s="1"/>
  <c r="E249" i="2"/>
  <c r="C249" i="2" s="1"/>
  <c r="E241" i="2"/>
  <c r="C241" i="2" s="1"/>
  <c r="E233" i="2"/>
  <c r="C233" i="2" s="1"/>
  <c r="E225" i="2"/>
  <c r="C225" i="2" s="1"/>
  <c r="E217" i="2"/>
  <c r="C217" i="2" s="1"/>
  <c r="E209" i="2"/>
  <c r="C209" i="2" s="1"/>
  <c r="E201" i="2"/>
  <c r="C201" i="2" s="1"/>
  <c r="E193" i="2"/>
  <c r="C193" i="2" s="1"/>
  <c r="E185" i="2"/>
  <c r="C185" i="2" s="1"/>
  <c r="E177" i="2"/>
  <c r="C177" i="2" s="1"/>
  <c r="E169" i="2"/>
  <c r="C169" i="2" s="1"/>
  <c r="E161" i="2"/>
  <c r="C161" i="2" s="1"/>
  <c r="E153" i="2"/>
  <c r="C153" i="2" s="1"/>
  <c r="E145" i="2"/>
  <c r="C145" i="2" s="1"/>
  <c r="E137" i="2"/>
  <c r="C137" i="2" s="1"/>
  <c r="E129" i="2"/>
  <c r="C129" i="2" s="1"/>
  <c r="E121" i="2"/>
  <c r="C121" i="2" s="1"/>
  <c r="E113" i="2"/>
  <c r="C113" i="2" s="1"/>
  <c r="E105" i="2"/>
  <c r="C105" i="2" s="1"/>
  <c r="E97" i="2"/>
  <c r="C97" i="2" s="1"/>
  <c r="E89" i="2"/>
  <c r="C89" i="2" s="1"/>
  <c r="E81" i="2"/>
  <c r="C81" i="2" s="1"/>
  <c r="E73" i="2"/>
  <c r="C73" i="2" s="1"/>
  <c r="E65" i="2"/>
  <c r="C65" i="2" s="1"/>
  <c r="E57" i="2"/>
  <c r="C57" i="2" s="1"/>
  <c r="E49" i="2"/>
  <c r="C49" i="2" s="1"/>
  <c r="E41" i="2"/>
  <c r="C41" i="2" s="1"/>
  <c r="E33" i="2"/>
  <c r="C33" i="2" s="1"/>
  <c r="E25" i="2"/>
  <c r="C25" i="2" s="1"/>
  <c r="E17" i="2"/>
  <c r="C17" i="2" s="1"/>
  <c r="E9" i="2"/>
  <c r="C9" i="2" s="1"/>
  <c r="E164" i="2"/>
  <c r="C164" i="2" s="1"/>
  <c r="E388" i="2"/>
  <c r="C388" i="2" s="1"/>
  <c r="E612" i="2"/>
  <c r="C612" i="2" s="1"/>
  <c r="E426" i="2"/>
  <c r="C426" i="2" s="1"/>
  <c r="E618" i="2"/>
  <c r="C618" i="2" s="1"/>
  <c r="E650" i="2"/>
  <c r="C650" i="2" s="1"/>
  <c r="E682" i="2"/>
  <c r="C682" i="2" s="1"/>
  <c r="E714" i="2"/>
  <c r="C714" i="2" s="1"/>
  <c r="E36" i="2"/>
  <c r="C36" i="2" s="1"/>
  <c r="E260" i="2"/>
  <c r="C260" i="2" s="1"/>
  <c r="E484" i="2"/>
  <c r="C484" i="2" s="1"/>
  <c r="E106" i="2"/>
  <c r="C106" i="2" s="1"/>
  <c r="E266" i="2"/>
  <c r="C266" i="2" s="1"/>
  <c r="E458" i="2"/>
  <c r="C458" i="2" s="1"/>
  <c r="E76" i="2"/>
  <c r="C76" i="2" s="1"/>
  <c r="E140" i="2"/>
  <c r="C140" i="2" s="1"/>
  <c r="E204" i="2"/>
  <c r="C204" i="2" s="1"/>
  <c r="E268" i="2"/>
  <c r="C268" i="2" s="1"/>
  <c r="E364" i="2"/>
  <c r="C364" i="2" s="1"/>
  <c r="E428" i="2"/>
  <c r="C428" i="2" s="1"/>
  <c r="E492" i="2"/>
  <c r="C492" i="2" s="1"/>
  <c r="E588" i="2"/>
  <c r="C588" i="2" s="1"/>
  <c r="E652" i="2"/>
  <c r="C652" i="2" s="1"/>
  <c r="E716" i="2"/>
  <c r="C716" i="2" s="1"/>
  <c r="E748" i="2"/>
  <c r="C748" i="2" s="1"/>
  <c r="D602" i="5"/>
  <c r="B602" i="5" s="1"/>
  <c r="D632" i="5"/>
  <c r="B632" i="5" s="1"/>
  <c r="D437" i="5"/>
  <c r="B437" i="5" s="1"/>
  <c r="D434" i="5"/>
  <c r="B434" i="5" s="1"/>
  <c r="E100" i="2"/>
  <c r="C100" i="2" s="1"/>
  <c r="E196" i="2"/>
  <c r="C196" i="2" s="1"/>
  <c r="E324" i="2"/>
  <c r="C324" i="2" s="1"/>
  <c r="E420" i="2"/>
  <c r="C420" i="2" s="1"/>
  <c r="E548" i="2"/>
  <c r="C548" i="2" s="1"/>
  <c r="E644" i="2"/>
  <c r="C644" i="2" s="1"/>
  <c r="E10" i="2"/>
  <c r="C10" i="2" s="1"/>
  <c r="E170" i="2"/>
  <c r="C170" i="2" s="1"/>
  <c r="E362" i="2"/>
  <c r="C362" i="2" s="1"/>
  <c r="E586" i="2"/>
  <c r="C586" i="2" s="1"/>
  <c r="E44" i="2"/>
  <c r="C44" i="2" s="1"/>
  <c r="E108" i="2"/>
  <c r="C108" i="2" s="1"/>
  <c r="E172" i="2"/>
  <c r="C172" i="2" s="1"/>
  <c r="E236" i="2"/>
  <c r="C236" i="2" s="1"/>
  <c r="E300" i="2"/>
  <c r="C300" i="2" s="1"/>
  <c r="E332" i="2"/>
  <c r="C332" i="2" s="1"/>
  <c r="E396" i="2"/>
  <c r="C396" i="2" s="1"/>
  <c r="E460" i="2"/>
  <c r="C460" i="2" s="1"/>
  <c r="E524" i="2"/>
  <c r="C524" i="2" s="1"/>
  <c r="E556" i="2"/>
  <c r="C556" i="2" s="1"/>
  <c r="E620" i="2"/>
  <c r="C620" i="2" s="1"/>
  <c r="E684" i="2"/>
  <c r="C684" i="2" s="1"/>
  <c r="E18" i="2"/>
  <c r="C18" i="2" s="1"/>
  <c r="E50" i="2"/>
  <c r="C50" i="2" s="1"/>
  <c r="E82" i="2"/>
  <c r="C82" i="2" s="1"/>
  <c r="E114" i="2"/>
  <c r="C114" i="2" s="1"/>
  <c r="E146" i="2"/>
  <c r="C146" i="2" s="1"/>
  <c r="E178" i="2"/>
  <c r="C178" i="2" s="1"/>
  <c r="E210" i="2"/>
  <c r="C210" i="2" s="1"/>
  <c r="E242" i="2"/>
  <c r="C242" i="2" s="1"/>
  <c r="E274" i="2"/>
  <c r="C274" i="2" s="1"/>
  <c r="E306" i="2"/>
  <c r="C306" i="2" s="1"/>
  <c r="E338" i="2"/>
  <c r="C338" i="2" s="1"/>
  <c r="E370" i="2"/>
  <c r="C370" i="2" s="1"/>
  <c r="E402" i="2"/>
  <c r="C402" i="2" s="1"/>
  <c r="E434" i="2"/>
  <c r="C434" i="2" s="1"/>
  <c r="E466" i="2"/>
  <c r="C466" i="2" s="1"/>
  <c r="E498" i="2"/>
  <c r="C498" i="2" s="1"/>
  <c r="E530" i="2"/>
  <c r="C530" i="2" s="1"/>
  <c r="E562" i="2"/>
  <c r="C562" i="2" s="1"/>
  <c r="E594" i="2"/>
  <c r="C594" i="2" s="1"/>
  <c r="E626" i="2"/>
  <c r="C626" i="2" s="1"/>
  <c r="E658" i="2"/>
  <c r="C658" i="2" s="1"/>
  <c r="E690" i="2"/>
  <c r="C690" i="2" s="1"/>
  <c r="E722" i="2"/>
  <c r="C722" i="2" s="1"/>
  <c r="E754" i="2"/>
  <c r="C754" i="2" s="1"/>
  <c r="E676" i="2"/>
  <c r="C676" i="2" s="1"/>
  <c r="E74" i="2"/>
  <c r="C74" i="2" s="1"/>
  <c r="E234" i="2"/>
  <c r="C234" i="2" s="1"/>
  <c r="E394" i="2"/>
  <c r="C394" i="2" s="1"/>
  <c r="E522" i="2"/>
  <c r="C522" i="2" s="1"/>
  <c r="E746" i="2"/>
  <c r="C746" i="2" s="1"/>
  <c r="E52" i="2"/>
  <c r="C52" i="2" s="1"/>
  <c r="E84" i="2"/>
  <c r="C84" i="2" s="1"/>
  <c r="E116" i="2"/>
  <c r="C116" i="2" s="1"/>
  <c r="E148" i="2"/>
  <c r="C148" i="2" s="1"/>
  <c r="E180" i="2"/>
  <c r="C180" i="2" s="1"/>
  <c r="E212" i="2"/>
  <c r="C212" i="2" s="1"/>
  <c r="E244" i="2"/>
  <c r="C244" i="2" s="1"/>
  <c r="E276" i="2"/>
  <c r="C276" i="2" s="1"/>
  <c r="E308" i="2"/>
  <c r="C308" i="2" s="1"/>
  <c r="E340" i="2"/>
  <c r="C340" i="2" s="1"/>
  <c r="E372" i="2"/>
  <c r="C372" i="2" s="1"/>
  <c r="E404" i="2"/>
  <c r="C404" i="2" s="1"/>
  <c r="E436" i="2"/>
  <c r="C436" i="2" s="1"/>
  <c r="E468" i="2"/>
  <c r="C468" i="2" s="1"/>
  <c r="E500" i="2"/>
  <c r="C500" i="2" s="1"/>
  <c r="E532" i="2"/>
  <c r="C532" i="2" s="1"/>
  <c r="E564" i="2"/>
  <c r="C564" i="2" s="1"/>
  <c r="E596" i="2"/>
  <c r="C596" i="2" s="1"/>
  <c r="E628" i="2"/>
  <c r="C628" i="2" s="1"/>
  <c r="E660" i="2"/>
  <c r="C660" i="2" s="1"/>
  <c r="E692" i="2"/>
  <c r="C692" i="2" s="1"/>
  <c r="E724" i="2"/>
  <c r="C724" i="2" s="1"/>
  <c r="E756" i="2"/>
  <c r="C756" i="2" s="1"/>
  <c r="D92" i="5"/>
  <c r="B92" i="5" s="1"/>
  <c r="E132" i="2"/>
  <c r="C132" i="2" s="1"/>
  <c r="E228" i="2"/>
  <c r="C228" i="2" s="1"/>
  <c r="E356" i="2"/>
  <c r="C356" i="2" s="1"/>
  <c r="E452" i="2"/>
  <c r="C452" i="2" s="1"/>
  <c r="E580" i="2"/>
  <c r="C580" i="2" s="1"/>
  <c r="E708" i="2"/>
  <c r="C708" i="2" s="1"/>
  <c r="E42" i="2"/>
  <c r="C42" i="2" s="1"/>
  <c r="E202" i="2"/>
  <c r="C202" i="2" s="1"/>
  <c r="E330" i="2"/>
  <c r="C330" i="2" s="1"/>
  <c r="E554" i="2"/>
  <c r="C554" i="2" s="1"/>
  <c r="E12" i="2"/>
  <c r="C12" i="2" s="1"/>
  <c r="E20" i="2"/>
  <c r="C20" i="2" s="1"/>
  <c r="E26" i="2"/>
  <c r="C26" i="2" s="1"/>
  <c r="E58" i="2"/>
  <c r="C58" i="2" s="1"/>
  <c r="E90" i="2"/>
  <c r="C90" i="2" s="1"/>
  <c r="E122" i="2"/>
  <c r="C122" i="2" s="1"/>
  <c r="E154" i="2"/>
  <c r="C154" i="2" s="1"/>
  <c r="E186" i="2"/>
  <c r="C186" i="2" s="1"/>
  <c r="E218" i="2"/>
  <c r="C218" i="2" s="1"/>
  <c r="E250" i="2"/>
  <c r="C250" i="2" s="1"/>
  <c r="E282" i="2"/>
  <c r="C282" i="2" s="1"/>
  <c r="E314" i="2"/>
  <c r="C314" i="2" s="1"/>
  <c r="E346" i="2"/>
  <c r="C346" i="2" s="1"/>
  <c r="E378" i="2"/>
  <c r="C378" i="2" s="1"/>
  <c r="E410" i="2"/>
  <c r="C410" i="2" s="1"/>
  <c r="E442" i="2"/>
  <c r="C442" i="2" s="1"/>
  <c r="E474" i="2"/>
  <c r="C474" i="2" s="1"/>
  <c r="E506" i="2"/>
  <c r="C506" i="2" s="1"/>
  <c r="E538" i="2"/>
  <c r="C538" i="2" s="1"/>
  <c r="E570" i="2"/>
  <c r="C570" i="2" s="1"/>
  <c r="E602" i="2"/>
  <c r="C602" i="2" s="1"/>
  <c r="E634" i="2"/>
  <c r="C634" i="2" s="1"/>
  <c r="E666" i="2"/>
  <c r="C666" i="2" s="1"/>
  <c r="E698" i="2"/>
  <c r="C698" i="2" s="1"/>
  <c r="E730" i="2"/>
  <c r="C730" i="2" s="1"/>
  <c r="D6" i="2"/>
  <c r="B6" i="2" s="1"/>
  <c r="D14" i="2"/>
  <c r="B14" i="2" s="1"/>
  <c r="D22" i="2"/>
  <c r="B22" i="2" s="1"/>
  <c r="D30" i="2"/>
  <c r="B30" i="2" s="1"/>
  <c r="D38" i="2"/>
  <c r="B38" i="2" s="1"/>
  <c r="D46" i="2"/>
  <c r="B46" i="2" s="1"/>
  <c r="D54" i="2"/>
  <c r="B54" i="2" s="1"/>
  <c r="D62" i="2"/>
  <c r="B62" i="2" s="1"/>
  <c r="D70" i="2"/>
  <c r="B70" i="2" s="1"/>
  <c r="D78" i="2"/>
  <c r="B78" i="2" s="1"/>
  <c r="D86" i="2"/>
  <c r="B86" i="2" s="1"/>
  <c r="D94" i="2"/>
  <c r="B94" i="2" s="1"/>
  <c r="D102" i="2"/>
  <c r="B102" i="2" s="1"/>
  <c r="D110" i="2"/>
  <c r="B110" i="2" s="1"/>
  <c r="D118" i="2"/>
  <c r="B118" i="2" s="1"/>
  <c r="D126" i="2"/>
  <c r="B126" i="2" s="1"/>
  <c r="D134" i="2"/>
  <c r="B134" i="2" s="1"/>
  <c r="D142" i="2"/>
  <c r="B142" i="2" s="1"/>
  <c r="D150" i="2"/>
  <c r="B150" i="2" s="1"/>
  <c r="D158" i="2"/>
  <c r="B158" i="2" s="1"/>
  <c r="D166" i="2"/>
  <c r="B166" i="2" s="1"/>
  <c r="D174" i="2"/>
  <c r="B174" i="2" s="1"/>
  <c r="D182" i="2"/>
  <c r="B182" i="2" s="1"/>
  <c r="D190" i="2"/>
  <c r="B190" i="2" s="1"/>
  <c r="D198" i="2"/>
  <c r="B198" i="2" s="1"/>
  <c r="D206" i="2"/>
  <c r="B206" i="2" s="1"/>
  <c r="D214" i="2"/>
  <c r="B214" i="2" s="1"/>
  <c r="D222" i="2"/>
  <c r="B222" i="2" s="1"/>
  <c r="D230" i="2"/>
  <c r="B230" i="2" s="1"/>
  <c r="D238" i="2"/>
  <c r="B238" i="2" s="1"/>
  <c r="D246" i="2"/>
  <c r="B246" i="2" s="1"/>
  <c r="D254" i="2"/>
  <c r="B254" i="2" s="1"/>
  <c r="D262" i="2"/>
  <c r="B262" i="2" s="1"/>
  <c r="D270" i="2"/>
  <c r="B270" i="2" s="1"/>
  <c r="D278" i="2"/>
  <c r="B278" i="2" s="1"/>
  <c r="D286" i="2"/>
  <c r="B286" i="2" s="1"/>
  <c r="D294" i="2"/>
  <c r="B294" i="2" s="1"/>
  <c r="D302" i="2"/>
  <c r="B302" i="2" s="1"/>
  <c r="D310" i="2"/>
  <c r="B310" i="2" s="1"/>
  <c r="D318" i="2"/>
  <c r="B318" i="2" s="1"/>
  <c r="D326" i="2"/>
  <c r="B326" i="2" s="1"/>
  <c r="D334" i="2"/>
  <c r="B334" i="2" s="1"/>
  <c r="D342" i="2"/>
  <c r="B342" i="2" s="1"/>
  <c r="D350" i="2"/>
  <c r="B350" i="2" s="1"/>
  <c r="D358" i="2"/>
  <c r="B358" i="2" s="1"/>
  <c r="D366" i="2"/>
  <c r="B366" i="2" s="1"/>
  <c r="D374" i="2"/>
  <c r="B374" i="2" s="1"/>
  <c r="D382" i="2"/>
  <c r="B382" i="2" s="1"/>
  <c r="D390" i="2"/>
  <c r="B390" i="2" s="1"/>
  <c r="D398" i="2"/>
  <c r="B398" i="2" s="1"/>
  <c r="D406" i="2"/>
  <c r="B406" i="2" s="1"/>
  <c r="D414" i="2"/>
  <c r="B414" i="2" s="1"/>
  <c r="D422" i="2"/>
  <c r="B422" i="2" s="1"/>
  <c r="D430" i="2"/>
  <c r="B430" i="2" s="1"/>
  <c r="D438" i="2"/>
  <c r="B438" i="2" s="1"/>
  <c r="D446" i="2"/>
  <c r="B446" i="2" s="1"/>
  <c r="D454" i="2"/>
  <c r="B454" i="2" s="1"/>
  <c r="D462" i="2"/>
  <c r="B462" i="2" s="1"/>
  <c r="D470" i="2"/>
  <c r="B470" i="2" s="1"/>
  <c r="D478" i="2"/>
  <c r="B478" i="2" s="1"/>
  <c r="D486" i="2"/>
  <c r="B486" i="2" s="1"/>
  <c r="D494" i="2"/>
  <c r="B494" i="2" s="1"/>
  <c r="D502" i="2"/>
  <c r="B502" i="2" s="1"/>
  <c r="D510" i="2"/>
  <c r="B510" i="2" s="1"/>
  <c r="D518" i="2"/>
  <c r="B518" i="2" s="1"/>
  <c r="D526" i="2"/>
  <c r="B526" i="2" s="1"/>
  <c r="D534" i="2"/>
  <c r="B534" i="2" s="1"/>
  <c r="D542" i="2"/>
  <c r="B542" i="2" s="1"/>
  <c r="D550" i="2"/>
  <c r="B550" i="2" s="1"/>
  <c r="D558" i="2"/>
  <c r="B558" i="2" s="1"/>
  <c r="D566" i="2"/>
  <c r="B566" i="2" s="1"/>
  <c r="D574" i="2"/>
  <c r="B574" i="2" s="1"/>
  <c r="D582" i="2"/>
  <c r="B582" i="2" s="1"/>
  <c r="D590" i="2"/>
  <c r="B590" i="2" s="1"/>
  <c r="D598" i="2"/>
  <c r="B598" i="2" s="1"/>
  <c r="D606" i="2"/>
  <c r="B606" i="2" s="1"/>
  <c r="D614" i="2"/>
  <c r="B614" i="2" s="1"/>
  <c r="D622" i="2"/>
  <c r="B622" i="2" s="1"/>
  <c r="D630" i="2"/>
  <c r="B630" i="2" s="1"/>
  <c r="D638" i="2"/>
  <c r="B638" i="2" s="1"/>
  <c r="D646" i="2"/>
  <c r="B646" i="2" s="1"/>
  <c r="D654" i="2"/>
  <c r="B654" i="2" s="1"/>
  <c r="D662" i="2"/>
  <c r="B662" i="2" s="1"/>
  <c r="D670" i="2"/>
  <c r="B670" i="2" s="1"/>
  <c r="D678" i="2"/>
  <c r="B678" i="2" s="1"/>
  <c r="D686" i="2"/>
  <c r="B686" i="2" s="1"/>
  <c r="D694" i="2"/>
  <c r="B694" i="2" s="1"/>
  <c r="D702" i="2"/>
  <c r="B702" i="2" s="1"/>
  <c r="D710" i="2"/>
  <c r="B710" i="2" s="1"/>
  <c r="D718" i="2"/>
  <c r="B718" i="2" s="1"/>
  <c r="D726" i="2"/>
  <c r="B726" i="2" s="1"/>
  <c r="D734" i="2"/>
  <c r="B734" i="2" s="1"/>
  <c r="D742" i="2"/>
  <c r="B742" i="2" s="1"/>
  <c r="D750" i="2"/>
  <c r="B750" i="2" s="1"/>
  <c r="D758" i="2"/>
  <c r="B758" i="2" s="1"/>
  <c r="D8" i="2"/>
  <c r="B8" i="2" s="1"/>
  <c r="D16" i="2"/>
  <c r="B16" i="2" s="1"/>
  <c r="D24" i="2"/>
  <c r="B24" i="2" s="1"/>
  <c r="D32" i="2"/>
  <c r="B32" i="2" s="1"/>
  <c r="D40" i="2"/>
  <c r="B40" i="2" s="1"/>
  <c r="D48" i="2"/>
  <c r="B48" i="2" s="1"/>
  <c r="D56" i="2"/>
  <c r="B56" i="2" s="1"/>
  <c r="D64" i="2"/>
  <c r="B64" i="2" s="1"/>
  <c r="D72" i="2"/>
  <c r="B72" i="2" s="1"/>
  <c r="D80" i="2"/>
  <c r="B80" i="2" s="1"/>
  <c r="D88" i="2"/>
  <c r="B88" i="2" s="1"/>
  <c r="D96" i="2"/>
  <c r="B96" i="2" s="1"/>
  <c r="D104" i="2"/>
  <c r="B104" i="2" s="1"/>
  <c r="D112" i="2"/>
  <c r="B112" i="2" s="1"/>
  <c r="D120" i="2"/>
  <c r="B120" i="2" s="1"/>
  <c r="D128" i="2"/>
  <c r="B128" i="2" s="1"/>
  <c r="D136" i="2"/>
  <c r="B136" i="2" s="1"/>
  <c r="D144" i="2"/>
  <c r="B144" i="2" s="1"/>
  <c r="D152" i="2"/>
  <c r="B152" i="2" s="1"/>
  <c r="D160" i="2"/>
  <c r="B160" i="2" s="1"/>
  <c r="D168" i="2"/>
  <c r="B168" i="2" s="1"/>
  <c r="D176" i="2"/>
  <c r="B176" i="2" s="1"/>
  <c r="D184" i="2"/>
  <c r="B184" i="2" s="1"/>
  <c r="D192" i="2"/>
  <c r="B192" i="2" s="1"/>
  <c r="D200" i="2"/>
  <c r="B200" i="2" s="1"/>
  <c r="D208" i="2"/>
  <c r="B208" i="2" s="1"/>
  <c r="D216" i="2"/>
  <c r="B216" i="2" s="1"/>
  <c r="D224" i="2"/>
  <c r="B224" i="2" s="1"/>
  <c r="D232" i="2"/>
  <c r="B232" i="2" s="1"/>
  <c r="D240" i="2"/>
  <c r="B240" i="2" s="1"/>
  <c r="D248" i="2"/>
  <c r="B248" i="2" s="1"/>
  <c r="D256" i="2"/>
  <c r="B256" i="2" s="1"/>
  <c r="D264" i="2"/>
  <c r="B264" i="2" s="1"/>
  <c r="D272" i="2"/>
  <c r="B272" i="2" s="1"/>
  <c r="D280" i="2"/>
  <c r="B280" i="2" s="1"/>
  <c r="D288" i="2"/>
  <c r="B288" i="2" s="1"/>
  <c r="D296" i="2"/>
  <c r="B296" i="2" s="1"/>
  <c r="D304" i="2"/>
  <c r="B304" i="2" s="1"/>
  <c r="D312" i="2"/>
  <c r="B312" i="2" s="1"/>
  <c r="D320" i="2"/>
  <c r="B320" i="2" s="1"/>
  <c r="D328" i="2"/>
  <c r="B328" i="2" s="1"/>
  <c r="D336" i="2"/>
  <c r="B336" i="2" s="1"/>
  <c r="D344" i="2"/>
  <c r="B344" i="2" s="1"/>
  <c r="D352" i="2"/>
  <c r="B352" i="2" s="1"/>
  <c r="D360" i="2"/>
  <c r="B360" i="2" s="1"/>
  <c r="D368" i="2"/>
  <c r="B368" i="2" s="1"/>
  <c r="D376" i="2"/>
  <c r="B376" i="2" s="1"/>
  <c r="D384" i="2"/>
  <c r="B384" i="2" s="1"/>
  <c r="D392" i="2"/>
  <c r="B392" i="2" s="1"/>
  <c r="D400" i="2"/>
  <c r="B400" i="2" s="1"/>
  <c r="D408" i="2"/>
  <c r="B408" i="2" s="1"/>
  <c r="D416" i="2"/>
  <c r="B416" i="2" s="1"/>
  <c r="D424" i="2"/>
  <c r="B424" i="2" s="1"/>
  <c r="D432" i="2"/>
  <c r="B432" i="2" s="1"/>
  <c r="D440" i="2"/>
  <c r="B440" i="2" s="1"/>
  <c r="D448" i="2"/>
  <c r="B448" i="2" s="1"/>
  <c r="D456" i="2"/>
  <c r="B456" i="2" s="1"/>
  <c r="D464" i="2"/>
  <c r="B464" i="2" s="1"/>
  <c r="D472" i="2"/>
  <c r="B472" i="2" s="1"/>
  <c r="D480" i="2"/>
  <c r="B480" i="2" s="1"/>
  <c r="D488" i="2"/>
  <c r="B488" i="2" s="1"/>
  <c r="D496" i="2"/>
  <c r="B496" i="2" s="1"/>
  <c r="D504" i="2"/>
  <c r="B504" i="2" s="1"/>
  <c r="D512" i="2"/>
  <c r="B512" i="2" s="1"/>
  <c r="D520" i="2"/>
  <c r="B520" i="2" s="1"/>
  <c r="D528" i="2"/>
  <c r="B528" i="2" s="1"/>
  <c r="D536" i="2"/>
  <c r="B536" i="2" s="1"/>
  <c r="D544" i="2"/>
  <c r="B544" i="2" s="1"/>
  <c r="D552" i="2"/>
  <c r="B552" i="2" s="1"/>
  <c r="D560" i="2"/>
  <c r="B560" i="2" s="1"/>
  <c r="D568" i="2"/>
  <c r="B568" i="2" s="1"/>
  <c r="D576" i="2"/>
  <c r="B576" i="2" s="1"/>
  <c r="D584" i="2"/>
  <c r="B584" i="2" s="1"/>
  <c r="D592" i="2"/>
  <c r="B592" i="2" s="1"/>
  <c r="D600" i="2"/>
  <c r="B600" i="2" s="1"/>
  <c r="D608" i="2"/>
  <c r="B608" i="2" s="1"/>
  <c r="D616" i="2"/>
  <c r="B616" i="2" s="1"/>
  <c r="D624" i="2"/>
  <c r="B624" i="2" s="1"/>
  <c r="D632" i="2"/>
  <c r="B632" i="2" s="1"/>
  <c r="D640" i="2"/>
  <c r="B640" i="2" s="1"/>
  <c r="D648" i="2"/>
  <c r="B648" i="2" s="1"/>
  <c r="D656" i="2"/>
  <c r="B656" i="2" s="1"/>
  <c r="D664" i="2"/>
  <c r="B664" i="2" s="1"/>
  <c r="D672" i="2"/>
  <c r="B672" i="2" s="1"/>
  <c r="D680" i="2"/>
  <c r="B680" i="2" s="1"/>
  <c r="D688" i="2"/>
  <c r="B688" i="2" s="1"/>
  <c r="D696" i="2"/>
  <c r="B696" i="2" s="1"/>
  <c r="D704" i="2"/>
  <c r="B704" i="2" s="1"/>
  <c r="D712" i="2"/>
  <c r="B712" i="2" s="1"/>
  <c r="D720" i="2"/>
  <c r="B720" i="2" s="1"/>
  <c r="D728" i="2"/>
  <c r="B728" i="2" s="1"/>
  <c r="D736" i="2"/>
  <c r="B736" i="2" s="1"/>
  <c r="D744" i="2"/>
  <c r="B744" i="2" s="1"/>
  <c r="D752" i="2"/>
  <c r="B752" i="2" s="1"/>
  <c r="I1" i="6"/>
  <c r="D10" i="2"/>
  <c r="B10" i="2" s="1"/>
  <c r="D18" i="2"/>
  <c r="B18" i="2" s="1"/>
  <c r="D26" i="2"/>
  <c r="B26" i="2" s="1"/>
  <c r="D34" i="2"/>
  <c r="B34" i="2" s="1"/>
  <c r="D42" i="2"/>
  <c r="B42" i="2" s="1"/>
  <c r="D50" i="2"/>
  <c r="B50" i="2" s="1"/>
  <c r="D58" i="2"/>
  <c r="B58" i="2" s="1"/>
  <c r="D66" i="2"/>
  <c r="B66" i="2" s="1"/>
  <c r="D74" i="2"/>
  <c r="B74" i="2" s="1"/>
  <c r="D82" i="2"/>
  <c r="B82" i="2" s="1"/>
  <c r="D90" i="2"/>
  <c r="B90" i="2" s="1"/>
  <c r="D98" i="2"/>
  <c r="B98" i="2" s="1"/>
  <c r="D106" i="2"/>
  <c r="B106" i="2" s="1"/>
  <c r="D114" i="2"/>
  <c r="B114" i="2" s="1"/>
  <c r="D122" i="2"/>
  <c r="B122" i="2" s="1"/>
  <c r="D130" i="2"/>
  <c r="B130" i="2" s="1"/>
  <c r="D138" i="2"/>
  <c r="B138" i="2" s="1"/>
  <c r="D146" i="2"/>
  <c r="B146" i="2" s="1"/>
  <c r="D154" i="2"/>
  <c r="B154" i="2" s="1"/>
  <c r="D162" i="2"/>
  <c r="B162" i="2" s="1"/>
  <c r="D170" i="2"/>
  <c r="B170" i="2" s="1"/>
  <c r="D178" i="2"/>
  <c r="B178" i="2" s="1"/>
  <c r="D186" i="2"/>
  <c r="B186" i="2" s="1"/>
  <c r="D194" i="2"/>
  <c r="B194" i="2" s="1"/>
  <c r="D202" i="2"/>
  <c r="B202" i="2" s="1"/>
  <c r="D210" i="2"/>
  <c r="B210" i="2" s="1"/>
  <c r="D218" i="2"/>
  <c r="B218" i="2" s="1"/>
  <c r="D226" i="2"/>
  <c r="B226" i="2" s="1"/>
  <c r="D234" i="2"/>
  <c r="B234" i="2" s="1"/>
  <c r="D242" i="2"/>
  <c r="B242" i="2" s="1"/>
  <c r="D250" i="2"/>
  <c r="B250" i="2" s="1"/>
  <c r="D258" i="2"/>
  <c r="B258" i="2" s="1"/>
  <c r="D266" i="2"/>
  <c r="B266" i="2" s="1"/>
  <c r="D274" i="2"/>
  <c r="B274" i="2" s="1"/>
  <c r="D282" i="2"/>
  <c r="B282" i="2" s="1"/>
  <c r="D290" i="2"/>
  <c r="B290" i="2" s="1"/>
  <c r="D298" i="2"/>
  <c r="B298" i="2" s="1"/>
  <c r="D306" i="2"/>
  <c r="B306" i="2" s="1"/>
  <c r="D314" i="2"/>
  <c r="B314" i="2" s="1"/>
  <c r="D322" i="2"/>
  <c r="B322" i="2" s="1"/>
  <c r="D330" i="2"/>
  <c r="B330" i="2" s="1"/>
  <c r="D338" i="2"/>
  <c r="B338" i="2" s="1"/>
  <c r="D346" i="2"/>
  <c r="B346" i="2" s="1"/>
  <c r="D354" i="2"/>
  <c r="B354" i="2" s="1"/>
  <c r="D362" i="2"/>
  <c r="B362" i="2" s="1"/>
  <c r="D370" i="2"/>
  <c r="B370" i="2" s="1"/>
  <c r="D378" i="2"/>
  <c r="B378" i="2" s="1"/>
  <c r="D386" i="2"/>
  <c r="B386" i="2" s="1"/>
  <c r="D394" i="2"/>
  <c r="B394" i="2" s="1"/>
  <c r="D402" i="2"/>
  <c r="B402" i="2" s="1"/>
  <c r="D410" i="2"/>
  <c r="B410" i="2" s="1"/>
  <c r="D418" i="2"/>
  <c r="B418" i="2" s="1"/>
  <c r="D426" i="2"/>
  <c r="B426" i="2" s="1"/>
  <c r="D434" i="2"/>
  <c r="B434" i="2" s="1"/>
  <c r="D442" i="2"/>
  <c r="B442" i="2" s="1"/>
  <c r="D450" i="2"/>
  <c r="B450" i="2" s="1"/>
  <c r="D458" i="2"/>
  <c r="B458" i="2" s="1"/>
  <c r="D466" i="2"/>
  <c r="B466" i="2" s="1"/>
  <c r="D474" i="2"/>
  <c r="B474" i="2" s="1"/>
  <c r="D482" i="2"/>
  <c r="B482" i="2" s="1"/>
  <c r="D490" i="2"/>
  <c r="B490" i="2" s="1"/>
  <c r="D498" i="2"/>
  <c r="B498" i="2" s="1"/>
  <c r="D506" i="2"/>
  <c r="B506" i="2" s="1"/>
  <c r="D514" i="2"/>
  <c r="B514" i="2" s="1"/>
  <c r="D522" i="2"/>
  <c r="B522" i="2" s="1"/>
  <c r="D530" i="2"/>
  <c r="B530" i="2" s="1"/>
  <c r="D538" i="2"/>
  <c r="B538" i="2" s="1"/>
  <c r="D546" i="2"/>
  <c r="B546" i="2" s="1"/>
  <c r="D554" i="2"/>
  <c r="B554" i="2" s="1"/>
  <c r="D562" i="2"/>
  <c r="B562" i="2" s="1"/>
  <c r="D570" i="2"/>
  <c r="B570" i="2" s="1"/>
  <c r="D578" i="2"/>
  <c r="B578" i="2" s="1"/>
  <c r="D586" i="2"/>
  <c r="B586" i="2" s="1"/>
  <c r="D594" i="2"/>
  <c r="B594" i="2" s="1"/>
  <c r="D602" i="2"/>
  <c r="B602" i="2" s="1"/>
  <c r="D610" i="2"/>
  <c r="B610" i="2" s="1"/>
  <c r="D618" i="2"/>
  <c r="B618" i="2" s="1"/>
  <c r="D626" i="2"/>
  <c r="B626" i="2" s="1"/>
  <c r="D634" i="2"/>
  <c r="B634" i="2" s="1"/>
  <c r="D642" i="2"/>
  <c r="B642" i="2" s="1"/>
  <c r="D650" i="2"/>
  <c r="B650" i="2" s="1"/>
  <c r="D658" i="2"/>
  <c r="B658" i="2" s="1"/>
  <c r="D666" i="2"/>
  <c r="B666" i="2" s="1"/>
  <c r="D674" i="2"/>
  <c r="B674" i="2" s="1"/>
  <c r="D682" i="2"/>
  <c r="B682" i="2" s="1"/>
  <c r="D690" i="2"/>
  <c r="B690" i="2" s="1"/>
  <c r="D698" i="2"/>
  <c r="B698" i="2" s="1"/>
  <c r="D706" i="2"/>
  <c r="B706" i="2" s="1"/>
  <c r="D714" i="2"/>
  <c r="B714" i="2" s="1"/>
  <c r="D722" i="2"/>
  <c r="B722" i="2" s="1"/>
  <c r="D730" i="2"/>
  <c r="B730" i="2" s="1"/>
  <c r="D738" i="2"/>
  <c r="B738" i="2" s="1"/>
  <c r="D746" i="2"/>
  <c r="B746" i="2" s="1"/>
  <c r="D754" i="2"/>
  <c r="B754" i="2" s="1"/>
  <c r="D11" i="2"/>
  <c r="B11" i="2" s="1"/>
  <c r="D19" i="2"/>
  <c r="B19" i="2" s="1"/>
  <c r="D27" i="2"/>
  <c r="B27" i="2" s="1"/>
  <c r="D35" i="2"/>
  <c r="B35" i="2" s="1"/>
  <c r="D43" i="2"/>
  <c r="B43" i="2" s="1"/>
  <c r="D51" i="2"/>
  <c r="B51" i="2" s="1"/>
  <c r="D59" i="2"/>
  <c r="B59" i="2" s="1"/>
  <c r="D67" i="2"/>
  <c r="B67" i="2" s="1"/>
  <c r="D75" i="2"/>
  <c r="B75" i="2" s="1"/>
  <c r="D83" i="2"/>
  <c r="B83" i="2" s="1"/>
  <c r="D91" i="2"/>
  <c r="B91" i="2" s="1"/>
  <c r="D99" i="2"/>
  <c r="B99" i="2" s="1"/>
  <c r="D107" i="2"/>
  <c r="B107" i="2" s="1"/>
  <c r="D115" i="2"/>
  <c r="B115" i="2" s="1"/>
  <c r="D123" i="2"/>
  <c r="B123" i="2" s="1"/>
  <c r="D131" i="2"/>
  <c r="B131" i="2" s="1"/>
  <c r="D139" i="2"/>
  <c r="B139" i="2" s="1"/>
  <c r="D147" i="2"/>
  <c r="B147" i="2" s="1"/>
  <c r="D155" i="2"/>
  <c r="B155" i="2" s="1"/>
  <c r="D163" i="2"/>
  <c r="B163" i="2" s="1"/>
  <c r="D171" i="2"/>
  <c r="B171" i="2" s="1"/>
  <c r="D179" i="2"/>
  <c r="B179" i="2" s="1"/>
  <c r="D187" i="2"/>
  <c r="B187" i="2" s="1"/>
  <c r="D195" i="2"/>
  <c r="B195" i="2" s="1"/>
  <c r="D203" i="2"/>
  <c r="B203" i="2" s="1"/>
  <c r="D211" i="2"/>
  <c r="B211" i="2" s="1"/>
  <c r="D219" i="2"/>
  <c r="B219" i="2" s="1"/>
  <c r="D227" i="2"/>
  <c r="B227" i="2" s="1"/>
  <c r="D235" i="2"/>
  <c r="B235" i="2" s="1"/>
  <c r="D243" i="2"/>
  <c r="B243" i="2" s="1"/>
  <c r="D251" i="2"/>
  <c r="B251" i="2" s="1"/>
  <c r="D259" i="2"/>
  <c r="B259" i="2" s="1"/>
  <c r="D267" i="2"/>
  <c r="B267" i="2" s="1"/>
  <c r="D275" i="2"/>
  <c r="B275" i="2" s="1"/>
  <c r="D283" i="2"/>
  <c r="B283" i="2" s="1"/>
  <c r="D291" i="2"/>
  <c r="B291" i="2" s="1"/>
  <c r="D299" i="2"/>
  <c r="B299" i="2" s="1"/>
  <c r="D307" i="2"/>
  <c r="B307" i="2" s="1"/>
  <c r="D315" i="2"/>
  <c r="B315" i="2" s="1"/>
  <c r="D323" i="2"/>
  <c r="B323" i="2" s="1"/>
  <c r="D331" i="2"/>
  <c r="B331" i="2" s="1"/>
  <c r="D339" i="2"/>
  <c r="B339" i="2" s="1"/>
  <c r="D347" i="2"/>
  <c r="B347" i="2" s="1"/>
  <c r="D355" i="2"/>
  <c r="B355" i="2" s="1"/>
  <c r="D363" i="2"/>
  <c r="B363" i="2" s="1"/>
  <c r="D371" i="2"/>
  <c r="B371" i="2" s="1"/>
  <c r="D379" i="2"/>
  <c r="B379" i="2" s="1"/>
  <c r="D387" i="2"/>
  <c r="B387" i="2" s="1"/>
  <c r="D395" i="2"/>
  <c r="B395" i="2" s="1"/>
  <c r="D403" i="2"/>
  <c r="B403" i="2" s="1"/>
  <c r="D411" i="2"/>
  <c r="B411" i="2" s="1"/>
  <c r="D419" i="2"/>
  <c r="B419" i="2" s="1"/>
  <c r="D427" i="2"/>
  <c r="B427" i="2" s="1"/>
  <c r="D435" i="2"/>
  <c r="B435" i="2" s="1"/>
  <c r="D443" i="2"/>
  <c r="B443" i="2" s="1"/>
  <c r="D451" i="2"/>
  <c r="B451" i="2" s="1"/>
  <c r="D459" i="2"/>
  <c r="B459" i="2" s="1"/>
  <c r="D467" i="2"/>
  <c r="B467" i="2" s="1"/>
  <c r="D475" i="2"/>
  <c r="B475" i="2" s="1"/>
  <c r="D483" i="2"/>
  <c r="B483" i="2" s="1"/>
  <c r="D491" i="2"/>
  <c r="B491" i="2" s="1"/>
  <c r="D499" i="2"/>
  <c r="B499" i="2" s="1"/>
  <c r="D507" i="2"/>
  <c r="B507" i="2" s="1"/>
  <c r="D515" i="2"/>
  <c r="B515" i="2" s="1"/>
  <c r="D523" i="2"/>
  <c r="B523" i="2" s="1"/>
  <c r="D531" i="2"/>
  <c r="B531" i="2" s="1"/>
  <c r="D539" i="2"/>
  <c r="B539" i="2" s="1"/>
  <c r="D547" i="2"/>
  <c r="B547" i="2" s="1"/>
  <c r="D555" i="2"/>
  <c r="B555" i="2" s="1"/>
  <c r="D563" i="2"/>
  <c r="B563" i="2" s="1"/>
  <c r="D571" i="2"/>
  <c r="B571" i="2" s="1"/>
  <c r="D579" i="2"/>
  <c r="B579" i="2" s="1"/>
  <c r="D587" i="2"/>
  <c r="B587" i="2" s="1"/>
  <c r="D595" i="2"/>
  <c r="B595" i="2" s="1"/>
  <c r="D603" i="2"/>
  <c r="B603" i="2" s="1"/>
  <c r="D611" i="2"/>
  <c r="B611" i="2" s="1"/>
  <c r="D619" i="2"/>
  <c r="B619" i="2" s="1"/>
  <c r="D627" i="2"/>
  <c r="B627" i="2" s="1"/>
  <c r="D635" i="2"/>
  <c r="B635" i="2" s="1"/>
  <c r="D643" i="2"/>
  <c r="B643" i="2" s="1"/>
  <c r="D651" i="2"/>
  <c r="B651" i="2" s="1"/>
  <c r="D659" i="2"/>
  <c r="B659" i="2" s="1"/>
  <c r="D667" i="2"/>
  <c r="B667" i="2" s="1"/>
  <c r="D675" i="2"/>
  <c r="B675" i="2" s="1"/>
  <c r="D683" i="2"/>
  <c r="B683" i="2" s="1"/>
  <c r="D691" i="2"/>
  <c r="B691" i="2" s="1"/>
  <c r="D699" i="2"/>
  <c r="B699" i="2" s="1"/>
  <c r="D707" i="2"/>
  <c r="B707" i="2" s="1"/>
  <c r="D715" i="2"/>
  <c r="B715" i="2" s="1"/>
  <c r="D723" i="2"/>
  <c r="B723" i="2" s="1"/>
  <c r="D731" i="2"/>
  <c r="B731" i="2" s="1"/>
  <c r="D739" i="2"/>
  <c r="B739" i="2" s="1"/>
  <c r="D747" i="2"/>
  <c r="B747" i="2" s="1"/>
  <c r="D755" i="2"/>
  <c r="B755" i="2" s="1"/>
  <c r="Q1" i="6"/>
  <c r="D12" i="2"/>
  <c r="B12" i="2" s="1"/>
  <c r="D20" i="2"/>
  <c r="B20" i="2" s="1"/>
  <c r="D28" i="2"/>
  <c r="B28" i="2" s="1"/>
  <c r="D36" i="2"/>
  <c r="B36" i="2" s="1"/>
  <c r="D44" i="2"/>
  <c r="B44" i="2" s="1"/>
  <c r="D52" i="2"/>
  <c r="B52" i="2" s="1"/>
  <c r="D60" i="2"/>
  <c r="B60" i="2" s="1"/>
  <c r="D68" i="2"/>
  <c r="B68" i="2" s="1"/>
  <c r="D76" i="2"/>
  <c r="B76" i="2" s="1"/>
  <c r="D84" i="2"/>
  <c r="B84" i="2" s="1"/>
  <c r="D92" i="2"/>
  <c r="B92" i="2" s="1"/>
  <c r="D100" i="2"/>
  <c r="B100" i="2" s="1"/>
  <c r="D108" i="2"/>
  <c r="B108" i="2" s="1"/>
  <c r="D116" i="2"/>
  <c r="B116" i="2" s="1"/>
  <c r="D124" i="2"/>
  <c r="B124" i="2" s="1"/>
  <c r="D132" i="2"/>
  <c r="B132" i="2" s="1"/>
  <c r="D140" i="2"/>
  <c r="B140" i="2" s="1"/>
  <c r="D148" i="2"/>
  <c r="B148" i="2" s="1"/>
  <c r="D156" i="2"/>
  <c r="B156" i="2" s="1"/>
  <c r="D164" i="2"/>
  <c r="B164" i="2" s="1"/>
  <c r="D172" i="2"/>
  <c r="B172" i="2" s="1"/>
  <c r="D180" i="2"/>
  <c r="B180" i="2" s="1"/>
  <c r="D188" i="2"/>
  <c r="B188" i="2" s="1"/>
  <c r="D196" i="2"/>
  <c r="B196" i="2" s="1"/>
  <c r="D204" i="2"/>
  <c r="B204" i="2" s="1"/>
  <c r="D212" i="2"/>
  <c r="B212" i="2" s="1"/>
  <c r="D220" i="2"/>
  <c r="B220" i="2" s="1"/>
  <c r="D228" i="2"/>
  <c r="B228" i="2" s="1"/>
  <c r="D236" i="2"/>
  <c r="B236" i="2" s="1"/>
  <c r="D244" i="2"/>
  <c r="B244" i="2" s="1"/>
  <c r="D252" i="2"/>
  <c r="B252" i="2" s="1"/>
  <c r="D260" i="2"/>
  <c r="B260" i="2" s="1"/>
  <c r="D268" i="2"/>
  <c r="B268" i="2" s="1"/>
  <c r="D276" i="2"/>
  <c r="B276" i="2" s="1"/>
  <c r="D284" i="2"/>
  <c r="B284" i="2" s="1"/>
  <c r="D292" i="2"/>
  <c r="B292" i="2" s="1"/>
  <c r="D300" i="2"/>
  <c r="B300" i="2" s="1"/>
  <c r="D308" i="2"/>
  <c r="B308" i="2" s="1"/>
  <c r="D316" i="2"/>
  <c r="B316" i="2" s="1"/>
  <c r="D324" i="2"/>
  <c r="B324" i="2" s="1"/>
  <c r="D332" i="2"/>
  <c r="B332" i="2" s="1"/>
  <c r="D340" i="2"/>
  <c r="B340" i="2" s="1"/>
  <c r="D348" i="2"/>
  <c r="B348" i="2" s="1"/>
  <c r="D356" i="2"/>
  <c r="B356" i="2" s="1"/>
  <c r="D364" i="2"/>
  <c r="B364" i="2" s="1"/>
  <c r="D372" i="2"/>
  <c r="B372" i="2" s="1"/>
  <c r="D380" i="2"/>
  <c r="B380" i="2" s="1"/>
  <c r="D388" i="2"/>
  <c r="B388" i="2" s="1"/>
  <c r="D396" i="2"/>
  <c r="B396" i="2" s="1"/>
  <c r="D404" i="2"/>
  <c r="B404" i="2" s="1"/>
  <c r="D412" i="2"/>
  <c r="B412" i="2" s="1"/>
  <c r="D420" i="2"/>
  <c r="B420" i="2" s="1"/>
  <c r="D428" i="2"/>
  <c r="B428" i="2" s="1"/>
  <c r="D436" i="2"/>
  <c r="B436" i="2" s="1"/>
  <c r="D444" i="2"/>
  <c r="B444" i="2" s="1"/>
  <c r="D452" i="2"/>
  <c r="B452" i="2" s="1"/>
  <c r="D460" i="2"/>
  <c r="B460" i="2" s="1"/>
  <c r="D468" i="2"/>
  <c r="B468" i="2" s="1"/>
  <c r="D476" i="2"/>
  <c r="B476" i="2" s="1"/>
  <c r="D484" i="2"/>
  <c r="B484" i="2" s="1"/>
  <c r="D492" i="2"/>
  <c r="B492" i="2" s="1"/>
  <c r="D500" i="2"/>
  <c r="B500" i="2" s="1"/>
  <c r="D508" i="2"/>
  <c r="B508" i="2" s="1"/>
  <c r="D516" i="2"/>
  <c r="B516" i="2" s="1"/>
  <c r="D524" i="2"/>
  <c r="B524" i="2" s="1"/>
  <c r="D532" i="2"/>
  <c r="B532" i="2" s="1"/>
  <c r="D540" i="2"/>
  <c r="B540" i="2" s="1"/>
  <c r="D548" i="2"/>
  <c r="B548" i="2" s="1"/>
  <c r="D556" i="2"/>
  <c r="B556" i="2" s="1"/>
  <c r="D564" i="2"/>
  <c r="B564" i="2" s="1"/>
  <c r="D572" i="2"/>
  <c r="B572" i="2" s="1"/>
  <c r="D580" i="2"/>
  <c r="B580" i="2" s="1"/>
  <c r="D588" i="2"/>
  <c r="B588" i="2" s="1"/>
  <c r="D596" i="2"/>
  <c r="B596" i="2" s="1"/>
  <c r="D604" i="2"/>
  <c r="B604" i="2" s="1"/>
  <c r="D612" i="2"/>
  <c r="B612" i="2" s="1"/>
  <c r="D620" i="2"/>
  <c r="B620" i="2" s="1"/>
  <c r="D628" i="2"/>
  <c r="B628" i="2" s="1"/>
  <c r="D636" i="2"/>
  <c r="B636" i="2" s="1"/>
  <c r="D644" i="2"/>
  <c r="B644" i="2" s="1"/>
  <c r="D652" i="2"/>
  <c r="B652" i="2" s="1"/>
  <c r="D660" i="2"/>
  <c r="B660" i="2" s="1"/>
  <c r="D668" i="2"/>
  <c r="B668" i="2" s="1"/>
  <c r="D676" i="2"/>
  <c r="B676" i="2" s="1"/>
  <c r="D684" i="2"/>
  <c r="B684" i="2" s="1"/>
  <c r="D692" i="2"/>
  <c r="B692" i="2" s="1"/>
  <c r="D700" i="2"/>
  <c r="B700" i="2" s="1"/>
  <c r="D708" i="2"/>
  <c r="B708" i="2" s="1"/>
  <c r="D716" i="2"/>
  <c r="B716" i="2" s="1"/>
  <c r="D724" i="2"/>
  <c r="B724" i="2" s="1"/>
  <c r="D732" i="2"/>
  <c r="B732" i="2" s="1"/>
  <c r="D740" i="2"/>
  <c r="B740" i="2" s="1"/>
  <c r="D748" i="2"/>
  <c r="B748" i="2" s="1"/>
  <c r="D756" i="2"/>
  <c r="B756" i="2" s="1"/>
  <c r="D5" i="2"/>
  <c r="B5" i="2" s="1"/>
  <c r="D13" i="2"/>
  <c r="B13" i="2" s="1"/>
  <c r="D21" i="2"/>
  <c r="B21" i="2" s="1"/>
  <c r="D29" i="2"/>
  <c r="B29" i="2" s="1"/>
  <c r="D37" i="2"/>
  <c r="B37" i="2" s="1"/>
  <c r="D45" i="2"/>
  <c r="B45" i="2" s="1"/>
  <c r="D53" i="2"/>
  <c r="B53" i="2" s="1"/>
  <c r="D61" i="2"/>
  <c r="B61" i="2" s="1"/>
  <c r="D69" i="2"/>
  <c r="B69" i="2" s="1"/>
  <c r="D77" i="2"/>
  <c r="B77" i="2" s="1"/>
  <c r="D85" i="2"/>
  <c r="B85" i="2" s="1"/>
  <c r="D93" i="2"/>
  <c r="B93" i="2" s="1"/>
  <c r="D101" i="2"/>
  <c r="B101" i="2" s="1"/>
  <c r="D109" i="2"/>
  <c r="B109" i="2" s="1"/>
  <c r="D117" i="2"/>
  <c r="B117" i="2" s="1"/>
  <c r="D125" i="2"/>
  <c r="B125" i="2" s="1"/>
  <c r="D133" i="2"/>
  <c r="B133" i="2" s="1"/>
  <c r="D141" i="2"/>
  <c r="B141" i="2" s="1"/>
  <c r="D149" i="2"/>
  <c r="B149" i="2" s="1"/>
  <c r="D157" i="2"/>
  <c r="B157" i="2" s="1"/>
  <c r="D165" i="2"/>
  <c r="B165" i="2" s="1"/>
  <c r="D173" i="2"/>
  <c r="B173" i="2" s="1"/>
  <c r="D181" i="2"/>
  <c r="B181" i="2" s="1"/>
  <c r="D189" i="2"/>
  <c r="B189" i="2" s="1"/>
  <c r="D197" i="2"/>
  <c r="B197" i="2" s="1"/>
  <c r="D205" i="2"/>
  <c r="B205" i="2" s="1"/>
  <c r="D213" i="2"/>
  <c r="B213" i="2" s="1"/>
  <c r="D221" i="2"/>
  <c r="B221" i="2" s="1"/>
  <c r="D229" i="2"/>
  <c r="B229" i="2" s="1"/>
  <c r="D237" i="2"/>
  <c r="B237" i="2" s="1"/>
  <c r="D245" i="2"/>
  <c r="B245" i="2" s="1"/>
  <c r="D253" i="2"/>
  <c r="B253" i="2" s="1"/>
  <c r="D261" i="2"/>
  <c r="B261" i="2" s="1"/>
  <c r="D269" i="2"/>
  <c r="B269" i="2" s="1"/>
  <c r="D277" i="2"/>
  <c r="B277" i="2" s="1"/>
  <c r="D285" i="2"/>
  <c r="B285" i="2" s="1"/>
  <c r="D293" i="2"/>
  <c r="B293" i="2" s="1"/>
  <c r="D301" i="2"/>
  <c r="B301" i="2" s="1"/>
  <c r="D309" i="2"/>
  <c r="B309" i="2" s="1"/>
  <c r="D317" i="2"/>
  <c r="B317" i="2" s="1"/>
  <c r="D325" i="2"/>
  <c r="B325" i="2" s="1"/>
  <c r="D333" i="2"/>
  <c r="B333" i="2" s="1"/>
  <c r="D341" i="2"/>
  <c r="B341" i="2" s="1"/>
  <c r="D349" i="2"/>
  <c r="B349" i="2" s="1"/>
  <c r="D357" i="2"/>
  <c r="B357" i="2" s="1"/>
  <c r="D365" i="2"/>
  <c r="B365" i="2" s="1"/>
  <c r="D373" i="2"/>
  <c r="B373" i="2" s="1"/>
  <c r="D381" i="2"/>
  <c r="B381" i="2" s="1"/>
  <c r="D389" i="2"/>
  <c r="B389" i="2" s="1"/>
  <c r="D397" i="2"/>
  <c r="B397" i="2" s="1"/>
  <c r="D405" i="2"/>
  <c r="B405" i="2" s="1"/>
  <c r="D413" i="2"/>
  <c r="B413" i="2" s="1"/>
  <c r="D421" i="2"/>
  <c r="B421" i="2" s="1"/>
  <c r="D429" i="2"/>
  <c r="B429" i="2" s="1"/>
  <c r="D437" i="2"/>
  <c r="B437" i="2" s="1"/>
  <c r="D445" i="2"/>
  <c r="B445" i="2" s="1"/>
  <c r="D453" i="2"/>
  <c r="B453" i="2" s="1"/>
  <c r="D461" i="2"/>
  <c r="B461" i="2" s="1"/>
  <c r="D469" i="2"/>
  <c r="B469" i="2" s="1"/>
  <c r="D477" i="2"/>
  <c r="B477" i="2" s="1"/>
  <c r="D485" i="2"/>
  <c r="B485" i="2" s="1"/>
  <c r="D493" i="2"/>
  <c r="B493" i="2" s="1"/>
  <c r="D501" i="2"/>
  <c r="B501" i="2" s="1"/>
  <c r="D509" i="2"/>
  <c r="B509" i="2" s="1"/>
  <c r="D517" i="2"/>
  <c r="B517" i="2" s="1"/>
  <c r="D525" i="2"/>
  <c r="B525" i="2" s="1"/>
  <c r="D533" i="2"/>
  <c r="B533" i="2" s="1"/>
  <c r="D541" i="2"/>
  <c r="B541" i="2" s="1"/>
  <c r="D549" i="2"/>
  <c r="B549" i="2" s="1"/>
  <c r="D557" i="2"/>
  <c r="B557" i="2" s="1"/>
  <c r="D565" i="2"/>
  <c r="B565" i="2" s="1"/>
  <c r="D573" i="2"/>
  <c r="B573" i="2" s="1"/>
  <c r="D581" i="2"/>
  <c r="B581" i="2" s="1"/>
  <c r="D589" i="2"/>
  <c r="B589" i="2" s="1"/>
  <c r="D597" i="2"/>
  <c r="B597" i="2" s="1"/>
  <c r="D605" i="2"/>
  <c r="B605" i="2" s="1"/>
  <c r="D613" i="2"/>
  <c r="B613" i="2" s="1"/>
  <c r="D621" i="2"/>
  <c r="B621" i="2" s="1"/>
  <c r="D629" i="2"/>
  <c r="B629" i="2" s="1"/>
  <c r="D637" i="2"/>
  <c r="B637" i="2" s="1"/>
  <c r="D645" i="2"/>
  <c r="B645" i="2" s="1"/>
  <c r="D653" i="2"/>
  <c r="B653" i="2" s="1"/>
  <c r="D661" i="2"/>
  <c r="B661" i="2" s="1"/>
  <c r="D669" i="2"/>
  <c r="B669" i="2" s="1"/>
  <c r="D677" i="2"/>
  <c r="B677" i="2" s="1"/>
  <c r="D685" i="2"/>
  <c r="B685" i="2" s="1"/>
  <c r="D693" i="2"/>
  <c r="B693" i="2" s="1"/>
  <c r="D701" i="2"/>
  <c r="B701" i="2" s="1"/>
  <c r="D709" i="2"/>
  <c r="B709" i="2" s="1"/>
  <c r="D717" i="2"/>
  <c r="B717" i="2" s="1"/>
  <c r="D725" i="2"/>
  <c r="B725" i="2" s="1"/>
  <c r="D733" i="2"/>
  <c r="B733" i="2" s="1"/>
  <c r="D741" i="2"/>
  <c r="B741" i="2" s="1"/>
  <c r="D749" i="2"/>
  <c r="B749" i="2" s="1"/>
  <c r="E58" i="5"/>
  <c r="C58" i="5" s="1"/>
  <c r="E60" i="5"/>
  <c r="C60" i="5" s="1"/>
  <c r="E74" i="5"/>
  <c r="C74" i="5" s="1"/>
  <c r="E444" i="5"/>
  <c r="C444" i="5" s="1"/>
  <c r="E464" i="5"/>
  <c r="C464" i="5" s="1"/>
  <c r="E480" i="5"/>
  <c r="C480" i="5" s="1"/>
  <c r="E28" i="5"/>
  <c r="C28" i="5" s="1"/>
  <c r="E76" i="5"/>
  <c r="C76" i="5" s="1"/>
  <c r="H76" i="5" s="1"/>
  <c r="E90" i="5"/>
  <c r="C90" i="5" s="1"/>
  <c r="E42" i="5"/>
  <c r="C42" i="5" s="1"/>
  <c r="E26" i="5"/>
  <c r="C26" i="5" s="1"/>
  <c r="E44" i="5"/>
  <c r="C44" i="5" s="1"/>
  <c r="E758" i="5"/>
  <c r="C758" i="5" s="1"/>
  <c r="E756" i="5"/>
  <c r="C756" i="5" s="1"/>
  <c r="E754" i="5"/>
  <c r="C754" i="5" s="1"/>
  <c r="E752" i="5"/>
  <c r="C752" i="5" s="1"/>
  <c r="H752" i="5" s="1"/>
  <c r="E750" i="5"/>
  <c r="C750" i="5" s="1"/>
  <c r="E748" i="5"/>
  <c r="C748" i="5" s="1"/>
  <c r="E746" i="5"/>
  <c r="C746" i="5" s="1"/>
  <c r="E744" i="5"/>
  <c r="C744" i="5" s="1"/>
  <c r="E742" i="5"/>
  <c r="C742" i="5" s="1"/>
  <c r="E740" i="5"/>
  <c r="C740" i="5" s="1"/>
  <c r="E738" i="5"/>
  <c r="C738" i="5" s="1"/>
  <c r="E736" i="5"/>
  <c r="C736" i="5" s="1"/>
  <c r="H736" i="5" s="1"/>
  <c r="E734" i="5"/>
  <c r="C734" i="5" s="1"/>
  <c r="E732" i="5"/>
  <c r="C732" i="5" s="1"/>
  <c r="E730" i="5"/>
  <c r="C730" i="5" s="1"/>
  <c r="E728" i="5"/>
  <c r="C728" i="5" s="1"/>
  <c r="E726" i="5"/>
  <c r="C726" i="5" s="1"/>
  <c r="E724" i="5"/>
  <c r="C724" i="5" s="1"/>
  <c r="E722" i="5"/>
  <c r="C722" i="5" s="1"/>
  <c r="E720" i="5"/>
  <c r="C720" i="5" s="1"/>
  <c r="H720" i="5" s="1"/>
  <c r="E718" i="5"/>
  <c r="C718" i="5" s="1"/>
  <c r="E716" i="5"/>
  <c r="C716" i="5" s="1"/>
  <c r="E714" i="5"/>
  <c r="C714" i="5" s="1"/>
  <c r="E712" i="5"/>
  <c r="C712" i="5" s="1"/>
  <c r="E710" i="5"/>
  <c r="C710" i="5" s="1"/>
  <c r="E708" i="5"/>
  <c r="C708" i="5" s="1"/>
  <c r="E706" i="5"/>
  <c r="C706" i="5" s="1"/>
  <c r="E704" i="5"/>
  <c r="C704" i="5" s="1"/>
  <c r="H704" i="5" s="1"/>
  <c r="E702" i="5"/>
  <c r="C702" i="5" s="1"/>
  <c r="E700" i="5"/>
  <c r="C700" i="5" s="1"/>
  <c r="E698" i="5"/>
  <c r="C698" i="5" s="1"/>
  <c r="E696" i="5"/>
  <c r="C696" i="5" s="1"/>
  <c r="E694" i="5"/>
  <c r="C694" i="5" s="1"/>
  <c r="E692" i="5"/>
  <c r="C692" i="5" s="1"/>
  <c r="E690" i="5"/>
  <c r="C690" i="5" s="1"/>
  <c r="E688" i="5"/>
  <c r="C688" i="5" s="1"/>
  <c r="H688" i="5" s="1"/>
  <c r="E686" i="5"/>
  <c r="C686" i="5" s="1"/>
  <c r="E684" i="5"/>
  <c r="C684" i="5" s="1"/>
  <c r="E682" i="5"/>
  <c r="C682" i="5" s="1"/>
  <c r="E680" i="5"/>
  <c r="C680" i="5" s="1"/>
  <c r="E678" i="5"/>
  <c r="C678" i="5" s="1"/>
  <c r="E676" i="5"/>
  <c r="C676" i="5" s="1"/>
  <c r="E674" i="5"/>
  <c r="C674" i="5" s="1"/>
  <c r="E672" i="5"/>
  <c r="C672" i="5" s="1"/>
  <c r="H672" i="5" s="1"/>
  <c r="E670" i="5"/>
  <c r="C670" i="5" s="1"/>
  <c r="E668" i="5"/>
  <c r="C668" i="5" s="1"/>
  <c r="E666" i="5"/>
  <c r="C666" i="5" s="1"/>
  <c r="E664" i="5"/>
  <c r="C664" i="5" s="1"/>
  <c r="E662" i="5"/>
  <c r="C662" i="5" s="1"/>
  <c r="E660" i="5"/>
  <c r="C660" i="5" s="1"/>
  <c r="E658" i="5"/>
  <c r="C658" i="5" s="1"/>
  <c r="E656" i="5"/>
  <c r="C656" i="5" s="1"/>
  <c r="H656" i="5" s="1"/>
  <c r="E654" i="5"/>
  <c r="C654" i="5" s="1"/>
  <c r="E652" i="5"/>
  <c r="C652" i="5" s="1"/>
  <c r="E650" i="5"/>
  <c r="C650" i="5" s="1"/>
  <c r="E648" i="5"/>
  <c r="C648" i="5" s="1"/>
  <c r="E646" i="5"/>
  <c r="C646" i="5" s="1"/>
  <c r="E644" i="5"/>
  <c r="C644" i="5" s="1"/>
  <c r="E642" i="5"/>
  <c r="C642" i="5" s="1"/>
  <c r="E640" i="5"/>
  <c r="C640" i="5" s="1"/>
  <c r="H640" i="5" s="1"/>
  <c r="E638" i="5"/>
  <c r="C638" i="5" s="1"/>
  <c r="E636" i="5"/>
  <c r="C636" i="5" s="1"/>
  <c r="E634" i="5"/>
  <c r="C634" i="5" s="1"/>
  <c r="E632" i="5"/>
  <c r="C632" i="5" s="1"/>
  <c r="H632" i="5" s="1"/>
  <c r="E631" i="5"/>
  <c r="C631" i="5" s="1"/>
  <c r="E623" i="5"/>
  <c r="C623" i="5" s="1"/>
  <c r="E613" i="5"/>
  <c r="C613" i="5" s="1"/>
  <c r="E606" i="5"/>
  <c r="C606" i="5" s="1"/>
  <c r="H606" i="5" s="1"/>
  <c r="E597" i="5"/>
  <c r="C597" i="5" s="1"/>
  <c r="E590" i="5"/>
  <c r="C590" i="5" s="1"/>
  <c r="E757" i="5"/>
  <c r="C757" i="5" s="1"/>
  <c r="E753" i="5"/>
  <c r="C753" i="5" s="1"/>
  <c r="E749" i="5"/>
  <c r="C749" i="5" s="1"/>
  <c r="E745" i="5"/>
  <c r="C745" i="5" s="1"/>
  <c r="E741" i="5"/>
  <c r="C741" i="5" s="1"/>
  <c r="E737" i="5"/>
  <c r="C737" i="5" s="1"/>
  <c r="H737" i="5" s="1"/>
  <c r="E733" i="5"/>
  <c r="C733" i="5" s="1"/>
  <c r="E729" i="5"/>
  <c r="C729" i="5" s="1"/>
  <c r="E725" i="5"/>
  <c r="C725" i="5" s="1"/>
  <c r="E721" i="5"/>
  <c r="C721" i="5" s="1"/>
  <c r="E717" i="5"/>
  <c r="C717" i="5" s="1"/>
  <c r="E713" i="5"/>
  <c r="C713" i="5" s="1"/>
  <c r="E709" i="5"/>
  <c r="C709" i="5" s="1"/>
  <c r="E705" i="5"/>
  <c r="C705" i="5" s="1"/>
  <c r="H705" i="5" s="1"/>
  <c r="E701" i="5"/>
  <c r="C701" i="5" s="1"/>
  <c r="E697" i="5"/>
  <c r="C697" i="5" s="1"/>
  <c r="E693" i="5"/>
  <c r="C693" i="5" s="1"/>
  <c r="E689" i="5"/>
  <c r="C689" i="5" s="1"/>
  <c r="E685" i="5"/>
  <c r="C685" i="5" s="1"/>
  <c r="E681" i="5"/>
  <c r="C681" i="5" s="1"/>
  <c r="E677" i="5"/>
  <c r="C677" i="5" s="1"/>
  <c r="E673" i="5"/>
  <c r="C673" i="5" s="1"/>
  <c r="H673" i="5" s="1"/>
  <c r="E669" i="5"/>
  <c r="C669" i="5" s="1"/>
  <c r="E665" i="5"/>
  <c r="C665" i="5" s="1"/>
  <c r="E661" i="5"/>
  <c r="C661" i="5" s="1"/>
  <c r="E657" i="5"/>
  <c r="C657" i="5" s="1"/>
  <c r="E653" i="5"/>
  <c r="C653" i="5" s="1"/>
  <c r="E649" i="5"/>
  <c r="C649" i="5" s="1"/>
  <c r="E645" i="5"/>
  <c r="C645" i="5" s="1"/>
  <c r="E641" i="5"/>
  <c r="C641" i="5" s="1"/>
  <c r="H641" i="5" s="1"/>
  <c r="E637" i="5"/>
  <c r="C637" i="5" s="1"/>
  <c r="E628" i="5"/>
  <c r="C628" i="5" s="1"/>
  <c r="E620" i="5"/>
  <c r="C620" i="5" s="1"/>
  <c r="E615" i="5"/>
  <c r="C615" i="5" s="1"/>
  <c r="E608" i="5"/>
  <c r="C608" i="5" s="1"/>
  <c r="E599" i="5"/>
  <c r="C599" i="5" s="1"/>
  <c r="E592" i="5"/>
  <c r="C592" i="5" s="1"/>
  <c r="E625" i="5"/>
  <c r="C625" i="5" s="1"/>
  <c r="H625" i="5" s="1"/>
  <c r="E617" i="5"/>
  <c r="C617" i="5" s="1"/>
  <c r="E610" i="5"/>
  <c r="C610" i="5" s="1"/>
  <c r="E601" i="5"/>
  <c r="C601" i="5" s="1"/>
  <c r="E594" i="5"/>
  <c r="C594" i="5" s="1"/>
  <c r="E755" i="5"/>
  <c r="C755" i="5" s="1"/>
  <c r="E751" i="5"/>
  <c r="C751" i="5" s="1"/>
  <c r="E747" i="5"/>
  <c r="C747" i="5" s="1"/>
  <c r="E743" i="5"/>
  <c r="C743" i="5" s="1"/>
  <c r="H743" i="5" s="1"/>
  <c r="E739" i="5"/>
  <c r="C739" i="5" s="1"/>
  <c r="E735" i="5"/>
  <c r="C735" i="5" s="1"/>
  <c r="E731" i="5"/>
  <c r="C731" i="5" s="1"/>
  <c r="E727" i="5"/>
  <c r="C727" i="5" s="1"/>
  <c r="E723" i="5"/>
  <c r="C723" i="5" s="1"/>
  <c r="E719" i="5"/>
  <c r="C719" i="5" s="1"/>
  <c r="E715" i="5"/>
  <c r="C715" i="5" s="1"/>
  <c r="E711" i="5"/>
  <c r="C711" i="5" s="1"/>
  <c r="H711" i="5" s="1"/>
  <c r="E707" i="5"/>
  <c r="C707" i="5" s="1"/>
  <c r="E703" i="5"/>
  <c r="C703" i="5" s="1"/>
  <c r="E699" i="5"/>
  <c r="C699" i="5" s="1"/>
  <c r="E695" i="5"/>
  <c r="C695" i="5" s="1"/>
  <c r="E691" i="5"/>
  <c r="C691" i="5" s="1"/>
  <c r="E687" i="5"/>
  <c r="C687" i="5" s="1"/>
  <c r="E683" i="5"/>
  <c r="C683" i="5" s="1"/>
  <c r="E679" i="5"/>
  <c r="C679" i="5" s="1"/>
  <c r="H679" i="5" s="1"/>
  <c r="E675" i="5"/>
  <c r="C675" i="5" s="1"/>
  <c r="E671" i="5"/>
  <c r="C671" i="5" s="1"/>
  <c r="E667" i="5"/>
  <c r="C667" i="5" s="1"/>
  <c r="E663" i="5"/>
  <c r="C663" i="5" s="1"/>
  <c r="E659" i="5"/>
  <c r="C659" i="5" s="1"/>
  <c r="E655" i="5"/>
  <c r="C655" i="5" s="1"/>
  <c r="E651" i="5"/>
  <c r="C651" i="5" s="1"/>
  <c r="E647" i="5"/>
  <c r="C647" i="5" s="1"/>
  <c r="H647" i="5" s="1"/>
  <c r="E643" i="5"/>
  <c r="C643" i="5" s="1"/>
  <c r="E639" i="5"/>
  <c r="C639" i="5" s="1"/>
  <c r="E624" i="5"/>
  <c r="C624" i="5" s="1"/>
  <c r="E616" i="5"/>
  <c r="C616" i="5" s="1"/>
  <c r="E607" i="5"/>
  <c r="C607" i="5" s="1"/>
  <c r="E600" i="5"/>
  <c r="C600" i="5" s="1"/>
  <c r="E591" i="5"/>
  <c r="C591" i="5" s="1"/>
  <c r="E630" i="5"/>
  <c r="C630" i="5" s="1"/>
  <c r="H630" i="5" s="1"/>
  <c r="E596" i="5"/>
  <c r="C596" i="5" s="1"/>
  <c r="E587" i="5"/>
  <c r="C587" i="5" s="1"/>
  <c r="E583" i="5"/>
  <c r="C583" i="5" s="1"/>
  <c r="E579" i="5"/>
  <c r="C579" i="5" s="1"/>
  <c r="E575" i="5"/>
  <c r="C575" i="5" s="1"/>
  <c r="E571" i="5"/>
  <c r="C571" i="5" s="1"/>
  <c r="E567" i="5"/>
  <c r="C567" i="5" s="1"/>
  <c r="E563" i="5"/>
  <c r="C563" i="5" s="1"/>
  <c r="H563" i="5" s="1"/>
  <c r="E559" i="5"/>
  <c r="C559" i="5" s="1"/>
  <c r="E555" i="5"/>
  <c r="C555" i="5" s="1"/>
  <c r="E551" i="5"/>
  <c r="C551" i="5" s="1"/>
  <c r="E547" i="5"/>
  <c r="C547" i="5" s="1"/>
  <c r="E543" i="5"/>
  <c r="C543" i="5" s="1"/>
  <c r="E539" i="5"/>
  <c r="C539" i="5" s="1"/>
  <c r="E535" i="5"/>
  <c r="C535" i="5" s="1"/>
  <c r="E531" i="5"/>
  <c r="C531" i="5" s="1"/>
  <c r="H531" i="5" s="1"/>
  <c r="E527" i="5"/>
  <c r="C527" i="5" s="1"/>
  <c r="E518" i="5"/>
  <c r="C518" i="5" s="1"/>
  <c r="E619" i="5"/>
  <c r="C619" i="5" s="1"/>
  <c r="E614" i="5"/>
  <c r="C614" i="5" s="1"/>
  <c r="E605" i="5"/>
  <c r="C605" i="5" s="1"/>
  <c r="E523" i="5"/>
  <c r="C523" i="5" s="1"/>
  <c r="E635" i="5"/>
  <c r="C635" i="5" s="1"/>
  <c r="E629" i="5"/>
  <c r="C629" i="5" s="1"/>
  <c r="H629" i="5" s="1"/>
  <c r="E609" i="5"/>
  <c r="C609" i="5" s="1"/>
  <c r="E520" i="5"/>
  <c r="C520" i="5" s="1"/>
  <c r="E627" i="5"/>
  <c r="C627" i="5" s="1"/>
  <c r="E598" i="5"/>
  <c r="C598" i="5" s="1"/>
  <c r="E589" i="5"/>
  <c r="C589" i="5" s="1"/>
  <c r="E519" i="5"/>
  <c r="C519" i="5" s="1"/>
  <c r="E618" i="5"/>
  <c r="C618" i="5" s="1"/>
  <c r="E582" i="5"/>
  <c r="C582" i="5" s="1"/>
  <c r="H582" i="5" s="1"/>
  <c r="E574" i="5"/>
  <c r="C574" i="5" s="1"/>
  <c r="E566" i="5"/>
  <c r="C566" i="5" s="1"/>
  <c r="E558" i="5"/>
  <c r="C558" i="5" s="1"/>
  <c r="E550" i="5"/>
  <c r="C550" i="5" s="1"/>
  <c r="E542" i="5"/>
  <c r="C542" i="5" s="1"/>
  <c r="E534" i="5"/>
  <c r="C534" i="5" s="1"/>
  <c r="E526" i="5"/>
  <c r="C526" i="5" s="1"/>
  <c r="E515" i="5"/>
  <c r="C515" i="5" s="1"/>
  <c r="H515" i="5" s="1"/>
  <c r="E511" i="5"/>
  <c r="C511" i="5" s="1"/>
  <c r="E507" i="5"/>
  <c r="C507" i="5" s="1"/>
  <c r="E503" i="5"/>
  <c r="C503" i="5" s="1"/>
  <c r="E499" i="5"/>
  <c r="C499" i="5" s="1"/>
  <c r="E495" i="5"/>
  <c r="C495" i="5" s="1"/>
  <c r="E491" i="5"/>
  <c r="C491" i="5" s="1"/>
  <c r="E487" i="5"/>
  <c r="C487" i="5" s="1"/>
  <c r="E483" i="5"/>
  <c r="C483" i="5" s="1"/>
  <c r="H483" i="5" s="1"/>
  <c r="E479" i="5"/>
  <c r="C479" i="5" s="1"/>
  <c r="E475" i="5"/>
  <c r="C475" i="5" s="1"/>
  <c r="E471" i="5"/>
  <c r="C471" i="5" s="1"/>
  <c r="E467" i="5"/>
  <c r="C467" i="5" s="1"/>
  <c r="E463" i="5"/>
  <c r="C463" i="5" s="1"/>
  <c r="E459" i="5"/>
  <c r="C459" i="5" s="1"/>
  <c r="E455" i="5"/>
  <c r="C455" i="5" s="1"/>
  <c r="E451" i="5"/>
  <c r="C451" i="5" s="1"/>
  <c r="H451" i="5" s="1"/>
  <c r="E447" i="5"/>
  <c r="C447" i="5" s="1"/>
  <c r="E443" i="5"/>
  <c r="C443" i="5" s="1"/>
  <c r="E428" i="5"/>
  <c r="C428" i="5" s="1"/>
  <c r="E426" i="5"/>
  <c r="C426" i="5" s="1"/>
  <c r="E424" i="5"/>
  <c r="C424" i="5" s="1"/>
  <c r="E422" i="5"/>
  <c r="C422" i="5" s="1"/>
  <c r="E420" i="5"/>
  <c r="C420" i="5" s="1"/>
  <c r="E418" i="5"/>
  <c r="C418" i="5" s="1"/>
  <c r="H418" i="5" s="1"/>
  <c r="E416" i="5"/>
  <c r="C416" i="5" s="1"/>
  <c r="E414" i="5"/>
  <c r="C414" i="5" s="1"/>
  <c r="E412" i="5"/>
  <c r="C412" i="5" s="1"/>
  <c r="E410" i="5"/>
  <c r="C410" i="5" s="1"/>
  <c r="E408" i="5"/>
  <c r="C408" i="5" s="1"/>
  <c r="E406" i="5"/>
  <c r="C406" i="5" s="1"/>
  <c r="E404" i="5"/>
  <c r="C404" i="5" s="1"/>
  <c r="E402" i="5"/>
  <c r="C402" i="5" s="1"/>
  <c r="H402" i="5" s="1"/>
  <c r="E400" i="5"/>
  <c r="C400" i="5" s="1"/>
  <c r="E398" i="5"/>
  <c r="C398" i="5" s="1"/>
  <c r="E396" i="5"/>
  <c r="C396" i="5" s="1"/>
  <c r="E394" i="5"/>
  <c r="C394" i="5" s="1"/>
  <c r="E392" i="5"/>
  <c r="C392" i="5" s="1"/>
  <c r="E390" i="5"/>
  <c r="C390" i="5" s="1"/>
  <c r="E388" i="5"/>
  <c r="C388" i="5" s="1"/>
  <c r="E386" i="5"/>
  <c r="C386" i="5" s="1"/>
  <c r="H386" i="5" s="1"/>
  <c r="E384" i="5"/>
  <c r="C384" i="5" s="1"/>
  <c r="E382" i="5"/>
  <c r="C382" i="5" s="1"/>
  <c r="E380" i="5"/>
  <c r="C380" i="5" s="1"/>
  <c r="E378" i="5"/>
  <c r="C378" i="5" s="1"/>
  <c r="E376" i="5"/>
  <c r="C376" i="5" s="1"/>
  <c r="E374" i="5"/>
  <c r="C374" i="5" s="1"/>
  <c r="E372" i="5"/>
  <c r="C372" i="5" s="1"/>
  <c r="E370" i="5"/>
  <c r="C370" i="5" s="1"/>
  <c r="H370" i="5" s="1"/>
  <c r="E368" i="5"/>
  <c r="C368" i="5" s="1"/>
  <c r="E366" i="5"/>
  <c r="C366" i="5" s="1"/>
  <c r="E364" i="5"/>
  <c r="C364" i="5" s="1"/>
  <c r="E362" i="5"/>
  <c r="C362" i="5" s="1"/>
  <c r="E360" i="5"/>
  <c r="C360" i="5" s="1"/>
  <c r="E358" i="5"/>
  <c r="C358" i="5" s="1"/>
  <c r="E356" i="5"/>
  <c r="C356" i="5" s="1"/>
  <c r="E354" i="5"/>
  <c r="C354" i="5" s="1"/>
  <c r="H354" i="5" s="1"/>
  <c r="E352" i="5"/>
  <c r="C352" i="5" s="1"/>
  <c r="E350" i="5"/>
  <c r="C350" i="5" s="1"/>
  <c r="E581" i="5"/>
  <c r="C581" i="5" s="1"/>
  <c r="E573" i="5"/>
  <c r="C573" i="5" s="1"/>
  <c r="E565" i="5"/>
  <c r="C565" i="5" s="1"/>
  <c r="E557" i="5"/>
  <c r="C557" i="5" s="1"/>
  <c r="E549" i="5"/>
  <c r="C549" i="5" s="1"/>
  <c r="E541" i="5"/>
  <c r="C541" i="5" s="1"/>
  <c r="H541" i="5" s="1"/>
  <c r="E533" i="5"/>
  <c r="C533" i="5" s="1"/>
  <c r="E525" i="5"/>
  <c r="C525" i="5" s="1"/>
  <c r="E439" i="5"/>
  <c r="C439" i="5" s="1"/>
  <c r="E436" i="5"/>
  <c r="C436" i="5" s="1"/>
  <c r="E433" i="5"/>
  <c r="C433" i="5" s="1"/>
  <c r="E430" i="5"/>
  <c r="C430" i="5" s="1"/>
  <c r="E633" i="5"/>
  <c r="C633" i="5" s="1"/>
  <c r="H633" i="5" s="1"/>
  <c r="E622" i="5"/>
  <c r="C622" i="5" s="1"/>
  <c r="E612" i="5"/>
  <c r="C612" i="5" s="1"/>
  <c r="E603" i="5"/>
  <c r="C603" i="5" s="1"/>
  <c r="E585" i="5"/>
  <c r="C585" i="5" s="1"/>
  <c r="E577" i="5"/>
  <c r="C577" i="5" s="1"/>
  <c r="E569" i="5"/>
  <c r="C569" i="5" s="1"/>
  <c r="E561" i="5"/>
  <c r="C561" i="5" s="1"/>
  <c r="E553" i="5"/>
  <c r="C553" i="5" s="1"/>
  <c r="E545" i="5"/>
  <c r="C545" i="5" s="1"/>
  <c r="H545" i="5" s="1"/>
  <c r="E537" i="5"/>
  <c r="C537" i="5" s="1"/>
  <c r="E529" i="5"/>
  <c r="C529" i="5" s="1"/>
  <c r="E522" i="5"/>
  <c r="C522" i="5" s="1"/>
  <c r="E517" i="5"/>
  <c r="C517" i="5" s="1"/>
  <c r="E429" i="5"/>
  <c r="C429" i="5" s="1"/>
  <c r="E626" i="5"/>
  <c r="C626" i="5" s="1"/>
  <c r="E588" i="5"/>
  <c r="C588" i="5" s="1"/>
  <c r="E572" i="5"/>
  <c r="C572" i="5" s="1"/>
  <c r="H572" i="5" s="1"/>
  <c r="E556" i="5"/>
  <c r="C556" i="5" s="1"/>
  <c r="E540" i="5"/>
  <c r="C540" i="5" s="1"/>
  <c r="E524" i="5"/>
  <c r="C524" i="5" s="1"/>
  <c r="E514" i="5"/>
  <c r="C514" i="5" s="1"/>
  <c r="E506" i="5"/>
  <c r="C506" i="5" s="1"/>
  <c r="E498" i="5"/>
  <c r="C498" i="5" s="1"/>
  <c r="E490" i="5"/>
  <c r="C490" i="5" s="1"/>
  <c r="E482" i="5"/>
  <c r="C482" i="5" s="1"/>
  <c r="H482" i="5" s="1"/>
  <c r="E474" i="5"/>
  <c r="C474" i="5" s="1"/>
  <c r="E466" i="5"/>
  <c r="C466" i="5" s="1"/>
  <c r="E458" i="5"/>
  <c r="C458" i="5" s="1"/>
  <c r="E450" i="5"/>
  <c r="C450" i="5" s="1"/>
  <c r="E442" i="5"/>
  <c r="C442" i="5" s="1"/>
  <c r="E435" i="5"/>
  <c r="C435" i="5" s="1"/>
  <c r="E343" i="5"/>
  <c r="C343" i="5" s="1"/>
  <c r="E340" i="5"/>
  <c r="C340" i="5" s="1"/>
  <c r="H340" i="5" s="1"/>
  <c r="E338" i="5"/>
  <c r="C338" i="5" s="1"/>
  <c r="E336" i="5"/>
  <c r="C336" i="5" s="1"/>
  <c r="E334" i="5"/>
  <c r="C334" i="5" s="1"/>
  <c r="E332" i="5"/>
  <c r="C332" i="5" s="1"/>
  <c r="E330" i="5"/>
  <c r="C330" i="5" s="1"/>
  <c r="E328" i="5"/>
  <c r="C328" i="5" s="1"/>
  <c r="E326" i="5"/>
  <c r="C326" i="5" s="1"/>
  <c r="E324" i="5"/>
  <c r="C324" i="5" s="1"/>
  <c r="H324" i="5" s="1"/>
  <c r="E322" i="5"/>
  <c r="C322" i="5" s="1"/>
  <c r="E320" i="5"/>
  <c r="C320" i="5" s="1"/>
  <c r="E318" i="5"/>
  <c r="C318" i="5" s="1"/>
  <c r="E316" i="5"/>
  <c r="C316" i="5" s="1"/>
  <c r="E314" i="5"/>
  <c r="C314" i="5" s="1"/>
  <c r="E312" i="5"/>
  <c r="C312" i="5" s="1"/>
  <c r="E310" i="5"/>
  <c r="C310" i="5" s="1"/>
  <c r="E308" i="5"/>
  <c r="C308" i="5" s="1"/>
  <c r="H308" i="5" s="1"/>
  <c r="E306" i="5"/>
  <c r="C306" i="5" s="1"/>
  <c r="E304" i="5"/>
  <c r="C304" i="5" s="1"/>
  <c r="E302" i="5"/>
  <c r="C302" i="5" s="1"/>
  <c r="E300" i="5"/>
  <c r="C300" i="5" s="1"/>
  <c r="E298" i="5"/>
  <c r="C298" i="5" s="1"/>
  <c r="E296" i="5"/>
  <c r="C296" i="5" s="1"/>
  <c r="E294" i="5"/>
  <c r="C294" i="5" s="1"/>
  <c r="E292" i="5"/>
  <c r="C292" i="5" s="1"/>
  <c r="H292" i="5" s="1"/>
  <c r="E290" i="5"/>
  <c r="C290" i="5" s="1"/>
  <c r="E288" i="5"/>
  <c r="C288" i="5" s="1"/>
  <c r="E286" i="5"/>
  <c r="C286" i="5" s="1"/>
  <c r="E284" i="5"/>
  <c r="C284" i="5" s="1"/>
  <c r="E282" i="5"/>
  <c r="C282" i="5" s="1"/>
  <c r="E280" i="5"/>
  <c r="C280" i="5" s="1"/>
  <c r="E278" i="5"/>
  <c r="C278" i="5" s="1"/>
  <c r="E276" i="5"/>
  <c r="C276" i="5" s="1"/>
  <c r="H276" i="5" s="1"/>
  <c r="E274" i="5"/>
  <c r="C274" i="5" s="1"/>
  <c r="E272" i="5"/>
  <c r="C272" i="5" s="1"/>
  <c r="E270" i="5"/>
  <c r="C270" i="5" s="1"/>
  <c r="E268" i="5"/>
  <c r="C268" i="5" s="1"/>
  <c r="E266" i="5"/>
  <c r="C266" i="5" s="1"/>
  <c r="E264" i="5"/>
  <c r="C264" i="5" s="1"/>
  <c r="E262" i="5"/>
  <c r="C262" i="5" s="1"/>
  <c r="E260" i="5"/>
  <c r="C260" i="5" s="1"/>
  <c r="H260" i="5" s="1"/>
  <c r="E258" i="5"/>
  <c r="C258" i="5" s="1"/>
  <c r="E256" i="5"/>
  <c r="C256" i="5" s="1"/>
  <c r="E254" i="5"/>
  <c r="C254" i="5" s="1"/>
  <c r="E252" i="5"/>
  <c r="C252" i="5" s="1"/>
  <c r="E250" i="5"/>
  <c r="C250" i="5" s="1"/>
  <c r="E248" i="5"/>
  <c r="C248" i="5" s="1"/>
  <c r="E246" i="5"/>
  <c r="C246" i="5" s="1"/>
  <c r="E244" i="5"/>
  <c r="C244" i="5" s="1"/>
  <c r="H244" i="5" s="1"/>
  <c r="E242" i="5"/>
  <c r="C242" i="5" s="1"/>
  <c r="E240" i="5"/>
  <c r="C240" i="5" s="1"/>
  <c r="E238" i="5"/>
  <c r="C238" i="5" s="1"/>
  <c r="E236" i="5"/>
  <c r="C236" i="5" s="1"/>
  <c r="E234" i="5"/>
  <c r="C234" i="5" s="1"/>
  <c r="E232" i="5"/>
  <c r="C232" i="5" s="1"/>
  <c r="E230" i="5"/>
  <c r="C230" i="5" s="1"/>
  <c r="E228" i="5"/>
  <c r="C228" i="5" s="1"/>
  <c r="H228" i="5" s="1"/>
  <c r="E226" i="5"/>
  <c r="C226" i="5" s="1"/>
  <c r="E224" i="5"/>
  <c r="C224" i="5" s="1"/>
  <c r="E222" i="5"/>
  <c r="C222" i="5" s="1"/>
  <c r="E220" i="5"/>
  <c r="C220" i="5" s="1"/>
  <c r="E218" i="5"/>
  <c r="C218" i="5" s="1"/>
  <c r="E216" i="5"/>
  <c r="C216" i="5" s="1"/>
  <c r="E214" i="5"/>
  <c r="C214" i="5" s="1"/>
  <c r="E212" i="5"/>
  <c r="C212" i="5" s="1"/>
  <c r="H212" i="5" s="1"/>
  <c r="E210" i="5"/>
  <c r="C210" i="5" s="1"/>
  <c r="E208" i="5"/>
  <c r="C208" i="5" s="1"/>
  <c r="E206" i="5"/>
  <c r="C206" i="5" s="1"/>
  <c r="E204" i="5"/>
  <c r="C204" i="5" s="1"/>
  <c r="E202" i="5"/>
  <c r="C202" i="5" s="1"/>
  <c r="E200" i="5"/>
  <c r="C200" i="5" s="1"/>
  <c r="E198" i="5"/>
  <c r="C198" i="5" s="1"/>
  <c r="E196" i="5"/>
  <c r="C196" i="5" s="1"/>
  <c r="H196" i="5" s="1"/>
  <c r="E194" i="5"/>
  <c r="C194" i="5" s="1"/>
  <c r="E192" i="5"/>
  <c r="C192" i="5" s="1"/>
  <c r="E190" i="5"/>
  <c r="C190" i="5" s="1"/>
  <c r="E188" i="5"/>
  <c r="C188" i="5" s="1"/>
  <c r="E186" i="5"/>
  <c r="C186" i="5" s="1"/>
  <c r="E184" i="5"/>
  <c r="C184" i="5" s="1"/>
  <c r="E182" i="5"/>
  <c r="C182" i="5" s="1"/>
  <c r="E180" i="5"/>
  <c r="C180" i="5" s="1"/>
  <c r="H180" i="5" s="1"/>
  <c r="E178" i="5"/>
  <c r="C178" i="5" s="1"/>
  <c r="E176" i="5"/>
  <c r="C176" i="5" s="1"/>
  <c r="E174" i="5"/>
  <c r="C174" i="5" s="1"/>
  <c r="E172" i="5"/>
  <c r="C172" i="5" s="1"/>
  <c r="E170" i="5"/>
  <c r="C170" i="5" s="1"/>
  <c r="E168" i="5"/>
  <c r="C168" i="5" s="1"/>
  <c r="E166" i="5"/>
  <c r="C166" i="5" s="1"/>
  <c r="E164" i="5"/>
  <c r="C164" i="5" s="1"/>
  <c r="H164" i="5" s="1"/>
  <c r="E162" i="5"/>
  <c r="C162" i="5" s="1"/>
  <c r="E160" i="5"/>
  <c r="C160" i="5" s="1"/>
  <c r="E158" i="5"/>
  <c r="C158" i="5" s="1"/>
  <c r="E156" i="5"/>
  <c r="C156" i="5" s="1"/>
  <c r="E154" i="5"/>
  <c r="C154" i="5" s="1"/>
  <c r="E152" i="5"/>
  <c r="C152" i="5" s="1"/>
  <c r="E150" i="5"/>
  <c r="C150" i="5" s="1"/>
  <c r="E148" i="5"/>
  <c r="C148" i="5" s="1"/>
  <c r="H148" i="5" s="1"/>
  <c r="E146" i="5"/>
  <c r="C146" i="5" s="1"/>
  <c r="E144" i="5"/>
  <c r="C144" i="5" s="1"/>
  <c r="E142" i="5"/>
  <c r="C142" i="5" s="1"/>
  <c r="E140" i="5"/>
  <c r="C140" i="5" s="1"/>
  <c r="E138" i="5"/>
  <c r="C138" i="5" s="1"/>
  <c r="E136" i="5"/>
  <c r="C136" i="5" s="1"/>
  <c r="E134" i="5"/>
  <c r="C134" i="5" s="1"/>
  <c r="E132" i="5"/>
  <c r="C132" i="5" s="1"/>
  <c r="H132" i="5" s="1"/>
  <c r="E130" i="5"/>
  <c r="C130" i="5" s="1"/>
  <c r="E128" i="5"/>
  <c r="C128" i="5" s="1"/>
  <c r="E126" i="5"/>
  <c r="C126" i="5" s="1"/>
  <c r="E124" i="5"/>
  <c r="C124" i="5" s="1"/>
  <c r="E122" i="5"/>
  <c r="C122" i="5" s="1"/>
  <c r="E120" i="5"/>
  <c r="C120" i="5" s="1"/>
  <c r="E118" i="5"/>
  <c r="C118" i="5" s="1"/>
  <c r="E116" i="5"/>
  <c r="C116" i="5" s="1"/>
  <c r="H116" i="5" s="1"/>
  <c r="E114" i="5"/>
  <c r="C114" i="5" s="1"/>
  <c r="E112" i="5"/>
  <c r="C112" i="5" s="1"/>
  <c r="E110" i="5"/>
  <c r="C110" i="5" s="1"/>
  <c r="E108" i="5"/>
  <c r="C108" i="5" s="1"/>
  <c r="E106" i="5"/>
  <c r="C106" i="5" s="1"/>
  <c r="E104" i="5"/>
  <c r="C104" i="5" s="1"/>
  <c r="E102" i="5"/>
  <c r="C102" i="5" s="1"/>
  <c r="E100" i="5"/>
  <c r="C100" i="5" s="1"/>
  <c r="H100" i="5" s="1"/>
  <c r="E98" i="5"/>
  <c r="C98" i="5" s="1"/>
  <c r="E96" i="5"/>
  <c r="C96" i="5" s="1"/>
  <c r="E604" i="5"/>
  <c r="C604" i="5" s="1"/>
  <c r="E586" i="5"/>
  <c r="C586" i="5" s="1"/>
  <c r="E570" i="5"/>
  <c r="C570" i="5" s="1"/>
  <c r="E554" i="5"/>
  <c r="C554" i="5" s="1"/>
  <c r="E538" i="5"/>
  <c r="C538" i="5" s="1"/>
  <c r="E513" i="5"/>
  <c r="C513" i="5" s="1"/>
  <c r="H513" i="5" s="1"/>
  <c r="E505" i="5"/>
  <c r="C505" i="5" s="1"/>
  <c r="E497" i="5"/>
  <c r="C497" i="5" s="1"/>
  <c r="E489" i="5"/>
  <c r="C489" i="5" s="1"/>
  <c r="E481" i="5"/>
  <c r="C481" i="5" s="1"/>
  <c r="E473" i="5"/>
  <c r="C473" i="5" s="1"/>
  <c r="E465" i="5"/>
  <c r="C465" i="5" s="1"/>
  <c r="E457" i="5"/>
  <c r="C457" i="5" s="1"/>
  <c r="H457" i="5" s="1"/>
  <c r="E449" i="5"/>
  <c r="C449" i="5" s="1"/>
  <c r="H449" i="5" s="1"/>
  <c r="E441" i="5"/>
  <c r="C441" i="5" s="1"/>
  <c r="E425" i="5"/>
  <c r="C425" i="5" s="1"/>
  <c r="E421" i="5"/>
  <c r="C421" i="5" s="1"/>
  <c r="E417" i="5"/>
  <c r="C417" i="5" s="1"/>
  <c r="E413" i="5"/>
  <c r="C413" i="5" s="1"/>
  <c r="E409" i="5"/>
  <c r="C409" i="5" s="1"/>
  <c r="E405" i="5"/>
  <c r="C405" i="5" s="1"/>
  <c r="H405" i="5" s="1"/>
  <c r="E401" i="5"/>
  <c r="C401" i="5" s="1"/>
  <c r="H401" i="5" s="1"/>
  <c r="E397" i="5"/>
  <c r="C397" i="5" s="1"/>
  <c r="E393" i="5"/>
  <c r="C393" i="5" s="1"/>
  <c r="E389" i="5"/>
  <c r="C389" i="5" s="1"/>
  <c r="E385" i="5"/>
  <c r="C385" i="5" s="1"/>
  <c r="E381" i="5"/>
  <c r="C381" i="5" s="1"/>
  <c r="E377" i="5"/>
  <c r="C377" i="5" s="1"/>
  <c r="E373" i="5"/>
  <c r="C373" i="5" s="1"/>
  <c r="H373" i="5" s="1"/>
  <c r="E369" i="5"/>
  <c r="C369" i="5" s="1"/>
  <c r="H369" i="5" s="1"/>
  <c r="E365" i="5"/>
  <c r="C365" i="5" s="1"/>
  <c r="E361" i="5"/>
  <c r="C361" i="5" s="1"/>
  <c r="E357" i="5"/>
  <c r="C357" i="5" s="1"/>
  <c r="E353" i="5"/>
  <c r="C353" i="5" s="1"/>
  <c r="E349" i="5"/>
  <c r="C349" i="5" s="1"/>
  <c r="E346" i="5"/>
  <c r="C346" i="5" s="1"/>
  <c r="E621" i="5"/>
  <c r="C621" i="5" s="1"/>
  <c r="H621" i="5" s="1"/>
  <c r="E602" i="5"/>
  <c r="C602" i="5" s="1"/>
  <c r="H602" i="5" s="1"/>
  <c r="E434" i="5"/>
  <c r="C434" i="5" s="1"/>
  <c r="H434" i="5" s="1"/>
  <c r="E595" i="5"/>
  <c r="C595" i="5" s="1"/>
  <c r="E578" i="5"/>
  <c r="C578" i="5" s="1"/>
  <c r="E562" i="5"/>
  <c r="C562" i="5" s="1"/>
  <c r="E546" i="5"/>
  <c r="C546" i="5" s="1"/>
  <c r="E530" i="5"/>
  <c r="C530" i="5" s="1"/>
  <c r="E509" i="5"/>
  <c r="C509" i="5" s="1"/>
  <c r="H509" i="5" s="1"/>
  <c r="E501" i="5"/>
  <c r="C501" i="5" s="1"/>
  <c r="H501" i="5" s="1"/>
  <c r="E493" i="5"/>
  <c r="C493" i="5" s="1"/>
  <c r="E485" i="5"/>
  <c r="C485" i="5" s="1"/>
  <c r="E477" i="5"/>
  <c r="C477" i="5" s="1"/>
  <c r="E469" i="5"/>
  <c r="C469" i="5" s="1"/>
  <c r="E461" i="5"/>
  <c r="C461" i="5" s="1"/>
  <c r="E453" i="5"/>
  <c r="C453" i="5" s="1"/>
  <c r="E445" i="5"/>
  <c r="C445" i="5" s="1"/>
  <c r="H445" i="5" s="1"/>
  <c r="E438" i="5"/>
  <c r="C438" i="5" s="1"/>
  <c r="H438" i="5" s="1"/>
  <c r="E432" i="5"/>
  <c r="C432" i="5" s="1"/>
  <c r="E427" i="5"/>
  <c r="C427" i="5" s="1"/>
  <c r="E423" i="5"/>
  <c r="C423" i="5" s="1"/>
  <c r="E419" i="5"/>
  <c r="C419" i="5" s="1"/>
  <c r="E415" i="5"/>
  <c r="C415" i="5" s="1"/>
  <c r="E411" i="5"/>
  <c r="C411" i="5" s="1"/>
  <c r="E407" i="5"/>
  <c r="C407" i="5" s="1"/>
  <c r="H407" i="5" s="1"/>
  <c r="E403" i="5"/>
  <c r="C403" i="5" s="1"/>
  <c r="H403" i="5" s="1"/>
  <c r="E399" i="5"/>
  <c r="C399" i="5" s="1"/>
  <c r="E395" i="5"/>
  <c r="C395" i="5" s="1"/>
  <c r="E391" i="5"/>
  <c r="C391" i="5" s="1"/>
  <c r="E387" i="5"/>
  <c r="C387" i="5" s="1"/>
  <c r="E383" i="5"/>
  <c r="C383" i="5" s="1"/>
  <c r="E379" i="5"/>
  <c r="C379" i="5" s="1"/>
  <c r="E375" i="5"/>
  <c r="C375" i="5" s="1"/>
  <c r="H375" i="5" s="1"/>
  <c r="E371" i="5"/>
  <c r="C371" i="5" s="1"/>
  <c r="H371" i="5" s="1"/>
  <c r="E367" i="5"/>
  <c r="C367" i="5" s="1"/>
  <c r="E363" i="5"/>
  <c r="C363" i="5" s="1"/>
  <c r="E359" i="5"/>
  <c r="C359" i="5" s="1"/>
  <c r="E355" i="5"/>
  <c r="C355" i="5" s="1"/>
  <c r="E351" i="5"/>
  <c r="C351" i="5" s="1"/>
  <c r="E341" i="5"/>
  <c r="C341" i="5" s="1"/>
  <c r="E584" i="5"/>
  <c r="C584" i="5" s="1"/>
  <c r="H584" i="5" s="1"/>
  <c r="E552" i="5"/>
  <c r="C552" i="5" s="1"/>
  <c r="H552" i="5" s="1"/>
  <c r="E521" i="5"/>
  <c r="C521" i="5" s="1"/>
  <c r="E504" i="5"/>
  <c r="C504" i="5" s="1"/>
  <c r="E488" i="5"/>
  <c r="C488" i="5" s="1"/>
  <c r="E472" i="5"/>
  <c r="C472" i="5" s="1"/>
  <c r="E456" i="5"/>
  <c r="C456" i="5" s="1"/>
  <c r="E440" i="5"/>
  <c r="C440" i="5" s="1"/>
  <c r="E342" i="5"/>
  <c r="C342" i="5" s="1"/>
  <c r="H342" i="5" s="1"/>
  <c r="E94" i="5"/>
  <c r="C94" i="5" s="1"/>
  <c r="H94" i="5" s="1"/>
  <c r="E91" i="5"/>
  <c r="C91" i="5" s="1"/>
  <c r="E89" i="5"/>
  <c r="C89" i="5" s="1"/>
  <c r="E87" i="5"/>
  <c r="C87" i="5" s="1"/>
  <c r="E85" i="5"/>
  <c r="C85" i="5" s="1"/>
  <c r="E83" i="5"/>
  <c r="C83" i="5" s="1"/>
  <c r="E81" i="5"/>
  <c r="C81" i="5" s="1"/>
  <c r="E79" i="5"/>
  <c r="C79" i="5" s="1"/>
  <c r="E77" i="5"/>
  <c r="C77" i="5" s="1"/>
  <c r="H77" i="5" s="1"/>
  <c r="E75" i="5"/>
  <c r="C75" i="5" s="1"/>
  <c r="E73" i="5"/>
  <c r="C73" i="5" s="1"/>
  <c r="E71" i="5"/>
  <c r="C71" i="5" s="1"/>
  <c r="E69" i="5"/>
  <c r="C69" i="5" s="1"/>
  <c r="E67" i="5"/>
  <c r="C67" i="5" s="1"/>
  <c r="E65" i="5"/>
  <c r="C65" i="5" s="1"/>
  <c r="E63" i="5"/>
  <c r="C63" i="5" s="1"/>
  <c r="E61" i="5"/>
  <c r="C61" i="5" s="1"/>
  <c r="H61" i="5" s="1"/>
  <c r="E59" i="5"/>
  <c r="C59" i="5" s="1"/>
  <c r="E57" i="5"/>
  <c r="C57" i="5" s="1"/>
  <c r="E55" i="5"/>
  <c r="C55" i="5" s="1"/>
  <c r="E53" i="5"/>
  <c r="C53" i="5" s="1"/>
  <c r="E51" i="5"/>
  <c r="C51" i="5" s="1"/>
  <c r="E49" i="5"/>
  <c r="C49" i="5" s="1"/>
  <c r="E47" i="5"/>
  <c r="C47" i="5" s="1"/>
  <c r="E45" i="5"/>
  <c r="C45" i="5" s="1"/>
  <c r="H45" i="5" s="1"/>
  <c r="E43" i="5"/>
  <c r="C43" i="5" s="1"/>
  <c r="E41" i="5"/>
  <c r="C41" i="5" s="1"/>
  <c r="E39" i="5"/>
  <c r="C39" i="5" s="1"/>
  <c r="E37" i="5"/>
  <c r="C37" i="5" s="1"/>
  <c r="E35" i="5"/>
  <c r="C35" i="5" s="1"/>
  <c r="E33" i="5"/>
  <c r="C33" i="5" s="1"/>
  <c r="E31" i="5"/>
  <c r="C31" i="5" s="1"/>
  <c r="E29" i="5"/>
  <c r="C29" i="5" s="1"/>
  <c r="H29" i="5" s="1"/>
  <c r="E27" i="5"/>
  <c r="C27" i="5" s="1"/>
  <c r="E25" i="5"/>
  <c r="C25" i="5" s="1"/>
  <c r="E23" i="5"/>
  <c r="C23" i="5" s="1"/>
  <c r="E21" i="5"/>
  <c r="C21" i="5" s="1"/>
  <c r="E19" i="5"/>
  <c r="C19" i="5" s="1"/>
  <c r="E17" i="5"/>
  <c r="C17" i="5" s="1"/>
  <c r="E15" i="5"/>
  <c r="C15" i="5" s="1"/>
  <c r="E13" i="5"/>
  <c r="C13" i="5" s="1"/>
  <c r="H13" i="5" s="1"/>
  <c r="E11" i="5"/>
  <c r="C11" i="5" s="1"/>
  <c r="E9" i="5"/>
  <c r="C9" i="5" s="1"/>
  <c r="E7" i="5"/>
  <c r="C7" i="5" s="1"/>
  <c r="E5" i="5"/>
  <c r="C5" i="5" s="1"/>
  <c r="E611" i="5"/>
  <c r="C611" i="5" s="1"/>
  <c r="E500" i="5"/>
  <c r="C500" i="5" s="1"/>
  <c r="E452" i="5"/>
  <c r="C452" i="5" s="1"/>
  <c r="H452" i="5" s="1"/>
  <c r="E580" i="5"/>
  <c r="C580" i="5" s="1"/>
  <c r="H580" i="5" s="1"/>
  <c r="E548" i="5"/>
  <c r="C548" i="5" s="1"/>
  <c r="E502" i="5"/>
  <c r="C502" i="5" s="1"/>
  <c r="E486" i="5"/>
  <c r="C486" i="5" s="1"/>
  <c r="E470" i="5"/>
  <c r="C470" i="5" s="1"/>
  <c r="E454" i="5"/>
  <c r="C454" i="5" s="1"/>
  <c r="E348" i="5"/>
  <c r="C348" i="5" s="1"/>
  <c r="E337" i="5"/>
  <c r="C337" i="5" s="1"/>
  <c r="H337" i="5" s="1"/>
  <c r="E333" i="5"/>
  <c r="C333" i="5" s="1"/>
  <c r="H333" i="5" s="1"/>
  <c r="E329" i="5"/>
  <c r="C329" i="5" s="1"/>
  <c r="E325" i="5"/>
  <c r="C325" i="5" s="1"/>
  <c r="E321" i="5"/>
  <c r="C321" i="5" s="1"/>
  <c r="E317" i="5"/>
  <c r="C317" i="5" s="1"/>
  <c r="E313" i="5"/>
  <c r="C313" i="5" s="1"/>
  <c r="E309" i="5"/>
  <c r="C309" i="5" s="1"/>
  <c r="E305" i="5"/>
  <c r="C305" i="5" s="1"/>
  <c r="H305" i="5" s="1"/>
  <c r="E301" i="5"/>
  <c r="C301" i="5" s="1"/>
  <c r="H301" i="5" s="1"/>
  <c r="E297" i="5"/>
  <c r="C297" i="5" s="1"/>
  <c r="E293" i="5"/>
  <c r="C293" i="5" s="1"/>
  <c r="E289" i="5"/>
  <c r="C289" i="5" s="1"/>
  <c r="E285" i="5"/>
  <c r="C285" i="5" s="1"/>
  <c r="E281" i="5"/>
  <c r="C281" i="5" s="1"/>
  <c r="E277" i="5"/>
  <c r="C277" i="5" s="1"/>
  <c r="E273" i="5"/>
  <c r="C273" i="5" s="1"/>
  <c r="H273" i="5" s="1"/>
  <c r="E269" i="5"/>
  <c r="C269" i="5" s="1"/>
  <c r="H269" i="5" s="1"/>
  <c r="E265" i="5"/>
  <c r="C265" i="5" s="1"/>
  <c r="E261" i="5"/>
  <c r="C261" i="5" s="1"/>
  <c r="E257" i="5"/>
  <c r="C257" i="5" s="1"/>
  <c r="E253" i="5"/>
  <c r="C253" i="5" s="1"/>
  <c r="E249" i="5"/>
  <c r="C249" i="5" s="1"/>
  <c r="E245" i="5"/>
  <c r="C245" i="5" s="1"/>
  <c r="E241" i="5"/>
  <c r="C241" i="5" s="1"/>
  <c r="H241" i="5" s="1"/>
  <c r="E237" i="5"/>
  <c r="C237" i="5" s="1"/>
  <c r="H237" i="5" s="1"/>
  <c r="E233" i="5"/>
  <c r="C233" i="5" s="1"/>
  <c r="E229" i="5"/>
  <c r="C229" i="5" s="1"/>
  <c r="E225" i="5"/>
  <c r="C225" i="5" s="1"/>
  <c r="E221" i="5"/>
  <c r="C221" i="5" s="1"/>
  <c r="E217" i="5"/>
  <c r="C217" i="5" s="1"/>
  <c r="E213" i="5"/>
  <c r="C213" i="5" s="1"/>
  <c r="E209" i="5"/>
  <c r="C209" i="5" s="1"/>
  <c r="H209" i="5" s="1"/>
  <c r="E205" i="5"/>
  <c r="C205" i="5" s="1"/>
  <c r="H205" i="5" s="1"/>
  <c r="E201" i="5"/>
  <c r="C201" i="5" s="1"/>
  <c r="E197" i="5"/>
  <c r="C197" i="5" s="1"/>
  <c r="E193" i="5"/>
  <c r="C193" i="5" s="1"/>
  <c r="E189" i="5"/>
  <c r="C189" i="5" s="1"/>
  <c r="E185" i="5"/>
  <c r="C185" i="5" s="1"/>
  <c r="E181" i="5"/>
  <c r="C181" i="5" s="1"/>
  <c r="E177" i="5"/>
  <c r="C177" i="5" s="1"/>
  <c r="H177" i="5" s="1"/>
  <c r="E173" i="5"/>
  <c r="C173" i="5" s="1"/>
  <c r="H173" i="5" s="1"/>
  <c r="E169" i="5"/>
  <c r="C169" i="5" s="1"/>
  <c r="E165" i="5"/>
  <c r="C165" i="5" s="1"/>
  <c r="E161" i="5"/>
  <c r="C161" i="5" s="1"/>
  <c r="E157" i="5"/>
  <c r="C157" i="5" s="1"/>
  <c r="E153" i="5"/>
  <c r="C153" i="5" s="1"/>
  <c r="E149" i="5"/>
  <c r="C149" i="5" s="1"/>
  <c r="E145" i="5"/>
  <c r="C145" i="5" s="1"/>
  <c r="H145" i="5" s="1"/>
  <c r="E141" i="5"/>
  <c r="C141" i="5" s="1"/>
  <c r="H141" i="5" s="1"/>
  <c r="E137" i="5"/>
  <c r="C137" i="5" s="1"/>
  <c r="E133" i="5"/>
  <c r="C133" i="5" s="1"/>
  <c r="E129" i="5"/>
  <c r="C129" i="5" s="1"/>
  <c r="E125" i="5"/>
  <c r="C125" i="5" s="1"/>
  <c r="E121" i="5"/>
  <c r="C121" i="5" s="1"/>
  <c r="E117" i="5"/>
  <c r="C117" i="5" s="1"/>
  <c r="E113" i="5"/>
  <c r="C113" i="5" s="1"/>
  <c r="H113" i="5" s="1"/>
  <c r="E109" i="5"/>
  <c r="C109" i="5" s="1"/>
  <c r="H109" i="5" s="1"/>
  <c r="E105" i="5"/>
  <c r="C105" i="5" s="1"/>
  <c r="E101" i="5"/>
  <c r="C101" i="5" s="1"/>
  <c r="E97" i="5"/>
  <c r="C97" i="5" s="1"/>
  <c r="E544" i="5"/>
  <c r="C544" i="5" s="1"/>
  <c r="E468" i="5"/>
  <c r="C468" i="5" s="1"/>
  <c r="E437" i="5"/>
  <c r="C437" i="5" s="1"/>
  <c r="E347" i="5"/>
  <c r="C347" i="5" s="1"/>
  <c r="H347" i="5" s="1"/>
  <c r="E93" i="5"/>
  <c r="C93" i="5" s="1"/>
  <c r="H93" i="5" s="1"/>
  <c r="E576" i="5"/>
  <c r="C576" i="5" s="1"/>
  <c r="E516" i="5"/>
  <c r="C516" i="5" s="1"/>
  <c r="E484" i="5"/>
  <c r="C484" i="5" s="1"/>
  <c r="E564" i="5"/>
  <c r="C564" i="5" s="1"/>
  <c r="E532" i="5"/>
  <c r="C532" i="5" s="1"/>
  <c r="E510" i="5"/>
  <c r="C510" i="5" s="1"/>
  <c r="E494" i="5"/>
  <c r="C494" i="5" s="1"/>
  <c r="H494" i="5" s="1"/>
  <c r="E478" i="5"/>
  <c r="C478" i="5" s="1"/>
  <c r="H478" i="5" s="1"/>
  <c r="E462" i="5"/>
  <c r="C462" i="5" s="1"/>
  <c r="E446" i="5"/>
  <c r="C446" i="5" s="1"/>
  <c r="E339" i="5"/>
  <c r="C339" i="5" s="1"/>
  <c r="E335" i="5"/>
  <c r="C335" i="5" s="1"/>
  <c r="E331" i="5"/>
  <c r="C331" i="5" s="1"/>
  <c r="E327" i="5"/>
  <c r="C327" i="5" s="1"/>
  <c r="E323" i="5"/>
  <c r="C323" i="5" s="1"/>
  <c r="H323" i="5" s="1"/>
  <c r="E319" i="5"/>
  <c r="C319" i="5" s="1"/>
  <c r="H319" i="5" s="1"/>
  <c r="E315" i="5"/>
  <c r="C315" i="5" s="1"/>
  <c r="E311" i="5"/>
  <c r="C311" i="5" s="1"/>
  <c r="E307" i="5"/>
  <c r="C307" i="5" s="1"/>
  <c r="E303" i="5"/>
  <c r="C303" i="5" s="1"/>
  <c r="E299" i="5"/>
  <c r="C299" i="5" s="1"/>
  <c r="E295" i="5"/>
  <c r="C295" i="5" s="1"/>
  <c r="E291" i="5"/>
  <c r="C291" i="5" s="1"/>
  <c r="H291" i="5" s="1"/>
  <c r="E287" i="5"/>
  <c r="C287" i="5" s="1"/>
  <c r="H287" i="5" s="1"/>
  <c r="E283" i="5"/>
  <c r="C283" i="5" s="1"/>
  <c r="E279" i="5"/>
  <c r="C279" i="5" s="1"/>
  <c r="E275" i="5"/>
  <c r="C275" i="5" s="1"/>
  <c r="E271" i="5"/>
  <c r="C271" i="5" s="1"/>
  <c r="E267" i="5"/>
  <c r="C267" i="5" s="1"/>
  <c r="E263" i="5"/>
  <c r="C263" i="5" s="1"/>
  <c r="E259" i="5"/>
  <c r="C259" i="5" s="1"/>
  <c r="H259" i="5" s="1"/>
  <c r="E255" i="5"/>
  <c r="C255" i="5" s="1"/>
  <c r="H255" i="5" s="1"/>
  <c r="E251" i="5"/>
  <c r="C251" i="5" s="1"/>
  <c r="E247" i="5"/>
  <c r="C247" i="5" s="1"/>
  <c r="E243" i="5"/>
  <c r="C243" i="5" s="1"/>
  <c r="E239" i="5"/>
  <c r="C239" i="5" s="1"/>
  <c r="E235" i="5"/>
  <c r="C235" i="5" s="1"/>
  <c r="E231" i="5"/>
  <c r="C231" i="5" s="1"/>
  <c r="E227" i="5"/>
  <c r="C227" i="5" s="1"/>
  <c r="H227" i="5" s="1"/>
  <c r="E223" i="5"/>
  <c r="C223" i="5" s="1"/>
  <c r="H223" i="5" s="1"/>
  <c r="E219" i="5"/>
  <c r="C219" i="5" s="1"/>
  <c r="E215" i="5"/>
  <c r="C215" i="5" s="1"/>
  <c r="E211" i="5"/>
  <c r="C211" i="5" s="1"/>
  <c r="E207" i="5"/>
  <c r="C207" i="5" s="1"/>
  <c r="E203" i="5"/>
  <c r="C203" i="5" s="1"/>
  <c r="E199" i="5"/>
  <c r="C199" i="5" s="1"/>
  <c r="E195" i="5"/>
  <c r="C195" i="5" s="1"/>
  <c r="H195" i="5" s="1"/>
  <c r="E191" i="5"/>
  <c r="C191" i="5" s="1"/>
  <c r="H191" i="5" s="1"/>
  <c r="E187" i="5"/>
  <c r="C187" i="5" s="1"/>
  <c r="E183" i="5"/>
  <c r="C183" i="5" s="1"/>
  <c r="E179" i="5"/>
  <c r="C179" i="5" s="1"/>
  <c r="E175" i="5"/>
  <c r="C175" i="5" s="1"/>
  <c r="E171" i="5"/>
  <c r="C171" i="5" s="1"/>
  <c r="E167" i="5"/>
  <c r="C167" i="5" s="1"/>
  <c r="E163" i="5"/>
  <c r="C163" i="5" s="1"/>
  <c r="H163" i="5" s="1"/>
  <c r="E159" i="5"/>
  <c r="C159" i="5" s="1"/>
  <c r="H159" i="5" s="1"/>
  <c r="E155" i="5"/>
  <c r="C155" i="5" s="1"/>
  <c r="E151" i="5"/>
  <c r="C151" i="5" s="1"/>
  <c r="E147" i="5"/>
  <c r="C147" i="5" s="1"/>
  <c r="E143" i="5"/>
  <c r="C143" i="5" s="1"/>
  <c r="E139" i="5"/>
  <c r="C139" i="5" s="1"/>
  <c r="E135" i="5"/>
  <c r="C135" i="5" s="1"/>
  <c r="E131" i="5"/>
  <c r="C131" i="5" s="1"/>
  <c r="H131" i="5" s="1"/>
  <c r="E127" i="5"/>
  <c r="C127" i="5" s="1"/>
  <c r="H127" i="5" s="1"/>
  <c r="E123" i="5"/>
  <c r="C123" i="5" s="1"/>
  <c r="E119" i="5"/>
  <c r="C119" i="5" s="1"/>
  <c r="E115" i="5"/>
  <c r="C115" i="5" s="1"/>
  <c r="E111" i="5"/>
  <c r="C111" i="5" s="1"/>
  <c r="E107" i="5"/>
  <c r="C107" i="5" s="1"/>
  <c r="E103" i="5"/>
  <c r="C103" i="5" s="1"/>
  <c r="E99" i="5"/>
  <c r="C99" i="5" s="1"/>
  <c r="H99" i="5" s="1"/>
  <c r="E95" i="5"/>
  <c r="C95" i="5" s="1"/>
  <c r="H95" i="5" s="1"/>
  <c r="E92" i="5"/>
  <c r="C92" i="5" s="1"/>
  <c r="H92" i="5" s="1"/>
  <c r="E8" i="5"/>
  <c r="C8" i="5" s="1"/>
  <c r="E12" i="5"/>
  <c r="C12" i="5" s="1"/>
  <c r="E16" i="5"/>
  <c r="C16" i="5" s="1"/>
  <c r="E32" i="5"/>
  <c r="C32" i="5" s="1"/>
  <c r="E48" i="5"/>
  <c r="C48" i="5" s="1"/>
  <c r="E64" i="5"/>
  <c r="C64" i="5" s="1"/>
  <c r="H64" i="5" s="1"/>
  <c r="E80" i="5"/>
  <c r="C80" i="5" s="1"/>
  <c r="H80" i="5" s="1"/>
  <c r="E476" i="5"/>
  <c r="C476" i="5" s="1"/>
  <c r="E512" i="5"/>
  <c r="C512" i="5" s="1"/>
  <c r="E593" i="5"/>
  <c r="C593" i="5" s="1"/>
  <c r="E22" i="5"/>
  <c r="C22" i="5" s="1"/>
  <c r="E38" i="5"/>
  <c r="C38" i="5" s="1"/>
  <c r="E54" i="5"/>
  <c r="C54" i="5" s="1"/>
  <c r="E70" i="5"/>
  <c r="C70" i="5" s="1"/>
  <c r="E86" i="5"/>
  <c r="C86" i="5" s="1"/>
  <c r="E528" i="5"/>
  <c r="C528" i="5" s="1"/>
  <c r="E18" i="5"/>
  <c r="C18" i="5" s="1"/>
  <c r="E50" i="5"/>
  <c r="C50" i="5" s="1"/>
  <c r="E82" i="5"/>
  <c r="C82" i="5" s="1"/>
  <c r="E6" i="5"/>
  <c r="C6" i="5" s="1"/>
  <c r="E10" i="5"/>
  <c r="C10" i="5" s="1"/>
  <c r="E14" i="5"/>
  <c r="C14" i="5" s="1"/>
  <c r="H14" i="5" s="1"/>
  <c r="E24" i="5"/>
  <c r="C24" i="5" s="1"/>
  <c r="H24" i="5" s="1"/>
  <c r="E40" i="5"/>
  <c r="C40" i="5" s="1"/>
  <c r="E56" i="5"/>
  <c r="C56" i="5" s="1"/>
  <c r="E72" i="5"/>
  <c r="C72" i="5" s="1"/>
  <c r="E88" i="5"/>
  <c r="C88" i="5" s="1"/>
  <c r="E448" i="5"/>
  <c r="C448" i="5" s="1"/>
  <c r="E560" i="5"/>
  <c r="C560" i="5" s="1"/>
  <c r="E34" i="5"/>
  <c r="C34" i="5" s="1"/>
  <c r="H34" i="5" s="1"/>
  <c r="E66" i="5"/>
  <c r="C66" i="5" s="1"/>
  <c r="H66" i="5" s="1"/>
  <c r="E492" i="5"/>
  <c r="C492" i="5" s="1"/>
  <c r="E536" i="5"/>
  <c r="C536" i="5" s="1"/>
  <c r="E30" i="5"/>
  <c r="C30" i="5" s="1"/>
  <c r="E46" i="5"/>
  <c r="C46" i="5" s="1"/>
  <c r="E62" i="5"/>
  <c r="C62" i="5" s="1"/>
  <c r="E78" i="5"/>
  <c r="C78" i="5" s="1"/>
  <c r="E460" i="5"/>
  <c r="C460" i="5" s="1"/>
  <c r="E496" i="5"/>
  <c r="C496" i="5" s="1"/>
  <c r="H496" i="5" s="1"/>
  <c r="E20" i="5"/>
  <c r="C20" i="5" s="1"/>
  <c r="E36" i="5"/>
  <c r="C36" i="5" s="1"/>
  <c r="E52" i="5"/>
  <c r="C52" i="5" s="1"/>
  <c r="E68" i="5"/>
  <c r="C68" i="5" s="1"/>
  <c r="E84" i="5"/>
  <c r="C84" i="5" s="1"/>
  <c r="E344" i="5"/>
  <c r="C344" i="5" s="1"/>
  <c r="E431" i="5"/>
  <c r="C431" i="5" s="1"/>
  <c r="H431" i="5" s="1"/>
  <c r="E508" i="5"/>
  <c r="C508" i="5" s="1"/>
  <c r="H508" i="5" s="1"/>
  <c r="E568" i="5"/>
  <c r="C568" i="5" s="1"/>
  <c r="D758" i="5"/>
  <c r="B758" i="5" s="1"/>
  <c r="D756" i="5"/>
  <c r="B756" i="5" s="1"/>
  <c r="D754" i="5"/>
  <c r="B754" i="5" s="1"/>
  <c r="D752" i="5"/>
  <c r="B752" i="5" s="1"/>
  <c r="D750" i="5"/>
  <c r="B750" i="5" s="1"/>
  <c r="D748" i="5"/>
  <c r="B748" i="5" s="1"/>
  <c r="D746" i="5"/>
  <c r="B746" i="5" s="1"/>
  <c r="D744" i="5"/>
  <c r="B744" i="5" s="1"/>
  <c r="D742" i="5"/>
  <c r="B742" i="5" s="1"/>
  <c r="D740" i="5"/>
  <c r="B740" i="5" s="1"/>
  <c r="D738" i="5"/>
  <c r="B738" i="5" s="1"/>
  <c r="D736" i="5"/>
  <c r="B736" i="5" s="1"/>
  <c r="D734" i="5"/>
  <c r="B734" i="5" s="1"/>
  <c r="D732" i="5"/>
  <c r="B732" i="5" s="1"/>
  <c r="D730" i="5"/>
  <c r="B730" i="5" s="1"/>
  <c r="D728" i="5"/>
  <c r="B728" i="5" s="1"/>
  <c r="D726" i="5"/>
  <c r="B726" i="5" s="1"/>
  <c r="D724" i="5"/>
  <c r="B724" i="5" s="1"/>
  <c r="D722" i="5"/>
  <c r="B722" i="5" s="1"/>
  <c r="D720" i="5"/>
  <c r="B720" i="5" s="1"/>
  <c r="D718" i="5"/>
  <c r="B718" i="5" s="1"/>
  <c r="D716" i="5"/>
  <c r="B716" i="5" s="1"/>
  <c r="D714" i="5"/>
  <c r="B714" i="5" s="1"/>
  <c r="D712" i="5"/>
  <c r="B712" i="5" s="1"/>
  <c r="D710" i="5"/>
  <c r="B710" i="5" s="1"/>
  <c r="D708" i="5"/>
  <c r="B708" i="5" s="1"/>
  <c r="D706" i="5"/>
  <c r="B706" i="5" s="1"/>
  <c r="D704" i="5"/>
  <c r="B704" i="5" s="1"/>
  <c r="D702" i="5"/>
  <c r="B702" i="5" s="1"/>
  <c r="D700" i="5"/>
  <c r="B700" i="5" s="1"/>
  <c r="D698" i="5"/>
  <c r="B698" i="5" s="1"/>
  <c r="D696" i="5"/>
  <c r="B696" i="5" s="1"/>
  <c r="D694" i="5"/>
  <c r="B694" i="5" s="1"/>
  <c r="D692" i="5"/>
  <c r="B692" i="5" s="1"/>
  <c r="D690" i="5"/>
  <c r="B690" i="5" s="1"/>
  <c r="D688" i="5"/>
  <c r="B688" i="5" s="1"/>
  <c r="D686" i="5"/>
  <c r="B686" i="5" s="1"/>
  <c r="D684" i="5"/>
  <c r="B684" i="5" s="1"/>
  <c r="D682" i="5"/>
  <c r="B682" i="5" s="1"/>
  <c r="D680" i="5"/>
  <c r="B680" i="5" s="1"/>
  <c r="D678" i="5"/>
  <c r="B678" i="5" s="1"/>
  <c r="D676" i="5"/>
  <c r="B676" i="5" s="1"/>
  <c r="D674" i="5"/>
  <c r="B674" i="5" s="1"/>
  <c r="D672" i="5"/>
  <c r="B672" i="5" s="1"/>
  <c r="D670" i="5"/>
  <c r="B670" i="5" s="1"/>
  <c r="D668" i="5"/>
  <c r="B668" i="5" s="1"/>
  <c r="D666" i="5"/>
  <c r="B666" i="5" s="1"/>
  <c r="D664" i="5"/>
  <c r="B664" i="5" s="1"/>
  <c r="D662" i="5"/>
  <c r="B662" i="5" s="1"/>
  <c r="D660" i="5"/>
  <c r="B660" i="5" s="1"/>
  <c r="D658" i="5"/>
  <c r="B658" i="5" s="1"/>
  <c r="D656" i="5"/>
  <c r="B656" i="5" s="1"/>
  <c r="D654" i="5"/>
  <c r="B654" i="5" s="1"/>
  <c r="D652" i="5"/>
  <c r="B652" i="5" s="1"/>
  <c r="D650" i="5"/>
  <c r="B650" i="5" s="1"/>
  <c r="D648" i="5"/>
  <c r="B648" i="5" s="1"/>
  <c r="D646" i="5"/>
  <c r="B646" i="5" s="1"/>
  <c r="D644" i="5"/>
  <c r="B644" i="5" s="1"/>
  <c r="D642" i="5"/>
  <c r="B642" i="5" s="1"/>
  <c r="D640" i="5"/>
  <c r="B640" i="5" s="1"/>
  <c r="D638" i="5"/>
  <c r="B638" i="5" s="1"/>
  <c r="D757" i="5"/>
  <c r="B757" i="5" s="1"/>
  <c r="D755" i="5"/>
  <c r="B755" i="5" s="1"/>
  <c r="D753" i="5"/>
  <c r="B753" i="5" s="1"/>
  <c r="D751" i="5"/>
  <c r="B751" i="5" s="1"/>
  <c r="D749" i="5"/>
  <c r="B749" i="5" s="1"/>
  <c r="D747" i="5"/>
  <c r="B747" i="5" s="1"/>
  <c r="D745" i="5"/>
  <c r="B745" i="5" s="1"/>
  <c r="D743" i="5"/>
  <c r="B743" i="5" s="1"/>
  <c r="D741" i="5"/>
  <c r="B741" i="5" s="1"/>
  <c r="D739" i="5"/>
  <c r="B739" i="5" s="1"/>
  <c r="D737" i="5"/>
  <c r="B737" i="5" s="1"/>
  <c r="D735" i="5"/>
  <c r="B735" i="5" s="1"/>
  <c r="D733" i="5"/>
  <c r="B733" i="5" s="1"/>
  <c r="D731" i="5"/>
  <c r="B731" i="5" s="1"/>
  <c r="D729" i="5"/>
  <c r="B729" i="5" s="1"/>
  <c r="D727" i="5"/>
  <c r="B727" i="5" s="1"/>
  <c r="D725" i="5"/>
  <c r="B725" i="5" s="1"/>
  <c r="D723" i="5"/>
  <c r="B723" i="5" s="1"/>
  <c r="D721" i="5"/>
  <c r="B721" i="5" s="1"/>
  <c r="D719" i="5"/>
  <c r="B719" i="5" s="1"/>
  <c r="D717" i="5"/>
  <c r="B717" i="5" s="1"/>
  <c r="D715" i="5"/>
  <c r="B715" i="5" s="1"/>
  <c r="D713" i="5"/>
  <c r="B713" i="5" s="1"/>
  <c r="D711" i="5"/>
  <c r="B711" i="5" s="1"/>
  <c r="D709" i="5"/>
  <c r="B709" i="5" s="1"/>
  <c r="D707" i="5"/>
  <c r="B707" i="5" s="1"/>
  <c r="D705" i="5"/>
  <c r="B705" i="5" s="1"/>
  <c r="D703" i="5"/>
  <c r="B703" i="5" s="1"/>
  <c r="D701" i="5"/>
  <c r="B701" i="5" s="1"/>
  <c r="D699" i="5"/>
  <c r="B699" i="5" s="1"/>
  <c r="D697" i="5"/>
  <c r="B697" i="5" s="1"/>
  <c r="D695" i="5"/>
  <c r="B695" i="5" s="1"/>
  <c r="D693" i="5"/>
  <c r="B693" i="5" s="1"/>
  <c r="D691" i="5"/>
  <c r="B691" i="5" s="1"/>
  <c r="D689" i="5"/>
  <c r="B689" i="5" s="1"/>
  <c r="D687" i="5"/>
  <c r="B687" i="5" s="1"/>
  <c r="D685" i="5"/>
  <c r="B685" i="5" s="1"/>
  <c r="D683" i="5"/>
  <c r="B683" i="5" s="1"/>
  <c r="D681" i="5"/>
  <c r="B681" i="5" s="1"/>
  <c r="D679" i="5"/>
  <c r="B679" i="5" s="1"/>
  <c r="D677" i="5"/>
  <c r="B677" i="5" s="1"/>
  <c r="D675" i="5"/>
  <c r="B675" i="5" s="1"/>
  <c r="D673" i="5"/>
  <c r="B673" i="5" s="1"/>
  <c r="D671" i="5"/>
  <c r="B671" i="5" s="1"/>
  <c r="D669" i="5"/>
  <c r="B669" i="5" s="1"/>
  <c r="D667" i="5"/>
  <c r="B667" i="5" s="1"/>
  <c r="D665" i="5"/>
  <c r="B665" i="5" s="1"/>
  <c r="D663" i="5"/>
  <c r="B663" i="5" s="1"/>
  <c r="D661" i="5"/>
  <c r="B661" i="5" s="1"/>
  <c r="D659" i="5"/>
  <c r="B659" i="5" s="1"/>
  <c r="D657" i="5"/>
  <c r="B657" i="5" s="1"/>
  <c r="D655" i="5"/>
  <c r="B655" i="5" s="1"/>
  <c r="D653" i="5"/>
  <c r="B653" i="5" s="1"/>
  <c r="D651" i="5"/>
  <c r="B651" i="5" s="1"/>
  <c r="D649" i="5"/>
  <c r="B649" i="5" s="1"/>
  <c r="D647" i="5"/>
  <c r="B647" i="5" s="1"/>
  <c r="D645" i="5"/>
  <c r="B645" i="5" s="1"/>
  <c r="D643" i="5"/>
  <c r="B643" i="5" s="1"/>
  <c r="D641" i="5"/>
  <c r="B641" i="5" s="1"/>
  <c r="D639" i="5"/>
  <c r="B639" i="5" s="1"/>
  <c r="D637" i="5"/>
  <c r="B637" i="5" s="1"/>
  <c r="D635" i="5"/>
  <c r="B635" i="5" s="1"/>
  <c r="D633" i="5"/>
  <c r="B633" i="5" s="1"/>
  <c r="D631" i="5"/>
  <c r="B631" i="5" s="1"/>
  <c r="D629" i="5"/>
  <c r="B629" i="5" s="1"/>
  <c r="D627" i="5"/>
  <c r="B627" i="5" s="1"/>
  <c r="D625" i="5"/>
  <c r="B625" i="5" s="1"/>
  <c r="D623" i="5"/>
  <c r="B623" i="5" s="1"/>
  <c r="D621" i="5"/>
  <c r="B621" i="5" s="1"/>
  <c r="D619" i="5"/>
  <c r="B619" i="5" s="1"/>
  <c r="D617" i="5"/>
  <c r="B617" i="5" s="1"/>
  <c r="D615" i="5"/>
  <c r="B615" i="5" s="1"/>
  <c r="D613" i="5"/>
  <c r="B613" i="5" s="1"/>
  <c r="D611" i="5"/>
  <c r="B611" i="5" s="1"/>
  <c r="D609" i="5"/>
  <c r="B609" i="5" s="1"/>
  <c r="D607" i="5"/>
  <c r="B607" i="5" s="1"/>
  <c r="D605" i="5"/>
  <c r="B605" i="5" s="1"/>
  <c r="D603" i="5"/>
  <c r="B603" i="5" s="1"/>
  <c r="D601" i="5"/>
  <c r="B601" i="5" s="1"/>
  <c r="D599" i="5"/>
  <c r="B599" i="5" s="1"/>
  <c r="D597" i="5"/>
  <c r="B597" i="5" s="1"/>
  <c r="D595" i="5"/>
  <c r="B595" i="5" s="1"/>
  <c r="D593" i="5"/>
  <c r="B593" i="5" s="1"/>
  <c r="D591" i="5"/>
  <c r="B591" i="5" s="1"/>
  <c r="D589" i="5"/>
  <c r="B589" i="5" s="1"/>
  <c r="D626" i="5"/>
  <c r="B626" i="5" s="1"/>
  <c r="D618" i="5"/>
  <c r="B618" i="5" s="1"/>
  <c r="D604" i="5"/>
  <c r="B604" i="5" s="1"/>
  <c r="D588" i="5"/>
  <c r="B588" i="5" s="1"/>
  <c r="D586" i="5"/>
  <c r="B586" i="5" s="1"/>
  <c r="D584" i="5"/>
  <c r="B584" i="5" s="1"/>
  <c r="D582" i="5"/>
  <c r="B582" i="5" s="1"/>
  <c r="D580" i="5"/>
  <c r="B580" i="5" s="1"/>
  <c r="D578" i="5"/>
  <c r="B578" i="5" s="1"/>
  <c r="D576" i="5"/>
  <c r="B576" i="5" s="1"/>
  <c r="D574" i="5"/>
  <c r="B574" i="5" s="1"/>
  <c r="D572" i="5"/>
  <c r="B572" i="5" s="1"/>
  <c r="D570" i="5"/>
  <c r="B570" i="5" s="1"/>
  <c r="D568" i="5"/>
  <c r="B568" i="5" s="1"/>
  <c r="D566" i="5"/>
  <c r="B566" i="5" s="1"/>
  <c r="D564" i="5"/>
  <c r="B564" i="5" s="1"/>
  <c r="D562" i="5"/>
  <c r="B562" i="5" s="1"/>
  <c r="D560" i="5"/>
  <c r="B560" i="5" s="1"/>
  <c r="D558" i="5"/>
  <c r="B558" i="5" s="1"/>
  <c r="D556" i="5"/>
  <c r="B556" i="5" s="1"/>
  <c r="D554" i="5"/>
  <c r="B554" i="5" s="1"/>
  <c r="D552" i="5"/>
  <c r="B552" i="5" s="1"/>
  <c r="D550" i="5"/>
  <c r="B550" i="5" s="1"/>
  <c r="D548" i="5"/>
  <c r="B548" i="5" s="1"/>
  <c r="D546" i="5"/>
  <c r="B546" i="5" s="1"/>
  <c r="D544" i="5"/>
  <c r="B544" i="5" s="1"/>
  <c r="D542" i="5"/>
  <c r="B542" i="5" s="1"/>
  <c r="D540" i="5"/>
  <c r="B540" i="5" s="1"/>
  <c r="D538" i="5"/>
  <c r="B538" i="5" s="1"/>
  <c r="D536" i="5"/>
  <c r="B536" i="5" s="1"/>
  <c r="D534" i="5"/>
  <c r="B534" i="5" s="1"/>
  <c r="D532" i="5"/>
  <c r="B532" i="5" s="1"/>
  <c r="D530" i="5"/>
  <c r="B530" i="5" s="1"/>
  <c r="D528" i="5"/>
  <c r="B528" i="5" s="1"/>
  <c r="D526" i="5"/>
  <c r="B526" i="5" s="1"/>
  <c r="D524" i="5"/>
  <c r="B524" i="5" s="1"/>
  <c r="D634" i="5"/>
  <c r="B634" i="5" s="1"/>
  <c r="D606" i="5"/>
  <c r="B606" i="5" s="1"/>
  <c r="D590" i="5"/>
  <c r="B590" i="5" s="1"/>
  <c r="D628" i="5"/>
  <c r="B628" i="5" s="1"/>
  <c r="D620" i="5"/>
  <c r="B620" i="5" s="1"/>
  <c r="D608" i="5"/>
  <c r="B608" i="5" s="1"/>
  <c r="D592" i="5"/>
  <c r="B592" i="5" s="1"/>
  <c r="D614" i="5"/>
  <c r="B614" i="5" s="1"/>
  <c r="D598" i="5"/>
  <c r="B598" i="5" s="1"/>
  <c r="D610" i="5"/>
  <c r="B610" i="5" s="1"/>
  <c r="D521" i="5"/>
  <c r="B521" i="5" s="1"/>
  <c r="D516" i="5"/>
  <c r="B516" i="5" s="1"/>
  <c r="D514" i="5"/>
  <c r="B514" i="5" s="1"/>
  <c r="D512" i="5"/>
  <c r="B512" i="5" s="1"/>
  <c r="D510" i="5"/>
  <c r="B510" i="5" s="1"/>
  <c r="D508" i="5"/>
  <c r="B508" i="5" s="1"/>
  <c r="D506" i="5"/>
  <c r="B506" i="5" s="1"/>
  <c r="D504" i="5"/>
  <c r="B504" i="5" s="1"/>
  <c r="D502" i="5"/>
  <c r="B502" i="5" s="1"/>
  <c r="D500" i="5"/>
  <c r="B500" i="5" s="1"/>
  <c r="D498" i="5"/>
  <c r="B498" i="5" s="1"/>
  <c r="D496" i="5"/>
  <c r="B496" i="5" s="1"/>
  <c r="D494" i="5"/>
  <c r="B494" i="5" s="1"/>
  <c r="D492" i="5"/>
  <c r="B492" i="5" s="1"/>
  <c r="D490" i="5"/>
  <c r="B490" i="5" s="1"/>
  <c r="D488" i="5"/>
  <c r="B488" i="5" s="1"/>
  <c r="D486" i="5"/>
  <c r="B486" i="5" s="1"/>
  <c r="D484" i="5"/>
  <c r="B484" i="5" s="1"/>
  <c r="D482" i="5"/>
  <c r="B482" i="5" s="1"/>
  <c r="D480" i="5"/>
  <c r="B480" i="5" s="1"/>
  <c r="D478" i="5"/>
  <c r="B478" i="5" s="1"/>
  <c r="D476" i="5"/>
  <c r="B476" i="5" s="1"/>
  <c r="D474" i="5"/>
  <c r="B474" i="5" s="1"/>
  <c r="D472" i="5"/>
  <c r="B472" i="5" s="1"/>
  <c r="D470" i="5"/>
  <c r="B470" i="5" s="1"/>
  <c r="D468" i="5"/>
  <c r="B468" i="5" s="1"/>
  <c r="D466" i="5"/>
  <c r="B466" i="5" s="1"/>
  <c r="D464" i="5"/>
  <c r="B464" i="5" s="1"/>
  <c r="D462" i="5"/>
  <c r="B462" i="5" s="1"/>
  <c r="D460" i="5"/>
  <c r="B460" i="5" s="1"/>
  <c r="D458" i="5"/>
  <c r="B458" i="5" s="1"/>
  <c r="D456" i="5"/>
  <c r="B456" i="5" s="1"/>
  <c r="D454" i="5"/>
  <c r="B454" i="5" s="1"/>
  <c r="D452" i="5"/>
  <c r="B452" i="5" s="1"/>
  <c r="D450" i="5"/>
  <c r="B450" i="5" s="1"/>
  <c r="D448" i="5"/>
  <c r="B448" i="5" s="1"/>
  <c r="D446" i="5"/>
  <c r="B446" i="5" s="1"/>
  <c r="D444" i="5"/>
  <c r="B444" i="5" s="1"/>
  <c r="D442" i="5"/>
  <c r="B442" i="5" s="1"/>
  <c r="D636" i="5"/>
  <c r="B636" i="5" s="1"/>
  <c r="D630" i="5"/>
  <c r="B630" i="5" s="1"/>
  <c r="D596" i="5"/>
  <c r="B596" i="5" s="1"/>
  <c r="D587" i="5"/>
  <c r="B587" i="5" s="1"/>
  <c r="D583" i="5"/>
  <c r="B583" i="5" s="1"/>
  <c r="D579" i="5"/>
  <c r="B579" i="5" s="1"/>
  <c r="D575" i="5"/>
  <c r="B575" i="5" s="1"/>
  <c r="D571" i="5"/>
  <c r="B571" i="5" s="1"/>
  <c r="D567" i="5"/>
  <c r="B567" i="5" s="1"/>
  <c r="D563" i="5"/>
  <c r="B563" i="5" s="1"/>
  <c r="D559" i="5"/>
  <c r="B559" i="5" s="1"/>
  <c r="D555" i="5"/>
  <c r="B555" i="5" s="1"/>
  <c r="D551" i="5"/>
  <c r="B551" i="5" s="1"/>
  <c r="D547" i="5"/>
  <c r="B547" i="5" s="1"/>
  <c r="D543" i="5"/>
  <c r="B543" i="5" s="1"/>
  <c r="D539" i="5"/>
  <c r="B539" i="5" s="1"/>
  <c r="D535" i="5"/>
  <c r="B535" i="5" s="1"/>
  <c r="D531" i="5"/>
  <c r="B531" i="5" s="1"/>
  <c r="D527" i="5"/>
  <c r="B527" i="5" s="1"/>
  <c r="D518" i="5"/>
  <c r="B518" i="5" s="1"/>
  <c r="D624" i="5"/>
  <c r="B624" i="5" s="1"/>
  <c r="D600" i="5"/>
  <c r="B600" i="5" s="1"/>
  <c r="D523" i="5"/>
  <c r="B523" i="5" s="1"/>
  <c r="D622" i="5"/>
  <c r="B622" i="5" s="1"/>
  <c r="D612" i="5"/>
  <c r="B612" i="5" s="1"/>
  <c r="D585" i="5"/>
  <c r="B585" i="5" s="1"/>
  <c r="D581" i="5"/>
  <c r="B581" i="5" s="1"/>
  <c r="D577" i="5"/>
  <c r="B577" i="5" s="1"/>
  <c r="D573" i="5"/>
  <c r="B573" i="5" s="1"/>
  <c r="D569" i="5"/>
  <c r="B569" i="5" s="1"/>
  <c r="D565" i="5"/>
  <c r="B565" i="5" s="1"/>
  <c r="D561" i="5"/>
  <c r="B561" i="5" s="1"/>
  <c r="D557" i="5"/>
  <c r="B557" i="5" s="1"/>
  <c r="D553" i="5"/>
  <c r="B553" i="5" s="1"/>
  <c r="D549" i="5"/>
  <c r="B549" i="5" s="1"/>
  <c r="D545" i="5"/>
  <c r="B545" i="5" s="1"/>
  <c r="D541" i="5"/>
  <c r="B541" i="5" s="1"/>
  <c r="D537" i="5"/>
  <c r="B537" i="5" s="1"/>
  <c r="D533" i="5"/>
  <c r="B533" i="5" s="1"/>
  <c r="D529" i="5"/>
  <c r="B529" i="5" s="1"/>
  <c r="D525" i="5"/>
  <c r="B525" i="5" s="1"/>
  <c r="D522" i="5"/>
  <c r="B522" i="5" s="1"/>
  <c r="D517" i="5"/>
  <c r="B517" i="5" s="1"/>
  <c r="D520" i="5"/>
  <c r="B520" i="5" s="1"/>
  <c r="D440" i="5"/>
  <c r="B440" i="5" s="1"/>
  <c r="D431" i="5"/>
  <c r="B431" i="5" s="1"/>
  <c r="D515" i="5"/>
  <c r="B515" i="5" s="1"/>
  <c r="D511" i="5"/>
  <c r="B511" i="5" s="1"/>
  <c r="D507" i="5"/>
  <c r="B507" i="5" s="1"/>
  <c r="D503" i="5"/>
  <c r="B503" i="5" s="1"/>
  <c r="D499" i="5"/>
  <c r="B499" i="5" s="1"/>
  <c r="D495" i="5"/>
  <c r="B495" i="5" s="1"/>
  <c r="D491" i="5"/>
  <c r="B491" i="5" s="1"/>
  <c r="D487" i="5"/>
  <c r="B487" i="5" s="1"/>
  <c r="D483" i="5"/>
  <c r="B483" i="5" s="1"/>
  <c r="D479" i="5"/>
  <c r="B479" i="5" s="1"/>
  <c r="D475" i="5"/>
  <c r="B475" i="5" s="1"/>
  <c r="D471" i="5"/>
  <c r="B471" i="5" s="1"/>
  <c r="D467" i="5"/>
  <c r="B467" i="5" s="1"/>
  <c r="D463" i="5"/>
  <c r="B463" i="5" s="1"/>
  <c r="D459" i="5"/>
  <c r="B459" i="5" s="1"/>
  <c r="D455" i="5"/>
  <c r="B455" i="5" s="1"/>
  <c r="D451" i="5"/>
  <c r="B451" i="5" s="1"/>
  <c r="D447" i="5"/>
  <c r="B447" i="5" s="1"/>
  <c r="D443" i="5"/>
  <c r="B443" i="5" s="1"/>
  <c r="D428" i="5"/>
  <c r="B428" i="5" s="1"/>
  <c r="D426" i="5"/>
  <c r="B426" i="5" s="1"/>
  <c r="D424" i="5"/>
  <c r="B424" i="5" s="1"/>
  <c r="D422" i="5"/>
  <c r="B422" i="5" s="1"/>
  <c r="D420" i="5"/>
  <c r="B420" i="5" s="1"/>
  <c r="D418" i="5"/>
  <c r="B418" i="5" s="1"/>
  <c r="D416" i="5"/>
  <c r="B416" i="5" s="1"/>
  <c r="D414" i="5"/>
  <c r="B414" i="5" s="1"/>
  <c r="D412" i="5"/>
  <c r="B412" i="5" s="1"/>
  <c r="D410" i="5"/>
  <c r="B410" i="5" s="1"/>
  <c r="D408" i="5"/>
  <c r="B408" i="5" s="1"/>
  <c r="D406" i="5"/>
  <c r="B406" i="5" s="1"/>
  <c r="D404" i="5"/>
  <c r="B404" i="5" s="1"/>
  <c r="D402" i="5"/>
  <c r="B402" i="5" s="1"/>
  <c r="D400" i="5"/>
  <c r="B400" i="5" s="1"/>
  <c r="D398" i="5"/>
  <c r="B398" i="5" s="1"/>
  <c r="D396" i="5"/>
  <c r="B396" i="5" s="1"/>
  <c r="D394" i="5"/>
  <c r="B394" i="5" s="1"/>
  <c r="D392" i="5"/>
  <c r="B392" i="5" s="1"/>
  <c r="D390" i="5"/>
  <c r="B390" i="5" s="1"/>
  <c r="D388" i="5"/>
  <c r="B388" i="5" s="1"/>
  <c r="D386" i="5"/>
  <c r="B386" i="5" s="1"/>
  <c r="D384" i="5"/>
  <c r="B384" i="5" s="1"/>
  <c r="D382" i="5"/>
  <c r="B382" i="5" s="1"/>
  <c r="D380" i="5"/>
  <c r="B380" i="5" s="1"/>
  <c r="D378" i="5"/>
  <c r="B378" i="5" s="1"/>
  <c r="D376" i="5"/>
  <c r="B376" i="5" s="1"/>
  <c r="D374" i="5"/>
  <c r="B374" i="5" s="1"/>
  <c r="D372" i="5"/>
  <c r="B372" i="5" s="1"/>
  <c r="D370" i="5"/>
  <c r="B370" i="5" s="1"/>
  <c r="D368" i="5"/>
  <c r="B368" i="5" s="1"/>
  <c r="D366" i="5"/>
  <c r="B366" i="5" s="1"/>
  <c r="D364" i="5"/>
  <c r="B364" i="5" s="1"/>
  <c r="D362" i="5"/>
  <c r="B362" i="5" s="1"/>
  <c r="D360" i="5"/>
  <c r="B360" i="5" s="1"/>
  <c r="D358" i="5"/>
  <c r="B358" i="5" s="1"/>
  <c r="D356" i="5"/>
  <c r="B356" i="5" s="1"/>
  <c r="D354" i="5"/>
  <c r="B354" i="5" s="1"/>
  <c r="D352" i="5"/>
  <c r="B352" i="5" s="1"/>
  <c r="D350" i="5"/>
  <c r="B350" i="5" s="1"/>
  <c r="D348" i="5"/>
  <c r="B348" i="5" s="1"/>
  <c r="D346" i="5"/>
  <c r="B346" i="5" s="1"/>
  <c r="D344" i="5"/>
  <c r="B344" i="5" s="1"/>
  <c r="D342" i="5"/>
  <c r="B342" i="5" s="1"/>
  <c r="D616" i="5"/>
  <c r="B616" i="5" s="1"/>
  <c r="D519" i="5"/>
  <c r="B519" i="5" s="1"/>
  <c r="D439" i="5"/>
  <c r="B439" i="5" s="1"/>
  <c r="D436" i="5"/>
  <c r="B436" i="5" s="1"/>
  <c r="D433" i="5"/>
  <c r="B433" i="5" s="1"/>
  <c r="D594" i="5"/>
  <c r="B594" i="5" s="1"/>
  <c r="D513" i="5"/>
  <c r="B513" i="5" s="1"/>
  <c r="D509" i="5"/>
  <c r="B509" i="5" s="1"/>
  <c r="D505" i="5"/>
  <c r="B505" i="5" s="1"/>
  <c r="D501" i="5"/>
  <c r="B501" i="5" s="1"/>
  <c r="D497" i="5"/>
  <c r="B497" i="5" s="1"/>
  <c r="D493" i="5"/>
  <c r="B493" i="5" s="1"/>
  <c r="D489" i="5"/>
  <c r="B489" i="5" s="1"/>
  <c r="D485" i="5"/>
  <c r="B485" i="5" s="1"/>
  <c r="D481" i="5"/>
  <c r="B481" i="5" s="1"/>
  <c r="D477" i="5"/>
  <c r="B477" i="5" s="1"/>
  <c r="D473" i="5"/>
  <c r="B473" i="5" s="1"/>
  <c r="D469" i="5"/>
  <c r="B469" i="5" s="1"/>
  <c r="D465" i="5"/>
  <c r="B465" i="5" s="1"/>
  <c r="D461" i="5"/>
  <c r="B461" i="5" s="1"/>
  <c r="D457" i="5"/>
  <c r="B457" i="5" s="1"/>
  <c r="D453" i="5"/>
  <c r="B453" i="5" s="1"/>
  <c r="D449" i="5"/>
  <c r="B449" i="5" s="1"/>
  <c r="D445" i="5"/>
  <c r="B445" i="5" s="1"/>
  <c r="D441" i="5"/>
  <c r="B441" i="5" s="1"/>
  <c r="D438" i="5"/>
  <c r="B438" i="5" s="1"/>
  <c r="D432" i="5"/>
  <c r="B432" i="5" s="1"/>
  <c r="D427" i="5"/>
  <c r="B427" i="5" s="1"/>
  <c r="D425" i="5"/>
  <c r="B425" i="5" s="1"/>
  <c r="D423" i="5"/>
  <c r="B423" i="5" s="1"/>
  <c r="D421" i="5"/>
  <c r="B421" i="5" s="1"/>
  <c r="D419" i="5"/>
  <c r="B419" i="5" s="1"/>
  <c r="D417" i="5"/>
  <c r="B417" i="5" s="1"/>
  <c r="D415" i="5"/>
  <c r="B415" i="5" s="1"/>
  <c r="D413" i="5"/>
  <c r="B413" i="5" s="1"/>
  <c r="D411" i="5"/>
  <c r="B411" i="5" s="1"/>
  <c r="D409" i="5"/>
  <c r="B409" i="5" s="1"/>
  <c r="D407" i="5"/>
  <c r="B407" i="5" s="1"/>
  <c r="D405" i="5"/>
  <c r="B405" i="5" s="1"/>
  <c r="D403" i="5"/>
  <c r="B403" i="5" s="1"/>
  <c r="D401" i="5"/>
  <c r="B401" i="5" s="1"/>
  <c r="D399" i="5"/>
  <c r="B399" i="5" s="1"/>
  <c r="D397" i="5"/>
  <c r="B397" i="5" s="1"/>
  <c r="D395" i="5"/>
  <c r="B395" i="5" s="1"/>
  <c r="D393" i="5"/>
  <c r="B393" i="5" s="1"/>
  <c r="D391" i="5"/>
  <c r="B391" i="5" s="1"/>
  <c r="D389" i="5"/>
  <c r="B389" i="5" s="1"/>
  <c r="D387" i="5"/>
  <c r="B387" i="5" s="1"/>
  <c r="D385" i="5"/>
  <c r="B385" i="5" s="1"/>
  <c r="D383" i="5"/>
  <c r="B383" i="5" s="1"/>
  <c r="D381" i="5"/>
  <c r="B381" i="5" s="1"/>
  <c r="D379" i="5"/>
  <c r="B379" i="5" s="1"/>
  <c r="D377" i="5"/>
  <c r="B377" i="5" s="1"/>
  <c r="D375" i="5"/>
  <c r="B375" i="5" s="1"/>
  <c r="D373" i="5"/>
  <c r="B373" i="5" s="1"/>
  <c r="D371" i="5"/>
  <c r="B371" i="5" s="1"/>
  <c r="D369" i="5"/>
  <c r="B369" i="5" s="1"/>
  <c r="D367" i="5"/>
  <c r="B367" i="5" s="1"/>
  <c r="D365" i="5"/>
  <c r="B365" i="5" s="1"/>
  <c r="D363" i="5"/>
  <c r="B363" i="5" s="1"/>
  <c r="D361" i="5"/>
  <c r="B361" i="5" s="1"/>
  <c r="D359" i="5"/>
  <c r="B359" i="5" s="1"/>
  <c r="D357" i="5"/>
  <c r="B357" i="5" s="1"/>
  <c r="D355" i="5"/>
  <c r="B355" i="5" s="1"/>
  <c r="D353" i="5"/>
  <c r="B353" i="5" s="1"/>
  <c r="D351" i="5"/>
  <c r="B351" i="5" s="1"/>
  <c r="D349" i="5"/>
  <c r="B349" i="5" s="1"/>
  <c r="D347" i="5"/>
  <c r="B347" i="5" s="1"/>
  <c r="D345" i="5"/>
  <c r="B345" i="5" s="1"/>
  <c r="H345" i="5" s="1"/>
  <c r="D343" i="5"/>
  <c r="B343" i="5" s="1"/>
  <c r="D341" i="5"/>
  <c r="B341" i="5" s="1"/>
  <c r="D430" i="5"/>
  <c r="B430" i="5" s="1"/>
  <c r="D435" i="5"/>
  <c r="B435" i="5" s="1"/>
  <c r="D340" i="5"/>
  <c r="B340" i="5" s="1"/>
  <c r="D338" i="5"/>
  <c r="B338" i="5" s="1"/>
  <c r="D336" i="5"/>
  <c r="B336" i="5" s="1"/>
  <c r="D334" i="5"/>
  <c r="B334" i="5" s="1"/>
  <c r="D332" i="5"/>
  <c r="B332" i="5" s="1"/>
  <c r="D330" i="5"/>
  <c r="B330" i="5" s="1"/>
  <c r="D328" i="5"/>
  <c r="B328" i="5" s="1"/>
  <c r="D326" i="5"/>
  <c r="B326" i="5" s="1"/>
  <c r="D324" i="5"/>
  <c r="B324" i="5" s="1"/>
  <c r="D322" i="5"/>
  <c r="B322" i="5" s="1"/>
  <c r="D320" i="5"/>
  <c r="B320" i="5" s="1"/>
  <c r="D318" i="5"/>
  <c r="B318" i="5" s="1"/>
  <c r="D316" i="5"/>
  <c r="B316" i="5" s="1"/>
  <c r="D314" i="5"/>
  <c r="B314" i="5" s="1"/>
  <c r="D312" i="5"/>
  <c r="B312" i="5" s="1"/>
  <c r="D310" i="5"/>
  <c r="B310" i="5" s="1"/>
  <c r="D308" i="5"/>
  <c r="B308" i="5" s="1"/>
  <c r="D306" i="5"/>
  <c r="B306" i="5" s="1"/>
  <c r="D304" i="5"/>
  <c r="B304" i="5" s="1"/>
  <c r="D302" i="5"/>
  <c r="B302" i="5" s="1"/>
  <c r="D300" i="5"/>
  <c r="B300" i="5" s="1"/>
  <c r="D298" i="5"/>
  <c r="B298" i="5" s="1"/>
  <c r="D296" i="5"/>
  <c r="B296" i="5" s="1"/>
  <c r="D294" i="5"/>
  <c r="B294" i="5" s="1"/>
  <c r="D292" i="5"/>
  <c r="B292" i="5" s="1"/>
  <c r="D290" i="5"/>
  <c r="B290" i="5" s="1"/>
  <c r="D288" i="5"/>
  <c r="B288" i="5" s="1"/>
  <c r="D286" i="5"/>
  <c r="B286" i="5" s="1"/>
  <c r="D284" i="5"/>
  <c r="B284" i="5" s="1"/>
  <c r="D282" i="5"/>
  <c r="B282" i="5" s="1"/>
  <c r="D280" i="5"/>
  <c r="B280" i="5" s="1"/>
  <c r="D278" i="5"/>
  <c r="B278" i="5" s="1"/>
  <c r="D276" i="5"/>
  <c r="B276" i="5" s="1"/>
  <c r="D274" i="5"/>
  <c r="B274" i="5" s="1"/>
  <c r="D272" i="5"/>
  <c r="B272" i="5" s="1"/>
  <c r="D270" i="5"/>
  <c r="B270" i="5" s="1"/>
  <c r="D268" i="5"/>
  <c r="B268" i="5" s="1"/>
  <c r="D266" i="5"/>
  <c r="B266" i="5" s="1"/>
  <c r="D264" i="5"/>
  <c r="B264" i="5" s="1"/>
  <c r="D262" i="5"/>
  <c r="B262" i="5" s="1"/>
  <c r="D260" i="5"/>
  <c r="B260" i="5" s="1"/>
  <c r="D258" i="5"/>
  <c r="B258" i="5" s="1"/>
  <c r="D256" i="5"/>
  <c r="B256" i="5" s="1"/>
  <c r="D254" i="5"/>
  <c r="B254" i="5" s="1"/>
  <c r="D252" i="5"/>
  <c r="B252" i="5" s="1"/>
  <c r="D250" i="5"/>
  <c r="B250" i="5" s="1"/>
  <c r="D248" i="5"/>
  <c r="B248" i="5" s="1"/>
  <c r="D246" i="5"/>
  <c r="B246" i="5" s="1"/>
  <c r="D244" i="5"/>
  <c r="B244" i="5" s="1"/>
  <c r="D242" i="5"/>
  <c r="B242" i="5" s="1"/>
  <c r="D240" i="5"/>
  <c r="B240" i="5" s="1"/>
  <c r="D238" i="5"/>
  <c r="B238" i="5" s="1"/>
  <c r="D236" i="5"/>
  <c r="B236" i="5" s="1"/>
  <c r="D234" i="5"/>
  <c r="B234" i="5" s="1"/>
  <c r="D232" i="5"/>
  <c r="B232" i="5" s="1"/>
  <c r="D230" i="5"/>
  <c r="B230" i="5" s="1"/>
  <c r="D228" i="5"/>
  <c r="B228" i="5" s="1"/>
  <c r="D226" i="5"/>
  <c r="B226" i="5" s="1"/>
  <c r="D224" i="5"/>
  <c r="B224" i="5" s="1"/>
  <c r="D222" i="5"/>
  <c r="B222" i="5" s="1"/>
  <c r="D220" i="5"/>
  <c r="B220" i="5" s="1"/>
  <c r="D218" i="5"/>
  <c r="B218" i="5" s="1"/>
  <c r="D216" i="5"/>
  <c r="B216" i="5" s="1"/>
  <c r="D214" i="5"/>
  <c r="B214" i="5" s="1"/>
  <c r="D212" i="5"/>
  <c r="B212" i="5" s="1"/>
  <c r="D210" i="5"/>
  <c r="B210" i="5" s="1"/>
  <c r="D208" i="5"/>
  <c r="B208" i="5" s="1"/>
  <c r="D206" i="5"/>
  <c r="B206" i="5" s="1"/>
  <c r="D204" i="5"/>
  <c r="B204" i="5" s="1"/>
  <c r="D202" i="5"/>
  <c r="B202" i="5" s="1"/>
  <c r="D200" i="5"/>
  <c r="B200" i="5" s="1"/>
  <c r="D198" i="5"/>
  <c r="B198" i="5" s="1"/>
  <c r="D196" i="5"/>
  <c r="B196" i="5" s="1"/>
  <c r="D194" i="5"/>
  <c r="B194" i="5" s="1"/>
  <c r="D192" i="5"/>
  <c r="B192" i="5" s="1"/>
  <c r="D190" i="5"/>
  <c r="B190" i="5" s="1"/>
  <c r="D188" i="5"/>
  <c r="B188" i="5" s="1"/>
  <c r="D186" i="5"/>
  <c r="B186" i="5" s="1"/>
  <c r="D184" i="5"/>
  <c r="B184" i="5" s="1"/>
  <c r="D182" i="5"/>
  <c r="B182" i="5" s="1"/>
  <c r="D180" i="5"/>
  <c r="B180" i="5" s="1"/>
  <c r="D178" i="5"/>
  <c r="B178" i="5" s="1"/>
  <c r="D176" i="5"/>
  <c r="B176" i="5" s="1"/>
  <c r="D174" i="5"/>
  <c r="B174" i="5" s="1"/>
  <c r="D172" i="5"/>
  <c r="B172" i="5" s="1"/>
  <c r="D170" i="5"/>
  <c r="B170" i="5" s="1"/>
  <c r="D168" i="5"/>
  <c r="B168" i="5" s="1"/>
  <c r="D166" i="5"/>
  <c r="B166" i="5" s="1"/>
  <c r="D164" i="5"/>
  <c r="B164" i="5" s="1"/>
  <c r="D162" i="5"/>
  <c r="B162" i="5" s="1"/>
  <c r="D160" i="5"/>
  <c r="B160" i="5" s="1"/>
  <c r="D158" i="5"/>
  <c r="B158" i="5" s="1"/>
  <c r="D156" i="5"/>
  <c r="B156" i="5" s="1"/>
  <c r="D154" i="5"/>
  <c r="B154" i="5" s="1"/>
  <c r="D152" i="5"/>
  <c r="B152" i="5" s="1"/>
  <c r="D150" i="5"/>
  <c r="B150" i="5" s="1"/>
  <c r="D148" i="5"/>
  <c r="B148" i="5" s="1"/>
  <c r="D146" i="5"/>
  <c r="B146" i="5" s="1"/>
  <c r="D144" i="5"/>
  <c r="B144" i="5" s="1"/>
  <c r="D142" i="5"/>
  <c r="B142" i="5" s="1"/>
  <c r="D140" i="5"/>
  <c r="B140" i="5" s="1"/>
  <c r="D138" i="5"/>
  <c r="B138" i="5" s="1"/>
  <c r="D136" i="5"/>
  <c r="B136" i="5" s="1"/>
  <c r="D134" i="5"/>
  <c r="B134" i="5" s="1"/>
  <c r="D132" i="5"/>
  <c r="B132" i="5" s="1"/>
  <c r="D130" i="5"/>
  <c r="B130" i="5" s="1"/>
  <c r="D128" i="5"/>
  <c r="B128" i="5" s="1"/>
  <c r="D126" i="5"/>
  <c r="B126" i="5" s="1"/>
  <c r="D124" i="5"/>
  <c r="B124" i="5" s="1"/>
  <c r="D122" i="5"/>
  <c r="B122" i="5" s="1"/>
  <c r="D120" i="5"/>
  <c r="B120" i="5" s="1"/>
  <c r="D118" i="5"/>
  <c r="B118" i="5" s="1"/>
  <c r="D116" i="5"/>
  <c r="B116" i="5" s="1"/>
  <c r="D114" i="5"/>
  <c r="B114" i="5" s="1"/>
  <c r="D112" i="5"/>
  <c r="B112" i="5" s="1"/>
  <c r="D110" i="5"/>
  <c r="B110" i="5" s="1"/>
  <c r="D108" i="5"/>
  <c r="B108" i="5" s="1"/>
  <c r="D106" i="5"/>
  <c r="B106" i="5" s="1"/>
  <c r="D104" i="5"/>
  <c r="B104" i="5" s="1"/>
  <c r="D102" i="5"/>
  <c r="B102" i="5" s="1"/>
  <c r="D100" i="5"/>
  <c r="B100" i="5" s="1"/>
  <c r="D98" i="5"/>
  <c r="B98" i="5" s="1"/>
  <c r="D96" i="5"/>
  <c r="B96" i="5" s="1"/>
  <c r="D94" i="5"/>
  <c r="B94" i="5" s="1"/>
  <c r="D429" i="5"/>
  <c r="B429" i="5" s="1"/>
  <c r="D339" i="5"/>
  <c r="B339" i="5" s="1"/>
  <c r="D337" i="5"/>
  <c r="B337" i="5" s="1"/>
  <c r="D335" i="5"/>
  <c r="B335" i="5" s="1"/>
  <c r="D333" i="5"/>
  <c r="B333" i="5" s="1"/>
  <c r="D331" i="5"/>
  <c r="B331" i="5" s="1"/>
  <c r="D329" i="5"/>
  <c r="B329" i="5" s="1"/>
  <c r="D327" i="5"/>
  <c r="B327" i="5" s="1"/>
  <c r="D325" i="5"/>
  <c r="B325" i="5" s="1"/>
  <c r="D323" i="5"/>
  <c r="B323" i="5" s="1"/>
  <c r="D321" i="5"/>
  <c r="B321" i="5" s="1"/>
  <c r="D319" i="5"/>
  <c r="B319" i="5" s="1"/>
  <c r="D317" i="5"/>
  <c r="B317" i="5" s="1"/>
  <c r="D315" i="5"/>
  <c r="B315" i="5" s="1"/>
  <c r="D313" i="5"/>
  <c r="B313" i="5" s="1"/>
  <c r="D311" i="5"/>
  <c r="B311" i="5" s="1"/>
  <c r="D309" i="5"/>
  <c r="B309" i="5" s="1"/>
  <c r="D307" i="5"/>
  <c r="B307" i="5" s="1"/>
  <c r="D305" i="5"/>
  <c r="B305" i="5" s="1"/>
  <c r="D303" i="5"/>
  <c r="B303" i="5" s="1"/>
  <c r="D301" i="5"/>
  <c r="B301" i="5" s="1"/>
  <c r="D299" i="5"/>
  <c r="B299" i="5" s="1"/>
  <c r="D297" i="5"/>
  <c r="B297" i="5" s="1"/>
  <c r="D295" i="5"/>
  <c r="B295" i="5" s="1"/>
  <c r="D293" i="5"/>
  <c r="B293" i="5" s="1"/>
  <c r="D291" i="5"/>
  <c r="B291" i="5" s="1"/>
  <c r="D289" i="5"/>
  <c r="B289" i="5" s="1"/>
  <c r="D287" i="5"/>
  <c r="B287" i="5" s="1"/>
  <c r="D285" i="5"/>
  <c r="B285" i="5" s="1"/>
  <c r="D283" i="5"/>
  <c r="B283" i="5" s="1"/>
  <c r="D281" i="5"/>
  <c r="B281" i="5" s="1"/>
  <c r="D279" i="5"/>
  <c r="B279" i="5" s="1"/>
  <c r="D277" i="5"/>
  <c r="B277" i="5" s="1"/>
  <c r="D275" i="5"/>
  <c r="B275" i="5" s="1"/>
  <c r="D273" i="5"/>
  <c r="B273" i="5" s="1"/>
  <c r="D271" i="5"/>
  <c r="B271" i="5" s="1"/>
  <c r="D269" i="5"/>
  <c r="B269" i="5" s="1"/>
  <c r="D267" i="5"/>
  <c r="B267" i="5" s="1"/>
  <c r="D265" i="5"/>
  <c r="B265" i="5" s="1"/>
  <c r="D263" i="5"/>
  <c r="B263" i="5" s="1"/>
  <c r="D261" i="5"/>
  <c r="B261" i="5" s="1"/>
  <c r="D259" i="5"/>
  <c r="B259" i="5" s="1"/>
  <c r="D257" i="5"/>
  <c r="B257" i="5" s="1"/>
  <c r="D255" i="5"/>
  <c r="B255" i="5" s="1"/>
  <c r="D253" i="5"/>
  <c r="B253" i="5" s="1"/>
  <c r="D251" i="5"/>
  <c r="B251" i="5" s="1"/>
  <c r="D249" i="5"/>
  <c r="B249" i="5" s="1"/>
  <c r="D247" i="5"/>
  <c r="B247" i="5" s="1"/>
  <c r="D245" i="5"/>
  <c r="B245" i="5" s="1"/>
  <c r="D243" i="5"/>
  <c r="B243" i="5" s="1"/>
  <c r="D241" i="5"/>
  <c r="B241" i="5" s="1"/>
  <c r="D239" i="5"/>
  <c r="B239" i="5" s="1"/>
  <c r="D237" i="5"/>
  <c r="B237" i="5" s="1"/>
  <c r="D235" i="5"/>
  <c r="B235" i="5" s="1"/>
  <c r="D233" i="5"/>
  <c r="B233" i="5" s="1"/>
  <c r="D231" i="5"/>
  <c r="B231" i="5" s="1"/>
  <c r="D229" i="5"/>
  <c r="B229" i="5" s="1"/>
  <c r="D227" i="5"/>
  <c r="B227" i="5" s="1"/>
  <c r="D225" i="5"/>
  <c r="B225" i="5" s="1"/>
  <c r="D223" i="5"/>
  <c r="B223" i="5" s="1"/>
  <c r="D221" i="5"/>
  <c r="B221" i="5" s="1"/>
  <c r="D219" i="5"/>
  <c r="B219" i="5" s="1"/>
  <c r="D217" i="5"/>
  <c r="B217" i="5" s="1"/>
  <c r="D215" i="5"/>
  <c r="B215" i="5" s="1"/>
  <c r="D213" i="5"/>
  <c r="B213" i="5" s="1"/>
  <c r="D211" i="5"/>
  <c r="B211" i="5" s="1"/>
  <c r="D209" i="5"/>
  <c r="B209" i="5" s="1"/>
  <c r="D207" i="5"/>
  <c r="B207" i="5" s="1"/>
  <c r="D205" i="5"/>
  <c r="B205" i="5" s="1"/>
  <c r="D203" i="5"/>
  <c r="B203" i="5" s="1"/>
  <c r="D201" i="5"/>
  <c r="B201" i="5" s="1"/>
  <c r="D199" i="5"/>
  <c r="B199" i="5" s="1"/>
  <c r="D197" i="5"/>
  <c r="B197" i="5" s="1"/>
  <c r="D195" i="5"/>
  <c r="B195" i="5" s="1"/>
  <c r="D193" i="5"/>
  <c r="B193" i="5" s="1"/>
  <c r="D191" i="5"/>
  <c r="B191" i="5" s="1"/>
  <c r="D189" i="5"/>
  <c r="B189" i="5" s="1"/>
  <c r="D187" i="5"/>
  <c r="B187" i="5" s="1"/>
  <c r="D185" i="5"/>
  <c r="B185" i="5" s="1"/>
  <c r="D183" i="5"/>
  <c r="B183" i="5" s="1"/>
  <c r="D181" i="5"/>
  <c r="B181" i="5" s="1"/>
  <c r="D179" i="5"/>
  <c r="B179" i="5" s="1"/>
  <c r="D177" i="5"/>
  <c r="B177" i="5" s="1"/>
  <c r="D175" i="5"/>
  <c r="B175" i="5" s="1"/>
  <c r="D173" i="5"/>
  <c r="B173" i="5" s="1"/>
  <c r="D171" i="5"/>
  <c r="B171" i="5" s="1"/>
  <c r="D169" i="5"/>
  <c r="B169" i="5" s="1"/>
  <c r="D167" i="5"/>
  <c r="B167" i="5" s="1"/>
  <c r="D165" i="5"/>
  <c r="B165" i="5" s="1"/>
  <c r="D163" i="5"/>
  <c r="B163" i="5" s="1"/>
  <c r="D161" i="5"/>
  <c r="B161" i="5" s="1"/>
  <c r="D159" i="5"/>
  <c r="B159" i="5" s="1"/>
  <c r="D157" i="5"/>
  <c r="B157" i="5" s="1"/>
  <c r="D155" i="5"/>
  <c r="B155" i="5" s="1"/>
  <c r="D153" i="5"/>
  <c r="B153" i="5" s="1"/>
  <c r="D151" i="5"/>
  <c r="B151" i="5" s="1"/>
  <c r="D149" i="5"/>
  <c r="B149" i="5" s="1"/>
  <c r="D147" i="5"/>
  <c r="B147" i="5" s="1"/>
  <c r="D145" i="5"/>
  <c r="B145" i="5" s="1"/>
  <c r="D143" i="5"/>
  <c r="B143" i="5" s="1"/>
  <c r="D141" i="5"/>
  <c r="B141" i="5" s="1"/>
  <c r="D139" i="5"/>
  <c r="B139" i="5" s="1"/>
  <c r="D137" i="5"/>
  <c r="B137" i="5" s="1"/>
  <c r="D135" i="5"/>
  <c r="B135" i="5" s="1"/>
  <c r="D133" i="5"/>
  <c r="B133" i="5" s="1"/>
  <c r="D131" i="5"/>
  <c r="B131" i="5" s="1"/>
  <c r="D129" i="5"/>
  <c r="B129" i="5" s="1"/>
  <c r="D127" i="5"/>
  <c r="B127" i="5" s="1"/>
  <c r="D125" i="5"/>
  <c r="B125" i="5" s="1"/>
  <c r="D123" i="5"/>
  <c r="B123" i="5" s="1"/>
  <c r="D121" i="5"/>
  <c r="B121" i="5" s="1"/>
  <c r="D119" i="5"/>
  <c r="B119" i="5" s="1"/>
  <c r="D117" i="5"/>
  <c r="B117" i="5" s="1"/>
  <c r="D115" i="5"/>
  <c r="B115" i="5" s="1"/>
  <c r="D113" i="5"/>
  <c r="B113" i="5" s="1"/>
  <c r="D111" i="5"/>
  <c r="B111" i="5" s="1"/>
  <c r="D109" i="5"/>
  <c r="B109" i="5" s="1"/>
  <c r="D107" i="5"/>
  <c r="B107" i="5" s="1"/>
  <c r="D105" i="5"/>
  <c r="B105" i="5" s="1"/>
  <c r="D103" i="5"/>
  <c r="B103" i="5" s="1"/>
  <c r="D101" i="5"/>
  <c r="B101" i="5" s="1"/>
  <c r="D99" i="5"/>
  <c r="B99" i="5" s="1"/>
  <c r="D97" i="5"/>
  <c r="B97" i="5" s="1"/>
  <c r="D95" i="5"/>
  <c r="B95" i="5" s="1"/>
  <c r="D93" i="5"/>
  <c r="B93" i="5" s="1"/>
  <c r="D6" i="5"/>
  <c r="B6" i="5" s="1"/>
  <c r="D8" i="5"/>
  <c r="B8" i="5" s="1"/>
  <c r="D10" i="5"/>
  <c r="B10" i="5" s="1"/>
  <c r="D12" i="5"/>
  <c r="B12" i="5" s="1"/>
  <c r="D14" i="5"/>
  <c r="B14" i="5" s="1"/>
  <c r="D16" i="5"/>
  <c r="B16" i="5" s="1"/>
  <c r="D18" i="5"/>
  <c r="B18" i="5" s="1"/>
  <c r="D20" i="5"/>
  <c r="B20" i="5" s="1"/>
  <c r="D22" i="5"/>
  <c r="B22" i="5" s="1"/>
  <c r="D24" i="5"/>
  <c r="B24" i="5" s="1"/>
  <c r="D26" i="5"/>
  <c r="B26" i="5" s="1"/>
  <c r="D28" i="5"/>
  <c r="B28" i="5" s="1"/>
  <c r="D30" i="5"/>
  <c r="B30" i="5" s="1"/>
  <c r="D32" i="5"/>
  <c r="B32" i="5" s="1"/>
  <c r="D34" i="5"/>
  <c r="B34" i="5" s="1"/>
  <c r="D36" i="5"/>
  <c r="B36" i="5" s="1"/>
  <c r="D38" i="5"/>
  <c r="B38" i="5" s="1"/>
  <c r="D40" i="5"/>
  <c r="B40" i="5" s="1"/>
  <c r="D42" i="5"/>
  <c r="B42" i="5" s="1"/>
  <c r="D44" i="5"/>
  <c r="B44" i="5" s="1"/>
  <c r="D46" i="5"/>
  <c r="B46" i="5" s="1"/>
  <c r="D48" i="5"/>
  <c r="B48" i="5" s="1"/>
  <c r="D50" i="5"/>
  <c r="B50" i="5" s="1"/>
  <c r="D52" i="5"/>
  <c r="B52" i="5" s="1"/>
  <c r="D54" i="5"/>
  <c r="B54" i="5" s="1"/>
  <c r="D56" i="5"/>
  <c r="B56" i="5" s="1"/>
  <c r="D58" i="5"/>
  <c r="B58" i="5" s="1"/>
  <c r="D60" i="5"/>
  <c r="B60" i="5" s="1"/>
  <c r="D62" i="5"/>
  <c r="B62" i="5" s="1"/>
  <c r="D64" i="5"/>
  <c r="B64" i="5" s="1"/>
  <c r="D66" i="5"/>
  <c r="B66" i="5" s="1"/>
  <c r="D68" i="5"/>
  <c r="B68" i="5" s="1"/>
  <c r="D70" i="5"/>
  <c r="B70" i="5" s="1"/>
  <c r="D72" i="5"/>
  <c r="B72" i="5" s="1"/>
  <c r="D74" i="5"/>
  <c r="B74" i="5" s="1"/>
  <c r="D76" i="5"/>
  <c r="B76" i="5" s="1"/>
  <c r="D78" i="5"/>
  <c r="B78" i="5" s="1"/>
  <c r="D80" i="5"/>
  <c r="B80" i="5" s="1"/>
  <c r="D82" i="5"/>
  <c r="B82" i="5" s="1"/>
  <c r="D84" i="5"/>
  <c r="B84" i="5" s="1"/>
  <c r="D86" i="5"/>
  <c r="B86" i="5" s="1"/>
  <c r="D88" i="5"/>
  <c r="B88" i="5" s="1"/>
  <c r="D90" i="5"/>
  <c r="B90" i="5" s="1"/>
  <c r="D5" i="5"/>
  <c r="B5" i="5" s="1"/>
  <c r="D7" i="5"/>
  <c r="B7" i="5" s="1"/>
  <c r="D9" i="5"/>
  <c r="B9" i="5" s="1"/>
  <c r="D11" i="5"/>
  <c r="B11" i="5" s="1"/>
  <c r="D13" i="5"/>
  <c r="B13" i="5" s="1"/>
  <c r="D15" i="5"/>
  <c r="B15" i="5" s="1"/>
  <c r="D17" i="5"/>
  <c r="B17" i="5" s="1"/>
  <c r="D19" i="5"/>
  <c r="B19" i="5" s="1"/>
  <c r="D21" i="5"/>
  <c r="B21" i="5" s="1"/>
  <c r="D23" i="5"/>
  <c r="B23" i="5" s="1"/>
  <c r="D25" i="5"/>
  <c r="B25" i="5" s="1"/>
  <c r="D27" i="5"/>
  <c r="B27" i="5" s="1"/>
  <c r="D29" i="5"/>
  <c r="B29" i="5" s="1"/>
  <c r="D31" i="5"/>
  <c r="B31" i="5" s="1"/>
  <c r="D33" i="5"/>
  <c r="B33" i="5" s="1"/>
  <c r="D35" i="5"/>
  <c r="B35" i="5" s="1"/>
  <c r="D37" i="5"/>
  <c r="B37" i="5" s="1"/>
  <c r="D39" i="5"/>
  <c r="B39" i="5" s="1"/>
  <c r="D41" i="5"/>
  <c r="B41" i="5" s="1"/>
  <c r="D43" i="5"/>
  <c r="B43" i="5" s="1"/>
  <c r="D45" i="5"/>
  <c r="B45" i="5" s="1"/>
  <c r="D47" i="5"/>
  <c r="B47" i="5" s="1"/>
  <c r="D49" i="5"/>
  <c r="B49" i="5" s="1"/>
  <c r="D51" i="5"/>
  <c r="B51" i="5" s="1"/>
  <c r="D53" i="5"/>
  <c r="B53" i="5" s="1"/>
  <c r="D55" i="5"/>
  <c r="B55" i="5" s="1"/>
  <c r="D57" i="5"/>
  <c r="B57" i="5" s="1"/>
  <c r="D59" i="5"/>
  <c r="B59" i="5" s="1"/>
  <c r="D61" i="5"/>
  <c r="B61" i="5" s="1"/>
  <c r="D63" i="5"/>
  <c r="B63" i="5" s="1"/>
  <c r="D65" i="5"/>
  <c r="B65" i="5" s="1"/>
  <c r="D67" i="5"/>
  <c r="B67" i="5" s="1"/>
  <c r="D69" i="5"/>
  <c r="B69" i="5" s="1"/>
  <c r="D71" i="5"/>
  <c r="B71" i="5" s="1"/>
  <c r="D73" i="5"/>
  <c r="B73" i="5" s="1"/>
  <c r="D75" i="5"/>
  <c r="B75" i="5" s="1"/>
  <c r="D77" i="5"/>
  <c r="B77" i="5" s="1"/>
  <c r="D79" i="5"/>
  <c r="B79" i="5" s="1"/>
  <c r="D81" i="5"/>
  <c r="B81" i="5" s="1"/>
  <c r="D83" i="5"/>
  <c r="B83" i="5" s="1"/>
  <c r="D85" i="5"/>
  <c r="B85" i="5" s="1"/>
  <c r="D87" i="5"/>
  <c r="B87" i="5" s="1"/>
  <c r="D89" i="5"/>
  <c r="B89" i="5" s="1"/>
  <c r="D91" i="5"/>
  <c r="B91" i="5" s="1"/>
  <c r="C3" i="2"/>
  <c r="H568" i="5" l="1"/>
  <c r="H20" i="5"/>
  <c r="H492" i="5"/>
  <c r="H40" i="5"/>
  <c r="H528" i="5"/>
  <c r="H476" i="5"/>
  <c r="H123" i="5"/>
  <c r="H155" i="5"/>
  <c r="H187" i="5"/>
  <c r="H219" i="5"/>
  <c r="H251" i="5"/>
  <c r="H283" i="5"/>
  <c r="H315" i="5"/>
  <c r="H462" i="5"/>
  <c r="H576" i="5"/>
  <c r="H105" i="5"/>
  <c r="H137" i="5"/>
  <c r="H169" i="5"/>
  <c r="H201" i="5"/>
  <c r="H233" i="5"/>
  <c r="H265" i="5"/>
  <c r="H297" i="5"/>
  <c r="H329" i="5"/>
  <c r="H548" i="5"/>
  <c r="H11" i="5"/>
  <c r="H27" i="5"/>
  <c r="H43" i="5"/>
  <c r="H59" i="5"/>
  <c r="H75" i="5"/>
  <c r="H91" i="5"/>
  <c r="H521" i="5"/>
  <c r="H367" i="5"/>
  <c r="H399" i="5"/>
  <c r="H432" i="5"/>
  <c r="H493" i="5"/>
  <c r="H365" i="5"/>
  <c r="H397" i="5"/>
  <c r="H441" i="5"/>
  <c r="H505" i="5"/>
  <c r="H98" i="5"/>
  <c r="H114" i="5"/>
  <c r="H130" i="5"/>
  <c r="H146" i="5"/>
  <c r="H162" i="5"/>
  <c r="H178" i="5"/>
  <c r="H194" i="5"/>
  <c r="H210" i="5"/>
  <c r="H226" i="5"/>
  <c r="H242" i="5"/>
  <c r="H258" i="5"/>
  <c r="H274" i="5"/>
  <c r="H290" i="5"/>
  <c r="H306" i="5"/>
  <c r="H322" i="5"/>
  <c r="H338" i="5"/>
  <c r="H474" i="5"/>
  <c r="H556" i="5"/>
  <c r="H537" i="5"/>
  <c r="H612" i="5"/>
  <c r="H533" i="5"/>
  <c r="H352" i="5"/>
  <c r="H368" i="5"/>
  <c r="H384" i="5"/>
  <c r="H400" i="5"/>
  <c r="H416" i="5"/>
  <c r="H447" i="5"/>
  <c r="H479" i="5"/>
  <c r="H511" i="5"/>
  <c r="H574" i="5"/>
  <c r="H609" i="5"/>
  <c r="H527" i="5"/>
  <c r="H559" i="5"/>
  <c r="H596" i="5"/>
  <c r="H643" i="5"/>
  <c r="H675" i="5"/>
  <c r="H707" i="5"/>
  <c r="H739" i="5"/>
  <c r="H617" i="5"/>
  <c r="H637" i="5"/>
  <c r="H669" i="5"/>
  <c r="H701" i="5"/>
  <c r="H733" i="5"/>
  <c r="H597" i="5"/>
  <c r="H638" i="5"/>
  <c r="H654" i="5"/>
  <c r="H670" i="5"/>
  <c r="H686" i="5"/>
  <c r="H702" i="5"/>
  <c r="H718" i="5"/>
  <c r="H734" i="5"/>
  <c r="H750" i="5"/>
  <c r="H90" i="5"/>
  <c r="H58" i="5"/>
  <c r="H63" i="5"/>
  <c r="H79" i="5"/>
  <c r="H538" i="5"/>
  <c r="H102" i="5"/>
  <c r="H118" i="5"/>
  <c r="H134" i="5"/>
  <c r="H150" i="5"/>
  <c r="H166" i="5"/>
  <c r="H182" i="5"/>
  <c r="H198" i="5"/>
  <c r="H214" i="5"/>
  <c r="H230" i="5"/>
  <c r="H246" i="5"/>
  <c r="H262" i="5"/>
  <c r="H278" i="5"/>
  <c r="H294" i="5"/>
  <c r="H310" i="5"/>
  <c r="H326" i="5"/>
  <c r="H343" i="5"/>
  <c r="H490" i="5"/>
  <c r="H588" i="5"/>
  <c r="H553" i="5"/>
  <c r="H549" i="5"/>
  <c r="H356" i="5"/>
  <c r="H372" i="5"/>
  <c r="H388" i="5"/>
  <c r="H404" i="5"/>
  <c r="H420" i="5"/>
  <c r="H455" i="5"/>
  <c r="H487" i="5"/>
  <c r="H526" i="5"/>
  <c r="H618" i="5"/>
  <c r="H635" i="5"/>
  <c r="H535" i="5"/>
  <c r="H567" i="5"/>
  <c r="H591" i="5"/>
  <c r="H651" i="5"/>
  <c r="H683" i="5"/>
  <c r="H715" i="5"/>
  <c r="H747" i="5"/>
  <c r="H592" i="5"/>
  <c r="H645" i="5"/>
  <c r="H677" i="5"/>
  <c r="H709" i="5"/>
  <c r="H741" i="5"/>
  <c r="H613" i="5"/>
  <c r="H642" i="5"/>
  <c r="H658" i="5"/>
  <c r="H674" i="5"/>
  <c r="H690" i="5"/>
  <c r="H706" i="5"/>
  <c r="H722" i="5"/>
  <c r="H738" i="5"/>
  <c r="H754" i="5"/>
  <c r="H28" i="5"/>
  <c r="H86" i="5"/>
  <c r="H15" i="5"/>
  <c r="H344" i="5"/>
  <c r="H78" i="5"/>
  <c r="H560" i="5"/>
  <c r="H10" i="5"/>
  <c r="H54" i="5"/>
  <c r="H48" i="5"/>
  <c r="H103" i="5"/>
  <c r="H135" i="5"/>
  <c r="H167" i="5"/>
  <c r="H199" i="5"/>
  <c r="H231" i="5"/>
  <c r="H263" i="5"/>
  <c r="H295" i="5"/>
  <c r="H327" i="5"/>
  <c r="H510" i="5"/>
  <c r="H437" i="5"/>
  <c r="H117" i="5"/>
  <c r="H149" i="5"/>
  <c r="H181" i="5"/>
  <c r="H213" i="5"/>
  <c r="H245" i="5"/>
  <c r="H277" i="5"/>
  <c r="H309" i="5"/>
  <c r="H348" i="5"/>
  <c r="H500" i="5"/>
  <c r="H17" i="5"/>
  <c r="H33" i="5"/>
  <c r="H49" i="5"/>
  <c r="H65" i="5"/>
  <c r="H81" i="5"/>
  <c r="H440" i="5"/>
  <c r="H341" i="5"/>
  <c r="H379" i="5"/>
  <c r="H411" i="5"/>
  <c r="H453" i="5"/>
  <c r="H530" i="5"/>
  <c r="H346" i="5"/>
  <c r="H377" i="5"/>
  <c r="H409" i="5"/>
  <c r="H465" i="5"/>
  <c r="H554" i="5"/>
  <c r="H104" i="5"/>
  <c r="H120" i="5"/>
  <c r="H136" i="5"/>
  <c r="H152" i="5"/>
  <c r="H168" i="5"/>
  <c r="H184" i="5"/>
  <c r="H200" i="5"/>
  <c r="H216" i="5"/>
  <c r="H232" i="5"/>
  <c r="H248" i="5"/>
  <c r="H264" i="5"/>
  <c r="H280" i="5"/>
  <c r="H296" i="5"/>
  <c r="H312" i="5"/>
  <c r="H328" i="5"/>
  <c r="H435" i="5"/>
  <c r="H498" i="5"/>
  <c r="H626" i="5"/>
  <c r="H561" i="5"/>
  <c r="H430" i="5"/>
  <c r="H557" i="5"/>
  <c r="H358" i="5"/>
  <c r="H374" i="5"/>
  <c r="H390" i="5"/>
  <c r="H406" i="5"/>
  <c r="H422" i="5"/>
  <c r="H459" i="5"/>
  <c r="H491" i="5"/>
  <c r="H534" i="5"/>
  <c r="H519" i="5"/>
  <c r="H523" i="5"/>
  <c r="H539" i="5"/>
  <c r="H571" i="5"/>
  <c r="H600" i="5"/>
  <c r="H655" i="5"/>
  <c r="H687" i="5"/>
  <c r="H719" i="5"/>
  <c r="H751" i="5"/>
  <c r="H599" i="5"/>
  <c r="H649" i="5"/>
  <c r="H681" i="5"/>
  <c r="H713" i="5"/>
  <c r="H745" i="5"/>
  <c r="H623" i="5"/>
  <c r="H644" i="5"/>
  <c r="H660" i="5"/>
  <c r="H676" i="5"/>
  <c r="H692" i="5"/>
  <c r="H708" i="5"/>
  <c r="H724" i="5"/>
  <c r="H740" i="5"/>
  <c r="H756" i="5"/>
  <c r="H480" i="5"/>
  <c r="H460" i="5"/>
  <c r="H47" i="5"/>
  <c r="H84" i="5"/>
  <c r="H62" i="5"/>
  <c r="H448" i="5"/>
  <c r="H6" i="5"/>
  <c r="H38" i="5"/>
  <c r="H32" i="5"/>
  <c r="H107" i="5"/>
  <c r="H139" i="5"/>
  <c r="H171" i="5"/>
  <c r="H203" i="5"/>
  <c r="H235" i="5"/>
  <c r="H267" i="5"/>
  <c r="H299" i="5"/>
  <c r="H331" i="5"/>
  <c r="H532" i="5"/>
  <c r="H468" i="5"/>
  <c r="H121" i="5"/>
  <c r="H153" i="5"/>
  <c r="H185" i="5"/>
  <c r="H217" i="5"/>
  <c r="H249" i="5"/>
  <c r="H281" i="5"/>
  <c r="H313" i="5"/>
  <c r="H454" i="5"/>
  <c r="H611" i="5"/>
  <c r="H19" i="5"/>
  <c r="H35" i="5"/>
  <c r="H51" i="5"/>
  <c r="H67" i="5"/>
  <c r="H83" i="5"/>
  <c r="H456" i="5"/>
  <c r="H351" i="5"/>
  <c r="H383" i="5"/>
  <c r="H415" i="5"/>
  <c r="H461" i="5"/>
  <c r="H546" i="5"/>
  <c r="H349" i="5"/>
  <c r="H381" i="5"/>
  <c r="H413" i="5"/>
  <c r="H473" i="5"/>
  <c r="H570" i="5"/>
  <c r="H106" i="5"/>
  <c r="H122" i="5"/>
  <c r="H138" i="5"/>
  <c r="H154" i="5"/>
  <c r="H170" i="5"/>
  <c r="H186" i="5"/>
  <c r="H202" i="5"/>
  <c r="H218" i="5"/>
  <c r="H234" i="5"/>
  <c r="H250" i="5"/>
  <c r="H266" i="5"/>
  <c r="H282" i="5"/>
  <c r="H298" i="5"/>
  <c r="H314" i="5"/>
  <c r="H330" i="5"/>
  <c r="H442" i="5"/>
  <c r="H506" i="5"/>
  <c r="H429" i="5"/>
  <c r="H569" i="5"/>
  <c r="H433" i="5"/>
  <c r="H565" i="5"/>
  <c r="H360" i="5"/>
  <c r="H376" i="5"/>
  <c r="H392" i="5"/>
  <c r="H408" i="5"/>
  <c r="H424" i="5"/>
  <c r="H463" i="5"/>
  <c r="H495" i="5"/>
  <c r="H542" i="5"/>
  <c r="H589" i="5"/>
  <c r="H605" i="5"/>
  <c r="H543" i="5"/>
  <c r="H575" i="5"/>
  <c r="H607" i="5"/>
  <c r="H659" i="5"/>
  <c r="H691" i="5"/>
  <c r="H723" i="5"/>
  <c r="H755" i="5"/>
  <c r="H608" i="5"/>
  <c r="H653" i="5"/>
  <c r="H685" i="5"/>
  <c r="H717" i="5"/>
  <c r="H749" i="5"/>
  <c r="H631" i="5"/>
  <c r="H646" i="5"/>
  <c r="H662" i="5"/>
  <c r="H678" i="5"/>
  <c r="H694" i="5"/>
  <c r="H710" i="5"/>
  <c r="H726" i="5"/>
  <c r="H742" i="5"/>
  <c r="H758" i="5"/>
  <c r="H464" i="5"/>
  <c r="H622" i="5"/>
  <c r="H68" i="5"/>
  <c r="H46" i="5"/>
  <c r="H88" i="5"/>
  <c r="H82" i="5"/>
  <c r="H22" i="5"/>
  <c r="H16" i="5"/>
  <c r="H111" i="5"/>
  <c r="H143" i="5"/>
  <c r="H175" i="5"/>
  <c r="H207" i="5"/>
  <c r="H239" i="5"/>
  <c r="H271" i="5"/>
  <c r="H303" i="5"/>
  <c r="H335" i="5"/>
  <c r="H564" i="5"/>
  <c r="H544" i="5"/>
  <c r="H125" i="5"/>
  <c r="H157" i="5"/>
  <c r="H189" i="5"/>
  <c r="H221" i="5"/>
  <c r="H253" i="5"/>
  <c r="H285" i="5"/>
  <c r="H317" i="5"/>
  <c r="H470" i="5"/>
  <c r="H21" i="5"/>
  <c r="H37" i="5"/>
  <c r="H53" i="5"/>
  <c r="H69" i="5"/>
  <c r="H85" i="5"/>
  <c r="H472" i="5"/>
  <c r="H355" i="5"/>
  <c r="H387" i="5"/>
  <c r="H419" i="5"/>
  <c r="H469" i="5"/>
  <c r="H562" i="5"/>
  <c r="H353" i="5"/>
  <c r="H385" i="5"/>
  <c r="H417" i="5"/>
  <c r="H481" i="5"/>
  <c r="H586" i="5"/>
  <c r="H108" i="5"/>
  <c r="H124" i="5"/>
  <c r="H140" i="5"/>
  <c r="H156" i="5"/>
  <c r="H172" i="5"/>
  <c r="H188" i="5"/>
  <c r="H204" i="5"/>
  <c r="H220" i="5"/>
  <c r="H236" i="5"/>
  <c r="H252" i="5"/>
  <c r="H268" i="5"/>
  <c r="H284" i="5"/>
  <c r="H300" i="5"/>
  <c r="H316" i="5"/>
  <c r="H332" i="5"/>
  <c r="H450" i="5"/>
  <c r="H514" i="5"/>
  <c r="H517" i="5"/>
  <c r="H577" i="5"/>
  <c r="H436" i="5"/>
  <c r="H573" i="5"/>
  <c r="H362" i="5"/>
  <c r="H378" i="5"/>
  <c r="H394" i="5"/>
  <c r="H410" i="5"/>
  <c r="H426" i="5"/>
  <c r="H467" i="5"/>
  <c r="H499" i="5"/>
  <c r="H550" i="5"/>
  <c r="H598" i="5"/>
  <c r="H614" i="5"/>
  <c r="H547" i="5"/>
  <c r="H579" i="5"/>
  <c r="H616" i="5"/>
  <c r="H663" i="5"/>
  <c r="H695" i="5"/>
  <c r="H727" i="5"/>
  <c r="H594" i="5"/>
  <c r="H615" i="5"/>
  <c r="H657" i="5"/>
  <c r="H689" i="5"/>
  <c r="H721" i="5"/>
  <c r="H753" i="5"/>
  <c r="H648" i="5"/>
  <c r="H664" i="5"/>
  <c r="H680" i="5"/>
  <c r="H696" i="5"/>
  <c r="H712" i="5"/>
  <c r="H728" i="5"/>
  <c r="H744" i="5"/>
  <c r="H44" i="5"/>
  <c r="H444" i="5"/>
  <c r="H70" i="5"/>
  <c r="H52" i="5"/>
  <c r="H30" i="5"/>
  <c r="H72" i="5"/>
  <c r="H50" i="5"/>
  <c r="H593" i="5"/>
  <c r="H12" i="5"/>
  <c r="H115" i="5"/>
  <c r="H147" i="5"/>
  <c r="H179" i="5"/>
  <c r="H211" i="5"/>
  <c r="H243" i="5"/>
  <c r="H275" i="5"/>
  <c r="H307" i="5"/>
  <c r="H339" i="5"/>
  <c r="H484" i="5"/>
  <c r="H97" i="5"/>
  <c r="H129" i="5"/>
  <c r="H161" i="5"/>
  <c r="H193" i="5"/>
  <c r="H225" i="5"/>
  <c r="H257" i="5"/>
  <c r="H289" i="5"/>
  <c r="H321" i="5"/>
  <c r="H486" i="5"/>
  <c r="H7" i="5"/>
  <c r="H23" i="5"/>
  <c r="H39" i="5"/>
  <c r="H55" i="5"/>
  <c r="H71" i="5"/>
  <c r="H87" i="5"/>
  <c r="H488" i="5"/>
  <c r="H359" i="5"/>
  <c r="H391" i="5"/>
  <c r="H423" i="5"/>
  <c r="H477" i="5"/>
  <c r="H578" i="5"/>
  <c r="H357" i="5"/>
  <c r="H389" i="5"/>
  <c r="H421" i="5"/>
  <c r="H489" i="5"/>
  <c r="H604" i="5"/>
  <c r="H110" i="5"/>
  <c r="H126" i="5"/>
  <c r="H142" i="5"/>
  <c r="H158" i="5"/>
  <c r="H174" i="5"/>
  <c r="H190" i="5"/>
  <c r="H206" i="5"/>
  <c r="H222" i="5"/>
  <c r="H238" i="5"/>
  <c r="H254" i="5"/>
  <c r="H270" i="5"/>
  <c r="H286" i="5"/>
  <c r="H302" i="5"/>
  <c r="H318" i="5"/>
  <c r="H334" i="5"/>
  <c r="H458" i="5"/>
  <c r="H524" i="5"/>
  <c r="H522" i="5"/>
  <c r="H585" i="5"/>
  <c r="H439" i="5"/>
  <c r="H581" i="5"/>
  <c r="H364" i="5"/>
  <c r="H380" i="5"/>
  <c r="H396" i="5"/>
  <c r="H412" i="5"/>
  <c r="H428" i="5"/>
  <c r="H471" i="5"/>
  <c r="H503" i="5"/>
  <c r="H558" i="5"/>
  <c r="H627" i="5"/>
  <c r="H619" i="5"/>
  <c r="H551" i="5"/>
  <c r="H583" i="5"/>
  <c r="H624" i="5"/>
  <c r="H667" i="5"/>
  <c r="H699" i="5"/>
  <c r="H731" i="5"/>
  <c r="H601" i="5"/>
  <c r="H620" i="5"/>
  <c r="H661" i="5"/>
  <c r="H693" i="5"/>
  <c r="H725" i="5"/>
  <c r="H757" i="5"/>
  <c r="H634" i="5"/>
  <c r="H650" i="5"/>
  <c r="H666" i="5"/>
  <c r="H682" i="5"/>
  <c r="H698" i="5"/>
  <c r="H714" i="5"/>
  <c r="H730" i="5"/>
  <c r="H746" i="5"/>
  <c r="H26" i="5"/>
  <c r="H74" i="5"/>
  <c r="H31" i="5"/>
  <c r="H36" i="5"/>
  <c r="H536" i="5"/>
  <c r="H56" i="5"/>
  <c r="H18" i="5"/>
  <c r="H512" i="5"/>
  <c r="H8" i="5"/>
  <c r="H119" i="5"/>
  <c r="H151" i="5"/>
  <c r="H183" i="5"/>
  <c r="H215" i="5"/>
  <c r="H247" i="5"/>
  <c r="H279" i="5"/>
  <c r="H311" i="5"/>
  <c r="H446" i="5"/>
  <c r="H516" i="5"/>
  <c r="H101" i="5"/>
  <c r="H133" i="5"/>
  <c r="H165" i="5"/>
  <c r="H197" i="5"/>
  <c r="H229" i="5"/>
  <c r="H261" i="5"/>
  <c r="H293" i="5"/>
  <c r="H325" i="5"/>
  <c r="H502" i="5"/>
  <c r="H9" i="5"/>
  <c r="H25" i="5"/>
  <c r="H41" i="5"/>
  <c r="H57" i="5"/>
  <c r="H73" i="5"/>
  <c r="H89" i="5"/>
  <c r="H504" i="5"/>
  <c r="H363" i="5"/>
  <c r="H395" i="5"/>
  <c r="H427" i="5"/>
  <c r="H485" i="5"/>
  <c r="H595" i="5"/>
  <c r="H361" i="5"/>
  <c r="H393" i="5"/>
  <c r="H425" i="5"/>
  <c r="H497" i="5"/>
  <c r="H96" i="5"/>
  <c r="H112" i="5"/>
  <c r="H128" i="5"/>
  <c r="H144" i="5"/>
  <c r="H160" i="5"/>
  <c r="H176" i="5"/>
  <c r="H192" i="5"/>
  <c r="H208" i="5"/>
  <c r="H224" i="5"/>
  <c r="H240" i="5"/>
  <c r="H256" i="5"/>
  <c r="H272" i="5"/>
  <c r="H288" i="5"/>
  <c r="H304" i="5"/>
  <c r="H320" i="5"/>
  <c r="H336" i="5"/>
  <c r="H466" i="5"/>
  <c r="H540" i="5"/>
  <c r="H529" i="5"/>
  <c r="H603" i="5"/>
  <c r="H525" i="5"/>
  <c r="H350" i="5"/>
  <c r="H366" i="5"/>
  <c r="H382" i="5"/>
  <c r="H398" i="5"/>
  <c r="H414" i="5"/>
  <c r="H443" i="5"/>
  <c r="H475" i="5"/>
  <c r="H507" i="5"/>
  <c r="H566" i="5"/>
  <c r="H520" i="5"/>
  <c r="H518" i="5"/>
  <c r="H555" i="5"/>
  <c r="H587" i="5"/>
  <c r="H639" i="5"/>
  <c r="H671" i="5"/>
  <c r="H703" i="5"/>
  <c r="H735" i="5"/>
  <c r="H610" i="5"/>
  <c r="H628" i="5"/>
  <c r="H665" i="5"/>
  <c r="H697" i="5"/>
  <c r="H729" i="5"/>
  <c r="H590" i="5"/>
  <c r="H636" i="5"/>
  <c r="H652" i="5"/>
  <c r="H668" i="5"/>
  <c r="H684" i="5"/>
  <c r="H700" i="5"/>
  <c r="H716" i="5"/>
  <c r="H732" i="5"/>
  <c r="H748" i="5"/>
  <c r="H42" i="5"/>
  <c r="H60" i="5"/>
  <c r="H5" i="5"/>
  <c r="C2" i="5"/>
  <c r="C3" i="5"/>
  <c r="H3" i="5" l="1"/>
  <c r="B5" i="1"/>
  <c r="C5" i="1" s="1"/>
  <c r="B4" i="1"/>
  <c r="C4" i="1" s="1"/>
  <c r="B3" i="1"/>
  <c r="C3" i="1" s="1"/>
  <c r="E3" i="1" s="1"/>
  <c r="F3" i="1" s="1"/>
  <c r="B2" i="1"/>
  <c r="C2" i="1" s="1"/>
  <c r="D2" i="1" s="1"/>
  <c r="E5" i="1" l="1"/>
  <c r="F5" i="1" s="1"/>
  <c r="D5" i="1"/>
  <c r="D4" i="1"/>
  <c r="E4" i="1"/>
  <c r="F4" i="1" s="1"/>
  <c r="I4" i="1"/>
  <c r="J4" i="1" s="1"/>
  <c r="D3" i="1"/>
  <c r="G4" i="1" l="1"/>
  <c r="H4" i="1" s="1"/>
</calcChain>
</file>

<file path=xl/sharedStrings.xml><?xml version="1.0" encoding="utf-8"?>
<sst xmlns="http://schemas.openxmlformats.org/spreadsheetml/2006/main" count="47" uniqueCount="19">
  <si>
    <t>Time</t>
  </si>
  <si>
    <t>qbo30</t>
  </si>
  <si>
    <t>model</t>
  </si>
  <si>
    <t>Year</t>
  </si>
  <si>
    <t>QBO30</t>
  </si>
  <si>
    <t>Model</t>
  </si>
  <si>
    <t>QBO30''</t>
  </si>
  <si>
    <t>Model''</t>
  </si>
  <si>
    <t xml:space="preserve">Q2 </t>
  </si>
  <si>
    <t>M2</t>
  </si>
  <si>
    <t>QBO30'' [3 month avg]</t>
  </si>
  <si>
    <t>qbo70</t>
  </si>
  <si>
    <t>QBO70</t>
  </si>
  <si>
    <t>QBO70''</t>
  </si>
  <si>
    <t>QBO70'' [3 month avg]</t>
  </si>
  <si>
    <t>period</t>
  </si>
  <si>
    <t>rms</t>
  </si>
  <si>
    <t>rms70</t>
  </si>
  <si>
    <t>rms30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</si>
</sst>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030366574548552E-2"/>
          <c:y val="4.214129483814523E-2"/>
          <c:w val="0.9206691381476148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saturated_qbo!$B$4</c:f>
              <c:strCache>
                <c:ptCount val="1"/>
                <c:pt idx="0">
                  <c:v>qbo30</c:v>
                </c:pt>
              </c:strCache>
            </c:strRef>
          </c:tx>
          <c:marker>
            <c:symbol val="none"/>
          </c:marker>
          <c:xVal>
            <c:numRef>
              <c:f>saturated_qbo!$A$5:$A$758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saturated_qbo!$B$5:$B$758</c:f>
              <c:numCache>
                <c:formatCode>General</c:formatCode>
                <c:ptCount val="754"/>
                <c:pt idx="0">
                  <c:v>-274.72944297082228</c:v>
                </c:pt>
                <c:pt idx="1">
                  <c:v>-274.72944297082228</c:v>
                </c:pt>
                <c:pt idx="2">
                  <c:v>-254.72944297082228</c:v>
                </c:pt>
                <c:pt idx="3">
                  <c:v>-204.72944297082228</c:v>
                </c:pt>
                <c:pt idx="4">
                  <c:v>-174.72944297082228</c:v>
                </c:pt>
                <c:pt idx="5">
                  <c:v>-144.72944297082228</c:v>
                </c:pt>
                <c:pt idx="6">
                  <c:v>-134.72944297082228</c:v>
                </c:pt>
                <c:pt idx="7">
                  <c:v>-114.72944297082228</c:v>
                </c:pt>
                <c:pt idx="8">
                  <c:v>-92.729442970822276</c:v>
                </c:pt>
                <c:pt idx="9">
                  <c:v>-74.729442970822276</c:v>
                </c:pt>
                <c:pt idx="10">
                  <c:v>-49.729442970822276</c:v>
                </c:pt>
                <c:pt idx="11">
                  <c:v>-4.7294429708222765</c:v>
                </c:pt>
                <c:pt idx="12">
                  <c:v>45.270557029177724</c:v>
                </c:pt>
                <c:pt idx="13">
                  <c:v>135.27055702917772</c:v>
                </c:pt>
                <c:pt idx="14">
                  <c:v>155.27055702917772</c:v>
                </c:pt>
                <c:pt idx="15">
                  <c:v>155.27055702917772</c:v>
                </c:pt>
                <c:pt idx="16">
                  <c:v>165.27055702917772</c:v>
                </c:pt>
                <c:pt idx="17">
                  <c:v>170.27055702917772</c:v>
                </c:pt>
                <c:pt idx="18">
                  <c:v>180.27055702917772</c:v>
                </c:pt>
                <c:pt idx="19">
                  <c:v>180.27055702917772</c:v>
                </c:pt>
                <c:pt idx="20">
                  <c:v>120.27055702917772</c:v>
                </c:pt>
                <c:pt idx="21">
                  <c:v>35.270557029177724</c:v>
                </c:pt>
                <c:pt idx="22">
                  <c:v>-124.72944297082228</c:v>
                </c:pt>
                <c:pt idx="23">
                  <c:v>-139.72944297082228</c:v>
                </c:pt>
                <c:pt idx="24">
                  <c:v>-169.72944297082228</c:v>
                </c:pt>
                <c:pt idx="25">
                  <c:v>-169.72944297082228</c:v>
                </c:pt>
                <c:pt idx="26">
                  <c:v>-172.72944297082228</c:v>
                </c:pt>
                <c:pt idx="27">
                  <c:v>-209.72944297082228</c:v>
                </c:pt>
                <c:pt idx="28">
                  <c:v>-249.72944297082228</c:v>
                </c:pt>
                <c:pt idx="29">
                  <c:v>-254.72944297082228</c:v>
                </c:pt>
                <c:pt idx="30">
                  <c:v>-254.72944297082228</c:v>
                </c:pt>
                <c:pt idx="31">
                  <c:v>-254.72944297082228</c:v>
                </c:pt>
                <c:pt idx="32">
                  <c:v>-244.72944297082228</c:v>
                </c:pt>
                <c:pt idx="33">
                  <c:v>-227.72944297082228</c:v>
                </c:pt>
                <c:pt idx="34">
                  <c:v>-130.72944297082228</c:v>
                </c:pt>
                <c:pt idx="35">
                  <c:v>-123.72944297082228</c:v>
                </c:pt>
                <c:pt idx="36">
                  <c:v>-42.729442970822276</c:v>
                </c:pt>
                <c:pt idx="37">
                  <c:v>-2.7294429708222765</c:v>
                </c:pt>
                <c:pt idx="38">
                  <c:v>47.270557029177724</c:v>
                </c:pt>
                <c:pt idx="39">
                  <c:v>157.27055702917772</c:v>
                </c:pt>
                <c:pt idx="40">
                  <c:v>159.27055702917772</c:v>
                </c:pt>
                <c:pt idx="41">
                  <c:v>184.27055702917772</c:v>
                </c:pt>
                <c:pt idx="42">
                  <c:v>187.27055702917772</c:v>
                </c:pt>
                <c:pt idx="43">
                  <c:v>201.27055702917772</c:v>
                </c:pt>
                <c:pt idx="44">
                  <c:v>211.27055702917772</c:v>
                </c:pt>
                <c:pt idx="45">
                  <c:v>211.27055702917772</c:v>
                </c:pt>
                <c:pt idx="46">
                  <c:v>181.27055702917772</c:v>
                </c:pt>
                <c:pt idx="47">
                  <c:v>19.270557029177724</c:v>
                </c:pt>
                <c:pt idx="48">
                  <c:v>-43.729442970822276</c:v>
                </c:pt>
                <c:pt idx="49">
                  <c:v>-51.729442970822276</c:v>
                </c:pt>
                <c:pt idx="50">
                  <c:v>-156.72944297082228</c:v>
                </c:pt>
                <c:pt idx="51">
                  <c:v>-184.72944297082228</c:v>
                </c:pt>
                <c:pt idx="52">
                  <c:v>-201.72944297082228</c:v>
                </c:pt>
                <c:pt idx="53">
                  <c:v>-205.72944297082228</c:v>
                </c:pt>
                <c:pt idx="54">
                  <c:v>-211.72944297082228</c:v>
                </c:pt>
                <c:pt idx="55">
                  <c:v>-224.72944297082228</c:v>
                </c:pt>
                <c:pt idx="56">
                  <c:v>-224.72944297082228</c:v>
                </c:pt>
                <c:pt idx="57">
                  <c:v>-208.72944297082228</c:v>
                </c:pt>
                <c:pt idx="58">
                  <c:v>-181.72944297082228</c:v>
                </c:pt>
                <c:pt idx="59">
                  <c:v>-174.72944297082228</c:v>
                </c:pt>
                <c:pt idx="60">
                  <c:v>-124.72944297082228</c:v>
                </c:pt>
                <c:pt idx="61">
                  <c:v>-113.72944297082228</c:v>
                </c:pt>
                <c:pt idx="62">
                  <c:v>-101.72944297082228</c:v>
                </c:pt>
                <c:pt idx="63">
                  <c:v>-1.7294429708222765</c:v>
                </c:pt>
                <c:pt idx="64">
                  <c:v>132.27055702917772</c:v>
                </c:pt>
                <c:pt idx="65">
                  <c:v>139.27055702917772</c:v>
                </c:pt>
                <c:pt idx="66">
                  <c:v>168.27055702917772</c:v>
                </c:pt>
                <c:pt idx="67">
                  <c:v>192.27055702917772</c:v>
                </c:pt>
                <c:pt idx="68">
                  <c:v>212.27055702917772</c:v>
                </c:pt>
                <c:pt idx="69">
                  <c:v>239.27055702917772</c:v>
                </c:pt>
                <c:pt idx="70">
                  <c:v>265.27055702917772</c:v>
                </c:pt>
                <c:pt idx="71">
                  <c:v>265.27055702917772</c:v>
                </c:pt>
                <c:pt idx="72">
                  <c:v>202.27055702917772</c:v>
                </c:pt>
                <c:pt idx="73">
                  <c:v>193.27055702917772</c:v>
                </c:pt>
                <c:pt idx="74">
                  <c:v>190.27055702917772</c:v>
                </c:pt>
                <c:pt idx="75">
                  <c:v>152.27055702917772</c:v>
                </c:pt>
                <c:pt idx="76">
                  <c:v>-4.7294429708222765</c:v>
                </c:pt>
                <c:pt idx="77">
                  <c:v>-199.72944297082228</c:v>
                </c:pt>
                <c:pt idx="78">
                  <c:v>-257.72944297082228</c:v>
                </c:pt>
                <c:pt idx="79">
                  <c:v>-257.72944297082228</c:v>
                </c:pt>
                <c:pt idx="80">
                  <c:v>-254.72944297082228</c:v>
                </c:pt>
                <c:pt idx="81">
                  <c:v>-191.72944297082228</c:v>
                </c:pt>
                <c:pt idx="82">
                  <c:v>-147.72944297082228</c:v>
                </c:pt>
                <c:pt idx="83">
                  <c:v>-104.72944297082228</c:v>
                </c:pt>
                <c:pt idx="84">
                  <c:v>-62.729442970822276</c:v>
                </c:pt>
                <c:pt idx="85">
                  <c:v>-46.729442970822276</c:v>
                </c:pt>
                <c:pt idx="86">
                  <c:v>-18.729442970822276</c:v>
                </c:pt>
                <c:pt idx="87">
                  <c:v>59.270557029177724</c:v>
                </c:pt>
                <c:pt idx="88">
                  <c:v>117.27055702917772</c:v>
                </c:pt>
                <c:pt idx="89">
                  <c:v>187.27055702917772</c:v>
                </c:pt>
                <c:pt idx="90">
                  <c:v>191.27055702917772</c:v>
                </c:pt>
                <c:pt idx="91">
                  <c:v>191.27055702917772</c:v>
                </c:pt>
                <c:pt idx="92">
                  <c:v>190.27055702917772</c:v>
                </c:pt>
                <c:pt idx="93">
                  <c:v>184.27055702917772</c:v>
                </c:pt>
                <c:pt idx="94">
                  <c:v>143.27055702917772</c:v>
                </c:pt>
                <c:pt idx="95">
                  <c:v>90.270557029177724</c:v>
                </c:pt>
                <c:pt idx="96">
                  <c:v>-51.729442970822276</c:v>
                </c:pt>
                <c:pt idx="97">
                  <c:v>-93.729442970822276</c:v>
                </c:pt>
                <c:pt idx="98">
                  <c:v>-102.72944297082228</c:v>
                </c:pt>
                <c:pt idx="99">
                  <c:v>-178.72944297082228</c:v>
                </c:pt>
                <c:pt idx="100">
                  <c:v>-206.72944297082228</c:v>
                </c:pt>
                <c:pt idx="101">
                  <c:v>-206.72944297082228</c:v>
                </c:pt>
                <c:pt idx="102">
                  <c:v>-204.72944297082228</c:v>
                </c:pt>
                <c:pt idx="103">
                  <c:v>-190.72944297082228</c:v>
                </c:pt>
                <c:pt idx="104">
                  <c:v>-162.72944297082228</c:v>
                </c:pt>
                <c:pt idx="105">
                  <c:v>-162.72944297082228</c:v>
                </c:pt>
                <c:pt idx="106">
                  <c:v>-162.72944297082228</c:v>
                </c:pt>
                <c:pt idx="107">
                  <c:v>-133.72944297082228</c:v>
                </c:pt>
                <c:pt idx="108">
                  <c:v>-133.72944297082228</c:v>
                </c:pt>
                <c:pt idx="109">
                  <c:v>-119.72944297082228</c:v>
                </c:pt>
                <c:pt idx="110">
                  <c:v>-113.72944297082228</c:v>
                </c:pt>
                <c:pt idx="111">
                  <c:v>-37.729442970822276</c:v>
                </c:pt>
                <c:pt idx="112">
                  <c:v>96.270557029177724</c:v>
                </c:pt>
                <c:pt idx="113">
                  <c:v>163.27055702917772</c:v>
                </c:pt>
                <c:pt idx="114">
                  <c:v>187.27055702917772</c:v>
                </c:pt>
                <c:pt idx="115">
                  <c:v>210.27055702917772</c:v>
                </c:pt>
                <c:pt idx="116">
                  <c:v>215.27055702917772</c:v>
                </c:pt>
                <c:pt idx="117">
                  <c:v>237.27055702917772</c:v>
                </c:pt>
                <c:pt idx="118">
                  <c:v>237.27055702917772</c:v>
                </c:pt>
                <c:pt idx="119">
                  <c:v>227.27055702917772</c:v>
                </c:pt>
                <c:pt idx="120">
                  <c:v>227.27055702917772</c:v>
                </c:pt>
                <c:pt idx="121">
                  <c:v>268.27055702917772</c:v>
                </c:pt>
                <c:pt idx="122">
                  <c:v>268.27055702917772</c:v>
                </c:pt>
                <c:pt idx="123">
                  <c:v>263.27055702917772</c:v>
                </c:pt>
                <c:pt idx="124">
                  <c:v>252.27055702917772</c:v>
                </c:pt>
                <c:pt idx="125">
                  <c:v>150.27055702917772</c:v>
                </c:pt>
                <c:pt idx="126">
                  <c:v>-49.729442970822276</c:v>
                </c:pt>
                <c:pt idx="127">
                  <c:v>-100.72944297082228</c:v>
                </c:pt>
                <c:pt idx="128">
                  <c:v>-129.72944297082228</c:v>
                </c:pt>
                <c:pt idx="129">
                  <c:v>-134.72944297082228</c:v>
                </c:pt>
                <c:pt idx="130">
                  <c:v>-134.72944297082228</c:v>
                </c:pt>
                <c:pt idx="131">
                  <c:v>-134.72944297082228</c:v>
                </c:pt>
                <c:pt idx="132">
                  <c:v>-99.729442970822276</c:v>
                </c:pt>
                <c:pt idx="133">
                  <c:v>-99.729442970822276</c:v>
                </c:pt>
                <c:pt idx="134">
                  <c:v>-118.72944297082228</c:v>
                </c:pt>
                <c:pt idx="135">
                  <c:v>-128.72944297082228</c:v>
                </c:pt>
                <c:pt idx="136">
                  <c:v>-128.72944297082228</c:v>
                </c:pt>
                <c:pt idx="137">
                  <c:v>-125.72944297082228</c:v>
                </c:pt>
                <c:pt idx="138">
                  <c:v>-101.72944297082228</c:v>
                </c:pt>
                <c:pt idx="139">
                  <c:v>-91.729442970822276</c:v>
                </c:pt>
                <c:pt idx="140">
                  <c:v>-96.729442970822276</c:v>
                </c:pt>
                <c:pt idx="141">
                  <c:v>-84.729442970822276</c:v>
                </c:pt>
                <c:pt idx="142">
                  <c:v>-83.729442970822276</c:v>
                </c:pt>
                <c:pt idx="143">
                  <c:v>-79.729442970822276</c:v>
                </c:pt>
                <c:pt idx="144">
                  <c:v>-71.729442970822276</c:v>
                </c:pt>
                <c:pt idx="145">
                  <c:v>-52.729442970822276</c:v>
                </c:pt>
                <c:pt idx="146">
                  <c:v>-27.729442970822276</c:v>
                </c:pt>
                <c:pt idx="147">
                  <c:v>92.270557029177724</c:v>
                </c:pt>
                <c:pt idx="148">
                  <c:v>177.27055702917772</c:v>
                </c:pt>
                <c:pt idx="149">
                  <c:v>203.27055702917772</c:v>
                </c:pt>
                <c:pt idx="150">
                  <c:v>222.27055702917772</c:v>
                </c:pt>
                <c:pt idx="151">
                  <c:v>226.27055702917772</c:v>
                </c:pt>
                <c:pt idx="152">
                  <c:v>254.27055702917772</c:v>
                </c:pt>
                <c:pt idx="153">
                  <c:v>256.27055702917772</c:v>
                </c:pt>
                <c:pt idx="154">
                  <c:v>264.27055702917772</c:v>
                </c:pt>
                <c:pt idx="155">
                  <c:v>264.27055702917772</c:v>
                </c:pt>
                <c:pt idx="156">
                  <c:v>237.27055702917772</c:v>
                </c:pt>
                <c:pt idx="157">
                  <c:v>142.27055702917772</c:v>
                </c:pt>
                <c:pt idx="158">
                  <c:v>5.2705570291777235</c:v>
                </c:pt>
                <c:pt idx="159">
                  <c:v>-121.72944297082228</c:v>
                </c:pt>
                <c:pt idx="160">
                  <c:v>-200.72944297082228</c:v>
                </c:pt>
                <c:pt idx="161">
                  <c:v>-212.72944297082228</c:v>
                </c:pt>
                <c:pt idx="162">
                  <c:v>-217.72944297082228</c:v>
                </c:pt>
                <c:pt idx="163">
                  <c:v>-217.72944297082228</c:v>
                </c:pt>
                <c:pt idx="164">
                  <c:v>-224.72944297082228</c:v>
                </c:pt>
                <c:pt idx="165">
                  <c:v>-224.72944297082228</c:v>
                </c:pt>
                <c:pt idx="166">
                  <c:v>-212.72944297082228</c:v>
                </c:pt>
                <c:pt idx="167">
                  <c:v>-212.72944297082228</c:v>
                </c:pt>
                <c:pt idx="168">
                  <c:v>-212.72944297082228</c:v>
                </c:pt>
                <c:pt idx="169">
                  <c:v>-209.72944297082228</c:v>
                </c:pt>
                <c:pt idx="170">
                  <c:v>-169.72944297082228</c:v>
                </c:pt>
                <c:pt idx="171">
                  <c:v>-165.72944297082228</c:v>
                </c:pt>
                <c:pt idx="172">
                  <c:v>-117.72944297082228</c:v>
                </c:pt>
                <c:pt idx="173">
                  <c:v>-4.7294429708222765</c:v>
                </c:pt>
                <c:pt idx="174">
                  <c:v>85.270557029177724</c:v>
                </c:pt>
                <c:pt idx="175">
                  <c:v>100.27055702917772</c:v>
                </c:pt>
                <c:pt idx="176">
                  <c:v>94.270557029177724</c:v>
                </c:pt>
                <c:pt idx="177">
                  <c:v>101.27055702917772</c:v>
                </c:pt>
                <c:pt idx="178">
                  <c:v>132.27055702917772</c:v>
                </c:pt>
                <c:pt idx="179">
                  <c:v>132.27055702917772</c:v>
                </c:pt>
                <c:pt idx="180">
                  <c:v>143.27055702917772</c:v>
                </c:pt>
                <c:pt idx="181">
                  <c:v>143.27055702917772</c:v>
                </c:pt>
                <c:pt idx="182">
                  <c:v>188.27055702917772</c:v>
                </c:pt>
                <c:pt idx="183">
                  <c:v>188.27055702917772</c:v>
                </c:pt>
                <c:pt idx="184">
                  <c:v>193.27055702917772</c:v>
                </c:pt>
                <c:pt idx="185">
                  <c:v>200.27055702917772</c:v>
                </c:pt>
                <c:pt idx="186">
                  <c:v>243.27055702917772</c:v>
                </c:pt>
                <c:pt idx="187">
                  <c:v>249.27055702917772</c:v>
                </c:pt>
                <c:pt idx="188">
                  <c:v>248.27055702917772</c:v>
                </c:pt>
                <c:pt idx="189">
                  <c:v>248.27055702917772</c:v>
                </c:pt>
                <c:pt idx="190">
                  <c:v>142.27055702917772</c:v>
                </c:pt>
                <c:pt idx="191">
                  <c:v>73.270557029177724</c:v>
                </c:pt>
                <c:pt idx="192">
                  <c:v>-68.729442970822276</c:v>
                </c:pt>
                <c:pt idx="193">
                  <c:v>-125.72944297082228</c:v>
                </c:pt>
                <c:pt idx="194">
                  <c:v>-168.72944297082228</c:v>
                </c:pt>
                <c:pt idx="195">
                  <c:v>-215.72944297082228</c:v>
                </c:pt>
                <c:pt idx="196">
                  <c:v>-215.72944297082228</c:v>
                </c:pt>
                <c:pt idx="197">
                  <c:v>-215.72944297082228</c:v>
                </c:pt>
                <c:pt idx="198">
                  <c:v>-204.72944297082228</c:v>
                </c:pt>
                <c:pt idx="199">
                  <c:v>-202.72944297082228</c:v>
                </c:pt>
                <c:pt idx="200">
                  <c:v>-168.72944297082228</c:v>
                </c:pt>
                <c:pt idx="201">
                  <c:v>-152.72944297082228</c:v>
                </c:pt>
                <c:pt idx="202">
                  <c:v>-67.729442970822276</c:v>
                </c:pt>
                <c:pt idx="203">
                  <c:v>-10.729442970822276</c:v>
                </c:pt>
                <c:pt idx="204">
                  <c:v>31.270557029177724</c:v>
                </c:pt>
                <c:pt idx="205">
                  <c:v>82.270557029177724</c:v>
                </c:pt>
                <c:pt idx="206">
                  <c:v>101.27055702917772</c:v>
                </c:pt>
                <c:pt idx="207">
                  <c:v>164.27055702917772</c:v>
                </c:pt>
                <c:pt idx="208">
                  <c:v>193.27055702917772</c:v>
                </c:pt>
                <c:pt idx="209">
                  <c:v>225.27055702917772</c:v>
                </c:pt>
                <c:pt idx="210">
                  <c:v>229.27055702917772</c:v>
                </c:pt>
                <c:pt idx="211">
                  <c:v>241.27055702917772</c:v>
                </c:pt>
                <c:pt idx="212">
                  <c:v>262.27055702917772</c:v>
                </c:pt>
                <c:pt idx="213">
                  <c:v>262.27055702917772</c:v>
                </c:pt>
                <c:pt idx="214">
                  <c:v>247.27055702917772</c:v>
                </c:pt>
                <c:pt idx="215">
                  <c:v>124.27055702917772</c:v>
                </c:pt>
                <c:pt idx="216">
                  <c:v>-32.729442970822276</c:v>
                </c:pt>
                <c:pt idx="217">
                  <c:v>-109.72944297082228</c:v>
                </c:pt>
                <c:pt idx="218">
                  <c:v>-166.72944297082228</c:v>
                </c:pt>
                <c:pt idx="219">
                  <c:v>-182.72944297082228</c:v>
                </c:pt>
                <c:pt idx="220">
                  <c:v>-196.72944297082228</c:v>
                </c:pt>
                <c:pt idx="221">
                  <c:v>-199.72944297082228</c:v>
                </c:pt>
                <c:pt idx="222">
                  <c:v>-224.72944297082228</c:v>
                </c:pt>
                <c:pt idx="223">
                  <c:v>-224.72944297082228</c:v>
                </c:pt>
                <c:pt idx="224">
                  <c:v>-198.72944297082228</c:v>
                </c:pt>
                <c:pt idx="225">
                  <c:v>-189.72944297082228</c:v>
                </c:pt>
                <c:pt idx="226">
                  <c:v>-189.72944297082228</c:v>
                </c:pt>
                <c:pt idx="227">
                  <c:v>-176.72944297082228</c:v>
                </c:pt>
                <c:pt idx="228">
                  <c:v>-159.72944297082228</c:v>
                </c:pt>
                <c:pt idx="229">
                  <c:v>-147.72944297082228</c:v>
                </c:pt>
                <c:pt idx="230">
                  <c:v>-138.72944297082228</c:v>
                </c:pt>
                <c:pt idx="231">
                  <c:v>-104.72944297082228</c:v>
                </c:pt>
                <c:pt idx="232">
                  <c:v>122.27055702917772</c:v>
                </c:pt>
                <c:pt idx="233">
                  <c:v>166.27055702917772</c:v>
                </c:pt>
                <c:pt idx="234">
                  <c:v>181.27055702917772</c:v>
                </c:pt>
                <c:pt idx="235">
                  <c:v>185.27055702917772</c:v>
                </c:pt>
                <c:pt idx="236">
                  <c:v>204.27055702917772</c:v>
                </c:pt>
                <c:pt idx="237">
                  <c:v>208.27055702917772</c:v>
                </c:pt>
                <c:pt idx="238">
                  <c:v>204.27055702917772</c:v>
                </c:pt>
                <c:pt idx="239">
                  <c:v>107.27055702917772</c:v>
                </c:pt>
                <c:pt idx="240">
                  <c:v>-122.72944297082228</c:v>
                </c:pt>
                <c:pt idx="241">
                  <c:v>-170.72944297082228</c:v>
                </c:pt>
                <c:pt idx="242">
                  <c:v>-170.72944297082228</c:v>
                </c:pt>
                <c:pt idx="243">
                  <c:v>-170.72944297082228</c:v>
                </c:pt>
                <c:pt idx="244">
                  <c:v>-196.72944297082228</c:v>
                </c:pt>
                <c:pt idx="245">
                  <c:v>-196.72944297082228</c:v>
                </c:pt>
                <c:pt idx="246">
                  <c:v>-167.72944297082228</c:v>
                </c:pt>
                <c:pt idx="247">
                  <c:v>-162.72944297082228</c:v>
                </c:pt>
                <c:pt idx="248">
                  <c:v>-149.72944297082228</c:v>
                </c:pt>
                <c:pt idx="249">
                  <c:v>-149.72944297082228</c:v>
                </c:pt>
                <c:pt idx="250">
                  <c:v>-109.72944297082228</c:v>
                </c:pt>
                <c:pt idx="251">
                  <c:v>-74.729442970822276</c:v>
                </c:pt>
                <c:pt idx="252">
                  <c:v>-50.729442970822276</c:v>
                </c:pt>
                <c:pt idx="253">
                  <c:v>-35.729442970822276</c:v>
                </c:pt>
                <c:pt idx="254">
                  <c:v>-33.729442970822276</c:v>
                </c:pt>
                <c:pt idx="255">
                  <c:v>64.270557029177724</c:v>
                </c:pt>
                <c:pt idx="256">
                  <c:v>160.27055702917772</c:v>
                </c:pt>
                <c:pt idx="257">
                  <c:v>217.27055702917772</c:v>
                </c:pt>
                <c:pt idx="258">
                  <c:v>224.27055702917772</c:v>
                </c:pt>
                <c:pt idx="259">
                  <c:v>233.27055702917772</c:v>
                </c:pt>
                <c:pt idx="260">
                  <c:v>233.27055702917772</c:v>
                </c:pt>
                <c:pt idx="261">
                  <c:v>227.27055702917772</c:v>
                </c:pt>
                <c:pt idx="262">
                  <c:v>227.27055702917772</c:v>
                </c:pt>
                <c:pt idx="263">
                  <c:v>235.27055702917772</c:v>
                </c:pt>
                <c:pt idx="264">
                  <c:v>235.27055702917772</c:v>
                </c:pt>
                <c:pt idx="265">
                  <c:v>175.27055702917772</c:v>
                </c:pt>
                <c:pt idx="266">
                  <c:v>20.270557029177724</c:v>
                </c:pt>
                <c:pt idx="267">
                  <c:v>-114.72944297082228</c:v>
                </c:pt>
                <c:pt idx="268">
                  <c:v>-157.72944297082228</c:v>
                </c:pt>
                <c:pt idx="269">
                  <c:v>-234.72944297082228</c:v>
                </c:pt>
                <c:pt idx="270">
                  <c:v>-234.72944297082228</c:v>
                </c:pt>
                <c:pt idx="271">
                  <c:v>-217.72944297082228</c:v>
                </c:pt>
                <c:pt idx="272">
                  <c:v>-216.72944297082228</c:v>
                </c:pt>
                <c:pt idx="273">
                  <c:v>-214.72944297082228</c:v>
                </c:pt>
                <c:pt idx="274">
                  <c:v>-214.72944297082228</c:v>
                </c:pt>
                <c:pt idx="275">
                  <c:v>-214.72944297082228</c:v>
                </c:pt>
                <c:pt idx="276">
                  <c:v>-193.72944297082228</c:v>
                </c:pt>
                <c:pt idx="277">
                  <c:v>-188.72944297082228</c:v>
                </c:pt>
                <c:pt idx="278">
                  <c:v>-187.72944297082228</c:v>
                </c:pt>
                <c:pt idx="279">
                  <c:v>-163.72944297082228</c:v>
                </c:pt>
                <c:pt idx="280">
                  <c:v>-94.729442970822276</c:v>
                </c:pt>
                <c:pt idx="281">
                  <c:v>81.270557029177724</c:v>
                </c:pt>
                <c:pt idx="282">
                  <c:v>155.27055702917772</c:v>
                </c:pt>
                <c:pt idx="283">
                  <c:v>155.27055702917772</c:v>
                </c:pt>
                <c:pt idx="284">
                  <c:v>183.27055702917772</c:v>
                </c:pt>
                <c:pt idx="285">
                  <c:v>165.27055702917772</c:v>
                </c:pt>
                <c:pt idx="286">
                  <c:v>192.27055702917772</c:v>
                </c:pt>
                <c:pt idx="287">
                  <c:v>192.27055702917772</c:v>
                </c:pt>
                <c:pt idx="288">
                  <c:v>203.27055702917772</c:v>
                </c:pt>
                <c:pt idx="289">
                  <c:v>205.27055702917772</c:v>
                </c:pt>
                <c:pt idx="290">
                  <c:v>210.27055702917772</c:v>
                </c:pt>
                <c:pt idx="291">
                  <c:v>215.27055702917772</c:v>
                </c:pt>
                <c:pt idx="292">
                  <c:v>215.27055702917772</c:v>
                </c:pt>
                <c:pt idx="293">
                  <c:v>201.27055702917772</c:v>
                </c:pt>
                <c:pt idx="294">
                  <c:v>75.270557029177724</c:v>
                </c:pt>
                <c:pt idx="295">
                  <c:v>26.270557029177724</c:v>
                </c:pt>
                <c:pt idx="296">
                  <c:v>-108.72944297082228</c:v>
                </c:pt>
                <c:pt idx="297">
                  <c:v>-152.72944297082228</c:v>
                </c:pt>
                <c:pt idx="298">
                  <c:v>-184.72944297082228</c:v>
                </c:pt>
                <c:pt idx="299">
                  <c:v>-234.72944297082228</c:v>
                </c:pt>
                <c:pt idx="300">
                  <c:v>-234.72944297082228</c:v>
                </c:pt>
                <c:pt idx="301">
                  <c:v>-213.72944297082228</c:v>
                </c:pt>
                <c:pt idx="302">
                  <c:v>-192.72944297082228</c:v>
                </c:pt>
                <c:pt idx="303">
                  <c:v>-179.72944297082228</c:v>
                </c:pt>
                <c:pt idx="304">
                  <c:v>-178.72944297082228</c:v>
                </c:pt>
                <c:pt idx="305">
                  <c:v>-164.72944297082228</c:v>
                </c:pt>
                <c:pt idx="306">
                  <c:v>-149.72944297082228</c:v>
                </c:pt>
                <c:pt idx="307">
                  <c:v>-149.72944297082228</c:v>
                </c:pt>
                <c:pt idx="308">
                  <c:v>-139.72944297082228</c:v>
                </c:pt>
                <c:pt idx="309">
                  <c:v>-119.72944297082228</c:v>
                </c:pt>
                <c:pt idx="310">
                  <c:v>-112.72944297082228</c:v>
                </c:pt>
                <c:pt idx="311">
                  <c:v>-101.72944297082228</c:v>
                </c:pt>
                <c:pt idx="312">
                  <c:v>-101.72944297082228</c:v>
                </c:pt>
                <c:pt idx="313">
                  <c:v>-101.72944297082228</c:v>
                </c:pt>
                <c:pt idx="314">
                  <c:v>10.270557029177724</c:v>
                </c:pt>
                <c:pt idx="315">
                  <c:v>82.270557029177724</c:v>
                </c:pt>
                <c:pt idx="316">
                  <c:v>171.27055702917772</c:v>
                </c:pt>
                <c:pt idx="317">
                  <c:v>191.27055702917772</c:v>
                </c:pt>
                <c:pt idx="318">
                  <c:v>199.27055702917772</c:v>
                </c:pt>
                <c:pt idx="319">
                  <c:v>209.27055702917772</c:v>
                </c:pt>
                <c:pt idx="320">
                  <c:v>215.27055702917772</c:v>
                </c:pt>
                <c:pt idx="321">
                  <c:v>209.27055702917772</c:v>
                </c:pt>
                <c:pt idx="322">
                  <c:v>206.27055702917772</c:v>
                </c:pt>
                <c:pt idx="323">
                  <c:v>90.270557029177724</c:v>
                </c:pt>
                <c:pt idx="324">
                  <c:v>-91.729442970822276</c:v>
                </c:pt>
                <c:pt idx="325">
                  <c:v>-98.729442970822276</c:v>
                </c:pt>
                <c:pt idx="326">
                  <c:v>-158.72944297082228</c:v>
                </c:pt>
                <c:pt idx="327">
                  <c:v>-181.72944297082228</c:v>
                </c:pt>
                <c:pt idx="328">
                  <c:v>-188.72944297082228</c:v>
                </c:pt>
                <c:pt idx="329">
                  <c:v>-217.72944297082228</c:v>
                </c:pt>
                <c:pt idx="330">
                  <c:v>-217.72944297082228</c:v>
                </c:pt>
                <c:pt idx="331">
                  <c:v>-215.72944297082228</c:v>
                </c:pt>
                <c:pt idx="332">
                  <c:v>-195.72944297082228</c:v>
                </c:pt>
                <c:pt idx="333">
                  <c:v>-189.72944297082228</c:v>
                </c:pt>
                <c:pt idx="334">
                  <c:v>-175.72944297082228</c:v>
                </c:pt>
                <c:pt idx="335">
                  <c:v>-171.72944297082228</c:v>
                </c:pt>
                <c:pt idx="336">
                  <c:v>-165.72944297082228</c:v>
                </c:pt>
                <c:pt idx="337">
                  <c:v>-155.72944297082228</c:v>
                </c:pt>
                <c:pt idx="338">
                  <c:v>-143.72944297082228</c:v>
                </c:pt>
                <c:pt idx="339">
                  <c:v>-124.72944297082228</c:v>
                </c:pt>
                <c:pt idx="340">
                  <c:v>71.270557029177724</c:v>
                </c:pt>
                <c:pt idx="341">
                  <c:v>176.27055702917772</c:v>
                </c:pt>
                <c:pt idx="342">
                  <c:v>204.27055702917772</c:v>
                </c:pt>
                <c:pt idx="343">
                  <c:v>213.27055702917772</c:v>
                </c:pt>
                <c:pt idx="344">
                  <c:v>216.27055702917772</c:v>
                </c:pt>
                <c:pt idx="345">
                  <c:v>224.27055702917772</c:v>
                </c:pt>
                <c:pt idx="346">
                  <c:v>230.27055702917772</c:v>
                </c:pt>
                <c:pt idx="347">
                  <c:v>237.27055702917772</c:v>
                </c:pt>
                <c:pt idx="348">
                  <c:v>237.27055702917772</c:v>
                </c:pt>
                <c:pt idx="349">
                  <c:v>245.27055702917772</c:v>
                </c:pt>
                <c:pt idx="350">
                  <c:v>245.27055702917772</c:v>
                </c:pt>
                <c:pt idx="351">
                  <c:v>245.27055702917772</c:v>
                </c:pt>
                <c:pt idx="352">
                  <c:v>226.27055702917772</c:v>
                </c:pt>
                <c:pt idx="353">
                  <c:v>218.27055702917772</c:v>
                </c:pt>
                <c:pt idx="354">
                  <c:v>80.270557029177724</c:v>
                </c:pt>
                <c:pt idx="355">
                  <c:v>-136.72944297082228</c:v>
                </c:pt>
                <c:pt idx="356">
                  <c:v>-183.72944297082228</c:v>
                </c:pt>
                <c:pt idx="357">
                  <c:v>-183.72944297082228</c:v>
                </c:pt>
                <c:pt idx="358">
                  <c:v>-201.72944297082228</c:v>
                </c:pt>
                <c:pt idx="359">
                  <c:v>-221.72944297082228</c:v>
                </c:pt>
                <c:pt idx="360">
                  <c:v>-221.72944297082228</c:v>
                </c:pt>
                <c:pt idx="361">
                  <c:v>-215.72944297082228</c:v>
                </c:pt>
                <c:pt idx="362">
                  <c:v>-198.72944297082228</c:v>
                </c:pt>
                <c:pt idx="363">
                  <c:v>-192.72944297082228</c:v>
                </c:pt>
                <c:pt idx="364">
                  <c:v>-172.72944297082228</c:v>
                </c:pt>
                <c:pt idx="365">
                  <c:v>-4.7294429708222765</c:v>
                </c:pt>
                <c:pt idx="366">
                  <c:v>87.270557029177724</c:v>
                </c:pt>
                <c:pt idx="367">
                  <c:v>112.27055702917772</c:v>
                </c:pt>
                <c:pt idx="368">
                  <c:v>134.27055702917772</c:v>
                </c:pt>
                <c:pt idx="369">
                  <c:v>138.27055702917772</c:v>
                </c:pt>
                <c:pt idx="370">
                  <c:v>187.27055702917772</c:v>
                </c:pt>
                <c:pt idx="371">
                  <c:v>190.27055702917772</c:v>
                </c:pt>
                <c:pt idx="372">
                  <c:v>210.27055702917772</c:v>
                </c:pt>
                <c:pt idx="373">
                  <c:v>218.27055702917772</c:v>
                </c:pt>
                <c:pt idx="374">
                  <c:v>218.27055702917772</c:v>
                </c:pt>
                <c:pt idx="375">
                  <c:v>223.27055702917772</c:v>
                </c:pt>
                <c:pt idx="376">
                  <c:v>256.27055702917772</c:v>
                </c:pt>
                <c:pt idx="377">
                  <c:v>281.27055702917772</c:v>
                </c:pt>
                <c:pt idx="378">
                  <c:v>281.27055702917772</c:v>
                </c:pt>
                <c:pt idx="379">
                  <c:v>275.27055702917772</c:v>
                </c:pt>
                <c:pt idx="380">
                  <c:v>270.27055702917772</c:v>
                </c:pt>
                <c:pt idx="381">
                  <c:v>216.27055702917772</c:v>
                </c:pt>
                <c:pt idx="382">
                  <c:v>-42.729442970822276</c:v>
                </c:pt>
                <c:pt idx="383">
                  <c:v>-129.72944297082228</c:v>
                </c:pt>
                <c:pt idx="384">
                  <c:v>-151.72944297082228</c:v>
                </c:pt>
                <c:pt idx="385">
                  <c:v>-174.72944297082228</c:v>
                </c:pt>
                <c:pt idx="386">
                  <c:v>-201.72944297082228</c:v>
                </c:pt>
                <c:pt idx="387">
                  <c:v>-203.72944297082228</c:v>
                </c:pt>
                <c:pt idx="388">
                  <c:v>-201.72944297082228</c:v>
                </c:pt>
                <c:pt idx="389">
                  <c:v>-179.72944297082228</c:v>
                </c:pt>
                <c:pt idx="390">
                  <c:v>-164.72944297082228</c:v>
                </c:pt>
                <c:pt idx="391">
                  <c:v>-157.72944297082228</c:v>
                </c:pt>
                <c:pt idx="392">
                  <c:v>-157.72944297082228</c:v>
                </c:pt>
                <c:pt idx="393">
                  <c:v>-164.72944297082228</c:v>
                </c:pt>
                <c:pt idx="394">
                  <c:v>-166.72944297082228</c:v>
                </c:pt>
                <c:pt idx="395">
                  <c:v>-183.72944297082228</c:v>
                </c:pt>
                <c:pt idx="396">
                  <c:v>-212.72944297082228</c:v>
                </c:pt>
                <c:pt idx="397">
                  <c:v>-212.72944297082228</c:v>
                </c:pt>
                <c:pt idx="398">
                  <c:v>-206.72944297082228</c:v>
                </c:pt>
                <c:pt idx="399">
                  <c:v>-170.72944297082228</c:v>
                </c:pt>
                <c:pt idx="400">
                  <c:v>-22.729442970822276</c:v>
                </c:pt>
                <c:pt idx="401">
                  <c:v>129.27055702917772</c:v>
                </c:pt>
                <c:pt idx="402">
                  <c:v>164.27055702917772</c:v>
                </c:pt>
                <c:pt idx="403">
                  <c:v>167.27055702917772</c:v>
                </c:pt>
                <c:pt idx="404">
                  <c:v>169.27055702917772</c:v>
                </c:pt>
                <c:pt idx="405">
                  <c:v>176.27055702917772</c:v>
                </c:pt>
                <c:pt idx="406">
                  <c:v>189.27055702917772</c:v>
                </c:pt>
                <c:pt idx="407">
                  <c:v>195.27055702917772</c:v>
                </c:pt>
                <c:pt idx="408">
                  <c:v>201.27055702917772</c:v>
                </c:pt>
                <c:pt idx="409">
                  <c:v>201.27055702917772</c:v>
                </c:pt>
                <c:pt idx="410">
                  <c:v>205.27055702917772</c:v>
                </c:pt>
                <c:pt idx="411">
                  <c:v>205.27055702917772</c:v>
                </c:pt>
                <c:pt idx="412">
                  <c:v>203.27055702917772</c:v>
                </c:pt>
                <c:pt idx="413">
                  <c:v>182.27055702917772</c:v>
                </c:pt>
                <c:pt idx="414">
                  <c:v>-1.7294429708222765</c:v>
                </c:pt>
                <c:pt idx="415">
                  <c:v>-156.72944297082228</c:v>
                </c:pt>
                <c:pt idx="416">
                  <c:v>-181.72944297082228</c:v>
                </c:pt>
                <c:pt idx="417">
                  <c:v>-181.72944297082228</c:v>
                </c:pt>
                <c:pt idx="418">
                  <c:v>-141.72944297082228</c:v>
                </c:pt>
                <c:pt idx="419">
                  <c:v>-121.72944297082228</c:v>
                </c:pt>
                <c:pt idx="420">
                  <c:v>-118.72944297082228</c:v>
                </c:pt>
                <c:pt idx="421">
                  <c:v>-118.72944297082228</c:v>
                </c:pt>
                <c:pt idx="422">
                  <c:v>-134.72944297082228</c:v>
                </c:pt>
                <c:pt idx="423">
                  <c:v>-134.72944297082228</c:v>
                </c:pt>
                <c:pt idx="424">
                  <c:v>-114.72944297082228</c:v>
                </c:pt>
                <c:pt idx="425">
                  <c:v>-41.729442970822276</c:v>
                </c:pt>
                <c:pt idx="426">
                  <c:v>-1.7294429708222765</c:v>
                </c:pt>
                <c:pt idx="427">
                  <c:v>-1.7294429708222765</c:v>
                </c:pt>
                <c:pt idx="428">
                  <c:v>-1.7294429708222765</c:v>
                </c:pt>
                <c:pt idx="429">
                  <c:v>16.270557029177724</c:v>
                </c:pt>
                <c:pt idx="430">
                  <c:v>34.270557029177724</c:v>
                </c:pt>
                <c:pt idx="431">
                  <c:v>34.270557029177724</c:v>
                </c:pt>
                <c:pt idx="432">
                  <c:v>19.270557029177724</c:v>
                </c:pt>
                <c:pt idx="433">
                  <c:v>-24.729442970822276</c:v>
                </c:pt>
                <c:pt idx="434">
                  <c:v>-24.729442970822276</c:v>
                </c:pt>
                <c:pt idx="435">
                  <c:v>85.270557029177724</c:v>
                </c:pt>
                <c:pt idx="436">
                  <c:v>185.27055702917772</c:v>
                </c:pt>
                <c:pt idx="437">
                  <c:v>216.27055702917772</c:v>
                </c:pt>
                <c:pt idx="438">
                  <c:v>235.27055702917772</c:v>
                </c:pt>
                <c:pt idx="439">
                  <c:v>241.27055702917772</c:v>
                </c:pt>
                <c:pt idx="440">
                  <c:v>242.27055702917772</c:v>
                </c:pt>
                <c:pt idx="441">
                  <c:v>242.27055702917772</c:v>
                </c:pt>
                <c:pt idx="442">
                  <c:v>241.27055702917772</c:v>
                </c:pt>
                <c:pt idx="443">
                  <c:v>217.27055702917772</c:v>
                </c:pt>
                <c:pt idx="444">
                  <c:v>-22.729442970822276</c:v>
                </c:pt>
                <c:pt idx="445">
                  <c:v>-32.729442970822276</c:v>
                </c:pt>
                <c:pt idx="446">
                  <c:v>-173.72944297082228</c:v>
                </c:pt>
                <c:pt idx="447">
                  <c:v>-188.72944297082228</c:v>
                </c:pt>
                <c:pt idx="448">
                  <c:v>-188.72944297082228</c:v>
                </c:pt>
                <c:pt idx="449">
                  <c:v>-195.72944297082228</c:v>
                </c:pt>
                <c:pt idx="450">
                  <c:v>-199.72944297082228</c:v>
                </c:pt>
                <c:pt idx="451">
                  <c:v>-195.72944297082228</c:v>
                </c:pt>
                <c:pt idx="452">
                  <c:v>-194.72944297082228</c:v>
                </c:pt>
                <c:pt idx="453">
                  <c:v>-174.72944297082228</c:v>
                </c:pt>
                <c:pt idx="454">
                  <c:v>-174.72944297082228</c:v>
                </c:pt>
                <c:pt idx="455">
                  <c:v>-178.72944297082228</c:v>
                </c:pt>
                <c:pt idx="456">
                  <c:v>-191.72944297082228</c:v>
                </c:pt>
                <c:pt idx="457">
                  <c:v>-178.72944297082228</c:v>
                </c:pt>
                <c:pt idx="458">
                  <c:v>-169.72944297082228</c:v>
                </c:pt>
                <c:pt idx="459">
                  <c:v>-156.72944297082228</c:v>
                </c:pt>
                <c:pt idx="460">
                  <c:v>2.2705570291777235</c:v>
                </c:pt>
                <c:pt idx="461">
                  <c:v>144.27055702917772</c:v>
                </c:pt>
                <c:pt idx="462">
                  <c:v>166.27055702917772</c:v>
                </c:pt>
                <c:pt idx="463">
                  <c:v>166.27055702917772</c:v>
                </c:pt>
                <c:pt idx="464">
                  <c:v>157.27055702917772</c:v>
                </c:pt>
                <c:pt idx="465">
                  <c:v>157.27055702917772</c:v>
                </c:pt>
                <c:pt idx="466">
                  <c:v>177.27055702917772</c:v>
                </c:pt>
                <c:pt idx="467">
                  <c:v>188.27055702917772</c:v>
                </c:pt>
                <c:pt idx="468">
                  <c:v>188.27055702917772</c:v>
                </c:pt>
                <c:pt idx="469">
                  <c:v>189.27055702917772</c:v>
                </c:pt>
                <c:pt idx="470">
                  <c:v>195.27055702917772</c:v>
                </c:pt>
                <c:pt idx="471">
                  <c:v>197.27055702917772</c:v>
                </c:pt>
                <c:pt idx="472">
                  <c:v>203.27055702917772</c:v>
                </c:pt>
                <c:pt idx="473">
                  <c:v>203.27055702917772</c:v>
                </c:pt>
                <c:pt idx="474">
                  <c:v>14.270557029177724</c:v>
                </c:pt>
                <c:pt idx="475">
                  <c:v>-72.729442970822276</c:v>
                </c:pt>
                <c:pt idx="476">
                  <c:v>-139.72944297082228</c:v>
                </c:pt>
                <c:pt idx="477">
                  <c:v>-176.72944297082228</c:v>
                </c:pt>
                <c:pt idx="478">
                  <c:v>-205.72944297082228</c:v>
                </c:pt>
                <c:pt idx="479">
                  <c:v>-219.72944297082228</c:v>
                </c:pt>
                <c:pt idx="480">
                  <c:v>-228.72944297082228</c:v>
                </c:pt>
                <c:pt idx="481">
                  <c:v>-228.72944297082228</c:v>
                </c:pt>
                <c:pt idx="482">
                  <c:v>-228.72944297082228</c:v>
                </c:pt>
                <c:pt idx="483">
                  <c:v>-176.72944297082228</c:v>
                </c:pt>
                <c:pt idx="484">
                  <c:v>-172.72944297082228</c:v>
                </c:pt>
                <c:pt idx="485">
                  <c:v>-112.72944297082228</c:v>
                </c:pt>
                <c:pt idx="486">
                  <c:v>-56.729442970822276</c:v>
                </c:pt>
                <c:pt idx="487">
                  <c:v>-54.729442970822276</c:v>
                </c:pt>
                <c:pt idx="488">
                  <c:v>-20.729442970822276</c:v>
                </c:pt>
                <c:pt idx="489">
                  <c:v>46.270557029177724</c:v>
                </c:pt>
                <c:pt idx="490">
                  <c:v>140.27055702917772</c:v>
                </c:pt>
                <c:pt idx="491">
                  <c:v>175.27055702917772</c:v>
                </c:pt>
                <c:pt idx="492">
                  <c:v>186.27055702917772</c:v>
                </c:pt>
                <c:pt idx="493">
                  <c:v>200.27055702917772</c:v>
                </c:pt>
                <c:pt idx="494">
                  <c:v>226.27055702917772</c:v>
                </c:pt>
                <c:pt idx="495">
                  <c:v>233.27055702917772</c:v>
                </c:pt>
                <c:pt idx="496">
                  <c:v>253.27055702917772</c:v>
                </c:pt>
                <c:pt idx="497">
                  <c:v>263.27055702917772</c:v>
                </c:pt>
                <c:pt idx="498">
                  <c:v>271.27055702917772</c:v>
                </c:pt>
                <c:pt idx="499">
                  <c:v>271.27055702917772</c:v>
                </c:pt>
                <c:pt idx="500">
                  <c:v>206.27055702917772</c:v>
                </c:pt>
                <c:pt idx="501">
                  <c:v>-55.729442970822276</c:v>
                </c:pt>
                <c:pt idx="502">
                  <c:v>-173.72944297082228</c:v>
                </c:pt>
                <c:pt idx="503">
                  <c:v>-231.72944297082228</c:v>
                </c:pt>
                <c:pt idx="504">
                  <c:v>-231.72944297082228</c:v>
                </c:pt>
                <c:pt idx="505">
                  <c:v>-179.72944297082228</c:v>
                </c:pt>
                <c:pt idx="506">
                  <c:v>-174.72944297082228</c:v>
                </c:pt>
                <c:pt idx="507">
                  <c:v>-174.72944297082228</c:v>
                </c:pt>
                <c:pt idx="508">
                  <c:v>-215.72944297082228</c:v>
                </c:pt>
                <c:pt idx="509">
                  <c:v>-215.72944297082228</c:v>
                </c:pt>
                <c:pt idx="510">
                  <c:v>-189.72944297082228</c:v>
                </c:pt>
                <c:pt idx="511">
                  <c:v>-136.72944297082228</c:v>
                </c:pt>
                <c:pt idx="512">
                  <c:v>-98.729442970822276</c:v>
                </c:pt>
                <c:pt idx="513">
                  <c:v>-32.729442970822276</c:v>
                </c:pt>
                <c:pt idx="514">
                  <c:v>66.270557029177724</c:v>
                </c:pt>
                <c:pt idx="515">
                  <c:v>104.27055702917772</c:v>
                </c:pt>
                <c:pt idx="516">
                  <c:v>118.27055702917772</c:v>
                </c:pt>
                <c:pt idx="517">
                  <c:v>137.27055702917772</c:v>
                </c:pt>
                <c:pt idx="518">
                  <c:v>174.27055702917772</c:v>
                </c:pt>
                <c:pt idx="519">
                  <c:v>212.27055702917772</c:v>
                </c:pt>
                <c:pt idx="520">
                  <c:v>242.27055702917772</c:v>
                </c:pt>
                <c:pt idx="521">
                  <c:v>260.27055702917772</c:v>
                </c:pt>
                <c:pt idx="522">
                  <c:v>265.27055702917772</c:v>
                </c:pt>
                <c:pt idx="523">
                  <c:v>281.27055702917772</c:v>
                </c:pt>
                <c:pt idx="524">
                  <c:v>284.27055702917772</c:v>
                </c:pt>
                <c:pt idx="525">
                  <c:v>284.27055702917772</c:v>
                </c:pt>
                <c:pt idx="526">
                  <c:v>219.27055702917772</c:v>
                </c:pt>
                <c:pt idx="527">
                  <c:v>-8.7294429708222765</c:v>
                </c:pt>
                <c:pt idx="528">
                  <c:v>-86.729442970822276</c:v>
                </c:pt>
                <c:pt idx="529">
                  <c:v>-164.72944297082228</c:v>
                </c:pt>
                <c:pt idx="530">
                  <c:v>-170.72944297082228</c:v>
                </c:pt>
                <c:pt idx="531">
                  <c:v>-215.72944297082228</c:v>
                </c:pt>
                <c:pt idx="532">
                  <c:v>-215.72944297082228</c:v>
                </c:pt>
                <c:pt idx="533">
                  <c:v>-215.72944297082228</c:v>
                </c:pt>
                <c:pt idx="534">
                  <c:v>-205.72944297082228</c:v>
                </c:pt>
                <c:pt idx="535">
                  <c:v>-178.72944297082228</c:v>
                </c:pt>
                <c:pt idx="536">
                  <c:v>-161.72944297082228</c:v>
                </c:pt>
                <c:pt idx="537">
                  <c:v>-139.72944297082228</c:v>
                </c:pt>
                <c:pt idx="538">
                  <c:v>-79.729442970822276</c:v>
                </c:pt>
                <c:pt idx="539">
                  <c:v>-15.729442970822276</c:v>
                </c:pt>
                <c:pt idx="540">
                  <c:v>-14.729442970822276</c:v>
                </c:pt>
                <c:pt idx="541">
                  <c:v>-7.7294429708222765</c:v>
                </c:pt>
                <c:pt idx="542">
                  <c:v>62.270557029177724</c:v>
                </c:pt>
                <c:pt idx="543">
                  <c:v>188.27055702917772</c:v>
                </c:pt>
                <c:pt idx="544">
                  <c:v>215.27055702917772</c:v>
                </c:pt>
                <c:pt idx="545">
                  <c:v>232.27055702917772</c:v>
                </c:pt>
                <c:pt idx="546">
                  <c:v>243.27055702917772</c:v>
                </c:pt>
                <c:pt idx="547">
                  <c:v>246.27055702917772</c:v>
                </c:pt>
                <c:pt idx="548">
                  <c:v>246.27055702917772</c:v>
                </c:pt>
                <c:pt idx="549">
                  <c:v>227.27055702917772</c:v>
                </c:pt>
                <c:pt idx="550">
                  <c:v>3.2705570291777235</c:v>
                </c:pt>
                <c:pt idx="551">
                  <c:v>-134.72944297082228</c:v>
                </c:pt>
                <c:pt idx="552">
                  <c:v>-163.72944297082228</c:v>
                </c:pt>
                <c:pt idx="553">
                  <c:v>-163.72944297082228</c:v>
                </c:pt>
                <c:pt idx="554">
                  <c:v>-195.72944297082228</c:v>
                </c:pt>
                <c:pt idx="555">
                  <c:v>-190.72944297082228</c:v>
                </c:pt>
                <c:pt idx="556">
                  <c:v>-201.72944297082228</c:v>
                </c:pt>
                <c:pt idx="557">
                  <c:v>-190.72944297082228</c:v>
                </c:pt>
                <c:pt idx="558">
                  <c:v>-175.72944297082228</c:v>
                </c:pt>
                <c:pt idx="559">
                  <c:v>-174.72944297082228</c:v>
                </c:pt>
                <c:pt idx="560">
                  <c:v>-165.72944297082228</c:v>
                </c:pt>
                <c:pt idx="561">
                  <c:v>-155.72944297082228</c:v>
                </c:pt>
                <c:pt idx="562">
                  <c:v>-125.72944297082228</c:v>
                </c:pt>
                <c:pt idx="563">
                  <c:v>-125.72944297082228</c:v>
                </c:pt>
                <c:pt idx="564">
                  <c:v>-138.72944297082228</c:v>
                </c:pt>
                <c:pt idx="565">
                  <c:v>-159.72944297082228</c:v>
                </c:pt>
                <c:pt idx="566">
                  <c:v>-159.72944297082228</c:v>
                </c:pt>
                <c:pt idx="567">
                  <c:v>-125.72944297082228</c:v>
                </c:pt>
                <c:pt idx="568">
                  <c:v>6.2705570291777235</c:v>
                </c:pt>
                <c:pt idx="569">
                  <c:v>162.27055702917772</c:v>
                </c:pt>
                <c:pt idx="570">
                  <c:v>217.27055702917772</c:v>
                </c:pt>
                <c:pt idx="571">
                  <c:v>223.27055702917772</c:v>
                </c:pt>
                <c:pt idx="572">
                  <c:v>223.27055702917772</c:v>
                </c:pt>
                <c:pt idx="573">
                  <c:v>210.27055702917772</c:v>
                </c:pt>
                <c:pt idx="574">
                  <c:v>194.27055702917772</c:v>
                </c:pt>
                <c:pt idx="575">
                  <c:v>194.27055702917772</c:v>
                </c:pt>
                <c:pt idx="576">
                  <c:v>207.27055702917772</c:v>
                </c:pt>
                <c:pt idx="577">
                  <c:v>207.27055702917772</c:v>
                </c:pt>
                <c:pt idx="578">
                  <c:v>207.27055702917772</c:v>
                </c:pt>
                <c:pt idx="579">
                  <c:v>244.27055702917772</c:v>
                </c:pt>
                <c:pt idx="580">
                  <c:v>253.27055702917772</c:v>
                </c:pt>
                <c:pt idx="581">
                  <c:v>266.27055702917772</c:v>
                </c:pt>
                <c:pt idx="582">
                  <c:v>284.27055702917772</c:v>
                </c:pt>
                <c:pt idx="583">
                  <c:v>284.27055702917772</c:v>
                </c:pt>
                <c:pt idx="584">
                  <c:v>242.27055702917772</c:v>
                </c:pt>
                <c:pt idx="585">
                  <c:v>71.270557029177724</c:v>
                </c:pt>
                <c:pt idx="586">
                  <c:v>-85.729442970822276</c:v>
                </c:pt>
                <c:pt idx="587">
                  <c:v>-182.72944297082228</c:v>
                </c:pt>
                <c:pt idx="588">
                  <c:v>-204.72944297082228</c:v>
                </c:pt>
                <c:pt idx="589">
                  <c:v>-212.72944297082228</c:v>
                </c:pt>
                <c:pt idx="590">
                  <c:v>-212.72944297082228</c:v>
                </c:pt>
                <c:pt idx="591">
                  <c:v>-197.72944297082228</c:v>
                </c:pt>
                <c:pt idx="592">
                  <c:v>-193.72944297082228</c:v>
                </c:pt>
                <c:pt idx="593">
                  <c:v>-167.72944297082228</c:v>
                </c:pt>
                <c:pt idx="594">
                  <c:v>-156.72944297082228</c:v>
                </c:pt>
                <c:pt idx="595">
                  <c:v>-147.72944297082228</c:v>
                </c:pt>
                <c:pt idx="596">
                  <c:v>-129.72944297082228</c:v>
                </c:pt>
                <c:pt idx="597">
                  <c:v>-105.72944297082228</c:v>
                </c:pt>
                <c:pt idx="598">
                  <c:v>-23.729442970822276</c:v>
                </c:pt>
                <c:pt idx="599">
                  <c:v>-23.729442970822276</c:v>
                </c:pt>
                <c:pt idx="600">
                  <c:v>-50.729442970822276</c:v>
                </c:pt>
                <c:pt idx="601">
                  <c:v>-50.729442970822276</c:v>
                </c:pt>
                <c:pt idx="602">
                  <c:v>8.2705570291777235</c:v>
                </c:pt>
                <c:pt idx="603">
                  <c:v>129.27055702917772</c:v>
                </c:pt>
                <c:pt idx="604">
                  <c:v>204.27055702917772</c:v>
                </c:pt>
                <c:pt idx="605">
                  <c:v>223.27055702917772</c:v>
                </c:pt>
                <c:pt idx="606">
                  <c:v>248.27055702917772</c:v>
                </c:pt>
                <c:pt idx="607">
                  <c:v>248.27055702917772</c:v>
                </c:pt>
                <c:pt idx="608">
                  <c:v>248.27055702917772</c:v>
                </c:pt>
                <c:pt idx="609">
                  <c:v>248.27055702917772</c:v>
                </c:pt>
                <c:pt idx="610">
                  <c:v>247.27055702917772</c:v>
                </c:pt>
                <c:pt idx="611">
                  <c:v>100.27055702917772</c:v>
                </c:pt>
                <c:pt idx="612">
                  <c:v>-48.729442970822276</c:v>
                </c:pt>
                <c:pt idx="613">
                  <c:v>-142.72944297082228</c:v>
                </c:pt>
                <c:pt idx="614">
                  <c:v>-176.72944297082228</c:v>
                </c:pt>
                <c:pt idx="615">
                  <c:v>-184.72944297082228</c:v>
                </c:pt>
                <c:pt idx="616">
                  <c:v>-184.72944297082228</c:v>
                </c:pt>
                <c:pt idx="617">
                  <c:v>-159.72944297082228</c:v>
                </c:pt>
                <c:pt idx="618">
                  <c:v>-159.72944297082228</c:v>
                </c:pt>
                <c:pt idx="619">
                  <c:v>-154.72944297082228</c:v>
                </c:pt>
                <c:pt idx="620">
                  <c:v>-152.72944297082228</c:v>
                </c:pt>
                <c:pt idx="621">
                  <c:v>-137.72944297082228</c:v>
                </c:pt>
                <c:pt idx="622">
                  <c:v>-112.72944297082228</c:v>
                </c:pt>
                <c:pt idx="623">
                  <c:v>-78.729442970822276</c:v>
                </c:pt>
                <c:pt idx="624">
                  <c:v>-78.729442970822276</c:v>
                </c:pt>
                <c:pt idx="625">
                  <c:v>-55.729442970822276</c:v>
                </c:pt>
                <c:pt idx="626">
                  <c:v>-55.729442970822276</c:v>
                </c:pt>
                <c:pt idx="627">
                  <c:v>113.27055702917772</c:v>
                </c:pt>
                <c:pt idx="628">
                  <c:v>201.27055702917772</c:v>
                </c:pt>
                <c:pt idx="629">
                  <c:v>221.27055702917772</c:v>
                </c:pt>
                <c:pt idx="630">
                  <c:v>244.27055702917772</c:v>
                </c:pt>
                <c:pt idx="631">
                  <c:v>251.27055702917772</c:v>
                </c:pt>
                <c:pt idx="632">
                  <c:v>253.27055702917772</c:v>
                </c:pt>
                <c:pt idx="633">
                  <c:v>255.27055702917772</c:v>
                </c:pt>
                <c:pt idx="634">
                  <c:v>259.27055702917772</c:v>
                </c:pt>
                <c:pt idx="635">
                  <c:v>259.27055702917772</c:v>
                </c:pt>
                <c:pt idx="636">
                  <c:v>223.27055702917772</c:v>
                </c:pt>
                <c:pt idx="637">
                  <c:v>28.270557029177724</c:v>
                </c:pt>
                <c:pt idx="638">
                  <c:v>-147.72944297082228</c:v>
                </c:pt>
                <c:pt idx="639">
                  <c:v>-149.72944297082228</c:v>
                </c:pt>
                <c:pt idx="640">
                  <c:v>-170.72944297082228</c:v>
                </c:pt>
                <c:pt idx="641">
                  <c:v>-187.72944297082228</c:v>
                </c:pt>
                <c:pt idx="642">
                  <c:v>-187.72944297082228</c:v>
                </c:pt>
                <c:pt idx="643">
                  <c:v>-173.72944297082228</c:v>
                </c:pt>
                <c:pt idx="644">
                  <c:v>-157.72944297082228</c:v>
                </c:pt>
                <c:pt idx="645">
                  <c:v>-157.72944297082228</c:v>
                </c:pt>
                <c:pt idx="646">
                  <c:v>-153.72944297082228</c:v>
                </c:pt>
                <c:pt idx="647">
                  <c:v>-137.72944297082228</c:v>
                </c:pt>
                <c:pt idx="648">
                  <c:v>-118.72944297082228</c:v>
                </c:pt>
                <c:pt idx="649">
                  <c:v>-117.72944297082228</c:v>
                </c:pt>
                <c:pt idx="650">
                  <c:v>-78.729442970822276</c:v>
                </c:pt>
                <c:pt idx="651">
                  <c:v>82.270557029177724</c:v>
                </c:pt>
                <c:pt idx="652">
                  <c:v>188.27055702917772</c:v>
                </c:pt>
                <c:pt idx="653">
                  <c:v>232.27055702917772</c:v>
                </c:pt>
                <c:pt idx="654">
                  <c:v>248.27055702917772</c:v>
                </c:pt>
                <c:pt idx="655">
                  <c:v>251.27055702917772</c:v>
                </c:pt>
                <c:pt idx="656">
                  <c:v>251.27055702917772</c:v>
                </c:pt>
                <c:pt idx="657">
                  <c:v>255.27055702917772</c:v>
                </c:pt>
                <c:pt idx="658">
                  <c:v>251.27055702917772</c:v>
                </c:pt>
                <c:pt idx="659">
                  <c:v>200.27055702917772</c:v>
                </c:pt>
                <c:pt idx="660">
                  <c:v>61.270557029177724</c:v>
                </c:pt>
                <c:pt idx="661">
                  <c:v>-102.72944297082228</c:v>
                </c:pt>
                <c:pt idx="662">
                  <c:v>-176.72944297082228</c:v>
                </c:pt>
                <c:pt idx="663">
                  <c:v>-188.72944297082228</c:v>
                </c:pt>
                <c:pt idx="664">
                  <c:v>-188.72944297082228</c:v>
                </c:pt>
                <c:pt idx="665">
                  <c:v>-199.72944297082228</c:v>
                </c:pt>
                <c:pt idx="666">
                  <c:v>-199.72944297082228</c:v>
                </c:pt>
                <c:pt idx="667">
                  <c:v>-182.72944297082228</c:v>
                </c:pt>
                <c:pt idx="668">
                  <c:v>-169.72944297082228</c:v>
                </c:pt>
                <c:pt idx="669">
                  <c:v>-157.72944297082228</c:v>
                </c:pt>
                <c:pt idx="670">
                  <c:v>-157.72944297082228</c:v>
                </c:pt>
                <c:pt idx="671">
                  <c:v>-175.72944297082228</c:v>
                </c:pt>
                <c:pt idx="672">
                  <c:v>-183.72944297082228</c:v>
                </c:pt>
                <c:pt idx="673">
                  <c:v>-183.72944297082228</c:v>
                </c:pt>
                <c:pt idx="674">
                  <c:v>-182.72944297082228</c:v>
                </c:pt>
                <c:pt idx="675">
                  <c:v>-167.72944297082228</c:v>
                </c:pt>
                <c:pt idx="676">
                  <c:v>-96.729442970822276</c:v>
                </c:pt>
                <c:pt idx="677">
                  <c:v>69.270557029177724</c:v>
                </c:pt>
                <c:pt idx="678">
                  <c:v>153.27055702917772</c:v>
                </c:pt>
                <c:pt idx="679">
                  <c:v>155.27055702917772</c:v>
                </c:pt>
                <c:pt idx="680">
                  <c:v>153.27055702917772</c:v>
                </c:pt>
                <c:pt idx="681">
                  <c:v>155.27055702917772</c:v>
                </c:pt>
                <c:pt idx="682">
                  <c:v>187.27055702917772</c:v>
                </c:pt>
                <c:pt idx="683">
                  <c:v>194.27055702917772</c:v>
                </c:pt>
                <c:pt idx="684">
                  <c:v>200.27055702917772</c:v>
                </c:pt>
                <c:pt idx="685">
                  <c:v>204.27055702917772</c:v>
                </c:pt>
                <c:pt idx="686">
                  <c:v>206.27055702917772</c:v>
                </c:pt>
                <c:pt idx="687">
                  <c:v>204.27055702917772</c:v>
                </c:pt>
                <c:pt idx="688">
                  <c:v>206.27055702917772</c:v>
                </c:pt>
                <c:pt idx="689">
                  <c:v>198.27055702917772</c:v>
                </c:pt>
                <c:pt idx="690">
                  <c:v>-5.7294429708222765</c:v>
                </c:pt>
                <c:pt idx="691">
                  <c:v>-181.72944297082228</c:v>
                </c:pt>
                <c:pt idx="692">
                  <c:v>-181.72944297082228</c:v>
                </c:pt>
                <c:pt idx="693">
                  <c:v>-182.72944297082228</c:v>
                </c:pt>
                <c:pt idx="694">
                  <c:v>-180.72944297082228</c:v>
                </c:pt>
                <c:pt idx="695">
                  <c:v>-161.72944297082228</c:v>
                </c:pt>
                <c:pt idx="696">
                  <c:v>-161.72944297082228</c:v>
                </c:pt>
                <c:pt idx="697">
                  <c:v>-161.72944297082228</c:v>
                </c:pt>
                <c:pt idx="698">
                  <c:v>-161.72944297082228</c:v>
                </c:pt>
                <c:pt idx="699">
                  <c:v>-160.72944297082228</c:v>
                </c:pt>
                <c:pt idx="700">
                  <c:v>-156.72944297082228</c:v>
                </c:pt>
                <c:pt idx="701">
                  <c:v>-134.72944297082228</c:v>
                </c:pt>
                <c:pt idx="702">
                  <c:v>-89.729442970822276</c:v>
                </c:pt>
                <c:pt idx="703">
                  <c:v>-73.729442970822276</c:v>
                </c:pt>
                <c:pt idx="704">
                  <c:v>-32.729442970822276</c:v>
                </c:pt>
                <c:pt idx="705">
                  <c:v>10.270557029177724</c:v>
                </c:pt>
                <c:pt idx="706">
                  <c:v>124.27055702917772</c:v>
                </c:pt>
                <c:pt idx="707">
                  <c:v>173.27055702917772</c:v>
                </c:pt>
                <c:pt idx="708">
                  <c:v>173.27055702917772</c:v>
                </c:pt>
                <c:pt idx="709">
                  <c:v>152.27055702917772</c:v>
                </c:pt>
                <c:pt idx="710">
                  <c:v>152.27055702917772</c:v>
                </c:pt>
                <c:pt idx="711">
                  <c:v>192.27055702917772</c:v>
                </c:pt>
                <c:pt idx="712">
                  <c:v>241.27055702917772</c:v>
                </c:pt>
                <c:pt idx="713">
                  <c:v>260.27055702917772</c:v>
                </c:pt>
                <c:pt idx="714">
                  <c:v>261.27055702917772</c:v>
                </c:pt>
                <c:pt idx="715">
                  <c:v>266.27055702917772</c:v>
                </c:pt>
                <c:pt idx="716">
                  <c:v>271.27055702917772</c:v>
                </c:pt>
                <c:pt idx="717">
                  <c:v>270.27055702917772</c:v>
                </c:pt>
                <c:pt idx="718">
                  <c:v>270.27055702917772</c:v>
                </c:pt>
                <c:pt idx="719">
                  <c:v>96.270557029177724</c:v>
                </c:pt>
                <c:pt idx="720">
                  <c:v>-17.729442970822276</c:v>
                </c:pt>
                <c:pt idx="721">
                  <c:v>-82.729442970822276</c:v>
                </c:pt>
                <c:pt idx="722">
                  <c:v>-153.72944297082228</c:v>
                </c:pt>
                <c:pt idx="723">
                  <c:v>-166.72944297082228</c:v>
                </c:pt>
                <c:pt idx="724">
                  <c:v>-173.72944297082228</c:v>
                </c:pt>
                <c:pt idx="725">
                  <c:v>-211.72944297082228</c:v>
                </c:pt>
                <c:pt idx="726">
                  <c:v>-211.72944297082228</c:v>
                </c:pt>
                <c:pt idx="727">
                  <c:v>-203.72944297082228</c:v>
                </c:pt>
                <c:pt idx="728">
                  <c:v>-186.72944297082228</c:v>
                </c:pt>
                <c:pt idx="729">
                  <c:v>-183.72944297082228</c:v>
                </c:pt>
                <c:pt idx="730">
                  <c:v>-182.72944297082228</c:v>
                </c:pt>
                <c:pt idx="731">
                  <c:v>-182.72944297082228</c:v>
                </c:pt>
                <c:pt idx="732">
                  <c:v>-190.72944297082228</c:v>
                </c:pt>
                <c:pt idx="733">
                  <c:v>-190.72944297082228</c:v>
                </c:pt>
                <c:pt idx="734">
                  <c:v>-177.72944297082228</c:v>
                </c:pt>
                <c:pt idx="735">
                  <c:v>-152.72944297082228</c:v>
                </c:pt>
                <c:pt idx="736">
                  <c:v>66.270557029177724</c:v>
                </c:pt>
                <c:pt idx="737">
                  <c:v>193.27055702917772</c:v>
                </c:pt>
                <c:pt idx="738">
                  <c:v>230.27055702917772</c:v>
                </c:pt>
                <c:pt idx="739">
                  <c:v>242.27055702917772</c:v>
                </c:pt>
                <c:pt idx="740">
                  <c:v>252.27055702917772</c:v>
                </c:pt>
                <c:pt idx="741">
                  <c:v>252.27055702917772</c:v>
                </c:pt>
                <c:pt idx="742">
                  <c:v>247.27055702917772</c:v>
                </c:pt>
                <c:pt idx="743">
                  <c:v>222.27055702917772</c:v>
                </c:pt>
                <c:pt idx="744">
                  <c:v>222.27055702917772</c:v>
                </c:pt>
                <c:pt idx="745">
                  <c:v>230.27055702917772</c:v>
                </c:pt>
                <c:pt idx="746">
                  <c:v>246.27055702917772</c:v>
                </c:pt>
                <c:pt idx="747">
                  <c:v>246.27055702917772</c:v>
                </c:pt>
                <c:pt idx="748">
                  <c:v>75.270557029177724</c:v>
                </c:pt>
                <c:pt idx="749">
                  <c:v>-139.72944297082228</c:v>
                </c:pt>
                <c:pt idx="750">
                  <c:v>-193.72944297082228</c:v>
                </c:pt>
                <c:pt idx="751">
                  <c:v>-199.72944297082228</c:v>
                </c:pt>
                <c:pt idx="752">
                  <c:v>-199.72944297082228</c:v>
                </c:pt>
                <c:pt idx="753">
                  <c:v>-196.72944297082228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saturated_qbo!$C$4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xVal>
            <c:numRef>
              <c:f>saturated_qbo!$A$5:$A$758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saturated_qbo!$C$5:$C$758</c:f>
              <c:numCache>
                <c:formatCode>General</c:formatCode>
                <c:ptCount val="754"/>
                <c:pt idx="0">
                  <c:v>-211.76687641355616</c:v>
                </c:pt>
                <c:pt idx="1">
                  <c:v>-218.41267463385009</c:v>
                </c:pt>
                <c:pt idx="2">
                  <c:v>-208.29834204955782</c:v>
                </c:pt>
                <c:pt idx="3">
                  <c:v>-169.15089246899734</c:v>
                </c:pt>
                <c:pt idx="4">
                  <c:v>17.821377414998953</c:v>
                </c:pt>
                <c:pt idx="5">
                  <c:v>167.06489926417845</c:v>
                </c:pt>
                <c:pt idx="6">
                  <c:v>187.44641488628781</c:v>
                </c:pt>
                <c:pt idx="7">
                  <c:v>193.67917257187727</c:v>
                </c:pt>
                <c:pt idx="8">
                  <c:v>204.91237792200792</c:v>
                </c:pt>
                <c:pt idx="9">
                  <c:v>209.06268111123686</c:v>
                </c:pt>
                <c:pt idx="10">
                  <c:v>205.65986006559049</c:v>
                </c:pt>
                <c:pt idx="11">
                  <c:v>186.97793852115603</c:v>
                </c:pt>
                <c:pt idx="12">
                  <c:v>150.81635859802549</c:v>
                </c:pt>
                <c:pt idx="13">
                  <c:v>143.94063955755905</c:v>
                </c:pt>
                <c:pt idx="14">
                  <c:v>160.18098421818289</c:v>
                </c:pt>
                <c:pt idx="15">
                  <c:v>169.53826930348328</c:v>
                </c:pt>
                <c:pt idx="16">
                  <c:v>180.51896797386013</c:v>
                </c:pt>
                <c:pt idx="17">
                  <c:v>176.03134891292029</c:v>
                </c:pt>
                <c:pt idx="18">
                  <c:v>147.20966580913151</c:v>
                </c:pt>
                <c:pt idx="19">
                  <c:v>109.75149941081862</c:v>
                </c:pt>
                <c:pt idx="20">
                  <c:v>19.269855338284962</c:v>
                </c:pt>
                <c:pt idx="21">
                  <c:v>-107.14188769618251</c:v>
                </c:pt>
                <c:pt idx="22">
                  <c:v>-146.27361329804421</c:v>
                </c:pt>
                <c:pt idx="23">
                  <c:v>-166.27997118991533</c:v>
                </c:pt>
                <c:pt idx="24">
                  <c:v>-177.44833512719845</c:v>
                </c:pt>
                <c:pt idx="25">
                  <c:v>-182.39162807571162</c:v>
                </c:pt>
                <c:pt idx="26">
                  <c:v>-197.11313271931658</c:v>
                </c:pt>
                <c:pt idx="27">
                  <c:v>-203.01046550428532</c:v>
                </c:pt>
                <c:pt idx="28">
                  <c:v>-189.80156825465781</c:v>
                </c:pt>
                <c:pt idx="29">
                  <c:v>-183.68856851572303</c:v>
                </c:pt>
                <c:pt idx="30">
                  <c:v>-192.35393955478591</c:v>
                </c:pt>
                <c:pt idx="31">
                  <c:v>-195.55560325335804</c:v>
                </c:pt>
                <c:pt idx="32">
                  <c:v>-185.02253061925171</c:v>
                </c:pt>
                <c:pt idx="33">
                  <c:v>-129.86636892070848</c:v>
                </c:pt>
                <c:pt idx="34">
                  <c:v>34.661326869951196</c:v>
                </c:pt>
                <c:pt idx="35">
                  <c:v>91.889296318245087</c:v>
                </c:pt>
                <c:pt idx="36">
                  <c:v>93.190146698713548</c:v>
                </c:pt>
                <c:pt idx="37">
                  <c:v>103.16621873334532</c:v>
                </c:pt>
                <c:pt idx="38">
                  <c:v>122.94598160279971</c:v>
                </c:pt>
                <c:pt idx="39">
                  <c:v>169.27932611494012</c:v>
                </c:pt>
                <c:pt idx="40">
                  <c:v>202.38107087589805</c:v>
                </c:pt>
                <c:pt idx="41">
                  <c:v>212.42154407357572</c:v>
                </c:pt>
                <c:pt idx="42">
                  <c:v>218.75988316285682</c:v>
                </c:pt>
                <c:pt idx="43">
                  <c:v>223.92894431524741</c:v>
                </c:pt>
                <c:pt idx="44">
                  <c:v>221.73280669934803</c:v>
                </c:pt>
                <c:pt idx="45">
                  <c:v>211.63115854905058</c:v>
                </c:pt>
                <c:pt idx="46">
                  <c:v>174.28805866813283</c:v>
                </c:pt>
                <c:pt idx="47">
                  <c:v>42.827195541672467</c:v>
                </c:pt>
                <c:pt idx="48">
                  <c:v>-118.72971548125642</c:v>
                </c:pt>
                <c:pt idx="49">
                  <c:v>-174.60405144114304</c:v>
                </c:pt>
                <c:pt idx="50">
                  <c:v>-205.82084621300888</c:v>
                </c:pt>
                <c:pt idx="51">
                  <c:v>-212.60895579502741</c:v>
                </c:pt>
                <c:pt idx="52">
                  <c:v>-206.58221217127814</c:v>
                </c:pt>
                <c:pt idx="53">
                  <c:v>-194.81136079461032</c:v>
                </c:pt>
                <c:pt idx="54">
                  <c:v>-180.56804335748615</c:v>
                </c:pt>
                <c:pt idx="55">
                  <c:v>-183.9808429436433</c:v>
                </c:pt>
                <c:pt idx="56">
                  <c:v>-188.91037567381812</c:v>
                </c:pt>
                <c:pt idx="57">
                  <c:v>-172.03102811763517</c:v>
                </c:pt>
                <c:pt idx="58">
                  <c:v>-151.93005856300022</c:v>
                </c:pt>
                <c:pt idx="59">
                  <c:v>-142.94427030295188</c:v>
                </c:pt>
                <c:pt idx="60">
                  <c:v>-137.26474297162446</c:v>
                </c:pt>
                <c:pt idx="61">
                  <c:v>-141.44490614745726</c:v>
                </c:pt>
                <c:pt idx="62">
                  <c:v>-99.21965341876502</c:v>
                </c:pt>
                <c:pt idx="63">
                  <c:v>110.34171799632217</c:v>
                </c:pt>
                <c:pt idx="64">
                  <c:v>194.13474663233785</c:v>
                </c:pt>
                <c:pt idx="65">
                  <c:v>221.37929181415205</c:v>
                </c:pt>
                <c:pt idx="66">
                  <c:v>229.28397232448393</c:v>
                </c:pt>
                <c:pt idx="67">
                  <c:v>226.03350409138557</c:v>
                </c:pt>
                <c:pt idx="68">
                  <c:v>224.32190408539182</c:v>
                </c:pt>
                <c:pt idx="69">
                  <c:v>220.41309594677293</c:v>
                </c:pt>
                <c:pt idx="70">
                  <c:v>194.60988600267476</c:v>
                </c:pt>
                <c:pt idx="71">
                  <c:v>142.12689715909585</c:v>
                </c:pt>
                <c:pt idx="72">
                  <c:v>74.534560689946417</c:v>
                </c:pt>
                <c:pt idx="73">
                  <c:v>-17.109341545306012</c:v>
                </c:pt>
                <c:pt idx="74">
                  <c:v>-59.454137079111312</c:v>
                </c:pt>
                <c:pt idx="75">
                  <c:v>-101.41420103554069</c:v>
                </c:pt>
                <c:pt idx="76">
                  <c:v>-155.69562910725855</c:v>
                </c:pt>
                <c:pt idx="77">
                  <c:v>-185.73430872251413</c:v>
                </c:pt>
                <c:pt idx="78">
                  <c:v>-209.65220303988357</c:v>
                </c:pt>
                <c:pt idx="79">
                  <c:v>-229.43161083197847</c:v>
                </c:pt>
                <c:pt idx="80">
                  <c:v>-235.66060303859746</c:v>
                </c:pt>
                <c:pt idx="81">
                  <c:v>-233.75143766692105</c:v>
                </c:pt>
                <c:pt idx="82">
                  <c:v>-225.33013801298503</c:v>
                </c:pt>
                <c:pt idx="83">
                  <c:v>-201.93257211926016</c:v>
                </c:pt>
                <c:pt idx="84">
                  <c:v>-173.55552868585528</c:v>
                </c:pt>
                <c:pt idx="85">
                  <c:v>-156.44221060370683</c:v>
                </c:pt>
                <c:pt idx="86">
                  <c:v>-115.09064263509865</c:v>
                </c:pt>
                <c:pt idx="87">
                  <c:v>25.207089700188565</c:v>
                </c:pt>
                <c:pt idx="88">
                  <c:v>159.03348185595536</c:v>
                </c:pt>
                <c:pt idx="89">
                  <c:v>211.11219663351395</c:v>
                </c:pt>
                <c:pt idx="90">
                  <c:v>224.94677884228591</c:v>
                </c:pt>
                <c:pt idx="91">
                  <c:v>230.01114867360309</c:v>
                </c:pt>
                <c:pt idx="92">
                  <c:v>240.18951171442529</c:v>
                </c:pt>
                <c:pt idx="93">
                  <c:v>245.53166397390214</c:v>
                </c:pt>
                <c:pt idx="94">
                  <c:v>242.0293800176002</c:v>
                </c:pt>
                <c:pt idx="95">
                  <c:v>227.17350779035337</c:v>
                </c:pt>
                <c:pt idx="96">
                  <c:v>186.04971508754335</c:v>
                </c:pt>
                <c:pt idx="97">
                  <c:v>107.68191309558171</c:v>
                </c:pt>
                <c:pt idx="98">
                  <c:v>5.5304411047594781</c:v>
                </c:pt>
                <c:pt idx="99">
                  <c:v>-97.528282822626906</c:v>
                </c:pt>
                <c:pt idx="100">
                  <c:v>-140.53939186999887</c:v>
                </c:pt>
                <c:pt idx="101">
                  <c:v>-163.24228517932485</c:v>
                </c:pt>
                <c:pt idx="102">
                  <c:v>-187.73607505136349</c:v>
                </c:pt>
                <c:pt idx="103">
                  <c:v>-197.10314323114036</c:v>
                </c:pt>
                <c:pt idx="104">
                  <c:v>-200.18885644021583</c:v>
                </c:pt>
                <c:pt idx="105">
                  <c:v>-213.23467107354534</c:v>
                </c:pt>
                <c:pt idx="106">
                  <c:v>-223.72541079524959</c:v>
                </c:pt>
                <c:pt idx="107">
                  <c:v>-229.91926089978946</c:v>
                </c:pt>
                <c:pt idx="108">
                  <c:v>-235.22549178007037</c:v>
                </c:pt>
                <c:pt idx="109">
                  <c:v>-234.57531214394547</c:v>
                </c:pt>
                <c:pt idx="110">
                  <c:v>-228.46110193872235</c:v>
                </c:pt>
                <c:pt idx="111">
                  <c:v>-209.1242056301495</c:v>
                </c:pt>
                <c:pt idx="112">
                  <c:v>-120.5553740228513</c:v>
                </c:pt>
                <c:pt idx="113">
                  <c:v>132.67101102708341</c:v>
                </c:pt>
                <c:pt idx="114">
                  <c:v>189.67987320243435</c:v>
                </c:pt>
                <c:pt idx="115">
                  <c:v>208.13789329357863</c:v>
                </c:pt>
                <c:pt idx="116">
                  <c:v>215.59523906868699</c:v>
                </c:pt>
                <c:pt idx="117">
                  <c:v>220.58451548815688</c:v>
                </c:pt>
                <c:pt idx="118">
                  <c:v>226.61937007626207</c:v>
                </c:pt>
                <c:pt idx="119">
                  <c:v>222.45256371813548</c:v>
                </c:pt>
                <c:pt idx="120">
                  <c:v>209.72710950077405</c:v>
                </c:pt>
                <c:pt idx="121">
                  <c:v>205.35621965215549</c:v>
                </c:pt>
                <c:pt idx="122">
                  <c:v>206.92607273264858</c:v>
                </c:pt>
                <c:pt idx="123">
                  <c:v>211.09329176344249</c:v>
                </c:pt>
                <c:pt idx="124">
                  <c:v>210.94068100025004</c:v>
                </c:pt>
                <c:pt idx="125">
                  <c:v>179.5556384990156</c:v>
                </c:pt>
                <c:pt idx="126">
                  <c:v>69.358308362890568</c:v>
                </c:pt>
                <c:pt idx="127">
                  <c:v>-102.38107462656238</c:v>
                </c:pt>
                <c:pt idx="128">
                  <c:v>-162.2270719019123</c:v>
                </c:pt>
                <c:pt idx="129">
                  <c:v>-187.36802090555886</c:v>
                </c:pt>
                <c:pt idx="130">
                  <c:v>-202.61991877116017</c:v>
                </c:pt>
                <c:pt idx="131">
                  <c:v>-218.37945349678637</c:v>
                </c:pt>
                <c:pt idx="132">
                  <c:v>-223.30972736508696</c:v>
                </c:pt>
                <c:pt idx="133">
                  <c:v>-220.93789571828759</c:v>
                </c:pt>
                <c:pt idx="134">
                  <c:v>-222.88244643317768</c:v>
                </c:pt>
                <c:pt idx="135">
                  <c:v>-218.13496305946859</c:v>
                </c:pt>
                <c:pt idx="136">
                  <c:v>-196.66462826549599</c:v>
                </c:pt>
                <c:pt idx="137">
                  <c:v>-160.23059545757025</c:v>
                </c:pt>
                <c:pt idx="138">
                  <c:v>-95.806698755659497</c:v>
                </c:pt>
                <c:pt idx="139">
                  <c:v>-18.772741269855075</c:v>
                </c:pt>
                <c:pt idx="140">
                  <c:v>16.143880674142554</c:v>
                </c:pt>
                <c:pt idx="141">
                  <c:v>82.960265511870787</c:v>
                </c:pt>
                <c:pt idx="142">
                  <c:v>129.09210631509248</c:v>
                </c:pt>
                <c:pt idx="143">
                  <c:v>133.81032565138844</c:v>
                </c:pt>
                <c:pt idx="144">
                  <c:v>128.48306655371476</c:v>
                </c:pt>
                <c:pt idx="145">
                  <c:v>106.76766280380552</c:v>
                </c:pt>
                <c:pt idx="146">
                  <c:v>91.278755736601781</c:v>
                </c:pt>
                <c:pt idx="147">
                  <c:v>142.59114566084708</c:v>
                </c:pt>
                <c:pt idx="148">
                  <c:v>179.87347643017645</c:v>
                </c:pt>
                <c:pt idx="149">
                  <c:v>184.42487052495625</c:v>
                </c:pt>
                <c:pt idx="150">
                  <c:v>176.41000951587455</c:v>
                </c:pt>
                <c:pt idx="151">
                  <c:v>164.62256065949109</c:v>
                </c:pt>
                <c:pt idx="152">
                  <c:v>171.11546166397198</c:v>
                </c:pt>
                <c:pt idx="153">
                  <c:v>190.63533728151953</c:v>
                </c:pt>
                <c:pt idx="154">
                  <c:v>181.71715455808013</c:v>
                </c:pt>
                <c:pt idx="155">
                  <c:v>128.33445769927144</c:v>
                </c:pt>
                <c:pt idx="156">
                  <c:v>19.241041649671914</c:v>
                </c:pt>
                <c:pt idx="157">
                  <c:v>-109.49268473040502</c:v>
                </c:pt>
                <c:pt idx="158">
                  <c:v>-154.62653775556299</c:v>
                </c:pt>
                <c:pt idx="159">
                  <c:v>-160.45319102557747</c:v>
                </c:pt>
                <c:pt idx="160">
                  <c:v>-156.78533049006046</c:v>
                </c:pt>
                <c:pt idx="161">
                  <c:v>-131.89727258603818</c:v>
                </c:pt>
                <c:pt idx="162">
                  <c:v>-76.380994063370053</c:v>
                </c:pt>
                <c:pt idx="163">
                  <c:v>-64.699809726776735</c:v>
                </c:pt>
                <c:pt idx="164">
                  <c:v>-91.556436008998588</c:v>
                </c:pt>
                <c:pt idx="165">
                  <c:v>-127.01330777512581</c:v>
                </c:pt>
                <c:pt idx="166">
                  <c:v>-169.91258729796459</c:v>
                </c:pt>
                <c:pt idx="167">
                  <c:v>-188.12116066936517</c:v>
                </c:pt>
                <c:pt idx="168">
                  <c:v>-192.23377444587112</c:v>
                </c:pt>
                <c:pt idx="169">
                  <c:v>-198.49080732686079</c:v>
                </c:pt>
                <c:pt idx="170">
                  <c:v>-188.53374827999252</c:v>
                </c:pt>
                <c:pt idx="171">
                  <c:v>-141.0086347700794</c:v>
                </c:pt>
                <c:pt idx="172">
                  <c:v>-20.172232577596702</c:v>
                </c:pt>
                <c:pt idx="173">
                  <c:v>104.50920484569596</c:v>
                </c:pt>
                <c:pt idx="174">
                  <c:v>103.52109561579326</c:v>
                </c:pt>
                <c:pt idx="175">
                  <c:v>26.270948260607213</c:v>
                </c:pt>
                <c:pt idx="176">
                  <c:v>37.642274003397738</c:v>
                </c:pt>
                <c:pt idx="177">
                  <c:v>111.65073353211925</c:v>
                </c:pt>
                <c:pt idx="178">
                  <c:v>143.68880020489883</c:v>
                </c:pt>
                <c:pt idx="179">
                  <c:v>158.14173305240902</c:v>
                </c:pt>
                <c:pt idx="180">
                  <c:v>155.05240336150021</c:v>
                </c:pt>
                <c:pt idx="181">
                  <c:v>150.68336912187596</c:v>
                </c:pt>
                <c:pt idx="182">
                  <c:v>172.79898989171809</c:v>
                </c:pt>
                <c:pt idx="183">
                  <c:v>189.70757028131626</c:v>
                </c:pt>
                <c:pt idx="184">
                  <c:v>194.65030099586392</c:v>
                </c:pt>
                <c:pt idx="185">
                  <c:v>197.22211886961895</c:v>
                </c:pt>
                <c:pt idx="186">
                  <c:v>187.9741870860575</c:v>
                </c:pt>
                <c:pt idx="187">
                  <c:v>172.27315479525097</c:v>
                </c:pt>
                <c:pt idx="188">
                  <c:v>158.73102843356517</c:v>
                </c:pt>
                <c:pt idx="189">
                  <c:v>96.507624128447134</c:v>
                </c:pt>
                <c:pt idx="190">
                  <c:v>-87.983616384655278</c:v>
                </c:pt>
                <c:pt idx="191">
                  <c:v>-163.41457322152908</c:v>
                </c:pt>
                <c:pt idx="192">
                  <c:v>-199.60990035971284</c:v>
                </c:pt>
                <c:pt idx="193">
                  <c:v>-217.67975449669612</c:v>
                </c:pt>
                <c:pt idx="194">
                  <c:v>-224.53051978220168</c:v>
                </c:pt>
                <c:pt idx="195">
                  <c:v>-226.32188245827439</c:v>
                </c:pt>
                <c:pt idx="196">
                  <c:v>-214.62492741164206</c:v>
                </c:pt>
                <c:pt idx="197">
                  <c:v>-189.82135784465606</c:v>
                </c:pt>
                <c:pt idx="198">
                  <c:v>-181.50954662922609</c:v>
                </c:pt>
                <c:pt idx="199">
                  <c:v>-180.51575739091695</c:v>
                </c:pt>
                <c:pt idx="200">
                  <c:v>-160.18743136729515</c:v>
                </c:pt>
                <c:pt idx="201">
                  <c:v>-107.17709440862319</c:v>
                </c:pt>
                <c:pt idx="202">
                  <c:v>53.09011924711281</c:v>
                </c:pt>
                <c:pt idx="203">
                  <c:v>133.58780871592842</c:v>
                </c:pt>
                <c:pt idx="204">
                  <c:v>137.01708672657696</c:v>
                </c:pt>
                <c:pt idx="205">
                  <c:v>139.58151907616534</c:v>
                </c:pt>
                <c:pt idx="206">
                  <c:v>158.74947745986216</c:v>
                </c:pt>
                <c:pt idx="207">
                  <c:v>180.65430348622226</c:v>
                </c:pt>
                <c:pt idx="208">
                  <c:v>204.00474308198122</c:v>
                </c:pt>
                <c:pt idx="209">
                  <c:v>210.98907635968854</c:v>
                </c:pt>
                <c:pt idx="210">
                  <c:v>202.98634451489073</c:v>
                </c:pt>
                <c:pt idx="211">
                  <c:v>202.86472403211141</c:v>
                </c:pt>
                <c:pt idx="212">
                  <c:v>206.05666815133111</c:v>
                </c:pt>
                <c:pt idx="213">
                  <c:v>195.57643439322641</c:v>
                </c:pt>
                <c:pt idx="214">
                  <c:v>162.44898231912026</c:v>
                </c:pt>
                <c:pt idx="215">
                  <c:v>42.406230366974675</c:v>
                </c:pt>
                <c:pt idx="216">
                  <c:v>-133.26618660630285</c:v>
                </c:pt>
                <c:pt idx="217">
                  <c:v>-175.29337619044978</c:v>
                </c:pt>
                <c:pt idx="218">
                  <c:v>-199.15574614089482</c:v>
                </c:pt>
                <c:pt idx="219">
                  <c:v>-210.95154874767061</c:v>
                </c:pt>
                <c:pt idx="220">
                  <c:v>-203.71200049617249</c:v>
                </c:pt>
                <c:pt idx="221">
                  <c:v>-191.64055861937857</c:v>
                </c:pt>
                <c:pt idx="222">
                  <c:v>-183.74291698166405</c:v>
                </c:pt>
                <c:pt idx="223">
                  <c:v>-178.43206828266352</c:v>
                </c:pt>
                <c:pt idx="224">
                  <c:v>-184.49430909270023</c:v>
                </c:pt>
                <c:pt idx="225">
                  <c:v>-182.37735209971726</c:v>
                </c:pt>
                <c:pt idx="226">
                  <c:v>-159.72148591997316</c:v>
                </c:pt>
                <c:pt idx="227">
                  <c:v>-138.71120014072903</c:v>
                </c:pt>
                <c:pt idx="228">
                  <c:v>-114.47680591092728</c:v>
                </c:pt>
                <c:pt idx="229">
                  <c:v>-62.884262819752252</c:v>
                </c:pt>
                <c:pt idx="230">
                  <c:v>43.03126721956729</c:v>
                </c:pt>
                <c:pt idx="231">
                  <c:v>162.29627254015284</c:v>
                </c:pt>
                <c:pt idx="232">
                  <c:v>217.99036486957357</c:v>
                </c:pt>
                <c:pt idx="233">
                  <c:v>232.69010810260096</c:v>
                </c:pt>
                <c:pt idx="234">
                  <c:v>231.85486206351246</c:v>
                </c:pt>
                <c:pt idx="235">
                  <c:v>224.57317641903506</c:v>
                </c:pt>
                <c:pt idx="236">
                  <c:v>213.80119925995055</c:v>
                </c:pt>
                <c:pt idx="237">
                  <c:v>205.58718800083295</c:v>
                </c:pt>
                <c:pt idx="238">
                  <c:v>180.67799492005554</c:v>
                </c:pt>
                <c:pt idx="239">
                  <c:v>82.679819164555369</c:v>
                </c:pt>
                <c:pt idx="240">
                  <c:v>-96.241024998343818</c:v>
                </c:pt>
                <c:pt idx="241">
                  <c:v>-155.891072616157</c:v>
                </c:pt>
                <c:pt idx="242">
                  <c:v>-185.88809438995386</c:v>
                </c:pt>
                <c:pt idx="243">
                  <c:v>-196.24187874287219</c:v>
                </c:pt>
                <c:pt idx="244">
                  <c:v>-204.33985746374194</c:v>
                </c:pt>
                <c:pt idx="245">
                  <c:v>-212.88459839192583</c:v>
                </c:pt>
                <c:pt idx="246">
                  <c:v>-211.35556197995831</c:v>
                </c:pt>
                <c:pt idx="247">
                  <c:v>-207.26306863089806</c:v>
                </c:pt>
                <c:pt idx="248">
                  <c:v>-202.40534040201925</c:v>
                </c:pt>
                <c:pt idx="249">
                  <c:v>-187.24509388134783</c:v>
                </c:pt>
                <c:pt idx="250">
                  <c:v>-172.15779458775313</c:v>
                </c:pt>
                <c:pt idx="251">
                  <c:v>-153.56189287140944</c:v>
                </c:pt>
                <c:pt idx="252">
                  <c:v>-110.84132392241197</c:v>
                </c:pt>
                <c:pt idx="253">
                  <c:v>-80.834690358413141</c:v>
                </c:pt>
                <c:pt idx="254">
                  <c:v>-35.307326499675312</c:v>
                </c:pt>
                <c:pt idx="255">
                  <c:v>117.57370524418123</c:v>
                </c:pt>
                <c:pt idx="256">
                  <c:v>191.37389895125679</c:v>
                </c:pt>
                <c:pt idx="257">
                  <c:v>221.21473563840348</c:v>
                </c:pt>
                <c:pt idx="258">
                  <c:v>229.68288337298921</c:v>
                </c:pt>
                <c:pt idx="259">
                  <c:v>222.29794093930911</c:v>
                </c:pt>
                <c:pt idx="260">
                  <c:v>216.29217112357551</c:v>
                </c:pt>
                <c:pt idx="261">
                  <c:v>219.62154909088059</c:v>
                </c:pt>
                <c:pt idx="262">
                  <c:v>214.3062436078537</c:v>
                </c:pt>
                <c:pt idx="263">
                  <c:v>197.35510447801116</c:v>
                </c:pt>
                <c:pt idx="264">
                  <c:v>166.6830674216188</c:v>
                </c:pt>
                <c:pt idx="265">
                  <c:v>101.55837645726835</c:v>
                </c:pt>
                <c:pt idx="266">
                  <c:v>24.76759038844866</c:v>
                </c:pt>
                <c:pt idx="267">
                  <c:v>-51.583898475099026</c:v>
                </c:pt>
                <c:pt idx="268">
                  <c:v>-138.4804093704204</c:v>
                </c:pt>
                <c:pt idx="269">
                  <c:v>-186.48617605146143</c:v>
                </c:pt>
                <c:pt idx="270">
                  <c:v>-210.86470829431067</c:v>
                </c:pt>
                <c:pt idx="271">
                  <c:v>-221.50041247977524</c:v>
                </c:pt>
                <c:pt idx="272">
                  <c:v>-215.78553062820151</c:v>
                </c:pt>
                <c:pt idx="273">
                  <c:v>-208.32434101370387</c:v>
                </c:pt>
                <c:pt idx="274">
                  <c:v>-213.98968593005787</c:v>
                </c:pt>
                <c:pt idx="275">
                  <c:v>-218.78956779055378</c:v>
                </c:pt>
                <c:pt idx="276">
                  <c:v>-223.06640967194977</c:v>
                </c:pt>
                <c:pt idx="277">
                  <c:v>-228.26641226720443</c:v>
                </c:pt>
                <c:pt idx="278">
                  <c:v>-224.12496824438355</c:v>
                </c:pt>
                <c:pt idx="279">
                  <c:v>-203.78768798781823</c:v>
                </c:pt>
                <c:pt idx="280">
                  <c:v>-124.2080945464334</c:v>
                </c:pt>
                <c:pt idx="281">
                  <c:v>150.71678809981671</c:v>
                </c:pt>
                <c:pt idx="282">
                  <c:v>213.60755552731234</c:v>
                </c:pt>
                <c:pt idx="283">
                  <c:v>227.33591722040228</c:v>
                </c:pt>
                <c:pt idx="284">
                  <c:v>231.76688207180024</c:v>
                </c:pt>
                <c:pt idx="285">
                  <c:v>228.49798659658336</c:v>
                </c:pt>
                <c:pt idx="286">
                  <c:v>219.61516124829814</c:v>
                </c:pt>
                <c:pt idx="287">
                  <c:v>208.81825896028008</c:v>
                </c:pt>
                <c:pt idx="288">
                  <c:v>187.20585235565622</c:v>
                </c:pt>
                <c:pt idx="289">
                  <c:v>171.22336811689308</c:v>
                </c:pt>
                <c:pt idx="290">
                  <c:v>187.9643581414754</c:v>
                </c:pt>
                <c:pt idx="291">
                  <c:v>206.94373001517434</c:v>
                </c:pt>
                <c:pt idx="292">
                  <c:v>215.90525195871618</c:v>
                </c:pt>
                <c:pt idx="293">
                  <c:v>205.83175393526463</c:v>
                </c:pt>
                <c:pt idx="294">
                  <c:v>145.68899966306199</c:v>
                </c:pt>
                <c:pt idx="295">
                  <c:v>-15.084444942510231</c:v>
                </c:pt>
                <c:pt idx="296">
                  <c:v>-97.76402232458102</c:v>
                </c:pt>
                <c:pt idx="297">
                  <c:v>-136.63942527056182</c:v>
                </c:pt>
                <c:pt idx="298">
                  <c:v>-164.51310864276766</c:v>
                </c:pt>
                <c:pt idx="299">
                  <c:v>-188.01467003387626</c:v>
                </c:pt>
                <c:pt idx="300">
                  <c:v>-209.77879838375245</c:v>
                </c:pt>
                <c:pt idx="301">
                  <c:v>-220.38767403762657</c:v>
                </c:pt>
                <c:pt idx="302">
                  <c:v>-228.88910628558276</c:v>
                </c:pt>
                <c:pt idx="303">
                  <c:v>-238.06601681792878</c:v>
                </c:pt>
                <c:pt idx="304">
                  <c:v>-237.51743025472865</c:v>
                </c:pt>
                <c:pt idx="305">
                  <c:v>-228.82418093746438</c:v>
                </c:pt>
                <c:pt idx="306">
                  <c:v>-217.96769295606575</c:v>
                </c:pt>
                <c:pt idx="307">
                  <c:v>-199.28378902194555</c:v>
                </c:pt>
                <c:pt idx="308">
                  <c:v>-177.41408907492578</c:v>
                </c:pt>
                <c:pt idx="309">
                  <c:v>-156.89089308204339</c:v>
                </c:pt>
                <c:pt idx="310">
                  <c:v>-106.74223381294431</c:v>
                </c:pt>
                <c:pt idx="311">
                  <c:v>-25.567081953059738</c:v>
                </c:pt>
                <c:pt idx="312">
                  <c:v>50.084131960455544</c:v>
                </c:pt>
                <c:pt idx="313">
                  <c:v>120.79702627379166</c:v>
                </c:pt>
                <c:pt idx="314">
                  <c:v>170.92211959820963</c:v>
                </c:pt>
                <c:pt idx="315">
                  <c:v>212.34450737162774</c:v>
                </c:pt>
                <c:pt idx="316">
                  <c:v>241.20352019952961</c:v>
                </c:pt>
                <c:pt idx="317">
                  <c:v>250.05976663423937</c:v>
                </c:pt>
                <c:pt idx="318">
                  <c:v>246.48289700562546</c:v>
                </c:pt>
                <c:pt idx="319">
                  <c:v>240.54898300995441</c:v>
                </c:pt>
                <c:pt idx="320">
                  <c:v>236.47243864872573</c:v>
                </c:pt>
                <c:pt idx="321">
                  <c:v>236.65922159342691</c:v>
                </c:pt>
                <c:pt idx="322">
                  <c:v>235.19940432840914</c:v>
                </c:pt>
                <c:pt idx="323">
                  <c:v>217.9413931251112</c:v>
                </c:pt>
                <c:pt idx="324">
                  <c:v>179.56065635613868</c:v>
                </c:pt>
                <c:pt idx="325">
                  <c:v>111.81266485589609</c:v>
                </c:pt>
                <c:pt idx="326">
                  <c:v>-74.837964897017301</c:v>
                </c:pt>
                <c:pt idx="327">
                  <c:v>-165.04773134976958</c:v>
                </c:pt>
                <c:pt idx="328">
                  <c:v>-198.93732753976698</c:v>
                </c:pt>
                <c:pt idx="329">
                  <c:v>-220.44846955864665</c:v>
                </c:pt>
                <c:pt idx="330">
                  <c:v>-228.06161410327374</c:v>
                </c:pt>
                <c:pt idx="331">
                  <c:v>-228.01744598148301</c:v>
                </c:pt>
                <c:pt idx="332">
                  <c:v>-231.82079942172092</c:v>
                </c:pt>
                <c:pt idx="333">
                  <c:v>-237.55338179320813</c:v>
                </c:pt>
                <c:pt idx="334">
                  <c:v>-245.71756306566769</c:v>
                </c:pt>
                <c:pt idx="335">
                  <c:v>-254.7315006632725</c:v>
                </c:pt>
                <c:pt idx="336">
                  <c:v>-258.39824533620646</c:v>
                </c:pt>
                <c:pt idx="337">
                  <c:v>-258.61939609770144</c:v>
                </c:pt>
                <c:pt idx="338">
                  <c:v>-254.99992409966043</c:v>
                </c:pt>
                <c:pt idx="339">
                  <c:v>-234.76544668819713</c:v>
                </c:pt>
                <c:pt idx="340">
                  <c:v>-158.47191966424114</c:v>
                </c:pt>
                <c:pt idx="341">
                  <c:v>128.73329070000543</c:v>
                </c:pt>
                <c:pt idx="342">
                  <c:v>211.47351570372976</c:v>
                </c:pt>
                <c:pt idx="343">
                  <c:v>231.74352850527239</c:v>
                </c:pt>
                <c:pt idx="344">
                  <c:v>240.77356797676762</c:v>
                </c:pt>
                <c:pt idx="345">
                  <c:v>251.24510231426677</c:v>
                </c:pt>
                <c:pt idx="346">
                  <c:v>256.69668754327643</c:v>
                </c:pt>
                <c:pt idx="347">
                  <c:v>256.88593240797354</c:v>
                </c:pt>
                <c:pt idx="348">
                  <c:v>256.80654575081752</c:v>
                </c:pt>
                <c:pt idx="349">
                  <c:v>256.21514715593833</c:v>
                </c:pt>
                <c:pt idx="350">
                  <c:v>256.88575195548498</c:v>
                </c:pt>
                <c:pt idx="351">
                  <c:v>258.73926735363244</c:v>
                </c:pt>
                <c:pt idx="352">
                  <c:v>253.4648021580048</c:v>
                </c:pt>
                <c:pt idx="353">
                  <c:v>234.30134942164958</c:v>
                </c:pt>
                <c:pt idx="354">
                  <c:v>186.4520877800621</c:v>
                </c:pt>
                <c:pt idx="355">
                  <c:v>-4.8732427674480858</c:v>
                </c:pt>
                <c:pt idx="356">
                  <c:v>-170.16865527461425</c:v>
                </c:pt>
                <c:pt idx="357">
                  <c:v>-212.87830979203531</c:v>
                </c:pt>
                <c:pt idx="358">
                  <c:v>-239.23588700157916</c:v>
                </c:pt>
                <c:pt idx="359">
                  <c:v>-252.37067235707477</c:v>
                </c:pt>
                <c:pt idx="360">
                  <c:v>-257.43867005688412</c:v>
                </c:pt>
                <c:pt idx="361">
                  <c:v>-262.13805203178197</c:v>
                </c:pt>
                <c:pt idx="362">
                  <c:v>-265.55427994806723</c:v>
                </c:pt>
                <c:pt idx="363">
                  <c:v>-266.37801974616514</c:v>
                </c:pt>
                <c:pt idx="364">
                  <c:v>-264.62860781447262</c:v>
                </c:pt>
                <c:pt idx="365">
                  <c:v>-257.15376241665086</c:v>
                </c:pt>
                <c:pt idx="366">
                  <c:v>-244.44050229162616</c:v>
                </c:pt>
                <c:pt idx="367">
                  <c:v>-228.72870871295362</c:v>
                </c:pt>
                <c:pt idx="368">
                  <c:v>-191.28367156524047</c:v>
                </c:pt>
                <c:pt idx="369">
                  <c:v>-65.418250761237573</c:v>
                </c:pt>
                <c:pt idx="370">
                  <c:v>141.47189625313067</c:v>
                </c:pt>
                <c:pt idx="371">
                  <c:v>199.8191328437901</c:v>
                </c:pt>
                <c:pt idx="372">
                  <c:v>217.08341155738967</c:v>
                </c:pt>
                <c:pt idx="373">
                  <c:v>221.41322620009589</c:v>
                </c:pt>
                <c:pt idx="374">
                  <c:v>234.8687913210307</c:v>
                </c:pt>
                <c:pt idx="375">
                  <c:v>251.14524036865186</c:v>
                </c:pt>
                <c:pt idx="376">
                  <c:v>262.24766180553098</c:v>
                </c:pt>
                <c:pt idx="377">
                  <c:v>268.00661567757686</c:v>
                </c:pt>
                <c:pt idx="378">
                  <c:v>267.06909189597309</c:v>
                </c:pt>
                <c:pt idx="379">
                  <c:v>261.99313787448756</c:v>
                </c:pt>
                <c:pt idx="380">
                  <c:v>257.15053311954335</c:v>
                </c:pt>
                <c:pt idx="381">
                  <c:v>246.33786835281649</c:v>
                </c:pt>
                <c:pt idx="382">
                  <c:v>216.8231670905561</c:v>
                </c:pt>
                <c:pt idx="383">
                  <c:v>138.27507012658666</c:v>
                </c:pt>
                <c:pt idx="384">
                  <c:v>-112.99398888113181</c:v>
                </c:pt>
                <c:pt idx="385">
                  <c:v>-195.94871454555593</c:v>
                </c:pt>
                <c:pt idx="386">
                  <c:v>-222.23907276726297</c:v>
                </c:pt>
                <c:pt idx="387">
                  <c:v>-239.61200986906618</c:v>
                </c:pt>
                <c:pt idx="388">
                  <c:v>-248.63658633277026</c:v>
                </c:pt>
                <c:pt idx="389">
                  <c:v>-250.68785878993395</c:v>
                </c:pt>
                <c:pt idx="390">
                  <c:v>-252.28299654031497</c:v>
                </c:pt>
                <c:pt idx="391">
                  <c:v>-251.40857379109741</c:v>
                </c:pt>
                <c:pt idx="392">
                  <c:v>-246.76563362692229</c:v>
                </c:pt>
                <c:pt idx="393">
                  <c:v>-242.54181430101815</c:v>
                </c:pt>
                <c:pt idx="394">
                  <c:v>-235.08523934773353</c:v>
                </c:pt>
                <c:pt idx="395">
                  <c:v>-224.28776195730944</c:v>
                </c:pt>
                <c:pt idx="396">
                  <c:v>-219.59595078038279</c:v>
                </c:pt>
                <c:pt idx="397">
                  <c:v>-213.046639476362</c:v>
                </c:pt>
                <c:pt idx="398">
                  <c:v>-191.16073465090057</c:v>
                </c:pt>
                <c:pt idx="399">
                  <c:v>-113.96443597483204</c:v>
                </c:pt>
                <c:pt idx="400">
                  <c:v>152.92259065449272</c:v>
                </c:pt>
                <c:pt idx="401">
                  <c:v>221.11414870908044</c:v>
                </c:pt>
                <c:pt idx="402">
                  <c:v>234.67481072770477</c:v>
                </c:pt>
                <c:pt idx="403">
                  <c:v>237.7386570360774</c:v>
                </c:pt>
                <c:pt idx="404">
                  <c:v>238.699413795075</c:v>
                </c:pt>
                <c:pt idx="405">
                  <c:v>236.88909447618832</c:v>
                </c:pt>
                <c:pt idx="406">
                  <c:v>234.01245287464346</c:v>
                </c:pt>
                <c:pt idx="407">
                  <c:v>224.9080205248795</c:v>
                </c:pt>
                <c:pt idx="408">
                  <c:v>213.74180874553525</c:v>
                </c:pt>
                <c:pt idx="409">
                  <c:v>218.27868682378514</c:v>
                </c:pt>
                <c:pt idx="410">
                  <c:v>226.12157026537838</c:v>
                </c:pt>
                <c:pt idx="411">
                  <c:v>226.63999453475142</c:v>
                </c:pt>
                <c:pt idx="412">
                  <c:v>218.83331050803827</c:v>
                </c:pt>
                <c:pt idx="413">
                  <c:v>183.08099194436946</c:v>
                </c:pt>
                <c:pt idx="414">
                  <c:v>66.036527352534549</c:v>
                </c:pt>
                <c:pt idx="415">
                  <c:v>-107.76820389492724</c:v>
                </c:pt>
                <c:pt idx="416">
                  <c:v>-167.44109817240579</c:v>
                </c:pt>
                <c:pt idx="417">
                  <c:v>-192.87859524470491</c:v>
                </c:pt>
                <c:pt idx="418">
                  <c:v>-201.72898804068137</c:v>
                </c:pt>
                <c:pt idx="419">
                  <c:v>-212.48268311286179</c:v>
                </c:pt>
                <c:pt idx="420">
                  <c:v>-222.97206531237703</c:v>
                </c:pt>
                <c:pt idx="421">
                  <c:v>-233.66355842015497</c:v>
                </c:pt>
                <c:pt idx="422">
                  <c:v>-246.91895461120535</c:v>
                </c:pt>
                <c:pt idx="423">
                  <c:v>-251.46156528853535</c:v>
                </c:pt>
                <c:pt idx="424">
                  <c:v>-243.6286395266462</c:v>
                </c:pt>
                <c:pt idx="425">
                  <c:v>-227.84879924490696</c:v>
                </c:pt>
                <c:pt idx="426">
                  <c:v>-203.41664603919932</c:v>
                </c:pt>
                <c:pt idx="427">
                  <c:v>-166.5564265209249</c:v>
                </c:pt>
                <c:pt idx="428">
                  <c:v>-114.35760410839119</c:v>
                </c:pt>
                <c:pt idx="429">
                  <c:v>29.49121641256076</c:v>
                </c:pt>
                <c:pt idx="430">
                  <c:v>120.04764300112934</c:v>
                </c:pt>
                <c:pt idx="431">
                  <c:v>113.5286214676316</c:v>
                </c:pt>
                <c:pt idx="432">
                  <c:v>91.077641723497237</c:v>
                </c:pt>
                <c:pt idx="433">
                  <c:v>101.80359243991192</c:v>
                </c:pt>
                <c:pt idx="434">
                  <c:v>148.96126116313349</c:v>
                </c:pt>
                <c:pt idx="435">
                  <c:v>206.53493689547949</c:v>
                </c:pt>
                <c:pt idx="436">
                  <c:v>234.91532849401952</c:v>
                </c:pt>
                <c:pt idx="437">
                  <c:v>242.48113974222312</c:v>
                </c:pt>
                <c:pt idx="438">
                  <c:v>243.72694580892031</c:v>
                </c:pt>
                <c:pt idx="439">
                  <c:v>242.10943642548344</c:v>
                </c:pt>
                <c:pt idx="440">
                  <c:v>238.74601913349431</c:v>
                </c:pt>
                <c:pt idx="441">
                  <c:v>234.70287958059222</c:v>
                </c:pt>
                <c:pt idx="442">
                  <c:v>218.32229234535737</c:v>
                </c:pt>
                <c:pt idx="443">
                  <c:v>178.72776912965304</c:v>
                </c:pt>
                <c:pt idx="444">
                  <c:v>119.89763915444499</c:v>
                </c:pt>
                <c:pt idx="445">
                  <c:v>-31.084800204337867</c:v>
                </c:pt>
                <c:pt idx="446">
                  <c:v>-154.17705264723446</c:v>
                </c:pt>
                <c:pt idx="447">
                  <c:v>-193.21763929574897</c:v>
                </c:pt>
                <c:pt idx="448">
                  <c:v>-211.32740302866961</c:v>
                </c:pt>
                <c:pt idx="449">
                  <c:v>-219.01852059348016</c:v>
                </c:pt>
                <c:pt idx="450">
                  <c:v>-222.46745217734934</c:v>
                </c:pt>
                <c:pt idx="451">
                  <c:v>-232.84020605055792</c:v>
                </c:pt>
                <c:pt idx="452">
                  <c:v>-240.91478973839961</c:v>
                </c:pt>
                <c:pt idx="453">
                  <c:v>-241.57989935818068</c:v>
                </c:pt>
                <c:pt idx="454">
                  <c:v>-241.13433468590182</c:v>
                </c:pt>
                <c:pt idx="455">
                  <c:v>-238.15384694586822</c:v>
                </c:pt>
                <c:pt idx="456">
                  <c:v>-231.26464839469264</c:v>
                </c:pt>
                <c:pt idx="457">
                  <c:v>-223.11487115644547</c:v>
                </c:pt>
                <c:pt idx="458">
                  <c:v>-193.54317406084107</c:v>
                </c:pt>
                <c:pt idx="459">
                  <c:v>-50.742616935761909</c:v>
                </c:pt>
                <c:pt idx="460">
                  <c:v>168.88156346895244</c:v>
                </c:pt>
                <c:pt idx="461">
                  <c:v>216.37085614429211</c:v>
                </c:pt>
                <c:pt idx="462">
                  <c:v>228.97135188419176</c:v>
                </c:pt>
                <c:pt idx="463">
                  <c:v>230.09209232140952</c:v>
                </c:pt>
                <c:pt idx="464">
                  <c:v>237.27005870954852</c:v>
                </c:pt>
                <c:pt idx="465">
                  <c:v>244.32757737407411</c:v>
                </c:pt>
                <c:pt idx="466">
                  <c:v>241.69161128690402</c:v>
                </c:pt>
                <c:pt idx="467">
                  <c:v>233.64441954697421</c:v>
                </c:pt>
                <c:pt idx="468">
                  <c:v>221.70660314938345</c:v>
                </c:pt>
                <c:pt idx="469">
                  <c:v>204.25252113450946</c:v>
                </c:pt>
                <c:pt idx="470">
                  <c:v>188.55850169701299</c:v>
                </c:pt>
                <c:pt idx="471">
                  <c:v>160.18466705735699</c:v>
                </c:pt>
                <c:pt idx="472">
                  <c:v>92.392743628924634</c:v>
                </c:pt>
                <c:pt idx="473">
                  <c:v>-13.288470255623983</c:v>
                </c:pt>
                <c:pt idx="474">
                  <c:v>-115.05305937481346</c:v>
                </c:pt>
                <c:pt idx="475">
                  <c:v>-173.69337485669928</c:v>
                </c:pt>
                <c:pt idx="476">
                  <c:v>-198.96039619975113</c:v>
                </c:pt>
                <c:pt idx="477">
                  <c:v>-218.06836960229069</c:v>
                </c:pt>
                <c:pt idx="478">
                  <c:v>-230.91793311021911</c:v>
                </c:pt>
                <c:pt idx="479">
                  <c:v>-234.06873779770487</c:v>
                </c:pt>
                <c:pt idx="480">
                  <c:v>-237.48370689113662</c:v>
                </c:pt>
                <c:pt idx="481">
                  <c:v>-241.24046931030483</c:v>
                </c:pt>
                <c:pt idx="482">
                  <c:v>-238.28736123377402</c:v>
                </c:pt>
                <c:pt idx="483">
                  <c:v>-226.31751058180782</c:v>
                </c:pt>
                <c:pt idx="484">
                  <c:v>-190.43657720987238</c:v>
                </c:pt>
                <c:pt idx="485">
                  <c:v>-90.839928963616629</c:v>
                </c:pt>
                <c:pt idx="486">
                  <c:v>52.296970739680532</c:v>
                </c:pt>
                <c:pt idx="487">
                  <c:v>128.85457160552346</c:v>
                </c:pt>
                <c:pt idx="488">
                  <c:v>191.75959172705248</c:v>
                </c:pt>
                <c:pt idx="489">
                  <c:v>223.38712978497492</c:v>
                </c:pt>
                <c:pt idx="490">
                  <c:v>237.15866975916532</c:v>
                </c:pt>
                <c:pt idx="491">
                  <c:v>238.13610073567182</c:v>
                </c:pt>
                <c:pt idx="492">
                  <c:v>225.48979390610126</c:v>
                </c:pt>
                <c:pt idx="493">
                  <c:v>210.75759053395018</c:v>
                </c:pt>
                <c:pt idx="494">
                  <c:v>203.25382426513804</c:v>
                </c:pt>
                <c:pt idx="495">
                  <c:v>194.18867872539386</c:v>
                </c:pt>
                <c:pt idx="496">
                  <c:v>187.17658118927628</c:v>
                </c:pt>
                <c:pt idx="497">
                  <c:v>169.58292894748587</c:v>
                </c:pt>
                <c:pt idx="498">
                  <c:v>113.33508820361725</c:v>
                </c:pt>
                <c:pt idx="499">
                  <c:v>23.505514206859868</c:v>
                </c:pt>
                <c:pt idx="500">
                  <c:v>-92.950803952780504</c:v>
                </c:pt>
                <c:pt idx="501">
                  <c:v>-174.51226137568995</c:v>
                </c:pt>
                <c:pt idx="502">
                  <c:v>-212.00150962256532</c:v>
                </c:pt>
                <c:pt idx="503">
                  <c:v>-230.30244563578265</c:v>
                </c:pt>
                <c:pt idx="504">
                  <c:v>-238.36060942379564</c:v>
                </c:pt>
                <c:pt idx="505">
                  <c:v>-236.5577395706153</c:v>
                </c:pt>
                <c:pt idx="506">
                  <c:v>-231.62703251279177</c:v>
                </c:pt>
                <c:pt idx="507">
                  <c:v>-220.13365675333878</c:v>
                </c:pt>
                <c:pt idx="508">
                  <c:v>-179.67840819970579</c:v>
                </c:pt>
                <c:pt idx="509">
                  <c:v>-93.328821159290385</c:v>
                </c:pt>
                <c:pt idx="510">
                  <c:v>11.90043341702223</c:v>
                </c:pt>
                <c:pt idx="511">
                  <c:v>80.971206874433221</c:v>
                </c:pt>
                <c:pt idx="512">
                  <c:v>117.78847092348283</c:v>
                </c:pt>
                <c:pt idx="513">
                  <c:v>159.56028958637938</c:v>
                </c:pt>
                <c:pt idx="514">
                  <c:v>194.57944028189104</c:v>
                </c:pt>
                <c:pt idx="515">
                  <c:v>200.16908356605859</c:v>
                </c:pt>
                <c:pt idx="516">
                  <c:v>188.05883160265878</c:v>
                </c:pt>
                <c:pt idx="517">
                  <c:v>177.02087568431358</c:v>
                </c:pt>
                <c:pt idx="518">
                  <c:v>171.62555807640933</c:v>
                </c:pt>
                <c:pt idx="519">
                  <c:v>187.68028712485153</c:v>
                </c:pt>
                <c:pt idx="520">
                  <c:v>207.07630957952784</c:v>
                </c:pt>
                <c:pt idx="521">
                  <c:v>203.24641494113195</c:v>
                </c:pt>
                <c:pt idx="522">
                  <c:v>181.83455846416291</c:v>
                </c:pt>
                <c:pt idx="523">
                  <c:v>153.96513613984988</c:v>
                </c:pt>
                <c:pt idx="524">
                  <c:v>103.0221608877077</c:v>
                </c:pt>
                <c:pt idx="525">
                  <c:v>-3.3980290164769795</c:v>
                </c:pt>
                <c:pt idx="526">
                  <c:v>-131.30091986623515</c:v>
                </c:pt>
                <c:pt idx="527">
                  <c:v>-196.47129190706738</c:v>
                </c:pt>
                <c:pt idx="528">
                  <c:v>-215.94694616316477</c:v>
                </c:pt>
                <c:pt idx="529">
                  <c:v>-218.49557120856159</c:v>
                </c:pt>
                <c:pt idx="530">
                  <c:v>-220.49326029905842</c:v>
                </c:pt>
                <c:pt idx="531">
                  <c:v>-215.38310129705644</c:v>
                </c:pt>
                <c:pt idx="532">
                  <c:v>-202.96706300798476</c:v>
                </c:pt>
                <c:pt idx="533">
                  <c:v>-190.07542013218551</c:v>
                </c:pt>
                <c:pt idx="534">
                  <c:v>-169.311065375466</c:v>
                </c:pt>
                <c:pt idx="535">
                  <c:v>-150.19655487294375</c:v>
                </c:pt>
                <c:pt idx="536">
                  <c:v>-129.92458975095337</c:v>
                </c:pt>
                <c:pt idx="537">
                  <c:v>-34.807486968196528</c:v>
                </c:pt>
                <c:pt idx="538">
                  <c:v>109.74357760287221</c:v>
                </c:pt>
                <c:pt idx="539">
                  <c:v>156.35705765119977</c:v>
                </c:pt>
                <c:pt idx="540">
                  <c:v>175.22768707196741</c:v>
                </c:pt>
                <c:pt idx="541">
                  <c:v>165.01715958537275</c:v>
                </c:pt>
                <c:pt idx="542">
                  <c:v>145.64840246269333</c:v>
                </c:pt>
                <c:pt idx="543">
                  <c:v>166.32747984014799</c:v>
                </c:pt>
                <c:pt idx="544">
                  <c:v>189.79892638869711</c:v>
                </c:pt>
                <c:pt idx="545">
                  <c:v>195.94633555396209</c:v>
                </c:pt>
                <c:pt idx="546">
                  <c:v>190.05176522377027</c:v>
                </c:pt>
                <c:pt idx="547">
                  <c:v>170.39979064796731</c:v>
                </c:pt>
                <c:pt idx="548">
                  <c:v>161.51749608628873</c:v>
                </c:pt>
                <c:pt idx="549">
                  <c:v>166.94477446719819</c:v>
                </c:pt>
                <c:pt idx="550">
                  <c:v>130.98035603077011</c:v>
                </c:pt>
                <c:pt idx="551">
                  <c:v>-10.301339834832772</c:v>
                </c:pt>
                <c:pt idx="552">
                  <c:v>-121.18324832886094</c:v>
                </c:pt>
                <c:pt idx="553">
                  <c:v>-161.27357070887254</c:v>
                </c:pt>
                <c:pt idx="554">
                  <c:v>-165.17240035633139</c:v>
                </c:pt>
                <c:pt idx="555">
                  <c:v>-147.25177535104032</c:v>
                </c:pt>
                <c:pt idx="556">
                  <c:v>-137.35713563292353</c:v>
                </c:pt>
                <c:pt idx="557">
                  <c:v>-120.15035458521248</c:v>
                </c:pt>
                <c:pt idx="558">
                  <c:v>-93.932488225637897</c:v>
                </c:pt>
                <c:pt idx="559">
                  <c:v>-96.547358457800755</c:v>
                </c:pt>
                <c:pt idx="560">
                  <c:v>-96.606146769565754</c:v>
                </c:pt>
                <c:pt idx="561">
                  <c:v>-108.65594237301299</c:v>
                </c:pt>
                <c:pt idx="562">
                  <c:v>-146.4495790272185</c:v>
                </c:pt>
                <c:pt idx="563">
                  <c:v>-163.6563744764085</c:v>
                </c:pt>
                <c:pt idx="564">
                  <c:v>-175.28805790232963</c:v>
                </c:pt>
                <c:pt idx="565">
                  <c:v>-194.06576216777034</c:v>
                </c:pt>
                <c:pt idx="566">
                  <c:v>-195.85324171338911</c:v>
                </c:pt>
                <c:pt idx="567">
                  <c:v>-170.39927420850873</c:v>
                </c:pt>
                <c:pt idx="568">
                  <c:v>-82.794977195330873</c:v>
                </c:pt>
                <c:pt idx="569">
                  <c:v>116.23627109009107</c:v>
                </c:pt>
                <c:pt idx="570">
                  <c:v>158.19097293886409</c:v>
                </c:pt>
                <c:pt idx="571">
                  <c:v>149.9241425007252</c:v>
                </c:pt>
                <c:pt idx="572">
                  <c:v>155.39546913831899</c:v>
                </c:pt>
                <c:pt idx="573">
                  <c:v>164.87779025799912</c:v>
                </c:pt>
                <c:pt idx="574">
                  <c:v>159.88429611611031</c:v>
                </c:pt>
                <c:pt idx="575">
                  <c:v>147.70899194437121</c:v>
                </c:pt>
                <c:pt idx="576">
                  <c:v>117.67203420813702</c:v>
                </c:pt>
                <c:pt idx="577">
                  <c:v>107.88238113213032</c:v>
                </c:pt>
                <c:pt idx="578">
                  <c:v>154.2208264144362</c:v>
                </c:pt>
                <c:pt idx="579">
                  <c:v>184.73487039822373</c:v>
                </c:pt>
                <c:pt idx="580">
                  <c:v>194.52515580490393</c:v>
                </c:pt>
                <c:pt idx="581">
                  <c:v>189.43896840626095</c:v>
                </c:pt>
                <c:pt idx="582">
                  <c:v>155.62891220837477</c:v>
                </c:pt>
                <c:pt idx="583">
                  <c:v>109.90977154104606</c:v>
                </c:pt>
                <c:pt idx="584">
                  <c:v>93.540227901717216</c:v>
                </c:pt>
                <c:pt idx="585">
                  <c:v>42.122147985182231</c:v>
                </c:pt>
                <c:pt idx="586">
                  <c:v>-56.232875043781938</c:v>
                </c:pt>
                <c:pt idx="587">
                  <c:v>-107.29101193050947</c:v>
                </c:pt>
                <c:pt idx="588">
                  <c:v>-150.92956763794328</c:v>
                </c:pt>
                <c:pt idx="589">
                  <c:v>-179.07510228562361</c:v>
                </c:pt>
                <c:pt idx="590">
                  <c:v>-200.42814012919135</c:v>
                </c:pt>
                <c:pt idx="591">
                  <c:v>-217.39087020963242</c:v>
                </c:pt>
                <c:pt idx="592">
                  <c:v>-216.93339479150771</c:v>
                </c:pt>
                <c:pt idx="593">
                  <c:v>-206.16111417938103</c:v>
                </c:pt>
                <c:pt idx="594">
                  <c:v>-204.79843873299018</c:v>
                </c:pt>
                <c:pt idx="595">
                  <c:v>-204.53936800119874</c:v>
                </c:pt>
                <c:pt idx="596">
                  <c:v>-197.68908073528934</c:v>
                </c:pt>
                <c:pt idx="597">
                  <c:v>-182.048924566247</c:v>
                </c:pt>
                <c:pt idx="598">
                  <c:v>-136.59814669998548</c:v>
                </c:pt>
                <c:pt idx="599">
                  <c:v>-70.261311060620926</c:v>
                </c:pt>
                <c:pt idx="600">
                  <c:v>-36.961746510814322</c:v>
                </c:pt>
                <c:pt idx="601">
                  <c:v>42.337643647358185</c:v>
                </c:pt>
                <c:pt idx="602">
                  <c:v>126.41506236193695</c:v>
                </c:pt>
                <c:pt idx="603">
                  <c:v>184.54641944988444</c:v>
                </c:pt>
                <c:pt idx="604">
                  <c:v>221.53481963090346</c:v>
                </c:pt>
                <c:pt idx="605">
                  <c:v>233.34013245692219</c:v>
                </c:pt>
                <c:pt idx="606">
                  <c:v>232.43556287644276</c:v>
                </c:pt>
                <c:pt idx="607">
                  <c:v>235.03157885882462</c:v>
                </c:pt>
                <c:pt idx="608">
                  <c:v>239.03438883634601</c:v>
                </c:pt>
                <c:pt idx="609">
                  <c:v>238.21794742803479</c:v>
                </c:pt>
                <c:pt idx="610">
                  <c:v>227.8694608856355</c:v>
                </c:pt>
                <c:pt idx="611">
                  <c:v>188.48522003946726</c:v>
                </c:pt>
                <c:pt idx="612">
                  <c:v>68.799710620075743</c:v>
                </c:pt>
                <c:pt idx="613">
                  <c:v>-119.19720925006871</c:v>
                </c:pt>
                <c:pt idx="614">
                  <c:v>-187.31362966580198</c:v>
                </c:pt>
                <c:pt idx="615">
                  <c:v>-211.3996780095309</c:v>
                </c:pt>
                <c:pt idx="616">
                  <c:v>-211.22843249061845</c:v>
                </c:pt>
                <c:pt idx="617">
                  <c:v>-204.9364562808282</c:v>
                </c:pt>
                <c:pt idx="618">
                  <c:v>-196.41822627847827</c:v>
                </c:pt>
                <c:pt idx="619">
                  <c:v>-192.87641238328629</c:v>
                </c:pt>
                <c:pt idx="620">
                  <c:v>-207.36092333481386</c:v>
                </c:pt>
                <c:pt idx="621">
                  <c:v>-219.87121198201626</c:v>
                </c:pt>
                <c:pt idx="622">
                  <c:v>-225.17458312962748</c:v>
                </c:pt>
                <c:pt idx="623">
                  <c:v>-228.97599595751453</c:v>
                </c:pt>
                <c:pt idx="624">
                  <c:v>-224.77125499409962</c:v>
                </c:pt>
                <c:pt idx="625">
                  <c:v>-210.76804764376328</c:v>
                </c:pt>
                <c:pt idx="626">
                  <c:v>-181.47409368605418</c:v>
                </c:pt>
                <c:pt idx="627">
                  <c:v>-43.23511491836684</c:v>
                </c:pt>
                <c:pt idx="628">
                  <c:v>171.16807856466536</c:v>
                </c:pt>
                <c:pt idx="629">
                  <c:v>208.30230110941488</c:v>
                </c:pt>
                <c:pt idx="630">
                  <c:v>214.15126988262841</c:v>
                </c:pt>
                <c:pt idx="631">
                  <c:v>210.19831747216216</c:v>
                </c:pt>
                <c:pt idx="632">
                  <c:v>210.80161531165223</c:v>
                </c:pt>
                <c:pt idx="633">
                  <c:v>224.35865367083855</c:v>
                </c:pt>
                <c:pt idx="634">
                  <c:v>230.36272734536396</c:v>
                </c:pt>
                <c:pt idx="635">
                  <c:v>223.01232084681882</c:v>
                </c:pt>
                <c:pt idx="636">
                  <c:v>212.56713743172989</c:v>
                </c:pt>
                <c:pt idx="637">
                  <c:v>197.048890854658</c:v>
                </c:pt>
                <c:pt idx="638">
                  <c:v>171.6143437833839</c:v>
                </c:pt>
                <c:pt idx="639">
                  <c:v>143.04738471047909</c:v>
                </c:pt>
                <c:pt idx="640">
                  <c:v>69.265808731986866</c:v>
                </c:pt>
                <c:pt idx="641">
                  <c:v>-87.257467024706685</c:v>
                </c:pt>
                <c:pt idx="642">
                  <c:v>-144.86343450943215</c:v>
                </c:pt>
                <c:pt idx="643">
                  <c:v>-178.16661228435723</c:v>
                </c:pt>
                <c:pt idx="644">
                  <c:v>-198.13307420180578</c:v>
                </c:pt>
                <c:pt idx="645">
                  <c:v>-207.97418949220338</c:v>
                </c:pt>
                <c:pt idx="646">
                  <c:v>-220.02833905496723</c:v>
                </c:pt>
                <c:pt idx="647">
                  <c:v>-225.18256316384546</c:v>
                </c:pt>
                <c:pt idx="648">
                  <c:v>-220.16134019230572</c:v>
                </c:pt>
                <c:pt idx="649">
                  <c:v>-217.0863862613447</c:v>
                </c:pt>
                <c:pt idx="650">
                  <c:v>-209.78834233967419</c:v>
                </c:pt>
                <c:pt idx="651">
                  <c:v>-179.42072506537087</c:v>
                </c:pt>
                <c:pt idx="652">
                  <c:v>-103.37604684831784</c:v>
                </c:pt>
                <c:pt idx="653">
                  <c:v>78.358323924804949</c:v>
                </c:pt>
                <c:pt idx="654">
                  <c:v>144.21906093031257</c:v>
                </c:pt>
                <c:pt idx="655">
                  <c:v>150.9202357403133</c:v>
                </c:pt>
                <c:pt idx="656">
                  <c:v>173.68850549455919</c:v>
                </c:pt>
                <c:pt idx="657">
                  <c:v>204.37526261957302</c:v>
                </c:pt>
                <c:pt idx="658">
                  <c:v>214.8497517212158</c:v>
                </c:pt>
                <c:pt idx="659">
                  <c:v>210.87641190907132</c:v>
                </c:pt>
                <c:pt idx="660">
                  <c:v>187.30612582127853</c:v>
                </c:pt>
                <c:pt idx="661">
                  <c:v>125.96110490141491</c:v>
                </c:pt>
                <c:pt idx="662">
                  <c:v>66.448157595793333</c:v>
                </c:pt>
                <c:pt idx="663">
                  <c:v>56.266182970800592</c:v>
                </c:pt>
                <c:pt idx="664">
                  <c:v>48.185867569190428</c:v>
                </c:pt>
                <c:pt idx="665">
                  <c:v>56.762237185225764</c:v>
                </c:pt>
                <c:pt idx="666">
                  <c:v>48.669186709036865</c:v>
                </c:pt>
                <c:pt idx="667">
                  <c:v>36.158707193368663</c:v>
                </c:pt>
                <c:pt idx="668">
                  <c:v>65.7884966089361</c:v>
                </c:pt>
                <c:pt idx="669">
                  <c:v>15.010912343179349</c:v>
                </c:pt>
                <c:pt idx="670">
                  <c:v>-128.94000764764846</c:v>
                </c:pt>
                <c:pt idx="671">
                  <c:v>-184.84468158407756</c:v>
                </c:pt>
                <c:pt idx="672">
                  <c:v>-208.84523065861896</c:v>
                </c:pt>
                <c:pt idx="673">
                  <c:v>-216.84522275964463</c:v>
                </c:pt>
                <c:pt idx="674">
                  <c:v>-208.76648540482424</c:v>
                </c:pt>
                <c:pt idx="675">
                  <c:v>-188.36281712603699</c:v>
                </c:pt>
                <c:pt idx="676">
                  <c:v>-131.50339726014755</c:v>
                </c:pt>
                <c:pt idx="677">
                  <c:v>55.655459743205938</c:v>
                </c:pt>
                <c:pt idx="678">
                  <c:v>122.93394919313008</c:v>
                </c:pt>
                <c:pt idx="679">
                  <c:v>117.11676537335282</c:v>
                </c:pt>
                <c:pt idx="680">
                  <c:v>108.19652521215953</c:v>
                </c:pt>
                <c:pt idx="681">
                  <c:v>97.513050328361189</c:v>
                </c:pt>
                <c:pt idx="682">
                  <c:v>113.1270656322361</c:v>
                </c:pt>
                <c:pt idx="683">
                  <c:v>139.74566955389753</c:v>
                </c:pt>
                <c:pt idx="684">
                  <c:v>134.89475068506911</c:v>
                </c:pt>
                <c:pt idx="685">
                  <c:v>129.04645585225455</c:v>
                </c:pt>
                <c:pt idx="686">
                  <c:v>148.90722217897851</c:v>
                </c:pt>
                <c:pt idx="687">
                  <c:v>169.68772990636396</c:v>
                </c:pt>
                <c:pt idx="688">
                  <c:v>186.51259869398231</c:v>
                </c:pt>
                <c:pt idx="689">
                  <c:v>178.21806566905178</c:v>
                </c:pt>
                <c:pt idx="690">
                  <c:v>105.70320457892839</c:v>
                </c:pt>
                <c:pt idx="691">
                  <c:v>-38.904244669576542</c:v>
                </c:pt>
                <c:pt idx="692">
                  <c:v>-81.098749552618926</c:v>
                </c:pt>
                <c:pt idx="693">
                  <c:v>-102.33371288634308</c:v>
                </c:pt>
                <c:pt idx="694">
                  <c:v>-121.65300436670739</c:v>
                </c:pt>
                <c:pt idx="695">
                  <c:v>-151.66179093490791</c:v>
                </c:pt>
                <c:pt idx="696">
                  <c:v>-176.84768907261707</c:v>
                </c:pt>
                <c:pt idx="697">
                  <c:v>-176.936818394456</c:v>
                </c:pt>
                <c:pt idx="698">
                  <c:v>-173.69942726084781</c:v>
                </c:pt>
                <c:pt idx="699">
                  <c:v>-178.22528310441055</c:v>
                </c:pt>
                <c:pt idx="700">
                  <c:v>-167.0776309831983</c:v>
                </c:pt>
                <c:pt idx="701">
                  <c:v>-146.68749468043401</c:v>
                </c:pt>
                <c:pt idx="702">
                  <c:v>-123.12594320410705</c:v>
                </c:pt>
                <c:pt idx="703">
                  <c:v>-62.334831760042618</c:v>
                </c:pt>
                <c:pt idx="704">
                  <c:v>9.6124172072515233</c:v>
                </c:pt>
                <c:pt idx="705">
                  <c:v>44.48555385376077</c:v>
                </c:pt>
                <c:pt idx="706">
                  <c:v>83.698639237081466</c:v>
                </c:pt>
                <c:pt idx="707">
                  <c:v>78.330765320451292</c:v>
                </c:pt>
                <c:pt idx="708">
                  <c:v>21.64532518208815</c:v>
                </c:pt>
                <c:pt idx="709">
                  <c:v>-44.23863383295884</c:v>
                </c:pt>
                <c:pt idx="710">
                  <c:v>-82.512610078082304</c:v>
                </c:pt>
                <c:pt idx="711">
                  <c:v>-10.024132355665172</c:v>
                </c:pt>
                <c:pt idx="712">
                  <c:v>148.18759597679139</c:v>
                </c:pt>
                <c:pt idx="713">
                  <c:v>193.18981072746493</c:v>
                </c:pt>
                <c:pt idx="714">
                  <c:v>201.51436870403637</c:v>
                </c:pt>
                <c:pt idx="715">
                  <c:v>200.97676488380998</c:v>
                </c:pt>
                <c:pt idx="716">
                  <c:v>197.00154639836362</c:v>
                </c:pt>
                <c:pt idx="717">
                  <c:v>198.73226843682181</c:v>
                </c:pt>
                <c:pt idx="718">
                  <c:v>193.58146658962332</c:v>
                </c:pt>
                <c:pt idx="719">
                  <c:v>151.80142523794083</c:v>
                </c:pt>
                <c:pt idx="720">
                  <c:v>64.056442166837101</c:v>
                </c:pt>
                <c:pt idx="721">
                  <c:v>-36.273991404124779</c:v>
                </c:pt>
                <c:pt idx="722">
                  <c:v>-94.429970349518285</c:v>
                </c:pt>
                <c:pt idx="723">
                  <c:v>-109.56301688543493</c:v>
                </c:pt>
                <c:pt idx="724">
                  <c:v>-127.02295689499883</c:v>
                </c:pt>
                <c:pt idx="725">
                  <c:v>-165.62408728788469</c:v>
                </c:pt>
                <c:pt idx="726">
                  <c:v>-183.9642899461505</c:v>
                </c:pt>
                <c:pt idx="727">
                  <c:v>-188.5772749467618</c:v>
                </c:pt>
                <c:pt idx="728">
                  <c:v>-193.32686718707458</c:v>
                </c:pt>
                <c:pt idx="729">
                  <c:v>-194.95421429071402</c:v>
                </c:pt>
                <c:pt idx="730">
                  <c:v>-204.36100108362459</c:v>
                </c:pt>
                <c:pt idx="731">
                  <c:v>-217.31582632450383</c:v>
                </c:pt>
                <c:pt idx="732">
                  <c:v>-220.05915522706897</c:v>
                </c:pt>
                <c:pt idx="733">
                  <c:v>-221.07419618222718</c:v>
                </c:pt>
                <c:pt idx="734">
                  <c:v>-219.28309885146123</c:v>
                </c:pt>
                <c:pt idx="735">
                  <c:v>-190.96582002732018</c:v>
                </c:pt>
                <c:pt idx="736">
                  <c:v>-80.913696125555077</c:v>
                </c:pt>
                <c:pt idx="737">
                  <c:v>140.57784286110947</c:v>
                </c:pt>
                <c:pt idx="738">
                  <c:v>196.73848904525883</c:v>
                </c:pt>
                <c:pt idx="739">
                  <c:v>204.39671167842889</c:v>
                </c:pt>
                <c:pt idx="740">
                  <c:v>202.1649424767196</c:v>
                </c:pt>
                <c:pt idx="741">
                  <c:v>210.44522557371633</c:v>
                </c:pt>
                <c:pt idx="742">
                  <c:v>215.12845945791958</c:v>
                </c:pt>
                <c:pt idx="743">
                  <c:v>215.94534593253076</c:v>
                </c:pt>
                <c:pt idx="744">
                  <c:v>220.11925458513363</c:v>
                </c:pt>
                <c:pt idx="745">
                  <c:v>223.47536601341048</c:v>
                </c:pt>
                <c:pt idx="746">
                  <c:v>231.66086582491715</c:v>
                </c:pt>
                <c:pt idx="747">
                  <c:v>240.86169013304357</c:v>
                </c:pt>
                <c:pt idx="748">
                  <c:v>237.61139798754166</c:v>
                </c:pt>
                <c:pt idx="749">
                  <c:v>216.64103972639148</c:v>
                </c:pt>
                <c:pt idx="750">
                  <c:v>161.30797355323961</c:v>
                </c:pt>
                <c:pt idx="751">
                  <c:v>-15.800321056625839</c:v>
                </c:pt>
                <c:pt idx="752">
                  <c:v>-124.07965422295385</c:v>
                </c:pt>
                <c:pt idx="753">
                  <c:v>-157.47831161563732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89536"/>
        <c:axId val="865483264"/>
      </c:scatterChart>
      <c:valAx>
        <c:axId val="865489536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out"/>
        <c:minorTickMark val="none"/>
        <c:tickLblPos val="low"/>
        <c:crossAx val="865483264"/>
        <c:crosses val="autoZero"/>
        <c:crossBetween val="midCat"/>
      </c:valAx>
      <c:valAx>
        <c:axId val="8654832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65489536"/>
        <c:crossesAt val="1950"/>
        <c:crossBetween val="midCat"/>
      </c:valAx>
    </c:plotArea>
    <c:legend>
      <c:legendPos val="r"/>
      <c:layout>
        <c:manualLayout>
          <c:xMode val="edge"/>
          <c:yMode val="edge"/>
          <c:x val="0.44367688961058854"/>
          <c:y val="0.7866531787693205"/>
          <c:w val="5.0020867587375895E-2"/>
          <c:h val="0.1654645754446284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030366574548552E-2"/>
          <c:y val="4.214129483814523E-2"/>
          <c:w val="0.9206691381476148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saturated_qbo_all_terms!$B$4</c:f>
              <c:strCache>
                <c:ptCount val="1"/>
                <c:pt idx="0">
                  <c:v>qbo30</c:v>
                </c:pt>
              </c:strCache>
            </c:strRef>
          </c:tx>
          <c:marker>
            <c:symbol val="none"/>
          </c:marker>
          <c:xVal>
            <c:numRef>
              <c:f>saturated_qbo_all_terms!$A$5:$A$758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saturated_qbo_all_terms!$B$5:$B$758</c:f>
              <c:numCache>
                <c:formatCode>General</c:formatCode>
                <c:ptCount val="754"/>
                <c:pt idx="0">
                  <c:v>-274.72944297082228</c:v>
                </c:pt>
                <c:pt idx="1">
                  <c:v>-274.72944297082228</c:v>
                </c:pt>
                <c:pt idx="2">
                  <c:v>-254.72944297082228</c:v>
                </c:pt>
                <c:pt idx="3">
                  <c:v>-204.72944297082228</c:v>
                </c:pt>
                <c:pt idx="4">
                  <c:v>-174.72944297082228</c:v>
                </c:pt>
                <c:pt idx="5">
                  <c:v>-144.72944297082228</c:v>
                </c:pt>
                <c:pt idx="6">
                  <c:v>-134.72944297082228</c:v>
                </c:pt>
                <c:pt idx="7">
                  <c:v>-114.72944297082228</c:v>
                </c:pt>
                <c:pt idx="8">
                  <c:v>-92.729442970822276</c:v>
                </c:pt>
                <c:pt idx="9">
                  <c:v>-74.729442970822276</c:v>
                </c:pt>
                <c:pt idx="10">
                  <c:v>-49.729442970822276</c:v>
                </c:pt>
                <c:pt idx="11">
                  <c:v>-4.7294429708222765</c:v>
                </c:pt>
                <c:pt idx="12">
                  <c:v>45.270557029177724</c:v>
                </c:pt>
                <c:pt idx="13">
                  <c:v>135.27055702917772</c:v>
                </c:pt>
                <c:pt idx="14">
                  <c:v>155.27055702917772</c:v>
                </c:pt>
                <c:pt idx="15">
                  <c:v>155.27055702917772</c:v>
                </c:pt>
                <c:pt idx="16">
                  <c:v>165.27055702917772</c:v>
                </c:pt>
                <c:pt idx="17">
                  <c:v>170.27055702917772</c:v>
                </c:pt>
                <c:pt idx="18">
                  <c:v>180.27055702917772</c:v>
                </c:pt>
                <c:pt idx="19">
                  <c:v>180.27055702917772</c:v>
                </c:pt>
                <c:pt idx="20">
                  <c:v>120.27055702917772</c:v>
                </c:pt>
                <c:pt idx="21">
                  <c:v>35.270557029177724</c:v>
                </c:pt>
                <c:pt idx="22">
                  <c:v>-124.72944297082228</c:v>
                </c:pt>
                <c:pt idx="23">
                  <c:v>-139.72944297082228</c:v>
                </c:pt>
                <c:pt idx="24">
                  <c:v>-169.72944297082228</c:v>
                </c:pt>
                <c:pt idx="25">
                  <c:v>-169.72944297082228</c:v>
                </c:pt>
                <c:pt idx="26">
                  <c:v>-172.72944297082228</c:v>
                </c:pt>
                <c:pt idx="27">
                  <c:v>-209.72944297082228</c:v>
                </c:pt>
                <c:pt idx="28">
                  <c:v>-249.72944297082228</c:v>
                </c:pt>
                <c:pt idx="29">
                  <c:v>-254.72944297082228</c:v>
                </c:pt>
                <c:pt idx="30">
                  <c:v>-254.72944297082228</c:v>
                </c:pt>
                <c:pt idx="31">
                  <c:v>-254.72944297082228</c:v>
                </c:pt>
                <c:pt idx="32">
                  <c:v>-244.72944297082228</c:v>
                </c:pt>
                <c:pt idx="33">
                  <c:v>-227.72944297082228</c:v>
                </c:pt>
                <c:pt idx="34">
                  <c:v>-130.72944297082228</c:v>
                </c:pt>
                <c:pt idx="35">
                  <c:v>-123.72944297082228</c:v>
                </c:pt>
                <c:pt idx="36">
                  <c:v>-42.729442970822276</c:v>
                </c:pt>
                <c:pt idx="37">
                  <c:v>-2.7294429708222765</c:v>
                </c:pt>
                <c:pt idx="38">
                  <c:v>47.270557029177724</c:v>
                </c:pt>
                <c:pt idx="39">
                  <c:v>157.27055702917772</c:v>
                </c:pt>
                <c:pt idx="40">
                  <c:v>159.27055702917772</c:v>
                </c:pt>
                <c:pt idx="41">
                  <c:v>184.27055702917772</c:v>
                </c:pt>
                <c:pt idx="42">
                  <c:v>187.27055702917772</c:v>
                </c:pt>
                <c:pt idx="43">
                  <c:v>201.27055702917772</c:v>
                </c:pt>
                <c:pt idx="44">
                  <c:v>211.27055702917772</c:v>
                </c:pt>
                <c:pt idx="45">
                  <c:v>211.27055702917772</c:v>
                </c:pt>
                <c:pt idx="46">
                  <c:v>181.27055702917772</c:v>
                </c:pt>
                <c:pt idx="47">
                  <c:v>19.270557029177724</c:v>
                </c:pt>
                <c:pt idx="48">
                  <c:v>-43.729442970822276</c:v>
                </c:pt>
                <c:pt idx="49">
                  <c:v>-51.729442970822276</c:v>
                </c:pt>
                <c:pt idx="50">
                  <c:v>-156.72944297082228</c:v>
                </c:pt>
                <c:pt idx="51">
                  <c:v>-184.72944297082228</c:v>
                </c:pt>
                <c:pt idx="52">
                  <c:v>-201.72944297082228</c:v>
                </c:pt>
                <c:pt idx="53">
                  <c:v>-205.72944297082228</c:v>
                </c:pt>
                <c:pt idx="54">
                  <c:v>-211.72944297082228</c:v>
                </c:pt>
                <c:pt idx="55">
                  <c:v>-224.72944297082228</c:v>
                </c:pt>
                <c:pt idx="56">
                  <c:v>-224.72944297082228</c:v>
                </c:pt>
                <c:pt idx="57">
                  <c:v>-208.72944297082228</c:v>
                </c:pt>
                <c:pt idx="58">
                  <c:v>-181.72944297082228</c:v>
                </c:pt>
                <c:pt idx="59">
                  <c:v>-174.72944297082228</c:v>
                </c:pt>
                <c:pt idx="60">
                  <c:v>-124.72944297082228</c:v>
                </c:pt>
                <c:pt idx="61">
                  <c:v>-113.72944297082228</c:v>
                </c:pt>
                <c:pt idx="62">
                  <c:v>-101.72944297082228</c:v>
                </c:pt>
                <c:pt idx="63">
                  <c:v>-1.7294429708222765</c:v>
                </c:pt>
                <c:pt idx="64">
                  <c:v>132.27055702917772</c:v>
                </c:pt>
                <c:pt idx="65">
                  <c:v>139.27055702917772</c:v>
                </c:pt>
                <c:pt idx="66">
                  <c:v>168.27055702917772</c:v>
                </c:pt>
                <c:pt idx="67">
                  <c:v>192.27055702917772</c:v>
                </c:pt>
                <c:pt idx="68">
                  <c:v>212.27055702917772</c:v>
                </c:pt>
                <c:pt idx="69">
                  <c:v>239.27055702917772</c:v>
                </c:pt>
                <c:pt idx="70">
                  <c:v>265.27055702917772</c:v>
                </c:pt>
                <c:pt idx="71">
                  <c:v>265.27055702917772</c:v>
                </c:pt>
                <c:pt idx="72">
                  <c:v>202.27055702917772</c:v>
                </c:pt>
                <c:pt idx="73">
                  <c:v>193.27055702917772</c:v>
                </c:pt>
                <c:pt idx="74">
                  <c:v>190.27055702917772</c:v>
                </c:pt>
                <c:pt idx="75">
                  <c:v>152.27055702917772</c:v>
                </c:pt>
                <c:pt idx="76">
                  <c:v>-4.7294429708222765</c:v>
                </c:pt>
                <c:pt idx="77">
                  <c:v>-199.72944297082228</c:v>
                </c:pt>
                <c:pt idx="78">
                  <c:v>-257.72944297082228</c:v>
                </c:pt>
                <c:pt idx="79">
                  <c:v>-257.72944297082228</c:v>
                </c:pt>
                <c:pt idx="80">
                  <c:v>-254.72944297082228</c:v>
                </c:pt>
                <c:pt idx="81">
                  <c:v>-191.72944297082228</c:v>
                </c:pt>
                <c:pt idx="82">
                  <c:v>-147.72944297082228</c:v>
                </c:pt>
                <c:pt idx="83">
                  <c:v>-104.72944297082228</c:v>
                </c:pt>
                <c:pt idx="84">
                  <c:v>-62.729442970822276</c:v>
                </c:pt>
                <c:pt idx="85">
                  <c:v>-46.729442970822276</c:v>
                </c:pt>
                <c:pt idx="86">
                  <c:v>-18.729442970822276</c:v>
                </c:pt>
                <c:pt idx="87">
                  <c:v>59.270557029177724</c:v>
                </c:pt>
                <c:pt idx="88">
                  <c:v>117.27055702917772</c:v>
                </c:pt>
                <c:pt idx="89">
                  <c:v>187.27055702917772</c:v>
                </c:pt>
                <c:pt idx="90">
                  <c:v>191.27055702917772</c:v>
                </c:pt>
                <c:pt idx="91">
                  <c:v>191.27055702917772</c:v>
                </c:pt>
                <c:pt idx="92">
                  <c:v>190.27055702917772</c:v>
                </c:pt>
                <c:pt idx="93">
                  <c:v>184.27055702917772</c:v>
                </c:pt>
                <c:pt idx="94">
                  <c:v>143.27055702917772</c:v>
                </c:pt>
                <c:pt idx="95">
                  <c:v>90.270557029177724</c:v>
                </c:pt>
                <c:pt idx="96">
                  <c:v>-51.729442970822276</c:v>
                </c:pt>
                <c:pt idx="97">
                  <c:v>-93.729442970822276</c:v>
                </c:pt>
                <c:pt idx="98">
                  <c:v>-102.72944297082228</c:v>
                </c:pt>
                <c:pt idx="99">
                  <c:v>-178.72944297082228</c:v>
                </c:pt>
                <c:pt idx="100">
                  <c:v>-206.72944297082228</c:v>
                </c:pt>
                <c:pt idx="101">
                  <c:v>-206.72944297082228</c:v>
                </c:pt>
                <c:pt idx="102">
                  <c:v>-204.72944297082228</c:v>
                </c:pt>
                <c:pt idx="103">
                  <c:v>-190.72944297082228</c:v>
                </c:pt>
                <c:pt idx="104">
                  <c:v>-162.72944297082228</c:v>
                </c:pt>
                <c:pt idx="105">
                  <c:v>-162.72944297082228</c:v>
                </c:pt>
                <c:pt idx="106">
                  <c:v>-162.72944297082228</c:v>
                </c:pt>
                <c:pt idx="107">
                  <c:v>-133.72944297082228</c:v>
                </c:pt>
                <c:pt idx="108">
                  <c:v>-133.72944297082228</c:v>
                </c:pt>
                <c:pt idx="109">
                  <c:v>-119.72944297082228</c:v>
                </c:pt>
                <c:pt idx="110">
                  <c:v>-113.72944297082228</c:v>
                </c:pt>
                <c:pt idx="111">
                  <c:v>-37.729442970822276</c:v>
                </c:pt>
                <c:pt idx="112">
                  <c:v>96.270557029177724</c:v>
                </c:pt>
                <c:pt idx="113">
                  <c:v>163.27055702917772</c:v>
                </c:pt>
                <c:pt idx="114">
                  <c:v>187.27055702917772</c:v>
                </c:pt>
                <c:pt idx="115">
                  <c:v>210.27055702917772</c:v>
                </c:pt>
                <c:pt idx="116">
                  <c:v>215.27055702917772</c:v>
                </c:pt>
                <c:pt idx="117">
                  <c:v>237.27055702917772</c:v>
                </c:pt>
                <c:pt idx="118">
                  <c:v>237.27055702917772</c:v>
                </c:pt>
                <c:pt idx="119">
                  <c:v>227.27055702917772</c:v>
                </c:pt>
                <c:pt idx="120">
                  <c:v>227.27055702917772</c:v>
                </c:pt>
                <c:pt idx="121">
                  <c:v>268.27055702917772</c:v>
                </c:pt>
                <c:pt idx="122">
                  <c:v>268.27055702917772</c:v>
                </c:pt>
                <c:pt idx="123">
                  <c:v>263.27055702917772</c:v>
                </c:pt>
                <c:pt idx="124">
                  <c:v>252.27055702917772</c:v>
                </c:pt>
                <c:pt idx="125">
                  <c:v>150.27055702917772</c:v>
                </c:pt>
                <c:pt idx="126">
                  <c:v>-49.729442970822276</c:v>
                </c:pt>
                <c:pt idx="127">
                  <c:v>-100.72944297082228</c:v>
                </c:pt>
                <c:pt idx="128">
                  <c:v>-129.72944297082228</c:v>
                </c:pt>
                <c:pt idx="129">
                  <c:v>-134.72944297082228</c:v>
                </c:pt>
                <c:pt idx="130">
                  <c:v>-134.72944297082228</c:v>
                </c:pt>
                <c:pt idx="131">
                  <c:v>-134.72944297082228</c:v>
                </c:pt>
                <c:pt idx="132">
                  <c:v>-99.729442970822276</c:v>
                </c:pt>
                <c:pt idx="133">
                  <c:v>-99.729442970822276</c:v>
                </c:pt>
                <c:pt idx="134">
                  <c:v>-118.72944297082228</c:v>
                </c:pt>
                <c:pt idx="135">
                  <c:v>-128.72944297082228</c:v>
                </c:pt>
                <c:pt idx="136">
                  <c:v>-128.72944297082228</c:v>
                </c:pt>
                <c:pt idx="137">
                  <c:v>-125.72944297082228</c:v>
                </c:pt>
                <c:pt idx="138">
                  <c:v>-101.72944297082228</c:v>
                </c:pt>
                <c:pt idx="139">
                  <c:v>-91.729442970822276</c:v>
                </c:pt>
                <c:pt idx="140">
                  <c:v>-96.729442970822276</c:v>
                </c:pt>
                <c:pt idx="141">
                  <c:v>-84.729442970822276</c:v>
                </c:pt>
                <c:pt idx="142">
                  <c:v>-83.729442970822276</c:v>
                </c:pt>
                <c:pt idx="143">
                  <c:v>-79.729442970822276</c:v>
                </c:pt>
                <c:pt idx="144">
                  <c:v>-71.729442970822276</c:v>
                </c:pt>
                <c:pt idx="145">
                  <c:v>-52.729442970822276</c:v>
                </c:pt>
                <c:pt idx="146">
                  <c:v>-27.729442970822276</c:v>
                </c:pt>
                <c:pt idx="147">
                  <c:v>92.270557029177724</c:v>
                </c:pt>
                <c:pt idx="148">
                  <c:v>177.27055702917772</c:v>
                </c:pt>
                <c:pt idx="149">
                  <c:v>203.27055702917772</c:v>
                </c:pt>
                <c:pt idx="150">
                  <c:v>222.27055702917772</c:v>
                </c:pt>
                <c:pt idx="151">
                  <c:v>226.27055702917772</c:v>
                </c:pt>
                <c:pt idx="152">
                  <c:v>254.27055702917772</c:v>
                </c:pt>
                <c:pt idx="153">
                  <c:v>256.27055702917772</c:v>
                </c:pt>
                <c:pt idx="154">
                  <c:v>264.27055702917772</c:v>
                </c:pt>
                <c:pt idx="155">
                  <c:v>264.27055702917772</c:v>
                </c:pt>
                <c:pt idx="156">
                  <c:v>237.27055702917772</c:v>
                </c:pt>
                <c:pt idx="157">
                  <c:v>142.27055702917772</c:v>
                </c:pt>
                <c:pt idx="158">
                  <c:v>5.2705570291777235</c:v>
                </c:pt>
                <c:pt idx="159">
                  <c:v>-121.72944297082228</c:v>
                </c:pt>
                <c:pt idx="160">
                  <c:v>-200.72944297082228</c:v>
                </c:pt>
                <c:pt idx="161">
                  <c:v>-212.72944297082228</c:v>
                </c:pt>
                <c:pt idx="162">
                  <c:v>-217.72944297082228</c:v>
                </c:pt>
                <c:pt idx="163">
                  <c:v>-217.72944297082228</c:v>
                </c:pt>
                <c:pt idx="164">
                  <c:v>-224.72944297082228</c:v>
                </c:pt>
                <c:pt idx="165">
                  <c:v>-224.72944297082228</c:v>
                </c:pt>
                <c:pt idx="166">
                  <c:v>-212.72944297082228</c:v>
                </c:pt>
                <c:pt idx="167">
                  <c:v>-212.72944297082228</c:v>
                </c:pt>
                <c:pt idx="168">
                  <c:v>-212.72944297082228</c:v>
                </c:pt>
                <c:pt idx="169">
                  <c:v>-209.72944297082228</c:v>
                </c:pt>
                <c:pt idx="170">
                  <c:v>-169.72944297082228</c:v>
                </c:pt>
                <c:pt idx="171">
                  <c:v>-165.72944297082228</c:v>
                </c:pt>
                <c:pt idx="172">
                  <c:v>-117.72944297082228</c:v>
                </c:pt>
                <c:pt idx="173">
                  <c:v>-4.7294429708222765</c:v>
                </c:pt>
                <c:pt idx="174">
                  <c:v>85.270557029177724</c:v>
                </c:pt>
                <c:pt idx="175">
                  <c:v>100.27055702917772</c:v>
                </c:pt>
                <c:pt idx="176">
                  <c:v>94.270557029177724</c:v>
                </c:pt>
                <c:pt idx="177">
                  <c:v>101.27055702917772</c:v>
                </c:pt>
                <c:pt idx="178">
                  <c:v>132.27055702917772</c:v>
                </c:pt>
                <c:pt idx="179">
                  <c:v>132.27055702917772</c:v>
                </c:pt>
                <c:pt idx="180">
                  <c:v>143.27055702917772</c:v>
                </c:pt>
                <c:pt idx="181">
                  <c:v>143.27055702917772</c:v>
                </c:pt>
                <c:pt idx="182">
                  <c:v>188.27055702917772</c:v>
                </c:pt>
                <c:pt idx="183">
                  <c:v>188.27055702917772</c:v>
                </c:pt>
                <c:pt idx="184">
                  <c:v>193.27055702917772</c:v>
                </c:pt>
                <c:pt idx="185">
                  <c:v>200.27055702917772</c:v>
                </c:pt>
                <c:pt idx="186">
                  <c:v>243.27055702917772</c:v>
                </c:pt>
                <c:pt idx="187">
                  <c:v>249.27055702917772</c:v>
                </c:pt>
                <c:pt idx="188">
                  <c:v>248.27055702917772</c:v>
                </c:pt>
                <c:pt idx="189">
                  <c:v>248.27055702917772</c:v>
                </c:pt>
                <c:pt idx="190">
                  <c:v>142.27055702917772</c:v>
                </c:pt>
                <c:pt idx="191">
                  <c:v>73.270557029177724</c:v>
                </c:pt>
                <c:pt idx="192">
                  <c:v>-68.729442970822276</c:v>
                </c:pt>
                <c:pt idx="193">
                  <c:v>-125.72944297082228</c:v>
                </c:pt>
                <c:pt idx="194">
                  <c:v>-168.72944297082228</c:v>
                </c:pt>
                <c:pt idx="195">
                  <c:v>-215.72944297082228</c:v>
                </c:pt>
                <c:pt idx="196">
                  <c:v>-215.72944297082228</c:v>
                </c:pt>
                <c:pt idx="197">
                  <c:v>-215.72944297082228</c:v>
                </c:pt>
                <c:pt idx="198">
                  <c:v>-204.72944297082228</c:v>
                </c:pt>
                <c:pt idx="199">
                  <c:v>-202.72944297082228</c:v>
                </c:pt>
                <c:pt idx="200">
                  <c:v>-168.72944297082228</c:v>
                </c:pt>
                <c:pt idx="201">
                  <c:v>-152.72944297082228</c:v>
                </c:pt>
                <c:pt idx="202">
                  <c:v>-67.729442970822276</c:v>
                </c:pt>
                <c:pt idx="203">
                  <c:v>-10.729442970822276</c:v>
                </c:pt>
                <c:pt idx="204">
                  <c:v>31.270557029177724</c:v>
                </c:pt>
                <c:pt idx="205">
                  <c:v>82.270557029177724</c:v>
                </c:pt>
                <c:pt idx="206">
                  <c:v>101.27055702917772</c:v>
                </c:pt>
                <c:pt idx="207">
                  <c:v>164.27055702917772</c:v>
                </c:pt>
                <c:pt idx="208">
                  <c:v>193.27055702917772</c:v>
                </c:pt>
                <c:pt idx="209">
                  <c:v>225.27055702917772</c:v>
                </c:pt>
                <c:pt idx="210">
                  <c:v>229.27055702917772</c:v>
                </c:pt>
                <c:pt idx="211">
                  <c:v>241.27055702917772</c:v>
                </c:pt>
                <c:pt idx="212">
                  <c:v>262.27055702917772</c:v>
                </c:pt>
                <c:pt idx="213">
                  <c:v>262.27055702917772</c:v>
                </c:pt>
                <c:pt idx="214">
                  <c:v>247.27055702917772</c:v>
                </c:pt>
                <c:pt idx="215">
                  <c:v>124.27055702917772</c:v>
                </c:pt>
                <c:pt idx="216">
                  <c:v>-32.729442970822276</c:v>
                </c:pt>
                <c:pt idx="217">
                  <c:v>-109.72944297082228</c:v>
                </c:pt>
                <c:pt idx="218">
                  <c:v>-166.72944297082228</c:v>
                </c:pt>
                <c:pt idx="219">
                  <c:v>-182.72944297082228</c:v>
                </c:pt>
                <c:pt idx="220">
                  <c:v>-196.72944297082228</c:v>
                </c:pt>
                <c:pt idx="221">
                  <c:v>-199.72944297082228</c:v>
                </c:pt>
                <c:pt idx="222">
                  <c:v>-224.72944297082228</c:v>
                </c:pt>
                <c:pt idx="223">
                  <c:v>-224.72944297082228</c:v>
                </c:pt>
                <c:pt idx="224">
                  <c:v>-198.72944297082228</c:v>
                </c:pt>
                <c:pt idx="225">
                  <c:v>-189.72944297082228</c:v>
                </c:pt>
                <c:pt idx="226">
                  <c:v>-189.72944297082228</c:v>
                </c:pt>
                <c:pt idx="227">
                  <c:v>-176.72944297082228</c:v>
                </c:pt>
                <c:pt idx="228">
                  <c:v>-159.72944297082228</c:v>
                </c:pt>
                <c:pt idx="229">
                  <c:v>-147.72944297082228</c:v>
                </c:pt>
                <c:pt idx="230">
                  <c:v>-138.72944297082228</c:v>
                </c:pt>
                <c:pt idx="231">
                  <c:v>-104.72944297082228</c:v>
                </c:pt>
                <c:pt idx="232">
                  <c:v>122.27055702917772</c:v>
                </c:pt>
                <c:pt idx="233">
                  <c:v>166.27055702917772</c:v>
                </c:pt>
                <c:pt idx="234">
                  <c:v>181.27055702917772</c:v>
                </c:pt>
                <c:pt idx="235">
                  <c:v>185.27055702917772</c:v>
                </c:pt>
                <c:pt idx="236">
                  <c:v>204.27055702917772</c:v>
                </c:pt>
                <c:pt idx="237">
                  <c:v>208.27055702917772</c:v>
                </c:pt>
                <c:pt idx="238">
                  <c:v>204.27055702917772</c:v>
                </c:pt>
                <c:pt idx="239">
                  <c:v>107.27055702917772</c:v>
                </c:pt>
                <c:pt idx="240">
                  <c:v>-122.72944297082228</c:v>
                </c:pt>
                <c:pt idx="241">
                  <c:v>-170.72944297082228</c:v>
                </c:pt>
                <c:pt idx="242">
                  <c:v>-170.72944297082228</c:v>
                </c:pt>
                <c:pt idx="243">
                  <c:v>-170.72944297082228</c:v>
                </c:pt>
                <c:pt idx="244">
                  <c:v>-196.72944297082228</c:v>
                </c:pt>
                <c:pt idx="245">
                  <c:v>-196.72944297082228</c:v>
                </c:pt>
                <c:pt idx="246">
                  <c:v>-167.72944297082228</c:v>
                </c:pt>
                <c:pt idx="247">
                  <c:v>-162.72944297082228</c:v>
                </c:pt>
                <c:pt idx="248">
                  <c:v>-149.72944297082228</c:v>
                </c:pt>
                <c:pt idx="249">
                  <c:v>-149.72944297082228</c:v>
                </c:pt>
                <c:pt idx="250">
                  <c:v>-109.72944297082228</c:v>
                </c:pt>
                <c:pt idx="251">
                  <c:v>-74.729442970822276</c:v>
                </c:pt>
                <c:pt idx="252">
                  <c:v>-50.729442970822276</c:v>
                </c:pt>
                <c:pt idx="253">
                  <c:v>-35.729442970822276</c:v>
                </c:pt>
                <c:pt idx="254">
                  <c:v>-33.729442970822276</c:v>
                </c:pt>
                <c:pt idx="255">
                  <c:v>64.270557029177724</c:v>
                </c:pt>
                <c:pt idx="256">
                  <c:v>160.27055702917772</c:v>
                </c:pt>
                <c:pt idx="257">
                  <c:v>217.27055702917772</c:v>
                </c:pt>
                <c:pt idx="258">
                  <c:v>224.27055702917772</c:v>
                </c:pt>
                <c:pt idx="259">
                  <c:v>233.27055702917772</c:v>
                </c:pt>
                <c:pt idx="260">
                  <c:v>233.27055702917772</c:v>
                </c:pt>
                <c:pt idx="261">
                  <c:v>227.27055702917772</c:v>
                </c:pt>
                <c:pt idx="262">
                  <c:v>227.27055702917772</c:v>
                </c:pt>
                <c:pt idx="263">
                  <c:v>235.27055702917772</c:v>
                </c:pt>
                <c:pt idx="264">
                  <c:v>235.27055702917772</c:v>
                </c:pt>
                <c:pt idx="265">
                  <c:v>175.27055702917772</c:v>
                </c:pt>
                <c:pt idx="266">
                  <c:v>20.270557029177724</c:v>
                </c:pt>
                <c:pt idx="267">
                  <c:v>-114.72944297082228</c:v>
                </c:pt>
                <c:pt idx="268">
                  <c:v>-157.72944297082228</c:v>
                </c:pt>
                <c:pt idx="269">
                  <c:v>-234.72944297082228</c:v>
                </c:pt>
                <c:pt idx="270">
                  <c:v>-234.72944297082228</c:v>
                </c:pt>
                <c:pt idx="271">
                  <c:v>-217.72944297082228</c:v>
                </c:pt>
                <c:pt idx="272">
                  <c:v>-216.72944297082228</c:v>
                </c:pt>
                <c:pt idx="273">
                  <c:v>-214.72944297082228</c:v>
                </c:pt>
                <c:pt idx="274">
                  <c:v>-214.72944297082228</c:v>
                </c:pt>
                <c:pt idx="275">
                  <c:v>-214.72944297082228</c:v>
                </c:pt>
                <c:pt idx="276">
                  <c:v>-193.72944297082228</c:v>
                </c:pt>
                <c:pt idx="277">
                  <c:v>-188.72944297082228</c:v>
                </c:pt>
                <c:pt idx="278">
                  <c:v>-187.72944297082228</c:v>
                </c:pt>
                <c:pt idx="279">
                  <c:v>-163.72944297082228</c:v>
                </c:pt>
                <c:pt idx="280">
                  <c:v>-94.729442970822276</c:v>
                </c:pt>
                <c:pt idx="281">
                  <c:v>81.270557029177724</c:v>
                </c:pt>
                <c:pt idx="282">
                  <c:v>155.27055702917772</c:v>
                </c:pt>
                <c:pt idx="283">
                  <c:v>155.27055702917772</c:v>
                </c:pt>
                <c:pt idx="284">
                  <c:v>183.27055702917772</c:v>
                </c:pt>
                <c:pt idx="285">
                  <c:v>165.27055702917772</c:v>
                </c:pt>
                <c:pt idx="286">
                  <c:v>192.27055702917772</c:v>
                </c:pt>
                <c:pt idx="287">
                  <c:v>192.27055702917772</c:v>
                </c:pt>
                <c:pt idx="288">
                  <c:v>203.27055702917772</c:v>
                </c:pt>
                <c:pt idx="289">
                  <c:v>205.27055702917772</c:v>
                </c:pt>
                <c:pt idx="290">
                  <c:v>210.27055702917772</c:v>
                </c:pt>
                <c:pt idx="291">
                  <c:v>215.27055702917772</c:v>
                </c:pt>
                <c:pt idx="292">
                  <c:v>215.27055702917772</c:v>
                </c:pt>
                <c:pt idx="293">
                  <c:v>201.27055702917772</c:v>
                </c:pt>
                <c:pt idx="294">
                  <c:v>75.270557029177724</c:v>
                </c:pt>
                <c:pt idx="295">
                  <c:v>26.270557029177724</c:v>
                </c:pt>
                <c:pt idx="296">
                  <c:v>-108.72944297082228</c:v>
                </c:pt>
                <c:pt idx="297">
                  <c:v>-152.72944297082228</c:v>
                </c:pt>
                <c:pt idx="298">
                  <c:v>-184.72944297082228</c:v>
                </c:pt>
                <c:pt idx="299">
                  <c:v>-234.72944297082228</c:v>
                </c:pt>
                <c:pt idx="300">
                  <c:v>-234.72944297082228</c:v>
                </c:pt>
                <c:pt idx="301">
                  <c:v>-213.72944297082228</c:v>
                </c:pt>
                <c:pt idx="302">
                  <c:v>-192.72944297082228</c:v>
                </c:pt>
                <c:pt idx="303">
                  <c:v>-179.72944297082228</c:v>
                </c:pt>
                <c:pt idx="304">
                  <c:v>-178.72944297082228</c:v>
                </c:pt>
                <c:pt idx="305">
                  <c:v>-164.72944297082228</c:v>
                </c:pt>
                <c:pt idx="306">
                  <c:v>-149.72944297082228</c:v>
                </c:pt>
                <c:pt idx="307">
                  <c:v>-149.72944297082228</c:v>
                </c:pt>
                <c:pt idx="308">
                  <c:v>-139.72944297082228</c:v>
                </c:pt>
                <c:pt idx="309">
                  <c:v>-119.72944297082228</c:v>
                </c:pt>
                <c:pt idx="310">
                  <c:v>-112.72944297082228</c:v>
                </c:pt>
                <c:pt idx="311">
                  <c:v>-101.72944297082228</c:v>
                </c:pt>
                <c:pt idx="312">
                  <c:v>-101.72944297082228</c:v>
                </c:pt>
                <c:pt idx="313">
                  <c:v>-101.72944297082228</c:v>
                </c:pt>
                <c:pt idx="314">
                  <c:v>10.270557029177724</c:v>
                </c:pt>
                <c:pt idx="315">
                  <c:v>82.270557029177724</c:v>
                </c:pt>
                <c:pt idx="316">
                  <c:v>171.27055702917772</c:v>
                </c:pt>
                <c:pt idx="317">
                  <c:v>191.27055702917772</c:v>
                </c:pt>
                <c:pt idx="318">
                  <c:v>199.27055702917772</c:v>
                </c:pt>
                <c:pt idx="319">
                  <c:v>209.27055702917772</c:v>
                </c:pt>
                <c:pt idx="320">
                  <c:v>215.27055702917772</c:v>
                </c:pt>
                <c:pt idx="321">
                  <c:v>209.27055702917772</c:v>
                </c:pt>
                <c:pt idx="322">
                  <c:v>206.27055702917772</c:v>
                </c:pt>
                <c:pt idx="323">
                  <c:v>90.270557029177724</c:v>
                </c:pt>
                <c:pt idx="324">
                  <c:v>-91.729442970822276</c:v>
                </c:pt>
                <c:pt idx="325">
                  <c:v>-98.729442970822276</c:v>
                </c:pt>
                <c:pt idx="326">
                  <c:v>-158.72944297082228</c:v>
                </c:pt>
                <c:pt idx="327">
                  <c:v>-181.72944297082228</c:v>
                </c:pt>
                <c:pt idx="328">
                  <c:v>-188.72944297082228</c:v>
                </c:pt>
                <c:pt idx="329">
                  <c:v>-217.72944297082228</c:v>
                </c:pt>
                <c:pt idx="330">
                  <c:v>-217.72944297082228</c:v>
                </c:pt>
                <c:pt idx="331">
                  <c:v>-215.72944297082228</c:v>
                </c:pt>
                <c:pt idx="332">
                  <c:v>-195.72944297082228</c:v>
                </c:pt>
                <c:pt idx="333">
                  <c:v>-189.72944297082228</c:v>
                </c:pt>
                <c:pt idx="334">
                  <c:v>-175.72944297082228</c:v>
                </c:pt>
                <c:pt idx="335">
                  <c:v>-171.72944297082228</c:v>
                </c:pt>
                <c:pt idx="336">
                  <c:v>-165.72944297082228</c:v>
                </c:pt>
                <c:pt idx="337">
                  <c:v>-155.72944297082228</c:v>
                </c:pt>
                <c:pt idx="338">
                  <c:v>-143.72944297082228</c:v>
                </c:pt>
                <c:pt idx="339">
                  <c:v>-124.72944297082228</c:v>
                </c:pt>
                <c:pt idx="340">
                  <c:v>71.270557029177724</c:v>
                </c:pt>
                <c:pt idx="341">
                  <c:v>176.27055702917772</c:v>
                </c:pt>
                <c:pt idx="342">
                  <c:v>204.27055702917772</c:v>
                </c:pt>
                <c:pt idx="343">
                  <c:v>213.27055702917772</c:v>
                </c:pt>
                <c:pt idx="344">
                  <c:v>216.27055702917772</c:v>
                </c:pt>
                <c:pt idx="345">
                  <c:v>224.27055702917772</c:v>
                </c:pt>
                <c:pt idx="346">
                  <c:v>230.27055702917772</c:v>
                </c:pt>
                <c:pt idx="347">
                  <c:v>237.27055702917772</c:v>
                </c:pt>
                <c:pt idx="348">
                  <c:v>237.27055702917772</c:v>
                </c:pt>
                <c:pt idx="349">
                  <c:v>245.27055702917772</c:v>
                </c:pt>
                <c:pt idx="350">
                  <c:v>245.27055702917772</c:v>
                </c:pt>
                <c:pt idx="351">
                  <c:v>245.27055702917772</c:v>
                </c:pt>
                <c:pt idx="352">
                  <c:v>226.27055702917772</c:v>
                </c:pt>
                <c:pt idx="353">
                  <c:v>218.27055702917772</c:v>
                </c:pt>
                <c:pt idx="354">
                  <c:v>80.270557029177724</c:v>
                </c:pt>
                <c:pt idx="355">
                  <c:v>-136.72944297082228</c:v>
                </c:pt>
                <c:pt idx="356">
                  <c:v>-183.72944297082228</c:v>
                </c:pt>
                <c:pt idx="357">
                  <c:v>-183.72944297082228</c:v>
                </c:pt>
                <c:pt idx="358">
                  <c:v>-201.72944297082228</c:v>
                </c:pt>
                <c:pt idx="359">
                  <c:v>-221.72944297082228</c:v>
                </c:pt>
                <c:pt idx="360">
                  <c:v>-221.72944297082228</c:v>
                </c:pt>
                <c:pt idx="361">
                  <c:v>-215.72944297082228</c:v>
                </c:pt>
                <c:pt idx="362">
                  <c:v>-198.72944297082228</c:v>
                </c:pt>
                <c:pt idx="363">
                  <c:v>-192.72944297082228</c:v>
                </c:pt>
                <c:pt idx="364">
                  <c:v>-172.72944297082228</c:v>
                </c:pt>
                <c:pt idx="365">
                  <c:v>-4.7294429708222765</c:v>
                </c:pt>
                <c:pt idx="366">
                  <c:v>87.270557029177724</c:v>
                </c:pt>
                <c:pt idx="367">
                  <c:v>112.27055702917772</c:v>
                </c:pt>
                <c:pt idx="368">
                  <c:v>134.27055702917772</c:v>
                </c:pt>
                <c:pt idx="369">
                  <c:v>138.27055702917772</c:v>
                </c:pt>
                <c:pt idx="370">
                  <c:v>187.27055702917772</c:v>
                </c:pt>
                <c:pt idx="371">
                  <c:v>190.27055702917772</c:v>
                </c:pt>
                <c:pt idx="372">
                  <c:v>210.27055702917772</c:v>
                </c:pt>
                <c:pt idx="373">
                  <c:v>218.27055702917772</c:v>
                </c:pt>
                <c:pt idx="374">
                  <c:v>218.27055702917772</c:v>
                </c:pt>
                <c:pt idx="375">
                  <c:v>223.27055702917772</c:v>
                </c:pt>
                <c:pt idx="376">
                  <c:v>256.27055702917772</c:v>
                </c:pt>
                <c:pt idx="377">
                  <c:v>281.27055702917772</c:v>
                </c:pt>
                <c:pt idx="378">
                  <c:v>281.27055702917772</c:v>
                </c:pt>
                <c:pt idx="379">
                  <c:v>275.27055702917772</c:v>
                </c:pt>
                <c:pt idx="380">
                  <c:v>270.27055702917772</c:v>
                </c:pt>
                <c:pt idx="381">
                  <c:v>216.27055702917772</c:v>
                </c:pt>
                <c:pt idx="382">
                  <c:v>-42.729442970822276</c:v>
                </c:pt>
                <c:pt idx="383">
                  <c:v>-129.72944297082228</c:v>
                </c:pt>
                <c:pt idx="384">
                  <c:v>-151.72944297082228</c:v>
                </c:pt>
                <c:pt idx="385">
                  <c:v>-174.72944297082228</c:v>
                </c:pt>
                <c:pt idx="386">
                  <c:v>-201.72944297082228</c:v>
                </c:pt>
                <c:pt idx="387">
                  <c:v>-203.72944297082228</c:v>
                </c:pt>
                <c:pt idx="388">
                  <c:v>-201.72944297082228</c:v>
                </c:pt>
                <c:pt idx="389">
                  <c:v>-179.72944297082228</c:v>
                </c:pt>
                <c:pt idx="390">
                  <c:v>-164.72944297082228</c:v>
                </c:pt>
                <c:pt idx="391">
                  <c:v>-157.72944297082228</c:v>
                </c:pt>
                <c:pt idx="392">
                  <c:v>-157.72944297082228</c:v>
                </c:pt>
                <c:pt idx="393">
                  <c:v>-164.72944297082228</c:v>
                </c:pt>
                <c:pt idx="394">
                  <c:v>-166.72944297082228</c:v>
                </c:pt>
                <c:pt idx="395">
                  <c:v>-183.72944297082228</c:v>
                </c:pt>
                <c:pt idx="396">
                  <c:v>-212.72944297082228</c:v>
                </c:pt>
                <c:pt idx="397">
                  <c:v>-212.72944297082228</c:v>
                </c:pt>
                <c:pt idx="398">
                  <c:v>-206.72944297082228</c:v>
                </c:pt>
                <c:pt idx="399">
                  <c:v>-170.72944297082228</c:v>
                </c:pt>
                <c:pt idx="400">
                  <c:v>-22.729442970822276</c:v>
                </c:pt>
                <c:pt idx="401">
                  <c:v>129.27055702917772</c:v>
                </c:pt>
                <c:pt idx="402">
                  <c:v>164.27055702917772</c:v>
                </c:pt>
                <c:pt idx="403">
                  <c:v>167.27055702917772</c:v>
                </c:pt>
                <c:pt idx="404">
                  <c:v>169.27055702917772</c:v>
                </c:pt>
                <c:pt idx="405">
                  <c:v>176.27055702917772</c:v>
                </c:pt>
                <c:pt idx="406">
                  <c:v>189.27055702917772</c:v>
                </c:pt>
                <c:pt idx="407">
                  <c:v>195.27055702917772</c:v>
                </c:pt>
                <c:pt idx="408">
                  <c:v>201.27055702917772</c:v>
                </c:pt>
                <c:pt idx="409">
                  <c:v>201.27055702917772</c:v>
                </c:pt>
                <c:pt idx="410">
                  <c:v>205.27055702917772</c:v>
                </c:pt>
                <c:pt idx="411">
                  <c:v>205.27055702917772</c:v>
                </c:pt>
                <c:pt idx="412">
                  <c:v>203.27055702917772</c:v>
                </c:pt>
                <c:pt idx="413">
                  <c:v>182.27055702917772</c:v>
                </c:pt>
                <c:pt idx="414">
                  <c:v>-1.7294429708222765</c:v>
                </c:pt>
                <c:pt idx="415">
                  <c:v>-156.72944297082228</c:v>
                </c:pt>
                <c:pt idx="416">
                  <c:v>-181.72944297082228</c:v>
                </c:pt>
                <c:pt idx="417">
                  <c:v>-181.72944297082228</c:v>
                </c:pt>
                <c:pt idx="418">
                  <c:v>-141.72944297082228</c:v>
                </c:pt>
                <c:pt idx="419">
                  <c:v>-121.72944297082228</c:v>
                </c:pt>
                <c:pt idx="420">
                  <c:v>-118.72944297082228</c:v>
                </c:pt>
                <c:pt idx="421">
                  <c:v>-118.72944297082228</c:v>
                </c:pt>
                <c:pt idx="422">
                  <c:v>-134.72944297082228</c:v>
                </c:pt>
                <c:pt idx="423">
                  <c:v>-134.72944297082228</c:v>
                </c:pt>
                <c:pt idx="424">
                  <c:v>-114.72944297082228</c:v>
                </c:pt>
                <c:pt idx="425">
                  <c:v>-41.729442970822276</c:v>
                </c:pt>
                <c:pt idx="426">
                  <c:v>-1.7294429708222765</c:v>
                </c:pt>
                <c:pt idx="427">
                  <c:v>-1.7294429708222765</c:v>
                </c:pt>
                <c:pt idx="428">
                  <c:v>-1.7294429708222765</c:v>
                </c:pt>
                <c:pt idx="429">
                  <c:v>16.270557029177724</c:v>
                </c:pt>
                <c:pt idx="430">
                  <c:v>34.270557029177724</c:v>
                </c:pt>
                <c:pt idx="431">
                  <c:v>34.270557029177724</c:v>
                </c:pt>
                <c:pt idx="432">
                  <c:v>19.270557029177724</c:v>
                </c:pt>
                <c:pt idx="433">
                  <c:v>-24.729442970822276</c:v>
                </c:pt>
                <c:pt idx="434">
                  <c:v>-24.729442970822276</c:v>
                </c:pt>
                <c:pt idx="435">
                  <c:v>85.270557029177724</c:v>
                </c:pt>
                <c:pt idx="436">
                  <c:v>185.27055702917772</c:v>
                </c:pt>
                <c:pt idx="437">
                  <c:v>216.27055702917772</c:v>
                </c:pt>
                <c:pt idx="438">
                  <c:v>235.27055702917772</c:v>
                </c:pt>
                <c:pt idx="439">
                  <c:v>241.27055702917772</c:v>
                </c:pt>
                <c:pt idx="440">
                  <c:v>242.27055702917772</c:v>
                </c:pt>
                <c:pt idx="441">
                  <c:v>242.27055702917772</c:v>
                </c:pt>
                <c:pt idx="442">
                  <c:v>241.27055702917772</c:v>
                </c:pt>
                <c:pt idx="443">
                  <c:v>217.27055702917772</c:v>
                </c:pt>
                <c:pt idx="444">
                  <c:v>-22.729442970822276</c:v>
                </c:pt>
                <c:pt idx="445">
                  <c:v>-32.729442970822276</c:v>
                </c:pt>
                <c:pt idx="446">
                  <c:v>-173.72944297082228</c:v>
                </c:pt>
                <c:pt idx="447">
                  <c:v>-188.72944297082228</c:v>
                </c:pt>
                <c:pt idx="448">
                  <c:v>-188.72944297082228</c:v>
                </c:pt>
                <c:pt idx="449">
                  <c:v>-195.72944297082228</c:v>
                </c:pt>
                <c:pt idx="450">
                  <c:v>-199.72944297082228</c:v>
                </c:pt>
                <c:pt idx="451">
                  <c:v>-195.72944297082228</c:v>
                </c:pt>
                <c:pt idx="452">
                  <c:v>-194.72944297082228</c:v>
                </c:pt>
                <c:pt idx="453">
                  <c:v>-174.72944297082228</c:v>
                </c:pt>
                <c:pt idx="454">
                  <c:v>-174.72944297082228</c:v>
                </c:pt>
                <c:pt idx="455">
                  <c:v>-178.72944297082228</c:v>
                </c:pt>
                <c:pt idx="456">
                  <c:v>-191.72944297082228</c:v>
                </c:pt>
                <c:pt idx="457">
                  <c:v>-178.72944297082228</c:v>
                </c:pt>
                <c:pt idx="458">
                  <c:v>-169.72944297082228</c:v>
                </c:pt>
                <c:pt idx="459">
                  <c:v>-156.72944297082228</c:v>
                </c:pt>
                <c:pt idx="460">
                  <c:v>2.2705570291777235</c:v>
                </c:pt>
                <c:pt idx="461">
                  <c:v>144.27055702917772</c:v>
                </c:pt>
                <c:pt idx="462">
                  <c:v>166.27055702917772</c:v>
                </c:pt>
                <c:pt idx="463">
                  <c:v>166.27055702917772</c:v>
                </c:pt>
                <c:pt idx="464">
                  <c:v>157.27055702917772</c:v>
                </c:pt>
                <c:pt idx="465">
                  <c:v>157.27055702917772</c:v>
                </c:pt>
                <c:pt idx="466">
                  <c:v>177.27055702917772</c:v>
                </c:pt>
                <c:pt idx="467">
                  <c:v>188.27055702917772</c:v>
                </c:pt>
                <c:pt idx="468">
                  <c:v>188.27055702917772</c:v>
                </c:pt>
                <c:pt idx="469">
                  <c:v>189.27055702917772</c:v>
                </c:pt>
                <c:pt idx="470">
                  <c:v>195.27055702917772</c:v>
                </c:pt>
                <c:pt idx="471">
                  <c:v>197.27055702917772</c:v>
                </c:pt>
                <c:pt idx="472">
                  <c:v>203.27055702917772</c:v>
                </c:pt>
                <c:pt idx="473">
                  <c:v>203.27055702917772</c:v>
                </c:pt>
                <c:pt idx="474">
                  <c:v>14.270557029177724</c:v>
                </c:pt>
                <c:pt idx="475">
                  <c:v>-72.729442970822276</c:v>
                </c:pt>
                <c:pt idx="476">
                  <c:v>-139.72944297082228</c:v>
                </c:pt>
                <c:pt idx="477">
                  <c:v>-176.72944297082228</c:v>
                </c:pt>
                <c:pt idx="478">
                  <c:v>-205.72944297082228</c:v>
                </c:pt>
                <c:pt idx="479">
                  <c:v>-219.72944297082228</c:v>
                </c:pt>
                <c:pt idx="480">
                  <c:v>-228.72944297082228</c:v>
                </c:pt>
                <c:pt idx="481">
                  <c:v>-228.72944297082228</c:v>
                </c:pt>
                <c:pt idx="482">
                  <c:v>-228.72944297082228</c:v>
                </c:pt>
                <c:pt idx="483">
                  <c:v>-176.72944297082228</c:v>
                </c:pt>
                <c:pt idx="484">
                  <c:v>-172.72944297082228</c:v>
                </c:pt>
                <c:pt idx="485">
                  <c:v>-112.72944297082228</c:v>
                </c:pt>
                <c:pt idx="486">
                  <c:v>-56.729442970822276</c:v>
                </c:pt>
                <c:pt idx="487">
                  <c:v>-54.729442970822276</c:v>
                </c:pt>
                <c:pt idx="488">
                  <c:v>-20.729442970822276</c:v>
                </c:pt>
                <c:pt idx="489">
                  <c:v>46.270557029177724</c:v>
                </c:pt>
                <c:pt idx="490">
                  <c:v>140.27055702917772</c:v>
                </c:pt>
                <c:pt idx="491">
                  <c:v>175.27055702917772</c:v>
                </c:pt>
                <c:pt idx="492">
                  <c:v>186.27055702917772</c:v>
                </c:pt>
                <c:pt idx="493">
                  <c:v>200.27055702917772</c:v>
                </c:pt>
                <c:pt idx="494">
                  <c:v>226.27055702917772</c:v>
                </c:pt>
                <c:pt idx="495">
                  <c:v>233.27055702917772</c:v>
                </c:pt>
                <c:pt idx="496">
                  <c:v>253.27055702917772</c:v>
                </c:pt>
                <c:pt idx="497">
                  <c:v>263.27055702917772</c:v>
                </c:pt>
                <c:pt idx="498">
                  <c:v>271.27055702917772</c:v>
                </c:pt>
                <c:pt idx="499">
                  <c:v>271.27055702917772</c:v>
                </c:pt>
                <c:pt idx="500">
                  <c:v>206.27055702917772</c:v>
                </c:pt>
                <c:pt idx="501">
                  <c:v>-55.729442970822276</c:v>
                </c:pt>
                <c:pt idx="502">
                  <c:v>-173.72944297082228</c:v>
                </c:pt>
                <c:pt idx="503">
                  <c:v>-231.72944297082228</c:v>
                </c:pt>
                <c:pt idx="504">
                  <c:v>-231.72944297082228</c:v>
                </c:pt>
                <c:pt idx="505">
                  <c:v>-179.72944297082228</c:v>
                </c:pt>
                <c:pt idx="506">
                  <c:v>-174.72944297082228</c:v>
                </c:pt>
                <c:pt idx="507">
                  <c:v>-174.72944297082228</c:v>
                </c:pt>
                <c:pt idx="508">
                  <c:v>-215.72944297082228</c:v>
                </c:pt>
                <c:pt idx="509">
                  <c:v>-215.72944297082228</c:v>
                </c:pt>
                <c:pt idx="510">
                  <c:v>-189.72944297082228</c:v>
                </c:pt>
                <c:pt idx="511">
                  <c:v>-136.72944297082228</c:v>
                </c:pt>
                <c:pt idx="512">
                  <c:v>-98.729442970822276</c:v>
                </c:pt>
                <c:pt idx="513">
                  <c:v>-32.729442970822276</c:v>
                </c:pt>
                <c:pt idx="514">
                  <c:v>66.270557029177724</c:v>
                </c:pt>
                <c:pt idx="515">
                  <c:v>104.27055702917772</c:v>
                </c:pt>
                <c:pt idx="516">
                  <c:v>118.27055702917772</c:v>
                </c:pt>
                <c:pt idx="517">
                  <c:v>137.27055702917772</c:v>
                </c:pt>
                <c:pt idx="518">
                  <c:v>174.27055702917772</c:v>
                </c:pt>
                <c:pt idx="519">
                  <c:v>212.27055702917772</c:v>
                </c:pt>
                <c:pt idx="520">
                  <c:v>242.27055702917772</c:v>
                </c:pt>
                <c:pt idx="521">
                  <c:v>260.27055702917772</c:v>
                </c:pt>
                <c:pt idx="522">
                  <c:v>265.27055702917772</c:v>
                </c:pt>
                <c:pt idx="523">
                  <c:v>281.27055702917772</c:v>
                </c:pt>
                <c:pt idx="524">
                  <c:v>284.27055702917772</c:v>
                </c:pt>
                <c:pt idx="525">
                  <c:v>284.27055702917772</c:v>
                </c:pt>
                <c:pt idx="526">
                  <c:v>219.27055702917772</c:v>
                </c:pt>
                <c:pt idx="527">
                  <c:v>-8.7294429708222765</c:v>
                </c:pt>
                <c:pt idx="528">
                  <c:v>-86.729442970822276</c:v>
                </c:pt>
                <c:pt idx="529">
                  <c:v>-164.72944297082228</c:v>
                </c:pt>
                <c:pt idx="530">
                  <c:v>-170.72944297082228</c:v>
                </c:pt>
                <c:pt idx="531">
                  <c:v>-215.72944297082228</c:v>
                </c:pt>
                <c:pt idx="532">
                  <c:v>-215.72944297082228</c:v>
                </c:pt>
                <c:pt idx="533">
                  <c:v>-215.72944297082228</c:v>
                </c:pt>
                <c:pt idx="534">
                  <c:v>-205.72944297082228</c:v>
                </c:pt>
                <c:pt idx="535">
                  <c:v>-178.72944297082228</c:v>
                </c:pt>
                <c:pt idx="536">
                  <c:v>-161.72944297082228</c:v>
                </c:pt>
                <c:pt idx="537">
                  <c:v>-139.72944297082228</c:v>
                </c:pt>
                <c:pt idx="538">
                  <c:v>-79.729442970822276</c:v>
                </c:pt>
                <c:pt idx="539">
                  <c:v>-15.729442970822276</c:v>
                </c:pt>
                <c:pt idx="540">
                  <c:v>-14.729442970822276</c:v>
                </c:pt>
                <c:pt idx="541">
                  <c:v>-7.7294429708222765</c:v>
                </c:pt>
                <c:pt idx="542">
                  <c:v>62.270557029177724</c:v>
                </c:pt>
                <c:pt idx="543">
                  <c:v>188.27055702917772</c:v>
                </c:pt>
                <c:pt idx="544">
                  <c:v>215.27055702917772</c:v>
                </c:pt>
                <c:pt idx="545">
                  <c:v>232.27055702917772</c:v>
                </c:pt>
                <c:pt idx="546">
                  <c:v>243.27055702917772</c:v>
                </c:pt>
                <c:pt idx="547">
                  <c:v>246.27055702917772</c:v>
                </c:pt>
                <c:pt idx="548">
                  <c:v>246.27055702917772</c:v>
                </c:pt>
                <c:pt idx="549">
                  <c:v>227.27055702917772</c:v>
                </c:pt>
                <c:pt idx="550">
                  <c:v>3.2705570291777235</c:v>
                </c:pt>
                <c:pt idx="551">
                  <c:v>-134.72944297082228</c:v>
                </c:pt>
                <c:pt idx="552">
                  <c:v>-163.72944297082228</c:v>
                </c:pt>
                <c:pt idx="553">
                  <c:v>-163.72944297082228</c:v>
                </c:pt>
                <c:pt idx="554">
                  <c:v>-195.72944297082228</c:v>
                </c:pt>
                <c:pt idx="555">
                  <c:v>-190.72944297082228</c:v>
                </c:pt>
                <c:pt idx="556">
                  <c:v>-201.72944297082228</c:v>
                </c:pt>
                <c:pt idx="557">
                  <c:v>-190.72944297082228</c:v>
                </c:pt>
                <c:pt idx="558">
                  <c:v>-175.72944297082228</c:v>
                </c:pt>
                <c:pt idx="559">
                  <c:v>-174.72944297082228</c:v>
                </c:pt>
                <c:pt idx="560">
                  <c:v>-165.72944297082228</c:v>
                </c:pt>
                <c:pt idx="561">
                  <c:v>-155.72944297082228</c:v>
                </c:pt>
                <c:pt idx="562">
                  <c:v>-125.72944297082228</c:v>
                </c:pt>
                <c:pt idx="563">
                  <c:v>-125.72944297082228</c:v>
                </c:pt>
                <c:pt idx="564">
                  <c:v>-138.72944297082228</c:v>
                </c:pt>
                <c:pt idx="565">
                  <c:v>-159.72944297082228</c:v>
                </c:pt>
                <c:pt idx="566">
                  <c:v>-159.72944297082228</c:v>
                </c:pt>
                <c:pt idx="567">
                  <c:v>-125.72944297082228</c:v>
                </c:pt>
                <c:pt idx="568">
                  <c:v>6.2705570291777235</c:v>
                </c:pt>
                <c:pt idx="569">
                  <c:v>162.27055702917772</c:v>
                </c:pt>
                <c:pt idx="570">
                  <c:v>217.27055702917772</c:v>
                </c:pt>
                <c:pt idx="571">
                  <c:v>223.27055702917772</c:v>
                </c:pt>
                <c:pt idx="572">
                  <c:v>223.27055702917772</c:v>
                </c:pt>
                <c:pt idx="573">
                  <c:v>210.27055702917772</c:v>
                </c:pt>
                <c:pt idx="574">
                  <c:v>194.27055702917772</c:v>
                </c:pt>
                <c:pt idx="575">
                  <c:v>194.27055702917772</c:v>
                </c:pt>
                <c:pt idx="576">
                  <c:v>207.27055702917772</c:v>
                </c:pt>
                <c:pt idx="577">
                  <c:v>207.27055702917772</c:v>
                </c:pt>
                <c:pt idx="578">
                  <c:v>207.27055702917772</c:v>
                </c:pt>
                <c:pt idx="579">
                  <c:v>244.27055702917772</c:v>
                </c:pt>
                <c:pt idx="580">
                  <c:v>253.27055702917772</c:v>
                </c:pt>
                <c:pt idx="581">
                  <c:v>266.27055702917772</c:v>
                </c:pt>
                <c:pt idx="582">
                  <c:v>284.27055702917772</c:v>
                </c:pt>
                <c:pt idx="583">
                  <c:v>284.27055702917772</c:v>
                </c:pt>
                <c:pt idx="584">
                  <c:v>242.27055702917772</c:v>
                </c:pt>
                <c:pt idx="585">
                  <c:v>71.270557029177724</c:v>
                </c:pt>
                <c:pt idx="586">
                  <c:v>-85.729442970822276</c:v>
                </c:pt>
                <c:pt idx="587">
                  <c:v>-182.72944297082228</c:v>
                </c:pt>
                <c:pt idx="588">
                  <c:v>-204.72944297082228</c:v>
                </c:pt>
                <c:pt idx="589">
                  <c:v>-212.72944297082228</c:v>
                </c:pt>
                <c:pt idx="590">
                  <c:v>-212.72944297082228</c:v>
                </c:pt>
                <c:pt idx="591">
                  <c:v>-197.72944297082228</c:v>
                </c:pt>
                <c:pt idx="592">
                  <c:v>-193.72944297082228</c:v>
                </c:pt>
                <c:pt idx="593">
                  <c:v>-167.72944297082228</c:v>
                </c:pt>
                <c:pt idx="594">
                  <c:v>-156.72944297082228</c:v>
                </c:pt>
                <c:pt idx="595">
                  <c:v>-147.72944297082228</c:v>
                </c:pt>
                <c:pt idx="596">
                  <c:v>-129.72944297082228</c:v>
                </c:pt>
                <c:pt idx="597">
                  <c:v>-105.72944297082228</c:v>
                </c:pt>
                <c:pt idx="598">
                  <c:v>-23.729442970822276</c:v>
                </c:pt>
                <c:pt idx="599">
                  <c:v>-23.729442970822276</c:v>
                </c:pt>
                <c:pt idx="600">
                  <c:v>-50.729442970822276</c:v>
                </c:pt>
                <c:pt idx="601">
                  <c:v>-50.729442970822276</c:v>
                </c:pt>
                <c:pt idx="602">
                  <c:v>8.2705570291777235</c:v>
                </c:pt>
                <c:pt idx="603">
                  <c:v>129.27055702917772</c:v>
                </c:pt>
                <c:pt idx="604">
                  <c:v>204.27055702917772</c:v>
                </c:pt>
                <c:pt idx="605">
                  <c:v>223.27055702917772</c:v>
                </c:pt>
                <c:pt idx="606">
                  <c:v>248.27055702917772</c:v>
                </c:pt>
                <c:pt idx="607">
                  <c:v>248.27055702917772</c:v>
                </c:pt>
                <c:pt idx="608">
                  <c:v>248.27055702917772</c:v>
                </c:pt>
                <c:pt idx="609">
                  <c:v>248.27055702917772</c:v>
                </c:pt>
                <c:pt idx="610">
                  <c:v>247.27055702917772</c:v>
                </c:pt>
                <c:pt idx="611">
                  <c:v>100.27055702917772</c:v>
                </c:pt>
                <c:pt idx="612">
                  <c:v>-48.729442970822276</c:v>
                </c:pt>
                <c:pt idx="613">
                  <c:v>-142.72944297082228</c:v>
                </c:pt>
                <c:pt idx="614">
                  <c:v>-176.72944297082228</c:v>
                </c:pt>
                <c:pt idx="615">
                  <c:v>-184.72944297082228</c:v>
                </c:pt>
                <c:pt idx="616">
                  <c:v>-184.72944297082228</c:v>
                </c:pt>
                <c:pt idx="617">
                  <c:v>-159.72944297082228</c:v>
                </c:pt>
                <c:pt idx="618">
                  <c:v>-159.72944297082228</c:v>
                </c:pt>
                <c:pt idx="619">
                  <c:v>-154.72944297082228</c:v>
                </c:pt>
                <c:pt idx="620">
                  <c:v>-152.72944297082228</c:v>
                </c:pt>
                <c:pt idx="621">
                  <c:v>-137.72944297082228</c:v>
                </c:pt>
                <c:pt idx="622">
                  <c:v>-112.72944297082228</c:v>
                </c:pt>
                <c:pt idx="623">
                  <c:v>-78.729442970822276</c:v>
                </c:pt>
                <c:pt idx="624">
                  <c:v>-78.729442970822276</c:v>
                </c:pt>
                <c:pt idx="625">
                  <c:v>-55.729442970822276</c:v>
                </c:pt>
                <c:pt idx="626">
                  <c:v>-55.729442970822276</c:v>
                </c:pt>
                <c:pt idx="627">
                  <c:v>113.27055702917772</c:v>
                </c:pt>
                <c:pt idx="628">
                  <c:v>201.27055702917772</c:v>
                </c:pt>
                <c:pt idx="629">
                  <c:v>221.27055702917772</c:v>
                </c:pt>
                <c:pt idx="630">
                  <c:v>244.27055702917772</c:v>
                </c:pt>
                <c:pt idx="631">
                  <c:v>251.27055702917772</c:v>
                </c:pt>
                <c:pt idx="632">
                  <c:v>253.27055702917772</c:v>
                </c:pt>
                <c:pt idx="633">
                  <c:v>255.27055702917772</c:v>
                </c:pt>
                <c:pt idx="634">
                  <c:v>259.27055702917772</c:v>
                </c:pt>
                <c:pt idx="635">
                  <c:v>259.27055702917772</c:v>
                </c:pt>
                <c:pt idx="636">
                  <c:v>223.27055702917772</c:v>
                </c:pt>
                <c:pt idx="637">
                  <c:v>28.270557029177724</c:v>
                </c:pt>
                <c:pt idx="638">
                  <c:v>-147.72944297082228</c:v>
                </c:pt>
                <c:pt idx="639">
                  <c:v>-149.72944297082228</c:v>
                </c:pt>
                <c:pt idx="640">
                  <c:v>-170.72944297082228</c:v>
                </c:pt>
                <c:pt idx="641">
                  <c:v>-187.72944297082228</c:v>
                </c:pt>
                <c:pt idx="642">
                  <c:v>-187.72944297082228</c:v>
                </c:pt>
                <c:pt idx="643">
                  <c:v>-173.72944297082228</c:v>
                </c:pt>
                <c:pt idx="644">
                  <c:v>-157.72944297082228</c:v>
                </c:pt>
                <c:pt idx="645">
                  <c:v>-157.72944297082228</c:v>
                </c:pt>
                <c:pt idx="646">
                  <c:v>-153.72944297082228</c:v>
                </c:pt>
                <c:pt idx="647">
                  <c:v>-137.72944297082228</c:v>
                </c:pt>
                <c:pt idx="648">
                  <c:v>-118.72944297082228</c:v>
                </c:pt>
                <c:pt idx="649">
                  <c:v>-117.72944297082228</c:v>
                </c:pt>
                <c:pt idx="650">
                  <c:v>-78.729442970822276</c:v>
                </c:pt>
                <c:pt idx="651">
                  <c:v>82.270557029177724</c:v>
                </c:pt>
                <c:pt idx="652">
                  <c:v>188.27055702917772</c:v>
                </c:pt>
                <c:pt idx="653">
                  <c:v>232.27055702917772</c:v>
                </c:pt>
                <c:pt idx="654">
                  <c:v>248.27055702917772</c:v>
                </c:pt>
                <c:pt idx="655">
                  <c:v>251.27055702917772</c:v>
                </c:pt>
                <c:pt idx="656">
                  <c:v>251.27055702917772</c:v>
                </c:pt>
                <c:pt idx="657">
                  <c:v>255.27055702917772</c:v>
                </c:pt>
                <c:pt idx="658">
                  <c:v>251.27055702917772</c:v>
                </c:pt>
                <c:pt idx="659">
                  <c:v>200.27055702917772</c:v>
                </c:pt>
                <c:pt idx="660">
                  <c:v>61.270557029177724</c:v>
                </c:pt>
                <c:pt idx="661">
                  <c:v>-102.72944297082228</c:v>
                </c:pt>
                <c:pt idx="662">
                  <c:v>-176.72944297082228</c:v>
                </c:pt>
                <c:pt idx="663">
                  <c:v>-188.72944297082228</c:v>
                </c:pt>
                <c:pt idx="664">
                  <c:v>-188.72944297082228</c:v>
                </c:pt>
                <c:pt idx="665">
                  <c:v>-199.72944297082228</c:v>
                </c:pt>
                <c:pt idx="666">
                  <c:v>-199.72944297082228</c:v>
                </c:pt>
                <c:pt idx="667">
                  <c:v>-182.72944297082228</c:v>
                </c:pt>
                <c:pt idx="668">
                  <c:v>-169.72944297082228</c:v>
                </c:pt>
                <c:pt idx="669">
                  <c:v>-157.72944297082228</c:v>
                </c:pt>
                <c:pt idx="670">
                  <c:v>-157.72944297082228</c:v>
                </c:pt>
                <c:pt idx="671">
                  <c:v>-175.72944297082228</c:v>
                </c:pt>
                <c:pt idx="672">
                  <c:v>-183.72944297082228</c:v>
                </c:pt>
                <c:pt idx="673">
                  <c:v>-183.72944297082228</c:v>
                </c:pt>
                <c:pt idx="674">
                  <c:v>-182.72944297082228</c:v>
                </c:pt>
                <c:pt idx="675">
                  <c:v>-167.72944297082228</c:v>
                </c:pt>
                <c:pt idx="676">
                  <c:v>-96.729442970822276</c:v>
                </c:pt>
                <c:pt idx="677">
                  <c:v>69.270557029177724</c:v>
                </c:pt>
                <c:pt idx="678">
                  <c:v>153.27055702917772</c:v>
                </c:pt>
                <c:pt idx="679">
                  <c:v>155.27055702917772</c:v>
                </c:pt>
                <c:pt idx="680">
                  <c:v>153.27055702917772</c:v>
                </c:pt>
                <c:pt idx="681">
                  <c:v>155.27055702917772</c:v>
                </c:pt>
                <c:pt idx="682">
                  <c:v>187.27055702917772</c:v>
                </c:pt>
                <c:pt idx="683">
                  <c:v>194.27055702917772</c:v>
                </c:pt>
                <c:pt idx="684">
                  <c:v>200.27055702917772</c:v>
                </c:pt>
                <c:pt idx="685">
                  <c:v>204.27055702917772</c:v>
                </c:pt>
                <c:pt idx="686">
                  <c:v>206.27055702917772</c:v>
                </c:pt>
                <c:pt idx="687">
                  <c:v>204.27055702917772</c:v>
                </c:pt>
                <c:pt idx="688">
                  <c:v>206.27055702917772</c:v>
                </c:pt>
                <c:pt idx="689">
                  <c:v>198.27055702917772</c:v>
                </c:pt>
                <c:pt idx="690">
                  <c:v>-5.7294429708222765</c:v>
                </c:pt>
                <c:pt idx="691">
                  <c:v>-181.72944297082228</c:v>
                </c:pt>
                <c:pt idx="692">
                  <c:v>-181.72944297082228</c:v>
                </c:pt>
                <c:pt idx="693">
                  <c:v>-182.72944297082228</c:v>
                </c:pt>
                <c:pt idx="694">
                  <c:v>-180.72944297082228</c:v>
                </c:pt>
                <c:pt idx="695">
                  <c:v>-161.72944297082228</c:v>
                </c:pt>
                <c:pt idx="696">
                  <c:v>-161.72944297082228</c:v>
                </c:pt>
                <c:pt idx="697">
                  <c:v>-161.72944297082228</c:v>
                </c:pt>
                <c:pt idx="698">
                  <c:v>-161.72944297082228</c:v>
                </c:pt>
                <c:pt idx="699">
                  <c:v>-160.72944297082228</c:v>
                </c:pt>
                <c:pt idx="700">
                  <c:v>-156.72944297082228</c:v>
                </c:pt>
                <c:pt idx="701">
                  <c:v>-134.72944297082228</c:v>
                </c:pt>
                <c:pt idx="702">
                  <c:v>-89.729442970822276</c:v>
                </c:pt>
                <c:pt idx="703">
                  <c:v>-73.729442970822276</c:v>
                </c:pt>
                <c:pt idx="704">
                  <c:v>-32.729442970822276</c:v>
                </c:pt>
                <c:pt idx="705">
                  <c:v>10.270557029177724</c:v>
                </c:pt>
                <c:pt idx="706">
                  <c:v>124.27055702917772</c:v>
                </c:pt>
                <c:pt idx="707">
                  <c:v>173.27055702917772</c:v>
                </c:pt>
                <c:pt idx="708">
                  <c:v>173.27055702917772</c:v>
                </c:pt>
                <c:pt idx="709">
                  <c:v>152.27055702917772</c:v>
                </c:pt>
                <c:pt idx="710">
                  <c:v>152.27055702917772</c:v>
                </c:pt>
                <c:pt idx="711">
                  <c:v>192.27055702917772</c:v>
                </c:pt>
                <c:pt idx="712">
                  <c:v>241.27055702917772</c:v>
                </c:pt>
                <c:pt idx="713">
                  <c:v>260.27055702917772</c:v>
                </c:pt>
                <c:pt idx="714">
                  <c:v>261.27055702917772</c:v>
                </c:pt>
                <c:pt idx="715">
                  <c:v>266.27055702917772</c:v>
                </c:pt>
                <c:pt idx="716">
                  <c:v>271.27055702917772</c:v>
                </c:pt>
                <c:pt idx="717">
                  <c:v>270.27055702917772</c:v>
                </c:pt>
                <c:pt idx="718">
                  <c:v>270.27055702917772</c:v>
                </c:pt>
                <c:pt idx="719">
                  <c:v>96.270557029177724</c:v>
                </c:pt>
                <c:pt idx="720">
                  <c:v>-17.729442970822276</c:v>
                </c:pt>
                <c:pt idx="721">
                  <c:v>-82.729442970822276</c:v>
                </c:pt>
                <c:pt idx="722">
                  <c:v>-153.72944297082228</c:v>
                </c:pt>
                <c:pt idx="723">
                  <c:v>-166.72944297082228</c:v>
                </c:pt>
                <c:pt idx="724">
                  <c:v>-173.72944297082228</c:v>
                </c:pt>
                <c:pt idx="725">
                  <c:v>-211.72944297082228</c:v>
                </c:pt>
                <c:pt idx="726">
                  <c:v>-211.72944297082228</c:v>
                </c:pt>
                <c:pt idx="727">
                  <c:v>-203.72944297082228</c:v>
                </c:pt>
                <c:pt idx="728">
                  <c:v>-186.72944297082228</c:v>
                </c:pt>
                <c:pt idx="729">
                  <c:v>-183.72944297082228</c:v>
                </c:pt>
                <c:pt idx="730">
                  <c:v>-182.72944297082228</c:v>
                </c:pt>
                <c:pt idx="731">
                  <c:v>-182.72944297082228</c:v>
                </c:pt>
                <c:pt idx="732">
                  <c:v>-190.72944297082228</c:v>
                </c:pt>
                <c:pt idx="733">
                  <c:v>-190.72944297082228</c:v>
                </c:pt>
                <c:pt idx="734">
                  <c:v>-177.72944297082228</c:v>
                </c:pt>
                <c:pt idx="735">
                  <c:v>-152.72944297082228</c:v>
                </c:pt>
                <c:pt idx="736">
                  <c:v>66.270557029177724</c:v>
                </c:pt>
                <c:pt idx="737">
                  <c:v>193.27055702917772</c:v>
                </c:pt>
                <c:pt idx="738">
                  <c:v>230.27055702917772</c:v>
                </c:pt>
                <c:pt idx="739">
                  <c:v>242.27055702917772</c:v>
                </c:pt>
                <c:pt idx="740">
                  <c:v>252.27055702917772</c:v>
                </c:pt>
                <c:pt idx="741">
                  <c:v>252.27055702917772</c:v>
                </c:pt>
                <c:pt idx="742">
                  <c:v>247.27055702917772</c:v>
                </c:pt>
                <c:pt idx="743">
                  <c:v>222.27055702917772</c:v>
                </c:pt>
                <c:pt idx="744">
                  <c:v>222.27055702917772</c:v>
                </c:pt>
                <c:pt idx="745">
                  <c:v>230.27055702917772</c:v>
                </c:pt>
                <c:pt idx="746">
                  <c:v>246.27055702917772</c:v>
                </c:pt>
                <c:pt idx="747">
                  <c:v>246.27055702917772</c:v>
                </c:pt>
                <c:pt idx="748">
                  <c:v>75.270557029177724</c:v>
                </c:pt>
                <c:pt idx="749">
                  <c:v>-139.72944297082228</c:v>
                </c:pt>
                <c:pt idx="750">
                  <c:v>-193.72944297082228</c:v>
                </c:pt>
                <c:pt idx="751">
                  <c:v>-199.72944297082228</c:v>
                </c:pt>
                <c:pt idx="752">
                  <c:v>-199.72944297082228</c:v>
                </c:pt>
                <c:pt idx="753">
                  <c:v>-196.72944297082228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saturated_qbo_all_terms!$C$4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xVal>
            <c:numRef>
              <c:f>saturated_qbo_all_terms!$A$5:$A$758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saturated_qbo_all_terms!$C$5:$C$758</c:f>
              <c:numCache>
                <c:formatCode>General</c:formatCode>
                <c:ptCount val="754"/>
                <c:pt idx="0">
                  <c:v>-173.02047972838614</c:v>
                </c:pt>
                <c:pt idx="1">
                  <c:v>-189.51154861020981</c:v>
                </c:pt>
                <c:pt idx="2">
                  <c:v>-186.03345806604588</c:v>
                </c:pt>
                <c:pt idx="3">
                  <c:v>-162.29303156668925</c:v>
                </c:pt>
                <c:pt idx="4">
                  <c:v>-95.53071627687585</c:v>
                </c:pt>
                <c:pt idx="5">
                  <c:v>21.713247118016508</c:v>
                </c:pt>
                <c:pt idx="6">
                  <c:v>45.844888818958097</c:v>
                </c:pt>
                <c:pt idx="7">
                  <c:v>54.41448052521131</c:v>
                </c:pt>
                <c:pt idx="8">
                  <c:v>92.770658471419495</c:v>
                </c:pt>
                <c:pt idx="9">
                  <c:v>119.91184275880424</c:v>
                </c:pt>
                <c:pt idx="10">
                  <c:v>130.64900996221675</c:v>
                </c:pt>
                <c:pt idx="11">
                  <c:v>116.35292572104991</c:v>
                </c:pt>
                <c:pt idx="12">
                  <c:v>83.246456948887285</c:v>
                </c:pt>
                <c:pt idx="13">
                  <c:v>91.465211139169782</c:v>
                </c:pt>
                <c:pt idx="14">
                  <c:v>126.46666726062635</c:v>
                </c:pt>
                <c:pt idx="15">
                  <c:v>152.21556477904866</c:v>
                </c:pt>
                <c:pt idx="16">
                  <c:v>172.01917941284236</c:v>
                </c:pt>
                <c:pt idx="17">
                  <c:v>175.60022730709684</c:v>
                </c:pt>
                <c:pt idx="18">
                  <c:v>161.95315003150986</c:v>
                </c:pt>
                <c:pt idx="19">
                  <c:v>143.88690956068504</c:v>
                </c:pt>
                <c:pt idx="20">
                  <c:v>113.18966437531593</c:v>
                </c:pt>
                <c:pt idx="21">
                  <c:v>61.024807038956354</c:v>
                </c:pt>
                <c:pt idx="22">
                  <c:v>13.33242322894194</c:v>
                </c:pt>
                <c:pt idx="23">
                  <c:v>-42.814050021089763</c:v>
                </c:pt>
                <c:pt idx="24">
                  <c:v>-89.848080561357392</c:v>
                </c:pt>
                <c:pt idx="25">
                  <c:v>-122.48507791848157</c:v>
                </c:pt>
                <c:pt idx="26">
                  <c:v>-154.95924468138705</c:v>
                </c:pt>
                <c:pt idx="27">
                  <c:v>-169.13669146052101</c:v>
                </c:pt>
                <c:pt idx="28">
                  <c:v>-162.40762994313357</c:v>
                </c:pt>
                <c:pt idx="29">
                  <c:v>-162.36826692630493</c:v>
                </c:pt>
                <c:pt idx="30">
                  <c:v>-175.5109335210997</c:v>
                </c:pt>
                <c:pt idx="31">
                  <c:v>-184.76192506578042</c:v>
                </c:pt>
                <c:pt idx="32">
                  <c:v>-183.07209903743524</c:v>
                </c:pt>
                <c:pt idx="33">
                  <c:v>-156.21543578709208</c:v>
                </c:pt>
                <c:pt idx="34">
                  <c:v>-93.821290678717602</c:v>
                </c:pt>
                <c:pt idx="35">
                  <c:v>-40.13703753302476</c:v>
                </c:pt>
                <c:pt idx="36">
                  <c:v>-16.621387844242378</c:v>
                </c:pt>
                <c:pt idx="37">
                  <c:v>11.079634081930502</c:v>
                </c:pt>
                <c:pt idx="38">
                  <c:v>47.97528378256839</c:v>
                </c:pt>
                <c:pt idx="39">
                  <c:v>114.47840965149592</c:v>
                </c:pt>
                <c:pt idx="40">
                  <c:v>163.31743902640002</c:v>
                </c:pt>
                <c:pt idx="41">
                  <c:v>183.74513667700083</c:v>
                </c:pt>
                <c:pt idx="42">
                  <c:v>195.70646089306121</c:v>
                </c:pt>
                <c:pt idx="43">
                  <c:v>202.43102910227677</c:v>
                </c:pt>
                <c:pt idx="44">
                  <c:v>200.68379582493651</c:v>
                </c:pt>
                <c:pt idx="45">
                  <c:v>192.52813838178346</c:v>
                </c:pt>
                <c:pt idx="46">
                  <c:v>168.53815029947148</c:v>
                </c:pt>
                <c:pt idx="47">
                  <c:v>114.08741432136128</c:v>
                </c:pt>
                <c:pt idx="48">
                  <c:v>34.936114215760064</c:v>
                </c:pt>
                <c:pt idx="49">
                  <c:v>-73.054111360150088</c:v>
                </c:pt>
                <c:pt idx="50">
                  <c:v>-138.71431137210499</c:v>
                </c:pt>
                <c:pt idx="51">
                  <c:v>-160.67526099553288</c:v>
                </c:pt>
                <c:pt idx="52">
                  <c:v>-161.99983302340206</c:v>
                </c:pt>
                <c:pt idx="53">
                  <c:v>-154.41265008078815</c:v>
                </c:pt>
                <c:pt idx="54">
                  <c:v>-144.78606893026307</c:v>
                </c:pt>
                <c:pt idx="55">
                  <c:v>-154.33021326647244</c:v>
                </c:pt>
                <c:pt idx="56">
                  <c:v>-167.69610557162804</c:v>
                </c:pt>
                <c:pt idx="57">
                  <c:v>-165.24999315348802</c:v>
                </c:pt>
                <c:pt idx="58">
                  <c:v>-159.16984476949784</c:v>
                </c:pt>
                <c:pt idx="59">
                  <c:v>-154.02607048458964</c:v>
                </c:pt>
                <c:pt idx="60">
                  <c:v>-145.82179960231113</c:v>
                </c:pt>
                <c:pt idx="61">
                  <c:v>-142.00542209769219</c:v>
                </c:pt>
                <c:pt idx="62">
                  <c:v>-116.47207273859107</c:v>
                </c:pt>
                <c:pt idx="63">
                  <c:v>1.2003257858377288</c:v>
                </c:pt>
                <c:pt idx="64">
                  <c:v>123.33591326496</c:v>
                </c:pt>
                <c:pt idx="65">
                  <c:v>169.51211329044122</c:v>
                </c:pt>
                <c:pt idx="66">
                  <c:v>188.92073576301797</c:v>
                </c:pt>
                <c:pt idx="67">
                  <c:v>193.48857041064099</c:v>
                </c:pt>
                <c:pt idx="68">
                  <c:v>196.66361781469493</c:v>
                </c:pt>
                <c:pt idx="69">
                  <c:v>195.14979847542998</c:v>
                </c:pt>
                <c:pt idx="70">
                  <c:v>175.46631016325057</c:v>
                </c:pt>
                <c:pt idx="71">
                  <c:v>144.49509673348598</c:v>
                </c:pt>
                <c:pt idx="72">
                  <c:v>120.61937155006856</c:v>
                </c:pt>
                <c:pt idx="73">
                  <c:v>100.56822800318693</c:v>
                </c:pt>
                <c:pt idx="74">
                  <c:v>84.872622460699489</c:v>
                </c:pt>
                <c:pt idx="75">
                  <c:v>40.977024570209913</c:v>
                </c:pt>
                <c:pt idx="76">
                  <c:v>-66.048150046053181</c:v>
                </c:pt>
                <c:pt idx="77">
                  <c:v>-123.16047549121669</c:v>
                </c:pt>
                <c:pt idx="78">
                  <c:v>-158.69019880197831</c:v>
                </c:pt>
                <c:pt idx="79">
                  <c:v>-185.3379016920149</c:v>
                </c:pt>
                <c:pt idx="80">
                  <c:v>-196.19829259127525</c:v>
                </c:pt>
                <c:pt idx="81">
                  <c:v>-199.33953820900538</c:v>
                </c:pt>
                <c:pt idx="82">
                  <c:v>-197.64892898430708</c:v>
                </c:pt>
                <c:pt idx="83">
                  <c:v>-184.74322033714273</c:v>
                </c:pt>
                <c:pt idx="84">
                  <c:v>-168.99036511727829</c:v>
                </c:pt>
                <c:pt idx="85">
                  <c:v>-157.35194559408828</c:v>
                </c:pt>
                <c:pt idx="86">
                  <c:v>-131.56281989638305</c:v>
                </c:pt>
                <c:pt idx="87">
                  <c:v>-75.252687521973399</c:v>
                </c:pt>
                <c:pt idx="88">
                  <c:v>52.260939480315443</c:v>
                </c:pt>
                <c:pt idx="89">
                  <c:v>134.79140550478189</c:v>
                </c:pt>
                <c:pt idx="90">
                  <c:v>161.97409327236068</c:v>
                </c:pt>
                <c:pt idx="91">
                  <c:v>178.20838744755599</c:v>
                </c:pt>
                <c:pt idx="92">
                  <c:v>199.78982935842708</c:v>
                </c:pt>
                <c:pt idx="93">
                  <c:v>211.48868207111403</c:v>
                </c:pt>
                <c:pt idx="94">
                  <c:v>210.2373614005914</c:v>
                </c:pt>
                <c:pt idx="95">
                  <c:v>196.3812888686283</c:v>
                </c:pt>
                <c:pt idx="96">
                  <c:v>163.4701188973749</c:v>
                </c:pt>
                <c:pt idx="97">
                  <c:v>123.7284283330072</c:v>
                </c:pt>
                <c:pt idx="98">
                  <c:v>100.72814878811722</c:v>
                </c:pt>
                <c:pt idx="99">
                  <c:v>67.954792256449451</c:v>
                </c:pt>
                <c:pt idx="100">
                  <c:v>18.09868259947665</c:v>
                </c:pt>
                <c:pt idx="101">
                  <c:v>-45.850680756893489</c:v>
                </c:pt>
                <c:pt idx="102">
                  <c:v>-103.08040668815788</c:v>
                </c:pt>
                <c:pt idx="103">
                  <c:v>-125.30294431601887</c:v>
                </c:pt>
                <c:pt idx="104">
                  <c:v>-133.20618519784892</c:v>
                </c:pt>
                <c:pt idx="105">
                  <c:v>-154.99832953642158</c:v>
                </c:pt>
                <c:pt idx="106">
                  <c:v>-176.09819685542371</c:v>
                </c:pt>
                <c:pt idx="107">
                  <c:v>-192.51553235945582</c:v>
                </c:pt>
                <c:pt idx="108">
                  <c:v>-205.75219015792442</c:v>
                </c:pt>
                <c:pt idx="109">
                  <c:v>-209.74891748225542</c:v>
                </c:pt>
                <c:pt idx="110">
                  <c:v>-205.97983590304051</c:v>
                </c:pt>
                <c:pt idx="111">
                  <c:v>-190.50520596234435</c:v>
                </c:pt>
                <c:pt idx="112">
                  <c:v>-138.29069673944031</c:v>
                </c:pt>
                <c:pt idx="113">
                  <c:v>-12.770670492173229</c:v>
                </c:pt>
                <c:pt idx="114">
                  <c:v>82.455504481605502</c:v>
                </c:pt>
                <c:pt idx="115">
                  <c:v>118.13248380171392</c:v>
                </c:pt>
                <c:pt idx="116">
                  <c:v>141.28125366318201</c:v>
                </c:pt>
                <c:pt idx="117">
                  <c:v>162.00018821366021</c:v>
                </c:pt>
                <c:pt idx="118">
                  <c:v>180.22231873344805</c:v>
                </c:pt>
                <c:pt idx="119">
                  <c:v>181.49302135523797</c:v>
                </c:pt>
                <c:pt idx="120">
                  <c:v>171.44301047052386</c:v>
                </c:pt>
                <c:pt idx="121">
                  <c:v>171.03092584357009</c:v>
                </c:pt>
                <c:pt idx="122">
                  <c:v>179.16008688176555</c:v>
                </c:pt>
                <c:pt idx="123">
                  <c:v>190.40094608617818</c:v>
                </c:pt>
                <c:pt idx="124">
                  <c:v>196.3772698601467</c:v>
                </c:pt>
                <c:pt idx="125">
                  <c:v>179.57130413393602</c:v>
                </c:pt>
                <c:pt idx="126">
                  <c:v>129.73154822960382</c:v>
                </c:pt>
                <c:pt idx="127">
                  <c:v>48.080552899892993</c:v>
                </c:pt>
                <c:pt idx="128">
                  <c:v>-54.83244703931058</c:v>
                </c:pt>
                <c:pt idx="129">
                  <c:v>-100.19743818617926</c:v>
                </c:pt>
                <c:pt idx="130">
                  <c:v>-126.74938181543345</c:v>
                </c:pt>
                <c:pt idx="131">
                  <c:v>-156.70524491367334</c:v>
                </c:pt>
                <c:pt idx="132">
                  <c:v>-173.48470270706358</c:v>
                </c:pt>
                <c:pt idx="133">
                  <c:v>-181.34580846400655</c:v>
                </c:pt>
                <c:pt idx="134">
                  <c:v>-191.4091659751852</c:v>
                </c:pt>
                <c:pt idx="135">
                  <c:v>-191.72370482570048</c:v>
                </c:pt>
                <c:pt idx="136">
                  <c:v>-176.61936961299202</c:v>
                </c:pt>
                <c:pt idx="137">
                  <c:v>-154.22386916167949</c:v>
                </c:pt>
                <c:pt idx="138">
                  <c:v>-127.38135125798914</c:v>
                </c:pt>
                <c:pt idx="139">
                  <c:v>-110.72609100938962</c:v>
                </c:pt>
                <c:pt idx="140">
                  <c:v>-108.62541899186279</c:v>
                </c:pt>
                <c:pt idx="141">
                  <c:v>-77.567439564286971</c:v>
                </c:pt>
                <c:pt idx="142">
                  <c:v>-8.312444154238765</c:v>
                </c:pt>
                <c:pt idx="143">
                  <c:v>38.092415817545543</c:v>
                </c:pt>
                <c:pt idx="144">
                  <c:v>57.581480693057387</c:v>
                </c:pt>
                <c:pt idx="145">
                  <c:v>52.128136632321734</c:v>
                </c:pt>
                <c:pt idx="146">
                  <c:v>52.534776531557924</c:v>
                </c:pt>
                <c:pt idx="147">
                  <c:v>109.5585997258256</c:v>
                </c:pt>
                <c:pt idx="148">
                  <c:v>154.79150899974641</c:v>
                </c:pt>
                <c:pt idx="149">
                  <c:v>170.59260909443941</c:v>
                </c:pt>
                <c:pt idx="150">
                  <c:v>173.78886465011303</c:v>
                </c:pt>
                <c:pt idx="151">
                  <c:v>170.25633364501519</c:v>
                </c:pt>
                <c:pt idx="152">
                  <c:v>172.11152397609627</c:v>
                </c:pt>
                <c:pt idx="153">
                  <c:v>181.27524062753338</c:v>
                </c:pt>
                <c:pt idx="154">
                  <c:v>174.68019540074943</c:v>
                </c:pt>
                <c:pt idx="155">
                  <c:v>145.30032113439441</c:v>
                </c:pt>
                <c:pt idx="156">
                  <c:v>98.967776996008638</c:v>
                </c:pt>
                <c:pt idx="157">
                  <c:v>3.2826501411374003</c:v>
                </c:pt>
                <c:pt idx="158">
                  <c:v>-89.808980554492962</c:v>
                </c:pt>
                <c:pt idx="159">
                  <c:v>-120.85929318902944</c:v>
                </c:pt>
                <c:pt idx="160">
                  <c:v>-133.53001591275714</c:v>
                </c:pt>
                <c:pt idx="161">
                  <c:v>-125.20460261809218</c:v>
                </c:pt>
                <c:pt idx="162">
                  <c:v>-100.67902153599712</c:v>
                </c:pt>
                <c:pt idx="163">
                  <c:v>-103.23379712179452</c:v>
                </c:pt>
                <c:pt idx="164">
                  <c:v>-125.91930556568342</c:v>
                </c:pt>
                <c:pt idx="165">
                  <c:v>-150.12707687976695</c:v>
                </c:pt>
                <c:pt idx="166">
                  <c:v>-173.69138764529308</c:v>
                </c:pt>
                <c:pt idx="167">
                  <c:v>-181.52247320372169</c:v>
                </c:pt>
                <c:pt idx="168">
                  <c:v>-177.93981302016411</c:v>
                </c:pt>
                <c:pt idx="169">
                  <c:v>-175.46220804596737</c:v>
                </c:pt>
                <c:pt idx="170">
                  <c:v>-162.05270078021678</c:v>
                </c:pt>
                <c:pt idx="171">
                  <c:v>-121.2837446792433</c:v>
                </c:pt>
                <c:pt idx="172">
                  <c:v>-36.757575226290314</c:v>
                </c:pt>
                <c:pt idx="173">
                  <c:v>75.656246328853229</c:v>
                </c:pt>
                <c:pt idx="174">
                  <c:v>102.48087027504144</c:v>
                </c:pt>
                <c:pt idx="175">
                  <c:v>91.322938339267992</c:v>
                </c:pt>
                <c:pt idx="176">
                  <c:v>107.99100945595313</c:v>
                </c:pt>
                <c:pt idx="177">
                  <c:v>137.64444188677527</c:v>
                </c:pt>
                <c:pt idx="178">
                  <c:v>150.94615032203416</c:v>
                </c:pt>
                <c:pt idx="179">
                  <c:v>157.99646254652183</c:v>
                </c:pt>
                <c:pt idx="180">
                  <c:v>158.15226410106951</c:v>
                </c:pt>
                <c:pt idx="181">
                  <c:v>157.74866206997427</c:v>
                </c:pt>
                <c:pt idx="182">
                  <c:v>167.97194414418698</c:v>
                </c:pt>
                <c:pt idx="183">
                  <c:v>171.79010600970761</c:v>
                </c:pt>
                <c:pt idx="184">
                  <c:v>164.2871535659597</c:v>
                </c:pt>
                <c:pt idx="185">
                  <c:v>154.68181154344828</c:v>
                </c:pt>
                <c:pt idx="186">
                  <c:v>135.89957590064463</c:v>
                </c:pt>
                <c:pt idx="187">
                  <c:v>111.94568675390423</c:v>
                </c:pt>
                <c:pt idx="188">
                  <c:v>87.617150280563237</c:v>
                </c:pt>
                <c:pt idx="189">
                  <c:v>-10.339582561411468</c:v>
                </c:pt>
                <c:pt idx="190">
                  <c:v>-122.83415125977949</c:v>
                </c:pt>
                <c:pt idx="191">
                  <c:v>-167.32600153440762</c:v>
                </c:pt>
                <c:pt idx="192">
                  <c:v>-189.80071176284949</c:v>
                </c:pt>
                <c:pt idx="193">
                  <c:v>-199.5736178070371</c:v>
                </c:pt>
                <c:pt idx="194">
                  <c:v>-200.9044987202023</c:v>
                </c:pt>
                <c:pt idx="195">
                  <c:v>-199.33080462402623</c:v>
                </c:pt>
                <c:pt idx="196">
                  <c:v>-187.3853515636132</c:v>
                </c:pt>
                <c:pt idx="197">
                  <c:v>-164.46016843743115</c:v>
                </c:pt>
                <c:pt idx="198">
                  <c:v>-150.54778220106755</c:v>
                </c:pt>
                <c:pt idx="199">
                  <c:v>-135.37670319955888</c:v>
                </c:pt>
                <c:pt idx="200">
                  <c:v>-90.92786129243099</c:v>
                </c:pt>
                <c:pt idx="201">
                  <c:v>7.5318699742876403</c:v>
                </c:pt>
                <c:pt idx="202">
                  <c:v>105.06753893250421</c:v>
                </c:pt>
                <c:pt idx="203">
                  <c:v>140.88572782456589</c:v>
                </c:pt>
                <c:pt idx="204">
                  <c:v>142.08875763374056</c:v>
                </c:pt>
                <c:pt idx="205">
                  <c:v>145.82835695049303</c:v>
                </c:pt>
                <c:pt idx="206">
                  <c:v>160.34225357131737</c:v>
                </c:pt>
                <c:pt idx="207">
                  <c:v>174.20860169922994</c:v>
                </c:pt>
                <c:pt idx="208">
                  <c:v>186.27516726418932</c:v>
                </c:pt>
                <c:pt idx="209">
                  <c:v>184.99307936108994</c:v>
                </c:pt>
                <c:pt idx="210">
                  <c:v>169.46753792950386</c:v>
                </c:pt>
                <c:pt idx="211">
                  <c:v>162.3204326722751</c:v>
                </c:pt>
                <c:pt idx="212">
                  <c:v>162.2263643100838</c:v>
                </c:pt>
                <c:pt idx="213">
                  <c:v>148.02216634195381</c:v>
                </c:pt>
                <c:pt idx="214">
                  <c:v>103.59975203535357</c:v>
                </c:pt>
                <c:pt idx="215">
                  <c:v>-42.350446546742454</c:v>
                </c:pt>
                <c:pt idx="216">
                  <c:v>-140.56471045995249</c:v>
                </c:pt>
                <c:pt idx="217">
                  <c:v>-170.25894389663407</c:v>
                </c:pt>
                <c:pt idx="218">
                  <c:v>-184.79505074572933</c:v>
                </c:pt>
                <c:pt idx="219">
                  <c:v>-190.12826382690176</c:v>
                </c:pt>
                <c:pt idx="220">
                  <c:v>-181.39726687578454</c:v>
                </c:pt>
                <c:pt idx="221">
                  <c:v>-170.83276972652615</c:v>
                </c:pt>
                <c:pt idx="222">
                  <c:v>-165.00215324986641</c:v>
                </c:pt>
                <c:pt idx="223">
                  <c:v>-158.74814804074055</c:v>
                </c:pt>
                <c:pt idx="224">
                  <c:v>-155.42008665853655</c:v>
                </c:pt>
                <c:pt idx="225">
                  <c:v>-139.87689119660104</c:v>
                </c:pt>
                <c:pt idx="226">
                  <c:v>-98.387596362780087</c:v>
                </c:pt>
                <c:pt idx="227">
                  <c:v>-57.414287426529725</c:v>
                </c:pt>
                <c:pt idx="228">
                  <c:v>-20.227605360488038</c:v>
                </c:pt>
                <c:pt idx="229">
                  <c:v>36.900023227626868</c:v>
                </c:pt>
                <c:pt idx="230">
                  <c:v>92.945712739817012</c:v>
                </c:pt>
                <c:pt idx="231">
                  <c:v>158.74181221801163</c:v>
                </c:pt>
                <c:pt idx="232">
                  <c:v>200.0818455255642</c:v>
                </c:pt>
                <c:pt idx="233">
                  <c:v>212.03603857335389</c:v>
                </c:pt>
                <c:pt idx="234">
                  <c:v>208.62689664658558</c:v>
                </c:pt>
                <c:pt idx="235">
                  <c:v>197.28798245983509</c:v>
                </c:pt>
                <c:pt idx="236">
                  <c:v>181.99755102035186</c:v>
                </c:pt>
                <c:pt idx="237">
                  <c:v>170.44113857349512</c:v>
                </c:pt>
                <c:pt idx="238">
                  <c:v>144.5785987817201</c:v>
                </c:pt>
                <c:pt idx="239">
                  <c:v>57.177007545205342</c:v>
                </c:pt>
                <c:pt idx="240">
                  <c:v>-83.949285370744704</c:v>
                </c:pt>
                <c:pt idx="241">
                  <c:v>-141.92325191697225</c:v>
                </c:pt>
                <c:pt idx="242">
                  <c:v>-171.49354923400634</c:v>
                </c:pt>
                <c:pt idx="243">
                  <c:v>-181.42108418250078</c:v>
                </c:pt>
                <c:pt idx="244">
                  <c:v>-186.00815977642392</c:v>
                </c:pt>
                <c:pt idx="245">
                  <c:v>-190.54210569855692</c:v>
                </c:pt>
                <c:pt idx="246">
                  <c:v>-188.63326213987284</c:v>
                </c:pt>
                <c:pt idx="247">
                  <c:v>-186.18515872957806</c:v>
                </c:pt>
                <c:pt idx="248">
                  <c:v>-182.73891525298936</c:v>
                </c:pt>
                <c:pt idx="249">
                  <c:v>-167.83608080019516</c:v>
                </c:pt>
                <c:pt idx="250">
                  <c:v>-145.89269670676916</c:v>
                </c:pt>
                <c:pt idx="251">
                  <c:v>-113.38761664724323</c:v>
                </c:pt>
                <c:pt idx="252">
                  <c:v>-53.831997573648501</c:v>
                </c:pt>
                <c:pt idx="253">
                  <c:v>-7.5921157758154001</c:v>
                </c:pt>
                <c:pt idx="254">
                  <c:v>36.424865982321201</c:v>
                </c:pt>
                <c:pt idx="255">
                  <c:v>116.56929867501728</c:v>
                </c:pt>
                <c:pt idx="256">
                  <c:v>172.09952368880215</c:v>
                </c:pt>
                <c:pt idx="257">
                  <c:v>200.42123705827041</c:v>
                </c:pt>
                <c:pt idx="258">
                  <c:v>209.94625765802888</c:v>
                </c:pt>
                <c:pt idx="259">
                  <c:v>203.90011249488822</c:v>
                </c:pt>
                <c:pt idx="260">
                  <c:v>196.04437603170558</c:v>
                </c:pt>
                <c:pt idx="261">
                  <c:v>194.74475751366535</c:v>
                </c:pt>
                <c:pt idx="262">
                  <c:v>187.24339602417081</c:v>
                </c:pt>
                <c:pt idx="263">
                  <c:v>170.56619279079158</c:v>
                </c:pt>
                <c:pt idx="264">
                  <c:v>141.81850003077113</c:v>
                </c:pt>
                <c:pt idx="265">
                  <c:v>80.770801255898093</c:v>
                </c:pt>
                <c:pt idx="266">
                  <c:v>-11.798128202956619</c:v>
                </c:pt>
                <c:pt idx="267">
                  <c:v>-84.324718503008455</c:v>
                </c:pt>
                <c:pt idx="268">
                  <c:v>-141.65467373142633</c:v>
                </c:pt>
                <c:pt idx="269">
                  <c:v>-173.97240662323645</c:v>
                </c:pt>
                <c:pt idx="270">
                  <c:v>-191.17330624674571</c:v>
                </c:pt>
                <c:pt idx="271">
                  <c:v>-199.83589934771416</c:v>
                </c:pt>
                <c:pt idx="272">
                  <c:v>-197.16817220501034</c:v>
                </c:pt>
                <c:pt idx="273">
                  <c:v>-193.8616647479422</c:v>
                </c:pt>
                <c:pt idx="274">
                  <c:v>-197.92124217032443</c:v>
                </c:pt>
                <c:pt idx="275">
                  <c:v>-197.95957927380917</c:v>
                </c:pt>
                <c:pt idx="276">
                  <c:v>-194.64657055321152</c:v>
                </c:pt>
                <c:pt idx="277">
                  <c:v>-191.83059636369083</c:v>
                </c:pt>
                <c:pt idx="278">
                  <c:v>-180.46076946057187</c:v>
                </c:pt>
                <c:pt idx="279">
                  <c:v>-150.93185718352382</c:v>
                </c:pt>
                <c:pt idx="280">
                  <c:v>-51.516517219752615</c:v>
                </c:pt>
                <c:pt idx="281">
                  <c:v>140.98338598225862</c:v>
                </c:pt>
                <c:pt idx="282">
                  <c:v>194.60613169511888</c:v>
                </c:pt>
                <c:pt idx="283">
                  <c:v>210.37943737570481</c:v>
                </c:pt>
                <c:pt idx="284">
                  <c:v>215.7266882914881</c:v>
                </c:pt>
                <c:pt idx="285">
                  <c:v>212.48652919146807</c:v>
                </c:pt>
                <c:pt idx="286">
                  <c:v>203.07930101478189</c:v>
                </c:pt>
                <c:pt idx="287">
                  <c:v>191.88501676022264</c:v>
                </c:pt>
                <c:pt idx="288">
                  <c:v>174.18718193408</c:v>
                </c:pt>
                <c:pt idx="289">
                  <c:v>160.60958952440566</c:v>
                </c:pt>
                <c:pt idx="290">
                  <c:v>165.89490219718323</c:v>
                </c:pt>
                <c:pt idx="291">
                  <c:v>171.28459725964478</c:v>
                </c:pt>
                <c:pt idx="292">
                  <c:v>166.98554831854602</c:v>
                </c:pt>
                <c:pt idx="293">
                  <c:v>138.80362075735198</c:v>
                </c:pt>
                <c:pt idx="294">
                  <c:v>31.964267168661209</c:v>
                </c:pt>
                <c:pt idx="295">
                  <c:v>-99.128834610886585</c:v>
                </c:pt>
                <c:pt idx="296">
                  <c:v>-132.4774083981373</c:v>
                </c:pt>
                <c:pt idx="297">
                  <c:v>-154.91286898547489</c:v>
                </c:pt>
                <c:pt idx="298">
                  <c:v>-174.42021482409154</c:v>
                </c:pt>
                <c:pt idx="299">
                  <c:v>-189.94266036705272</c:v>
                </c:pt>
                <c:pt idx="300">
                  <c:v>-201.66486592508645</c:v>
                </c:pt>
                <c:pt idx="301">
                  <c:v>-204.16139383680391</c:v>
                </c:pt>
                <c:pt idx="302">
                  <c:v>-204.25995511633181</c:v>
                </c:pt>
                <c:pt idx="303">
                  <c:v>-207.08318378481687</c:v>
                </c:pt>
                <c:pt idx="304">
                  <c:v>-202.31136190476397</c:v>
                </c:pt>
                <c:pt idx="305">
                  <c:v>-188.10316965953206</c:v>
                </c:pt>
                <c:pt idx="306">
                  <c:v>-167.15930418173735</c:v>
                </c:pt>
                <c:pt idx="307">
                  <c:v>-125.55382123853049</c:v>
                </c:pt>
                <c:pt idx="308">
                  <c:v>-57.566195506024613</c:v>
                </c:pt>
                <c:pt idx="309">
                  <c:v>27.259566643714003</c:v>
                </c:pt>
                <c:pt idx="310">
                  <c:v>94.837298342682857</c:v>
                </c:pt>
                <c:pt idx="311">
                  <c:v>125.9135521102143</c:v>
                </c:pt>
                <c:pt idx="312">
                  <c:v>138.97802963163662</c:v>
                </c:pt>
                <c:pt idx="313">
                  <c:v>158.8038078549497</c:v>
                </c:pt>
                <c:pt idx="314">
                  <c:v>179.43771754839241</c:v>
                </c:pt>
                <c:pt idx="315">
                  <c:v>200.51632416626381</c:v>
                </c:pt>
                <c:pt idx="316">
                  <c:v>217.83273101349363</c:v>
                </c:pt>
                <c:pt idx="317">
                  <c:v>219.98765879972427</c:v>
                </c:pt>
                <c:pt idx="318">
                  <c:v>207.78124126318224</c:v>
                </c:pt>
                <c:pt idx="319">
                  <c:v>191.3355367496996</c:v>
                </c:pt>
                <c:pt idx="320">
                  <c:v>178.14017793564369</c:v>
                </c:pt>
                <c:pt idx="321">
                  <c:v>172.51970957885982</c:v>
                </c:pt>
                <c:pt idx="322">
                  <c:v>162.38674395747069</c:v>
                </c:pt>
                <c:pt idx="323">
                  <c:v>112.59566293374648</c:v>
                </c:pt>
                <c:pt idx="324">
                  <c:v>-20.939965140468022</c:v>
                </c:pt>
                <c:pt idx="325">
                  <c:v>-112.98789715417593</c:v>
                </c:pt>
                <c:pt idx="326">
                  <c:v>-157.71560811063961</c:v>
                </c:pt>
                <c:pt idx="327">
                  <c:v>-179.01477728059325</c:v>
                </c:pt>
                <c:pt idx="328">
                  <c:v>-188.91612054441993</c:v>
                </c:pt>
                <c:pt idx="329">
                  <c:v>-198.15050627141082</c:v>
                </c:pt>
                <c:pt idx="330">
                  <c:v>-199.6116225687677</c:v>
                </c:pt>
                <c:pt idx="331">
                  <c:v>-192.84001166085588</c:v>
                </c:pt>
                <c:pt idx="332">
                  <c:v>-186.84635591882861</c:v>
                </c:pt>
                <c:pt idx="333">
                  <c:v>-181.3647428453412</c:v>
                </c:pt>
                <c:pt idx="334">
                  <c:v>-182.2859092372565</c:v>
                </c:pt>
                <c:pt idx="335">
                  <c:v>-192.13570121970719</c:v>
                </c:pt>
                <c:pt idx="336">
                  <c:v>-196.9584177026191</c:v>
                </c:pt>
                <c:pt idx="337">
                  <c:v>-196.55154658039689</c:v>
                </c:pt>
                <c:pt idx="338">
                  <c:v>-187.55334473470126</c:v>
                </c:pt>
                <c:pt idx="339">
                  <c:v>-137.28324932633251</c:v>
                </c:pt>
                <c:pt idx="340">
                  <c:v>63.799512613556416</c:v>
                </c:pt>
                <c:pt idx="341">
                  <c:v>169.00483272373725</c:v>
                </c:pt>
                <c:pt idx="342">
                  <c:v>199.79291584274898</c:v>
                </c:pt>
                <c:pt idx="343">
                  <c:v>205.95052532227069</c:v>
                </c:pt>
                <c:pt idx="344">
                  <c:v>205.93107002119805</c:v>
                </c:pt>
                <c:pt idx="345">
                  <c:v>211.91616699939729</c:v>
                </c:pt>
                <c:pt idx="346">
                  <c:v>214.78882645670333</c:v>
                </c:pt>
                <c:pt idx="347">
                  <c:v>209.98194786853415</c:v>
                </c:pt>
                <c:pt idx="348">
                  <c:v>202.71437583442886</c:v>
                </c:pt>
                <c:pt idx="349">
                  <c:v>192.79197276325158</c:v>
                </c:pt>
                <c:pt idx="350">
                  <c:v>186.65211058495953</c:v>
                </c:pt>
                <c:pt idx="351">
                  <c:v>188.33903786287686</c:v>
                </c:pt>
                <c:pt idx="352">
                  <c:v>178.01058618762832</c:v>
                </c:pt>
                <c:pt idx="353">
                  <c:v>138.79724895694656</c:v>
                </c:pt>
                <c:pt idx="354">
                  <c:v>35.390402122870299</c:v>
                </c:pt>
                <c:pt idx="355">
                  <c:v>-117.98257021745464</c:v>
                </c:pt>
                <c:pt idx="356">
                  <c:v>-167.90462035915735</c:v>
                </c:pt>
                <c:pt idx="357">
                  <c:v>-186.71510611727811</c:v>
                </c:pt>
                <c:pt idx="358">
                  <c:v>-201.19999028133739</c:v>
                </c:pt>
                <c:pt idx="359">
                  <c:v>-207.77677151538649</c:v>
                </c:pt>
                <c:pt idx="360">
                  <c:v>-207.23084626598694</c:v>
                </c:pt>
                <c:pt idx="361">
                  <c:v>-210.01143066455816</c:v>
                </c:pt>
                <c:pt idx="362">
                  <c:v>-213.47736674761748</c:v>
                </c:pt>
                <c:pt idx="363">
                  <c:v>-212.69334666203946</c:v>
                </c:pt>
                <c:pt idx="364">
                  <c:v>-206.01024586644493</c:v>
                </c:pt>
                <c:pt idx="365">
                  <c:v>-185.33440362860034</c:v>
                </c:pt>
                <c:pt idx="366">
                  <c:v>-151.935800866866</c:v>
                </c:pt>
                <c:pt idx="367">
                  <c:v>-119.57329382409121</c:v>
                </c:pt>
                <c:pt idx="368">
                  <c:v>-56.225036339976782</c:v>
                </c:pt>
                <c:pt idx="369">
                  <c:v>68.27123018235757</c:v>
                </c:pt>
                <c:pt idx="370">
                  <c:v>129.6991395920308</c:v>
                </c:pt>
                <c:pt idx="371">
                  <c:v>161.48194532515672</c:v>
                </c:pt>
                <c:pt idx="372">
                  <c:v>169.36728661276203</c:v>
                </c:pt>
                <c:pt idx="373">
                  <c:v>162.00921057551847</c:v>
                </c:pt>
                <c:pt idx="374">
                  <c:v>167.36407134730126</c:v>
                </c:pt>
                <c:pt idx="375">
                  <c:v>185.30200924311427</c:v>
                </c:pt>
                <c:pt idx="376">
                  <c:v>202.05825963145568</c:v>
                </c:pt>
                <c:pt idx="377">
                  <c:v>213.08736251252279</c:v>
                </c:pt>
                <c:pt idx="378">
                  <c:v>212.29800337550668</c:v>
                </c:pt>
                <c:pt idx="379">
                  <c:v>203.67241813326675</c:v>
                </c:pt>
                <c:pt idx="380">
                  <c:v>195.76619738422212</c:v>
                </c:pt>
                <c:pt idx="381">
                  <c:v>176.62292418037993</c:v>
                </c:pt>
                <c:pt idx="382">
                  <c:v>126.03037105137186</c:v>
                </c:pt>
                <c:pt idx="383">
                  <c:v>19.560751360871944</c:v>
                </c:pt>
                <c:pt idx="384">
                  <c:v>-100.14500823347652</c:v>
                </c:pt>
                <c:pt idx="385">
                  <c:v>-142.90515669464617</c:v>
                </c:pt>
                <c:pt idx="386">
                  <c:v>-160.53576666906727</c:v>
                </c:pt>
                <c:pt idx="387">
                  <c:v>-178.99656828015645</c:v>
                </c:pt>
                <c:pt idx="388">
                  <c:v>-189.24112073444431</c:v>
                </c:pt>
                <c:pt idx="389">
                  <c:v>-187.00869834341907</c:v>
                </c:pt>
                <c:pt idx="390">
                  <c:v>-182.74834944866464</c:v>
                </c:pt>
                <c:pt idx="391">
                  <c:v>-174.31601128614199</c:v>
                </c:pt>
                <c:pt idx="392">
                  <c:v>-161.49211057092251</c:v>
                </c:pt>
                <c:pt idx="393">
                  <c:v>-157.99426012123823</c:v>
                </c:pt>
                <c:pt idx="394">
                  <c:v>-154.45419725837274</c:v>
                </c:pt>
                <c:pt idx="395">
                  <c:v>-148.02840844693682</c:v>
                </c:pt>
                <c:pt idx="396">
                  <c:v>-152.01354203316467</c:v>
                </c:pt>
                <c:pt idx="397">
                  <c:v>-152.36628350021115</c:v>
                </c:pt>
                <c:pt idx="398">
                  <c:v>-138.25890600639977</c:v>
                </c:pt>
                <c:pt idx="399">
                  <c:v>-95.571847035289466</c:v>
                </c:pt>
                <c:pt idx="400">
                  <c:v>51.287992578863118</c:v>
                </c:pt>
                <c:pt idx="401">
                  <c:v>136.13322815999663</c:v>
                </c:pt>
                <c:pt idx="402">
                  <c:v>152.62178213238045</c:v>
                </c:pt>
                <c:pt idx="403">
                  <c:v>156.35891913409719</c:v>
                </c:pt>
                <c:pt idx="404">
                  <c:v>159.1868115205078</c:v>
                </c:pt>
                <c:pt idx="405">
                  <c:v>155.74286724470042</c:v>
                </c:pt>
                <c:pt idx="406">
                  <c:v>148.92740554768915</c:v>
                </c:pt>
                <c:pt idx="407">
                  <c:v>130.94514670993283</c:v>
                </c:pt>
                <c:pt idx="408">
                  <c:v>118.11397287024636</c:v>
                </c:pt>
                <c:pt idx="409">
                  <c:v>145.45563918403232</c:v>
                </c:pt>
                <c:pt idx="410">
                  <c:v>174.18287603570354</c:v>
                </c:pt>
                <c:pt idx="411">
                  <c:v>186.14445455697268</c:v>
                </c:pt>
                <c:pt idx="412">
                  <c:v>184.86970723886324</c:v>
                </c:pt>
                <c:pt idx="413">
                  <c:v>159.60877948457585</c:v>
                </c:pt>
                <c:pt idx="414">
                  <c:v>103.7123080850745</c:v>
                </c:pt>
                <c:pt idx="415">
                  <c:v>46.236189461600119</c:v>
                </c:pt>
                <c:pt idx="416">
                  <c:v>-8.311205114653113</c:v>
                </c:pt>
                <c:pt idx="417">
                  <c:v>-47.641284941712506</c:v>
                </c:pt>
                <c:pt idx="418">
                  <c:v>-70.536140034964717</c:v>
                </c:pt>
                <c:pt idx="419">
                  <c:v>-108.93945400055354</c:v>
                </c:pt>
                <c:pt idx="420">
                  <c:v>-142.5788024574708</c:v>
                </c:pt>
                <c:pt idx="421">
                  <c:v>-168.22721411377211</c:v>
                </c:pt>
                <c:pt idx="422">
                  <c:v>-193.23722095652033</c:v>
                </c:pt>
                <c:pt idx="423">
                  <c:v>-203.63209384583578</c:v>
                </c:pt>
                <c:pt idx="424">
                  <c:v>-197.81132619845334</c:v>
                </c:pt>
                <c:pt idx="425">
                  <c:v>-187.20254718923758</c:v>
                </c:pt>
                <c:pt idx="426">
                  <c:v>-174.46075241440656</c:v>
                </c:pt>
                <c:pt idx="427">
                  <c:v>-157.49121732773023</c:v>
                </c:pt>
                <c:pt idx="428">
                  <c:v>-135.49559184427716</c:v>
                </c:pt>
                <c:pt idx="429">
                  <c:v>-87.437954596896972</c:v>
                </c:pt>
                <c:pt idx="430">
                  <c:v>-31.698831169273603</c:v>
                </c:pt>
                <c:pt idx="431">
                  <c:v>-51.756758353595224</c:v>
                </c:pt>
                <c:pt idx="432">
                  <c:v>-81.437215731368696</c:v>
                </c:pt>
                <c:pt idx="433">
                  <c:v>-74.997634726052397</c:v>
                </c:pt>
                <c:pt idx="434">
                  <c:v>3.3520062443955418</c:v>
                </c:pt>
                <c:pt idx="435">
                  <c:v>131.34541171270408</c:v>
                </c:pt>
                <c:pt idx="436">
                  <c:v>184.98485825424547</c:v>
                </c:pt>
                <c:pt idx="437">
                  <c:v>200.64203346940786</c:v>
                </c:pt>
                <c:pt idx="438">
                  <c:v>205.25028397850437</c:v>
                </c:pt>
                <c:pt idx="439">
                  <c:v>206.41161540792993</c:v>
                </c:pt>
                <c:pt idx="440">
                  <c:v>207.32724433135084</c:v>
                </c:pt>
                <c:pt idx="441">
                  <c:v>209.20033290062261</c:v>
                </c:pt>
                <c:pt idx="442">
                  <c:v>201.13629424257681</c:v>
                </c:pt>
                <c:pt idx="443">
                  <c:v>178.52006257912561</c:v>
                </c:pt>
                <c:pt idx="444">
                  <c:v>148.01888833771432</c:v>
                </c:pt>
                <c:pt idx="445">
                  <c:v>90.035865988994104</c:v>
                </c:pt>
                <c:pt idx="446">
                  <c:v>-37.890254173830996</c:v>
                </c:pt>
                <c:pt idx="447">
                  <c:v>-105.79505800999827</c:v>
                </c:pt>
                <c:pt idx="448">
                  <c:v>-136.79908923667108</c:v>
                </c:pt>
                <c:pt idx="449">
                  <c:v>-154.34984165963525</c:v>
                </c:pt>
                <c:pt idx="450">
                  <c:v>-168.86320938665389</c:v>
                </c:pt>
                <c:pt idx="451">
                  <c:v>-191.66499634834864</c:v>
                </c:pt>
                <c:pt idx="452">
                  <c:v>-207.4885105311412</c:v>
                </c:pt>
                <c:pt idx="453">
                  <c:v>-211.4726559128527</c:v>
                </c:pt>
                <c:pt idx="454">
                  <c:v>-212.17156166987689</c:v>
                </c:pt>
                <c:pt idx="455">
                  <c:v>-210.23217064811197</c:v>
                </c:pt>
                <c:pt idx="456">
                  <c:v>-206.00483470241858</c:v>
                </c:pt>
                <c:pt idx="457">
                  <c:v>-202.2689659835641</c:v>
                </c:pt>
                <c:pt idx="458">
                  <c:v>-183.49750693985121</c:v>
                </c:pt>
                <c:pt idx="459">
                  <c:v>-115.80580009539223</c:v>
                </c:pt>
                <c:pt idx="460">
                  <c:v>68.941778437984198</c:v>
                </c:pt>
                <c:pt idx="461">
                  <c:v>154.83176008454475</c:v>
                </c:pt>
                <c:pt idx="462">
                  <c:v>178.71937368481341</c:v>
                </c:pt>
                <c:pt idx="463">
                  <c:v>182.87106731263495</c:v>
                </c:pt>
                <c:pt idx="464">
                  <c:v>193.56952774008923</c:v>
                </c:pt>
                <c:pt idx="465">
                  <c:v>205.50192256823576</c:v>
                </c:pt>
                <c:pt idx="466">
                  <c:v>207.32838224117563</c:v>
                </c:pt>
                <c:pt idx="467">
                  <c:v>204.64772015314392</c:v>
                </c:pt>
                <c:pt idx="468">
                  <c:v>198.59857091273682</c:v>
                </c:pt>
                <c:pt idx="469">
                  <c:v>186.96387901010991</c:v>
                </c:pt>
                <c:pt idx="470">
                  <c:v>174.92430737946987</c:v>
                </c:pt>
                <c:pt idx="471">
                  <c:v>154.74751087191257</c:v>
                </c:pt>
                <c:pt idx="472">
                  <c:v>119.19331465224334</c:v>
                </c:pt>
                <c:pt idx="473">
                  <c:v>83.46105898403475</c:v>
                </c:pt>
                <c:pt idx="474">
                  <c:v>16.533080773374188</c:v>
                </c:pt>
                <c:pt idx="475">
                  <c:v>-86.189768469053249</c:v>
                </c:pt>
                <c:pt idx="476">
                  <c:v>-137.67439951029974</c:v>
                </c:pt>
                <c:pt idx="477">
                  <c:v>-172.75587078134637</c:v>
                </c:pt>
                <c:pt idx="478">
                  <c:v>-193.49176775316462</c:v>
                </c:pt>
                <c:pt idx="479">
                  <c:v>-199.61115458667234</c:v>
                </c:pt>
                <c:pt idx="480">
                  <c:v>-204.72041803275093</c:v>
                </c:pt>
                <c:pt idx="481">
                  <c:v>-210.9316417697554</c:v>
                </c:pt>
                <c:pt idx="482">
                  <c:v>-211.5050892032321</c:v>
                </c:pt>
                <c:pt idx="483">
                  <c:v>-204.77917285155061</c:v>
                </c:pt>
                <c:pt idx="484">
                  <c:v>-181.33611863122775</c:v>
                </c:pt>
                <c:pt idx="485">
                  <c:v>-128.41846692147919</c:v>
                </c:pt>
                <c:pt idx="486">
                  <c:v>-61.08745504496995</c:v>
                </c:pt>
                <c:pt idx="487">
                  <c:v>37.791757820742966</c:v>
                </c:pt>
                <c:pt idx="488">
                  <c:v>126.94981143636022</c:v>
                </c:pt>
                <c:pt idx="489">
                  <c:v>170.72661073272255</c:v>
                </c:pt>
                <c:pt idx="490">
                  <c:v>191.50473110381819</c:v>
                </c:pt>
                <c:pt idx="491">
                  <c:v>197.42499356754951</c:v>
                </c:pt>
                <c:pt idx="492">
                  <c:v>190.10095327543505</c:v>
                </c:pt>
                <c:pt idx="493">
                  <c:v>183.65036240690449</c:v>
                </c:pt>
                <c:pt idx="494">
                  <c:v>182.51368001915168</c:v>
                </c:pt>
                <c:pt idx="495">
                  <c:v>176.83970984574336</c:v>
                </c:pt>
                <c:pt idx="496">
                  <c:v>170.69282955468486</c:v>
                </c:pt>
                <c:pt idx="497">
                  <c:v>159.15518383901443</c:v>
                </c:pt>
                <c:pt idx="498">
                  <c:v>132.00533463516729</c:v>
                </c:pt>
                <c:pt idx="499">
                  <c:v>102.84746583969597</c:v>
                </c:pt>
                <c:pt idx="500">
                  <c:v>49.043493419431009</c:v>
                </c:pt>
                <c:pt idx="501">
                  <c:v>-84.922962273806391</c:v>
                </c:pt>
                <c:pt idx="502">
                  <c:v>-154.30358939424383</c:v>
                </c:pt>
                <c:pt idx="503">
                  <c:v>-186.39207733250311</c:v>
                </c:pt>
                <c:pt idx="504">
                  <c:v>-200.03527472942815</c:v>
                </c:pt>
                <c:pt idx="505">
                  <c:v>-199.67202376446386</c:v>
                </c:pt>
                <c:pt idx="506">
                  <c:v>-196.16170963374273</c:v>
                </c:pt>
                <c:pt idx="507">
                  <c:v>-189.11076329322469</c:v>
                </c:pt>
                <c:pt idx="508">
                  <c:v>-164.40527003290251</c:v>
                </c:pt>
                <c:pt idx="509">
                  <c:v>-128.04008579420423</c:v>
                </c:pt>
                <c:pt idx="510">
                  <c:v>-98.138224276924291</c:v>
                </c:pt>
                <c:pt idx="511">
                  <c:v>-60.438966539173933</c:v>
                </c:pt>
                <c:pt idx="512">
                  <c:v>-8.2030340681574518</c:v>
                </c:pt>
                <c:pt idx="513">
                  <c:v>64.987000562619983</c:v>
                </c:pt>
                <c:pt idx="514">
                  <c:v>118.12002807024425</c:v>
                </c:pt>
                <c:pt idx="515">
                  <c:v>128.52852112828481</c:v>
                </c:pt>
                <c:pt idx="516">
                  <c:v>120.34389928738578</c:v>
                </c:pt>
                <c:pt idx="517">
                  <c:v>124.61795864630398</c:v>
                </c:pt>
                <c:pt idx="518">
                  <c:v>138.86349900038266</c:v>
                </c:pt>
                <c:pt idx="519">
                  <c:v>164.10832581668413</c:v>
                </c:pt>
                <c:pt idx="520">
                  <c:v>184.05168730934739</c:v>
                </c:pt>
                <c:pt idx="521">
                  <c:v>182.24759870923708</c:v>
                </c:pt>
                <c:pt idx="522">
                  <c:v>168.05480969625333</c:v>
                </c:pt>
                <c:pt idx="523">
                  <c:v>155.34352273947798</c:v>
                </c:pt>
                <c:pt idx="524">
                  <c:v>138.44651148894221</c:v>
                </c:pt>
                <c:pt idx="525">
                  <c:v>109.94519968050255</c:v>
                </c:pt>
                <c:pt idx="526">
                  <c:v>25.881147393142744</c:v>
                </c:pt>
                <c:pt idx="527">
                  <c:v>-112.46752737333834</c:v>
                </c:pt>
                <c:pt idx="528">
                  <c:v>-156.57110198051208</c:v>
                </c:pt>
                <c:pt idx="529">
                  <c:v>-168.08443521278366</c:v>
                </c:pt>
                <c:pt idx="530">
                  <c:v>-174.5685890779242</c:v>
                </c:pt>
                <c:pt idx="531">
                  <c:v>-172.51863936315513</c:v>
                </c:pt>
                <c:pt idx="532">
                  <c:v>-166.56017788880231</c:v>
                </c:pt>
                <c:pt idx="533">
                  <c:v>-165.83035136716259</c:v>
                </c:pt>
                <c:pt idx="534">
                  <c:v>-162.30405717895783</c:v>
                </c:pt>
                <c:pt idx="535">
                  <c:v>-158.51230531644313</c:v>
                </c:pt>
                <c:pt idx="536">
                  <c:v>-149.47860457872318</c:v>
                </c:pt>
                <c:pt idx="537">
                  <c:v>-108.23291088351466</c:v>
                </c:pt>
                <c:pt idx="538">
                  <c:v>-27.087570580584888</c:v>
                </c:pt>
                <c:pt idx="539">
                  <c:v>46.009639000340442</c:v>
                </c:pt>
                <c:pt idx="540">
                  <c:v>75.433933166573311</c:v>
                </c:pt>
                <c:pt idx="541">
                  <c:v>66.353730672875415</c:v>
                </c:pt>
                <c:pt idx="542">
                  <c:v>61.597911544217233</c:v>
                </c:pt>
                <c:pt idx="543">
                  <c:v>112.35627202129687</c:v>
                </c:pt>
                <c:pt idx="544">
                  <c:v>152.8850830172901</c:v>
                </c:pt>
                <c:pt idx="545">
                  <c:v>167.1094800534616</c:v>
                </c:pt>
                <c:pt idx="546">
                  <c:v>166.40635503383095</c:v>
                </c:pt>
                <c:pt idx="547">
                  <c:v>155.34059963946257</c:v>
                </c:pt>
                <c:pt idx="548">
                  <c:v>155.3768344554436</c:v>
                </c:pt>
                <c:pt idx="549">
                  <c:v>166.59861551778212</c:v>
                </c:pt>
                <c:pt idx="550">
                  <c:v>155.94865099384208</c:v>
                </c:pt>
                <c:pt idx="551">
                  <c:v>113.52139820027151</c:v>
                </c:pt>
                <c:pt idx="552">
                  <c:v>40.832192748975785</c:v>
                </c:pt>
                <c:pt idx="553">
                  <c:v>-53.942115019514851</c:v>
                </c:pt>
                <c:pt idx="554">
                  <c:v>-80.425220267121233</c:v>
                </c:pt>
                <c:pt idx="555">
                  <c:v>-69.517673129729957</c:v>
                </c:pt>
                <c:pt idx="556">
                  <c:v>-67.76286952055743</c:v>
                </c:pt>
                <c:pt idx="557">
                  <c:v>-66.801788585965156</c:v>
                </c:pt>
                <c:pt idx="558">
                  <c:v>-72.709532927174976</c:v>
                </c:pt>
                <c:pt idx="559">
                  <c:v>-103.16761550231716</c:v>
                </c:pt>
                <c:pt idx="560">
                  <c:v>-123.47123599827088</c:v>
                </c:pt>
                <c:pt idx="561">
                  <c:v>-137.62023066034379</c:v>
                </c:pt>
                <c:pt idx="562">
                  <c:v>-156.09265594571247</c:v>
                </c:pt>
                <c:pt idx="563">
                  <c:v>-164.23255224665007</c:v>
                </c:pt>
                <c:pt idx="564">
                  <c:v>-171.07247470426177</c:v>
                </c:pt>
                <c:pt idx="565">
                  <c:v>-183.9534179216497</c:v>
                </c:pt>
                <c:pt idx="566">
                  <c:v>-185.06745432740379</c:v>
                </c:pt>
                <c:pt idx="567">
                  <c:v>-164.62283387123767</c:v>
                </c:pt>
                <c:pt idx="568">
                  <c:v>-102.67821985482634</c:v>
                </c:pt>
                <c:pt idx="569">
                  <c:v>59.906058663486718</c:v>
                </c:pt>
                <c:pt idx="570">
                  <c:v>121.38106783415243</c:v>
                </c:pt>
                <c:pt idx="571">
                  <c:v>125.61085785070823</c:v>
                </c:pt>
                <c:pt idx="572">
                  <c:v>135.69718190058137</c:v>
                </c:pt>
                <c:pt idx="573">
                  <c:v>149.40516245688184</c:v>
                </c:pt>
                <c:pt idx="574">
                  <c:v>155.68772562965253</c:v>
                </c:pt>
                <c:pt idx="575">
                  <c:v>158.64405359338321</c:v>
                </c:pt>
                <c:pt idx="576">
                  <c:v>151.40778480175723</c:v>
                </c:pt>
                <c:pt idx="577">
                  <c:v>146.72185293705741</c:v>
                </c:pt>
                <c:pt idx="578">
                  <c:v>160.81539805579285</c:v>
                </c:pt>
                <c:pt idx="579">
                  <c:v>172.01306871964906</c:v>
                </c:pt>
                <c:pt idx="580">
                  <c:v>174.21977234912148</c:v>
                </c:pt>
                <c:pt idx="581">
                  <c:v>167.51041231497587</c:v>
                </c:pt>
                <c:pt idx="582">
                  <c:v>138.77616809275352</c:v>
                </c:pt>
                <c:pt idx="583">
                  <c:v>94.725681430252507</c:v>
                </c:pt>
                <c:pt idx="584">
                  <c:v>53.151619770921805</c:v>
                </c:pt>
                <c:pt idx="585">
                  <c:v>-33.769354561536218</c:v>
                </c:pt>
                <c:pt idx="586">
                  <c:v>-99.307629059436636</c:v>
                </c:pt>
                <c:pt idx="587">
                  <c:v>-128.25370388323668</c:v>
                </c:pt>
                <c:pt idx="588">
                  <c:v>-151.4003688917974</c:v>
                </c:pt>
                <c:pt idx="589">
                  <c:v>-169.38784339978909</c:v>
                </c:pt>
                <c:pt idx="590">
                  <c:v>-186.2394312292607</c:v>
                </c:pt>
                <c:pt idx="591">
                  <c:v>-200.91546100311288</c:v>
                </c:pt>
                <c:pt idx="592">
                  <c:v>-200.97974832811605</c:v>
                </c:pt>
                <c:pt idx="593">
                  <c:v>-189.49597859362848</c:v>
                </c:pt>
                <c:pt idx="594">
                  <c:v>-180.48936801118481</c:v>
                </c:pt>
                <c:pt idx="595">
                  <c:v>-170.869417379487</c:v>
                </c:pt>
                <c:pt idx="596">
                  <c:v>-156.23829594460935</c:v>
                </c:pt>
                <c:pt idx="597">
                  <c:v>-134.30420885910053</c:v>
                </c:pt>
                <c:pt idx="598">
                  <c:v>-80.205012880191717</c:v>
                </c:pt>
                <c:pt idx="599">
                  <c:v>10.461104691296983</c:v>
                </c:pt>
                <c:pt idx="600">
                  <c:v>65.381870380927538</c:v>
                </c:pt>
                <c:pt idx="601">
                  <c:v>113.03665919856439</c:v>
                </c:pt>
                <c:pt idx="602">
                  <c:v>151.50420200620709</c:v>
                </c:pt>
                <c:pt idx="603">
                  <c:v>179.95393788551729</c:v>
                </c:pt>
                <c:pt idx="604">
                  <c:v>202.16823890304337</c:v>
                </c:pt>
                <c:pt idx="605">
                  <c:v>209.92099164687292</c:v>
                </c:pt>
                <c:pt idx="606">
                  <c:v>208.30115776407973</c:v>
                </c:pt>
                <c:pt idx="607">
                  <c:v>209.93900376673895</c:v>
                </c:pt>
                <c:pt idx="608">
                  <c:v>211.48525333960933</c:v>
                </c:pt>
                <c:pt idx="609">
                  <c:v>205.70122440507154</c:v>
                </c:pt>
                <c:pt idx="610">
                  <c:v>186.04886147838857</c:v>
                </c:pt>
                <c:pt idx="611">
                  <c:v>126.55621050025289</c:v>
                </c:pt>
                <c:pt idx="612">
                  <c:v>-30.38016390880458</c:v>
                </c:pt>
                <c:pt idx="613">
                  <c:v>-124.55694987920391</c:v>
                </c:pt>
                <c:pt idx="614">
                  <c:v>-168.75846908444981</c:v>
                </c:pt>
                <c:pt idx="615">
                  <c:v>-190.1627278726863</c:v>
                </c:pt>
                <c:pt idx="616">
                  <c:v>-194.14232737224984</c:v>
                </c:pt>
                <c:pt idx="617">
                  <c:v>-192.53129693947324</c:v>
                </c:pt>
                <c:pt idx="618">
                  <c:v>-186.04433719814614</c:v>
                </c:pt>
                <c:pt idx="619">
                  <c:v>-178.02925647246408</c:v>
                </c:pt>
                <c:pt idx="620">
                  <c:v>-181.24074512064928</c:v>
                </c:pt>
                <c:pt idx="621">
                  <c:v>-186.71868053006233</c:v>
                </c:pt>
                <c:pt idx="622">
                  <c:v>-189.01184714697263</c:v>
                </c:pt>
                <c:pt idx="623">
                  <c:v>-191.14768888938346</c:v>
                </c:pt>
                <c:pt idx="624">
                  <c:v>-182.81939016724047</c:v>
                </c:pt>
                <c:pt idx="625">
                  <c:v>-157.61966083577059</c:v>
                </c:pt>
                <c:pt idx="626">
                  <c:v>-102.72460582452359</c:v>
                </c:pt>
                <c:pt idx="627">
                  <c:v>74.137461640198097</c:v>
                </c:pt>
                <c:pt idx="628">
                  <c:v>166.72938457703466</c:v>
                </c:pt>
                <c:pt idx="629">
                  <c:v>190.39930004138563</c:v>
                </c:pt>
                <c:pt idx="630">
                  <c:v>193.48254854776852</c:v>
                </c:pt>
                <c:pt idx="631">
                  <c:v>190.57351179028328</c:v>
                </c:pt>
                <c:pt idx="632">
                  <c:v>192.28210118681761</c:v>
                </c:pt>
                <c:pt idx="633">
                  <c:v>202.93971184925451</c:v>
                </c:pt>
                <c:pt idx="634">
                  <c:v>205.2927957004309</c:v>
                </c:pt>
                <c:pt idx="635">
                  <c:v>192.20858400330735</c:v>
                </c:pt>
                <c:pt idx="636">
                  <c:v>172.5052085766547</c:v>
                </c:pt>
                <c:pt idx="637">
                  <c:v>146.85282440270376</c:v>
                </c:pt>
                <c:pt idx="638">
                  <c:v>112.66482183364717</c:v>
                </c:pt>
                <c:pt idx="639">
                  <c:v>75.977006482519414</c:v>
                </c:pt>
                <c:pt idx="640">
                  <c:v>-17.83583596498201</c:v>
                </c:pt>
                <c:pt idx="641">
                  <c:v>-112.89696250213029</c:v>
                </c:pt>
                <c:pt idx="642">
                  <c:v>-153.08097601476422</c:v>
                </c:pt>
                <c:pt idx="643">
                  <c:v>-175.66740997326909</c:v>
                </c:pt>
                <c:pt idx="644">
                  <c:v>-186.68118104427165</c:v>
                </c:pt>
                <c:pt idx="645">
                  <c:v>-189.07170562620976</c:v>
                </c:pt>
                <c:pt idx="646">
                  <c:v>-194.25111299451615</c:v>
                </c:pt>
                <c:pt idx="647">
                  <c:v>-196.46967804204851</c:v>
                </c:pt>
                <c:pt idx="648">
                  <c:v>-190.53650535752143</c:v>
                </c:pt>
                <c:pt idx="649">
                  <c:v>-184.85198208235022</c:v>
                </c:pt>
                <c:pt idx="650">
                  <c:v>-170.82560280213156</c:v>
                </c:pt>
                <c:pt idx="651">
                  <c:v>-124.60810912562836</c:v>
                </c:pt>
                <c:pt idx="652">
                  <c:v>-9.3205931123753754</c:v>
                </c:pt>
                <c:pt idx="653">
                  <c:v>110.34095130859521</c:v>
                </c:pt>
                <c:pt idx="654">
                  <c:v>145.98434529671172</c:v>
                </c:pt>
                <c:pt idx="655">
                  <c:v>149.75094138543434</c:v>
                </c:pt>
                <c:pt idx="656">
                  <c:v>164.76871639880088</c:v>
                </c:pt>
                <c:pt idx="657">
                  <c:v>188.64180189854454</c:v>
                </c:pt>
                <c:pt idx="658">
                  <c:v>198.53000837657697</c:v>
                </c:pt>
                <c:pt idx="659">
                  <c:v>194.81024268549206</c:v>
                </c:pt>
                <c:pt idx="660">
                  <c:v>172.53871701403591</c:v>
                </c:pt>
                <c:pt idx="661">
                  <c:v>119.64701458801179</c:v>
                </c:pt>
                <c:pt idx="662">
                  <c:v>63.302140403740111</c:v>
                </c:pt>
                <c:pt idx="663">
                  <c:v>39.708814624487168</c:v>
                </c:pt>
                <c:pt idx="664">
                  <c:v>22.828483820324866</c:v>
                </c:pt>
                <c:pt idx="665">
                  <c:v>12.617461084786846</c:v>
                </c:pt>
                <c:pt idx="666">
                  <c:v>-24.071493285779976</c:v>
                </c:pt>
                <c:pt idx="667">
                  <c:v>-63.219603758326244</c:v>
                </c:pt>
                <c:pt idx="668">
                  <c:v>-70.92810165129147</c:v>
                </c:pt>
                <c:pt idx="669">
                  <c:v>-99.016077226032237</c:v>
                </c:pt>
                <c:pt idx="670">
                  <c:v>-145.86346889162084</c:v>
                </c:pt>
                <c:pt idx="671">
                  <c:v>-173.15865664421091</c:v>
                </c:pt>
                <c:pt idx="672">
                  <c:v>-188.3882343796885</c:v>
                </c:pt>
                <c:pt idx="673">
                  <c:v>-194.36536927735094</c:v>
                </c:pt>
                <c:pt idx="674">
                  <c:v>-186.87616874434565</c:v>
                </c:pt>
                <c:pt idx="675">
                  <c:v>-166.27338829546426</c:v>
                </c:pt>
                <c:pt idx="676">
                  <c:v>-110.71180066563703</c:v>
                </c:pt>
                <c:pt idx="677">
                  <c:v>45.971448711412329</c:v>
                </c:pt>
                <c:pt idx="678">
                  <c:v>114.13943510049006</c:v>
                </c:pt>
                <c:pt idx="679">
                  <c:v>121.51645529449974</c:v>
                </c:pt>
                <c:pt idx="680">
                  <c:v>121.6578272560335</c:v>
                </c:pt>
                <c:pt idx="681">
                  <c:v>122.02474075050667</c:v>
                </c:pt>
                <c:pt idx="682">
                  <c:v>137.59944533087037</c:v>
                </c:pt>
                <c:pt idx="683">
                  <c:v>157.85719066270821</c:v>
                </c:pt>
                <c:pt idx="684">
                  <c:v>159.72751051607025</c:v>
                </c:pt>
                <c:pt idx="685">
                  <c:v>154.49670834657044</c:v>
                </c:pt>
                <c:pt idx="686">
                  <c:v>154.9057113445669</c:v>
                </c:pt>
                <c:pt idx="687">
                  <c:v>156.1326541713544</c:v>
                </c:pt>
                <c:pt idx="688">
                  <c:v>159.54756137703743</c:v>
                </c:pt>
                <c:pt idx="689">
                  <c:v>146.5737042927278</c:v>
                </c:pt>
                <c:pt idx="690">
                  <c:v>81.689648577244611</c:v>
                </c:pt>
                <c:pt idx="691">
                  <c:v>-38.373298434666935</c:v>
                </c:pt>
                <c:pt idx="692">
                  <c:v>-93.622381938529259</c:v>
                </c:pt>
                <c:pt idx="693">
                  <c:v>-126.76022509255836</c:v>
                </c:pt>
                <c:pt idx="694">
                  <c:v>-147.63204964374131</c:v>
                </c:pt>
                <c:pt idx="695">
                  <c:v>-164.64154927665408</c:v>
                </c:pt>
                <c:pt idx="696">
                  <c:v>-176.56967217719233</c:v>
                </c:pt>
                <c:pt idx="697">
                  <c:v>-174.68092033349228</c:v>
                </c:pt>
                <c:pt idx="698">
                  <c:v>-171.82164997512891</c:v>
                </c:pt>
                <c:pt idx="699">
                  <c:v>-174.11811462817849</c:v>
                </c:pt>
                <c:pt idx="700">
                  <c:v>-164.72104129195881</c:v>
                </c:pt>
                <c:pt idx="701">
                  <c:v>-142.7391482008031</c:v>
                </c:pt>
                <c:pt idx="702">
                  <c:v>-107.00410981512583</c:v>
                </c:pt>
                <c:pt idx="703">
                  <c:v>-29.041739874146224</c:v>
                </c:pt>
                <c:pt idx="704">
                  <c:v>52.402854390263592</c:v>
                </c:pt>
                <c:pt idx="705">
                  <c:v>83.69351802342328</c:v>
                </c:pt>
                <c:pt idx="706">
                  <c:v>111.26764083509315</c:v>
                </c:pt>
                <c:pt idx="707">
                  <c:v>121.45587686601263</c:v>
                </c:pt>
                <c:pt idx="708">
                  <c:v>118.74008696063456</c:v>
                </c:pt>
                <c:pt idx="709">
                  <c:v>115.43632457641623</c:v>
                </c:pt>
                <c:pt idx="710">
                  <c:v>105.80303102068928</c:v>
                </c:pt>
                <c:pt idx="711">
                  <c:v>121.65461864351087</c:v>
                </c:pt>
                <c:pt idx="712">
                  <c:v>160.1965232613795</c:v>
                </c:pt>
                <c:pt idx="713">
                  <c:v>178.17604127366741</c:v>
                </c:pt>
                <c:pt idx="714">
                  <c:v>179.11618524836123</c:v>
                </c:pt>
                <c:pt idx="715">
                  <c:v>174.3573168229448</c:v>
                </c:pt>
                <c:pt idx="716">
                  <c:v>163.86095981724978</c:v>
                </c:pt>
                <c:pt idx="717">
                  <c:v>152.16971112429064</c:v>
                </c:pt>
                <c:pt idx="718">
                  <c:v>124.79187786341382</c:v>
                </c:pt>
                <c:pt idx="719">
                  <c:v>25.17932933995526</c:v>
                </c:pt>
                <c:pt idx="720">
                  <c:v>-95.123003249359058</c:v>
                </c:pt>
                <c:pt idx="721">
                  <c:v>-130.97695207744451</c:v>
                </c:pt>
                <c:pt idx="722">
                  <c:v>-148.82217929249563</c:v>
                </c:pt>
                <c:pt idx="723">
                  <c:v>-155.45048136323337</c:v>
                </c:pt>
                <c:pt idx="724">
                  <c:v>-163.81086175889303</c:v>
                </c:pt>
                <c:pt idx="725">
                  <c:v>-179.46363656871665</c:v>
                </c:pt>
                <c:pt idx="726">
                  <c:v>-183.84468346518537</c:v>
                </c:pt>
                <c:pt idx="727">
                  <c:v>-176.25792480672285</c:v>
                </c:pt>
                <c:pt idx="728">
                  <c:v>-165.21148331225967</c:v>
                </c:pt>
                <c:pt idx="729">
                  <c:v>-151.39338496620437</c:v>
                </c:pt>
                <c:pt idx="730">
                  <c:v>-149.46396681812817</c:v>
                </c:pt>
                <c:pt idx="731">
                  <c:v>-157.21754383093534</c:v>
                </c:pt>
                <c:pt idx="732">
                  <c:v>-150.82279106509989</c:v>
                </c:pt>
                <c:pt idx="733">
                  <c:v>-136.36588775697976</c:v>
                </c:pt>
                <c:pt idx="734">
                  <c:v>-111.54894205547289</c:v>
                </c:pt>
                <c:pt idx="735">
                  <c:v>-8.2810238444890221</c:v>
                </c:pt>
                <c:pt idx="736">
                  <c:v>124.68015459066208</c:v>
                </c:pt>
                <c:pt idx="737">
                  <c:v>174.57304964636779</c:v>
                </c:pt>
                <c:pt idx="738">
                  <c:v>194.1290051640924</c:v>
                </c:pt>
                <c:pt idx="739">
                  <c:v>193.95962283945804</c:v>
                </c:pt>
                <c:pt idx="740">
                  <c:v>188.11328165366751</c:v>
                </c:pt>
                <c:pt idx="741">
                  <c:v>188.75762169251939</c:v>
                </c:pt>
                <c:pt idx="742">
                  <c:v>183.79274269368744</c:v>
                </c:pt>
                <c:pt idx="743">
                  <c:v>170.04161672330426</c:v>
                </c:pt>
                <c:pt idx="744">
                  <c:v>156.83977580851888</c:v>
                </c:pt>
                <c:pt idx="745">
                  <c:v>145.40205566975857</c:v>
                </c:pt>
                <c:pt idx="746">
                  <c:v>150.85101347516598</c:v>
                </c:pt>
                <c:pt idx="747">
                  <c:v>165.19449994915013</c:v>
                </c:pt>
                <c:pt idx="748">
                  <c:v>154.13496873529371</c:v>
                </c:pt>
                <c:pt idx="749">
                  <c:v>95.333191216937962</c:v>
                </c:pt>
                <c:pt idx="750">
                  <c:v>-61.873116688457465</c:v>
                </c:pt>
                <c:pt idx="751">
                  <c:v>-145.62468570234745</c:v>
                </c:pt>
                <c:pt idx="752">
                  <c:v>-164.23402754542269</c:v>
                </c:pt>
                <c:pt idx="753">
                  <c:v>-164.19910890428937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84440"/>
        <c:axId val="865489144"/>
      </c:scatterChart>
      <c:valAx>
        <c:axId val="865484440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out"/>
        <c:minorTickMark val="none"/>
        <c:tickLblPos val="nextTo"/>
        <c:crossAx val="865489144"/>
        <c:crosses val="autoZero"/>
        <c:crossBetween val="midCat"/>
      </c:valAx>
      <c:valAx>
        <c:axId val="865489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654844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4367688961058854"/>
          <c:y val="0.7866531787693205"/>
          <c:w val="7.2535821154651389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15883066236678E-2"/>
          <c:y val="5.1400554097404488E-2"/>
          <c:w val="0.88301355151382044"/>
          <c:h val="0.8326195683872849"/>
        </c:manualLayout>
      </c:layout>
      <c:scatterChart>
        <c:scatterStyle val="lineMarker"/>
        <c:varyColors val="0"/>
        <c:ser>
          <c:idx val="0"/>
          <c:order val="0"/>
          <c:tx>
            <c:strRef>
              <c:f>offset_qbo_all_terms_30hPa!$B$2</c:f>
              <c:strCache>
                <c:ptCount val="1"/>
                <c:pt idx="0">
                  <c:v>QBO30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offset_qbo_all_terms_30hPa!$A$3:$A$756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offset_qbo_all_terms_30hPa!$B$3:$B$756</c:f>
              <c:numCache>
                <c:formatCode>General</c:formatCode>
                <c:ptCount val="754"/>
                <c:pt idx="0">
                  <c:v>-315</c:v>
                </c:pt>
                <c:pt idx="1">
                  <c:v>-315</c:v>
                </c:pt>
                <c:pt idx="2">
                  <c:v>-295</c:v>
                </c:pt>
                <c:pt idx="3">
                  <c:v>-245</c:v>
                </c:pt>
                <c:pt idx="4">
                  <c:v>-215</c:v>
                </c:pt>
                <c:pt idx="5">
                  <c:v>-185</c:v>
                </c:pt>
                <c:pt idx="6">
                  <c:v>-175</c:v>
                </c:pt>
                <c:pt idx="7">
                  <c:v>-155</c:v>
                </c:pt>
                <c:pt idx="8">
                  <c:v>-133</c:v>
                </c:pt>
                <c:pt idx="9">
                  <c:v>-115</c:v>
                </c:pt>
                <c:pt idx="10">
                  <c:v>-90</c:v>
                </c:pt>
                <c:pt idx="11">
                  <c:v>-45</c:v>
                </c:pt>
                <c:pt idx="12">
                  <c:v>5</c:v>
                </c:pt>
                <c:pt idx="13">
                  <c:v>95</c:v>
                </c:pt>
                <c:pt idx="14">
                  <c:v>115</c:v>
                </c:pt>
                <c:pt idx="15">
                  <c:v>115</c:v>
                </c:pt>
                <c:pt idx="16">
                  <c:v>125</c:v>
                </c:pt>
                <c:pt idx="17">
                  <c:v>130</c:v>
                </c:pt>
                <c:pt idx="18">
                  <c:v>140</c:v>
                </c:pt>
                <c:pt idx="19">
                  <c:v>140</c:v>
                </c:pt>
                <c:pt idx="20">
                  <c:v>80</c:v>
                </c:pt>
                <c:pt idx="21">
                  <c:v>-5</c:v>
                </c:pt>
                <c:pt idx="22">
                  <c:v>-165</c:v>
                </c:pt>
                <c:pt idx="23">
                  <c:v>-180</c:v>
                </c:pt>
                <c:pt idx="24">
                  <c:v>-210</c:v>
                </c:pt>
                <c:pt idx="25">
                  <c:v>-210</c:v>
                </c:pt>
                <c:pt idx="26">
                  <c:v>-213</c:v>
                </c:pt>
                <c:pt idx="27">
                  <c:v>-250</c:v>
                </c:pt>
                <c:pt idx="28">
                  <c:v>-290</c:v>
                </c:pt>
                <c:pt idx="29">
                  <c:v>-295</c:v>
                </c:pt>
                <c:pt idx="30">
                  <c:v>-295</c:v>
                </c:pt>
                <c:pt idx="31">
                  <c:v>-295</c:v>
                </c:pt>
                <c:pt idx="32">
                  <c:v>-285</c:v>
                </c:pt>
                <c:pt idx="33">
                  <c:v>-268</c:v>
                </c:pt>
                <c:pt idx="34">
                  <c:v>-171</c:v>
                </c:pt>
                <c:pt idx="35">
                  <c:v>-164</c:v>
                </c:pt>
                <c:pt idx="36">
                  <c:v>-83</c:v>
                </c:pt>
                <c:pt idx="37">
                  <c:v>-43</c:v>
                </c:pt>
                <c:pt idx="38">
                  <c:v>7</c:v>
                </c:pt>
                <c:pt idx="39">
                  <c:v>117</c:v>
                </c:pt>
                <c:pt idx="40">
                  <c:v>119</c:v>
                </c:pt>
                <c:pt idx="41">
                  <c:v>144</c:v>
                </c:pt>
                <c:pt idx="42">
                  <c:v>147</c:v>
                </c:pt>
                <c:pt idx="43">
                  <c:v>161</c:v>
                </c:pt>
                <c:pt idx="44">
                  <c:v>171</c:v>
                </c:pt>
                <c:pt idx="45">
                  <c:v>171</c:v>
                </c:pt>
                <c:pt idx="46">
                  <c:v>141</c:v>
                </c:pt>
                <c:pt idx="47">
                  <c:v>-21</c:v>
                </c:pt>
                <c:pt idx="48">
                  <c:v>-84</c:v>
                </c:pt>
                <c:pt idx="49">
                  <c:v>-92</c:v>
                </c:pt>
                <c:pt idx="50">
                  <c:v>-197</c:v>
                </c:pt>
                <c:pt idx="51">
                  <c:v>-225</c:v>
                </c:pt>
                <c:pt idx="52">
                  <c:v>-242</c:v>
                </c:pt>
                <c:pt idx="53">
                  <c:v>-246</c:v>
                </c:pt>
                <c:pt idx="54">
                  <c:v>-252</c:v>
                </c:pt>
                <c:pt idx="55">
                  <c:v>-265</c:v>
                </c:pt>
                <c:pt idx="56">
                  <c:v>-265</c:v>
                </c:pt>
                <c:pt idx="57">
                  <c:v>-249</c:v>
                </c:pt>
                <c:pt idx="58">
                  <c:v>-222</c:v>
                </c:pt>
                <c:pt idx="59">
                  <c:v>-215</c:v>
                </c:pt>
                <c:pt idx="60">
                  <c:v>-165</c:v>
                </c:pt>
                <c:pt idx="61">
                  <c:v>-154</c:v>
                </c:pt>
                <c:pt idx="62">
                  <c:v>-142</c:v>
                </c:pt>
                <c:pt idx="63">
                  <c:v>-42</c:v>
                </c:pt>
                <c:pt idx="64">
                  <c:v>92</c:v>
                </c:pt>
                <c:pt idx="65">
                  <c:v>99</c:v>
                </c:pt>
                <c:pt idx="66">
                  <c:v>128</c:v>
                </c:pt>
                <c:pt idx="67">
                  <c:v>152</c:v>
                </c:pt>
                <c:pt idx="68">
                  <c:v>172</c:v>
                </c:pt>
                <c:pt idx="69">
                  <c:v>199</c:v>
                </c:pt>
                <c:pt idx="70">
                  <c:v>225</c:v>
                </c:pt>
                <c:pt idx="71">
                  <c:v>225</c:v>
                </c:pt>
                <c:pt idx="72">
                  <c:v>162</c:v>
                </c:pt>
                <c:pt idx="73">
                  <c:v>153</c:v>
                </c:pt>
                <c:pt idx="74">
                  <c:v>150</c:v>
                </c:pt>
                <c:pt idx="75">
                  <c:v>112</c:v>
                </c:pt>
                <c:pt idx="76">
                  <c:v>-45</c:v>
                </c:pt>
                <c:pt idx="77">
                  <c:v>-240</c:v>
                </c:pt>
                <c:pt idx="78">
                  <c:v>-298</c:v>
                </c:pt>
                <c:pt idx="79">
                  <c:v>-298</c:v>
                </c:pt>
                <c:pt idx="80">
                  <c:v>-295</c:v>
                </c:pt>
                <c:pt idx="81">
                  <c:v>-232</c:v>
                </c:pt>
                <c:pt idx="82">
                  <c:v>-188</c:v>
                </c:pt>
                <c:pt idx="83">
                  <c:v>-145</c:v>
                </c:pt>
                <c:pt idx="84">
                  <c:v>-103</c:v>
                </c:pt>
                <c:pt idx="85">
                  <c:v>-87</c:v>
                </c:pt>
                <c:pt idx="86">
                  <c:v>-59</c:v>
                </c:pt>
                <c:pt idx="87">
                  <c:v>19</c:v>
                </c:pt>
                <c:pt idx="88">
                  <c:v>77</c:v>
                </c:pt>
                <c:pt idx="89">
                  <c:v>147</c:v>
                </c:pt>
                <c:pt idx="90">
                  <c:v>151</c:v>
                </c:pt>
                <c:pt idx="91">
                  <c:v>151</c:v>
                </c:pt>
                <c:pt idx="92">
                  <c:v>150</c:v>
                </c:pt>
                <c:pt idx="93">
                  <c:v>144</c:v>
                </c:pt>
                <c:pt idx="94">
                  <c:v>103</c:v>
                </c:pt>
                <c:pt idx="95">
                  <c:v>50</c:v>
                </c:pt>
                <c:pt idx="96">
                  <c:v>-92</c:v>
                </c:pt>
                <c:pt idx="97">
                  <c:v>-134</c:v>
                </c:pt>
                <c:pt idx="98">
                  <c:v>-143</c:v>
                </c:pt>
                <c:pt idx="99">
                  <c:v>-219</c:v>
                </c:pt>
                <c:pt idx="100">
                  <c:v>-247</c:v>
                </c:pt>
                <c:pt idx="101">
                  <c:v>-247</c:v>
                </c:pt>
                <c:pt idx="102">
                  <c:v>-245</c:v>
                </c:pt>
                <c:pt idx="103">
                  <c:v>-231</c:v>
                </c:pt>
                <c:pt idx="104">
                  <c:v>-203</c:v>
                </c:pt>
                <c:pt idx="105">
                  <c:v>-203</c:v>
                </c:pt>
                <c:pt idx="106">
                  <c:v>-203</c:v>
                </c:pt>
                <c:pt idx="107">
                  <c:v>-174</c:v>
                </c:pt>
                <c:pt idx="108">
                  <c:v>-174</c:v>
                </c:pt>
                <c:pt idx="109">
                  <c:v>-160</c:v>
                </c:pt>
                <c:pt idx="110">
                  <c:v>-154</c:v>
                </c:pt>
                <c:pt idx="111">
                  <c:v>-78</c:v>
                </c:pt>
                <c:pt idx="112">
                  <c:v>56</c:v>
                </c:pt>
                <c:pt idx="113">
                  <c:v>123</c:v>
                </c:pt>
                <c:pt idx="114">
                  <c:v>147</c:v>
                </c:pt>
                <c:pt idx="115">
                  <c:v>170</c:v>
                </c:pt>
                <c:pt idx="116">
                  <c:v>175</c:v>
                </c:pt>
                <c:pt idx="117">
                  <c:v>197</c:v>
                </c:pt>
                <c:pt idx="118">
                  <c:v>197</c:v>
                </c:pt>
                <c:pt idx="119">
                  <c:v>187</c:v>
                </c:pt>
                <c:pt idx="120">
                  <c:v>187</c:v>
                </c:pt>
                <c:pt idx="121">
                  <c:v>228</c:v>
                </c:pt>
                <c:pt idx="122">
                  <c:v>228</c:v>
                </c:pt>
                <c:pt idx="123">
                  <c:v>223</c:v>
                </c:pt>
                <c:pt idx="124">
                  <c:v>212</c:v>
                </c:pt>
                <c:pt idx="125">
                  <c:v>110</c:v>
                </c:pt>
                <c:pt idx="126">
                  <c:v>-90</c:v>
                </c:pt>
                <c:pt idx="127">
                  <c:v>-141</c:v>
                </c:pt>
                <c:pt idx="128">
                  <c:v>-170</c:v>
                </c:pt>
                <c:pt idx="129">
                  <c:v>-175</c:v>
                </c:pt>
                <c:pt idx="130">
                  <c:v>-175</c:v>
                </c:pt>
                <c:pt idx="131">
                  <c:v>-175</c:v>
                </c:pt>
                <c:pt idx="132">
                  <c:v>-140</c:v>
                </c:pt>
                <c:pt idx="133">
                  <c:v>-140</c:v>
                </c:pt>
                <c:pt idx="134">
                  <c:v>-159</c:v>
                </c:pt>
                <c:pt idx="135">
                  <c:v>-169</c:v>
                </c:pt>
                <c:pt idx="136">
                  <c:v>-169</c:v>
                </c:pt>
                <c:pt idx="137">
                  <c:v>-166</c:v>
                </c:pt>
                <c:pt idx="138">
                  <c:v>-142</c:v>
                </c:pt>
                <c:pt idx="139">
                  <c:v>-132</c:v>
                </c:pt>
                <c:pt idx="140">
                  <c:v>-137</c:v>
                </c:pt>
                <c:pt idx="141">
                  <c:v>-125</c:v>
                </c:pt>
                <c:pt idx="142">
                  <c:v>-124</c:v>
                </c:pt>
                <c:pt idx="143">
                  <c:v>-120</c:v>
                </c:pt>
                <c:pt idx="144">
                  <c:v>-112</c:v>
                </c:pt>
                <c:pt idx="145">
                  <c:v>-93</c:v>
                </c:pt>
                <c:pt idx="146">
                  <c:v>-68</c:v>
                </c:pt>
                <c:pt idx="147">
                  <c:v>52</c:v>
                </c:pt>
                <c:pt idx="148">
                  <c:v>137</c:v>
                </c:pt>
                <c:pt idx="149">
                  <c:v>163</c:v>
                </c:pt>
                <c:pt idx="150">
                  <c:v>182</c:v>
                </c:pt>
                <c:pt idx="151">
                  <c:v>186</c:v>
                </c:pt>
                <c:pt idx="152">
                  <c:v>214</c:v>
                </c:pt>
                <c:pt idx="153">
                  <c:v>216</c:v>
                </c:pt>
                <c:pt idx="154">
                  <c:v>224</c:v>
                </c:pt>
                <c:pt idx="155">
                  <c:v>224</c:v>
                </c:pt>
                <c:pt idx="156">
                  <c:v>197</c:v>
                </c:pt>
                <c:pt idx="157">
                  <c:v>102</c:v>
                </c:pt>
                <c:pt idx="158">
                  <c:v>-35</c:v>
                </c:pt>
                <c:pt idx="159">
                  <c:v>-162</c:v>
                </c:pt>
                <c:pt idx="160">
                  <c:v>-241</c:v>
                </c:pt>
                <c:pt idx="161">
                  <c:v>-253</c:v>
                </c:pt>
                <c:pt idx="162">
                  <c:v>-258</c:v>
                </c:pt>
                <c:pt idx="163">
                  <c:v>-258</c:v>
                </c:pt>
                <c:pt idx="164">
                  <c:v>-265</c:v>
                </c:pt>
                <c:pt idx="165">
                  <c:v>-265</c:v>
                </c:pt>
                <c:pt idx="166">
                  <c:v>-253</c:v>
                </c:pt>
                <c:pt idx="167">
                  <c:v>-253</c:v>
                </c:pt>
                <c:pt idx="168">
                  <c:v>-253</c:v>
                </c:pt>
                <c:pt idx="169">
                  <c:v>-250</c:v>
                </c:pt>
                <c:pt idx="170">
                  <c:v>-210</c:v>
                </c:pt>
                <c:pt idx="171">
                  <c:v>-206</c:v>
                </c:pt>
                <c:pt idx="172">
                  <c:v>-158</c:v>
                </c:pt>
                <c:pt idx="173">
                  <c:v>-45</c:v>
                </c:pt>
                <c:pt idx="174">
                  <c:v>45</c:v>
                </c:pt>
                <c:pt idx="175">
                  <c:v>60</c:v>
                </c:pt>
                <c:pt idx="176">
                  <c:v>54</c:v>
                </c:pt>
                <c:pt idx="177">
                  <c:v>61</c:v>
                </c:pt>
                <c:pt idx="178">
                  <c:v>92</c:v>
                </c:pt>
                <c:pt idx="179">
                  <c:v>92</c:v>
                </c:pt>
                <c:pt idx="180">
                  <c:v>103</c:v>
                </c:pt>
                <c:pt idx="181">
                  <c:v>103</c:v>
                </c:pt>
                <c:pt idx="182">
                  <c:v>148</c:v>
                </c:pt>
                <c:pt idx="183">
                  <c:v>148</c:v>
                </c:pt>
                <c:pt idx="184">
                  <c:v>153</c:v>
                </c:pt>
                <c:pt idx="185">
                  <c:v>160</c:v>
                </c:pt>
                <c:pt idx="186">
                  <c:v>203</c:v>
                </c:pt>
                <c:pt idx="187">
                  <c:v>209</c:v>
                </c:pt>
                <c:pt idx="188">
                  <c:v>208</c:v>
                </c:pt>
                <c:pt idx="189">
                  <c:v>208</c:v>
                </c:pt>
                <c:pt idx="190">
                  <c:v>102</c:v>
                </c:pt>
                <c:pt idx="191">
                  <c:v>33</c:v>
                </c:pt>
                <c:pt idx="192">
                  <c:v>-109</c:v>
                </c:pt>
                <c:pt idx="193">
                  <c:v>-166</c:v>
                </c:pt>
                <c:pt idx="194">
                  <c:v>-209</c:v>
                </c:pt>
                <c:pt idx="195">
                  <c:v>-256</c:v>
                </c:pt>
                <c:pt idx="196">
                  <c:v>-256</c:v>
                </c:pt>
                <c:pt idx="197">
                  <c:v>-256</c:v>
                </c:pt>
                <c:pt idx="198">
                  <c:v>-245</c:v>
                </c:pt>
                <c:pt idx="199">
                  <c:v>-243</c:v>
                </c:pt>
                <c:pt idx="200">
                  <c:v>-209</c:v>
                </c:pt>
                <c:pt idx="201">
                  <c:v>-193</c:v>
                </c:pt>
                <c:pt idx="202">
                  <c:v>-108</c:v>
                </c:pt>
                <c:pt idx="203">
                  <c:v>-51</c:v>
                </c:pt>
                <c:pt idx="204">
                  <c:v>-9</c:v>
                </c:pt>
                <c:pt idx="205">
                  <c:v>42</c:v>
                </c:pt>
                <c:pt idx="206">
                  <c:v>61</c:v>
                </c:pt>
                <c:pt idx="207">
                  <c:v>124</c:v>
                </c:pt>
                <c:pt idx="208">
                  <c:v>153</c:v>
                </c:pt>
                <c:pt idx="209">
                  <c:v>185</c:v>
                </c:pt>
                <c:pt idx="210">
                  <c:v>189</c:v>
                </c:pt>
                <c:pt idx="211">
                  <c:v>201</c:v>
                </c:pt>
                <c:pt idx="212">
                  <c:v>222</c:v>
                </c:pt>
                <c:pt idx="213">
                  <c:v>222</c:v>
                </c:pt>
                <c:pt idx="214">
                  <c:v>207</c:v>
                </c:pt>
                <c:pt idx="215">
                  <c:v>84</c:v>
                </c:pt>
                <c:pt idx="216">
                  <c:v>-73</c:v>
                </c:pt>
                <c:pt idx="217">
                  <c:v>-150</c:v>
                </c:pt>
                <c:pt idx="218">
                  <c:v>-207</c:v>
                </c:pt>
                <c:pt idx="219">
                  <c:v>-223</c:v>
                </c:pt>
                <c:pt idx="220">
                  <c:v>-237</c:v>
                </c:pt>
                <c:pt idx="221">
                  <c:v>-240</c:v>
                </c:pt>
                <c:pt idx="222">
                  <c:v>-265</c:v>
                </c:pt>
                <c:pt idx="223">
                  <c:v>-265</c:v>
                </c:pt>
                <c:pt idx="224">
                  <c:v>-239</c:v>
                </c:pt>
                <c:pt idx="225">
                  <c:v>-230</c:v>
                </c:pt>
                <c:pt idx="226">
                  <c:v>-230</c:v>
                </c:pt>
                <c:pt idx="227">
                  <c:v>-217</c:v>
                </c:pt>
                <c:pt idx="228">
                  <c:v>-200</c:v>
                </c:pt>
                <c:pt idx="229">
                  <c:v>-188</c:v>
                </c:pt>
                <c:pt idx="230">
                  <c:v>-179</c:v>
                </c:pt>
                <c:pt idx="231">
                  <c:v>-145</c:v>
                </c:pt>
                <c:pt idx="232">
                  <c:v>82</c:v>
                </c:pt>
                <c:pt idx="233">
                  <c:v>126</c:v>
                </c:pt>
                <c:pt idx="234">
                  <c:v>141</c:v>
                </c:pt>
                <c:pt idx="235">
                  <c:v>145</c:v>
                </c:pt>
                <c:pt idx="236">
                  <c:v>164</c:v>
                </c:pt>
                <c:pt idx="237">
                  <c:v>168</c:v>
                </c:pt>
                <c:pt idx="238">
                  <c:v>164</c:v>
                </c:pt>
                <c:pt idx="239">
                  <c:v>67</c:v>
                </c:pt>
                <c:pt idx="240">
                  <c:v>-163</c:v>
                </c:pt>
                <c:pt idx="241">
                  <c:v>-211</c:v>
                </c:pt>
                <c:pt idx="242">
                  <c:v>-211</c:v>
                </c:pt>
                <c:pt idx="243">
                  <c:v>-211</c:v>
                </c:pt>
                <c:pt idx="244">
                  <c:v>-237</c:v>
                </c:pt>
                <c:pt idx="245">
                  <c:v>-237</c:v>
                </c:pt>
                <c:pt idx="246">
                  <c:v>-208</c:v>
                </c:pt>
                <c:pt idx="247">
                  <c:v>-203</c:v>
                </c:pt>
                <c:pt idx="248">
                  <c:v>-190</c:v>
                </c:pt>
                <c:pt idx="249">
                  <c:v>-190</c:v>
                </c:pt>
                <c:pt idx="250">
                  <c:v>-150</c:v>
                </c:pt>
                <c:pt idx="251">
                  <c:v>-115</c:v>
                </c:pt>
                <c:pt idx="252">
                  <c:v>-91</c:v>
                </c:pt>
                <c:pt idx="253">
                  <c:v>-76</c:v>
                </c:pt>
                <c:pt idx="254">
                  <c:v>-74</c:v>
                </c:pt>
                <c:pt idx="255">
                  <c:v>24</c:v>
                </c:pt>
                <c:pt idx="256">
                  <c:v>120</c:v>
                </c:pt>
                <c:pt idx="257">
                  <c:v>177</c:v>
                </c:pt>
                <c:pt idx="258">
                  <c:v>184</c:v>
                </c:pt>
                <c:pt idx="259">
                  <c:v>193</c:v>
                </c:pt>
                <c:pt idx="260">
                  <c:v>193</c:v>
                </c:pt>
                <c:pt idx="261">
                  <c:v>187</c:v>
                </c:pt>
                <c:pt idx="262">
                  <c:v>187</c:v>
                </c:pt>
                <c:pt idx="263">
                  <c:v>195</c:v>
                </c:pt>
                <c:pt idx="264">
                  <c:v>195</c:v>
                </c:pt>
                <c:pt idx="265">
                  <c:v>135</c:v>
                </c:pt>
                <c:pt idx="266">
                  <c:v>-20</c:v>
                </c:pt>
                <c:pt idx="267">
                  <c:v>-155</c:v>
                </c:pt>
                <c:pt idx="268">
                  <c:v>-198</c:v>
                </c:pt>
                <c:pt idx="269">
                  <c:v>-275</c:v>
                </c:pt>
                <c:pt idx="270">
                  <c:v>-275</c:v>
                </c:pt>
                <c:pt idx="271">
                  <c:v>-258</c:v>
                </c:pt>
                <c:pt idx="272">
                  <c:v>-257</c:v>
                </c:pt>
                <c:pt idx="273">
                  <c:v>-255</c:v>
                </c:pt>
                <c:pt idx="274">
                  <c:v>-255</c:v>
                </c:pt>
                <c:pt idx="275">
                  <c:v>-255</c:v>
                </c:pt>
                <c:pt idx="276">
                  <c:v>-234</c:v>
                </c:pt>
                <c:pt idx="277">
                  <c:v>-229</c:v>
                </c:pt>
                <c:pt idx="278">
                  <c:v>-228</c:v>
                </c:pt>
                <c:pt idx="279">
                  <c:v>-204</c:v>
                </c:pt>
                <c:pt idx="280">
                  <c:v>-135</c:v>
                </c:pt>
                <c:pt idx="281">
                  <c:v>41</c:v>
                </c:pt>
                <c:pt idx="282">
                  <c:v>115</c:v>
                </c:pt>
                <c:pt idx="283">
                  <c:v>115</c:v>
                </c:pt>
                <c:pt idx="284">
                  <c:v>143</c:v>
                </c:pt>
                <c:pt idx="285">
                  <c:v>125</c:v>
                </c:pt>
                <c:pt idx="286">
                  <c:v>152</c:v>
                </c:pt>
                <c:pt idx="287">
                  <c:v>152</c:v>
                </c:pt>
                <c:pt idx="288">
                  <c:v>163</c:v>
                </c:pt>
                <c:pt idx="289">
                  <c:v>165</c:v>
                </c:pt>
                <c:pt idx="290">
                  <c:v>170</c:v>
                </c:pt>
                <c:pt idx="291">
                  <c:v>175</c:v>
                </c:pt>
                <c:pt idx="292">
                  <c:v>175</c:v>
                </c:pt>
                <c:pt idx="293">
                  <c:v>161</c:v>
                </c:pt>
                <c:pt idx="294">
                  <c:v>35</c:v>
                </c:pt>
                <c:pt idx="295">
                  <c:v>-14</c:v>
                </c:pt>
                <c:pt idx="296">
                  <c:v>-149</c:v>
                </c:pt>
                <c:pt idx="297">
                  <c:v>-193</c:v>
                </c:pt>
                <c:pt idx="298">
                  <c:v>-225</c:v>
                </c:pt>
                <c:pt idx="299">
                  <c:v>-275</c:v>
                </c:pt>
                <c:pt idx="300">
                  <c:v>-275</c:v>
                </c:pt>
                <c:pt idx="301">
                  <c:v>-254</c:v>
                </c:pt>
                <c:pt idx="302">
                  <c:v>-233</c:v>
                </c:pt>
                <c:pt idx="303">
                  <c:v>-220</c:v>
                </c:pt>
                <c:pt idx="304">
                  <c:v>-219</c:v>
                </c:pt>
                <c:pt idx="305">
                  <c:v>-205</c:v>
                </c:pt>
                <c:pt idx="306">
                  <c:v>-190</c:v>
                </c:pt>
                <c:pt idx="307">
                  <c:v>-190</c:v>
                </c:pt>
                <c:pt idx="308">
                  <c:v>-180</c:v>
                </c:pt>
                <c:pt idx="309">
                  <c:v>-160</c:v>
                </c:pt>
                <c:pt idx="310">
                  <c:v>-153</c:v>
                </c:pt>
                <c:pt idx="311">
                  <c:v>-142</c:v>
                </c:pt>
                <c:pt idx="312">
                  <c:v>-142</c:v>
                </c:pt>
                <c:pt idx="313">
                  <c:v>-142</c:v>
                </c:pt>
                <c:pt idx="314">
                  <c:v>-30</c:v>
                </c:pt>
                <c:pt idx="315">
                  <c:v>42</c:v>
                </c:pt>
                <c:pt idx="316">
                  <c:v>131</c:v>
                </c:pt>
                <c:pt idx="317">
                  <c:v>151</c:v>
                </c:pt>
                <c:pt idx="318">
                  <c:v>159</c:v>
                </c:pt>
                <c:pt idx="319">
                  <c:v>169</c:v>
                </c:pt>
                <c:pt idx="320">
                  <c:v>175</c:v>
                </c:pt>
                <c:pt idx="321">
                  <c:v>169</c:v>
                </c:pt>
                <c:pt idx="322">
                  <c:v>166</c:v>
                </c:pt>
                <c:pt idx="323">
                  <c:v>50</c:v>
                </c:pt>
                <c:pt idx="324">
                  <c:v>-132</c:v>
                </c:pt>
                <c:pt idx="325">
                  <c:v>-139</c:v>
                </c:pt>
                <c:pt idx="326">
                  <c:v>-199</c:v>
                </c:pt>
                <c:pt idx="327">
                  <c:v>-222</c:v>
                </c:pt>
                <c:pt idx="328">
                  <c:v>-229</c:v>
                </c:pt>
                <c:pt idx="329">
                  <c:v>-258</c:v>
                </c:pt>
                <c:pt idx="330">
                  <c:v>-258</c:v>
                </c:pt>
                <c:pt idx="331">
                  <c:v>-256</c:v>
                </c:pt>
                <c:pt idx="332">
                  <c:v>-236</c:v>
                </c:pt>
                <c:pt idx="333">
                  <c:v>-230</c:v>
                </c:pt>
                <c:pt idx="334">
                  <c:v>-216</c:v>
                </c:pt>
                <c:pt idx="335">
                  <c:v>-212</c:v>
                </c:pt>
                <c:pt idx="336">
                  <c:v>-206</c:v>
                </c:pt>
                <c:pt idx="337">
                  <c:v>-196</c:v>
                </c:pt>
                <c:pt idx="338">
                  <c:v>-184</c:v>
                </c:pt>
                <c:pt idx="339">
                  <c:v>-165</c:v>
                </c:pt>
                <c:pt idx="340">
                  <c:v>31</c:v>
                </c:pt>
                <c:pt idx="341">
                  <c:v>136</c:v>
                </c:pt>
                <c:pt idx="342">
                  <c:v>164</c:v>
                </c:pt>
                <c:pt idx="343">
                  <c:v>173</c:v>
                </c:pt>
                <c:pt idx="344">
                  <c:v>176</c:v>
                </c:pt>
                <c:pt idx="345">
                  <c:v>184</c:v>
                </c:pt>
                <c:pt idx="346">
                  <c:v>190</c:v>
                </c:pt>
                <c:pt idx="347">
                  <c:v>197</c:v>
                </c:pt>
                <c:pt idx="348">
                  <c:v>197</c:v>
                </c:pt>
                <c:pt idx="349">
                  <c:v>205</c:v>
                </c:pt>
                <c:pt idx="350">
                  <c:v>205</c:v>
                </c:pt>
                <c:pt idx="351">
                  <c:v>205</c:v>
                </c:pt>
                <c:pt idx="352">
                  <c:v>186</c:v>
                </c:pt>
                <c:pt idx="353">
                  <c:v>178</c:v>
                </c:pt>
                <c:pt idx="354">
                  <c:v>40</c:v>
                </c:pt>
                <c:pt idx="355">
                  <c:v>-177</c:v>
                </c:pt>
                <c:pt idx="356">
                  <c:v>-224</c:v>
                </c:pt>
                <c:pt idx="357">
                  <c:v>-224</c:v>
                </c:pt>
                <c:pt idx="358">
                  <c:v>-242</c:v>
                </c:pt>
                <c:pt idx="359">
                  <c:v>-262</c:v>
                </c:pt>
                <c:pt idx="360">
                  <c:v>-262</c:v>
                </c:pt>
                <c:pt idx="361">
                  <c:v>-256</c:v>
                </c:pt>
                <c:pt idx="362">
                  <c:v>-239</c:v>
                </c:pt>
                <c:pt idx="363">
                  <c:v>-233</c:v>
                </c:pt>
                <c:pt idx="364">
                  <c:v>-213</c:v>
                </c:pt>
                <c:pt idx="365">
                  <c:v>-45</c:v>
                </c:pt>
                <c:pt idx="366">
                  <c:v>47</c:v>
                </c:pt>
                <c:pt idx="367">
                  <c:v>72</c:v>
                </c:pt>
                <c:pt idx="368">
                  <c:v>94</c:v>
                </c:pt>
                <c:pt idx="369">
                  <c:v>98</c:v>
                </c:pt>
                <c:pt idx="370">
                  <c:v>147</c:v>
                </c:pt>
                <c:pt idx="371">
                  <c:v>150</c:v>
                </c:pt>
                <c:pt idx="372">
                  <c:v>170</c:v>
                </c:pt>
                <c:pt idx="373">
                  <c:v>178</c:v>
                </c:pt>
                <c:pt idx="374">
                  <c:v>178</c:v>
                </c:pt>
                <c:pt idx="375">
                  <c:v>183</c:v>
                </c:pt>
                <c:pt idx="376">
                  <c:v>216</c:v>
                </c:pt>
                <c:pt idx="377">
                  <c:v>241</c:v>
                </c:pt>
                <c:pt idx="378">
                  <c:v>241</c:v>
                </c:pt>
                <c:pt idx="379">
                  <c:v>235</c:v>
                </c:pt>
                <c:pt idx="380">
                  <c:v>230</c:v>
                </c:pt>
                <c:pt idx="381">
                  <c:v>176</c:v>
                </c:pt>
                <c:pt idx="382">
                  <c:v>-83</c:v>
                </c:pt>
                <c:pt idx="383">
                  <c:v>-170</c:v>
                </c:pt>
                <c:pt idx="384">
                  <c:v>-192</c:v>
                </c:pt>
                <c:pt idx="385">
                  <c:v>-215</c:v>
                </c:pt>
                <c:pt idx="386">
                  <c:v>-242</c:v>
                </c:pt>
                <c:pt idx="387">
                  <c:v>-244</c:v>
                </c:pt>
                <c:pt idx="388">
                  <c:v>-242</c:v>
                </c:pt>
                <c:pt idx="389">
                  <c:v>-220</c:v>
                </c:pt>
                <c:pt idx="390">
                  <c:v>-205</c:v>
                </c:pt>
                <c:pt idx="391">
                  <c:v>-198</c:v>
                </c:pt>
                <c:pt idx="392">
                  <c:v>-198</c:v>
                </c:pt>
                <c:pt idx="393">
                  <c:v>-205</c:v>
                </c:pt>
                <c:pt idx="394">
                  <c:v>-207</c:v>
                </c:pt>
                <c:pt idx="395">
                  <c:v>-224</c:v>
                </c:pt>
                <c:pt idx="396">
                  <c:v>-253</c:v>
                </c:pt>
                <c:pt idx="397">
                  <c:v>-253</c:v>
                </c:pt>
                <c:pt idx="398">
                  <c:v>-247</c:v>
                </c:pt>
                <c:pt idx="399">
                  <c:v>-211</c:v>
                </c:pt>
                <c:pt idx="400">
                  <c:v>-63</c:v>
                </c:pt>
                <c:pt idx="401">
                  <c:v>89</c:v>
                </c:pt>
                <c:pt idx="402">
                  <c:v>124</c:v>
                </c:pt>
                <c:pt idx="403">
                  <c:v>127</c:v>
                </c:pt>
                <c:pt idx="404">
                  <c:v>129</c:v>
                </c:pt>
                <c:pt idx="405">
                  <c:v>136</c:v>
                </c:pt>
                <c:pt idx="406">
                  <c:v>149</c:v>
                </c:pt>
                <c:pt idx="407">
                  <c:v>155</c:v>
                </c:pt>
                <c:pt idx="408">
                  <c:v>161</c:v>
                </c:pt>
                <c:pt idx="409">
                  <c:v>161</c:v>
                </c:pt>
                <c:pt idx="410">
                  <c:v>165</c:v>
                </c:pt>
                <c:pt idx="411">
                  <c:v>165</c:v>
                </c:pt>
                <c:pt idx="412">
                  <c:v>163</c:v>
                </c:pt>
                <c:pt idx="413">
                  <c:v>142</c:v>
                </c:pt>
                <c:pt idx="414">
                  <c:v>-42</c:v>
                </c:pt>
                <c:pt idx="415">
                  <c:v>-197</c:v>
                </c:pt>
                <c:pt idx="416">
                  <c:v>-222</c:v>
                </c:pt>
                <c:pt idx="417">
                  <c:v>-222</c:v>
                </c:pt>
                <c:pt idx="418">
                  <c:v>-182</c:v>
                </c:pt>
                <c:pt idx="419">
                  <c:v>-162</c:v>
                </c:pt>
                <c:pt idx="420">
                  <c:v>-159</c:v>
                </c:pt>
                <c:pt idx="421">
                  <c:v>-159</c:v>
                </c:pt>
                <c:pt idx="422">
                  <c:v>-175</c:v>
                </c:pt>
                <c:pt idx="423">
                  <c:v>-175</c:v>
                </c:pt>
                <c:pt idx="424">
                  <c:v>-155</c:v>
                </c:pt>
                <c:pt idx="425">
                  <c:v>-82</c:v>
                </c:pt>
                <c:pt idx="426">
                  <c:v>-42</c:v>
                </c:pt>
                <c:pt idx="427">
                  <c:v>-42</c:v>
                </c:pt>
                <c:pt idx="428">
                  <c:v>-42</c:v>
                </c:pt>
                <c:pt idx="429">
                  <c:v>-24</c:v>
                </c:pt>
                <c:pt idx="430">
                  <c:v>-6</c:v>
                </c:pt>
                <c:pt idx="431">
                  <c:v>-6</c:v>
                </c:pt>
                <c:pt idx="432">
                  <c:v>-21</c:v>
                </c:pt>
                <c:pt idx="433">
                  <c:v>-65</c:v>
                </c:pt>
                <c:pt idx="434">
                  <c:v>-65</c:v>
                </c:pt>
                <c:pt idx="435">
                  <c:v>45</c:v>
                </c:pt>
                <c:pt idx="436">
                  <c:v>145</c:v>
                </c:pt>
                <c:pt idx="437">
                  <c:v>176</c:v>
                </c:pt>
                <c:pt idx="438">
                  <c:v>195</c:v>
                </c:pt>
                <c:pt idx="439">
                  <c:v>201</c:v>
                </c:pt>
                <c:pt idx="440">
                  <c:v>202</c:v>
                </c:pt>
                <c:pt idx="441">
                  <c:v>202</c:v>
                </c:pt>
                <c:pt idx="442">
                  <c:v>201</c:v>
                </c:pt>
                <c:pt idx="443">
                  <c:v>177</c:v>
                </c:pt>
                <c:pt idx="444">
                  <c:v>-63</c:v>
                </c:pt>
                <c:pt idx="445">
                  <c:v>-73</c:v>
                </c:pt>
                <c:pt idx="446">
                  <c:v>-214</c:v>
                </c:pt>
                <c:pt idx="447">
                  <c:v>-229</c:v>
                </c:pt>
                <c:pt idx="448">
                  <c:v>-229</c:v>
                </c:pt>
                <c:pt idx="449">
                  <c:v>-236</c:v>
                </c:pt>
                <c:pt idx="450">
                  <c:v>-240</c:v>
                </c:pt>
                <c:pt idx="451">
                  <c:v>-236</c:v>
                </c:pt>
                <c:pt idx="452">
                  <c:v>-235</c:v>
                </c:pt>
                <c:pt idx="453">
                  <c:v>-215</c:v>
                </c:pt>
                <c:pt idx="454">
                  <c:v>-215</c:v>
                </c:pt>
                <c:pt idx="455">
                  <c:v>-219</c:v>
                </c:pt>
                <c:pt idx="456">
                  <c:v>-232</c:v>
                </c:pt>
                <c:pt idx="457">
                  <c:v>-219</c:v>
                </c:pt>
                <c:pt idx="458">
                  <c:v>-210</c:v>
                </c:pt>
                <c:pt idx="459">
                  <c:v>-197</c:v>
                </c:pt>
                <c:pt idx="460">
                  <c:v>-38</c:v>
                </c:pt>
                <c:pt idx="461">
                  <c:v>104</c:v>
                </c:pt>
                <c:pt idx="462">
                  <c:v>126</c:v>
                </c:pt>
                <c:pt idx="463">
                  <c:v>126</c:v>
                </c:pt>
                <c:pt idx="464">
                  <c:v>117</c:v>
                </c:pt>
                <c:pt idx="465">
                  <c:v>117</c:v>
                </c:pt>
                <c:pt idx="466">
                  <c:v>137</c:v>
                </c:pt>
                <c:pt idx="467">
                  <c:v>148</c:v>
                </c:pt>
                <c:pt idx="468">
                  <c:v>148</c:v>
                </c:pt>
                <c:pt idx="469">
                  <c:v>149</c:v>
                </c:pt>
                <c:pt idx="470">
                  <c:v>155</c:v>
                </c:pt>
                <c:pt idx="471">
                  <c:v>157</c:v>
                </c:pt>
                <c:pt idx="472">
                  <c:v>163</c:v>
                </c:pt>
                <c:pt idx="473">
                  <c:v>163</c:v>
                </c:pt>
                <c:pt idx="474">
                  <c:v>-26</c:v>
                </c:pt>
                <c:pt idx="475">
                  <c:v>-113</c:v>
                </c:pt>
                <c:pt idx="476">
                  <c:v>-180</c:v>
                </c:pt>
                <c:pt idx="477">
                  <c:v>-217</c:v>
                </c:pt>
                <c:pt idx="478">
                  <c:v>-246</c:v>
                </c:pt>
                <c:pt idx="479">
                  <c:v>-260</c:v>
                </c:pt>
                <c:pt idx="480">
                  <c:v>-269</c:v>
                </c:pt>
                <c:pt idx="481">
                  <c:v>-269</c:v>
                </c:pt>
                <c:pt idx="482">
                  <c:v>-269</c:v>
                </c:pt>
                <c:pt idx="483">
                  <c:v>-217</c:v>
                </c:pt>
                <c:pt idx="484">
                  <c:v>-213</c:v>
                </c:pt>
                <c:pt idx="485">
                  <c:v>-153</c:v>
                </c:pt>
                <c:pt idx="486">
                  <c:v>-97</c:v>
                </c:pt>
                <c:pt idx="487">
                  <c:v>-95</c:v>
                </c:pt>
                <c:pt idx="488">
                  <c:v>-61</c:v>
                </c:pt>
                <c:pt idx="489">
                  <c:v>6</c:v>
                </c:pt>
                <c:pt idx="490">
                  <c:v>100</c:v>
                </c:pt>
                <c:pt idx="491">
                  <c:v>135</c:v>
                </c:pt>
                <c:pt idx="492">
                  <c:v>146</c:v>
                </c:pt>
                <c:pt idx="493">
                  <c:v>160</c:v>
                </c:pt>
                <c:pt idx="494">
                  <c:v>186</c:v>
                </c:pt>
                <c:pt idx="495">
                  <c:v>193</c:v>
                </c:pt>
                <c:pt idx="496">
                  <c:v>213</c:v>
                </c:pt>
                <c:pt idx="497">
                  <c:v>223</c:v>
                </c:pt>
                <c:pt idx="498">
                  <c:v>231</c:v>
                </c:pt>
                <c:pt idx="499">
                  <c:v>231</c:v>
                </c:pt>
                <c:pt idx="500">
                  <c:v>166</c:v>
                </c:pt>
                <c:pt idx="501">
                  <c:v>-96</c:v>
                </c:pt>
                <c:pt idx="502">
                  <c:v>-214</c:v>
                </c:pt>
                <c:pt idx="503">
                  <c:v>-272</c:v>
                </c:pt>
                <c:pt idx="504">
                  <c:v>-272</c:v>
                </c:pt>
                <c:pt idx="505">
                  <c:v>-220</c:v>
                </c:pt>
                <c:pt idx="506">
                  <c:v>-215</c:v>
                </c:pt>
                <c:pt idx="507">
                  <c:v>-215</c:v>
                </c:pt>
                <c:pt idx="508">
                  <c:v>-256</c:v>
                </c:pt>
                <c:pt idx="509">
                  <c:v>-256</c:v>
                </c:pt>
                <c:pt idx="510">
                  <c:v>-230</c:v>
                </c:pt>
                <c:pt idx="511">
                  <c:v>-177</c:v>
                </c:pt>
                <c:pt idx="512">
                  <c:v>-139</c:v>
                </c:pt>
                <c:pt idx="513">
                  <c:v>-73</c:v>
                </c:pt>
                <c:pt idx="514">
                  <c:v>26</c:v>
                </c:pt>
                <c:pt idx="515">
                  <c:v>64</c:v>
                </c:pt>
                <c:pt idx="516">
                  <c:v>78</c:v>
                </c:pt>
                <c:pt idx="517">
                  <c:v>97</c:v>
                </c:pt>
                <c:pt idx="518">
                  <c:v>134</c:v>
                </c:pt>
                <c:pt idx="519">
                  <c:v>172</c:v>
                </c:pt>
                <c:pt idx="520">
                  <c:v>202</c:v>
                </c:pt>
                <c:pt idx="521">
                  <c:v>220</c:v>
                </c:pt>
                <c:pt idx="522">
                  <c:v>225</c:v>
                </c:pt>
                <c:pt idx="523">
                  <c:v>241</c:v>
                </c:pt>
                <c:pt idx="524">
                  <c:v>244</c:v>
                </c:pt>
                <c:pt idx="525">
                  <c:v>244</c:v>
                </c:pt>
                <c:pt idx="526">
                  <c:v>179</c:v>
                </c:pt>
                <c:pt idx="527">
                  <c:v>-49</c:v>
                </c:pt>
                <c:pt idx="528">
                  <c:v>-127</c:v>
                </c:pt>
                <c:pt idx="529">
                  <c:v>-205</c:v>
                </c:pt>
                <c:pt idx="530">
                  <c:v>-211</c:v>
                </c:pt>
                <c:pt idx="531">
                  <c:v>-256</c:v>
                </c:pt>
                <c:pt idx="532">
                  <c:v>-256</c:v>
                </c:pt>
                <c:pt idx="533">
                  <c:v>-256</c:v>
                </c:pt>
                <c:pt idx="534">
                  <c:v>-246</c:v>
                </c:pt>
                <c:pt idx="535">
                  <c:v>-219</c:v>
                </c:pt>
                <c:pt idx="536">
                  <c:v>-202</c:v>
                </c:pt>
                <c:pt idx="537">
                  <c:v>-180</c:v>
                </c:pt>
                <c:pt idx="538">
                  <c:v>-120</c:v>
                </c:pt>
                <c:pt idx="539">
                  <c:v>-56</c:v>
                </c:pt>
                <c:pt idx="540">
                  <c:v>-55</c:v>
                </c:pt>
                <c:pt idx="541">
                  <c:v>-48</c:v>
                </c:pt>
                <c:pt idx="542">
                  <c:v>22</c:v>
                </c:pt>
                <c:pt idx="543">
                  <c:v>148</c:v>
                </c:pt>
                <c:pt idx="544">
                  <c:v>175</c:v>
                </c:pt>
                <c:pt idx="545">
                  <c:v>192</c:v>
                </c:pt>
                <c:pt idx="546">
                  <c:v>203</c:v>
                </c:pt>
                <c:pt idx="547">
                  <c:v>206</c:v>
                </c:pt>
                <c:pt idx="548">
                  <c:v>206</c:v>
                </c:pt>
                <c:pt idx="549">
                  <c:v>187</c:v>
                </c:pt>
                <c:pt idx="550">
                  <c:v>-37</c:v>
                </c:pt>
                <c:pt idx="551">
                  <c:v>-175</c:v>
                </c:pt>
                <c:pt idx="552">
                  <c:v>-204</c:v>
                </c:pt>
                <c:pt idx="553">
                  <c:v>-204</c:v>
                </c:pt>
                <c:pt idx="554">
                  <c:v>-236</c:v>
                </c:pt>
                <c:pt idx="555">
                  <c:v>-231</c:v>
                </c:pt>
                <c:pt idx="556">
                  <c:v>-242</c:v>
                </c:pt>
                <c:pt idx="557">
                  <c:v>-231</c:v>
                </c:pt>
                <c:pt idx="558">
                  <c:v>-216</c:v>
                </c:pt>
                <c:pt idx="559">
                  <c:v>-215</c:v>
                </c:pt>
                <c:pt idx="560">
                  <c:v>-206</c:v>
                </c:pt>
                <c:pt idx="561">
                  <c:v>-196</c:v>
                </c:pt>
                <c:pt idx="562">
                  <c:v>-166</c:v>
                </c:pt>
                <c:pt idx="563">
                  <c:v>-166</c:v>
                </c:pt>
                <c:pt idx="564">
                  <c:v>-179</c:v>
                </c:pt>
                <c:pt idx="565">
                  <c:v>-200</c:v>
                </c:pt>
                <c:pt idx="566">
                  <c:v>-200</c:v>
                </c:pt>
                <c:pt idx="567">
                  <c:v>-166</c:v>
                </c:pt>
                <c:pt idx="568">
                  <c:v>-34</c:v>
                </c:pt>
                <c:pt idx="569">
                  <c:v>122</c:v>
                </c:pt>
                <c:pt idx="570">
                  <c:v>177</c:v>
                </c:pt>
                <c:pt idx="571">
                  <c:v>183</c:v>
                </c:pt>
                <c:pt idx="572">
                  <c:v>183</c:v>
                </c:pt>
                <c:pt idx="573">
                  <c:v>170</c:v>
                </c:pt>
                <c:pt idx="574">
                  <c:v>154</c:v>
                </c:pt>
                <c:pt idx="575">
                  <c:v>154</c:v>
                </c:pt>
                <c:pt idx="576">
                  <c:v>167</c:v>
                </c:pt>
                <c:pt idx="577">
                  <c:v>167</c:v>
                </c:pt>
                <c:pt idx="578">
                  <c:v>167</c:v>
                </c:pt>
                <c:pt idx="579">
                  <c:v>204</c:v>
                </c:pt>
                <c:pt idx="580">
                  <c:v>213</c:v>
                </c:pt>
                <c:pt idx="581">
                  <c:v>226</c:v>
                </c:pt>
                <c:pt idx="582">
                  <c:v>244</c:v>
                </c:pt>
                <c:pt idx="583">
                  <c:v>244</c:v>
                </c:pt>
                <c:pt idx="584">
                  <c:v>202</c:v>
                </c:pt>
                <c:pt idx="585">
                  <c:v>31</c:v>
                </c:pt>
                <c:pt idx="586">
                  <c:v>-126</c:v>
                </c:pt>
                <c:pt idx="587">
                  <c:v>-223</c:v>
                </c:pt>
                <c:pt idx="588">
                  <c:v>-245</c:v>
                </c:pt>
                <c:pt idx="589">
                  <c:v>-253</c:v>
                </c:pt>
                <c:pt idx="590">
                  <c:v>-253</c:v>
                </c:pt>
                <c:pt idx="591">
                  <c:v>-238</c:v>
                </c:pt>
                <c:pt idx="592">
                  <c:v>-234</c:v>
                </c:pt>
                <c:pt idx="593">
                  <c:v>-208</c:v>
                </c:pt>
                <c:pt idx="594">
                  <c:v>-197</c:v>
                </c:pt>
                <c:pt idx="595">
                  <c:v>-188</c:v>
                </c:pt>
                <c:pt idx="596">
                  <c:v>-170</c:v>
                </c:pt>
                <c:pt idx="597">
                  <c:v>-146</c:v>
                </c:pt>
                <c:pt idx="598">
                  <c:v>-64</c:v>
                </c:pt>
                <c:pt idx="599">
                  <c:v>-64</c:v>
                </c:pt>
                <c:pt idx="600">
                  <c:v>-91</c:v>
                </c:pt>
                <c:pt idx="601">
                  <c:v>-91</c:v>
                </c:pt>
                <c:pt idx="602">
                  <c:v>-32</c:v>
                </c:pt>
                <c:pt idx="603">
                  <c:v>89</c:v>
                </c:pt>
                <c:pt idx="604">
                  <c:v>164</c:v>
                </c:pt>
                <c:pt idx="605">
                  <c:v>183</c:v>
                </c:pt>
                <c:pt idx="606">
                  <c:v>208</c:v>
                </c:pt>
                <c:pt idx="607">
                  <c:v>208</c:v>
                </c:pt>
                <c:pt idx="608">
                  <c:v>208</c:v>
                </c:pt>
                <c:pt idx="609">
                  <c:v>208</c:v>
                </c:pt>
                <c:pt idx="610">
                  <c:v>207</c:v>
                </c:pt>
                <c:pt idx="611">
                  <c:v>60</c:v>
                </c:pt>
                <c:pt idx="612">
                  <c:v>-89</c:v>
                </c:pt>
                <c:pt idx="613">
                  <c:v>-183</c:v>
                </c:pt>
                <c:pt idx="614">
                  <c:v>-217</c:v>
                </c:pt>
                <c:pt idx="615">
                  <c:v>-225</c:v>
                </c:pt>
                <c:pt idx="616">
                  <c:v>-225</c:v>
                </c:pt>
                <c:pt idx="617">
                  <c:v>-200</c:v>
                </c:pt>
                <c:pt idx="618">
                  <c:v>-200</c:v>
                </c:pt>
                <c:pt idx="619">
                  <c:v>-195</c:v>
                </c:pt>
                <c:pt idx="620">
                  <c:v>-193</c:v>
                </c:pt>
                <c:pt idx="621">
                  <c:v>-178</c:v>
                </c:pt>
                <c:pt idx="622">
                  <c:v>-153</c:v>
                </c:pt>
                <c:pt idx="623">
                  <c:v>-119</c:v>
                </c:pt>
                <c:pt idx="624">
                  <c:v>-119</c:v>
                </c:pt>
                <c:pt idx="625">
                  <c:v>-96</c:v>
                </c:pt>
                <c:pt idx="626">
                  <c:v>-96</c:v>
                </c:pt>
                <c:pt idx="627">
                  <c:v>73</c:v>
                </c:pt>
                <c:pt idx="628">
                  <c:v>161</c:v>
                </c:pt>
                <c:pt idx="629">
                  <c:v>181</c:v>
                </c:pt>
                <c:pt idx="630">
                  <c:v>204</c:v>
                </c:pt>
                <c:pt idx="631">
                  <c:v>211</c:v>
                </c:pt>
                <c:pt idx="632">
                  <c:v>213</c:v>
                </c:pt>
                <c:pt idx="633">
                  <c:v>215</c:v>
                </c:pt>
                <c:pt idx="634">
                  <c:v>219</c:v>
                </c:pt>
                <c:pt idx="635">
                  <c:v>219</c:v>
                </c:pt>
                <c:pt idx="636">
                  <c:v>183</c:v>
                </c:pt>
                <c:pt idx="637">
                  <c:v>-12</c:v>
                </c:pt>
                <c:pt idx="638">
                  <c:v>-188</c:v>
                </c:pt>
                <c:pt idx="639">
                  <c:v>-190</c:v>
                </c:pt>
                <c:pt idx="640">
                  <c:v>-211</c:v>
                </c:pt>
                <c:pt idx="641">
                  <c:v>-228</c:v>
                </c:pt>
                <c:pt idx="642">
                  <c:v>-228</c:v>
                </c:pt>
                <c:pt idx="643">
                  <c:v>-214</c:v>
                </c:pt>
                <c:pt idx="644">
                  <c:v>-198</c:v>
                </c:pt>
                <c:pt idx="645">
                  <c:v>-198</c:v>
                </c:pt>
                <c:pt idx="646">
                  <c:v>-194</c:v>
                </c:pt>
                <c:pt idx="647">
                  <c:v>-178</c:v>
                </c:pt>
                <c:pt idx="648">
                  <c:v>-159</c:v>
                </c:pt>
                <c:pt idx="649">
                  <c:v>-158</c:v>
                </c:pt>
                <c:pt idx="650">
                  <c:v>-119</c:v>
                </c:pt>
                <c:pt idx="651">
                  <c:v>42</c:v>
                </c:pt>
                <c:pt idx="652">
                  <c:v>148</c:v>
                </c:pt>
                <c:pt idx="653">
                  <c:v>192</c:v>
                </c:pt>
                <c:pt idx="654">
                  <c:v>208</c:v>
                </c:pt>
                <c:pt idx="655">
                  <c:v>211</c:v>
                </c:pt>
                <c:pt idx="656">
                  <c:v>211</c:v>
                </c:pt>
                <c:pt idx="657">
                  <c:v>215</c:v>
                </c:pt>
                <c:pt idx="658">
                  <c:v>211</c:v>
                </c:pt>
                <c:pt idx="659">
                  <c:v>160</c:v>
                </c:pt>
                <c:pt idx="660">
                  <c:v>21</c:v>
                </c:pt>
                <c:pt idx="661">
                  <c:v>-143</c:v>
                </c:pt>
                <c:pt idx="662">
                  <c:v>-217</c:v>
                </c:pt>
                <c:pt idx="663">
                  <c:v>-229</c:v>
                </c:pt>
                <c:pt idx="664">
                  <c:v>-229</c:v>
                </c:pt>
                <c:pt idx="665">
                  <c:v>-240</c:v>
                </c:pt>
                <c:pt idx="666">
                  <c:v>-240</c:v>
                </c:pt>
                <c:pt idx="667">
                  <c:v>-223</c:v>
                </c:pt>
                <c:pt idx="668">
                  <c:v>-210</c:v>
                </c:pt>
                <c:pt idx="669">
                  <c:v>-198</c:v>
                </c:pt>
                <c:pt idx="670">
                  <c:v>-198</c:v>
                </c:pt>
                <c:pt idx="671">
                  <c:v>-216</c:v>
                </c:pt>
                <c:pt idx="672">
                  <c:v>-224</c:v>
                </c:pt>
                <c:pt idx="673">
                  <c:v>-224</c:v>
                </c:pt>
                <c:pt idx="674">
                  <c:v>-223</c:v>
                </c:pt>
                <c:pt idx="675">
                  <c:v>-208</c:v>
                </c:pt>
                <c:pt idx="676">
                  <c:v>-137</c:v>
                </c:pt>
                <c:pt idx="677">
                  <c:v>29</c:v>
                </c:pt>
                <c:pt idx="678">
                  <c:v>113</c:v>
                </c:pt>
                <c:pt idx="679">
                  <c:v>115</c:v>
                </c:pt>
                <c:pt idx="680">
                  <c:v>113</c:v>
                </c:pt>
                <c:pt idx="681">
                  <c:v>115</c:v>
                </c:pt>
                <c:pt idx="682">
                  <c:v>147</c:v>
                </c:pt>
                <c:pt idx="683">
                  <c:v>154</c:v>
                </c:pt>
                <c:pt idx="684">
                  <c:v>160</c:v>
                </c:pt>
                <c:pt idx="685">
                  <c:v>164</c:v>
                </c:pt>
                <c:pt idx="686">
                  <c:v>166</c:v>
                </c:pt>
                <c:pt idx="687">
                  <c:v>164</c:v>
                </c:pt>
                <c:pt idx="688">
                  <c:v>166</c:v>
                </c:pt>
                <c:pt idx="689">
                  <c:v>158</c:v>
                </c:pt>
                <c:pt idx="690">
                  <c:v>-46</c:v>
                </c:pt>
                <c:pt idx="691">
                  <c:v>-222</c:v>
                </c:pt>
                <c:pt idx="692">
                  <c:v>-222</c:v>
                </c:pt>
                <c:pt idx="693">
                  <c:v>-223</c:v>
                </c:pt>
                <c:pt idx="694">
                  <c:v>-221</c:v>
                </c:pt>
                <c:pt idx="695">
                  <c:v>-202</c:v>
                </c:pt>
                <c:pt idx="696">
                  <c:v>-202</c:v>
                </c:pt>
                <c:pt idx="697">
                  <c:v>-202</c:v>
                </c:pt>
                <c:pt idx="698">
                  <c:v>-202</c:v>
                </c:pt>
                <c:pt idx="699">
                  <c:v>-201</c:v>
                </c:pt>
                <c:pt idx="700">
                  <c:v>-197</c:v>
                </c:pt>
                <c:pt idx="701">
                  <c:v>-175</c:v>
                </c:pt>
                <c:pt idx="702">
                  <c:v>-130</c:v>
                </c:pt>
                <c:pt idx="703">
                  <c:v>-114</c:v>
                </c:pt>
                <c:pt idx="704">
                  <c:v>-73</c:v>
                </c:pt>
                <c:pt idx="705">
                  <c:v>-30</c:v>
                </c:pt>
                <c:pt idx="706">
                  <c:v>84</c:v>
                </c:pt>
                <c:pt idx="707">
                  <c:v>133</c:v>
                </c:pt>
                <c:pt idx="708">
                  <c:v>133</c:v>
                </c:pt>
                <c:pt idx="709">
                  <c:v>112</c:v>
                </c:pt>
                <c:pt idx="710">
                  <c:v>112</c:v>
                </c:pt>
                <c:pt idx="711">
                  <c:v>152</c:v>
                </c:pt>
                <c:pt idx="712">
                  <c:v>201</c:v>
                </c:pt>
                <c:pt idx="713">
                  <c:v>220</c:v>
                </c:pt>
                <c:pt idx="714">
                  <c:v>221</c:v>
                </c:pt>
                <c:pt idx="715">
                  <c:v>226</c:v>
                </c:pt>
                <c:pt idx="716">
                  <c:v>231</c:v>
                </c:pt>
                <c:pt idx="717">
                  <c:v>230</c:v>
                </c:pt>
                <c:pt idx="718">
                  <c:v>230</c:v>
                </c:pt>
                <c:pt idx="719">
                  <c:v>56</c:v>
                </c:pt>
                <c:pt idx="720">
                  <c:v>-58</c:v>
                </c:pt>
                <c:pt idx="721">
                  <c:v>-123</c:v>
                </c:pt>
                <c:pt idx="722">
                  <c:v>-194</c:v>
                </c:pt>
                <c:pt idx="723">
                  <c:v>-207</c:v>
                </c:pt>
                <c:pt idx="724">
                  <c:v>-214</c:v>
                </c:pt>
                <c:pt idx="725">
                  <c:v>-252</c:v>
                </c:pt>
                <c:pt idx="726">
                  <c:v>-252</c:v>
                </c:pt>
                <c:pt idx="727">
                  <c:v>-244</c:v>
                </c:pt>
                <c:pt idx="728">
                  <c:v>-227</c:v>
                </c:pt>
                <c:pt idx="729">
                  <c:v>-224</c:v>
                </c:pt>
                <c:pt idx="730">
                  <c:v>-223</c:v>
                </c:pt>
                <c:pt idx="731">
                  <c:v>-223</c:v>
                </c:pt>
                <c:pt idx="732">
                  <c:v>-231</c:v>
                </c:pt>
                <c:pt idx="733">
                  <c:v>-231</c:v>
                </c:pt>
                <c:pt idx="734">
                  <c:v>-218</c:v>
                </c:pt>
                <c:pt idx="735">
                  <c:v>-193</c:v>
                </c:pt>
                <c:pt idx="736">
                  <c:v>26</c:v>
                </c:pt>
                <c:pt idx="737">
                  <c:v>153</c:v>
                </c:pt>
                <c:pt idx="738">
                  <c:v>190</c:v>
                </c:pt>
                <c:pt idx="739">
                  <c:v>202</c:v>
                </c:pt>
                <c:pt idx="740">
                  <c:v>212</c:v>
                </c:pt>
                <c:pt idx="741">
                  <c:v>212</c:v>
                </c:pt>
                <c:pt idx="742">
                  <c:v>207</c:v>
                </c:pt>
                <c:pt idx="743">
                  <c:v>182</c:v>
                </c:pt>
                <c:pt idx="744">
                  <c:v>182</c:v>
                </c:pt>
                <c:pt idx="745">
                  <c:v>190</c:v>
                </c:pt>
                <c:pt idx="746">
                  <c:v>206</c:v>
                </c:pt>
                <c:pt idx="747">
                  <c:v>206</c:v>
                </c:pt>
                <c:pt idx="748">
                  <c:v>35</c:v>
                </c:pt>
                <c:pt idx="749">
                  <c:v>-180</c:v>
                </c:pt>
                <c:pt idx="750">
                  <c:v>-234</c:v>
                </c:pt>
                <c:pt idx="751">
                  <c:v>-240</c:v>
                </c:pt>
                <c:pt idx="752">
                  <c:v>-240</c:v>
                </c:pt>
                <c:pt idx="753">
                  <c:v>-237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offset_qbo_all_terms_30hPa!$C$2</c:f>
              <c:strCache>
                <c:ptCount val="1"/>
                <c:pt idx="0">
                  <c:v>Model</c:v>
                </c:pt>
              </c:strCache>
            </c:strRef>
          </c:tx>
          <c:spPr>
            <a:ln w="158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offset_qbo_all_terms_30hPa!$A$3:$A$756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offset_qbo_all_terms_30hPa!$C$3:$C$756</c:f>
              <c:numCache>
                <c:formatCode>General</c:formatCode>
                <c:ptCount val="754"/>
                <c:pt idx="0">
                  <c:v>-247.54826058304101</c:v>
                </c:pt>
                <c:pt idx="1">
                  <c:v>-265.67596658444899</c:v>
                </c:pt>
                <c:pt idx="2">
                  <c:v>-263.83671532489899</c:v>
                </c:pt>
                <c:pt idx="3">
                  <c:v>-243.216022105154</c:v>
                </c:pt>
                <c:pt idx="4">
                  <c:v>-183.32141100075901</c:v>
                </c:pt>
                <c:pt idx="5">
                  <c:v>-76.662021777330907</c:v>
                </c:pt>
                <c:pt idx="6">
                  <c:v>-54.8640863248025</c:v>
                </c:pt>
                <c:pt idx="7">
                  <c:v>-55.379234754461798</c:v>
                </c:pt>
                <c:pt idx="8">
                  <c:v>25.005915769349599</c:v>
                </c:pt>
                <c:pt idx="9">
                  <c:v>86.415517693615897</c:v>
                </c:pt>
                <c:pt idx="10">
                  <c:v>105.874379237727</c:v>
                </c:pt>
                <c:pt idx="11">
                  <c:v>63.446306956502198</c:v>
                </c:pt>
                <c:pt idx="12">
                  <c:v>-42.4412757047414</c:v>
                </c:pt>
                <c:pt idx="13">
                  <c:v>-16.437604242107799</c:v>
                </c:pt>
                <c:pt idx="14">
                  <c:v>95.960363042478406</c:v>
                </c:pt>
                <c:pt idx="15">
                  <c:v>156.64142840141901</c:v>
                </c:pt>
                <c:pt idx="16">
                  <c:v>194.21643901605401</c:v>
                </c:pt>
                <c:pt idx="17">
                  <c:v>202.111082374766</c:v>
                </c:pt>
                <c:pt idx="18">
                  <c:v>183.45019991308899</c:v>
                </c:pt>
                <c:pt idx="19">
                  <c:v>156.85893783889901</c:v>
                </c:pt>
                <c:pt idx="20">
                  <c:v>104.680106894727</c:v>
                </c:pt>
                <c:pt idx="21">
                  <c:v>-7.1302175099843002</c:v>
                </c:pt>
                <c:pt idx="22">
                  <c:v>-77.165107350923506</c:v>
                </c:pt>
                <c:pt idx="23">
                  <c:v>-127.816365577205</c:v>
                </c:pt>
                <c:pt idx="24">
                  <c:v>-172.106797553283</c:v>
                </c:pt>
                <c:pt idx="25">
                  <c:v>-203.31536863088601</c:v>
                </c:pt>
                <c:pt idx="26">
                  <c:v>-234.803382249327</c:v>
                </c:pt>
                <c:pt idx="27">
                  <c:v>-248.698702166987</c:v>
                </c:pt>
                <c:pt idx="28">
                  <c:v>-243.06723880229899</c:v>
                </c:pt>
                <c:pt idx="29">
                  <c:v>-244.22220895138801</c:v>
                </c:pt>
                <c:pt idx="30">
                  <c:v>-257.58036345805601</c:v>
                </c:pt>
                <c:pt idx="31">
                  <c:v>-267.07164834026997</c:v>
                </c:pt>
                <c:pt idx="32">
                  <c:v>-266.82078645869399</c:v>
                </c:pt>
                <c:pt idx="33">
                  <c:v>-245.18394886782301</c:v>
                </c:pt>
                <c:pt idx="34">
                  <c:v>-194.82936260682399</c:v>
                </c:pt>
                <c:pt idx="35">
                  <c:v>-154.62564546316301</c:v>
                </c:pt>
                <c:pt idx="36">
                  <c:v>-140.52323694565499</c:v>
                </c:pt>
                <c:pt idx="37">
                  <c:v>-122.870887594968</c:v>
                </c:pt>
                <c:pt idx="38">
                  <c:v>-85.204354124466406</c:v>
                </c:pt>
                <c:pt idx="39">
                  <c:v>76.482914702333204</c:v>
                </c:pt>
                <c:pt idx="40">
                  <c:v>178.97158684896999</c:v>
                </c:pt>
                <c:pt idx="41">
                  <c:v>212.213495936795</c:v>
                </c:pt>
                <c:pt idx="42">
                  <c:v>230.098038188332</c:v>
                </c:pt>
                <c:pt idx="43">
                  <c:v>239.90001525300099</c:v>
                </c:pt>
                <c:pt idx="44">
                  <c:v>238.67397443730101</c:v>
                </c:pt>
                <c:pt idx="45">
                  <c:v>229.395378166841</c:v>
                </c:pt>
                <c:pt idx="46">
                  <c:v>197.89893470110201</c:v>
                </c:pt>
                <c:pt idx="47">
                  <c:v>106.542053617703</c:v>
                </c:pt>
                <c:pt idx="48">
                  <c:v>-66.431951503531906</c:v>
                </c:pt>
                <c:pt idx="49">
                  <c:v>-169.76823978179399</c:v>
                </c:pt>
                <c:pt idx="50">
                  <c:v>-226.85291697190701</c:v>
                </c:pt>
                <c:pt idx="51">
                  <c:v>-245.38333268308699</c:v>
                </c:pt>
                <c:pt idx="52">
                  <c:v>-245.673762699723</c:v>
                </c:pt>
                <c:pt idx="53">
                  <c:v>-237.847215758072</c:v>
                </c:pt>
                <c:pt idx="54">
                  <c:v>-228.07895542711</c:v>
                </c:pt>
                <c:pt idx="55">
                  <c:v>-236.777102935724</c:v>
                </c:pt>
                <c:pt idx="56">
                  <c:v>-249.51802718405699</c:v>
                </c:pt>
                <c:pt idx="57">
                  <c:v>-247.89964413893901</c:v>
                </c:pt>
                <c:pt idx="58">
                  <c:v>-243.397885383089</c:v>
                </c:pt>
                <c:pt idx="59">
                  <c:v>-240.25774048720501</c:v>
                </c:pt>
                <c:pt idx="60">
                  <c:v>-234.73013666139801</c:v>
                </c:pt>
                <c:pt idx="61">
                  <c:v>-233.05471705731301</c:v>
                </c:pt>
                <c:pt idx="62">
                  <c:v>-213.134878325296</c:v>
                </c:pt>
                <c:pt idx="63">
                  <c:v>-119.44073985112099</c:v>
                </c:pt>
                <c:pt idx="64">
                  <c:v>109.92531456686601</c:v>
                </c:pt>
                <c:pt idx="65">
                  <c:v>192.15323956378899</c:v>
                </c:pt>
                <c:pt idx="66">
                  <c:v>219.90843332851199</c:v>
                </c:pt>
                <c:pt idx="67">
                  <c:v>225.47373868542999</c:v>
                </c:pt>
                <c:pt idx="68">
                  <c:v>229.43008555026199</c:v>
                </c:pt>
                <c:pt idx="69">
                  <c:v>227.40582681067499</c:v>
                </c:pt>
                <c:pt idx="70">
                  <c:v>198.93744556197001</c:v>
                </c:pt>
                <c:pt idx="71">
                  <c:v>146.84616743689401</c:v>
                </c:pt>
                <c:pt idx="72">
                  <c:v>102.02127630605101</c:v>
                </c:pt>
                <c:pt idx="73">
                  <c:v>63.769131468244503</c:v>
                </c:pt>
                <c:pt idx="74">
                  <c:v>36.878823165780297</c:v>
                </c:pt>
                <c:pt idx="75">
                  <c:v>-53.023649531598601</c:v>
                </c:pt>
                <c:pt idx="76">
                  <c:v>-159.376947294432</c:v>
                </c:pt>
                <c:pt idx="77">
                  <c:v>-209.66232054021199</c:v>
                </c:pt>
                <c:pt idx="78">
                  <c:v>-241.12243109184001</c:v>
                </c:pt>
                <c:pt idx="79">
                  <c:v>-264.95432345703</c:v>
                </c:pt>
                <c:pt idx="80">
                  <c:v>-274.45484743055601</c:v>
                </c:pt>
                <c:pt idx="81">
                  <c:v>-277.00662178559202</c:v>
                </c:pt>
                <c:pt idx="82">
                  <c:v>-275.34714818582501</c:v>
                </c:pt>
                <c:pt idx="83">
                  <c:v>-263.68306518593602</c:v>
                </c:pt>
                <c:pt idx="84">
                  <c:v>-250.06923082027501</c:v>
                </c:pt>
                <c:pt idx="85">
                  <c:v>-241.06395096076301</c:v>
                </c:pt>
                <c:pt idx="86">
                  <c:v>-220.05205151516299</c:v>
                </c:pt>
                <c:pt idx="87">
                  <c:v>-174.07064585846999</c:v>
                </c:pt>
                <c:pt idx="88">
                  <c:v>-51.980214553068699</c:v>
                </c:pt>
                <c:pt idx="89">
                  <c:v>134.79089288594301</c:v>
                </c:pt>
                <c:pt idx="90">
                  <c:v>180.075817267536</c:v>
                </c:pt>
                <c:pt idx="91">
                  <c:v>204.01574586431801</c:v>
                </c:pt>
                <c:pt idx="92">
                  <c:v>233.943951992503</c:v>
                </c:pt>
                <c:pt idx="93">
                  <c:v>248.589020653181</c:v>
                </c:pt>
                <c:pt idx="94">
                  <c:v>246.566290276541</c:v>
                </c:pt>
                <c:pt idx="95">
                  <c:v>227.45634673537799</c:v>
                </c:pt>
                <c:pt idx="96">
                  <c:v>174.19798461594101</c:v>
                </c:pt>
                <c:pt idx="97">
                  <c:v>90.517613274135996</c:v>
                </c:pt>
                <c:pt idx="98">
                  <c:v>35.745705881629803</c:v>
                </c:pt>
                <c:pt idx="99">
                  <c:v>-42.387019737191999</c:v>
                </c:pt>
                <c:pt idx="100">
                  <c:v>-103.79019784219</c:v>
                </c:pt>
                <c:pt idx="101">
                  <c:v>-149.195954506031</c:v>
                </c:pt>
                <c:pt idx="102">
                  <c:v>-193.65499508493301</c:v>
                </c:pt>
                <c:pt idx="103">
                  <c:v>-210.03919405354699</c:v>
                </c:pt>
                <c:pt idx="104">
                  <c:v>-214.50025576759501</c:v>
                </c:pt>
                <c:pt idx="105">
                  <c:v>-233.700993967291</c:v>
                </c:pt>
                <c:pt idx="106">
                  <c:v>-253.15823657384101</c:v>
                </c:pt>
                <c:pt idx="107">
                  <c:v>-268.683923925665</c:v>
                </c:pt>
                <c:pt idx="108">
                  <c:v>-281.46316647483201</c:v>
                </c:pt>
                <c:pt idx="109">
                  <c:v>-285.57055648716897</c:v>
                </c:pt>
                <c:pt idx="110">
                  <c:v>-282.61685550262098</c:v>
                </c:pt>
                <c:pt idx="111">
                  <c:v>-269.31204514149499</c:v>
                </c:pt>
                <c:pt idx="112">
                  <c:v>-223.21635837771299</c:v>
                </c:pt>
                <c:pt idx="113">
                  <c:v>-113.64480812596599</c:v>
                </c:pt>
                <c:pt idx="114">
                  <c:v>26.262092676521199</c:v>
                </c:pt>
                <c:pt idx="115">
                  <c:v>97.862540276310199</c:v>
                </c:pt>
                <c:pt idx="116">
                  <c:v>137.915098091711</c:v>
                </c:pt>
                <c:pt idx="117">
                  <c:v>172.56264350055</c:v>
                </c:pt>
                <c:pt idx="118">
                  <c:v>201.43799690770399</c:v>
                </c:pt>
                <c:pt idx="119">
                  <c:v>202.02987829089199</c:v>
                </c:pt>
                <c:pt idx="120">
                  <c:v>183.84627835502801</c:v>
                </c:pt>
                <c:pt idx="121">
                  <c:v>183.69010701388001</c:v>
                </c:pt>
                <c:pt idx="122">
                  <c:v>199.50293140949699</c:v>
                </c:pt>
                <c:pt idx="123">
                  <c:v>219.09754230134001</c:v>
                </c:pt>
                <c:pt idx="124">
                  <c:v>229.63250577519401</c:v>
                </c:pt>
                <c:pt idx="125">
                  <c:v>208.428227175963</c:v>
                </c:pt>
                <c:pt idx="126">
                  <c:v>129.72344326401901</c:v>
                </c:pt>
                <c:pt idx="127">
                  <c:v>-45.520878216670503</c:v>
                </c:pt>
                <c:pt idx="128">
                  <c:v>-148.09259312279099</c:v>
                </c:pt>
                <c:pt idx="129">
                  <c:v>-184.867177652805</c:v>
                </c:pt>
                <c:pt idx="130">
                  <c:v>-206.486161202668</c:v>
                </c:pt>
                <c:pt idx="131">
                  <c:v>-233.944268804047</c:v>
                </c:pt>
                <c:pt idx="132">
                  <c:v>-249.62935087929301</c:v>
                </c:pt>
                <c:pt idx="133">
                  <c:v>-257.17950383503802</c:v>
                </c:pt>
                <c:pt idx="134">
                  <c:v>-267.38509179574999</c:v>
                </c:pt>
                <c:pt idx="135">
                  <c:v>-268.45862501146797</c:v>
                </c:pt>
                <c:pt idx="136">
                  <c:v>-255.27907532834399</c:v>
                </c:pt>
                <c:pt idx="137">
                  <c:v>-235.97840355771299</c:v>
                </c:pt>
                <c:pt idx="138">
                  <c:v>-213.721672024388</c:v>
                </c:pt>
                <c:pt idx="139">
                  <c:v>-202.56361793315</c:v>
                </c:pt>
                <c:pt idx="140">
                  <c:v>-205.37049763563999</c:v>
                </c:pt>
                <c:pt idx="141">
                  <c:v>-184.88618320954501</c:v>
                </c:pt>
                <c:pt idx="142">
                  <c:v>-138.670653211434</c:v>
                </c:pt>
                <c:pt idx="143">
                  <c:v>-107.57469186452499</c:v>
                </c:pt>
                <c:pt idx="144">
                  <c:v>-92.236574251396902</c:v>
                </c:pt>
                <c:pt idx="145">
                  <c:v>-106.331543862313</c:v>
                </c:pt>
                <c:pt idx="146">
                  <c:v>-107.844639009239</c:v>
                </c:pt>
                <c:pt idx="147">
                  <c:v>30.4851446487705</c:v>
                </c:pt>
                <c:pt idx="148">
                  <c:v>153.858345890062</c:v>
                </c:pt>
                <c:pt idx="149">
                  <c:v>187.43466737179099</c:v>
                </c:pt>
                <c:pt idx="150">
                  <c:v>196.762911260511</c:v>
                </c:pt>
                <c:pt idx="151">
                  <c:v>195.37325762010499</c:v>
                </c:pt>
                <c:pt idx="152">
                  <c:v>202.115005005234</c:v>
                </c:pt>
                <c:pt idx="153">
                  <c:v>218.12155868975501</c:v>
                </c:pt>
                <c:pt idx="154">
                  <c:v>212.679458045394</c:v>
                </c:pt>
                <c:pt idx="155">
                  <c:v>176.65967928745599</c:v>
                </c:pt>
                <c:pt idx="156">
                  <c:v>110.417330393109</c:v>
                </c:pt>
                <c:pt idx="157">
                  <c:v>-56.984818767834199</c:v>
                </c:pt>
                <c:pt idx="158">
                  <c:v>-161.37941060280201</c:v>
                </c:pt>
                <c:pt idx="159">
                  <c:v>-194.76260362206301</c:v>
                </c:pt>
                <c:pt idx="160">
                  <c:v>-209.36250623553499</c:v>
                </c:pt>
                <c:pt idx="161">
                  <c:v>-203.021948458613</c:v>
                </c:pt>
                <c:pt idx="162">
                  <c:v>-181.61541561005799</c:v>
                </c:pt>
                <c:pt idx="163">
                  <c:v>-189.11874202560199</c:v>
                </c:pt>
                <c:pt idx="164">
                  <c:v>-214.88608612348</c:v>
                </c:pt>
                <c:pt idx="165">
                  <c:v>-239.551038337694</c:v>
                </c:pt>
                <c:pt idx="166">
                  <c:v>-261.725931853818</c:v>
                </c:pt>
                <c:pt idx="167">
                  <c:v>-269.90291249742199</c:v>
                </c:pt>
                <c:pt idx="168">
                  <c:v>-268.63750467894999</c:v>
                </c:pt>
                <c:pt idx="169">
                  <c:v>-267.97048785151799</c:v>
                </c:pt>
                <c:pt idx="170">
                  <c:v>-258.76200414465598</c:v>
                </c:pt>
                <c:pt idx="171">
                  <c:v>-229.779541803499</c:v>
                </c:pt>
                <c:pt idx="172">
                  <c:v>-171.99788438247299</c:v>
                </c:pt>
                <c:pt idx="173">
                  <c:v>-56.898782920612902</c:v>
                </c:pt>
                <c:pt idx="174">
                  <c:v>29.019273896538799</c:v>
                </c:pt>
                <c:pt idx="175">
                  <c:v>4.7161508740457601</c:v>
                </c:pt>
                <c:pt idx="176">
                  <c:v>66.989959269785402</c:v>
                </c:pt>
                <c:pt idx="177">
                  <c:v>141.91364428543</c:v>
                </c:pt>
                <c:pt idx="178">
                  <c:v>171.28015126002401</c:v>
                </c:pt>
                <c:pt idx="179">
                  <c:v>186.69483237431299</c:v>
                </c:pt>
                <c:pt idx="180">
                  <c:v>190.58743255212201</c:v>
                </c:pt>
                <c:pt idx="181">
                  <c:v>193.26744276381601</c:v>
                </c:pt>
                <c:pt idx="182">
                  <c:v>208.965482825463</c:v>
                </c:pt>
                <c:pt idx="183">
                  <c:v>215.029940653724</c:v>
                </c:pt>
                <c:pt idx="184">
                  <c:v>206.611504694665</c:v>
                </c:pt>
                <c:pt idx="185">
                  <c:v>194.82254803244501</c:v>
                </c:pt>
                <c:pt idx="186">
                  <c:v>169.415306383569</c:v>
                </c:pt>
                <c:pt idx="187">
                  <c:v>131.90803466141099</c:v>
                </c:pt>
                <c:pt idx="188">
                  <c:v>85.069080725899099</c:v>
                </c:pt>
                <c:pt idx="189">
                  <c:v>-96.494793104124</c:v>
                </c:pt>
                <c:pt idx="190">
                  <c:v>-211.42557515551201</c:v>
                </c:pt>
                <c:pt idx="191">
                  <c:v>-253.979568138633</c:v>
                </c:pt>
                <c:pt idx="192">
                  <c:v>-275.081388018437</c:v>
                </c:pt>
                <c:pt idx="193">
                  <c:v>-284.52711692023098</c:v>
                </c:pt>
                <c:pt idx="194">
                  <c:v>-286.59964497827599</c:v>
                </c:pt>
                <c:pt idx="195">
                  <c:v>-286.101451466176</c:v>
                </c:pt>
                <c:pt idx="196">
                  <c:v>-277.47739423815102</c:v>
                </c:pt>
                <c:pt idx="197">
                  <c:v>-260.53889370977498</c:v>
                </c:pt>
                <c:pt idx="198">
                  <c:v>-250.151802256271</c:v>
                </c:pt>
                <c:pt idx="199">
                  <c:v>-238.42078043969499</c:v>
                </c:pt>
                <c:pt idx="200">
                  <c:v>-204.53306474047801</c:v>
                </c:pt>
                <c:pt idx="201">
                  <c:v>-129.697429606502</c:v>
                </c:pt>
                <c:pt idx="202">
                  <c:v>62.104819827180798</c:v>
                </c:pt>
                <c:pt idx="203">
                  <c:v>147.81708623820401</c:v>
                </c:pt>
                <c:pt idx="204">
                  <c:v>155.09990637955499</c:v>
                </c:pt>
                <c:pt idx="205">
                  <c:v>166.68881014997601</c:v>
                </c:pt>
                <c:pt idx="206">
                  <c:v>192.947014559206</c:v>
                </c:pt>
                <c:pt idx="207">
                  <c:v>214.17173537176399</c:v>
                </c:pt>
                <c:pt idx="208">
                  <c:v>230.28803810787801</c:v>
                </c:pt>
                <c:pt idx="209">
                  <c:v>229.73845597787701</c:v>
                </c:pt>
                <c:pt idx="210">
                  <c:v>211.974712801235</c:v>
                </c:pt>
                <c:pt idx="211">
                  <c:v>203.123000732245</c:v>
                </c:pt>
                <c:pt idx="212">
                  <c:v>202.31813349280301</c:v>
                </c:pt>
                <c:pt idx="213">
                  <c:v>182.402626630947</c:v>
                </c:pt>
                <c:pt idx="214">
                  <c:v>110.666353654522</c:v>
                </c:pt>
                <c:pt idx="215">
                  <c:v>-130.723547110711</c:v>
                </c:pt>
                <c:pt idx="216">
                  <c:v>-227.46131006071101</c:v>
                </c:pt>
                <c:pt idx="217">
                  <c:v>-255.726747691306</c:v>
                </c:pt>
                <c:pt idx="218">
                  <c:v>-269.63416856021399</c:v>
                </c:pt>
                <c:pt idx="219">
                  <c:v>-275.37554496266603</c:v>
                </c:pt>
                <c:pt idx="220">
                  <c:v>-269.55969414036099</c:v>
                </c:pt>
                <c:pt idx="221">
                  <c:v>-262.496215942486</c:v>
                </c:pt>
                <c:pt idx="222">
                  <c:v>-259.14109351329301</c:v>
                </c:pt>
                <c:pt idx="223">
                  <c:v>-255.24250993090101</c:v>
                </c:pt>
                <c:pt idx="224">
                  <c:v>-253.14753371442299</c:v>
                </c:pt>
                <c:pt idx="225">
                  <c:v>-241.339654769833</c:v>
                </c:pt>
                <c:pt idx="226">
                  <c:v>-209.715108019143</c:v>
                </c:pt>
                <c:pt idx="227">
                  <c:v>-177.98573060831799</c:v>
                </c:pt>
                <c:pt idx="228">
                  <c:v>-148.19114881801499</c:v>
                </c:pt>
                <c:pt idx="229">
                  <c:v>-93.008798237269502</c:v>
                </c:pt>
                <c:pt idx="230">
                  <c:v>39.387992190435099</c:v>
                </c:pt>
                <c:pt idx="231">
                  <c:v>181.631715289254</c:v>
                </c:pt>
                <c:pt idx="232">
                  <c:v>240.71315510250699</c:v>
                </c:pt>
                <c:pt idx="233">
                  <c:v>255.771313589485</c:v>
                </c:pt>
                <c:pt idx="234">
                  <c:v>253.31288231403099</c:v>
                </c:pt>
                <c:pt idx="235">
                  <c:v>242.12821367893599</c:v>
                </c:pt>
                <c:pt idx="236">
                  <c:v>225.869676782726</c:v>
                </c:pt>
                <c:pt idx="237">
                  <c:v>212.99500821517299</c:v>
                </c:pt>
                <c:pt idx="238">
                  <c:v>180.10498309461499</c:v>
                </c:pt>
                <c:pt idx="239">
                  <c:v>28.1846212761447</c:v>
                </c:pt>
                <c:pt idx="240">
                  <c:v>-166.42119826854</c:v>
                </c:pt>
                <c:pt idx="241">
                  <c:v>-225.27361632054999</c:v>
                </c:pt>
                <c:pt idx="242">
                  <c:v>-253.953605052033</c:v>
                </c:pt>
                <c:pt idx="243">
                  <c:v>-263.91264170252902</c:v>
                </c:pt>
                <c:pt idx="244">
                  <c:v>-268.97658529661101</c:v>
                </c:pt>
                <c:pt idx="245">
                  <c:v>-273.90035937539102</c:v>
                </c:pt>
                <c:pt idx="246">
                  <c:v>-273.34113030845498</c:v>
                </c:pt>
                <c:pt idx="247">
                  <c:v>-272.53257726342599</c:v>
                </c:pt>
                <c:pt idx="248">
                  <c:v>-271.01620540480297</c:v>
                </c:pt>
                <c:pt idx="249">
                  <c:v>-260.38912247402402</c:v>
                </c:pt>
                <c:pt idx="250">
                  <c:v>-244.44085963975499</c:v>
                </c:pt>
                <c:pt idx="251">
                  <c:v>-220.81474600368401</c:v>
                </c:pt>
                <c:pt idx="252">
                  <c:v>-177.921380861372</c:v>
                </c:pt>
                <c:pt idx="253">
                  <c:v>-144.50266359704401</c:v>
                </c:pt>
                <c:pt idx="254">
                  <c:v>-103.743559032031</c:v>
                </c:pt>
                <c:pt idx="255">
                  <c:v>84.675018073848904</c:v>
                </c:pt>
                <c:pt idx="256">
                  <c:v>196.32028569336501</c:v>
                </c:pt>
                <c:pt idx="257">
                  <c:v>237.63249154915599</c:v>
                </c:pt>
                <c:pt idx="258">
                  <c:v>250.43152520923601</c:v>
                </c:pt>
                <c:pt idx="259">
                  <c:v>244.44412765728501</c:v>
                </c:pt>
                <c:pt idx="260">
                  <c:v>236.43046173706901</c:v>
                </c:pt>
                <c:pt idx="261">
                  <c:v>236.429129530073</c:v>
                </c:pt>
                <c:pt idx="262">
                  <c:v>228.970942622861</c:v>
                </c:pt>
                <c:pt idx="263">
                  <c:v>209.806824691674</c:v>
                </c:pt>
                <c:pt idx="264">
                  <c:v>172.470113065199</c:v>
                </c:pt>
                <c:pt idx="265">
                  <c:v>72.3709475632579</c:v>
                </c:pt>
                <c:pt idx="266">
                  <c:v>-88.004834964196107</c:v>
                </c:pt>
                <c:pt idx="267">
                  <c:v>-165.65726632871201</c:v>
                </c:pt>
                <c:pt idx="268">
                  <c:v>-223.777076901518</c:v>
                </c:pt>
                <c:pt idx="269">
                  <c:v>-255.21535187230501</c:v>
                </c:pt>
                <c:pt idx="270">
                  <c:v>-271.74584369618901</c:v>
                </c:pt>
                <c:pt idx="271">
                  <c:v>-280.35102861038098</c:v>
                </c:pt>
                <c:pt idx="272">
                  <c:v>-279.02785250138697</c:v>
                </c:pt>
                <c:pt idx="273">
                  <c:v>-277.24091092203702</c:v>
                </c:pt>
                <c:pt idx="274">
                  <c:v>-281.59641170070699</c:v>
                </c:pt>
                <c:pt idx="275">
                  <c:v>-282.50187644920902</c:v>
                </c:pt>
                <c:pt idx="276">
                  <c:v>-280.64799798814499</c:v>
                </c:pt>
                <c:pt idx="277">
                  <c:v>-279.08159228927002</c:v>
                </c:pt>
                <c:pt idx="278">
                  <c:v>-270.66390158781002</c:v>
                </c:pt>
                <c:pt idx="279">
                  <c:v>-248.39111933660499</c:v>
                </c:pt>
                <c:pt idx="280">
                  <c:v>-175.339157480138</c:v>
                </c:pt>
                <c:pt idx="281">
                  <c:v>135.54215093026099</c:v>
                </c:pt>
                <c:pt idx="282">
                  <c:v>227.701919455742</c:v>
                </c:pt>
                <c:pt idx="283">
                  <c:v>249.15501556555799</c:v>
                </c:pt>
                <c:pt idx="284">
                  <c:v>256.49433920109499</c:v>
                </c:pt>
                <c:pt idx="285">
                  <c:v>253.76155181160499</c:v>
                </c:pt>
                <c:pt idx="286">
                  <c:v>243.800608009455</c:v>
                </c:pt>
                <c:pt idx="287">
                  <c:v>231.23383143788899</c:v>
                </c:pt>
                <c:pt idx="288">
                  <c:v>209.46612578212</c:v>
                </c:pt>
                <c:pt idx="289">
                  <c:v>192.24786525885099</c:v>
                </c:pt>
                <c:pt idx="290">
                  <c:v>201.33879988830199</c:v>
                </c:pt>
                <c:pt idx="291">
                  <c:v>209.809891933703</c:v>
                </c:pt>
                <c:pt idx="292">
                  <c:v>205.27134852485301</c:v>
                </c:pt>
                <c:pt idx="293">
                  <c:v>167.383838412508</c:v>
                </c:pt>
                <c:pt idx="294">
                  <c:v>-36.715218877921799</c:v>
                </c:pt>
                <c:pt idx="295">
                  <c:v>-183.424103530872</c:v>
                </c:pt>
                <c:pt idx="296">
                  <c:v>-217.03808360514699</c:v>
                </c:pt>
                <c:pt idx="297">
                  <c:v>-239.454214041292</c:v>
                </c:pt>
                <c:pt idx="298">
                  <c:v>-258.38764367388302</c:v>
                </c:pt>
                <c:pt idx="299">
                  <c:v>-273.12957295641201</c:v>
                </c:pt>
                <c:pt idx="300">
                  <c:v>-284.05594141302799</c:v>
                </c:pt>
                <c:pt idx="301">
                  <c:v>-286.81386243710898</c:v>
                </c:pt>
                <c:pt idx="302">
                  <c:v>-287.364808387121</c:v>
                </c:pt>
                <c:pt idx="303">
                  <c:v>-290.06990509370598</c:v>
                </c:pt>
                <c:pt idx="304">
                  <c:v>-286.606366770291</c:v>
                </c:pt>
                <c:pt idx="305">
                  <c:v>-275.64977440037597</c:v>
                </c:pt>
                <c:pt idx="306">
                  <c:v>-259.52577114032198</c:v>
                </c:pt>
                <c:pt idx="307">
                  <c:v>-227.55881353141501</c:v>
                </c:pt>
                <c:pt idx="308">
                  <c:v>-175.70521207858101</c:v>
                </c:pt>
                <c:pt idx="309">
                  <c:v>-105.887368914844</c:v>
                </c:pt>
                <c:pt idx="310">
                  <c:v>40.458164213749598</c:v>
                </c:pt>
                <c:pt idx="311">
                  <c:v>120.203454293912</c:v>
                </c:pt>
                <c:pt idx="312">
                  <c:v>149.09074704589699</c:v>
                </c:pt>
                <c:pt idx="313">
                  <c:v>184.83583949786501</c:v>
                </c:pt>
                <c:pt idx="314">
                  <c:v>216.006008157754</c:v>
                </c:pt>
                <c:pt idx="315">
                  <c:v>242.985328795595</c:v>
                </c:pt>
                <c:pt idx="316">
                  <c:v>262.51324989170803</c:v>
                </c:pt>
                <c:pt idx="317">
                  <c:v>264.96679289099097</c:v>
                </c:pt>
                <c:pt idx="318">
                  <c:v>252.11694961310599</c:v>
                </c:pt>
                <c:pt idx="319">
                  <c:v>233.58811997314899</c:v>
                </c:pt>
                <c:pt idx="320">
                  <c:v>217.60596987329399</c:v>
                </c:pt>
                <c:pt idx="321">
                  <c:v>210.41600843506799</c:v>
                </c:pt>
                <c:pt idx="322">
                  <c:v>196.55668613227201</c:v>
                </c:pt>
                <c:pt idx="323">
                  <c:v>115.329382686662</c:v>
                </c:pt>
                <c:pt idx="324">
                  <c:v>-121.384332134263</c:v>
                </c:pt>
                <c:pt idx="325">
                  <c:v>-207.13565749374101</c:v>
                </c:pt>
                <c:pt idx="326">
                  <c:v>-247.11549753267701</c:v>
                </c:pt>
                <c:pt idx="327">
                  <c:v>-265.93866129372799</c:v>
                </c:pt>
                <c:pt idx="328">
                  <c:v>-274.72810537230703</c:v>
                </c:pt>
                <c:pt idx="329">
                  <c:v>-282.58536735443403</c:v>
                </c:pt>
                <c:pt idx="330">
                  <c:v>-283.86728291375499</c:v>
                </c:pt>
                <c:pt idx="331">
                  <c:v>-278.39095008368503</c:v>
                </c:pt>
                <c:pt idx="332">
                  <c:v>-273.55288877496901</c:v>
                </c:pt>
                <c:pt idx="333">
                  <c:v>-269.03888042349399</c:v>
                </c:pt>
                <c:pt idx="334">
                  <c:v>-269.645234003817</c:v>
                </c:pt>
                <c:pt idx="335">
                  <c:v>-277.57725325431198</c:v>
                </c:pt>
                <c:pt idx="336">
                  <c:v>-281.38471745010901</c:v>
                </c:pt>
                <c:pt idx="337">
                  <c:v>-280.70476067032899</c:v>
                </c:pt>
                <c:pt idx="338">
                  <c:v>-272.59364516192198</c:v>
                </c:pt>
                <c:pt idx="339">
                  <c:v>-228.948417202077</c:v>
                </c:pt>
                <c:pt idx="340">
                  <c:v>-7.0840981947728103</c:v>
                </c:pt>
                <c:pt idx="341">
                  <c:v>203.08092885997399</c:v>
                </c:pt>
                <c:pt idx="342">
                  <c:v>242.522302468156</c:v>
                </c:pt>
                <c:pt idx="343">
                  <c:v>249.74090588195199</c:v>
                </c:pt>
                <c:pt idx="344">
                  <c:v>249.726438778051</c:v>
                </c:pt>
                <c:pt idx="345">
                  <c:v>256.24014413682301</c:v>
                </c:pt>
                <c:pt idx="346">
                  <c:v>259.23112966216797</c:v>
                </c:pt>
                <c:pt idx="347">
                  <c:v>253.79462737994999</c:v>
                </c:pt>
                <c:pt idx="348">
                  <c:v>245.26845587386899</c:v>
                </c:pt>
                <c:pt idx="349">
                  <c:v>233.033442687979</c:v>
                </c:pt>
                <c:pt idx="350">
                  <c:v>224.68976903169701</c:v>
                </c:pt>
                <c:pt idx="351">
                  <c:v>225.90643424951199</c:v>
                </c:pt>
                <c:pt idx="352">
                  <c:v>210.916965096935</c:v>
                </c:pt>
                <c:pt idx="353">
                  <c:v>146.899076867742</c:v>
                </c:pt>
                <c:pt idx="354">
                  <c:v>-84.320796784104004</c:v>
                </c:pt>
                <c:pt idx="355">
                  <c:v>-217.28986088298799</c:v>
                </c:pt>
                <c:pt idx="356">
                  <c:v>-258.05243850417099</c:v>
                </c:pt>
                <c:pt idx="357">
                  <c:v>-273.34441800932302</c:v>
                </c:pt>
                <c:pt idx="358">
                  <c:v>-285.03426955416199</c:v>
                </c:pt>
                <c:pt idx="359">
                  <c:v>-290.28303994829901</c:v>
                </c:pt>
                <c:pt idx="360">
                  <c:v>-289.67868129048298</c:v>
                </c:pt>
                <c:pt idx="361">
                  <c:v>-291.73106075829497</c:v>
                </c:pt>
                <c:pt idx="362">
                  <c:v>-294.27921278609301</c:v>
                </c:pt>
                <c:pt idx="363">
                  <c:v>-293.285556221143</c:v>
                </c:pt>
                <c:pt idx="364">
                  <c:v>-287.33823670844203</c:v>
                </c:pt>
                <c:pt idx="365">
                  <c:v>-269.35936621310401</c:v>
                </c:pt>
                <c:pt idx="366">
                  <c:v>-239.999110902718</c:v>
                </c:pt>
                <c:pt idx="367">
                  <c:v>-211.02734510198101</c:v>
                </c:pt>
                <c:pt idx="368">
                  <c:v>-153.45782858367599</c:v>
                </c:pt>
                <c:pt idx="369">
                  <c:v>13.7846295539312</c:v>
                </c:pt>
                <c:pt idx="370">
                  <c:v>143.85064841437</c:v>
                </c:pt>
                <c:pt idx="371">
                  <c:v>193.263272791226</c:v>
                </c:pt>
                <c:pt idx="372">
                  <c:v>203.97563607505299</c:v>
                </c:pt>
                <c:pt idx="373">
                  <c:v>193.38552522376401</c:v>
                </c:pt>
                <c:pt idx="374">
                  <c:v>200.34134143625801</c:v>
                </c:pt>
                <c:pt idx="375">
                  <c:v>223.35640356372099</c:v>
                </c:pt>
                <c:pt idx="376">
                  <c:v>243.10973862242</c:v>
                </c:pt>
                <c:pt idx="377">
                  <c:v>255.33282399322701</c:v>
                </c:pt>
                <c:pt idx="378">
                  <c:v>254.15468964143099</c:v>
                </c:pt>
                <c:pt idx="379">
                  <c:v>243.88377940147501</c:v>
                </c:pt>
                <c:pt idx="380">
                  <c:v>234.02219413216699</c:v>
                </c:pt>
                <c:pt idx="381">
                  <c:v>208.291682384312</c:v>
                </c:pt>
                <c:pt idx="382">
                  <c:v>122.806757870723</c:v>
                </c:pt>
                <c:pt idx="383">
                  <c:v>-102.178594670218</c:v>
                </c:pt>
                <c:pt idx="384">
                  <c:v>-202.72714280797101</c:v>
                </c:pt>
                <c:pt idx="385">
                  <c:v>-237.68116612803601</c:v>
                </c:pt>
                <c:pt idx="386">
                  <c:v>-251.79419053864899</c:v>
                </c:pt>
                <c:pt idx="387">
                  <c:v>-266.473148042329</c:v>
                </c:pt>
                <c:pt idx="388">
                  <c:v>-274.42564499945797</c:v>
                </c:pt>
                <c:pt idx="389">
                  <c:v>-271.94625997096</c:v>
                </c:pt>
                <c:pt idx="390">
                  <c:v>-267.68216802948899</c:v>
                </c:pt>
                <c:pt idx="391">
                  <c:v>-259.91956303347098</c:v>
                </c:pt>
                <c:pt idx="392">
                  <c:v>-248.46715868663799</c:v>
                </c:pt>
                <c:pt idx="393">
                  <c:v>-245.20663033843701</c:v>
                </c:pt>
                <c:pt idx="394">
                  <c:v>-242.055269650111</c:v>
                </c:pt>
                <c:pt idx="395">
                  <c:v>-236.58572737185699</c:v>
                </c:pt>
                <c:pt idx="396">
                  <c:v>-240.22789063912799</c:v>
                </c:pt>
                <c:pt idx="397">
                  <c:v>-240.40245963247699</c:v>
                </c:pt>
                <c:pt idx="398">
                  <c:v>-227.67189738824999</c:v>
                </c:pt>
                <c:pt idx="399">
                  <c:v>-189.65332436779201</c:v>
                </c:pt>
                <c:pt idx="400">
                  <c:v>-33.924104223777398</c:v>
                </c:pt>
                <c:pt idx="401">
                  <c:v>150.42153095079999</c:v>
                </c:pt>
                <c:pt idx="402">
                  <c:v>175.99161154024799</c:v>
                </c:pt>
                <c:pt idx="403">
                  <c:v>180.721811591007</c:v>
                </c:pt>
                <c:pt idx="404">
                  <c:v>184.29530273824699</c:v>
                </c:pt>
                <c:pt idx="405">
                  <c:v>178.56690771202199</c:v>
                </c:pt>
                <c:pt idx="406">
                  <c:v>167.59501735762399</c:v>
                </c:pt>
                <c:pt idx="407">
                  <c:v>136.15003757865901</c:v>
                </c:pt>
                <c:pt idx="408">
                  <c:v>111.092552882192</c:v>
                </c:pt>
                <c:pt idx="409">
                  <c:v>161.86320500834901</c:v>
                </c:pt>
                <c:pt idx="410">
                  <c:v>206.211784552457</c:v>
                </c:pt>
                <c:pt idx="411">
                  <c:v>222.34573468054299</c:v>
                </c:pt>
                <c:pt idx="412">
                  <c:v>220.39191054665</c:v>
                </c:pt>
                <c:pt idx="413">
                  <c:v>183.79070557674299</c:v>
                </c:pt>
                <c:pt idx="414">
                  <c:v>78.152156176365807</c:v>
                </c:pt>
                <c:pt idx="415">
                  <c:v>-59.841137913308302</c:v>
                </c:pt>
                <c:pt idx="416">
                  <c:v>-120.969390027006</c:v>
                </c:pt>
                <c:pt idx="417">
                  <c:v>-153.029038957393</c:v>
                </c:pt>
                <c:pt idx="418">
                  <c:v>-171.458492451469</c:v>
                </c:pt>
                <c:pt idx="419">
                  <c:v>-204.31997095741701</c:v>
                </c:pt>
                <c:pt idx="420">
                  <c:v>-233.47665005220401</c:v>
                </c:pt>
                <c:pt idx="421">
                  <c:v>-255.54755223261199</c:v>
                </c:pt>
                <c:pt idx="422">
                  <c:v>-276.79023226607097</c:v>
                </c:pt>
                <c:pt idx="423">
                  <c:v>-285.58320482315099</c:v>
                </c:pt>
                <c:pt idx="424">
                  <c:v>-280.69435092244902</c:v>
                </c:pt>
                <c:pt idx="425">
                  <c:v>-271.71465251643798</c:v>
                </c:pt>
                <c:pt idx="426">
                  <c:v>-260.82083707605801</c:v>
                </c:pt>
                <c:pt idx="427">
                  <c:v>-246.28759454723499</c:v>
                </c:pt>
                <c:pt idx="428">
                  <c:v>-227.50561040424299</c:v>
                </c:pt>
                <c:pt idx="429">
                  <c:v>-186.34745628342699</c:v>
                </c:pt>
                <c:pt idx="430">
                  <c:v>-138.646322411949</c:v>
                </c:pt>
                <c:pt idx="431">
                  <c:v>-156.950469623712</c:v>
                </c:pt>
                <c:pt idx="432">
                  <c:v>-182.99176935958599</c:v>
                </c:pt>
                <c:pt idx="433">
                  <c:v>-177.49560672927001</c:v>
                </c:pt>
                <c:pt idx="434">
                  <c:v>-109.264576024691</c:v>
                </c:pt>
                <c:pt idx="435">
                  <c:v>139.665390179485</c:v>
                </c:pt>
                <c:pt idx="436">
                  <c:v>222.44570760987401</c:v>
                </c:pt>
                <c:pt idx="437">
                  <c:v>242.20996202628001</c:v>
                </c:pt>
                <c:pt idx="438">
                  <c:v>247.87143172261199</c:v>
                </c:pt>
                <c:pt idx="439">
                  <c:v>249.29912505370399</c:v>
                </c:pt>
                <c:pt idx="440">
                  <c:v>250.265771056446</c:v>
                </c:pt>
                <c:pt idx="441">
                  <c:v>252.30048210737601</c:v>
                </c:pt>
                <c:pt idx="442">
                  <c:v>243.00862211299199</c:v>
                </c:pt>
                <c:pt idx="443">
                  <c:v>214.64373340575099</c:v>
                </c:pt>
                <c:pt idx="444">
                  <c:v>169.63187651543799</c:v>
                </c:pt>
                <c:pt idx="445">
                  <c:v>54.261551107752503</c:v>
                </c:pt>
                <c:pt idx="446">
                  <c:v>-144.39822737292599</c:v>
                </c:pt>
                <c:pt idx="447">
                  <c:v>-203.783342152431</c:v>
                </c:pt>
                <c:pt idx="448">
                  <c:v>-230.82627127923999</c:v>
                </c:pt>
                <c:pt idx="449">
                  <c:v>-246.071858515857</c:v>
                </c:pt>
                <c:pt idx="450">
                  <c:v>-258.413262133383</c:v>
                </c:pt>
                <c:pt idx="451">
                  <c:v>-277.30164320346</c:v>
                </c:pt>
                <c:pt idx="452">
                  <c:v>-290.32609458314198</c:v>
                </c:pt>
                <c:pt idx="453">
                  <c:v>-293.55629885425901</c:v>
                </c:pt>
                <c:pt idx="454">
                  <c:v>-294.03119364501202</c:v>
                </c:pt>
                <c:pt idx="455">
                  <c:v>-292.33251637808303</c:v>
                </c:pt>
                <c:pt idx="456">
                  <c:v>-288.70184080520397</c:v>
                </c:pt>
                <c:pt idx="457">
                  <c:v>-285.31479458719002</c:v>
                </c:pt>
                <c:pt idx="458">
                  <c:v>-269.17551679001798</c:v>
                </c:pt>
                <c:pt idx="459">
                  <c:v>-211.06049497105599</c:v>
                </c:pt>
                <c:pt idx="460">
                  <c:v>1.15419094947141</c:v>
                </c:pt>
                <c:pt idx="461">
                  <c:v>181.19573539102299</c:v>
                </c:pt>
                <c:pt idx="462">
                  <c:v>215.940214938895</c:v>
                </c:pt>
                <c:pt idx="463">
                  <c:v>222.02847812650799</c:v>
                </c:pt>
                <c:pt idx="464">
                  <c:v>235.59959195524399</c:v>
                </c:pt>
                <c:pt idx="465">
                  <c:v>249.63982073898001</c:v>
                </c:pt>
                <c:pt idx="466">
                  <c:v>251.95332589083</c:v>
                </c:pt>
                <c:pt idx="467">
                  <c:v>249.19632707837701</c:v>
                </c:pt>
                <c:pt idx="468">
                  <c:v>242.41265458508801</c:v>
                </c:pt>
                <c:pt idx="469">
                  <c:v>228.514537242535</c:v>
                </c:pt>
                <c:pt idx="470">
                  <c:v>212.71218842834401</c:v>
                </c:pt>
                <c:pt idx="471">
                  <c:v>183.099380094183</c:v>
                </c:pt>
                <c:pt idx="472">
                  <c:v>119.84795273389101</c:v>
                </c:pt>
                <c:pt idx="473">
                  <c:v>33.923736501596998</c:v>
                </c:pt>
                <c:pt idx="474">
                  <c:v>-101.120182334509</c:v>
                </c:pt>
                <c:pt idx="475">
                  <c:v>-190.62013571329101</c:v>
                </c:pt>
                <c:pt idx="476">
                  <c:v>-233.88128372410199</c:v>
                </c:pt>
                <c:pt idx="477">
                  <c:v>-262.91294259209002</c:v>
                </c:pt>
                <c:pt idx="478">
                  <c:v>-280.05214151980198</c:v>
                </c:pt>
                <c:pt idx="479">
                  <c:v>-285.41312041142999</c:v>
                </c:pt>
                <c:pt idx="480">
                  <c:v>-289.82352753416001</c:v>
                </c:pt>
                <c:pt idx="481">
                  <c:v>-294.79230146464897</c:v>
                </c:pt>
                <c:pt idx="482">
                  <c:v>-295.01238447824102</c:v>
                </c:pt>
                <c:pt idx="483">
                  <c:v>-289.188925796842</c:v>
                </c:pt>
                <c:pt idx="484">
                  <c:v>-269.574399114421</c:v>
                </c:pt>
                <c:pt idx="485">
                  <c:v>-224.766742841443</c:v>
                </c:pt>
                <c:pt idx="486">
                  <c:v>-164.33944434591601</c:v>
                </c:pt>
                <c:pt idx="487">
                  <c:v>-57.557271328796702</c:v>
                </c:pt>
                <c:pt idx="488">
                  <c:v>141.175282006473</c:v>
                </c:pt>
                <c:pt idx="489">
                  <c:v>208.65022032621499</c:v>
                </c:pt>
                <c:pt idx="490">
                  <c:v>235.13756523424499</c:v>
                </c:pt>
                <c:pt idx="491">
                  <c:v>242.418767349391</c:v>
                </c:pt>
                <c:pt idx="492">
                  <c:v>234.58759456031501</c:v>
                </c:pt>
                <c:pt idx="493">
                  <c:v>227.532404793338</c:v>
                </c:pt>
                <c:pt idx="494">
                  <c:v>226.331896994738</c:v>
                </c:pt>
                <c:pt idx="495">
                  <c:v>219.05229021013</c:v>
                </c:pt>
                <c:pt idx="496">
                  <c:v>210.020991798457</c:v>
                </c:pt>
                <c:pt idx="497">
                  <c:v>192.369631799601</c:v>
                </c:pt>
                <c:pt idx="498">
                  <c:v>146.84497911072299</c:v>
                </c:pt>
                <c:pt idx="499">
                  <c:v>83.751564863467607</c:v>
                </c:pt>
                <c:pt idx="500">
                  <c:v>-57.983191952277103</c:v>
                </c:pt>
                <c:pt idx="501">
                  <c:v>-191.046696410263</c:v>
                </c:pt>
                <c:pt idx="502">
                  <c:v>-248.32614823329899</c:v>
                </c:pt>
                <c:pt idx="503">
                  <c:v>-274.69816246123798</c:v>
                </c:pt>
                <c:pt idx="504">
                  <c:v>-286.04809752167102</c:v>
                </c:pt>
                <c:pt idx="505">
                  <c:v>-286.11345343981299</c:v>
                </c:pt>
                <c:pt idx="506">
                  <c:v>-283.51061662353197</c:v>
                </c:pt>
                <c:pt idx="507">
                  <c:v>-278.026669654194</c:v>
                </c:pt>
                <c:pt idx="508">
                  <c:v>-258.81215815322798</c:v>
                </c:pt>
                <c:pt idx="509">
                  <c:v>-230.333669088557</c:v>
                </c:pt>
                <c:pt idx="510">
                  <c:v>-205.64389382812499</c:v>
                </c:pt>
                <c:pt idx="511">
                  <c:v>-172.763285135632</c:v>
                </c:pt>
                <c:pt idx="512">
                  <c:v>-124.28019132067899</c:v>
                </c:pt>
                <c:pt idx="513">
                  <c:v>-9.2075557838670292</c:v>
                </c:pt>
                <c:pt idx="514">
                  <c:v>124.23658709724999</c:v>
                </c:pt>
                <c:pt idx="515">
                  <c:v>147.65163215033499</c:v>
                </c:pt>
                <c:pt idx="516">
                  <c:v>138.34693393361701</c:v>
                </c:pt>
                <c:pt idx="517">
                  <c:v>148.370202238128</c:v>
                </c:pt>
                <c:pt idx="518">
                  <c:v>171.34656947851201</c:v>
                </c:pt>
                <c:pt idx="519">
                  <c:v>205.291990544801</c:v>
                </c:pt>
                <c:pt idx="520">
                  <c:v>228.83076638505301</c:v>
                </c:pt>
                <c:pt idx="521">
                  <c:v>226.10788575875699</c:v>
                </c:pt>
                <c:pt idx="522">
                  <c:v>207.73330373157199</c:v>
                </c:pt>
                <c:pt idx="523">
                  <c:v>188.77339440681899</c:v>
                </c:pt>
                <c:pt idx="524">
                  <c:v>159.914084985964</c:v>
                </c:pt>
                <c:pt idx="525">
                  <c:v>102.155040169538</c:v>
                </c:pt>
                <c:pt idx="526">
                  <c:v>-89.409329202138593</c:v>
                </c:pt>
                <c:pt idx="527">
                  <c:v>-213.881202045294</c:v>
                </c:pt>
                <c:pt idx="528">
                  <c:v>-251.53364925191201</c:v>
                </c:pt>
                <c:pt idx="529">
                  <c:v>-261.97738495961602</c:v>
                </c:pt>
                <c:pt idx="530">
                  <c:v>-267.68213637228502</c:v>
                </c:pt>
                <c:pt idx="531">
                  <c:v>-266.35290436781003</c:v>
                </c:pt>
                <c:pt idx="532">
                  <c:v>-261.63591564920398</c:v>
                </c:pt>
                <c:pt idx="533">
                  <c:v>-260.40426070683998</c:v>
                </c:pt>
                <c:pt idx="534">
                  <c:v>-256.65123504770099</c:v>
                </c:pt>
                <c:pt idx="535">
                  <c:v>-252.384013185789</c:v>
                </c:pt>
                <c:pt idx="536">
                  <c:v>-243.55284593977899</c:v>
                </c:pt>
                <c:pt idx="537">
                  <c:v>-207.24552051858001</c:v>
                </c:pt>
                <c:pt idx="538">
                  <c:v>-132.937343530021</c:v>
                </c:pt>
                <c:pt idx="539">
                  <c:v>-39.265771378793303</c:v>
                </c:pt>
                <c:pt idx="540">
                  <c:v>42.637155483907797</c:v>
                </c:pt>
                <c:pt idx="541">
                  <c:v>32.331170213134897</c:v>
                </c:pt>
                <c:pt idx="542">
                  <c:v>30.9277523997633</c:v>
                </c:pt>
                <c:pt idx="543">
                  <c:v>130.819818152789</c:v>
                </c:pt>
                <c:pt idx="544">
                  <c:v>190.35418542547799</c:v>
                </c:pt>
                <c:pt idx="545">
                  <c:v>208.045326962373</c:v>
                </c:pt>
                <c:pt idx="546">
                  <c:v>206.14850875128499</c:v>
                </c:pt>
                <c:pt idx="547">
                  <c:v>189.752795891441</c:v>
                </c:pt>
                <c:pt idx="548">
                  <c:v>187.15752968095899</c:v>
                </c:pt>
                <c:pt idx="549">
                  <c:v>200.19662269781401</c:v>
                </c:pt>
                <c:pt idx="550">
                  <c:v>181.94013847212099</c:v>
                </c:pt>
                <c:pt idx="551">
                  <c:v>100.826327929413</c:v>
                </c:pt>
                <c:pt idx="552">
                  <c:v>-77.9097890506699</c:v>
                </c:pt>
                <c:pt idx="553">
                  <c:v>-169.545350952136</c:v>
                </c:pt>
                <c:pt idx="554">
                  <c:v>-193.01037183832699</c:v>
                </c:pt>
                <c:pt idx="555">
                  <c:v>-187.34884941052599</c:v>
                </c:pt>
                <c:pt idx="556">
                  <c:v>-187.966080857702</c:v>
                </c:pt>
                <c:pt idx="557">
                  <c:v>-188.03249913986099</c:v>
                </c:pt>
                <c:pt idx="558">
                  <c:v>-191.794945891971</c:v>
                </c:pt>
                <c:pt idx="559">
                  <c:v>-212.784459561305</c:v>
                </c:pt>
                <c:pt idx="560">
                  <c:v>-226.299587430586</c:v>
                </c:pt>
                <c:pt idx="561">
                  <c:v>-235.00691050643201</c:v>
                </c:pt>
                <c:pt idx="562">
                  <c:v>-247.47952086374599</c:v>
                </c:pt>
                <c:pt idx="563">
                  <c:v>-252.10269789332699</c:v>
                </c:pt>
                <c:pt idx="564">
                  <c:v>-256.12931378596699</c:v>
                </c:pt>
                <c:pt idx="565">
                  <c:v>-265.97144291783002</c:v>
                </c:pt>
                <c:pt idx="566">
                  <c:v>-265.72617963337001</c:v>
                </c:pt>
                <c:pt idx="567">
                  <c:v>-245.721705945824</c:v>
                </c:pt>
                <c:pt idx="568">
                  <c:v>-184.24872991954899</c:v>
                </c:pt>
                <c:pt idx="569">
                  <c:v>34.041236751576001</c:v>
                </c:pt>
                <c:pt idx="570">
                  <c:v>145.96824481297301</c:v>
                </c:pt>
                <c:pt idx="571">
                  <c:v>151.48940726031501</c:v>
                </c:pt>
                <c:pt idx="572">
                  <c:v>164.201934752906</c:v>
                </c:pt>
                <c:pt idx="573">
                  <c:v>180.80566314324699</c:v>
                </c:pt>
                <c:pt idx="574">
                  <c:v>185.94364068757099</c:v>
                </c:pt>
                <c:pt idx="575">
                  <c:v>185.80447420794499</c:v>
                </c:pt>
                <c:pt idx="576">
                  <c:v>169.23897500443601</c:v>
                </c:pt>
                <c:pt idx="577">
                  <c:v>155.86237057215101</c:v>
                </c:pt>
                <c:pt idx="578">
                  <c:v>177.05580091488699</c:v>
                </c:pt>
                <c:pt idx="579">
                  <c:v>193.573737042565</c:v>
                </c:pt>
                <c:pt idx="580">
                  <c:v>196.019804113433</c:v>
                </c:pt>
                <c:pt idx="581">
                  <c:v>184.70048914888201</c:v>
                </c:pt>
                <c:pt idx="582">
                  <c:v>130.880373030437</c:v>
                </c:pt>
                <c:pt idx="583">
                  <c:v>20.244482185796599</c:v>
                </c:pt>
                <c:pt idx="584">
                  <c:v>-76.520542604372494</c:v>
                </c:pt>
                <c:pt idx="585">
                  <c:v>-155.76072829644801</c:v>
                </c:pt>
                <c:pt idx="586">
                  <c:v>-203.55965921360601</c:v>
                </c:pt>
                <c:pt idx="587">
                  <c:v>-224.48403898724499</c:v>
                </c:pt>
                <c:pt idx="588">
                  <c:v>-241.688610563244</c:v>
                </c:pt>
                <c:pt idx="589">
                  <c:v>-255.23816816311401</c:v>
                </c:pt>
                <c:pt idx="590">
                  <c:v>-268.49048242153799</c:v>
                </c:pt>
                <c:pt idx="591">
                  <c:v>-280.57130763694698</c:v>
                </c:pt>
                <c:pt idx="592">
                  <c:v>-280.10453278594503</c:v>
                </c:pt>
                <c:pt idx="593">
                  <c:v>-269.37744903991</c:v>
                </c:pt>
                <c:pt idx="594">
                  <c:v>-260.97183831204001</c:v>
                </c:pt>
                <c:pt idx="595">
                  <c:v>-252.15247803772999</c:v>
                </c:pt>
                <c:pt idx="596">
                  <c:v>-238.87960755146301</c:v>
                </c:pt>
                <c:pt idx="597">
                  <c:v>-219.01642951179599</c:v>
                </c:pt>
                <c:pt idx="598">
                  <c:v>-169.16085496391099</c:v>
                </c:pt>
                <c:pt idx="599">
                  <c:v>-84.749799408769903</c:v>
                </c:pt>
                <c:pt idx="600">
                  <c:v>3.3354232565356701</c:v>
                </c:pt>
                <c:pt idx="601">
                  <c:v>106.478692539498</c:v>
                </c:pt>
                <c:pt idx="602">
                  <c:v>171.965217075488</c:v>
                </c:pt>
                <c:pt idx="603">
                  <c:v>212.31397701181999</c:v>
                </c:pt>
                <c:pt idx="604">
                  <c:v>240.159562526244</c:v>
                </c:pt>
                <c:pt idx="605">
                  <c:v>248.75574792044199</c:v>
                </c:pt>
                <c:pt idx="606">
                  <c:v>246.117246151709</c:v>
                </c:pt>
                <c:pt idx="607">
                  <c:v>247.84510663386101</c:v>
                </c:pt>
                <c:pt idx="608">
                  <c:v>249.75431673662101</c:v>
                </c:pt>
                <c:pt idx="609">
                  <c:v>242.869414992598</c:v>
                </c:pt>
                <c:pt idx="610">
                  <c:v>217.343781826971</c:v>
                </c:pt>
                <c:pt idx="611">
                  <c:v>116.272259646115</c:v>
                </c:pt>
                <c:pt idx="612">
                  <c:v>-146.811010066172</c:v>
                </c:pt>
                <c:pt idx="613">
                  <c:v>-220.821060964597</c:v>
                </c:pt>
                <c:pt idx="614">
                  <c:v>-256.28295321300197</c:v>
                </c:pt>
                <c:pt idx="615">
                  <c:v>-273.53090350345798</c:v>
                </c:pt>
                <c:pt idx="616">
                  <c:v>-276.24810699981998</c:v>
                </c:pt>
                <c:pt idx="617">
                  <c:v>-274.17743303544103</c:v>
                </c:pt>
                <c:pt idx="618">
                  <c:v>-267.75925209100001</c:v>
                </c:pt>
                <c:pt idx="619">
                  <c:v>-259.96336361535799</c:v>
                </c:pt>
                <c:pt idx="620">
                  <c:v>-262.539805973336</c:v>
                </c:pt>
                <c:pt idx="621">
                  <c:v>-267.48479509317798</c:v>
                </c:pt>
                <c:pt idx="622">
                  <c:v>-269.91603469943499</c:v>
                </c:pt>
                <c:pt idx="623">
                  <c:v>-272.616045289407</c:v>
                </c:pt>
                <c:pt idx="624">
                  <c:v>-266.37351266671499</c:v>
                </c:pt>
                <c:pt idx="625">
                  <c:v>-245.70169575668299</c:v>
                </c:pt>
                <c:pt idx="626">
                  <c:v>-199.720205379563</c:v>
                </c:pt>
                <c:pt idx="627">
                  <c:v>6.7104199345405799</c:v>
                </c:pt>
                <c:pt idx="628">
                  <c:v>195.14950999129701</c:v>
                </c:pt>
                <c:pt idx="629">
                  <c:v>227.57723319390399</c:v>
                </c:pt>
                <c:pt idx="630">
                  <c:v>231.38521608790799</c:v>
                </c:pt>
                <c:pt idx="631">
                  <c:v>227.39436012094299</c:v>
                </c:pt>
                <c:pt idx="632">
                  <c:v>229.20258740833299</c:v>
                </c:pt>
                <c:pt idx="633">
                  <c:v>242.297294911449</c:v>
                </c:pt>
                <c:pt idx="634">
                  <c:v>244.99114292452001</c:v>
                </c:pt>
                <c:pt idx="635">
                  <c:v>228.41204632975399</c:v>
                </c:pt>
                <c:pt idx="636">
                  <c:v>201.081225805521</c:v>
                </c:pt>
                <c:pt idx="637">
                  <c:v>160.631276985434</c:v>
                </c:pt>
                <c:pt idx="638">
                  <c:v>95.568629296970101</c:v>
                </c:pt>
                <c:pt idx="639">
                  <c:v>5.38028188341874</c:v>
                </c:pt>
                <c:pt idx="640">
                  <c:v>-130.731530986021</c:v>
                </c:pt>
                <c:pt idx="641">
                  <c:v>-210.25776457328899</c:v>
                </c:pt>
                <c:pt idx="642">
                  <c:v>-243.77790895325899</c:v>
                </c:pt>
                <c:pt idx="643">
                  <c:v>-262.58260732945701</c:v>
                </c:pt>
                <c:pt idx="644">
                  <c:v>-271.59591001578798</c:v>
                </c:pt>
                <c:pt idx="645">
                  <c:v>-273.14477080368403</c:v>
                </c:pt>
                <c:pt idx="646">
                  <c:v>-276.96094797898598</c:v>
                </c:pt>
                <c:pt idx="647">
                  <c:v>-278.38535069558901</c:v>
                </c:pt>
                <c:pt idx="648">
                  <c:v>-272.92884970504298</c:v>
                </c:pt>
                <c:pt idx="649">
                  <c:v>-267.762825514003</c:v>
                </c:pt>
                <c:pt idx="650">
                  <c:v>-255.31353773432801</c:v>
                </c:pt>
                <c:pt idx="651">
                  <c:v>-214.29874222138599</c:v>
                </c:pt>
                <c:pt idx="652">
                  <c:v>-109.828368841871</c:v>
                </c:pt>
                <c:pt idx="653">
                  <c:v>105.609866187034</c:v>
                </c:pt>
                <c:pt idx="654">
                  <c:v>167.65517222145601</c:v>
                </c:pt>
                <c:pt idx="655">
                  <c:v>172.80912600057201</c:v>
                </c:pt>
                <c:pt idx="656">
                  <c:v>194.820361862396</c:v>
                </c:pt>
                <c:pt idx="657">
                  <c:v>226.85614722065199</c:v>
                </c:pt>
                <c:pt idx="658">
                  <c:v>238.835135641775</c:v>
                </c:pt>
                <c:pt idx="659">
                  <c:v>233.85025267432201</c:v>
                </c:pt>
                <c:pt idx="660">
                  <c:v>203.405848660071</c:v>
                </c:pt>
                <c:pt idx="661">
                  <c:v>111.021231466719</c:v>
                </c:pt>
                <c:pt idx="662">
                  <c:v>-33.233700796028799</c:v>
                </c:pt>
                <c:pt idx="663">
                  <c:v>-78.084244682566293</c:v>
                </c:pt>
                <c:pt idx="664">
                  <c:v>-100.62208732661099</c:v>
                </c:pt>
                <c:pt idx="665">
                  <c:v>-110.864660799145</c:v>
                </c:pt>
                <c:pt idx="666">
                  <c:v>-140.21943479572201</c:v>
                </c:pt>
                <c:pt idx="667">
                  <c:v>-171.32115574088201</c:v>
                </c:pt>
                <c:pt idx="668">
                  <c:v>-177.25299404156499</c:v>
                </c:pt>
                <c:pt idx="669">
                  <c:v>-200.054027796605</c:v>
                </c:pt>
                <c:pt idx="670">
                  <c:v>-238.50367896817801</c:v>
                </c:pt>
                <c:pt idx="671">
                  <c:v>-260.97380253250202</c:v>
                </c:pt>
                <c:pt idx="672">
                  <c:v>-273.47251045531402</c:v>
                </c:pt>
                <c:pt idx="673">
                  <c:v>-278.12880535021401</c:v>
                </c:pt>
                <c:pt idx="674">
                  <c:v>-271.21045898855101</c:v>
                </c:pt>
                <c:pt idx="675">
                  <c:v>-252.64594174897701</c:v>
                </c:pt>
                <c:pt idx="676">
                  <c:v>-202.069953576599</c:v>
                </c:pt>
                <c:pt idx="677">
                  <c:v>-30.432443708516399</c:v>
                </c:pt>
                <c:pt idx="678">
                  <c:v>123.081342049919</c:v>
                </c:pt>
                <c:pt idx="679">
                  <c:v>137.46860025448501</c:v>
                </c:pt>
                <c:pt idx="680">
                  <c:v>137.950838958155</c:v>
                </c:pt>
                <c:pt idx="681">
                  <c:v>137.64274341414799</c:v>
                </c:pt>
                <c:pt idx="682">
                  <c:v>160.954028746452</c:v>
                </c:pt>
                <c:pt idx="683">
                  <c:v>188.98982973461099</c:v>
                </c:pt>
                <c:pt idx="684">
                  <c:v>189.35925019475101</c:v>
                </c:pt>
                <c:pt idx="685">
                  <c:v>178.99965574737701</c:v>
                </c:pt>
                <c:pt idx="686">
                  <c:v>176.90395848264899</c:v>
                </c:pt>
                <c:pt idx="687">
                  <c:v>175.66547867670101</c:v>
                </c:pt>
                <c:pt idx="688">
                  <c:v>177.872506402293</c:v>
                </c:pt>
                <c:pt idx="689">
                  <c:v>151.30214294557601</c:v>
                </c:pt>
                <c:pt idx="690">
                  <c:v>-20.883828158651301</c:v>
                </c:pt>
                <c:pt idx="691">
                  <c:v>-165.81088685226001</c:v>
                </c:pt>
                <c:pt idx="692">
                  <c:v>-206.22770033796499</c:v>
                </c:pt>
                <c:pt idx="693">
                  <c:v>-230.25057026553301</c:v>
                </c:pt>
                <c:pt idx="694">
                  <c:v>-244.96469826089501</c:v>
                </c:pt>
                <c:pt idx="695">
                  <c:v>-256.84967908516001</c:v>
                </c:pt>
                <c:pt idx="696">
                  <c:v>-264.93607368328702</c:v>
                </c:pt>
                <c:pt idx="697">
                  <c:v>-261.661517654806</c:v>
                </c:pt>
                <c:pt idx="698">
                  <c:v>-257.31479267336402</c:v>
                </c:pt>
                <c:pt idx="699">
                  <c:v>-257.59398082502599</c:v>
                </c:pt>
                <c:pt idx="700">
                  <c:v>-247.61462901272299</c:v>
                </c:pt>
                <c:pt idx="701">
                  <c:v>-225.60984973505501</c:v>
                </c:pt>
                <c:pt idx="702">
                  <c:v>-189.11185523228201</c:v>
                </c:pt>
                <c:pt idx="703">
                  <c:v>-105.41501714110299</c:v>
                </c:pt>
                <c:pt idx="704">
                  <c:v>20.156766578487201</c:v>
                </c:pt>
                <c:pt idx="705">
                  <c:v>83.804509216553498</c:v>
                </c:pt>
                <c:pt idx="706">
                  <c:v>130.03228553854399</c:v>
                </c:pt>
                <c:pt idx="707">
                  <c:v>143.09334702635701</c:v>
                </c:pt>
                <c:pt idx="708">
                  <c:v>133.45948010435799</c:v>
                </c:pt>
                <c:pt idx="709">
                  <c:v>120.549573553842</c:v>
                </c:pt>
                <c:pt idx="710">
                  <c:v>92.140606860415403</c:v>
                </c:pt>
                <c:pt idx="711">
                  <c:v>114.323855934962</c:v>
                </c:pt>
                <c:pt idx="712">
                  <c:v>178.49291286540799</c:v>
                </c:pt>
                <c:pt idx="713">
                  <c:v>203.56229470862201</c:v>
                </c:pt>
                <c:pt idx="714">
                  <c:v>202.656958932527</c:v>
                </c:pt>
                <c:pt idx="715">
                  <c:v>193.19194460523599</c:v>
                </c:pt>
                <c:pt idx="716">
                  <c:v>173.267150810256</c:v>
                </c:pt>
                <c:pt idx="717">
                  <c:v>149.27601208286001</c:v>
                </c:pt>
                <c:pt idx="718">
                  <c:v>83.709678673468403</c:v>
                </c:pt>
                <c:pt idx="719">
                  <c:v>-130.11660878226201</c:v>
                </c:pt>
                <c:pt idx="720">
                  <c:v>-211.275417009264</c:v>
                </c:pt>
                <c:pt idx="721">
                  <c:v>-234.633516158166</c:v>
                </c:pt>
                <c:pt idx="722">
                  <c:v>-245.04184679755701</c:v>
                </c:pt>
                <c:pt idx="723">
                  <c:v>-246.702586345387</c:v>
                </c:pt>
                <c:pt idx="724">
                  <c:v>-249.92849286779</c:v>
                </c:pt>
                <c:pt idx="725">
                  <c:v>-260.44842803881699</c:v>
                </c:pt>
                <c:pt idx="726">
                  <c:v>-261.69141313347399</c:v>
                </c:pt>
                <c:pt idx="727">
                  <c:v>-251.909068091492</c:v>
                </c:pt>
                <c:pt idx="728">
                  <c:v>-238.760635617991</c:v>
                </c:pt>
                <c:pt idx="729">
                  <c:v>-222.72372618227601</c:v>
                </c:pt>
                <c:pt idx="730">
                  <c:v>-220.26464069696701</c:v>
                </c:pt>
                <c:pt idx="731">
                  <c:v>-229.57810566710199</c:v>
                </c:pt>
                <c:pt idx="732">
                  <c:v>-224.74910804146299</c:v>
                </c:pt>
                <c:pt idx="733">
                  <c:v>-212.780890549536</c:v>
                </c:pt>
                <c:pt idx="734">
                  <c:v>-192.34730225890399</c:v>
                </c:pt>
                <c:pt idx="735">
                  <c:v>-99.273474694922399</c:v>
                </c:pt>
                <c:pt idx="736">
                  <c:v>127.45047980536999</c:v>
                </c:pt>
                <c:pt idx="737">
                  <c:v>201.61111306260199</c:v>
                </c:pt>
                <c:pt idx="738">
                  <c:v>225.04076494084401</c:v>
                </c:pt>
                <c:pt idx="739">
                  <c:v>220.871849573357</c:v>
                </c:pt>
                <c:pt idx="740">
                  <c:v>208.270756782614</c:v>
                </c:pt>
                <c:pt idx="741">
                  <c:v>207.404602216038</c:v>
                </c:pt>
                <c:pt idx="742">
                  <c:v>198.133472820138</c:v>
                </c:pt>
                <c:pt idx="743">
                  <c:v>172.55339811780101</c:v>
                </c:pt>
                <c:pt idx="744">
                  <c:v>147.170494171911</c:v>
                </c:pt>
                <c:pt idx="745">
                  <c:v>126.795530646316</c:v>
                </c:pt>
                <c:pt idx="746">
                  <c:v>147.26962390409599</c:v>
                </c:pt>
                <c:pt idx="747">
                  <c:v>181.77527094981301</c:v>
                </c:pt>
                <c:pt idx="748">
                  <c:v>170.04834663616501</c:v>
                </c:pt>
                <c:pt idx="749">
                  <c:v>66.606710570998501</c:v>
                </c:pt>
                <c:pt idx="750">
                  <c:v>-151.974037417142</c:v>
                </c:pt>
                <c:pt idx="751">
                  <c:v>-225.674400638728</c:v>
                </c:pt>
                <c:pt idx="752">
                  <c:v>-240.049380978296</c:v>
                </c:pt>
                <c:pt idx="753">
                  <c:v>-236.77712633107899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92280"/>
        <c:axId val="865492672"/>
      </c:scatterChart>
      <c:valAx>
        <c:axId val="865492280"/>
        <c:scaling>
          <c:orientation val="minMax"/>
          <c:max val="2015"/>
          <c:min val="1950"/>
        </c:scaling>
        <c:delete val="0"/>
        <c:axPos val="b"/>
        <c:minorGridlines>
          <c:spPr>
            <a:ln>
              <a:solidFill>
                <a:schemeClr val="bg1">
                  <a:lumMod val="75000"/>
                  <a:alpha val="45000"/>
                </a:scheme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>
            <c:manualLayout>
              <c:xMode val="edge"/>
              <c:yMode val="edge"/>
              <c:x val="0.47946688838582796"/>
              <c:y val="0.9261699650373259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865492672"/>
        <c:crosses val="autoZero"/>
        <c:crossBetween val="midCat"/>
        <c:minorUnit val="1"/>
      </c:valAx>
      <c:valAx>
        <c:axId val="8654926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654922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3560317386004309"/>
          <c:y val="0.75899930667518634"/>
          <c:w val="0.16266444572028396"/>
          <c:h val="0.1512818274790479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15883066236678E-2"/>
          <c:y val="5.1400554097404488E-2"/>
          <c:w val="0.94828316080752428"/>
          <c:h val="0.76209622560833401"/>
        </c:manualLayout>
      </c:layout>
      <c:scatterChart>
        <c:scatterStyle val="lineMarker"/>
        <c:varyColors val="0"/>
        <c:ser>
          <c:idx val="4"/>
          <c:order val="0"/>
          <c:tx>
            <c:strRef>
              <c:f>offset_qbo_all_terms_30hPa!$F$2</c:f>
              <c:strCache>
                <c:ptCount val="1"/>
                <c:pt idx="0">
                  <c:v>QBO30'' [3 month avg]</c:v>
                </c:pt>
              </c:strCache>
            </c:strRef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offset_qbo_all_terms_30hPa!$A$3:$A$756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offset_qbo_all_terms_30hPa!$F$3:$F$756</c:f>
              <c:numCache>
                <c:formatCode>General</c:formatCode>
                <c:ptCount val="754"/>
                <c:pt idx="2">
                  <c:v>-5</c:v>
                </c:pt>
                <c:pt idx="3">
                  <c:v>-1.6666666666666667</c:v>
                </c:pt>
                <c:pt idx="4">
                  <c:v>6.666666666666667</c:v>
                </c:pt>
                <c:pt idx="5">
                  <c:v>1.6666666666666667</c:v>
                </c:pt>
                <c:pt idx="6">
                  <c:v>1.3333333333333333</c:v>
                </c:pt>
                <c:pt idx="7">
                  <c:v>-1.3333333333333333</c:v>
                </c:pt>
                <c:pt idx="8">
                  <c:v>-0.83333333333333337</c:v>
                </c:pt>
                <c:pt idx="9">
                  <c:v>-3.8333333333333335</c:v>
                </c:pt>
                <c:pt idx="10">
                  <c:v>-5.333333333333333</c:v>
                </c:pt>
                <c:pt idx="11">
                  <c:v>-10.833333333333334</c:v>
                </c:pt>
                <c:pt idx="12">
                  <c:v>4.166666666666667</c:v>
                </c:pt>
                <c:pt idx="13">
                  <c:v>8.3333333333333339</c:v>
                </c:pt>
                <c:pt idx="14">
                  <c:v>13.333333333333334</c:v>
                </c:pt>
                <c:pt idx="15">
                  <c:v>2.5</c:v>
                </c:pt>
                <c:pt idx="16">
                  <c:v>-1.6666666666666667</c:v>
                </c:pt>
                <c:pt idx="17">
                  <c:v>1.6666666666666667</c:v>
                </c:pt>
                <c:pt idx="18">
                  <c:v>10.833333333333334</c:v>
                </c:pt>
                <c:pt idx="19">
                  <c:v>15.833333333333334</c:v>
                </c:pt>
                <c:pt idx="20">
                  <c:v>26.666666666666668</c:v>
                </c:pt>
                <c:pt idx="21">
                  <c:v>-7.5</c:v>
                </c:pt>
                <c:pt idx="22">
                  <c:v>-9.1666666666666661</c:v>
                </c:pt>
                <c:pt idx="23">
                  <c:v>-26.666666666666668</c:v>
                </c:pt>
                <c:pt idx="24">
                  <c:v>-2</c:v>
                </c:pt>
                <c:pt idx="25">
                  <c:v>1.1666666666666667</c:v>
                </c:pt>
                <c:pt idx="26">
                  <c:v>6.666666666666667</c:v>
                </c:pt>
                <c:pt idx="27">
                  <c:v>0.33333333333333331</c:v>
                </c:pt>
                <c:pt idx="28">
                  <c:v>-6.166666666666667</c:v>
                </c:pt>
                <c:pt idx="29">
                  <c:v>-6.666666666666667</c:v>
                </c:pt>
                <c:pt idx="30">
                  <c:v>-2.5</c:v>
                </c:pt>
                <c:pt idx="31">
                  <c:v>-2.8333333333333335</c:v>
                </c:pt>
                <c:pt idx="32">
                  <c:v>-16.166666666666668</c:v>
                </c:pt>
                <c:pt idx="33">
                  <c:v>0.5</c:v>
                </c:pt>
                <c:pt idx="34">
                  <c:v>-10.666666666666666</c:v>
                </c:pt>
                <c:pt idx="35">
                  <c:v>9.5</c:v>
                </c:pt>
                <c:pt idx="36">
                  <c:v>-7.166666666666667</c:v>
                </c:pt>
                <c:pt idx="37">
                  <c:v>-4.833333333333333</c:v>
                </c:pt>
                <c:pt idx="38">
                  <c:v>6.333333333333333</c:v>
                </c:pt>
                <c:pt idx="39">
                  <c:v>4.166666666666667</c:v>
                </c:pt>
                <c:pt idx="40">
                  <c:v>17.833333333333332</c:v>
                </c:pt>
                <c:pt idx="41">
                  <c:v>-2</c:v>
                </c:pt>
                <c:pt idx="42">
                  <c:v>2.5</c:v>
                </c:pt>
                <c:pt idx="43">
                  <c:v>0.5</c:v>
                </c:pt>
                <c:pt idx="44">
                  <c:v>7.333333333333333</c:v>
                </c:pt>
                <c:pt idx="45">
                  <c:v>28.666666666666668</c:v>
                </c:pt>
                <c:pt idx="46">
                  <c:v>10.5</c:v>
                </c:pt>
                <c:pt idx="47">
                  <c:v>-3.6666666666666665</c:v>
                </c:pt>
                <c:pt idx="48">
                  <c:v>-9.5</c:v>
                </c:pt>
                <c:pt idx="49">
                  <c:v>-5.833333333333333</c:v>
                </c:pt>
                <c:pt idx="50">
                  <c:v>1.5</c:v>
                </c:pt>
                <c:pt idx="51">
                  <c:v>-16.833333333333332</c:v>
                </c:pt>
                <c:pt idx="52">
                  <c:v>-3.6666666666666665</c:v>
                </c:pt>
                <c:pt idx="53">
                  <c:v>-0.66666666666666663</c:v>
                </c:pt>
                <c:pt idx="54">
                  <c:v>-0.66666666666666663</c:v>
                </c:pt>
                <c:pt idx="55">
                  <c:v>-3.6666666666666665</c:v>
                </c:pt>
                <c:pt idx="56">
                  <c:v>-6.666666666666667</c:v>
                </c:pt>
                <c:pt idx="57">
                  <c:v>-1.1666666666666667</c:v>
                </c:pt>
                <c:pt idx="58">
                  <c:v>-5.666666666666667</c:v>
                </c:pt>
                <c:pt idx="59">
                  <c:v>2.6666666666666665</c:v>
                </c:pt>
                <c:pt idx="60">
                  <c:v>-0.83333333333333337</c:v>
                </c:pt>
                <c:pt idx="61">
                  <c:v>-8.3333333333333339</c:v>
                </c:pt>
                <c:pt idx="62">
                  <c:v>-20.5</c:v>
                </c:pt>
                <c:pt idx="63">
                  <c:v>0.83333333333333337</c:v>
                </c:pt>
                <c:pt idx="64">
                  <c:v>11.833333333333334</c:v>
                </c:pt>
                <c:pt idx="65">
                  <c:v>18.333333333333332</c:v>
                </c:pt>
                <c:pt idx="66">
                  <c:v>-2.1666666666666665</c:v>
                </c:pt>
                <c:pt idx="67">
                  <c:v>0.33333333333333331</c:v>
                </c:pt>
                <c:pt idx="68">
                  <c:v>-0.33333333333333331</c:v>
                </c:pt>
                <c:pt idx="69">
                  <c:v>3.3333333333333335</c:v>
                </c:pt>
                <c:pt idx="70">
                  <c:v>15</c:v>
                </c:pt>
                <c:pt idx="71">
                  <c:v>5.833333333333333</c:v>
                </c:pt>
                <c:pt idx="72">
                  <c:v>0.5</c:v>
                </c:pt>
                <c:pt idx="73">
                  <c:v>-4.166666666666667</c:v>
                </c:pt>
                <c:pt idx="74">
                  <c:v>24.666666666666668</c:v>
                </c:pt>
                <c:pt idx="75">
                  <c:v>32</c:v>
                </c:pt>
                <c:pt idx="76">
                  <c:v>3.3333333333333335</c:v>
                </c:pt>
                <c:pt idx="77">
                  <c:v>-26.166666666666668</c:v>
                </c:pt>
                <c:pt idx="78">
                  <c:v>-33</c:v>
                </c:pt>
                <c:pt idx="79">
                  <c:v>-20.166666666666668</c:v>
                </c:pt>
                <c:pt idx="80">
                  <c:v>-7.333333333333333</c:v>
                </c:pt>
                <c:pt idx="81">
                  <c:v>-6.666666666666667</c:v>
                </c:pt>
                <c:pt idx="82">
                  <c:v>3.5</c:v>
                </c:pt>
                <c:pt idx="83">
                  <c:v>4.666666666666667</c:v>
                </c:pt>
                <c:pt idx="84">
                  <c:v>2.5</c:v>
                </c:pt>
                <c:pt idx="85">
                  <c:v>-6</c:v>
                </c:pt>
                <c:pt idx="86">
                  <c:v>-7</c:v>
                </c:pt>
                <c:pt idx="87">
                  <c:v>-7</c:v>
                </c:pt>
                <c:pt idx="88">
                  <c:v>12.333333333333334</c:v>
                </c:pt>
                <c:pt idx="89">
                  <c:v>9.6666666666666661</c:v>
                </c:pt>
                <c:pt idx="90">
                  <c:v>11.833333333333334</c:v>
                </c:pt>
                <c:pt idx="91">
                  <c:v>1.6666666666666667</c:v>
                </c:pt>
                <c:pt idx="92">
                  <c:v>6.833333333333333</c:v>
                </c:pt>
                <c:pt idx="93">
                  <c:v>8.6666666666666661</c:v>
                </c:pt>
                <c:pt idx="94">
                  <c:v>22.666666666666668</c:v>
                </c:pt>
                <c:pt idx="95">
                  <c:v>0.16666666666666666</c:v>
                </c:pt>
                <c:pt idx="96">
                  <c:v>-7.333333333333333</c:v>
                </c:pt>
                <c:pt idx="97">
                  <c:v>-11</c:v>
                </c:pt>
                <c:pt idx="98">
                  <c:v>-2.3333333333333335</c:v>
                </c:pt>
                <c:pt idx="99">
                  <c:v>-1.5</c:v>
                </c:pt>
                <c:pt idx="100">
                  <c:v>-13</c:v>
                </c:pt>
                <c:pt idx="101">
                  <c:v>-7</c:v>
                </c:pt>
                <c:pt idx="102">
                  <c:v>-4.666666666666667</c:v>
                </c:pt>
                <c:pt idx="103">
                  <c:v>0.33333333333333331</c:v>
                </c:pt>
                <c:pt idx="104">
                  <c:v>2.3333333333333335</c:v>
                </c:pt>
                <c:pt idx="105">
                  <c:v>-0.16666666666666666</c:v>
                </c:pt>
                <c:pt idx="106">
                  <c:v>0</c:v>
                </c:pt>
                <c:pt idx="107">
                  <c:v>-2.3333333333333335</c:v>
                </c:pt>
                <c:pt idx="108">
                  <c:v>3.8333333333333335</c:v>
                </c:pt>
                <c:pt idx="109">
                  <c:v>-12.666666666666666</c:v>
                </c:pt>
                <c:pt idx="110">
                  <c:v>-20</c:v>
                </c:pt>
                <c:pt idx="111">
                  <c:v>-10.166666666666666</c:v>
                </c:pt>
                <c:pt idx="112">
                  <c:v>8.6666666666666661</c:v>
                </c:pt>
                <c:pt idx="113">
                  <c:v>18.5</c:v>
                </c:pt>
                <c:pt idx="114">
                  <c:v>10.333333333333334</c:v>
                </c:pt>
                <c:pt idx="115">
                  <c:v>0.33333333333333331</c:v>
                </c:pt>
                <c:pt idx="116">
                  <c:v>3.8333333333333335</c:v>
                </c:pt>
                <c:pt idx="117">
                  <c:v>2.5</c:v>
                </c:pt>
                <c:pt idx="118">
                  <c:v>3.6666666666666665</c:v>
                </c:pt>
                <c:pt idx="119">
                  <c:v>-6.833333333333333</c:v>
                </c:pt>
                <c:pt idx="120">
                  <c:v>-1.6666666666666667</c:v>
                </c:pt>
                <c:pt idx="121">
                  <c:v>0.83333333333333337</c:v>
                </c:pt>
                <c:pt idx="122">
                  <c:v>8.6666666666666661</c:v>
                </c:pt>
                <c:pt idx="123">
                  <c:v>17</c:v>
                </c:pt>
                <c:pt idx="124">
                  <c:v>32.5</c:v>
                </c:pt>
                <c:pt idx="125">
                  <c:v>6.666666666666667</c:v>
                </c:pt>
                <c:pt idx="126">
                  <c:v>-12.166666666666666</c:v>
                </c:pt>
                <c:pt idx="127">
                  <c:v>-32.5</c:v>
                </c:pt>
                <c:pt idx="128">
                  <c:v>-8.5</c:v>
                </c:pt>
                <c:pt idx="129">
                  <c:v>-4.833333333333333</c:v>
                </c:pt>
                <c:pt idx="130">
                  <c:v>-6.666666666666667</c:v>
                </c:pt>
                <c:pt idx="131">
                  <c:v>0</c:v>
                </c:pt>
                <c:pt idx="132">
                  <c:v>3.1666666666666665</c:v>
                </c:pt>
                <c:pt idx="133">
                  <c:v>7.5</c:v>
                </c:pt>
                <c:pt idx="134">
                  <c:v>0</c:v>
                </c:pt>
                <c:pt idx="135">
                  <c:v>-3.6666666666666665</c:v>
                </c:pt>
                <c:pt idx="136">
                  <c:v>-5.666666666666667</c:v>
                </c:pt>
                <c:pt idx="137">
                  <c:v>-1.6666666666666667</c:v>
                </c:pt>
                <c:pt idx="138">
                  <c:v>1.3333333333333333</c:v>
                </c:pt>
                <c:pt idx="139">
                  <c:v>2</c:v>
                </c:pt>
                <c:pt idx="140">
                  <c:v>1.5</c:v>
                </c:pt>
                <c:pt idx="141">
                  <c:v>-1.5</c:v>
                </c:pt>
                <c:pt idx="142">
                  <c:v>0.66666666666666663</c:v>
                </c:pt>
                <c:pt idx="143">
                  <c:v>-3</c:v>
                </c:pt>
                <c:pt idx="144">
                  <c:v>-3.5</c:v>
                </c:pt>
                <c:pt idx="145">
                  <c:v>-18.666666666666668</c:v>
                </c:pt>
                <c:pt idx="146">
                  <c:v>-11</c:v>
                </c:pt>
                <c:pt idx="147">
                  <c:v>-0.16666666666666666</c:v>
                </c:pt>
                <c:pt idx="148">
                  <c:v>16.833333333333332</c:v>
                </c:pt>
                <c:pt idx="149">
                  <c:v>13.5</c:v>
                </c:pt>
                <c:pt idx="150">
                  <c:v>-0.33333333333333331</c:v>
                </c:pt>
                <c:pt idx="151">
                  <c:v>2.8333333333333335</c:v>
                </c:pt>
                <c:pt idx="152">
                  <c:v>-0.66666666666666663</c:v>
                </c:pt>
                <c:pt idx="153">
                  <c:v>4.666666666666667</c:v>
                </c:pt>
                <c:pt idx="154">
                  <c:v>4.833333333333333</c:v>
                </c:pt>
                <c:pt idx="155">
                  <c:v>17.166666666666668</c:v>
                </c:pt>
                <c:pt idx="156">
                  <c:v>22.833333333333332</c:v>
                </c:pt>
                <c:pt idx="157">
                  <c:v>16.666666666666668</c:v>
                </c:pt>
                <c:pt idx="158">
                  <c:v>-2.6666666666666665</c:v>
                </c:pt>
                <c:pt idx="159">
                  <c:v>-20.833333333333332</c:v>
                </c:pt>
                <c:pt idx="160">
                  <c:v>-20.333333333333332</c:v>
                </c:pt>
                <c:pt idx="161">
                  <c:v>-13.166666666666666</c:v>
                </c:pt>
                <c:pt idx="162">
                  <c:v>-0.83333333333333337</c:v>
                </c:pt>
                <c:pt idx="163">
                  <c:v>-0.83333333333333337</c:v>
                </c:pt>
                <c:pt idx="164">
                  <c:v>-2</c:v>
                </c:pt>
                <c:pt idx="165">
                  <c:v>-1.1666666666666667</c:v>
                </c:pt>
                <c:pt idx="166">
                  <c:v>0</c:v>
                </c:pt>
                <c:pt idx="167">
                  <c:v>1.5</c:v>
                </c:pt>
                <c:pt idx="168">
                  <c:v>-6.666666666666667</c:v>
                </c:pt>
                <c:pt idx="169">
                  <c:v>-0.66666666666666663</c:v>
                </c:pt>
                <c:pt idx="170">
                  <c:v>-7.5</c:v>
                </c:pt>
                <c:pt idx="171">
                  <c:v>-12.166666666666666</c:v>
                </c:pt>
                <c:pt idx="172">
                  <c:v>-14.333333333333334</c:v>
                </c:pt>
                <c:pt idx="173">
                  <c:v>5.5</c:v>
                </c:pt>
                <c:pt idx="174">
                  <c:v>19.833333333333332</c:v>
                </c:pt>
                <c:pt idx="175">
                  <c:v>13.833333333333334</c:v>
                </c:pt>
                <c:pt idx="176">
                  <c:v>-2.6666666666666665</c:v>
                </c:pt>
                <c:pt idx="177">
                  <c:v>-1</c:v>
                </c:pt>
                <c:pt idx="178">
                  <c:v>-0.66666666666666663</c:v>
                </c:pt>
                <c:pt idx="179">
                  <c:v>5.166666666666667</c:v>
                </c:pt>
                <c:pt idx="180">
                  <c:v>-7.5</c:v>
                </c:pt>
                <c:pt idx="181">
                  <c:v>1.8333333333333333</c:v>
                </c:pt>
                <c:pt idx="182">
                  <c:v>-0.83333333333333337</c:v>
                </c:pt>
                <c:pt idx="183">
                  <c:v>6.333333333333333</c:v>
                </c:pt>
                <c:pt idx="184">
                  <c:v>-7.166666666666667</c:v>
                </c:pt>
                <c:pt idx="185">
                  <c:v>-0.16666666666666666</c:v>
                </c:pt>
                <c:pt idx="186">
                  <c:v>1.3333333333333333</c:v>
                </c:pt>
                <c:pt idx="187">
                  <c:v>7.166666666666667</c:v>
                </c:pt>
                <c:pt idx="188">
                  <c:v>18.666666666666668</c:v>
                </c:pt>
                <c:pt idx="189">
                  <c:v>11.333333333333334</c:v>
                </c:pt>
                <c:pt idx="190">
                  <c:v>23.666666666666668</c:v>
                </c:pt>
                <c:pt idx="191">
                  <c:v>-8.1666666666666661</c:v>
                </c:pt>
                <c:pt idx="192">
                  <c:v>-4.333333333333333</c:v>
                </c:pt>
                <c:pt idx="193">
                  <c:v>-15.833333333333334</c:v>
                </c:pt>
                <c:pt idx="194">
                  <c:v>-9.5</c:v>
                </c:pt>
                <c:pt idx="195">
                  <c:v>-7.166666666666667</c:v>
                </c:pt>
                <c:pt idx="196">
                  <c:v>-9.6666666666666661</c:v>
                </c:pt>
                <c:pt idx="197">
                  <c:v>-0.33333333333333331</c:v>
                </c:pt>
                <c:pt idx="198">
                  <c:v>-5.666666666666667</c:v>
                </c:pt>
                <c:pt idx="199">
                  <c:v>-0.83333333333333337</c:v>
                </c:pt>
                <c:pt idx="200">
                  <c:v>-13.833333333333334</c:v>
                </c:pt>
                <c:pt idx="201">
                  <c:v>-3.8333333333333335</c:v>
                </c:pt>
                <c:pt idx="202">
                  <c:v>-4.333333333333333</c:v>
                </c:pt>
                <c:pt idx="203">
                  <c:v>5.666666666666667</c:v>
                </c:pt>
                <c:pt idx="204">
                  <c:v>6.333333333333333</c:v>
                </c:pt>
                <c:pt idx="205">
                  <c:v>-3.5</c:v>
                </c:pt>
                <c:pt idx="206">
                  <c:v>3.6666666666666665</c:v>
                </c:pt>
                <c:pt idx="207">
                  <c:v>-2.1666666666666665</c:v>
                </c:pt>
                <c:pt idx="208">
                  <c:v>9.8333333333333339</c:v>
                </c:pt>
                <c:pt idx="209">
                  <c:v>2.8333333333333335</c:v>
                </c:pt>
                <c:pt idx="210">
                  <c:v>1.8333333333333333</c:v>
                </c:pt>
                <c:pt idx="211">
                  <c:v>0.66666666666666663</c:v>
                </c:pt>
                <c:pt idx="212">
                  <c:v>4.5</c:v>
                </c:pt>
                <c:pt idx="213">
                  <c:v>24</c:v>
                </c:pt>
                <c:pt idx="214">
                  <c:v>26.166666666666668</c:v>
                </c:pt>
                <c:pt idx="215">
                  <c:v>10.333333333333334</c:v>
                </c:pt>
                <c:pt idx="216">
                  <c:v>-11</c:v>
                </c:pt>
                <c:pt idx="217">
                  <c:v>-23.5</c:v>
                </c:pt>
                <c:pt idx="218">
                  <c:v>-10.5</c:v>
                </c:pt>
                <c:pt idx="219">
                  <c:v>-9</c:v>
                </c:pt>
                <c:pt idx="220">
                  <c:v>1.5</c:v>
                </c:pt>
                <c:pt idx="221">
                  <c:v>-2.3333333333333335</c:v>
                </c:pt>
                <c:pt idx="222">
                  <c:v>-4.833333333333333</c:v>
                </c:pt>
                <c:pt idx="223">
                  <c:v>-5.666666666666667</c:v>
                </c:pt>
                <c:pt idx="224">
                  <c:v>0</c:v>
                </c:pt>
                <c:pt idx="225">
                  <c:v>2.1666666666666665</c:v>
                </c:pt>
                <c:pt idx="226">
                  <c:v>-1.3333333333333333</c:v>
                </c:pt>
                <c:pt idx="227">
                  <c:v>-2</c:v>
                </c:pt>
                <c:pt idx="228">
                  <c:v>0.66666666666666663</c:v>
                </c:pt>
                <c:pt idx="229">
                  <c:v>-2.8333333333333335</c:v>
                </c:pt>
                <c:pt idx="230">
                  <c:v>-35.833333333333336</c:v>
                </c:pt>
                <c:pt idx="231">
                  <c:v>-5.833333333333333</c:v>
                </c:pt>
                <c:pt idx="232">
                  <c:v>3.1666666666666665</c:v>
                </c:pt>
                <c:pt idx="233">
                  <c:v>37.166666666666664</c:v>
                </c:pt>
                <c:pt idx="234">
                  <c:v>4.166666666666667</c:v>
                </c:pt>
                <c:pt idx="235">
                  <c:v>1.8333333333333333</c:v>
                </c:pt>
                <c:pt idx="236">
                  <c:v>1.3333333333333333</c:v>
                </c:pt>
                <c:pt idx="237">
                  <c:v>19.333333333333332</c:v>
                </c:pt>
                <c:pt idx="238">
                  <c:v>39</c:v>
                </c:pt>
                <c:pt idx="239">
                  <c:v>7.333333333333333</c:v>
                </c:pt>
                <c:pt idx="240">
                  <c:v>-16.166666666666668</c:v>
                </c:pt>
                <c:pt idx="241">
                  <c:v>-38.333333333333336</c:v>
                </c:pt>
                <c:pt idx="242">
                  <c:v>-3.6666666666666665</c:v>
                </c:pt>
                <c:pt idx="243">
                  <c:v>0</c:v>
                </c:pt>
                <c:pt idx="244">
                  <c:v>-4.833333333333333</c:v>
                </c:pt>
                <c:pt idx="245">
                  <c:v>-5.166666666666667</c:v>
                </c:pt>
                <c:pt idx="246">
                  <c:v>-2.1666666666666665</c:v>
                </c:pt>
                <c:pt idx="247">
                  <c:v>4.833333333333333</c:v>
                </c:pt>
                <c:pt idx="248">
                  <c:v>-5.833333333333333</c:v>
                </c:pt>
                <c:pt idx="249">
                  <c:v>-3.6666666666666665</c:v>
                </c:pt>
                <c:pt idx="250">
                  <c:v>-4</c:v>
                </c:pt>
                <c:pt idx="251">
                  <c:v>4.166666666666667</c:v>
                </c:pt>
                <c:pt idx="252">
                  <c:v>5.5</c:v>
                </c:pt>
                <c:pt idx="253">
                  <c:v>-12.333333333333334</c:v>
                </c:pt>
                <c:pt idx="254">
                  <c:v>-13.5</c:v>
                </c:pt>
                <c:pt idx="255">
                  <c:v>-9.1666666666666661</c:v>
                </c:pt>
                <c:pt idx="256">
                  <c:v>15.166666666666666</c:v>
                </c:pt>
                <c:pt idx="257">
                  <c:v>14.5</c:v>
                </c:pt>
                <c:pt idx="258">
                  <c:v>9.5</c:v>
                </c:pt>
                <c:pt idx="259">
                  <c:v>2.1666666666666665</c:v>
                </c:pt>
                <c:pt idx="260">
                  <c:v>1.5</c:v>
                </c:pt>
                <c:pt idx="261">
                  <c:v>-1.3333333333333333</c:v>
                </c:pt>
                <c:pt idx="262">
                  <c:v>-1</c:v>
                </c:pt>
                <c:pt idx="263">
                  <c:v>10</c:v>
                </c:pt>
                <c:pt idx="264">
                  <c:v>27.166666666666668</c:v>
                </c:pt>
                <c:pt idx="265">
                  <c:v>22.5</c:v>
                </c:pt>
                <c:pt idx="266">
                  <c:v>-2.8333333333333335</c:v>
                </c:pt>
                <c:pt idx="267">
                  <c:v>-13</c:v>
                </c:pt>
                <c:pt idx="268">
                  <c:v>-22.5</c:v>
                </c:pt>
                <c:pt idx="269">
                  <c:v>-10</c:v>
                </c:pt>
                <c:pt idx="270">
                  <c:v>-13</c:v>
                </c:pt>
                <c:pt idx="271">
                  <c:v>-0.33333333333333331</c:v>
                </c:pt>
                <c:pt idx="272">
                  <c:v>2.8333333333333335</c:v>
                </c:pt>
                <c:pt idx="273">
                  <c:v>0.16666666666666666</c:v>
                </c:pt>
                <c:pt idx="274">
                  <c:v>-3.1666666666666665</c:v>
                </c:pt>
                <c:pt idx="275">
                  <c:v>-0.83333333333333337</c:v>
                </c:pt>
                <c:pt idx="276">
                  <c:v>-0.16666666666666666</c:v>
                </c:pt>
                <c:pt idx="277">
                  <c:v>-0.5</c:v>
                </c:pt>
                <c:pt idx="278">
                  <c:v>-10.666666666666666</c:v>
                </c:pt>
                <c:pt idx="279">
                  <c:v>-29.166666666666668</c:v>
                </c:pt>
                <c:pt idx="280">
                  <c:v>-8.3333333333333339</c:v>
                </c:pt>
                <c:pt idx="281">
                  <c:v>11.5</c:v>
                </c:pt>
                <c:pt idx="282">
                  <c:v>24.666666666666668</c:v>
                </c:pt>
                <c:pt idx="283">
                  <c:v>15.333333333333334</c:v>
                </c:pt>
                <c:pt idx="284">
                  <c:v>-4.5</c:v>
                </c:pt>
                <c:pt idx="285">
                  <c:v>4.666666666666667</c:v>
                </c:pt>
                <c:pt idx="286">
                  <c:v>-4.833333333333333</c:v>
                </c:pt>
                <c:pt idx="287">
                  <c:v>4.166666666666667</c:v>
                </c:pt>
                <c:pt idx="288">
                  <c:v>-0.83333333333333337</c:v>
                </c:pt>
                <c:pt idx="289">
                  <c:v>1</c:v>
                </c:pt>
                <c:pt idx="290">
                  <c:v>0.33333333333333331</c:v>
                </c:pt>
                <c:pt idx="291">
                  <c:v>3.1666666666666665</c:v>
                </c:pt>
                <c:pt idx="292">
                  <c:v>21.833333333333332</c:v>
                </c:pt>
                <c:pt idx="293">
                  <c:v>8.1666666666666661</c:v>
                </c:pt>
                <c:pt idx="294">
                  <c:v>20.166666666666668</c:v>
                </c:pt>
                <c:pt idx="295">
                  <c:v>-13.666666666666666</c:v>
                </c:pt>
                <c:pt idx="296">
                  <c:v>-2.8333333333333335</c:v>
                </c:pt>
                <c:pt idx="297">
                  <c:v>-14.166666666666666</c:v>
                </c:pt>
                <c:pt idx="298">
                  <c:v>-7.333333333333333</c:v>
                </c:pt>
                <c:pt idx="299">
                  <c:v>-8.8333333333333339</c:v>
                </c:pt>
                <c:pt idx="300">
                  <c:v>-11.833333333333334</c:v>
                </c:pt>
                <c:pt idx="301">
                  <c:v>-2.1666666666666665</c:v>
                </c:pt>
                <c:pt idx="302">
                  <c:v>3.3333333333333335</c:v>
                </c:pt>
                <c:pt idx="303">
                  <c:v>1.1666666666666667</c:v>
                </c:pt>
                <c:pt idx="304">
                  <c:v>-0.33333333333333331</c:v>
                </c:pt>
                <c:pt idx="305">
                  <c:v>0.16666666666666666</c:v>
                </c:pt>
                <c:pt idx="306">
                  <c:v>0.66666666666666663</c:v>
                </c:pt>
                <c:pt idx="307">
                  <c:v>-0.83333333333333337</c:v>
                </c:pt>
                <c:pt idx="308">
                  <c:v>-1.1666666666666667</c:v>
                </c:pt>
                <c:pt idx="309">
                  <c:v>-0.16666666666666666</c:v>
                </c:pt>
                <c:pt idx="310">
                  <c:v>3.3333333333333335</c:v>
                </c:pt>
                <c:pt idx="311">
                  <c:v>1.1666666666666667</c:v>
                </c:pt>
                <c:pt idx="312">
                  <c:v>-16.833333333333332</c:v>
                </c:pt>
                <c:pt idx="313">
                  <c:v>-12</c:v>
                </c:pt>
                <c:pt idx="314">
                  <c:v>-14.833333333333334</c:v>
                </c:pt>
                <c:pt idx="315">
                  <c:v>15.333333333333334</c:v>
                </c:pt>
                <c:pt idx="316">
                  <c:v>10.666666666666666</c:v>
                </c:pt>
                <c:pt idx="317">
                  <c:v>13.166666666666666</c:v>
                </c:pt>
                <c:pt idx="318">
                  <c:v>2.3333333333333335</c:v>
                </c:pt>
                <c:pt idx="319">
                  <c:v>2.3333333333333335</c:v>
                </c:pt>
                <c:pt idx="320">
                  <c:v>2.1666666666666665</c:v>
                </c:pt>
                <c:pt idx="321">
                  <c:v>20.333333333333332</c:v>
                </c:pt>
                <c:pt idx="322">
                  <c:v>29.333333333333332</c:v>
                </c:pt>
                <c:pt idx="323">
                  <c:v>0.66666666666666663</c:v>
                </c:pt>
                <c:pt idx="324">
                  <c:v>-9.3333333333333339</c:v>
                </c:pt>
                <c:pt idx="325">
                  <c:v>-26.5</c:v>
                </c:pt>
                <c:pt idx="326">
                  <c:v>0</c:v>
                </c:pt>
                <c:pt idx="327">
                  <c:v>-5.166666666666667</c:v>
                </c:pt>
                <c:pt idx="328">
                  <c:v>-3.8333333333333335</c:v>
                </c:pt>
                <c:pt idx="329">
                  <c:v>-1.5</c:v>
                </c:pt>
                <c:pt idx="330">
                  <c:v>-8.1666666666666661</c:v>
                </c:pt>
                <c:pt idx="331">
                  <c:v>-1</c:v>
                </c:pt>
                <c:pt idx="332">
                  <c:v>-2</c:v>
                </c:pt>
                <c:pt idx="333">
                  <c:v>2.6666666666666665</c:v>
                </c:pt>
                <c:pt idx="334">
                  <c:v>0</c:v>
                </c:pt>
                <c:pt idx="335">
                  <c:v>0.66666666666666663</c:v>
                </c:pt>
                <c:pt idx="336">
                  <c:v>-1.3333333333333333</c:v>
                </c:pt>
                <c:pt idx="337">
                  <c:v>-2.1666666666666665</c:v>
                </c:pt>
                <c:pt idx="338">
                  <c:v>-31</c:v>
                </c:pt>
                <c:pt idx="339">
                  <c:v>-15.5</c:v>
                </c:pt>
                <c:pt idx="340">
                  <c:v>-1.5</c:v>
                </c:pt>
                <c:pt idx="341">
                  <c:v>31.166666666666668</c:v>
                </c:pt>
                <c:pt idx="342">
                  <c:v>17</c:v>
                </c:pt>
                <c:pt idx="343">
                  <c:v>3.3333333333333335</c:v>
                </c:pt>
                <c:pt idx="344">
                  <c:v>0.5</c:v>
                </c:pt>
                <c:pt idx="345">
                  <c:v>-0.66666666666666663</c:v>
                </c:pt>
                <c:pt idx="346">
                  <c:v>1.3333333333333333</c:v>
                </c:pt>
                <c:pt idx="347">
                  <c:v>-0.33333333333333331</c:v>
                </c:pt>
                <c:pt idx="348">
                  <c:v>1.1666666666666667</c:v>
                </c:pt>
                <c:pt idx="349">
                  <c:v>0</c:v>
                </c:pt>
                <c:pt idx="350">
                  <c:v>4.5</c:v>
                </c:pt>
                <c:pt idx="351">
                  <c:v>1.3333333333333333</c:v>
                </c:pt>
                <c:pt idx="352">
                  <c:v>23</c:v>
                </c:pt>
                <c:pt idx="353">
                  <c:v>33</c:v>
                </c:pt>
                <c:pt idx="354">
                  <c:v>6.5</c:v>
                </c:pt>
                <c:pt idx="355">
                  <c:v>-23</c:v>
                </c:pt>
                <c:pt idx="356">
                  <c:v>-33.166666666666664</c:v>
                </c:pt>
                <c:pt idx="357">
                  <c:v>-4.5</c:v>
                </c:pt>
                <c:pt idx="358">
                  <c:v>0</c:v>
                </c:pt>
                <c:pt idx="359">
                  <c:v>-4</c:v>
                </c:pt>
                <c:pt idx="360">
                  <c:v>-6.166666666666667</c:v>
                </c:pt>
                <c:pt idx="361">
                  <c:v>-1</c:v>
                </c:pt>
                <c:pt idx="362">
                  <c:v>-2.3333333333333335</c:v>
                </c:pt>
                <c:pt idx="363">
                  <c:v>-25.166666666666668</c:v>
                </c:pt>
                <c:pt idx="364">
                  <c:v>-14.333333333333334</c:v>
                </c:pt>
                <c:pt idx="365">
                  <c:v>-0.83333333333333337</c:v>
                </c:pt>
                <c:pt idx="366">
                  <c:v>24.333333333333332</c:v>
                </c:pt>
                <c:pt idx="367">
                  <c:v>14.666666666666666</c:v>
                </c:pt>
                <c:pt idx="368">
                  <c:v>-4</c:v>
                </c:pt>
                <c:pt idx="369">
                  <c:v>3.1666666666666665</c:v>
                </c:pt>
                <c:pt idx="370">
                  <c:v>-2.6666666666666665</c:v>
                </c:pt>
                <c:pt idx="371">
                  <c:v>6.833333333333333</c:v>
                </c:pt>
                <c:pt idx="372">
                  <c:v>0.5</c:v>
                </c:pt>
                <c:pt idx="373">
                  <c:v>2.5</c:v>
                </c:pt>
                <c:pt idx="374">
                  <c:v>-4.166666666666667</c:v>
                </c:pt>
                <c:pt idx="375">
                  <c:v>-4.166666666666667</c:v>
                </c:pt>
                <c:pt idx="376">
                  <c:v>0.83333333333333337</c:v>
                </c:pt>
                <c:pt idx="377">
                  <c:v>6.5</c:v>
                </c:pt>
                <c:pt idx="378">
                  <c:v>5</c:v>
                </c:pt>
                <c:pt idx="379">
                  <c:v>9</c:v>
                </c:pt>
                <c:pt idx="380">
                  <c:v>42.166666666666664</c:v>
                </c:pt>
                <c:pt idx="381">
                  <c:v>13.666666666666666</c:v>
                </c:pt>
                <c:pt idx="382">
                  <c:v>-5.333333333333333</c:v>
                </c:pt>
                <c:pt idx="383">
                  <c:v>-39.333333333333336</c:v>
                </c:pt>
                <c:pt idx="384">
                  <c:v>-10</c:v>
                </c:pt>
                <c:pt idx="385">
                  <c:v>-3.3333333333333335</c:v>
                </c:pt>
                <c:pt idx="386">
                  <c:v>-4.166666666666667</c:v>
                </c:pt>
                <c:pt idx="387">
                  <c:v>-8.1666666666666661</c:v>
                </c:pt>
                <c:pt idx="388">
                  <c:v>-2.8333333333333335</c:v>
                </c:pt>
                <c:pt idx="389">
                  <c:v>-0.83333333333333337</c:v>
                </c:pt>
                <c:pt idx="390">
                  <c:v>3.6666666666666665</c:v>
                </c:pt>
                <c:pt idx="391">
                  <c:v>3.6666666666666665</c:v>
                </c:pt>
                <c:pt idx="392">
                  <c:v>1.5</c:v>
                </c:pt>
                <c:pt idx="393">
                  <c:v>2.8333333333333335</c:v>
                </c:pt>
                <c:pt idx="394">
                  <c:v>3.6666666666666665</c:v>
                </c:pt>
                <c:pt idx="395">
                  <c:v>-0.33333333333333331</c:v>
                </c:pt>
                <c:pt idx="396">
                  <c:v>-3.8333333333333335</c:v>
                </c:pt>
                <c:pt idx="397">
                  <c:v>-10.833333333333334</c:v>
                </c:pt>
                <c:pt idx="398">
                  <c:v>-24.666666666666668</c:v>
                </c:pt>
                <c:pt idx="399">
                  <c:v>-24.333333333333332</c:v>
                </c:pt>
                <c:pt idx="400">
                  <c:v>0.16666666666666666</c:v>
                </c:pt>
                <c:pt idx="401">
                  <c:v>24.166666666666668</c:v>
                </c:pt>
                <c:pt idx="402">
                  <c:v>25</c:v>
                </c:pt>
                <c:pt idx="403">
                  <c:v>4.666666666666667</c:v>
                </c:pt>
                <c:pt idx="404">
                  <c:v>-1.6666666666666667</c:v>
                </c:pt>
                <c:pt idx="405">
                  <c:v>-0.66666666666666663</c:v>
                </c:pt>
                <c:pt idx="406">
                  <c:v>0.16666666666666666</c:v>
                </c:pt>
                <c:pt idx="407">
                  <c:v>2.1666666666666665</c:v>
                </c:pt>
                <c:pt idx="408">
                  <c:v>0.33333333333333331</c:v>
                </c:pt>
                <c:pt idx="409">
                  <c:v>1</c:v>
                </c:pt>
                <c:pt idx="410">
                  <c:v>0.33333333333333331</c:v>
                </c:pt>
                <c:pt idx="411">
                  <c:v>4.166666666666667</c:v>
                </c:pt>
                <c:pt idx="412">
                  <c:v>30.666666666666668</c:v>
                </c:pt>
                <c:pt idx="413">
                  <c:v>25.5</c:v>
                </c:pt>
                <c:pt idx="414">
                  <c:v>0.66666666666666663</c:v>
                </c:pt>
                <c:pt idx="415">
                  <c:v>-30.666666666666668</c:v>
                </c:pt>
                <c:pt idx="416">
                  <c:v>-32.5</c:v>
                </c:pt>
                <c:pt idx="417">
                  <c:v>-7.5</c:v>
                </c:pt>
                <c:pt idx="418">
                  <c:v>-0.5</c:v>
                </c:pt>
                <c:pt idx="419">
                  <c:v>6.666666666666667</c:v>
                </c:pt>
                <c:pt idx="420">
                  <c:v>6</c:v>
                </c:pt>
                <c:pt idx="421">
                  <c:v>0.5</c:v>
                </c:pt>
                <c:pt idx="422">
                  <c:v>-3.3333333333333335</c:v>
                </c:pt>
                <c:pt idx="423">
                  <c:v>-14.833333333333334</c:v>
                </c:pt>
                <c:pt idx="424">
                  <c:v>-6.666666666666667</c:v>
                </c:pt>
                <c:pt idx="425">
                  <c:v>3.3333333333333335</c:v>
                </c:pt>
                <c:pt idx="426">
                  <c:v>12.166666666666666</c:v>
                </c:pt>
                <c:pt idx="427">
                  <c:v>3.6666666666666665</c:v>
                </c:pt>
                <c:pt idx="428">
                  <c:v>-3</c:v>
                </c:pt>
                <c:pt idx="429">
                  <c:v>0</c:v>
                </c:pt>
                <c:pt idx="430">
                  <c:v>5.5</c:v>
                </c:pt>
                <c:pt idx="431">
                  <c:v>10.333333333333334</c:v>
                </c:pt>
                <c:pt idx="432">
                  <c:v>0</c:v>
                </c:pt>
                <c:pt idx="433">
                  <c:v>-20.833333333333332</c:v>
                </c:pt>
                <c:pt idx="434">
                  <c:v>-24</c:v>
                </c:pt>
                <c:pt idx="435">
                  <c:v>-5.166666666666667</c:v>
                </c:pt>
                <c:pt idx="436">
                  <c:v>15.166666666666666</c:v>
                </c:pt>
                <c:pt idx="437">
                  <c:v>15.666666666666666</c:v>
                </c:pt>
                <c:pt idx="438">
                  <c:v>5</c:v>
                </c:pt>
                <c:pt idx="439">
                  <c:v>3.1666666666666665</c:v>
                </c:pt>
                <c:pt idx="440">
                  <c:v>1.1666666666666667</c:v>
                </c:pt>
                <c:pt idx="441">
                  <c:v>4.166666666666667</c:v>
                </c:pt>
                <c:pt idx="442">
                  <c:v>40</c:v>
                </c:pt>
                <c:pt idx="443">
                  <c:v>1.5</c:v>
                </c:pt>
                <c:pt idx="444">
                  <c:v>19.5</c:v>
                </c:pt>
                <c:pt idx="445">
                  <c:v>-37.5</c:v>
                </c:pt>
                <c:pt idx="446">
                  <c:v>-1.6666666666666667</c:v>
                </c:pt>
                <c:pt idx="447">
                  <c:v>-22.333333333333332</c:v>
                </c:pt>
                <c:pt idx="448">
                  <c:v>-1.8333333333333333</c:v>
                </c:pt>
                <c:pt idx="449">
                  <c:v>-0.66666666666666663</c:v>
                </c:pt>
                <c:pt idx="450">
                  <c:v>-1.3333333333333333</c:v>
                </c:pt>
                <c:pt idx="451">
                  <c:v>-4</c:v>
                </c:pt>
                <c:pt idx="452">
                  <c:v>0.66666666666666663</c:v>
                </c:pt>
                <c:pt idx="453">
                  <c:v>0.83333333333333337</c:v>
                </c:pt>
                <c:pt idx="454">
                  <c:v>5.5</c:v>
                </c:pt>
                <c:pt idx="455">
                  <c:v>-2.1666666666666665</c:v>
                </c:pt>
                <c:pt idx="456">
                  <c:v>-2.1666666666666665</c:v>
                </c:pt>
                <c:pt idx="457">
                  <c:v>-4.333333333333333</c:v>
                </c:pt>
                <c:pt idx="458">
                  <c:v>-24.333333333333332</c:v>
                </c:pt>
                <c:pt idx="459">
                  <c:v>-22.166666666666668</c:v>
                </c:pt>
                <c:pt idx="460">
                  <c:v>-1.5</c:v>
                </c:pt>
                <c:pt idx="461">
                  <c:v>26.5</c:v>
                </c:pt>
                <c:pt idx="462">
                  <c:v>25.166666666666668</c:v>
                </c:pt>
                <c:pt idx="463">
                  <c:v>3.6666666666666665</c:v>
                </c:pt>
                <c:pt idx="464">
                  <c:v>-3.3333333333333335</c:v>
                </c:pt>
                <c:pt idx="465">
                  <c:v>-3.3333333333333335</c:v>
                </c:pt>
                <c:pt idx="466">
                  <c:v>0</c:v>
                </c:pt>
                <c:pt idx="467">
                  <c:v>3.1666666666666665</c:v>
                </c:pt>
                <c:pt idx="468">
                  <c:v>0.83333333333333337</c:v>
                </c:pt>
                <c:pt idx="469">
                  <c:v>-0.33333333333333331</c:v>
                </c:pt>
                <c:pt idx="470">
                  <c:v>-0.83333333333333337</c:v>
                </c:pt>
                <c:pt idx="471">
                  <c:v>1</c:v>
                </c:pt>
                <c:pt idx="472">
                  <c:v>31.833333333333332</c:v>
                </c:pt>
                <c:pt idx="473">
                  <c:v>15.5</c:v>
                </c:pt>
                <c:pt idx="474">
                  <c:v>11.166666666666666</c:v>
                </c:pt>
                <c:pt idx="475">
                  <c:v>-25.333333333333332</c:v>
                </c:pt>
                <c:pt idx="476">
                  <c:v>-9.6666666666666661</c:v>
                </c:pt>
                <c:pt idx="477">
                  <c:v>-8.8333333333333339</c:v>
                </c:pt>
                <c:pt idx="478">
                  <c:v>-4.666666666666667</c:v>
                </c:pt>
                <c:pt idx="479">
                  <c:v>-4.833333333333333</c:v>
                </c:pt>
                <c:pt idx="480">
                  <c:v>-2.3333333333333335</c:v>
                </c:pt>
                <c:pt idx="481">
                  <c:v>-10.166666666666666</c:v>
                </c:pt>
                <c:pt idx="482">
                  <c:v>-0.66666666666666663</c:v>
                </c:pt>
                <c:pt idx="483">
                  <c:v>-10</c:v>
                </c:pt>
                <c:pt idx="484">
                  <c:v>-0.66666666666666663</c:v>
                </c:pt>
                <c:pt idx="485">
                  <c:v>0.33333333333333331</c:v>
                </c:pt>
                <c:pt idx="486">
                  <c:v>4.333333333333333</c:v>
                </c:pt>
                <c:pt idx="487">
                  <c:v>-1.8333333333333333</c:v>
                </c:pt>
                <c:pt idx="488">
                  <c:v>-15.333333333333334</c:v>
                </c:pt>
                <c:pt idx="489">
                  <c:v>-0.16666666666666666</c:v>
                </c:pt>
                <c:pt idx="490">
                  <c:v>9.3333333333333339</c:v>
                </c:pt>
                <c:pt idx="491">
                  <c:v>13.333333333333334</c:v>
                </c:pt>
                <c:pt idx="492">
                  <c:v>1.5</c:v>
                </c:pt>
                <c:pt idx="493">
                  <c:v>0.66666666666666663</c:v>
                </c:pt>
                <c:pt idx="494">
                  <c:v>-1</c:v>
                </c:pt>
                <c:pt idx="495">
                  <c:v>2.6666666666666665</c:v>
                </c:pt>
                <c:pt idx="496">
                  <c:v>-0.16666666666666666</c:v>
                </c:pt>
                <c:pt idx="497">
                  <c:v>3.3333333333333335</c:v>
                </c:pt>
                <c:pt idx="498">
                  <c:v>12.5</c:v>
                </c:pt>
                <c:pt idx="499">
                  <c:v>45</c:v>
                </c:pt>
                <c:pt idx="500">
                  <c:v>19.666666666666668</c:v>
                </c:pt>
                <c:pt idx="501">
                  <c:v>-1.1666666666666667</c:v>
                </c:pt>
                <c:pt idx="502">
                  <c:v>-43.666666666666664</c:v>
                </c:pt>
                <c:pt idx="503">
                  <c:v>-28.333333333333332</c:v>
                </c:pt>
                <c:pt idx="504">
                  <c:v>-10.5</c:v>
                </c:pt>
                <c:pt idx="505">
                  <c:v>0</c:v>
                </c:pt>
                <c:pt idx="506">
                  <c:v>15.5</c:v>
                </c:pt>
                <c:pt idx="507">
                  <c:v>0.83333333333333337</c:v>
                </c:pt>
                <c:pt idx="508">
                  <c:v>-4.333333333333333</c:v>
                </c:pt>
                <c:pt idx="509">
                  <c:v>-15.666666666666666</c:v>
                </c:pt>
                <c:pt idx="510">
                  <c:v>-6.333333333333333</c:v>
                </c:pt>
                <c:pt idx="511">
                  <c:v>-6.666666666666667</c:v>
                </c:pt>
                <c:pt idx="512">
                  <c:v>-7.666666666666667</c:v>
                </c:pt>
                <c:pt idx="513">
                  <c:v>0</c:v>
                </c:pt>
                <c:pt idx="514">
                  <c:v>8.6666666666666661</c:v>
                </c:pt>
                <c:pt idx="515">
                  <c:v>13.333333333333334</c:v>
                </c:pt>
                <c:pt idx="516">
                  <c:v>0.16666666666666666</c:v>
                </c:pt>
                <c:pt idx="517">
                  <c:v>-4</c:v>
                </c:pt>
                <c:pt idx="518">
                  <c:v>-1.8333333333333333</c:v>
                </c:pt>
                <c:pt idx="519">
                  <c:v>3.1666666666666665</c:v>
                </c:pt>
                <c:pt idx="520">
                  <c:v>5.5</c:v>
                </c:pt>
                <c:pt idx="521">
                  <c:v>2.3333333333333335</c:v>
                </c:pt>
                <c:pt idx="522">
                  <c:v>2.5</c:v>
                </c:pt>
                <c:pt idx="523">
                  <c:v>0.83333333333333337</c:v>
                </c:pt>
                <c:pt idx="524">
                  <c:v>13.5</c:v>
                </c:pt>
                <c:pt idx="525">
                  <c:v>38.5</c:v>
                </c:pt>
                <c:pt idx="526">
                  <c:v>13</c:v>
                </c:pt>
                <c:pt idx="527">
                  <c:v>2.1666666666666665</c:v>
                </c:pt>
                <c:pt idx="528">
                  <c:v>-37</c:v>
                </c:pt>
                <c:pt idx="529">
                  <c:v>-5.5</c:v>
                </c:pt>
                <c:pt idx="530">
                  <c:v>-13</c:v>
                </c:pt>
                <c:pt idx="531">
                  <c:v>-1</c:v>
                </c:pt>
                <c:pt idx="532">
                  <c:v>-9.1666666666666661</c:v>
                </c:pt>
                <c:pt idx="533">
                  <c:v>-4.5</c:v>
                </c:pt>
                <c:pt idx="534">
                  <c:v>-2.8333333333333335</c:v>
                </c:pt>
                <c:pt idx="535">
                  <c:v>-2</c:v>
                </c:pt>
                <c:pt idx="536">
                  <c:v>-5.5</c:v>
                </c:pt>
                <c:pt idx="537">
                  <c:v>-7.833333333333333</c:v>
                </c:pt>
                <c:pt idx="538">
                  <c:v>3.5</c:v>
                </c:pt>
                <c:pt idx="539">
                  <c:v>8.8333333333333339</c:v>
                </c:pt>
                <c:pt idx="540">
                  <c:v>-1</c:v>
                </c:pt>
                <c:pt idx="541">
                  <c:v>-20.833333333333332</c:v>
                </c:pt>
                <c:pt idx="542">
                  <c:v>-3.3333333333333335</c:v>
                </c:pt>
                <c:pt idx="543">
                  <c:v>8.8333333333333339</c:v>
                </c:pt>
                <c:pt idx="544">
                  <c:v>19.166666666666668</c:v>
                </c:pt>
                <c:pt idx="545">
                  <c:v>4</c:v>
                </c:pt>
                <c:pt idx="546">
                  <c:v>2.8333333333333335</c:v>
                </c:pt>
                <c:pt idx="547">
                  <c:v>5</c:v>
                </c:pt>
                <c:pt idx="548">
                  <c:v>37.833333333333336</c:v>
                </c:pt>
                <c:pt idx="549">
                  <c:v>23</c:v>
                </c:pt>
                <c:pt idx="550">
                  <c:v>1.6666666666666667</c:v>
                </c:pt>
                <c:pt idx="551">
                  <c:v>-37.333333333333336</c:v>
                </c:pt>
                <c:pt idx="552">
                  <c:v>-17.666666666666668</c:v>
                </c:pt>
                <c:pt idx="553">
                  <c:v>-5.666666666666667</c:v>
                </c:pt>
                <c:pt idx="554">
                  <c:v>1.8333333333333333</c:v>
                </c:pt>
                <c:pt idx="555">
                  <c:v>-7.166666666666667</c:v>
                </c:pt>
                <c:pt idx="556">
                  <c:v>-1.6666666666666667</c:v>
                </c:pt>
                <c:pt idx="557">
                  <c:v>-2</c:v>
                </c:pt>
                <c:pt idx="558">
                  <c:v>0.33333333333333331</c:v>
                </c:pt>
                <c:pt idx="559">
                  <c:v>0.83333333333333337</c:v>
                </c:pt>
                <c:pt idx="560">
                  <c:v>-4.833333333333333</c:v>
                </c:pt>
                <c:pt idx="561">
                  <c:v>1.5</c:v>
                </c:pt>
                <c:pt idx="562">
                  <c:v>3.8333333333333335</c:v>
                </c:pt>
                <c:pt idx="563">
                  <c:v>8.5</c:v>
                </c:pt>
                <c:pt idx="564">
                  <c:v>0</c:v>
                </c:pt>
                <c:pt idx="565">
                  <c:v>-7.833333333333333</c:v>
                </c:pt>
                <c:pt idx="566">
                  <c:v>-25.5</c:v>
                </c:pt>
                <c:pt idx="567">
                  <c:v>-26</c:v>
                </c:pt>
                <c:pt idx="568">
                  <c:v>-3.5</c:v>
                </c:pt>
                <c:pt idx="569">
                  <c:v>21</c:v>
                </c:pt>
                <c:pt idx="570">
                  <c:v>26</c:v>
                </c:pt>
                <c:pt idx="571">
                  <c:v>11.333333333333334</c:v>
                </c:pt>
                <c:pt idx="572">
                  <c:v>3.6666666666666665</c:v>
                </c:pt>
                <c:pt idx="573">
                  <c:v>0</c:v>
                </c:pt>
                <c:pt idx="574">
                  <c:v>-4.333333333333333</c:v>
                </c:pt>
                <c:pt idx="575">
                  <c:v>-2.6666666666666665</c:v>
                </c:pt>
                <c:pt idx="576">
                  <c:v>0</c:v>
                </c:pt>
                <c:pt idx="577">
                  <c:v>-4</c:v>
                </c:pt>
                <c:pt idx="578">
                  <c:v>-1.5</c:v>
                </c:pt>
                <c:pt idx="579">
                  <c:v>-2.1666666666666665</c:v>
                </c:pt>
                <c:pt idx="580">
                  <c:v>3.1666666666666665</c:v>
                </c:pt>
                <c:pt idx="581">
                  <c:v>1.5</c:v>
                </c:pt>
                <c:pt idx="582">
                  <c:v>9.1666666666666661</c:v>
                </c:pt>
                <c:pt idx="583">
                  <c:v>31.5</c:v>
                </c:pt>
                <c:pt idx="584">
                  <c:v>26.166666666666668</c:v>
                </c:pt>
                <c:pt idx="585">
                  <c:v>9.1666666666666661</c:v>
                </c:pt>
                <c:pt idx="586">
                  <c:v>-24.833333333333332</c:v>
                </c:pt>
                <c:pt idx="587">
                  <c:v>-24.833333333333332</c:v>
                </c:pt>
                <c:pt idx="588">
                  <c:v>-16.166666666666668</c:v>
                </c:pt>
                <c:pt idx="589">
                  <c:v>-6.166666666666667</c:v>
                </c:pt>
                <c:pt idx="590">
                  <c:v>-2</c:v>
                </c:pt>
                <c:pt idx="591">
                  <c:v>-4.333333333333333</c:v>
                </c:pt>
                <c:pt idx="592">
                  <c:v>0.66666666666666663</c:v>
                </c:pt>
                <c:pt idx="593">
                  <c:v>-0.83333333333333337</c:v>
                </c:pt>
                <c:pt idx="594">
                  <c:v>1.3333333333333333</c:v>
                </c:pt>
                <c:pt idx="595">
                  <c:v>-2.1666666666666665</c:v>
                </c:pt>
                <c:pt idx="596">
                  <c:v>-12.166666666666666</c:v>
                </c:pt>
                <c:pt idx="597">
                  <c:v>3</c:v>
                </c:pt>
                <c:pt idx="598">
                  <c:v>8.5</c:v>
                </c:pt>
                <c:pt idx="599">
                  <c:v>13.666666666666666</c:v>
                </c:pt>
                <c:pt idx="600">
                  <c:v>-9.8333333333333339</c:v>
                </c:pt>
                <c:pt idx="601">
                  <c:v>-24.666666666666668</c:v>
                </c:pt>
                <c:pt idx="602">
                  <c:v>-12.5</c:v>
                </c:pt>
                <c:pt idx="603">
                  <c:v>6.666666666666667</c:v>
                </c:pt>
                <c:pt idx="604">
                  <c:v>16</c:v>
                </c:pt>
                <c:pt idx="605">
                  <c:v>12.5</c:v>
                </c:pt>
                <c:pt idx="606">
                  <c:v>3.1666666666666665</c:v>
                </c:pt>
                <c:pt idx="607">
                  <c:v>4.166666666666667</c:v>
                </c:pt>
                <c:pt idx="608">
                  <c:v>0.16666666666666666</c:v>
                </c:pt>
                <c:pt idx="609">
                  <c:v>24.5</c:v>
                </c:pt>
                <c:pt idx="610">
                  <c:v>24.833333333333332</c:v>
                </c:pt>
                <c:pt idx="611">
                  <c:v>15.5</c:v>
                </c:pt>
                <c:pt idx="612">
                  <c:v>-18.833333333333332</c:v>
                </c:pt>
                <c:pt idx="613">
                  <c:v>-23.5</c:v>
                </c:pt>
                <c:pt idx="614">
                  <c:v>-15.666666666666666</c:v>
                </c:pt>
                <c:pt idx="615">
                  <c:v>-9.8333333333333339</c:v>
                </c:pt>
                <c:pt idx="616">
                  <c:v>-1.3333333333333333</c:v>
                </c:pt>
                <c:pt idx="617">
                  <c:v>-0.83333333333333337</c:v>
                </c:pt>
                <c:pt idx="618">
                  <c:v>3.8333333333333335</c:v>
                </c:pt>
                <c:pt idx="619">
                  <c:v>-2.5</c:v>
                </c:pt>
                <c:pt idx="620">
                  <c:v>-3.3333333333333335</c:v>
                </c:pt>
                <c:pt idx="621">
                  <c:v>-5.333333333333333</c:v>
                </c:pt>
                <c:pt idx="622">
                  <c:v>2.5</c:v>
                </c:pt>
                <c:pt idx="623">
                  <c:v>0.33333333333333331</c:v>
                </c:pt>
                <c:pt idx="624">
                  <c:v>5.666666666666667</c:v>
                </c:pt>
                <c:pt idx="625">
                  <c:v>-28.166666666666668</c:v>
                </c:pt>
                <c:pt idx="626">
                  <c:v>-10.833333333333334</c:v>
                </c:pt>
                <c:pt idx="627">
                  <c:v>-3.3333333333333335</c:v>
                </c:pt>
                <c:pt idx="628">
                  <c:v>24.333333333333332</c:v>
                </c:pt>
                <c:pt idx="629">
                  <c:v>13.5</c:v>
                </c:pt>
                <c:pt idx="630">
                  <c:v>3</c:v>
                </c:pt>
                <c:pt idx="631">
                  <c:v>3.5</c:v>
                </c:pt>
                <c:pt idx="632">
                  <c:v>0.5</c:v>
                </c:pt>
                <c:pt idx="633">
                  <c:v>0.33333333333333331</c:v>
                </c:pt>
                <c:pt idx="634">
                  <c:v>6.333333333333333</c:v>
                </c:pt>
                <c:pt idx="635">
                  <c:v>33.166666666666664</c:v>
                </c:pt>
                <c:pt idx="636">
                  <c:v>29.333333333333332</c:v>
                </c:pt>
                <c:pt idx="637">
                  <c:v>-5.666666666666667</c:v>
                </c:pt>
                <c:pt idx="638">
                  <c:v>-29</c:v>
                </c:pt>
                <c:pt idx="639">
                  <c:v>-26.5</c:v>
                </c:pt>
                <c:pt idx="640">
                  <c:v>-0.33333333333333331</c:v>
                </c:pt>
                <c:pt idx="641">
                  <c:v>-5.833333333333333</c:v>
                </c:pt>
                <c:pt idx="642">
                  <c:v>-5.5</c:v>
                </c:pt>
                <c:pt idx="643">
                  <c:v>0</c:v>
                </c:pt>
                <c:pt idx="644">
                  <c:v>1.6666666666666667</c:v>
                </c:pt>
                <c:pt idx="645">
                  <c:v>0</c:v>
                </c:pt>
                <c:pt idx="646">
                  <c:v>-3.1666666666666665</c:v>
                </c:pt>
                <c:pt idx="647">
                  <c:v>0.5</c:v>
                </c:pt>
                <c:pt idx="648">
                  <c:v>-3.8333333333333335</c:v>
                </c:pt>
                <c:pt idx="649">
                  <c:v>-23.666666666666668</c:v>
                </c:pt>
                <c:pt idx="650">
                  <c:v>-17.5</c:v>
                </c:pt>
                <c:pt idx="651">
                  <c:v>-0.83333333333333337</c:v>
                </c:pt>
                <c:pt idx="652">
                  <c:v>24.166666666666668</c:v>
                </c:pt>
                <c:pt idx="653">
                  <c:v>17.166666666666668</c:v>
                </c:pt>
                <c:pt idx="654">
                  <c:v>7.333333333333333</c:v>
                </c:pt>
                <c:pt idx="655">
                  <c:v>2</c:v>
                </c:pt>
                <c:pt idx="656">
                  <c:v>1.1666666666666667</c:v>
                </c:pt>
                <c:pt idx="657">
                  <c:v>8.5</c:v>
                </c:pt>
                <c:pt idx="658">
                  <c:v>23.833333333333332</c:v>
                </c:pt>
                <c:pt idx="659">
                  <c:v>26.666666666666668</c:v>
                </c:pt>
                <c:pt idx="660">
                  <c:v>3.8333333333333335</c:v>
                </c:pt>
                <c:pt idx="661">
                  <c:v>-21.166666666666668</c:v>
                </c:pt>
                <c:pt idx="662">
                  <c:v>-27.333333333333332</c:v>
                </c:pt>
                <c:pt idx="663">
                  <c:v>-10.5</c:v>
                </c:pt>
                <c:pt idx="664">
                  <c:v>-2</c:v>
                </c:pt>
                <c:pt idx="665">
                  <c:v>-2.8333333333333335</c:v>
                </c:pt>
                <c:pt idx="666">
                  <c:v>-4</c:v>
                </c:pt>
                <c:pt idx="667">
                  <c:v>-2</c:v>
                </c:pt>
                <c:pt idx="668">
                  <c:v>2.8333333333333335</c:v>
                </c:pt>
                <c:pt idx="669">
                  <c:v>5.166666666666667</c:v>
                </c:pt>
                <c:pt idx="670">
                  <c:v>3.3333333333333335</c:v>
                </c:pt>
                <c:pt idx="671">
                  <c:v>0</c:v>
                </c:pt>
                <c:pt idx="672">
                  <c:v>-3.1666666666666665</c:v>
                </c:pt>
                <c:pt idx="673">
                  <c:v>-3.8333333333333335</c:v>
                </c:pt>
                <c:pt idx="674">
                  <c:v>-11.833333333333334</c:v>
                </c:pt>
                <c:pt idx="675">
                  <c:v>-27.5</c:v>
                </c:pt>
                <c:pt idx="676">
                  <c:v>-11.5</c:v>
                </c:pt>
                <c:pt idx="677">
                  <c:v>11.5</c:v>
                </c:pt>
                <c:pt idx="678">
                  <c:v>28</c:v>
                </c:pt>
                <c:pt idx="679">
                  <c:v>13.666666666666666</c:v>
                </c:pt>
                <c:pt idx="680">
                  <c:v>-5</c:v>
                </c:pt>
                <c:pt idx="681">
                  <c:v>-1.5</c:v>
                </c:pt>
                <c:pt idx="682">
                  <c:v>-0.66666666666666663</c:v>
                </c:pt>
                <c:pt idx="683">
                  <c:v>4.666666666666667</c:v>
                </c:pt>
                <c:pt idx="684">
                  <c:v>0.83333333333333337</c:v>
                </c:pt>
                <c:pt idx="685">
                  <c:v>1.3333333333333333</c:v>
                </c:pt>
                <c:pt idx="686">
                  <c:v>0.33333333333333331</c:v>
                </c:pt>
                <c:pt idx="687">
                  <c:v>1.6666666666666667</c:v>
                </c:pt>
                <c:pt idx="688">
                  <c:v>33.666666666666664</c:v>
                </c:pt>
                <c:pt idx="689">
                  <c:v>29.666666666666668</c:v>
                </c:pt>
                <c:pt idx="690">
                  <c:v>-1.3333333333333333</c:v>
                </c:pt>
                <c:pt idx="691">
                  <c:v>-33.833333333333336</c:v>
                </c:pt>
                <c:pt idx="692">
                  <c:v>-29.666666666666668</c:v>
                </c:pt>
                <c:pt idx="693">
                  <c:v>-3.1666666666666665</c:v>
                </c:pt>
                <c:pt idx="694">
                  <c:v>-0.16666666666666666</c:v>
                </c:pt>
                <c:pt idx="695">
                  <c:v>0.33333333333333331</c:v>
                </c:pt>
                <c:pt idx="696">
                  <c:v>3.1666666666666665</c:v>
                </c:pt>
                <c:pt idx="697">
                  <c:v>-0.16666666666666666</c:v>
                </c:pt>
                <c:pt idx="698">
                  <c:v>-0.66666666666666663</c:v>
                </c:pt>
                <c:pt idx="699">
                  <c:v>-3.6666666666666665</c:v>
                </c:pt>
                <c:pt idx="700">
                  <c:v>-7.333333333333333</c:v>
                </c:pt>
                <c:pt idx="701">
                  <c:v>-2</c:v>
                </c:pt>
                <c:pt idx="702">
                  <c:v>-3.1666666666666665</c:v>
                </c:pt>
                <c:pt idx="703">
                  <c:v>0.33333333333333331</c:v>
                </c:pt>
                <c:pt idx="704">
                  <c:v>-16.333333333333332</c:v>
                </c:pt>
                <c:pt idx="705">
                  <c:v>-1.3333333333333333</c:v>
                </c:pt>
                <c:pt idx="706">
                  <c:v>7.166666666666667</c:v>
                </c:pt>
                <c:pt idx="707">
                  <c:v>22.5</c:v>
                </c:pt>
                <c:pt idx="708">
                  <c:v>8.1666666666666661</c:v>
                </c:pt>
                <c:pt idx="709">
                  <c:v>-6.666666666666667</c:v>
                </c:pt>
                <c:pt idx="710">
                  <c:v>-11.666666666666666</c:v>
                </c:pt>
                <c:pt idx="711">
                  <c:v>-3.1666666666666665</c:v>
                </c:pt>
                <c:pt idx="712">
                  <c:v>6.5</c:v>
                </c:pt>
                <c:pt idx="713">
                  <c:v>7.333333333333333</c:v>
                </c:pt>
                <c:pt idx="714">
                  <c:v>2.3333333333333335</c:v>
                </c:pt>
                <c:pt idx="715">
                  <c:v>0.33333333333333331</c:v>
                </c:pt>
                <c:pt idx="716">
                  <c:v>0.83333333333333337</c:v>
                </c:pt>
                <c:pt idx="717">
                  <c:v>29.833333333333332</c:v>
                </c:pt>
                <c:pt idx="718">
                  <c:v>18.833333333333332</c:v>
                </c:pt>
                <c:pt idx="719">
                  <c:v>10.833333333333334</c:v>
                </c:pt>
                <c:pt idx="720">
                  <c:v>-17.166666666666668</c:v>
                </c:pt>
                <c:pt idx="721">
                  <c:v>-16.833333333333332</c:v>
                </c:pt>
                <c:pt idx="722">
                  <c:v>-9.6666666666666661</c:v>
                </c:pt>
                <c:pt idx="723">
                  <c:v>-5.5</c:v>
                </c:pt>
                <c:pt idx="724">
                  <c:v>-2.1666666666666665</c:v>
                </c:pt>
                <c:pt idx="725">
                  <c:v>-2.5</c:v>
                </c:pt>
                <c:pt idx="726">
                  <c:v>-9.1666666666666661</c:v>
                </c:pt>
                <c:pt idx="727">
                  <c:v>-0.5</c:v>
                </c:pt>
                <c:pt idx="728">
                  <c:v>1.1666666666666667</c:v>
                </c:pt>
                <c:pt idx="729">
                  <c:v>2.8333333333333335</c:v>
                </c:pt>
                <c:pt idx="730">
                  <c:v>1.8333333333333333</c:v>
                </c:pt>
                <c:pt idx="731">
                  <c:v>0.16666666666666666</c:v>
                </c:pt>
                <c:pt idx="732">
                  <c:v>-2.1666666666666665</c:v>
                </c:pt>
                <c:pt idx="733">
                  <c:v>-5.5</c:v>
                </c:pt>
                <c:pt idx="734">
                  <c:v>-36.5</c:v>
                </c:pt>
                <c:pt idx="735">
                  <c:v>-19</c:v>
                </c:pt>
                <c:pt idx="736">
                  <c:v>-2</c:v>
                </c:pt>
                <c:pt idx="737">
                  <c:v>34.5</c:v>
                </c:pt>
                <c:pt idx="738">
                  <c:v>19.5</c:v>
                </c:pt>
                <c:pt idx="739">
                  <c:v>6.166666666666667</c:v>
                </c:pt>
                <c:pt idx="740">
                  <c:v>2.8333333333333335</c:v>
                </c:pt>
                <c:pt idx="741">
                  <c:v>5.833333333333333</c:v>
                </c:pt>
                <c:pt idx="742">
                  <c:v>0</c:v>
                </c:pt>
                <c:pt idx="743">
                  <c:v>-2.1666666666666665</c:v>
                </c:pt>
                <c:pt idx="744">
                  <c:v>-6.833333333333333</c:v>
                </c:pt>
                <c:pt idx="745">
                  <c:v>0</c:v>
                </c:pt>
                <c:pt idx="746">
                  <c:v>29.833333333333332</c:v>
                </c:pt>
                <c:pt idx="747">
                  <c:v>38.5</c:v>
                </c:pt>
                <c:pt idx="748">
                  <c:v>9</c:v>
                </c:pt>
                <c:pt idx="749">
                  <c:v>-27.5</c:v>
                </c:pt>
                <c:pt idx="750">
                  <c:v>-35.833333333333336</c:v>
                </c:pt>
                <c:pt idx="751">
                  <c:v>-9.5</c:v>
                </c:pt>
              </c:numCache>
            </c:numRef>
          </c:yVal>
          <c:smooth val="0"/>
        </c:ser>
        <c:ser>
          <c:idx val="5"/>
          <c:order val="1"/>
          <c:tx>
            <c:strRef>
              <c:f>offset_qbo_all_terms_30hPa!$G$2</c:f>
              <c:strCache>
                <c:ptCount val="1"/>
                <c:pt idx="0">
                  <c:v>Model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offset_qbo_all_terms_30hPa!$A$3:$A$756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offset_qbo_all_terms_30hPa!$G$3:$G$756</c:f>
              <c:numCache>
                <c:formatCode>General</c:formatCode>
                <c:ptCount val="754"/>
                <c:pt idx="2">
                  <c:v>-10.402975614107065</c:v>
                </c:pt>
                <c:pt idx="3">
                  <c:v>-13.976018395183747</c:v>
                </c:pt>
                <c:pt idx="4">
                  <c:v>-0.15696563103778091</c:v>
                </c:pt>
                <c:pt idx="5">
                  <c:v>8.0546346045405741</c:v>
                </c:pt>
                <c:pt idx="6">
                  <c:v>3.5032318266155622</c:v>
                </c:pt>
                <c:pt idx="7">
                  <c:v>-5.281555529565054</c:v>
                </c:pt>
                <c:pt idx="8">
                  <c:v>-2.6632013298360535</c:v>
                </c:pt>
                <c:pt idx="9">
                  <c:v>16.37509637400483</c:v>
                </c:pt>
                <c:pt idx="10">
                  <c:v>22.306291278067988</c:v>
                </c:pt>
                <c:pt idx="11">
                  <c:v>-0.87264132246966719</c:v>
                </c:pt>
                <c:pt idx="12">
                  <c:v>-20.643471942108135</c:v>
                </c:pt>
                <c:pt idx="13">
                  <c:v>-22.209153069357896</c:v>
                </c:pt>
                <c:pt idx="14">
                  <c:v>-1.5428452202668534</c:v>
                </c:pt>
                <c:pt idx="15">
                  <c:v>13.9337765234499</c:v>
                </c:pt>
                <c:pt idx="16">
                  <c:v>10.578926376082352</c:v>
                </c:pt>
                <c:pt idx="17">
                  <c:v>8.5555030251766695</c:v>
                </c:pt>
                <c:pt idx="18">
                  <c:v>8.0097965737178658</c:v>
                </c:pt>
                <c:pt idx="19">
                  <c:v>12.419925592404574</c:v>
                </c:pt>
                <c:pt idx="20">
                  <c:v>5.7924837022332305</c:v>
                </c:pt>
                <c:pt idx="21">
                  <c:v>-0.2036763623853991</c:v>
                </c:pt>
                <c:pt idx="22">
                  <c:v>-9.0026523238177738</c:v>
                </c:pt>
                <c:pt idx="23">
                  <c:v>-5.1768425017781592</c:v>
                </c:pt>
                <c:pt idx="24">
                  <c:v>-2.5550992810454018</c:v>
                </c:pt>
                <c:pt idx="25">
                  <c:v>-4.0526816077890624</c:v>
                </c:pt>
                <c:pt idx="26">
                  <c:v>-4.9120045923054629</c:v>
                </c:pt>
                <c:pt idx="27">
                  <c:v>-4.0444057959135913</c:v>
                </c:pt>
                <c:pt idx="28">
                  <c:v>-7.1622054798929954E-2</c:v>
                </c:pt>
                <c:pt idx="29">
                  <c:v>2.0163664329202677</c:v>
                </c:pt>
                <c:pt idx="30">
                  <c:v>-0.18744427075532713</c:v>
                </c:pt>
                <c:pt idx="31">
                  <c:v>-4.6659989463385356</c:v>
                </c:pt>
                <c:pt idx="32">
                  <c:v>-7.9794494857617337</c:v>
                </c:pt>
                <c:pt idx="33">
                  <c:v>-5.3270473682780075</c:v>
                </c:pt>
                <c:pt idx="34">
                  <c:v>1.004590543115061</c:v>
                </c:pt>
                <c:pt idx="35">
                  <c:v>4.3602982547082698</c:v>
                </c:pt>
                <c:pt idx="36">
                  <c:v>0.33829115642125396</c:v>
                </c:pt>
                <c:pt idx="37">
                  <c:v>-19.677981374572212</c:v>
                </c:pt>
                <c:pt idx="38">
                  <c:v>-11.311509706126643</c:v>
                </c:pt>
                <c:pt idx="39">
                  <c:v>0.5899499176902111</c:v>
                </c:pt>
                <c:pt idx="40">
                  <c:v>19.173696876701683</c:v>
                </c:pt>
                <c:pt idx="41">
                  <c:v>12.358226010929041</c:v>
                </c:pt>
                <c:pt idx="42">
                  <c:v>4.5957266538033315</c:v>
                </c:pt>
                <c:pt idx="43">
                  <c:v>3.6217518029329394</c:v>
                </c:pt>
                <c:pt idx="44">
                  <c:v>5.5064560707210681</c:v>
                </c:pt>
                <c:pt idx="45">
                  <c:v>12.017445369026541</c:v>
                </c:pt>
                <c:pt idx="46">
                  <c:v>21.826054513436656</c:v>
                </c:pt>
                <c:pt idx="47">
                  <c:v>9.5786459750030808</c:v>
                </c:pt>
                <c:pt idx="48">
                  <c:v>-4.569627185771469</c:v>
                </c:pt>
                <c:pt idx="49">
                  <c:v>-20.592478588007328</c:v>
                </c:pt>
                <c:pt idx="50">
                  <c:v>-13.739447768216815</c:v>
                </c:pt>
                <c:pt idx="51">
                  <c:v>-8.6548298842352036</c:v>
                </c:pt>
                <c:pt idx="52">
                  <c:v>-3.773156805618934</c:v>
                </c:pt>
                <c:pt idx="53">
                  <c:v>1.121028998930395</c:v>
                </c:pt>
                <c:pt idx="54">
                  <c:v>2.7423294919978618</c:v>
                </c:pt>
                <c:pt idx="55">
                  <c:v>1.0866503047792018</c:v>
                </c:pt>
                <c:pt idx="56">
                  <c:v>-1.759987501928534</c:v>
                </c:pt>
                <c:pt idx="57">
                  <c:v>-2.1174758858956011</c:v>
                </c:pt>
                <c:pt idx="58">
                  <c:v>-0.52122943742520722</c:v>
                </c:pt>
                <c:pt idx="59">
                  <c:v>0.3768452202353274</c:v>
                </c:pt>
                <c:pt idx="60">
                  <c:v>-2.2372925114844064</c:v>
                </c:pt>
                <c:pt idx="61">
                  <c:v>-11.75553795311574</c:v>
                </c:pt>
                <c:pt idx="62">
                  <c:v>-30.358751308520272</c:v>
                </c:pt>
                <c:pt idx="63">
                  <c:v>-8.3077448353207952</c:v>
                </c:pt>
                <c:pt idx="64">
                  <c:v>8.7918592945936034</c:v>
                </c:pt>
                <c:pt idx="65">
                  <c:v>29.840099874809205</c:v>
                </c:pt>
                <c:pt idx="66">
                  <c:v>10.436210417612136</c:v>
                </c:pt>
                <c:pt idx="67">
                  <c:v>3.9705936672413373</c:v>
                </c:pt>
                <c:pt idx="68">
                  <c:v>4.5378248807497359</c:v>
                </c:pt>
                <c:pt idx="69">
                  <c:v>7.473016665321075</c:v>
                </c:pt>
                <c:pt idx="70">
                  <c:v>5.7067509855008067</c:v>
                </c:pt>
                <c:pt idx="71">
                  <c:v>1.3045018118802054</c:v>
                </c:pt>
                <c:pt idx="72">
                  <c:v>-3.3601293096815747</c:v>
                </c:pt>
                <c:pt idx="73">
                  <c:v>6.0103442088714534</c:v>
                </c:pt>
                <c:pt idx="74">
                  <c:v>9.0801537233369185</c:v>
                </c:pt>
                <c:pt idx="75">
                  <c:v>3.1193419924421035</c:v>
                </c:pt>
                <c:pt idx="76">
                  <c:v>-7.7923149527667821</c:v>
                </c:pt>
                <c:pt idx="77">
                  <c:v>-11.002854053019117</c:v>
                </c:pt>
                <c:pt idx="78">
                  <c:v>-5.4379799029671938</c:v>
                </c:pt>
                <c:pt idx="79">
                  <c:v>-3.8544448262122617</c:v>
                </c:pt>
                <c:pt idx="80">
                  <c:v>-3.3988487953276039</c:v>
                </c:pt>
                <c:pt idx="81">
                  <c:v>-2.8219475964553267</c:v>
                </c:pt>
                <c:pt idx="82">
                  <c:v>-2.1554144960929382</c:v>
                </c:pt>
                <c:pt idx="83">
                  <c:v>-0.97944083463266152</c:v>
                </c:pt>
                <c:pt idx="84">
                  <c:v>-1.2463755260948119</c:v>
                </c:pt>
                <c:pt idx="85">
                  <c:v>-4.3156761721375991</c:v>
                </c:pt>
                <c:pt idx="86">
                  <c:v>-15.078020192785235</c:v>
                </c:pt>
                <c:pt idx="87">
                  <c:v>-22.101227732454884</c:v>
                </c:pt>
                <c:pt idx="88">
                  <c:v>9.2864170013338798E-2</c:v>
                </c:pt>
                <c:pt idx="89">
                  <c:v>13.08673369448257</c:v>
                </c:pt>
                <c:pt idx="90">
                  <c:v>20.912386841443563</c:v>
                </c:pt>
                <c:pt idx="91">
                  <c:v>4.0853140961220031</c:v>
                </c:pt>
                <c:pt idx="92">
                  <c:v>3.4616878631229384</c:v>
                </c:pt>
                <c:pt idx="93">
                  <c:v>6.5384199559130671</c:v>
                </c:pt>
                <c:pt idx="94">
                  <c:v>9.0537907706819922</c:v>
                </c:pt>
                <c:pt idx="95">
                  <c:v>10.887685462022</c:v>
                </c:pt>
                <c:pt idx="96">
                  <c:v>4.7549285135124251</c:v>
                </c:pt>
                <c:pt idx="97">
                  <c:v>3.3165817999179801</c:v>
                </c:pt>
                <c:pt idx="98">
                  <c:v>-2.9702924315742667</c:v>
                </c:pt>
                <c:pt idx="99">
                  <c:v>-1.2488200971553596</c:v>
                </c:pt>
                <c:pt idx="100">
                  <c:v>-4.4898246719893073</c:v>
                </c:pt>
                <c:pt idx="101">
                  <c:v>-6.0025305515178733</c:v>
                </c:pt>
                <c:pt idx="102">
                  <c:v>-5.4592926599724025</c:v>
                </c:pt>
                <c:pt idx="103">
                  <c:v>-3.3677736505608062</c:v>
                </c:pt>
                <c:pt idx="104">
                  <c:v>0.40973915172480702</c:v>
                </c:pt>
                <c:pt idx="105">
                  <c:v>1.4752834183701302</c:v>
                </c:pt>
                <c:pt idx="106">
                  <c:v>-0.85619942007052341</c:v>
                </c:pt>
                <c:pt idx="107">
                  <c:v>-2.0466470125617282</c:v>
                </c:pt>
                <c:pt idx="108">
                  <c:v>-2.4639184448495755</c:v>
                </c:pt>
                <c:pt idx="109">
                  <c:v>-3.4778737213723923</c:v>
                </c:pt>
                <c:pt idx="110">
                  <c:v>-6.693743570149195</c:v>
                </c:pt>
                <c:pt idx="111">
                  <c:v>-14.215713235626541</c:v>
                </c:pt>
                <c:pt idx="112">
                  <c:v>-16.880278725514827</c:v>
                </c:pt>
                <c:pt idx="113">
                  <c:v>-3.4006347781342678</c:v>
                </c:pt>
                <c:pt idx="114">
                  <c:v>9.269198991512825</c:v>
                </c:pt>
                <c:pt idx="115">
                  <c:v>14.034580719153093</c:v>
                </c:pt>
                <c:pt idx="116">
                  <c:v>5.6966792256846626</c:v>
                </c:pt>
                <c:pt idx="117">
                  <c:v>5.2614235242950373</c:v>
                </c:pt>
                <c:pt idx="118">
                  <c:v>7.0441527126270636</c:v>
                </c:pt>
                <c:pt idx="119">
                  <c:v>3.870869966440273</c:v>
                </c:pt>
                <c:pt idx="120">
                  <c:v>-2.0294590683238538</c:v>
                </c:pt>
                <c:pt idx="121">
                  <c:v>-5.0370947770275967</c:v>
                </c:pt>
                <c:pt idx="122">
                  <c:v>-1.4254846420002651</c:v>
                </c:pt>
                <c:pt idx="123">
                  <c:v>4.9356137326463951</c:v>
                </c:pt>
                <c:pt idx="124">
                  <c:v>13.106585973838273</c:v>
                </c:pt>
                <c:pt idx="125">
                  <c:v>24.770571327272471</c:v>
                </c:pt>
                <c:pt idx="126">
                  <c:v>10.848991507585268</c:v>
                </c:pt>
                <c:pt idx="127">
                  <c:v>-5.5906932509239997</c:v>
                </c:pt>
                <c:pt idx="128">
                  <c:v>-20.483378390776867</c:v>
                </c:pt>
                <c:pt idx="129">
                  <c:v>-10.015147640632204</c:v>
                </c:pt>
                <c:pt idx="130">
                  <c:v>-2.8119336606357366</c:v>
                </c:pt>
                <c:pt idx="131">
                  <c:v>-1.8758440792157369</c:v>
                </c:pt>
                <c:pt idx="132">
                  <c:v>-2.3003359520889339</c:v>
                </c:pt>
                <c:pt idx="133">
                  <c:v>-1.9482065146037333</c:v>
                </c:pt>
                <c:pt idx="134">
                  <c:v>-2.7639603518491942</c:v>
                </c:pt>
                <c:pt idx="135">
                  <c:v>-3.9341679641790659</c:v>
                </c:pt>
                <c:pt idx="136">
                  <c:v>-3.1107019665390681</c:v>
                </c:pt>
                <c:pt idx="137">
                  <c:v>0.26953274558479734</c:v>
                </c:pt>
                <c:pt idx="138">
                  <c:v>2.9476735297494696</c:v>
                </c:pt>
                <c:pt idx="139">
                  <c:v>0.23632228096400923</c:v>
                </c:pt>
                <c:pt idx="140">
                  <c:v>-4.6743301209163972</c:v>
                </c:pt>
                <c:pt idx="141">
                  <c:v>-4.5203788065865265</c:v>
                </c:pt>
                <c:pt idx="142">
                  <c:v>0.686159575062258</c:v>
                </c:pt>
                <c:pt idx="143">
                  <c:v>8.0413999478702873</c:v>
                </c:pt>
                <c:pt idx="144">
                  <c:v>4.3478741991780039</c:v>
                </c:pt>
                <c:pt idx="145">
                  <c:v>-16.398888805984189</c:v>
                </c:pt>
                <c:pt idx="146">
                  <c:v>-18.329089446961017</c:v>
                </c:pt>
                <c:pt idx="147">
                  <c:v>-4.6785888838206668</c:v>
                </c:pt>
                <c:pt idx="148">
                  <c:v>17.200205302571931</c:v>
                </c:pt>
                <c:pt idx="149">
                  <c:v>16.635047317559664</c:v>
                </c:pt>
                <c:pt idx="150">
                  <c:v>3.5779432128799957</c:v>
                </c:pt>
                <c:pt idx="151">
                  <c:v>-0.89044130610679995</c:v>
                </c:pt>
                <c:pt idx="152">
                  <c:v>0.54032626719400312</c:v>
                </c:pt>
                <c:pt idx="153">
                  <c:v>5.7015368190756064</c:v>
                </c:pt>
                <c:pt idx="154">
                  <c:v>10.966520343849069</c:v>
                </c:pt>
                <c:pt idx="155">
                  <c:v>21.594673135544298</c:v>
                </c:pt>
                <c:pt idx="156">
                  <c:v>9.1166417436039762</c:v>
                </c:pt>
                <c:pt idx="157">
                  <c:v>-4.3812207833447969</c:v>
                </c:pt>
                <c:pt idx="158">
                  <c:v>-20.373632872996154</c:v>
                </c:pt>
                <c:pt idx="159">
                  <c:v>-14.764686614918638</c:v>
                </c:pt>
                <c:pt idx="160">
                  <c:v>-7.3052967823754678</c:v>
                </c:pt>
                <c:pt idx="161">
                  <c:v>-0.94621015972373557</c:v>
                </c:pt>
                <c:pt idx="162">
                  <c:v>4.2810535833066679</c:v>
                </c:pt>
                <c:pt idx="163">
                  <c:v>6.1428646750358746</c:v>
                </c:pt>
                <c:pt idx="164">
                  <c:v>1.9562089467440122</c:v>
                </c:pt>
                <c:pt idx="165">
                  <c:v>-2.345381793903198</c:v>
                </c:pt>
                <c:pt idx="166">
                  <c:v>-3.4573813376914666</c:v>
                </c:pt>
                <c:pt idx="167">
                  <c:v>-3.045588045807472</c:v>
                </c:pt>
                <c:pt idx="168">
                  <c:v>-2.3180619133954679</c:v>
                </c:pt>
                <c:pt idx="169">
                  <c:v>-3.6956072696913305</c:v>
                </c:pt>
                <c:pt idx="170">
                  <c:v>-7.6152854124792002</c:v>
                </c:pt>
                <c:pt idx="171">
                  <c:v>-14.118749033999743</c:v>
                </c:pt>
                <c:pt idx="172">
                  <c:v>-7.5914125967992963</c:v>
                </c:pt>
                <c:pt idx="173">
                  <c:v>10.944637392469209</c:v>
                </c:pt>
                <c:pt idx="174">
                  <c:v>7.043372408816059</c:v>
                </c:pt>
                <c:pt idx="175">
                  <c:v>1.4659162402009487</c:v>
                </c:pt>
                <c:pt idx="176">
                  <c:v>-7.1559506662782741</c:v>
                </c:pt>
                <c:pt idx="177">
                  <c:v>6.2478836375267521</c:v>
                </c:pt>
                <c:pt idx="178">
                  <c:v>9.4708113117114117</c:v>
                </c:pt>
                <c:pt idx="179">
                  <c:v>3.5581995683866658</c:v>
                </c:pt>
                <c:pt idx="180">
                  <c:v>-3.7781192981068065E-2</c:v>
                </c:pt>
                <c:pt idx="181">
                  <c:v>-0.2895810200602682</c:v>
                </c:pt>
                <c:pt idx="182">
                  <c:v>1.4797928227670658</c:v>
                </c:pt>
                <c:pt idx="183">
                  <c:v>3.6649328965155976</c:v>
                </c:pt>
                <c:pt idx="184">
                  <c:v>4.1962265969516013</c:v>
                </c:pt>
                <c:pt idx="185">
                  <c:v>3.8785114350798646</c:v>
                </c:pt>
                <c:pt idx="186">
                  <c:v>4.6733329697722494</c:v>
                </c:pt>
                <c:pt idx="187">
                  <c:v>20.820884290819606</c:v>
                </c:pt>
                <c:pt idx="188">
                  <c:v>10.323134710563998</c:v>
                </c:pt>
                <c:pt idx="189">
                  <c:v>-0.5713281269854501</c:v>
                </c:pt>
                <c:pt idx="190">
                  <c:v>-21.394940526695883</c:v>
                </c:pt>
                <c:pt idx="191">
                  <c:v>-14.064673753279212</c:v>
                </c:pt>
                <c:pt idx="192">
                  <c:v>-5.3975286566768172</c:v>
                </c:pt>
                <c:pt idx="193">
                  <c:v>-2.8800017855872131</c:v>
                </c:pt>
                <c:pt idx="194">
                  <c:v>-2.4093048173092031</c:v>
                </c:pt>
                <c:pt idx="195">
                  <c:v>-2.5348038115228064</c:v>
                </c:pt>
                <c:pt idx="196">
                  <c:v>-1.3185197255205368</c:v>
                </c:pt>
                <c:pt idx="197">
                  <c:v>-0.41426194514014397</c:v>
                </c:pt>
                <c:pt idx="198">
                  <c:v>-2.2598953561121333</c:v>
                </c:pt>
                <c:pt idx="199">
                  <c:v>-8.5931391573962781</c:v>
                </c:pt>
                <c:pt idx="200">
                  <c:v>-24.009497015614244</c:v>
                </c:pt>
                <c:pt idx="201">
                  <c:v>-6.9099400949075012</c:v>
                </c:pt>
                <c:pt idx="202">
                  <c:v>9.007041999016673</c:v>
                </c:pt>
                <c:pt idx="203">
                  <c:v>24.028446088434908</c:v>
                </c:pt>
                <c:pt idx="204">
                  <c:v>7.9272082669057644</c:v>
                </c:pt>
                <c:pt idx="205">
                  <c:v>-1.8589200894942679</c:v>
                </c:pt>
                <c:pt idx="206">
                  <c:v>-0.6036531954257347</c:v>
                </c:pt>
                <c:pt idx="207">
                  <c:v>3.5743715385641361</c:v>
                </c:pt>
                <c:pt idx="208">
                  <c:v>5.1984618652266672</c:v>
                </c:pt>
                <c:pt idx="209">
                  <c:v>3.3290686406805357</c:v>
                </c:pt>
                <c:pt idx="210">
                  <c:v>3.4038014592132036E-2</c:v>
                </c:pt>
                <c:pt idx="211">
                  <c:v>0.28690182469520098</c:v>
                </c:pt>
                <c:pt idx="212">
                  <c:v>8.3846081209913343</c:v>
                </c:pt>
                <c:pt idx="213">
                  <c:v>32.078004470105462</c:v>
                </c:pt>
                <c:pt idx="214">
                  <c:v>10.242967478419201</c:v>
                </c:pt>
                <c:pt idx="215">
                  <c:v>-5.7961113794440058</c:v>
                </c:pt>
                <c:pt idx="216">
                  <c:v>-30.330997319510004</c:v>
                </c:pt>
                <c:pt idx="217">
                  <c:v>-12.132851539673077</c:v>
                </c:pt>
                <c:pt idx="218">
                  <c:v>-4.544171793720011</c:v>
                </c:pt>
                <c:pt idx="219">
                  <c:v>-2.7961198755710637</c:v>
                </c:pt>
                <c:pt idx="220">
                  <c:v>-1.2128665108859877</c:v>
                </c:pt>
                <c:pt idx="221">
                  <c:v>0.25563563198841927</c:v>
                </c:pt>
                <c:pt idx="222">
                  <c:v>0.66246693085293673</c:v>
                </c:pt>
                <c:pt idx="223">
                  <c:v>-1.1270342020529369</c:v>
                </c:pt>
                <c:pt idx="224">
                  <c:v>-3.6967950891064074</c:v>
                </c:pt>
                <c:pt idx="225">
                  <c:v>-3.9512534925796068</c:v>
                </c:pt>
                <c:pt idx="226">
                  <c:v>-2.3982270460950685</c:v>
                </c:pt>
                <c:pt idx="227">
                  <c:v>-3.141040510674058</c:v>
                </c:pt>
                <c:pt idx="228">
                  <c:v>-13.422321735583939</c:v>
                </c:pt>
                <c:pt idx="229">
                  <c:v>-14.993218841135452</c:v>
                </c:pt>
                <c:pt idx="230">
                  <c:v>-0.51987856433433044</c:v>
                </c:pt>
                <c:pt idx="231">
                  <c:v>15.645150925430213</c:v>
                </c:pt>
                <c:pt idx="232">
                  <c:v>19.293620583236393</c:v>
                </c:pt>
                <c:pt idx="233">
                  <c:v>9.3688144597797258</c:v>
                </c:pt>
                <c:pt idx="234">
                  <c:v>4.1755593844250596</c:v>
                </c:pt>
                <c:pt idx="235">
                  <c:v>1.3888316389465294</c:v>
                </c:pt>
                <c:pt idx="236">
                  <c:v>2.8940475313950706</c:v>
                </c:pt>
                <c:pt idx="237">
                  <c:v>18.088243322968051</c:v>
                </c:pt>
                <c:pt idx="238">
                  <c:v>24.230820130284229</c:v>
                </c:pt>
                <c:pt idx="239">
                  <c:v>3.4616523908602668</c:v>
                </c:pt>
                <c:pt idx="240">
                  <c:v>-16.432049744931639</c:v>
                </c:pt>
                <c:pt idx="241">
                  <c:v>-24.619571052558491</c:v>
                </c:pt>
                <c:pt idx="242">
                  <c:v>-7.171796594390397</c:v>
                </c:pt>
                <c:pt idx="243">
                  <c:v>-3.1674952870270623</c:v>
                </c:pt>
                <c:pt idx="244">
                  <c:v>-1.4024354289909298</c:v>
                </c:pt>
                <c:pt idx="245">
                  <c:v>-0.78299955188146375</c:v>
                </c:pt>
                <c:pt idx="246">
                  <c:v>-0.85868612498707086</c:v>
                </c:pt>
                <c:pt idx="247">
                  <c:v>-1.3423805151790626</c:v>
                </c:pt>
                <c:pt idx="248">
                  <c:v>-2.0186279718986651</c:v>
                </c:pt>
                <c:pt idx="249">
                  <c:v>-2.9479655703263843</c:v>
                </c:pt>
                <c:pt idx="250">
                  <c:v>-4.3021709615377324</c:v>
                </c:pt>
                <c:pt idx="251">
                  <c:v>-2.3293939240078618</c:v>
                </c:pt>
                <c:pt idx="252">
                  <c:v>-2.2843987905256049</c:v>
                </c:pt>
                <c:pt idx="253">
                  <c:v>-19.403361595142385</c:v>
                </c:pt>
                <c:pt idx="254">
                  <c:v>-10.430206714025077</c:v>
                </c:pt>
                <c:pt idx="255">
                  <c:v>-7.3746838770392745E-2</c:v>
                </c:pt>
                <c:pt idx="256">
                  <c:v>23.41593912610665</c:v>
                </c:pt>
                <c:pt idx="257">
                  <c:v>15.68435535619561</c:v>
                </c:pt>
                <c:pt idx="258">
                  <c:v>6.5767829034675902</c:v>
                </c:pt>
                <c:pt idx="259">
                  <c:v>1.7067154489434644</c:v>
                </c:pt>
                <c:pt idx="260">
                  <c:v>0.19610524736813206</c:v>
                </c:pt>
                <c:pt idx="261">
                  <c:v>1.4867269347961383</c:v>
                </c:pt>
                <c:pt idx="262">
                  <c:v>4.9780505892638685</c:v>
                </c:pt>
                <c:pt idx="263">
                  <c:v>12.352130479297216</c:v>
                </c:pt>
                <c:pt idx="264">
                  <c:v>18.828221946168934</c:v>
                </c:pt>
                <c:pt idx="265">
                  <c:v>5.3754292984054572</c:v>
                </c:pt>
                <c:pt idx="266">
                  <c:v>-5.597247323884682</c:v>
                </c:pt>
                <c:pt idx="267">
                  <c:v>-17.19166767422227</c:v>
                </c:pt>
                <c:pt idx="268">
                  <c:v>-8.1495919387509215</c:v>
                </c:pt>
                <c:pt idx="269">
                  <c:v>-6.6019500878152035</c:v>
                </c:pt>
                <c:pt idx="270">
                  <c:v>-4.3681934773041347</c:v>
                </c:pt>
                <c:pt idx="271">
                  <c:v>-2.4423244537645288</c:v>
                </c:pt>
                <c:pt idx="272">
                  <c:v>-0.56662455140293178</c:v>
                </c:pt>
                <c:pt idx="273">
                  <c:v>0.29715211433281186</c:v>
                </c:pt>
                <c:pt idx="274">
                  <c:v>-8.9249175618685214E-3</c:v>
                </c:pt>
                <c:pt idx="275">
                  <c:v>-0.78958753033931928</c:v>
                </c:pt>
                <c:pt idx="276">
                  <c:v>-1.2430873933282633</c:v>
                </c:pt>
                <c:pt idx="277">
                  <c:v>-2.7225205053521222</c:v>
                </c:pt>
                <c:pt idx="278">
                  <c:v>-9.5314074876789245</c:v>
                </c:pt>
                <c:pt idx="279">
                  <c:v>-40.328482361191867</c:v>
                </c:pt>
                <c:pt idx="280">
                  <c:v>-9.3182648365701315</c:v>
                </c:pt>
                <c:pt idx="281">
                  <c:v>6.8798487662201344</c:v>
                </c:pt>
                <c:pt idx="282">
                  <c:v>40.472264636648269</c:v>
                </c:pt>
                <c:pt idx="283">
                  <c:v>12.652340788662794</c:v>
                </c:pt>
                <c:pt idx="284">
                  <c:v>4.1885386549287889</c:v>
                </c:pt>
                <c:pt idx="285">
                  <c:v>2.654146694280394</c:v>
                </c:pt>
                <c:pt idx="286">
                  <c:v>2.537989102170529</c:v>
                </c:pt>
                <c:pt idx="287">
                  <c:v>0.96764222948253664</c:v>
                </c:pt>
                <c:pt idx="288">
                  <c:v>-2.8876948268022642</c:v>
                </c:pt>
                <c:pt idx="289">
                  <c:v>-4.0318396934893297</c:v>
                </c:pt>
                <c:pt idx="290">
                  <c:v>-1.690628948589203</c:v>
                </c:pt>
                <c:pt idx="291">
                  <c:v>6.2637926322394684</c:v>
                </c:pt>
                <c:pt idx="292">
                  <c:v>28.342686578110779</c:v>
                </c:pt>
                <c:pt idx="293">
                  <c:v>18.956045499213364</c:v>
                </c:pt>
                <c:pt idx="294">
                  <c:v>-0.56980400507599904</c:v>
                </c:pt>
                <c:pt idx="295">
                  <c:v>-24.22439024723797</c:v>
                </c:pt>
                <c:pt idx="296">
                  <c:v>-17.036727336047889</c:v>
                </c:pt>
                <c:pt idx="297">
                  <c:v>-2.5162734388994679</c:v>
                </c:pt>
                <c:pt idx="298">
                  <c:v>-1.5319682639371954</c:v>
                </c:pt>
                <c:pt idx="299">
                  <c:v>-2.1567344811346629</c:v>
                </c:pt>
                <c:pt idx="300">
                  <c:v>-1.8921311110022545</c:v>
                </c:pt>
                <c:pt idx="301">
                  <c:v>-1.0961695666707933</c:v>
                </c:pt>
                <c:pt idx="302">
                  <c:v>-0.82952791299944695</c:v>
                </c:pt>
                <c:pt idx="303">
                  <c:v>-1.5343384426569324</c:v>
                </c:pt>
                <c:pt idx="304">
                  <c:v>-2.5105466622185304</c:v>
                </c:pt>
                <c:pt idx="305">
                  <c:v>-3.8004559047322726</c:v>
                </c:pt>
                <c:pt idx="306">
                  <c:v>-5.4529345443891923</c:v>
                </c:pt>
                <c:pt idx="307">
                  <c:v>-7.1591786538243998</c:v>
                </c:pt>
                <c:pt idx="308">
                  <c:v>-15.250476735958216</c:v>
                </c:pt>
                <c:pt idx="309">
                  <c:v>-3.718891816977123</c:v>
                </c:pt>
                <c:pt idx="310">
                  <c:v>5.4574067215669366</c:v>
                </c:pt>
                <c:pt idx="311">
                  <c:v>14.746725423550075</c:v>
                </c:pt>
                <c:pt idx="312">
                  <c:v>6.4766828560364509</c:v>
                </c:pt>
                <c:pt idx="313">
                  <c:v>0.25439628188585933</c:v>
                </c:pt>
                <c:pt idx="314">
                  <c:v>2.1622895141139984</c:v>
                </c:pt>
                <c:pt idx="315">
                  <c:v>3.828883421414139</c:v>
                </c:pt>
                <c:pt idx="316">
                  <c:v>5.3105551887634572</c:v>
                </c:pt>
                <c:pt idx="317">
                  <c:v>5.0742334314759923</c:v>
                </c:pt>
                <c:pt idx="318">
                  <c:v>2.4580924132183859</c:v>
                </c:pt>
                <c:pt idx="319">
                  <c:v>-0.75465091195452871</c:v>
                </c:pt>
                <c:pt idx="320">
                  <c:v>-0.62260097828812677</c:v>
                </c:pt>
                <c:pt idx="321">
                  <c:v>8.6993537794340074</c:v>
                </c:pt>
                <c:pt idx="322">
                  <c:v>30.603167117693211</c:v>
                </c:pt>
                <c:pt idx="323">
                  <c:v>9.5856004075576049</c:v>
                </c:pt>
                <c:pt idx="324">
                  <c:v>-5.4996617875565335</c:v>
                </c:pt>
                <c:pt idx="325">
                  <c:v>-29.052073474649873</c:v>
                </c:pt>
                <c:pt idx="326">
                  <c:v>-10.26158417078654</c:v>
                </c:pt>
                <c:pt idx="327">
                  <c:v>-4.2830104075745421</c:v>
                </c:pt>
                <c:pt idx="328">
                  <c:v>-2.3388330935640171</c:v>
                </c:pt>
                <c:pt idx="329">
                  <c:v>-1.9021035878198747</c:v>
                </c:pt>
                <c:pt idx="330">
                  <c:v>-1.6927097721124182</c:v>
                </c:pt>
                <c:pt idx="331">
                  <c:v>-0.77278985477279705</c:v>
                </c:pt>
                <c:pt idx="332">
                  <c:v>0.81102485471906227</c:v>
                </c:pt>
                <c:pt idx="333">
                  <c:v>1.7026774078948013</c:v>
                </c:pt>
                <c:pt idx="334">
                  <c:v>1.1095296729696051</c:v>
                </c:pt>
                <c:pt idx="335">
                  <c:v>-0.17150804801373551</c:v>
                </c:pt>
                <c:pt idx="336">
                  <c:v>-2.139084634520259</c:v>
                </c:pt>
                <c:pt idx="337">
                  <c:v>-6.327025620752269</c:v>
                </c:pt>
                <c:pt idx="338">
                  <c:v>-29.491248297003224</c:v>
                </c:pt>
                <c:pt idx="339">
                  <c:v>-26.94052153951197</c:v>
                </c:pt>
                <c:pt idx="340">
                  <c:v>0.56051391355506819</c:v>
                </c:pt>
                <c:pt idx="341">
                  <c:v>28.619428745801102</c:v>
                </c:pt>
                <c:pt idx="342">
                  <c:v>28.023932554486375</c:v>
                </c:pt>
                <c:pt idx="343">
                  <c:v>4.3903557665879971</c:v>
                </c:pt>
                <c:pt idx="344">
                  <c:v>0.56368238512679159</c:v>
                </c:pt>
                <c:pt idx="345">
                  <c:v>0.72293802377559291</c:v>
                </c:pt>
                <c:pt idx="346">
                  <c:v>2.0053169153137258</c:v>
                </c:pt>
                <c:pt idx="347">
                  <c:v>2.0301331614979898</c:v>
                </c:pt>
                <c:pt idx="348">
                  <c:v>0.38762284987519707</c:v>
                </c:pt>
                <c:pt idx="349">
                  <c:v>-1.2990448965194674</c:v>
                </c:pt>
                <c:pt idx="350">
                  <c:v>0.36726079555826346</c:v>
                </c:pt>
                <c:pt idx="351">
                  <c:v>7.4232286097214617</c:v>
                </c:pt>
                <c:pt idx="352">
                  <c:v>30.991538515954797</c:v>
                </c:pt>
                <c:pt idx="353">
                  <c:v>15.730612659507598</c:v>
                </c:pt>
                <c:pt idx="354">
                  <c:v>-3.1007080810680012</c:v>
                </c:pt>
                <c:pt idx="355">
                  <c:v>-28.790385886225859</c:v>
                </c:pt>
                <c:pt idx="356">
                  <c:v>-16.170561673872665</c:v>
                </c:pt>
                <c:pt idx="357">
                  <c:v>-4.7351742969394612</c:v>
                </c:pt>
                <c:pt idx="358">
                  <c:v>-2.1195117550624065</c:v>
                </c:pt>
                <c:pt idx="359">
                  <c:v>-1.2849962769369236</c:v>
                </c:pt>
                <c:pt idx="360">
                  <c:v>-0.3600824488451963</c:v>
                </c:pt>
                <c:pt idx="361">
                  <c:v>-5.190638761787341E-2</c:v>
                </c:pt>
                <c:pt idx="362">
                  <c:v>-1.0666265307350691</c:v>
                </c:pt>
                <c:pt idx="363">
                  <c:v>-2.7369363364181329</c:v>
                </c:pt>
                <c:pt idx="364">
                  <c:v>-3.7822131660581215</c:v>
                </c:pt>
                <c:pt idx="365">
                  <c:v>-3.0699261717381359</c:v>
                </c:pt>
                <c:pt idx="366">
                  <c:v>-5.2787528030622752</c:v>
                </c:pt>
                <c:pt idx="367">
                  <c:v>-18.384293710296163</c:v>
                </c:pt>
                <c:pt idx="368">
                  <c:v>-13.479233741293578</c:v>
                </c:pt>
                <c:pt idx="369">
                  <c:v>1.0875856188598656</c:v>
                </c:pt>
                <c:pt idx="370">
                  <c:v>20.870679313837364</c:v>
                </c:pt>
                <c:pt idx="371">
                  <c:v>18.754150628230374</c:v>
                </c:pt>
                <c:pt idx="372">
                  <c:v>5.6609077552482709</c:v>
                </c:pt>
                <c:pt idx="373">
                  <c:v>-1.6403598458181325</c:v>
                </c:pt>
                <c:pt idx="374">
                  <c:v>-4.045792787998403</c:v>
                </c:pt>
                <c:pt idx="375">
                  <c:v>-0.70230255444174272</c:v>
                </c:pt>
                <c:pt idx="376">
                  <c:v>3.225759530567863</c:v>
                </c:pt>
                <c:pt idx="377">
                  <c:v>4.0032327064873323</c:v>
                </c:pt>
                <c:pt idx="378">
                  <c:v>2.9446227520153418</c:v>
                </c:pt>
                <c:pt idx="379">
                  <c:v>3.2736503194745334</c:v>
                </c:pt>
                <c:pt idx="380">
                  <c:v>10.028535236484407</c:v>
                </c:pt>
                <c:pt idx="381">
                  <c:v>28.683168969551073</c:v>
                </c:pt>
                <c:pt idx="382">
                  <c:v>9.975738185319738</c:v>
                </c:pt>
                <c:pt idx="383">
                  <c:v>-6.7374534924698652</c:v>
                </c:pt>
                <c:pt idx="384">
                  <c:v>-28.116310417377072</c:v>
                </c:pt>
                <c:pt idx="385">
                  <c:v>-11.449278751209734</c:v>
                </c:pt>
                <c:pt idx="386">
                  <c:v>-3.600203515058138</c:v>
                </c:pt>
                <c:pt idx="387">
                  <c:v>-2.2123212585481196</c:v>
                </c:pt>
                <c:pt idx="388">
                  <c:v>-2.5257399260201208</c:v>
                </c:pt>
                <c:pt idx="389">
                  <c:v>-2.0953469270862572</c:v>
                </c:pt>
                <c:pt idx="390">
                  <c:v>-1.1964025757779988</c:v>
                </c:pt>
                <c:pt idx="391">
                  <c:v>0.13380847910267069</c:v>
                </c:pt>
                <c:pt idx="392">
                  <c:v>0.61483257435894156</c:v>
                </c:pt>
                <c:pt idx="393">
                  <c:v>0.7977149424772052</c:v>
                </c:pt>
                <c:pt idx="394">
                  <c:v>0.92035888206293448</c:v>
                </c:pt>
                <c:pt idx="395">
                  <c:v>0.44345729089000846</c:v>
                </c:pt>
                <c:pt idx="396">
                  <c:v>-0.96813599546305795</c:v>
                </c:pt>
                <c:pt idx="397">
                  <c:v>-5.554764838363857</c:v>
                </c:pt>
                <c:pt idx="398">
                  <c:v>-20.787171884981809</c:v>
                </c:pt>
                <c:pt idx="399">
                  <c:v>-22.882009724046718</c:v>
                </c:pt>
                <c:pt idx="400">
                  <c:v>1.6597989908013309</c:v>
                </c:pt>
                <c:pt idx="401">
                  <c:v>20.133202679100748</c:v>
                </c:pt>
                <c:pt idx="402">
                  <c:v>24.102952536978322</c:v>
                </c:pt>
                <c:pt idx="403">
                  <c:v>4.1731300820897337</c:v>
                </c:pt>
                <c:pt idx="404">
                  <c:v>2.0936120540209386</c:v>
                </c:pt>
                <c:pt idx="405">
                  <c:v>4.6691294568273332</c:v>
                </c:pt>
                <c:pt idx="406">
                  <c:v>2.5772119560322762</c:v>
                </c:pt>
                <c:pt idx="407">
                  <c:v>-8.2323389974073287</c:v>
                </c:pt>
                <c:pt idx="408">
                  <c:v>-10.10580790974306</c:v>
                </c:pt>
                <c:pt idx="409">
                  <c:v>-5.4921913099403961</c:v>
                </c:pt>
                <c:pt idx="410">
                  <c:v>7.0299301680066719</c:v>
                </c:pt>
                <c:pt idx="411">
                  <c:v>10.793304601868675</c:v>
                </c:pt>
                <c:pt idx="412">
                  <c:v>16.23633327046176</c:v>
                </c:pt>
                <c:pt idx="413">
                  <c:v>18.138595994104147</c:v>
                </c:pt>
                <c:pt idx="414">
                  <c:v>3.2702729525054246</c:v>
                </c:pt>
                <c:pt idx="415">
                  <c:v>-9.8105200626653595</c:v>
                </c:pt>
                <c:pt idx="416">
                  <c:v>-15.941845412746416</c:v>
                </c:pt>
                <c:pt idx="417">
                  <c:v>-3.7689031476999539</c:v>
                </c:pt>
                <c:pt idx="418">
                  <c:v>-0.38706264474666718</c:v>
                </c:pt>
                <c:pt idx="419">
                  <c:v>0.48552649151093497</c:v>
                </c:pt>
                <c:pt idx="420">
                  <c:v>-1.5491731296652083</c:v>
                </c:pt>
                <c:pt idx="421">
                  <c:v>-2.7151608716942675</c:v>
                </c:pt>
                <c:pt idx="422">
                  <c:v>-3.5946341441480025</c:v>
                </c:pt>
                <c:pt idx="423">
                  <c:v>-4.0296504585960067</c:v>
                </c:pt>
                <c:pt idx="424">
                  <c:v>-2.6249050663279987</c:v>
                </c:pt>
                <c:pt idx="425">
                  <c:v>-1.2859184837494773</c:v>
                </c:pt>
                <c:pt idx="426">
                  <c:v>-1.3069714315974656</c:v>
                </c:pt>
                <c:pt idx="427">
                  <c:v>-4.0352451573914783</c:v>
                </c:pt>
                <c:pt idx="428">
                  <c:v>-4.4223855123539959</c:v>
                </c:pt>
                <c:pt idx="429">
                  <c:v>4.9448175139673296</c:v>
                </c:pt>
                <c:pt idx="430">
                  <c:v>8.9599271808919934</c:v>
                </c:pt>
                <c:pt idx="431">
                  <c:v>5.6273294988215952</c:v>
                </c:pt>
                <c:pt idx="432">
                  <c:v>-11.53802372217894</c:v>
                </c:pt>
                <c:pt idx="433">
                  <c:v>-36.662835458673335</c:v>
                </c:pt>
                <c:pt idx="434">
                  <c:v>-10.30455397334307</c:v>
                </c:pt>
                <c:pt idx="435">
                  <c:v>6.4622368384230686</c:v>
                </c:pt>
                <c:pt idx="436">
                  <c:v>32.4357995343792</c:v>
                </c:pt>
                <c:pt idx="437">
                  <c:v>10.847016546572931</c:v>
                </c:pt>
                <c:pt idx="438">
                  <c:v>2.506347788488529</c:v>
                </c:pt>
                <c:pt idx="439">
                  <c:v>0.48356781938692467</c:v>
                </c:pt>
                <c:pt idx="440">
                  <c:v>1.4292737767301333</c:v>
                </c:pt>
                <c:pt idx="441">
                  <c:v>3.9108712946643971</c:v>
                </c:pt>
                <c:pt idx="442">
                  <c:v>6.2728757254990652</c:v>
                </c:pt>
                <c:pt idx="443">
                  <c:v>14.143795388440195</c:v>
                </c:pt>
                <c:pt idx="444">
                  <c:v>22.705985303125001</c:v>
                </c:pt>
                <c:pt idx="445">
                  <c:v>1.9164343852256065</c:v>
                </c:pt>
                <c:pt idx="446">
                  <c:v>-11.776986170783537</c:v>
                </c:pt>
                <c:pt idx="447">
                  <c:v>-24.455225499208197</c:v>
                </c:pt>
                <c:pt idx="448">
                  <c:v>-6.2724948215971992</c:v>
                </c:pt>
                <c:pt idx="449">
                  <c:v>-1.0872730742309236</c:v>
                </c:pt>
                <c:pt idx="450">
                  <c:v>-0.29615144759133422</c:v>
                </c:pt>
                <c:pt idx="451">
                  <c:v>-1.2148265795211957</c:v>
                </c:pt>
                <c:pt idx="452">
                  <c:v>-2.4551315039098731</c:v>
                </c:pt>
                <c:pt idx="453">
                  <c:v>-1.9630838195481375</c:v>
                </c:pt>
                <c:pt idx="454">
                  <c:v>-0.91478397919948606</c:v>
                </c:pt>
                <c:pt idx="455">
                  <c:v>-0.5149254678355949</c:v>
                </c:pt>
                <c:pt idx="456">
                  <c:v>-1.9254134040324062</c:v>
                </c:pt>
                <c:pt idx="457">
                  <c:v>-7.2645794994777297</c:v>
                </c:pt>
                <c:pt idx="458">
                  <c:v>-27.843685293668461</c:v>
                </c:pt>
                <c:pt idx="459">
                  <c:v>-21.853635552583942</c:v>
                </c:pt>
                <c:pt idx="460">
                  <c:v>3.1160723028120021</c:v>
                </c:pt>
                <c:pt idx="461">
                  <c:v>27.483523031055256</c:v>
                </c:pt>
                <c:pt idx="462">
                  <c:v>22.196057415042077</c:v>
                </c:pt>
                <c:pt idx="463">
                  <c:v>2.7605667685514619</c:v>
                </c:pt>
                <c:pt idx="464">
                  <c:v>0.50330107143505909</c:v>
                </c:pt>
                <c:pt idx="465">
                  <c:v>2.1770816854918622</c:v>
                </c:pt>
                <c:pt idx="466">
                  <c:v>2.7765201702699946</c:v>
                </c:pt>
                <c:pt idx="467">
                  <c:v>2.161549665920393</c:v>
                </c:pt>
                <c:pt idx="468">
                  <c:v>1.7393800002317221</c:v>
                </c:pt>
                <c:pt idx="469">
                  <c:v>3.043884778782922</c:v>
                </c:pt>
                <c:pt idx="470">
                  <c:v>6.5804413356985227</c:v>
                </c:pt>
                <c:pt idx="471">
                  <c:v>9.3495823224137293</c:v>
                </c:pt>
                <c:pt idx="472">
                  <c:v>14.057481400259329</c:v>
                </c:pt>
                <c:pt idx="473">
                  <c:v>3.4998034691319995</c:v>
                </c:pt>
                <c:pt idx="474">
                  <c:v>-5.6884090961977414</c:v>
                </c:pt>
                <c:pt idx="475">
                  <c:v>-14.134967995749069</c:v>
                </c:pt>
                <c:pt idx="476">
                  <c:v>-9.648100593476018</c:v>
                </c:pt>
                <c:pt idx="477">
                  <c:v>-5.0533558825577458</c:v>
                </c:pt>
                <c:pt idx="478">
                  <c:v>-3.2828335660344239</c:v>
                </c:pt>
                <c:pt idx="479">
                  <c:v>-1.622723332963081</c:v>
                </c:pt>
                <c:pt idx="480">
                  <c:v>-0.68545278373814356</c:v>
                </c:pt>
                <c:pt idx="481">
                  <c:v>-1.3645154405505462</c:v>
                </c:pt>
                <c:pt idx="482">
                  <c:v>-3.2777734150546771</c:v>
                </c:pt>
                <c:pt idx="483">
                  <c:v>-6.0036985715426763</c:v>
                </c:pt>
                <c:pt idx="484">
                  <c:v>-7.2805119752170642</c:v>
                </c:pt>
                <c:pt idx="485">
                  <c:v>-11.622352844626434</c:v>
                </c:pt>
                <c:pt idx="486">
                  <c:v>-20.523319608305556</c:v>
                </c:pt>
                <c:pt idx="487">
                  <c:v>-0.93968530989533294</c:v>
                </c:pt>
                <c:pt idx="488">
                  <c:v>10.705977081211909</c:v>
                </c:pt>
                <c:pt idx="489">
                  <c:v>25.526846829349829</c:v>
                </c:pt>
                <c:pt idx="490">
                  <c:v>10.040814814509069</c:v>
                </c:pt>
                <c:pt idx="491">
                  <c:v>4.4723379566676078</c:v>
                </c:pt>
                <c:pt idx="492">
                  <c:v>1.1308946551661394</c:v>
                </c:pt>
                <c:pt idx="493">
                  <c:v>-7.3542133929064821E-2</c:v>
                </c:pt>
                <c:pt idx="494">
                  <c:v>0.26348115262612737</c:v>
                </c:pt>
                <c:pt idx="495">
                  <c:v>2.1934469600341271</c:v>
                </c:pt>
                <c:pt idx="496">
                  <c:v>5.0993394539026671</c:v>
                </c:pt>
                <c:pt idx="497">
                  <c:v>7.2082821114109876</c:v>
                </c:pt>
                <c:pt idx="498">
                  <c:v>16.544452908918501</c:v>
                </c:pt>
                <c:pt idx="499">
                  <c:v>11.671846902547721</c:v>
                </c:pt>
                <c:pt idx="500">
                  <c:v>-0.77519498989591584</c:v>
                </c:pt>
                <c:pt idx="501">
                  <c:v>-15.381699011707429</c:v>
                </c:pt>
                <c:pt idx="502">
                  <c:v>-16.228475919673709</c:v>
                </c:pt>
                <c:pt idx="503">
                  <c:v>-7.6285461206525271</c:v>
                </c:pt>
                <c:pt idx="504">
                  <c:v>-3.8633134725626554</c:v>
                </c:pt>
                <c:pt idx="505">
                  <c:v>-2.2445176039694616</c:v>
                </c:pt>
                <c:pt idx="506">
                  <c:v>-2.5706489892143964</c:v>
                </c:pt>
                <c:pt idx="507">
                  <c:v>-3.450086966452</c:v>
                </c:pt>
                <c:pt idx="508">
                  <c:v>-2.5607771054792088</c:v>
                </c:pt>
                <c:pt idx="509">
                  <c:v>-1.8221462922036</c:v>
                </c:pt>
                <c:pt idx="510">
                  <c:v>-2.6672806333709334</c:v>
                </c:pt>
                <c:pt idx="511">
                  <c:v>-12.051048036850656</c:v>
                </c:pt>
                <c:pt idx="512">
                  <c:v>-13.408471225149867</c:v>
                </c:pt>
                <c:pt idx="513">
                  <c:v>3.3424065015824036</c:v>
                </c:pt>
                <c:pt idx="514">
                  <c:v>16.583644500470658</c:v>
                </c:pt>
                <c:pt idx="515">
                  <c:v>16.456116610214135</c:v>
                </c:pt>
                <c:pt idx="516">
                  <c:v>5.8490375026796451E-2</c:v>
                </c:pt>
                <c:pt idx="517">
                  <c:v>-5.7666825710675917</c:v>
                </c:pt>
                <c:pt idx="518">
                  <c:v>-1.8020676714321326</c:v>
                </c:pt>
                <c:pt idx="519">
                  <c:v>3.4265663822240038</c:v>
                </c:pt>
                <c:pt idx="520">
                  <c:v>6.9760004124631978</c:v>
                </c:pt>
                <c:pt idx="521">
                  <c:v>5.6664913553340064</c:v>
                </c:pt>
                <c:pt idx="522">
                  <c:v>3.4848571726078719</c:v>
                </c:pt>
                <c:pt idx="523">
                  <c:v>5.2512617052321353</c:v>
                </c:pt>
                <c:pt idx="524">
                  <c:v>23.013928006256478</c:v>
                </c:pt>
                <c:pt idx="525">
                  <c:v>12.748341789640053</c:v>
                </c:pt>
                <c:pt idx="526">
                  <c:v>-2.6808796813077325</c:v>
                </c:pt>
                <c:pt idx="527">
                  <c:v>-24.149417821863011</c:v>
                </c:pt>
                <c:pt idx="528">
                  <c:v>-15.835616190731526</c:v>
                </c:pt>
                <c:pt idx="529">
                  <c:v>-5.1975572281457367</c:v>
                </c:pt>
                <c:pt idx="530">
                  <c:v>-2.0214299235080189</c:v>
                </c:pt>
                <c:pt idx="531">
                  <c:v>-0.92485418067108194</c:v>
                </c:pt>
                <c:pt idx="532">
                  <c:v>-0.32317248728854797</c:v>
                </c:pt>
                <c:pt idx="533">
                  <c:v>5.9968914225858809E-2</c:v>
                </c:pt>
                <c:pt idx="534">
                  <c:v>-1.0132683071528088</c:v>
                </c:pt>
                <c:pt idx="535">
                  <c:v>-4.340573301608007</c:v>
                </c:pt>
                <c:pt idx="536">
                  <c:v>-9.3387940168862702</c:v>
                </c:pt>
                <c:pt idx="537">
                  <c:v>-11.312053987362356</c:v>
                </c:pt>
                <c:pt idx="538">
                  <c:v>-6.0794135255336155</c:v>
                </c:pt>
                <c:pt idx="539">
                  <c:v>11.281888301244257</c:v>
                </c:pt>
                <c:pt idx="540">
                  <c:v>12.67666532861324</c:v>
                </c:pt>
                <c:pt idx="541">
                  <c:v>-2.3985518520432798</c:v>
                </c:pt>
                <c:pt idx="542">
                  <c:v>-9.3120470057949216</c:v>
                </c:pt>
                <c:pt idx="543">
                  <c:v>-2.5459412467022182</c:v>
                </c:pt>
                <c:pt idx="544">
                  <c:v>13.571851195215155</c:v>
                </c:pt>
                <c:pt idx="545">
                  <c:v>10.12401068433773</c:v>
                </c:pt>
                <c:pt idx="546">
                  <c:v>2.7048543663169315</c:v>
                </c:pt>
                <c:pt idx="547">
                  <c:v>-1.9914548303924069</c:v>
                </c:pt>
                <c:pt idx="548">
                  <c:v>0.24810284877986155</c:v>
                </c:pt>
                <c:pt idx="549">
                  <c:v>10.469139244296791</c:v>
                </c:pt>
                <c:pt idx="550">
                  <c:v>25.570027999591716</c:v>
                </c:pt>
                <c:pt idx="551">
                  <c:v>9.7838770234364087</c:v>
                </c:pt>
                <c:pt idx="552">
                  <c:v>-7.6865052875356064</c:v>
                </c:pt>
                <c:pt idx="553">
                  <c:v>-24.58635192105119</c:v>
                </c:pt>
                <c:pt idx="554">
                  <c:v>-12.135777393905347</c:v>
                </c:pt>
                <c:pt idx="555">
                  <c:v>-3.1198136805375953</c:v>
                </c:pt>
                <c:pt idx="556">
                  <c:v>1.2565292239881352</c:v>
                </c:pt>
                <c:pt idx="557">
                  <c:v>2.7163042962877246</c:v>
                </c:pt>
                <c:pt idx="558">
                  <c:v>1.7931612782829309</c:v>
                </c:pt>
                <c:pt idx="559">
                  <c:v>0.65931684316480343</c:v>
                </c:pt>
                <c:pt idx="560">
                  <c:v>-1.1355871082693285</c:v>
                </c:pt>
                <c:pt idx="561">
                  <c:v>-1.1855934452933299</c:v>
                </c:pt>
                <c:pt idx="562">
                  <c:v>-0.62409429109413095</c:v>
                </c:pt>
                <c:pt idx="563">
                  <c:v>-0.3507308300601229</c:v>
                </c:pt>
                <c:pt idx="564">
                  <c:v>-0.64912537520546421</c:v>
                </c:pt>
                <c:pt idx="565">
                  <c:v>-3.2041452773581343</c:v>
                </c:pt>
                <c:pt idx="566">
                  <c:v>-9.5086806877517347</c:v>
                </c:pt>
                <c:pt idx="567">
                  <c:v>-29.072627118221995</c:v>
                </c:pt>
                <c:pt idx="568">
                  <c:v>-12.256337916513464</c:v>
                </c:pt>
                <c:pt idx="569">
                  <c:v>7.4602418105244004</c:v>
                </c:pt>
                <c:pt idx="570">
                  <c:v>27.410325223804531</c:v>
                </c:pt>
                <c:pt idx="571">
                  <c:v>12.709770622807461</c:v>
                </c:pt>
                <c:pt idx="572">
                  <c:v>5.1091320402391227E-2</c:v>
                </c:pt>
                <c:pt idx="573">
                  <c:v>1.7135591962955989</c:v>
                </c:pt>
                <c:pt idx="574">
                  <c:v>4.4225636791799996</c:v>
                </c:pt>
                <c:pt idx="575">
                  <c:v>2.4686109302145423</c:v>
                </c:pt>
                <c:pt idx="576">
                  <c:v>-2.8443462429815938</c:v>
                </c:pt>
                <c:pt idx="577">
                  <c:v>-4.4111247108249243</c:v>
                </c:pt>
                <c:pt idx="578">
                  <c:v>-2.1096895337537265</c:v>
                </c:pt>
                <c:pt idx="579">
                  <c:v>4.3350327076382653</c:v>
                </c:pt>
                <c:pt idx="580">
                  <c:v>9.378406966149738</c:v>
                </c:pt>
                <c:pt idx="581">
                  <c:v>15.077594388734452</c:v>
                </c:pt>
                <c:pt idx="582">
                  <c:v>11.392761310082417</c:v>
                </c:pt>
                <c:pt idx="583">
                  <c:v>3.3893426098174042</c:v>
                </c:pt>
                <c:pt idx="584">
                  <c:v>-8.3782613236643204</c:v>
                </c:pt>
                <c:pt idx="585">
                  <c:v>-10.112086002204013</c:v>
                </c:pt>
                <c:pt idx="586">
                  <c:v>-8.2714152154768659</c:v>
                </c:pt>
                <c:pt idx="587">
                  <c:v>-4.5665831089717281</c:v>
                </c:pt>
                <c:pt idx="588">
                  <c:v>-1.0229420686953368</c:v>
                </c:pt>
                <c:pt idx="589">
                  <c:v>-0.68316618141200258</c:v>
                </c:pt>
                <c:pt idx="590">
                  <c:v>-1.8688443267829298</c:v>
                </c:pt>
                <c:pt idx="591">
                  <c:v>-3.1972530672611965</c:v>
                </c:pt>
                <c:pt idx="592">
                  <c:v>-2.7315247924372064</c:v>
                </c:pt>
                <c:pt idx="593">
                  <c:v>-1.1136780564410855</c:v>
                </c:pt>
                <c:pt idx="594">
                  <c:v>-0.3394382320309357</c:v>
                </c:pt>
                <c:pt idx="595">
                  <c:v>-1.5276756415729325</c:v>
                </c:pt>
                <c:pt idx="596">
                  <c:v>-5.4714952364766614</c:v>
                </c:pt>
                <c:pt idx="597">
                  <c:v>-9.4850913425165508</c:v>
                </c:pt>
                <c:pt idx="598">
                  <c:v>-9.0962726167518149</c:v>
                </c:pt>
                <c:pt idx="599">
                  <c:v>-7.1050259646769804</c:v>
                </c:pt>
                <c:pt idx="600">
                  <c:v>2.5232708025534767</c:v>
                </c:pt>
                <c:pt idx="601">
                  <c:v>6.3648616971964751</c:v>
                </c:pt>
                <c:pt idx="602">
                  <c:v>10.039691169138436</c:v>
                </c:pt>
                <c:pt idx="603">
                  <c:v>7.5853785522389288</c:v>
                </c:pt>
                <c:pt idx="604">
                  <c:v>5.7316348940086606</c:v>
                </c:pt>
                <c:pt idx="605">
                  <c:v>3.4823633376362673</c:v>
                </c:pt>
                <c:pt idx="606">
                  <c:v>0.89159670552506531</c:v>
                </c:pt>
                <c:pt idx="607">
                  <c:v>0.56618666337199863</c:v>
                </c:pt>
                <c:pt idx="608">
                  <c:v>3.6337991530372018</c:v>
                </c:pt>
                <c:pt idx="609">
                  <c:v>13.730764304482136</c:v>
                </c:pt>
                <c:pt idx="610">
                  <c:v>34.159782395768545</c:v>
                </c:pt>
                <c:pt idx="611">
                  <c:v>6.4645890310397363</c:v>
                </c:pt>
                <c:pt idx="612">
                  <c:v>-8.7479506576601356</c:v>
                </c:pt>
                <c:pt idx="613">
                  <c:v>-32.778042589577467</c:v>
                </c:pt>
                <c:pt idx="614">
                  <c:v>-9.5057129869417238</c:v>
                </c:pt>
                <c:pt idx="615">
                  <c:v>-5.0043421617045247</c:v>
                </c:pt>
                <c:pt idx="616">
                  <c:v>-3.155484164652929</c:v>
                </c:pt>
                <c:pt idx="617">
                  <c:v>-1.4017455962671952</c:v>
                </c:pt>
                <c:pt idx="618">
                  <c:v>0.61961550964761047</c:v>
                </c:pt>
                <c:pt idx="619">
                  <c:v>1.5150893419044074</c:v>
                </c:pt>
                <c:pt idx="620">
                  <c:v>1.3636170775865444</c:v>
                </c:pt>
                <c:pt idx="621">
                  <c:v>1.6475764265866624E-2</c:v>
                </c:pt>
                <c:pt idx="622">
                  <c:v>-1.491669565671206</c:v>
                </c:pt>
                <c:pt idx="623">
                  <c:v>-3.0804075355052194</c:v>
                </c:pt>
                <c:pt idx="624">
                  <c:v>-6.4908667956122761</c:v>
                </c:pt>
                <c:pt idx="625">
                  <c:v>-26.69174569218821</c:v>
                </c:pt>
                <c:pt idx="626">
                  <c:v>-22.368969752896589</c:v>
                </c:pt>
                <c:pt idx="627">
                  <c:v>1.8071689566017388</c:v>
                </c:pt>
                <c:pt idx="628">
                  <c:v>27.016352322679946</c:v>
                </c:pt>
                <c:pt idx="629">
                  <c:v>25.657326136496188</c:v>
                </c:pt>
                <c:pt idx="630">
                  <c:v>4.0825994553622573</c:v>
                </c:pt>
                <c:pt idx="631">
                  <c:v>-1.2382299478816019</c:v>
                </c:pt>
                <c:pt idx="632">
                  <c:v>-0.89129386400479693</c:v>
                </c:pt>
                <c:pt idx="633">
                  <c:v>2.4516431842874757</c:v>
                </c:pt>
                <c:pt idx="634">
                  <c:v>5.3900704036465337</c:v>
                </c:pt>
                <c:pt idx="635">
                  <c:v>5.7525062444210642</c:v>
                </c:pt>
                <c:pt idx="636">
                  <c:v>6.464473479159718</c:v>
                </c:pt>
                <c:pt idx="637">
                  <c:v>8.3810035852424516</c:v>
                </c:pt>
                <c:pt idx="638">
                  <c:v>12.754915206580369</c:v>
                </c:pt>
                <c:pt idx="639">
                  <c:v>1.9284781198405445</c:v>
                </c:pt>
                <c:pt idx="640">
                  <c:v>-7.555760404477514</c:v>
                </c:pt>
                <c:pt idx="641">
                  <c:v>-15.640948599098889</c:v>
                </c:pt>
                <c:pt idx="642">
                  <c:v>-9.4017241201249302</c:v>
                </c:pt>
                <c:pt idx="643">
                  <c:v>-4.2628378122765298</c:v>
                </c:pt>
                <c:pt idx="644">
                  <c:v>-1.9984694934528155</c:v>
                </c:pt>
                <c:pt idx="645">
                  <c:v>-1.0118533292970673</c:v>
                </c:pt>
                <c:pt idx="646">
                  <c:v>-0.93404823712561069</c:v>
                </c:pt>
                <c:pt idx="647">
                  <c:v>-1.1976268488455843</c:v>
                </c:pt>
                <c:pt idx="648">
                  <c:v>-1.8498253995037279</c:v>
                </c:pt>
                <c:pt idx="649">
                  <c:v>-4.7411059363194603</c:v>
                </c:pt>
                <c:pt idx="650">
                  <c:v>-13.240579891796674</c:v>
                </c:pt>
                <c:pt idx="651">
                  <c:v>-27.065192966564002</c:v>
                </c:pt>
                <c:pt idx="652">
                  <c:v>-2.8040680695306648</c:v>
                </c:pt>
                <c:pt idx="653">
                  <c:v>13.2421892800532</c:v>
                </c:pt>
                <c:pt idx="654">
                  <c:v>25.790266555610796</c:v>
                </c:pt>
                <c:pt idx="655">
                  <c:v>4.0012694234888011</c:v>
                </c:pt>
                <c:pt idx="656">
                  <c:v>-0.91000461893426443</c:v>
                </c:pt>
                <c:pt idx="657">
                  <c:v>3.5994825105702755</c:v>
                </c:pt>
                <c:pt idx="658">
                  <c:v>8.3306919163342794</c:v>
                </c:pt>
                <c:pt idx="659">
                  <c:v>13.915147415263338</c:v>
                </c:pt>
                <c:pt idx="660">
                  <c:v>18.569339906039311</c:v>
                </c:pt>
                <c:pt idx="661">
                  <c:v>1.9208186496381967</c:v>
                </c:pt>
                <c:pt idx="662">
                  <c:v>-9.3129032732409698</c:v>
                </c:pt>
                <c:pt idx="663">
                  <c:v>-17.868314505361841</c:v>
                </c:pt>
                <c:pt idx="664">
                  <c:v>-2.0661026519947314</c:v>
                </c:pt>
                <c:pt idx="665">
                  <c:v>1.1418504401487062</c:v>
                </c:pt>
                <c:pt idx="666">
                  <c:v>-0.57476468958013427</c:v>
                </c:pt>
                <c:pt idx="667">
                  <c:v>-0.87383203220492767</c:v>
                </c:pt>
                <c:pt idx="668">
                  <c:v>0.97972403018840548</c:v>
                </c:pt>
                <c:pt idx="669">
                  <c:v>2.2051047018188075</c:v>
                </c:pt>
                <c:pt idx="670">
                  <c:v>-1.3736434442970678</c:v>
                </c:pt>
                <c:pt idx="671">
                  <c:v>-4.5057808368897367</c:v>
                </c:pt>
                <c:pt idx="672">
                  <c:v>-3.9184626567982757</c:v>
                </c:pt>
                <c:pt idx="673">
                  <c:v>-4.1417633549848087</c:v>
                </c:pt>
                <c:pt idx="674">
                  <c:v>-7.3643044089704066</c:v>
                </c:pt>
                <c:pt idx="675">
                  <c:v>-21.96255513418928</c:v>
                </c:pt>
                <c:pt idx="676">
                  <c:v>-17.99323580251485</c:v>
                </c:pt>
                <c:pt idx="677">
                  <c:v>4.8251639957082686</c:v>
                </c:pt>
                <c:pt idx="678">
                  <c:v>22.820702821921682</c:v>
                </c:pt>
                <c:pt idx="679">
                  <c:v>20.509584173658983</c:v>
                </c:pt>
                <c:pt idx="680">
                  <c:v>-1.1898702836984059</c:v>
                </c:pt>
                <c:pt idx="681">
                  <c:v>-3.6738083045985377</c:v>
                </c:pt>
                <c:pt idx="682">
                  <c:v>-9.0335467219604962E-2</c:v>
                </c:pt>
                <c:pt idx="683">
                  <c:v>4.4894506372903988</c:v>
                </c:pt>
                <c:pt idx="684">
                  <c:v>4.0175331003849273</c:v>
                </c:pt>
                <c:pt idx="685">
                  <c:v>0.21438670214505842</c:v>
                </c:pt>
                <c:pt idx="686">
                  <c:v>-1.6755496230621401</c:v>
                </c:pt>
                <c:pt idx="687">
                  <c:v>3.2632888255985257</c:v>
                </c:pt>
                <c:pt idx="688">
                  <c:v>22.792998839770576</c:v>
                </c:pt>
                <c:pt idx="689">
                  <c:v>19.617878189226762</c:v>
                </c:pt>
                <c:pt idx="690">
                  <c:v>1.8461933371984021</c:v>
                </c:pt>
                <c:pt idx="691">
                  <c:v>-19.755080156887907</c:v>
                </c:pt>
                <c:pt idx="692">
                  <c:v>-17.361724093099564</c:v>
                </c:pt>
                <c:pt idx="693">
                  <c:v>-3.804244354858664</c:v>
                </c:pt>
                <c:pt idx="694">
                  <c:v>-2.124863377258801</c:v>
                </c:pt>
                <c:pt idx="695">
                  <c:v>-2.3984912031790753</c:v>
                </c:pt>
                <c:pt idx="696">
                  <c:v>-2.1642274407609423</c:v>
                </c:pt>
                <c:pt idx="697">
                  <c:v>-1.0409608595286803</c:v>
                </c:pt>
                <c:pt idx="698">
                  <c:v>-0.89397277117626206</c:v>
                </c:pt>
                <c:pt idx="699">
                  <c:v>-2.3544072394967999</c:v>
                </c:pt>
                <c:pt idx="700">
                  <c:v>-4.9036243539246627</c:v>
                </c:pt>
                <c:pt idx="701">
                  <c:v>-9.8289981705168046</c:v>
                </c:pt>
                <c:pt idx="702">
                  <c:v>-13.808933925589631</c:v>
                </c:pt>
                <c:pt idx="703">
                  <c:v>-3.6199664180391076</c:v>
                </c:pt>
                <c:pt idx="704">
                  <c:v>4.9958749025584694</c:v>
                </c:pt>
                <c:pt idx="705">
                  <c:v>15.001429630903623</c:v>
                </c:pt>
                <c:pt idx="706">
                  <c:v>9.7708812746753715</c:v>
                </c:pt>
                <c:pt idx="707">
                  <c:v>7.8850243830008599</c:v>
                </c:pt>
                <c:pt idx="708">
                  <c:v>5.5293370908319428</c:v>
                </c:pt>
                <c:pt idx="709">
                  <c:v>-4.2422821328727505</c:v>
                </c:pt>
                <c:pt idx="710">
                  <c:v>-10.277195130794929</c:v>
                </c:pt>
                <c:pt idx="711">
                  <c:v>-7.1304464715520801</c:v>
                </c:pt>
                <c:pt idx="712">
                  <c:v>3.0784779800855446</c:v>
                </c:pt>
                <c:pt idx="713">
                  <c:v>9.817876167698266</c:v>
                </c:pt>
                <c:pt idx="714">
                  <c:v>5.9992234184258679</c:v>
                </c:pt>
                <c:pt idx="715">
                  <c:v>3.0781070601734655</c:v>
                </c:pt>
                <c:pt idx="716">
                  <c:v>7.4801758776134122</c:v>
                </c:pt>
                <c:pt idx="717">
                  <c:v>25.853532488100058</c:v>
                </c:pt>
                <c:pt idx="718">
                  <c:v>7.6223559332808053</c:v>
                </c:pt>
                <c:pt idx="719">
                  <c:v>-5.627764568065281</c:v>
                </c:pt>
                <c:pt idx="720">
                  <c:v>-27.122394242178586</c:v>
                </c:pt>
                <c:pt idx="721">
                  <c:v>-10.599742490556272</c:v>
                </c:pt>
                <c:pt idx="722">
                  <c:v>-2.6842923501998714</c:v>
                </c:pt>
                <c:pt idx="723">
                  <c:v>1.4880604218130125E-2</c:v>
                </c:pt>
                <c:pt idx="724">
                  <c:v>-5.5700593756394794E-2</c:v>
                </c:pt>
                <c:pt idx="725">
                  <c:v>-1.734433541917997</c:v>
                </c:pt>
                <c:pt idx="726">
                  <c:v>-3.1557823526037359</c:v>
                </c:pt>
                <c:pt idx="727">
                  <c:v>-2.3039859373829361</c:v>
                </c:pt>
                <c:pt idx="728">
                  <c:v>0.97643460755639355</c:v>
                </c:pt>
                <c:pt idx="729">
                  <c:v>2.9949196591514617</c:v>
                </c:pt>
                <c:pt idx="730">
                  <c:v>1.494388241343457</c:v>
                </c:pt>
                <c:pt idx="731">
                  <c:v>-1.2678842675490691</c:v>
                </c:pt>
                <c:pt idx="732">
                  <c:v>-3.9662737681022691</c:v>
                </c:pt>
                <c:pt idx="733">
                  <c:v>-11.765977325112347</c:v>
                </c:pt>
                <c:pt idx="734">
                  <c:v>-28.634098267782061</c:v>
                </c:pt>
                <c:pt idx="735">
                  <c:v>-7.1636059955466713</c:v>
                </c:pt>
                <c:pt idx="736">
                  <c:v>9.285890091431936</c:v>
                </c:pt>
                <c:pt idx="737">
                  <c:v>30.785715982370586</c:v>
                </c:pt>
                <c:pt idx="738">
                  <c:v>11.568230139730002</c:v>
                </c:pt>
                <c:pt idx="739">
                  <c:v>3.2394408593090782</c:v>
                </c:pt>
                <c:pt idx="740">
                  <c:v>0.68029520378840225</c:v>
                </c:pt>
                <c:pt idx="741">
                  <c:v>1.7305309215458693</c:v>
                </c:pt>
                <c:pt idx="742">
                  <c:v>3.268899917241864</c:v>
                </c:pt>
                <c:pt idx="743">
                  <c:v>1.4805112172926709</c:v>
                </c:pt>
                <c:pt idx="744">
                  <c:v>-6.1405557280156025</c:v>
                </c:pt>
                <c:pt idx="745">
                  <c:v>-7.9851401322142692</c:v>
                </c:pt>
                <c:pt idx="746">
                  <c:v>-1.1530718949262715</c:v>
                </c:pt>
                <c:pt idx="747">
                  <c:v>16.522097243059534</c:v>
                </c:pt>
                <c:pt idx="748">
                  <c:v>33.744852671181</c:v>
                </c:pt>
                <c:pt idx="749">
                  <c:v>8.263125187725068</c:v>
                </c:pt>
                <c:pt idx="750">
                  <c:v>-11.87555409674647</c:v>
                </c:pt>
                <c:pt idx="751">
                  <c:v>-29.580400351381002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82872"/>
        <c:axId val="865491888"/>
      </c:scatterChart>
      <c:valAx>
        <c:axId val="865482872"/>
        <c:scaling>
          <c:orientation val="minMax"/>
          <c:max val="2015"/>
          <c:min val="1955"/>
        </c:scaling>
        <c:delete val="0"/>
        <c:axPos val="b"/>
        <c:minorGridlines>
          <c:spPr>
            <a:ln>
              <a:solidFill>
                <a:schemeClr val="accent5">
                  <a:shade val="76000"/>
                  <a:shade val="95000"/>
                  <a:satMod val="105000"/>
                  <a:alpha val="26000"/>
                </a:schemeClr>
              </a:solidFill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>
            <c:manualLayout>
              <c:xMode val="edge"/>
              <c:yMode val="edge"/>
              <c:x val="0.52447836566131523"/>
              <c:y val="0.9176886724536778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865491888"/>
        <c:crosses val="autoZero"/>
        <c:crossBetween val="midCat"/>
        <c:majorUnit val="5"/>
        <c:minorUnit val="1"/>
      </c:valAx>
      <c:valAx>
        <c:axId val="8654918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654828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8884496334509908"/>
          <c:y val="3.7372008340854626E-3"/>
          <c:w val="0.27334607656801518"/>
          <c:h val="0.19059724253835861"/>
        </c:manualLayout>
      </c:layout>
      <c:overlay val="0"/>
    </c:legend>
    <c:plotVisOnly val="1"/>
    <c:dispBlanksAs val="gap"/>
    <c:showDLblsOverMax val="0"/>
  </c:chart>
  <c:spPr>
    <a:solidFill>
      <a:schemeClr val="bg2">
        <a:lumMod val="90000"/>
      </a:schemeClr>
    </a:solidFill>
  </c:spPr>
  <c:txPr>
    <a:bodyPr/>
    <a:lstStyle/>
    <a:p>
      <a:pPr>
        <a:defRPr sz="1200" baseline="0"/>
      </a:pPr>
      <a:endParaRPr lang="en-US"/>
    </a:p>
  </c:txPr>
  <c:printSettings>
    <c:headerFooter/>
    <c:pageMargins b="0.75" l="0.7" r="0.7" t="0.75" header="0.3" footer="0.3"/>
    <c:pageSetup paperSize="3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15883066236678E-2"/>
          <c:y val="5.1400554097404488E-2"/>
          <c:w val="0.88301355151382044"/>
          <c:h val="0.8326195683872849"/>
        </c:manualLayout>
      </c:layout>
      <c:scatterChart>
        <c:scatterStyle val="lineMarker"/>
        <c:varyColors val="0"/>
        <c:ser>
          <c:idx val="6"/>
          <c:order val="0"/>
          <c:tx>
            <c:strRef>
              <c:f>offset_qbo_all_terms_30hPa!$H$2</c:f>
              <c:strCache>
                <c:ptCount val="1"/>
                <c:pt idx="0">
                  <c:v>Q2 </c:v>
                </c:pt>
              </c:strCache>
            </c:strRef>
          </c:tx>
          <c:marker>
            <c:symbol val="none"/>
          </c:marker>
          <c:xVal>
            <c:numRef>
              <c:f>offset_qbo_all_terms_30hPa!$A$3:$A$756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offset_qbo_all_terms_30hPa!$H$3:$H$756</c:f>
              <c:numCache>
                <c:formatCode>General</c:formatCode>
                <c:ptCount val="754"/>
                <c:pt idx="4">
                  <c:v>0.6</c:v>
                </c:pt>
                <c:pt idx="5">
                  <c:v>1.3333333333333335</c:v>
                </c:pt>
                <c:pt idx="6">
                  <c:v>1.5000000000000002</c:v>
                </c:pt>
                <c:pt idx="7">
                  <c:v>-0.6</c:v>
                </c:pt>
                <c:pt idx="8">
                  <c:v>-2</c:v>
                </c:pt>
                <c:pt idx="9">
                  <c:v>-4.4333333333333327</c:v>
                </c:pt>
                <c:pt idx="10">
                  <c:v>-3.3333333333333335</c:v>
                </c:pt>
                <c:pt idx="11">
                  <c:v>-1.4999999999999996</c:v>
                </c:pt>
                <c:pt idx="12">
                  <c:v>1.9333333333333336</c:v>
                </c:pt>
                <c:pt idx="13">
                  <c:v>3.5</c:v>
                </c:pt>
                <c:pt idx="14">
                  <c:v>5.3333333333333339</c:v>
                </c:pt>
                <c:pt idx="15">
                  <c:v>4.8333333333333339</c:v>
                </c:pt>
                <c:pt idx="16">
                  <c:v>5.3333333333333339</c:v>
                </c:pt>
                <c:pt idx="17">
                  <c:v>5.8333333333333339</c:v>
                </c:pt>
                <c:pt idx="18">
                  <c:v>10.666666666666668</c:v>
                </c:pt>
                <c:pt idx="19">
                  <c:v>9.5</c:v>
                </c:pt>
                <c:pt idx="20">
                  <c:v>7.3333333333333339</c:v>
                </c:pt>
                <c:pt idx="21">
                  <c:v>-0.16666666666666644</c:v>
                </c:pt>
                <c:pt idx="22">
                  <c:v>-3.7333333333333329</c:v>
                </c:pt>
                <c:pt idx="23">
                  <c:v>-8.8333333333333321</c:v>
                </c:pt>
                <c:pt idx="24">
                  <c:v>-6.0000000000000009</c:v>
                </c:pt>
                <c:pt idx="25">
                  <c:v>-4.0999999999999996</c:v>
                </c:pt>
                <c:pt idx="26">
                  <c:v>0</c:v>
                </c:pt>
                <c:pt idx="27">
                  <c:v>-0.93333333333333324</c:v>
                </c:pt>
                <c:pt idx="28">
                  <c:v>-1.6666666666666667</c:v>
                </c:pt>
                <c:pt idx="29">
                  <c:v>-3.5666666666666664</c:v>
                </c:pt>
                <c:pt idx="30">
                  <c:v>-6.8666666666666671</c:v>
                </c:pt>
                <c:pt idx="31">
                  <c:v>-5.5333333333333341</c:v>
                </c:pt>
                <c:pt idx="32">
                  <c:v>-6.333333333333333</c:v>
                </c:pt>
                <c:pt idx="33">
                  <c:v>-3.9333333333333327</c:v>
                </c:pt>
                <c:pt idx="34">
                  <c:v>-4.8000000000000007</c:v>
                </c:pt>
                <c:pt idx="35">
                  <c:v>-2.5333333333333332</c:v>
                </c:pt>
                <c:pt idx="36">
                  <c:v>-1.3666666666666663</c:v>
                </c:pt>
                <c:pt idx="37">
                  <c:v>1.6</c:v>
                </c:pt>
                <c:pt idx="38">
                  <c:v>3.2666666666666666</c:v>
                </c:pt>
                <c:pt idx="39">
                  <c:v>4.3</c:v>
                </c:pt>
                <c:pt idx="40">
                  <c:v>5.7666666666666666</c:v>
                </c:pt>
                <c:pt idx="41">
                  <c:v>4.5999999999999996</c:v>
                </c:pt>
                <c:pt idx="42">
                  <c:v>5.2333333333333325</c:v>
                </c:pt>
                <c:pt idx="43">
                  <c:v>7.4</c:v>
                </c:pt>
                <c:pt idx="44">
                  <c:v>9.9</c:v>
                </c:pt>
                <c:pt idx="45">
                  <c:v>8.6666666666666679</c:v>
                </c:pt>
                <c:pt idx="46">
                  <c:v>6.666666666666667</c:v>
                </c:pt>
                <c:pt idx="47">
                  <c:v>4.033333333333335</c:v>
                </c:pt>
                <c:pt idx="48">
                  <c:v>-1.4</c:v>
                </c:pt>
                <c:pt idx="49">
                  <c:v>-6.8666666666666654</c:v>
                </c:pt>
                <c:pt idx="50">
                  <c:v>-6.8666666666666654</c:v>
                </c:pt>
                <c:pt idx="51">
                  <c:v>-5.0999999999999996</c:v>
                </c:pt>
                <c:pt idx="52">
                  <c:v>-4.0666666666666673</c:v>
                </c:pt>
                <c:pt idx="53">
                  <c:v>-5.1000000000000005</c:v>
                </c:pt>
                <c:pt idx="54">
                  <c:v>-3.0666666666666664</c:v>
                </c:pt>
                <c:pt idx="55">
                  <c:v>-2.5666666666666669</c:v>
                </c:pt>
                <c:pt idx="56">
                  <c:v>-3.5666666666666664</c:v>
                </c:pt>
                <c:pt idx="57">
                  <c:v>-2.9000000000000004</c:v>
                </c:pt>
                <c:pt idx="58">
                  <c:v>-2.3333333333333335</c:v>
                </c:pt>
                <c:pt idx="59">
                  <c:v>-2.666666666666667</c:v>
                </c:pt>
                <c:pt idx="60">
                  <c:v>-6.5333333333333341</c:v>
                </c:pt>
                <c:pt idx="61">
                  <c:v>-5.2333333333333334</c:v>
                </c:pt>
                <c:pt idx="62">
                  <c:v>-3.4</c:v>
                </c:pt>
                <c:pt idx="63">
                  <c:v>0.43333333333333213</c:v>
                </c:pt>
                <c:pt idx="64">
                  <c:v>1.6666666666666665</c:v>
                </c:pt>
                <c:pt idx="65">
                  <c:v>5.833333333333333</c:v>
                </c:pt>
                <c:pt idx="66">
                  <c:v>5.6</c:v>
                </c:pt>
                <c:pt idx="67">
                  <c:v>3.8999999999999995</c:v>
                </c:pt>
                <c:pt idx="68">
                  <c:v>3.2333333333333334</c:v>
                </c:pt>
                <c:pt idx="69">
                  <c:v>4.833333333333333</c:v>
                </c:pt>
                <c:pt idx="70">
                  <c:v>4.8666666666666663</c:v>
                </c:pt>
                <c:pt idx="71">
                  <c:v>4.0999999999999996</c:v>
                </c:pt>
                <c:pt idx="72">
                  <c:v>8.3666666666666654</c:v>
                </c:pt>
                <c:pt idx="73">
                  <c:v>11.766666666666667</c:v>
                </c:pt>
                <c:pt idx="74">
                  <c:v>11.266666666666667</c:v>
                </c:pt>
                <c:pt idx="75">
                  <c:v>5.9333333333333336</c:v>
                </c:pt>
                <c:pt idx="76">
                  <c:v>0.16666666666666857</c:v>
                </c:pt>
                <c:pt idx="77">
                  <c:v>-8.8000000000000007</c:v>
                </c:pt>
                <c:pt idx="78">
                  <c:v>-16.666666666666664</c:v>
                </c:pt>
                <c:pt idx="79">
                  <c:v>-18.666666666666668</c:v>
                </c:pt>
                <c:pt idx="80">
                  <c:v>-12.733333333333334</c:v>
                </c:pt>
                <c:pt idx="81">
                  <c:v>-5.1999999999999993</c:v>
                </c:pt>
                <c:pt idx="82">
                  <c:v>-0.66666666666666663</c:v>
                </c:pt>
                <c:pt idx="83">
                  <c:v>-0.4</c:v>
                </c:pt>
                <c:pt idx="84">
                  <c:v>-0.46666666666666645</c:v>
                </c:pt>
                <c:pt idx="85">
                  <c:v>-2.5666666666666664</c:v>
                </c:pt>
                <c:pt idx="86">
                  <c:v>-1.0333333333333332</c:v>
                </c:pt>
                <c:pt idx="87">
                  <c:v>0.4</c:v>
                </c:pt>
                <c:pt idx="88">
                  <c:v>3.9666666666666672</c:v>
                </c:pt>
                <c:pt idx="89">
                  <c:v>5.7000000000000011</c:v>
                </c:pt>
                <c:pt idx="90">
                  <c:v>8.4666666666666668</c:v>
                </c:pt>
                <c:pt idx="91">
                  <c:v>7.7333333333333325</c:v>
                </c:pt>
                <c:pt idx="92">
                  <c:v>10.333333333333334</c:v>
                </c:pt>
                <c:pt idx="93">
                  <c:v>7.9999999999999982</c:v>
                </c:pt>
                <c:pt idx="94">
                  <c:v>6.2000000000000011</c:v>
                </c:pt>
                <c:pt idx="95">
                  <c:v>2.6333333333333342</c:v>
                </c:pt>
                <c:pt idx="96">
                  <c:v>0.43333333333333401</c:v>
                </c:pt>
                <c:pt idx="97">
                  <c:v>-4.3999999999999995</c:v>
                </c:pt>
                <c:pt idx="98">
                  <c:v>-7.0333333333333332</c:v>
                </c:pt>
                <c:pt idx="99">
                  <c:v>-6.9666666666666668</c:v>
                </c:pt>
                <c:pt idx="100">
                  <c:v>-5.7</c:v>
                </c:pt>
                <c:pt idx="101">
                  <c:v>-5.166666666666667</c:v>
                </c:pt>
                <c:pt idx="102">
                  <c:v>-4.4000000000000004</c:v>
                </c:pt>
                <c:pt idx="103">
                  <c:v>-1.8333333333333333</c:v>
                </c:pt>
                <c:pt idx="104">
                  <c:v>-0.4333333333333334</c:v>
                </c:pt>
                <c:pt idx="105">
                  <c:v>3.3333333333333395E-2</c:v>
                </c:pt>
                <c:pt idx="106">
                  <c:v>0.73333333333333339</c:v>
                </c:pt>
                <c:pt idx="107">
                  <c:v>-2.2666666666666666</c:v>
                </c:pt>
                <c:pt idx="108">
                  <c:v>-6.2333333333333325</c:v>
                </c:pt>
                <c:pt idx="109">
                  <c:v>-8.2666666666666657</c:v>
                </c:pt>
                <c:pt idx="110">
                  <c:v>-6.0666666666666673</c:v>
                </c:pt>
                <c:pt idx="111">
                  <c:v>-3.1333333333333329</c:v>
                </c:pt>
                <c:pt idx="112">
                  <c:v>1.4666666666666668</c:v>
                </c:pt>
                <c:pt idx="113">
                  <c:v>5.5333333333333332</c:v>
                </c:pt>
                <c:pt idx="114">
                  <c:v>8.3333333333333339</c:v>
                </c:pt>
                <c:pt idx="115">
                  <c:v>7.1</c:v>
                </c:pt>
                <c:pt idx="116">
                  <c:v>4.1333333333333337</c:v>
                </c:pt>
                <c:pt idx="117">
                  <c:v>0.70000000000000018</c:v>
                </c:pt>
                <c:pt idx="118">
                  <c:v>0.30000000000000004</c:v>
                </c:pt>
                <c:pt idx="119">
                  <c:v>-0.3000000000000001</c:v>
                </c:pt>
                <c:pt idx="120">
                  <c:v>0.93333333333333324</c:v>
                </c:pt>
                <c:pt idx="121">
                  <c:v>3.6</c:v>
                </c:pt>
                <c:pt idx="122">
                  <c:v>11.466666666666665</c:v>
                </c:pt>
                <c:pt idx="123">
                  <c:v>13.133333333333335</c:v>
                </c:pt>
                <c:pt idx="124">
                  <c:v>10.533333333333333</c:v>
                </c:pt>
                <c:pt idx="125">
                  <c:v>2.2999999999999998</c:v>
                </c:pt>
                <c:pt idx="126">
                  <c:v>-2.8</c:v>
                </c:pt>
                <c:pt idx="127">
                  <c:v>-10.266666666666667</c:v>
                </c:pt>
                <c:pt idx="128">
                  <c:v>-12.933333333333334</c:v>
                </c:pt>
                <c:pt idx="129">
                  <c:v>-10.5</c:v>
                </c:pt>
                <c:pt idx="130">
                  <c:v>-3.3666666666666663</c:v>
                </c:pt>
                <c:pt idx="131">
                  <c:v>-0.1666666666666668</c:v>
                </c:pt>
                <c:pt idx="132">
                  <c:v>0.79999999999999993</c:v>
                </c:pt>
                <c:pt idx="133">
                  <c:v>1.4</c:v>
                </c:pt>
                <c:pt idx="134">
                  <c:v>0.26666666666666661</c:v>
                </c:pt>
                <c:pt idx="135">
                  <c:v>-0.7</c:v>
                </c:pt>
                <c:pt idx="136">
                  <c:v>-1.9333333333333331</c:v>
                </c:pt>
                <c:pt idx="137">
                  <c:v>-1.5333333333333332</c:v>
                </c:pt>
                <c:pt idx="138">
                  <c:v>-0.50000000000000022</c:v>
                </c:pt>
                <c:pt idx="139">
                  <c:v>0.33333333333333331</c:v>
                </c:pt>
                <c:pt idx="140">
                  <c:v>0.79999999999999993</c:v>
                </c:pt>
                <c:pt idx="141">
                  <c:v>-6.6666666666666693E-2</c:v>
                </c:pt>
                <c:pt idx="142">
                  <c:v>-1.1666666666666667</c:v>
                </c:pt>
                <c:pt idx="143">
                  <c:v>-5.2</c:v>
                </c:pt>
                <c:pt idx="144">
                  <c:v>-7.1</c:v>
                </c:pt>
                <c:pt idx="145">
                  <c:v>-7.2666666666666675</c:v>
                </c:pt>
                <c:pt idx="146">
                  <c:v>-3.3000000000000007</c:v>
                </c:pt>
                <c:pt idx="147">
                  <c:v>9.9999999999999284E-2</c:v>
                </c:pt>
                <c:pt idx="148">
                  <c:v>3.7666666666666666</c:v>
                </c:pt>
                <c:pt idx="149">
                  <c:v>6.5333333333333332</c:v>
                </c:pt>
                <c:pt idx="150">
                  <c:v>6.4333333333333345</c:v>
                </c:pt>
                <c:pt idx="151">
                  <c:v>4</c:v>
                </c:pt>
                <c:pt idx="152">
                  <c:v>2.2666666666666666</c:v>
                </c:pt>
                <c:pt idx="153">
                  <c:v>5.7666666666666675</c:v>
                </c:pt>
                <c:pt idx="154">
                  <c:v>9.7666666666666657</c:v>
                </c:pt>
                <c:pt idx="155">
                  <c:v>13.233333333333334</c:v>
                </c:pt>
                <c:pt idx="156">
                  <c:v>11.766666666666667</c:v>
                </c:pt>
                <c:pt idx="157">
                  <c:v>6.6333333333333346</c:v>
                </c:pt>
                <c:pt idx="158">
                  <c:v>-0.8666666666666657</c:v>
                </c:pt>
                <c:pt idx="159">
                  <c:v>-8.0666666666666664</c:v>
                </c:pt>
                <c:pt idx="160">
                  <c:v>-11.566666666666666</c:v>
                </c:pt>
                <c:pt idx="161">
                  <c:v>-11.2</c:v>
                </c:pt>
                <c:pt idx="162">
                  <c:v>-7.4333333333333345</c:v>
                </c:pt>
                <c:pt idx="163">
                  <c:v>-3.6000000000000005</c:v>
                </c:pt>
                <c:pt idx="164">
                  <c:v>-0.96666666666666679</c:v>
                </c:pt>
                <c:pt idx="165">
                  <c:v>-0.5</c:v>
                </c:pt>
                <c:pt idx="166">
                  <c:v>-1.6666666666666667</c:v>
                </c:pt>
                <c:pt idx="167">
                  <c:v>-1.4000000000000001</c:v>
                </c:pt>
                <c:pt idx="168">
                  <c:v>-2.666666666666667</c:v>
                </c:pt>
                <c:pt idx="169">
                  <c:v>-5.0999999999999996</c:v>
                </c:pt>
                <c:pt idx="170">
                  <c:v>-8.2666666666666675</c:v>
                </c:pt>
                <c:pt idx="171">
                  <c:v>-5.833333333333333</c:v>
                </c:pt>
                <c:pt idx="172">
                  <c:v>-1.7333333333333336</c:v>
                </c:pt>
                <c:pt idx="173">
                  <c:v>2.5333333333333332</c:v>
                </c:pt>
                <c:pt idx="174">
                  <c:v>4.4333333333333327</c:v>
                </c:pt>
                <c:pt idx="175">
                  <c:v>7.1</c:v>
                </c:pt>
                <c:pt idx="176">
                  <c:v>5.8666666666666654</c:v>
                </c:pt>
                <c:pt idx="177">
                  <c:v>2.9333333333333336</c:v>
                </c:pt>
                <c:pt idx="178">
                  <c:v>-1.3333333333333333</c:v>
                </c:pt>
                <c:pt idx="179">
                  <c:v>-0.43333333333333324</c:v>
                </c:pt>
                <c:pt idx="180">
                  <c:v>-0.4</c:v>
                </c:pt>
                <c:pt idx="181">
                  <c:v>1</c:v>
                </c:pt>
                <c:pt idx="182">
                  <c:v>-1.4666666666666668</c:v>
                </c:pt>
                <c:pt idx="183">
                  <c:v>-1.1657341758564144E-16</c:v>
                </c:pt>
                <c:pt idx="184">
                  <c:v>-0.10000000000000009</c:v>
                </c:pt>
                <c:pt idx="185">
                  <c:v>1.5</c:v>
                </c:pt>
                <c:pt idx="186">
                  <c:v>3.9666666666666672</c:v>
                </c:pt>
                <c:pt idx="187">
                  <c:v>7.666666666666667</c:v>
                </c:pt>
                <c:pt idx="188">
                  <c:v>12.433333333333334</c:v>
                </c:pt>
                <c:pt idx="189">
                  <c:v>10.533333333333335</c:v>
                </c:pt>
                <c:pt idx="190">
                  <c:v>8.2333333333333343</c:v>
                </c:pt>
                <c:pt idx="191">
                  <c:v>1.3333333333333339</c:v>
                </c:pt>
                <c:pt idx="192">
                  <c:v>-2.833333333333333</c:v>
                </c:pt>
                <c:pt idx="193">
                  <c:v>-9</c:v>
                </c:pt>
                <c:pt idx="194">
                  <c:v>-9.3000000000000007</c:v>
                </c:pt>
                <c:pt idx="195">
                  <c:v>-8.5</c:v>
                </c:pt>
                <c:pt idx="196">
                  <c:v>-6.4666666666666668</c:v>
                </c:pt>
                <c:pt idx="197">
                  <c:v>-4.7333333333333325</c:v>
                </c:pt>
                <c:pt idx="198">
                  <c:v>-6.0666666666666673</c:v>
                </c:pt>
                <c:pt idx="199">
                  <c:v>-4.9000000000000004</c:v>
                </c:pt>
                <c:pt idx="200">
                  <c:v>-5.7</c:v>
                </c:pt>
                <c:pt idx="201">
                  <c:v>-3.4333333333333327</c:v>
                </c:pt>
                <c:pt idx="202">
                  <c:v>-2</c:v>
                </c:pt>
                <c:pt idx="203">
                  <c:v>6.6666666666666791E-2</c:v>
                </c:pt>
                <c:pt idx="204">
                  <c:v>1.5666666666666669</c:v>
                </c:pt>
                <c:pt idx="205">
                  <c:v>2</c:v>
                </c:pt>
                <c:pt idx="206">
                  <c:v>2.8333333333333335</c:v>
                </c:pt>
                <c:pt idx="207">
                  <c:v>2.1333333333333337</c:v>
                </c:pt>
                <c:pt idx="208">
                  <c:v>3.2</c:v>
                </c:pt>
                <c:pt idx="209">
                  <c:v>2.6000000000000005</c:v>
                </c:pt>
                <c:pt idx="210">
                  <c:v>3.9333333333333336</c:v>
                </c:pt>
                <c:pt idx="211">
                  <c:v>6.7666666666666675</c:v>
                </c:pt>
                <c:pt idx="212">
                  <c:v>11.433333333333334</c:v>
                </c:pt>
                <c:pt idx="213">
                  <c:v>13.133333333333335</c:v>
                </c:pt>
                <c:pt idx="214">
                  <c:v>10.8</c:v>
                </c:pt>
                <c:pt idx="215">
                  <c:v>5.2000000000000011</c:v>
                </c:pt>
                <c:pt idx="216">
                  <c:v>-1.7</c:v>
                </c:pt>
                <c:pt idx="217">
                  <c:v>-8.7333333333333325</c:v>
                </c:pt>
                <c:pt idx="218">
                  <c:v>-10.5</c:v>
                </c:pt>
                <c:pt idx="219">
                  <c:v>-8.7666666666666675</c:v>
                </c:pt>
                <c:pt idx="220">
                  <c:v>-5.0333333333333332</c:v>
                </c:pt>
                <c:pt idx="221">
                  <c:v>-4.0666666666666673</c:v>
                </c:pt>
                <c:pt idx="222">
                  <c:v>-2.2666666666666666</c:v>
                </c:pt>
                <c:pt idx="223">
                  <c:v>-2.1333333333333333</c:v>
                </c:pt>
                <c:pt idx="224">
                  <c:v>-1.9333333333333336</c:v>
                </c:pt>
                <c:pt idx="225">
                  <c:v>-1.3666666666666667</c:v>
                </c:pt>
                <c:pt idx="226">
                  <c:v>-0.10000000000000002</c:v>
                </c:pt>
                <c:pt idx="227">
                  <c:v>-0.66666666666666674</c:v>
                </c:pt>
                <c:pt idx="228">
                  <c:v>-8.2666666666666675</c:v>
                </c:pt>
                <c:pt idx="229">
                  <c:v>-9.1666666666666679</c:v>
                </c:pt>
                <c:pt idx="230">
                  <c:v>-8.1333333333333346</c:v>
                </c:pt>
                <c:pt idx="231">
                  <c:v>-0.8333333333333357</c:v>
                </c:pt>
                <c:pt idx="232">
                  <c:v>0.56666666666666488</c:v>
                </c:pt>
                <c:pt idx="233">
                  <c:v>8.1</c:v>
                </c:pt>
                <c:pt idx="234">
                  <c:v>9.5333333333333332</c:v>
                </c:pt>
                <c:pt idx="235">
                  <c:v>12.766666666666666</c:v>
                </c:pt>
                <c:pt idx="236">
                  <c:v>13.133333333333331</c:v>
                </c:pt>
                <c:pt idx="237">
                  <c:v>13.766666666666666</c:v>
                </c:pt>
                <c:pt idx="238">
                  <c:v>10.166666666666666</c:v>
                </c:pt>
                <c:pt idx="239">
                  <c:v>2.2333333333333298</c:v>
                </c:pt>
                <c:pt idx="240">
                  <c:v>-2.3666666666666667</c:v>
                </c:pt>
                <c:pt idx="241">
                  <c:v>-10.166666666666668</c:v>
                </c:pt>
                <c:pt idx="242">
                  <c:v>-12.6</c:v>
                </c:pt>
                <c:pt idx="243">
                  <c:v>-10.4</c:v>
                </c:pt>
                <c:pt idx="244">
                  <c:v>-3.166666666666667</c:v>
                </c:pt>
                <c:pt idx="245">
                  <c:v>-1.4666666666666666</c:v>
                </c:pt>
                <c:pt idx="246">
                  <c:v>-2.6333333333333333</c:v>
                </c:pt>
                <c:pt idx="247">
                  <c:v>-2.4</c:v>
                </c:pt>
                <c:pt idx="248">
                  <c:v>-2.1666666666666665</c:v>
                </c:pt>
                <c:pt idx="249">
                  <c:v>-0.8999999999999998</c:v>
                </c:pt>
                <c:pt idx="250">
                  <c:v>-0.76666666666666639</c:v>
                </c:pt>
                <c:pt idx="251">
                  <c:v>-2.0666666666666664</c:v>
                </c:pt>
                <c:pt idx="252">
                  <c:v>-4.0333333333333332</c:v>
                </c:pt>
                <c:pt idx="253">
                  <c:v>-5.0666666666666655</c:v>
                </c:pt>
                <c:pt idx="254">
                  <c:v>-2.8666666666666667</c:v>
                </c:pt>
                <c:pt idx="255">
                  <c:v>-1.0666666666666671</c:v>
                </c:pt>
                <c:pt idx="256">
                  <c:v>3.3</c:v>
                </c:pt>
                <c:pt idx="257">
                  <c:v>6.4333333333333327</c:v>
                </c:pt>
                <c:pt idx="258">
                  <c:v>8.5666666666666664</c:v>
                </c:pt>
                <c:pt idx="259">
                  <c:v>5.2666666666666675</c:v>
                </c:pt>
                <c:pt idx="260">
                  <c:v>2.1666666666666665</c:v>
                </c:pt>
                <c:pt idx="261">
                  <c:v>2.2666666666666666</c:v>
                </c:pt>
                <c:pt idx="262">
                  <c:v>7.2666666666666675</c:v>
                </c:pt>
                <c:pt idx="263">
                  <c:v>11.466666666666667</c:v>
                </c:pt>
                <c:pt idx="264">
                  <c:v>11.166666666666668</c:v>
                </c:pt>
                <c:pt idx="265">
                  <c:v>8.7666666666666675</c:v>
                </c:pt>
                <c:pt idx="266">
                  <c:v>2.2666666666666671</c:v>
                </c:pt>
                <c:pt idx="267">
                  <c:v>-5.1666666666666661</c:v>
                </c:pt>
                <c:pt idx="268">
                  <c:v>-12.266666666666667</c:v>
                </c:pt>
                <c:pt idx="269">
                  <c:v>-11.766666666666667</c:v>
                </c:pt>
                <c:pt idx="270">
                  <c:v>-8.6</c:v>
                </c:pt>
                <c:pt idx="271">
                  <c:v>-4.0666666666666664</c:v>
                </c:pt>
                <c:pt idx="272">
                  <c:v>-2.7</c:v>
                </c:pt>
                <c:pt idx="273">
                  <c:v>-0.26666666666666672</c:v>
                </c:pt>
                <c:pt idx="274">
                  <c:v>-0.23333333333333331</c:v>
                </c:pt>
                <c:pt idx="275">
                  <c:v>-0.9</c:v>
                </c:pt>
                <c:pt idx="276">
                  <c:v>-3.0666666666666664</c:v>
                </c:pt>
                <c:pt idx="277">
                  <c:v>-8.2666666666666675</c:v>
                </c:pt>
                <c:pt idx="278">
                  <c:v>-9.7666666666666675</c:v>
                </c:pt>
                <c:pt idx="279">
                  <c:v>-7.4333333333333345</c:v>
                </c:pt>
                <c:pt idx="280">
                  <c:v>-2.4000000000000008</c:v>
                </c:pt>
                <c:pt idx="281">
                  <c:v>2.8000000000000003</c:v>
                </c:pt>
                <c:pt idx="282">
                  <c:v>7.7333333333333343</c:v>
                </c:pt>
                <c:pt idx="283">
                  <c:v>10.333333333333334</c:v>
                </c:pt>
                <c:pt idx="284">
                  <c:v>7.0666666666666655</c:v>
                </c:pt>
                <c:pt idx="285">
                  <c:v>2.9666666666666672</c:v>
                </c:pt>
                <c:pt idx="286">
                  <c:v>-0.2666666666666665</c:v>
                </c:pt>
                <c:pt idx="287">
                  <c:v>0.83333333333333359</c:v>
                </c:pt>
                <c:pt idx="288">
                  <c:v>-3.333333333333325E-2</c:v>
                </c:pt>
                <c:pt idx="289">
                  <c:v>1.5666666666666669</c:v>
                </c:pt>
                <c:pt idx="290">
                  <c:v>5.0999999999999996</c:v>
                </c:pt>
                <c:pt idx="291">
                  <c:v>6.9</c:v>
                </c:pt>
                <c:pt idx="292">
                  <c:v>10.733333333333334</c:v>
                </c:pt>
                <c:pt idx="293">
                  <c:v>7.9333333333333327</c:v>
                </c:pt>
                <c:pt idx="294">
                  <c:v>6.7333333333333343</c:v>
                </c:pt>
                <c:pt idx="295">
                  <c:v>-0.46666666666666606</c:v>
                </c:pt>
                <c:pt idx="296">
                  <c:v>-3.5666666666666664</c:v>
                </c:pt>
                <c:pt idx="297">
                  <c:v>-9.3666666666666671</c:v>
                </c:pt>
                <c:pt idx="298">
                  <c:v>-9</c:v>
                </c:pt>
                <c:pt idx="299">
                  <c:v>-8.8666666666666671</c:v>
                </c:pt>
                <c:pt idx="300">
                  <c:v>-5.3666666666666671</c:v>
                </c:pt>
                <c:pt idx="301">
                  <c:v>-3.666666666666667</c:v>
                </c:pt>
                <c:pt idx="302">
                  <c:v>-1.9666666666666668</c:v>
                </c:pt>
                <c:pt idx="303">
                  <c:v>0.4333333333333334</c:v>
                </c:pt>
                <c:pt idx="304">
                  <c:v>1.0000000000000002</c:v>
                </c:pt>
                <c:pt idx="305">
                  <c:v>0.16666666666666671</c:v>
                </c:pt>
                <c:pt idx="306">
                  <c:v>-0.3</c:v>
                </c:pt>
                <c:pt idx="307">
                  <c:v>-0.26666666666666672</c:v>
                </c:pt>
                <c:pt idx="308">
                  <c:v>0.36666666666666664</c:v>
                </c:pt>
                <c:pt idx="309">
                  <c:v>0.46666666666666679</c:v>
                </c:pt>
                <c:pt idx="310">
                  <c:v>-2.7333333333333329</c:v>
                </c:pt>
                <c:pt idx="311">
                  <c:v>-4.9000000000000004</c:v>
                </c:pt>
                <c:pt idx="312">
                  <c:v>-7.833333333333333</c:v>
                </c:pt>
                <c:pt idx="313">
                  <c:v>-5.4333333333333327</c:v>
                </c:pt>
                <c:pt idx="314">
                  <c:v>-3.5333333333333328</c:v>
                </c:pt>
                <c:pt idx="315">
                  <c:v>2.4666666666666659</c:v>
                </c:pt>
                <c:pt idx="316">
                  <c:v>5.333333333333333</c:v>
                </c:pt>
                <c:pt idx="317">
                  <c:v>8.7666666666666675</c:v>
                </c:pt>
                <c:pt idx="318">
                  <c:v>6.1333333333333329</c:v>
                </c:pt>
                <c:pt idx="319">
                  <c:v>8.0666666666666664</c:v>
                </c:pt>
                <c:pt idx="320">
                  <c:v>11.3</c:v>
                </c:pt>
                <c:pt idx="321">
                  <c:v>10.966666666666665</c:v>
                </c:pt>
                <c:pt idx="322">
                  <c:v>8.6333333333333311</c:v>
                </c:pt>
                <c:pt idx="323">
                  <c:v>2.8999999999999986</c:v>
                </c:pt>
                <c:pt idx="324">
                  <c:v>-1.1666666666666672</c:v>
                </c:pt>
                <c:pt idx="325">
                  <c:v>-8.0666666666666664</c:v>
                </c:pt>
                <c:pt idx="326">
                  <c:v>-8.9666666666666668</c:v>
                </c:pt>
                <c:pt idx="327">
                  <c:v>-7.4</c:v>
                </c:pt>
                <c:pt idx="328">
                  <c:v>-3.7333333333333329</c:v>
                </c:pt>
                <c:pt idx="329">
                  <c:v>-3.9333333333333327</c:v>
                </c:pt>
                <c:pt idx="330">
                  <c:v>-3.3</c:v>
                </c:pt>
                <c:pt idx="331">
                  <c:v>-2</c:v>
                </c:pt>
                <c:pt idx="332">
                  <c:v>-1.7</c:v>
                </c:pt>
                <c:pt idx="333">
                  <c:v>6.6666666666666624E-2</c:v>
                </c:pt>
                <c:pt idx="334">
                  <c:v>0</c:v>
                </c:pt>
                <c:pt idx="335">
                  <c:v>-3.3333333333333347E-2</c:v>
                </c:pt>
                <c:pt idx="336">
                  <c:v>-6.7666666666666675</c:v>
                </c:pt>
                <c:pt idx="337">
                  <c:v>-9.8666666666666671</c:v>
                </c:pt>
                <c:pt idx="338">
                  <c:v>-10.3</c:v>
                </c:pt>
                <c:pt idx="339">
                  <c:v>-3.7999999999999994</c:v>
                </c:pt>
                <c:pt idx="340">
                  <c:v>3.3333333333333569E-2</c:v>
                </c:pt>
                <c:pt idx="341">
                  <c:v>6.9</c:v>
                </c:pt>
                <c:pt idx="342">
                  <c:v>10.100000000000001</c:v>
                </c:pt>
                <c:pt idx="343">
                  <c:v>10.266666666666669</c:v>
                </c:pt>
                <c:pt idx="344">
                  <c:v>4.2999999999999989</c:v>
                </c:pt>
                <c:pt idx="345">
                  <c:v>0.83333333333333337</c:v>
                </c:pt>
                <c:pt idx="346">
                  <c:v>0.4</c:v>
                </c:pt>
                <c:pt idx="347">
                  <c:v>0.3</c:v>
                </c:pt>
                <c:pt idx="348">
                  <c:v>1.3333333333333335</c:v>
                </c:pt>
                <c:pt idx="349">
                  <c:v>1.3333333333333335</c:v>
                </c:pt>
                <c:pt idx="350">
                  <c:v>6</c:v>
                </c:pt>
                <c:pt idx="351">
                  <c:v>12.366666666666665</c:v>
                </c:pt>
                <c:pt idx="352">
                  <c:v>13.666666666666666</c:v>
                </c:pt>
                <c:pt idx="353">
                  <c:v>8.1666666666666661</c:v>
                </c:pt>
                <c:pt idx="354">
                  <c:v>1.2666666666666671</c:v>
                </c:pt>
                <c:pt idx="355">
                  <c:v>-4.2333333333333325</c:v>
                </c:pt>
                <c:pt idx="356">
                  <c:v>-10.833333333333332</c:v>
                </c:pt>
                <c:pt idx="357">
                  <c:v>-12.933333333333332</c:v>
                </c:pt>
                <c:pt idx="358">
                  <c:v>-9.5666666666666664</c:v>
                </c:pt>
                <c:pt idx="359">
                  <c:v>-3.1333333333333337</c:v>
                </c:pt>
                <c:pt idx="360">
                  <c:v>-2.7</c:v>
                </c:pt>
                <c:pt idx="361">
                  <c:v>-7.7333333333333343</c:v>
                </c:pt>
                <c:pt idx="362">
                  <c:v>-9.8000000000000007</c:v>
                </c:pt>
                <c:pt idx="363">
                  <c:v>-8.7333333333333343</c:v>
                </c:pt>
                <c:pt idx="364">
                  <c:v>-3.6666666666666679</c:v>
                </c:pt>
                <c:pt idx="365">
                  <c:v>-0.2666666666666675</c:v>
                </c:pt>
                <c:pt idx="366">
                  <c:v>3.9666666666666659</c:v>
                </c:pt>
                <c:pt idx="367">
                  <c:v>7.4666666666666659</c:v>
                </c:pt>
                <c:pt idx="368">
                  <c:v>7.1</c:v>
                </c:pt>
                <c:pt idx="369">
                  <c:v>3.6</c:v>
                </c:pt>
                <c:pt idx="370">
                  <c:v>0.76666666666666661</c:v>
                </c:pt>
                <c:pt idx="371">
                  <c:v>2.0666666666666664</c:v>
                </c:pt>
                <c:pt idx="372">
                  <c:v>0.59999999999999987</c:v>
                </c:pt>
                <c:pt idx="373">
                  <c:v>0.29999999999999966</c:v>
                </c:pt>
                <c:pt idx="374">
                  <c:v>-0.90000000000000013</c:v>
                </c:pt>
                <c:pt idx="375">
                  <c:v>0.29999999999999982</c:v>
                </c:pt>
                <c:pt idx="376">
                  <c:v>0.79999999999999982</c:v>
                </c:pt>
                <c:pt idx="377">
                  <c:v>3.4333333333333327</c:v>
                </c:pt>
                <c:pt idx="378">
                  <c:v>12.7</c:v>
                </c:pt>
                <c:pt idx="379">
                  <c:v>15.266666666666666</c:v>
                </c:pt>
                <c:pt idx="380">
                  <c:v>12.9</c:v>
                </c:pt>
                <c:pt idx="381">
                  <c:v>4.0333333333333314</c:v>
                </c:pt>
                <c:pt idx="382">
                  <c:v>0.23333333333333145</c:v>
                </c:pt>
                <c:pt idx="383">
                  <c:v>-8.8666666666666671</c:v>
                </c:pt>
                <c:pt idx="384">
                  <c:v>-12.433333333333334</c:v>
                </c:pt>
                <c:pt idx="385">
                  <c:v>-13</c:v>
                </c:pt>
                <c:pt idx="386">
                  <c:v>-5.6999999999999993</c:v>
                </c:pt>
                <c:pt idx="387">
                  <c:v>-3.8666666666666663</c:v>
                </c:pt>
                <c:pt idx="388">
                  <c:v>-2.4666666666666668</c:v>
                </c:pt>
                <c:pt idx="389">
                  <c:v>-0.90000000000000036</c:v>
                </c:pt>
                <c:pt idx="390">
                  <c:v>1.0333333333333332</c:v>
                </c:pt>
                <c:pt idx="391">
                  <c:v>2.166666666666667</c:v>
                </c:pt>
                <c:pt idx="392">
                  <c:v>3.0666666666666664</c:v>
                </c:pt>
                <c:pt idx="393">
                  <c:v>2.2666666666666666</c:v>
                </c:pt>
                <c:pt idx="394">
                  <c:v>0.76666666666666672</c:v>
                </c:pt>
                <c:pt idx="395">
                  <c:v>-1.7</c:v>
                </c:pt>
                <c:pt idx="396">
                  <c:v>-7.2</c:v>
                </c:pt>
                <c:pt idx="397">
                  <c:v>-12.8</c:v>
                </c:pt>
                <c:pt idx="398">
                  <c:v>-12.700000000000001</c:v>
                </c:pt>
                <c:pt idx="399">
                  <c:v>-7.1</c:v>
                </c:pt>
                <c:pt idx="400">
                  <c:v>6.666666666666643E-2</c:v>
                </c:pt>
                <c:pt idx="401">
                  <c:v>5.9333333333333345</c:v>
                </c:pt>
                <c:pt idx="402">
                  <c:v>10.466666666666667</c:v>
                </c:pt>
                <c:pt idx="403">
                  <c:v>10.3</c:v>
                </c:pt>
                <c:pt idx="404">
                  <c:v>5.5</c:v>
                </c:pt>
                <c:pt idx="405">
                  <c:v>0.93333333333333324</c:v>
                </c:pt>
                <c:pt idx="406">
                  <c:v>6.6666666666666569E-2</c:v>
                </c:pt>
                <c:pt idx="407">
                  <c:v>0.6</c:v>
                </c:pt>
                <c:pt idx="408">
                  <c:v>0.8</c:v>
                </c:pt>
                <c:pt idx="409">
                  <c:v>1.6</c:v>
                </c:pt>
                <c:pt idx="410">
                  <c:v>7.3</c:v>
                </c:pt>
                <c:pt idx="411">
                  <c:v>12.333333333333334</c:v>
                </c:pt>
                <c:pt idx="412">
                  <c:v>12.266666666666667</c:v>
                </c:pt>
                <c:pt idx="413">
                  <c:v>6.0666666666666664</c:v>
                </c:pt>
                <c:pt idx="414">
                  <c:v>-1.2666666666666664</c:v>
                </c:pt>
                <c:pt idx="415">
                  <c:v>-8.9</c:v>
                </c:pt>
                <c:pt idx="416">
                  <c:v>-14.1</c:v>
                </c:pt>
                <c:pt idx="417">
                  <c:v>-12.9</c:v>
                </c:pt>
                <c:pt idx="418">
                  <c:v>-5.5666666666666673</c:v>
                </c:pt>
                <c:pt idx="419">
                  <c:v>1.0333333333333334</c:v>
                </c:pt>
                <c:pt idx="420">
                  <c:v>1.8666666666666667</c:v>
                </c:pt>
                <c:pt idx="421">
                  <c:v>-1</c:v>
                </c:pt>
                <c:pt idx="422">
                  <c:v>-3.666666666666667</c:v>
                </c:pt>
                <c:pt idx="423">
                  <c:v>-4.2000000000000011</c:v>
                </c:pt>
                <c:pt idx="424">
                  <c:v>-1.8666666666666676</c:v>
                </c:pt>
                <c:pt idx="425">
                  <c:v>-0.46666666666666706</c:v>
                </c:pt>
                <c:pt idx="426">
                  <c:v>1.8999999999999997</c:v>
                </c:pt>
                <c:pt idx="427">
                  <c:v>3.2333333333333334</c:v>
                </c:pt>
                <c:pt idx="428">
                  <c:v>3.6666666666666665</c:v>
                </c:pt>
                <c:pt idx="429">
                  <c:v>3.3</c:v>
                </c:pt>
                <c:pt idx="430">
                  <c:v>2.5666666666666669</c:v>
                </c:pt>
                <c:pt idx="431">
                  <c:v>-0.99999999999999967</c:v>
                </c:pt>
                <c:pt idx="432">
                  <c:v>-5.8</c:v>
                </c:pt>
                <c:pt idx="433">
                  <c:v>-7.9333333333333327</c:v>
                </c:pt>
                <c:pt idx="434">
                  <c:v>-6.9666666666666659</c:v>
                </c:pt>
                <c:pt idx="435">
                  <c:v>-3.833333333333333</c:v>
                </c:pt>
                <c:pt idx="436">
                  <c:v>1.3333333333333328</c:v>
                </c:pt>
                <c:pt idx="437">
                  <c:v>6.7666666666666657</c:v>
                </c:pt>
                <c:pt idx="438">
                  <c:v>8.0333333333333314</c:v>
                </c:pt>
                <c:pt idx="439">
                  <c:v>5.8333333333333339</c:v>
                </c:pt>
                <c:pt idx="440">
                  <c:v>10.7</c:v>
                </c:pt>
                <c:pt idx="441">
                  <c:v>10</c:v>
                </c:pt>
                <c:pt idx="442">
                  <c:v>13.266666666666669</c:v>
                </c:pt>
                <c:pt idx="443">
                  <c:v>5.5333333333333314</c:v>
                </c:pt>
                <c:pt idx="444">
                  <c:v>4.3666666666666663</c:v>
                </c:pt>
                <c:pt idx="445">
                  <c:v>-8.1</c:v>
                </c:pt>
                <c:pt idx="446">
                  <c:v>-8.7666666666666675</c:v>
                </c:pt>
                <c:pt idx="447">
                  <c:v>-12.8</c:v>
                </c:pt>
                <c:pt idx="448">
                  <c:v>-5.5666666666666664</c:v>
                </c:pt>
                <c:pt idx="449">
                  <c:v>-6.0333333333333332</c:v>
                </c:pt>
                <c:pt idx="450">
                  <c:v>-1.4333333333333331</c:v>
                </c:pt>
                <c:pt idx="451">
                  <c:v>-0.9</c:v>
                </c:pt>
                <c:pt idx="452">
                  <c:v>0.33333333333333348</c:v>
                </c:pt>
                <c:pt idx="453">
                  <c:v>0.16666666666666669</c:v>
                </c:pt>
                <c:pt idx="454">
                  <c:v>0.53333333333333344</c:v>
                </c:pt>
                <c:pt idx="455">
                  <c:v>-0.46666666666666667</c:v>
                </c:pt>
                <c:pt idx="456">
                  <c:v>-5.5</c:v>
                </c:pt>
                <c:pt idx="457">
                  <c:v>-11.033333333333335</c:v>
                </c:pt>
                <c:pt idx="458">
                  <c:v>-10.9</c:v>
                </c:pt>
                <c:pt idx="459">
                  <c:v>-5.1666666666666661</c:v>
                </c:pt>
                <c:pt idx="460">
                  <c:v>0.73333333333333361</c:v>
                </c:pt>
                <c:pt idx="461">
                  <c:v>6.3333333333333339</c:v>
                </c:pt>
                <c:pt idx="462">
                  <c:v>10.1</c:v>
                </c:pt>
                <c:pt idx="463">
                  <c:v>9.7333333333333325</c:v>
                </c:pt>
                <c:pt idx="464">
                  <c:v>4.4333333333333345</c:v>
                </c:pt>
                <c:pt idx="465">
                  <c:v>3.3333333333333215E-2</c:v>
                </c:pt>
                <c:pt idx="466">
                  <c:v>-0.53333333333333344</c:v>
                </c:pt>
                <c:pt idx="467">
                  <c:v>6.6666666666666624E-2</c:v>
                </c:pt>
                <c:pt idx="468">
                  <c:v>0.56666666666666665</c:v>
                </c:pt>
                <c:pt idx="469">
                  <c:v>0.76666666666666661</c:v>
                </c:pt>
                <c:pt idx="470">
                  <c:v>6.5</c:v>
                </c:pt>
                <c:pt idx="471">
                  <c:v>9.4333333333333336</c:v>
                </c:pt>
                <c:pt idx="472">
                  <c:v>11.733333333333333</c:v>
                </c:pt>
                <c:pt idx="473">
                  <c:v>6.8333333333333313</c:v>
                </c:pt>
                <c:pt idx="474">
                  <c:v>4.6999999999999984</c:v>
                </c:pt>
                <c:pt idx="475">
                  <c:v>-3.4333333333333336</c:v>
                </c:pt>
                <c:pt idx="476">
                  <c:v>-7.4666666666666659</c:v>
                </c:pt>
                <c:pt idx="477">
                  <c:v>-10.666666666666668</c:v>
                </c:pt>
                <c:pt idx="478">
                  <c:v>-6.0666666666666664</c:v>
                </c:pt>
                <c:pt idx="479">
                  <c:v>-6.1666666666666661</c:v>
                </c:pt>
                <c:pt idx="480">
                  <c:v>-4.5333333333333332</c:v>
                </c:pt>
                <c:pt idx="481">
                  <c:v>-5.6</c:v>
                </c:pt>
                <c:pt idx="482">
                  <c:v>-4.7666666666666666</c:v>
                </c:pt>
                <c:pt idx="483">
                  <c:v>-4.2333333333333334</c:v>
                </c:pt>
                <c:pt idx="484">
                  <c:v>-1.333333333333333</c:v>
                </c:pt>
                <c:pt idx="485">
                  <c:v>-1.5666666666666664</c:v>
                </c:pt>
                <c:pt idx="486">
                  <c:v>-2.6333333333333337</c:v>
                </c:pt>
                <c:pt idx="487">
                  <c:v>-2.5333333333333332</c:v>
                </c:pt>
                <c:pt idx="488">
                  <c:v>-0.73333333333333317</c:v>
                </c:pt>
                <c:pt idx="489">
                  <c:v>1.0666666666666664</c:v>
                </c:pt>
                <c:pt idx="490">
                  <c:v>1.7333333333333336</c:v>
                </c:pt>
                <c:pt idx="491">
                  <c:v>4.9333333333333336</c:v>
                </c:pt>
                <c:pt idx="492">
                  <c:v>4.7666666666666675</c:v>
                </c:pt>
                <c:pt idx="493">
                  <c:v>3.4333333333333336</c:v>
                </c:pt>
                <c:pt idx="494">
                  <c:v>0.73333333333333328</c:v>
                </c:pt>
                <c:pt idx="495">
                  <c:v>1.1000000000000001</c:v>
                </c:pt>
                <c:pt idx="496">
                  <c:v>3.4666666666666663</c:v>
                </c:pt>
                <c:pt idx="497">
                  <c:v>12.666666666666668</c:v>
                </c:pt>
                <c:pt idx="498">
                  <c:v>16.06666666666667</c:v>
                </c:pt>
                <c:pt idx="499">
                  <c:v>15.866666666666665</c:v>
                </c:pt>
                <c:pt idx="500">
                  <c:v>6.4666666666666668</c:v>
                </c:pt>
                <c:pt idx="501">
                  <c:v>-1.699999999999998</c:v>
                </c:pt>
                <c:pt idx="502">
                  <c:v>-12.8</c:v>
                </c:pt>
                <c:pt idx="503">
                  <c:v>-16.733333333333331</c:v>
                </c:pt>
                <c:pt idx="504">
                  <c:v>-13.4</c:v>
                </c:pt>
                <c:pt idx="505">
                  <c:v>-4.4999999999999991</c:v>
                </c:pt>
                <c:pt idx="506">
                  <c:v>0.3</c:v>
                </c:pt>
                <c:pt idx="507">
                  <c:v>-0.73333333333333317</c:v>
                </c:pt>
                <c:pt idx="508">
                  <c:v>-2</c:v>
                </c:pt>
                <c:pt idx="509">
                  <c:v>-6.4333333333333327</c:v>
                </c:pt>
                <c:pt idx="510">
                  <c:v>-8.1333333333333329</c:v>
                </c:pt>
                <c:pt idx="511">
                  <c:v>-7.2666666666666675</c:v>
                </c:pt>
                <c:pt idx="512">
                  <c:v>-2.4000000000000004</c:v>
                </c:pt>
                <c:pt idx="513">
                  <c:v>1.5333333333333332</c:v>
                </c:pt>
                <c:pt idx="514">
                  <c:v>2.8999999999999995</c:v>
                </c:pt>
                <c:pt idx="515">
                  <c:v>3.6333333333333337</c:v>
                </c:pt>
                <c:pt idx="516">
                  <c:v>3.2666666666666671</c:v>
                </c:pt>
                <c:pt idx="517">
                  <c:v>2.166666666666667</c:v>
                </c:pt>
                <c:pt idx="518">
                  <c:v>0.59999999999999987</c:v>
                </c:pt>
                <c:pt idx="519">
                  <c:v>1.0333333333333334</c:v>
                </c:pt>
                <c:pt idx="520">
                  <c:v>2.333333333333333</c:v>
                </c:pt>
                <c:pt idx="521">
                  <c:v>2.8666666666666667</c:v>
                </c:pt>
                <c:pt idx="522">
                  <c:v>4.9333333333333336</c:v>
                </c:pt>
                <c:pt idx="523">
                  <c:v>11.533333333333335</c:v>
                </c:pt>
                <c:pt idx="524">
                  <c:v>13.666666666666666</c:v>
                </c:pt>
                <c:pt idx="525">
                  <c:v>13.600000000000003</c:v>
                </c:pt>
                <c:pt idx="526">
                  <c:v>6.0333333333333341</c:v>
                </c:pt>
                <c:pt idx="527">
                  <c:v>2.2333333333333329</c:v>
                </c:pt>
                <c:pt idx="528">
                  <c:v>-8.0666666666666664</c:v>
                </c:pt>
                <c:pt idx="529">
                  <c:v>-10.866666666666667</c:v>
                </c:pt>
                <c:pt idx="530">
                  <c:v>-13.133333333333335</c:v>
                </c:pt>
                <c:pt idx="531">
                  <c:v>-6.6333333333333329</c:v>
                </c:pt>
                <c:pt idx="532">
                  <c:v>-6.1</c:v>
                </c:pt>
                <c:pt idx="533">
                  <c:v>-3.9</c:v>
                </c:pt>
                <c:pt idx="534">
                  <c:v>-4.8</c:v>
                </c:pt>
                <c:pt idx="535">
                  <c:v>-4.5333333333333332</c:v>
                </c:pt>
                <c:pt idx="536">
                  <c:v>-2.9333333333333336</c:v>
                </c:pt>
                <c:pt idx="537">
                  <c:v>-0.59999999999999964</c:v>
                </c:pt>
                <c:pt idx="538">
                  <c:v>-0.39999999999999963</c:v>
                </c:pt>
                <c:pt idx="539">
                  <c:v>-3.4666666666666663</c:v>
                </c:pt>
                <c:pt idx="540">
                  <c:v>-2.5666666666666664</c:v>
                </c:pt>
                <c:pt idx="541">
                  <c:v>-1.4999999999999996</c:v>
                </c:pt>
                <c:pt idx="542">
                  <c:v>0.56666666666666787</c:v>
                </c:pt>
                <c:pt idx="543">
                  <c:v>1.5666666666666675</c:v>
                </c:pt>
                <c:pt idx="544">
                  <c:v>6.3</c:v>
                </c:pt>
                <c:pt idx="545">
                  <c:v>7.9666666666666668</c:v>
                </c:pt>
                <c:pt idx="546">
                  <c:v>13.766666666666669</c:v>
                </c:pt>
                <c:pt idx="547">
                  <c:v>14.533333333333335</c:v>
                </c:pt>
                <c:pt idx="548">
                  <c:v>14.066666666666668</c:v>
                </c:pt>
                <c:pt idx="549">
                  <c:v>6.0333333333333359</c:v>
                </c:pt>
                <c:pt idx="550">
                  <c:v>1.4999999999999993</c:v>
                </c:pt>
                <c:pt idx="551">
                  <c:v>-7.2</c:v>
                </c:pt>
                <c:pt idx="552">
                  <c:v>-11.433333333333334</c:v>
                </c:pt>
                <c:pt idx="553">
                  <c:v>-13.2</c:v>
                </c:pt>
                <c:pt idx="554">
                  <c:v>-6.0666666666666682</c:v>
                </c:pt>
                <c:pt idx="555">
                  <c:v>-2.9333333333333331</c:v>
                </c:pt>
                <c:pt idx="556">
                  <c:v>-1.7333333333333332</c:v>
                </c:pt>
                <c:pt idx="557">
                  <c:v>-1.9333333333333331</c:v>
                </c:pt>
                <c:pt idx="558">
                  <c:v>-1.4666666666666666</c:v>
                </c:pt>
                <c:pt idx="559">
                  <c:v>-0.83333333333333326</c:v>
                </c:pt>
                <c:pt idx="560">
                  <c:v>0.33333333333333348</c:v>
                </c:pt>
                <c:pt idx="561">
                  <c:v>1.9666666666666668</c:v>
                </c:pt>
                <c:pt idx="562">
                  <c:v>1.8</c:v>
                </c:pt>
                <c:pt idx="563">
                  <c:v>1.2000000000000002</c:v>
                </c:pt>
                <c:pt idx="564">
                  <c:v>-4.2</c:v>
                </c:pt>
                <c:pt idx="565">
                  <c:v>-10.166666666666666</c:v>
                </c:pt>
                <c:pt idx="566">
                  <c:v>-12.566666666666666</c:v>
                </c:pt>
                <c:pt idx="567">
                  <c:v>-8.3666666666666671</c:v>
                </c:pt>
                <c:pt idx="568">
                  <c:v>-1.6</c:v>
                </c:pt>
                <c:pt idx="569">
                  <c:v>5.7666666666666675</c:v>
                </c:pt>
                <c:pt idx="570">
                  <c:v>11.7</c:v>
                </c:pt>
                <c:pt idx="571">
                  <c:v>12.4</c:v>
                </c:pt>
                <c:pt idx="572">
                  <c:v>7.333333333333333</c:v>
                </c:pt>
                <c:pt idx="573">
                  <c:v>1.6000000000000003</c:v>
                </c:pt>
                <c:pt idx="574">
                  <c:v>-0.66666666666666663</c:v>
                </c:pt>
                <c:pt idx="575">
                  <c:v>-2.2000000000000002</c:v>
                </c:pt>
                <c:pt idx="576">
                  <c:v>-2.5</c:v>
                </c:pt>
                <c:pt idx="577">
                  <c:v>-2.0666666666666664</c:v>
                </c:pt>
                <c:pt idx="578">
                  <c:v>-0.9</c:v>
                </c:pt>
                <c:pt idx="579">
                  <c:v>-0.6</c:v>
                </c:pt>
                <c:pt idx="580">
                  <c:v>2.0333333333333332</c:v>
                </c:pt>
                <c:pt idx="581">
                  <c:v>8.6333333333333329</c:v>
                </c:pt>
                <c:pt idx="582">
                  <c:v>14.3</c:v>
                </c:pt>
                <c:pt idx="583">
                  <c:v>15.5</c:v>
                </c:pt>
                <c:pt idx="584">
                  <c:v>10.233333333333334</c:v>
                </c:pt>
                <c:pt idx="585">
                  <c:v>3.4333333333333362</c:v>
                </c:pt>
                <c:pt idx="586">
                  <c:v>-6.1</c:v>
                </c:pt>
                <c:pt idx="587">
                  <c:v>-12.566666666666666</c:v>
                </c:pt>
                <c:pt idx="588">
                  <c:v>-14.8</c:v>
                </c:pt>
                <c:pt idx="589">
                  <c:v>-10.7</c:v>
                </c:pt>
                <c:pt idx="590">
                  <c:v>-5.6</c:v>
                </c:pt>
                <c:pt idx="591">
                  <c:v>-2.5333333333333337</c:v>
                </c:pt>
                <c:pt idx="592">
                  <c:v>-1.0333333333333332</c:v>
                </c:pt>
                <c:pt idx="593">
                  <c:v>-1.0666666666666669</c:v>
                </c:pt>
                <c:pt idx="594">
                  <c:v>-2.6333333333333333</c:v>
                </c:pt>
                <c:pt idx="595">
                  <c:v>-2.1666666666666665</c:v>
                </c:pt>
                <c:pt idx="596">
                  <c:v>-0.3</c:v>
                </c:pt>
                <c:pt idx="597">
                  <c:v>2.166666666666667</c:v>
                </c:pt>
                <c:pt idx="598">
                  <c:v>0.63333333333333319</c:v>
                </c:pt>
                <c:pt idx="599">
                  <c:v>-1.8666666666666676</c:v>
                </c:pt>
                <c:pt idx="600">
                  <c:v>-4.9666666666666668</c:v>
                </c:pt>
                <c:pt idx="601">
                  <c:v>-5.3333333333333339</c:v>
                </c:pt>
                <c:pt idx="602">
                  <c:v>-4.8666666666666671</c:v>
                </c:pt>
                <c:pt idx="603">
                  <c:v>-0.40000000000000069</c:v>
                </c:pt>
                <c:pt idx="604">
                  <c:v>5.166666666666667</c:v>
                </c:pt>
                <c:pt idx="605">
                  <c:v>8.5</c:v>
                </c:pt>
                <c:pt idx="606">
                  <c:v>7.2</c:v>
                </c:pt>
                <c:pt idx="607">
                  <c:v>8.9</c:v>
                </c:pt>
                <c:pt idx="608">
                  <c:v>11.366666666666665</c:v>
                </c:pt>
                <c:pt idx="609">
                  <c:v>13.833333333333334</c:v>
                </c:pt>
                <c:pt idx="610">
                  <c:v>9.2333333333333343</c:v>
                </c:pt>
                <c:pt idx="611">
                  <c:v>4.5</c:v>
                </c:pt>
                <c:pt idx="612">
                  <c:v>-3.5333333333333341</c:v>
                </c:pt>
                <c:pt idx="613">
                  <c:v>-10.466666666666667</c:v>
                </c:pt>
                <c:pt idx="614">
                  <c:v>-13.833333333333332</c:v>
                </c:pt>
                <c:pt idx="615">
                  <c:v>-10.233333333333334</c:v>
                </c:pt>
                <c:pt idx="616">
                  <c:v>-4.7666666666666666</c:v>
                </c:pt>
                <c:pt idx="617">
                  <c:v>-2.1333333333333337</c:v>
                </c:pt>
                <c:pt idx="618">
                  <c:v>-0.83333333333333326</c:v>
                </c:pt>
                <c:pt idx="619">
                  <c:v>-1.6333333333333333</c:v>
                </c:pt>
                <c:pt idx="620">
                  <c:v>-0.96666666666666656</c:v>
                </c:pt>
                <c:pt idx="621">
                  <c:v>-1.6666666666666667</c:v>
                </c:pt>
                <c:pt idx="622">
                  <c:v>-3.3333333333333215E-2</c:v>
                </c:pt>
                <c:pt idx="623">
                  <c:v>-5</c:v>
                </c:pt>
                <c:pt idx="624">
                  <c:v>-6.1</c:v>
                </c:pt>
                <c:pt idx="625">
                  <c:v>-7.2666666666666675</c:v>
                </c:pt>
                <c:pt idx="626">
                  <c:v>-2.4666666666666677</c:v>
                </c:pt>
                <c:pt idx="627">
                  <c:v>-0.90000000000000069</c:v>
                </c:pt>
                <c:pt idx="628">
                  <c:v>5.333333333333333</c:v>
                </c:pt>
                <c:pt idx="629">
                  <c:v>8.1999999999999993</c:v>
                </c:pt>
                <c:pt idx="630">
                  <c:v>8.966666666666665</c:v>
                </c:pt>
                <c:pt idx="631">
                  <c:v>4.1666666666666661</c:v>
                </c:pt>
                <c:pt idx="632">
                  <c:v>2.7333333333333334</c:v>
                </c:pt>
                <c:pt idx="633">
                  <c:v>8.7666666666666657</c:v>
                </c:pt>
                <c:pt idx="634">
                  <c:v>13.933333333333332</c:v>
                </c:pt>
                <c:pt idx="635">
                  <c:v>12.7</c:v>
                </c:pt>
                <c:pt idx="636">
                  <c:v>6.833333333333333</c:v>
                </c:pt>
                <c:pt idx="637">
                  <c:v>0.26666666666666716</c:v>
                </c:pt>
                <c:pt idx="638">
                  <c:v>-6.4333333333333345</c:v>
                </c:pt>
                <c:pt idx="639">
                  <c:v>-13.466666666666665</c:v>
                </c:pt>
                <c:pt idx="640">
                  <c:v>-13.433333333333334</c:v>
                </c:pt>
                <c:pt idx="641">
                  <c:v>-7.6333333333333329</c:v>
                </c:pt>
                <c:pt idx="642">
                  <c:v>-2</c:v>
                </c:pt>
                <c:pt idx="643">
                  <c:v>-1.9333333333333331</c:v>
                </c:pt>
                <c:pt idx="644">
                  <c:v>-1.4</c:v>
                </c:pt>
                <c:pt idx="645">
                  <c:v>-0.19999999999999996</c:v>
                </c:pt>
                <c:pt idx="646">
                  <c:v>-0.96666666666666656</c:v>
                </c:pt>
                <c:pt idx="647">
                  <c:v>-6.0333333333333332</c:v>
                </c:pt>
                <c:pt idx="648">
                  <c:v>-9.533333333333335</c:v>
                </c:pt>
                <c:pt idx="649">
                  <c:v>-9.0666666666666664</c:v>
                </c:pt>
                <c:pt idx="650">
                  <c:v>-4.3333333333333339</c:v>
                </c:pt>
                <c:pt idx="651">
                  <c:v>-0.13333333333333428</c:v>
                </c:pt>
                <c:pt idx="652">
                  <c:v>6.0666666666666673</c:v>
                </c:pt>
                <c:pt idx="653">
                  <c:v>9.9666666666666668</c:v>
                </c:pt>
                <c:pt idx="654">
                  <c:v>10.366666666666667</c:v>
                </c:pt>
                <c:pt idx="655">
                  <c:v>7.2333333333333343</c:v>
                </c:pt>
                <c:pt idx="656">
                  <c:v>8.5666666666666664</c:v>
                </c:pt>
                <c:pt idx="657">
                  <c:v>12.433333333333334</c:v>
                </c:pt>
                <c:pt idx="658">
                  <c:v>12.8</c:v>
                </c:pt>
                <c:pt idx="659">
                  <c:v>8.3333333333333339</c:v>
                </c:pt>
                <c:pt idx="660">
                  <c:v>1.1666666666666679</c:v>
                </c:pt>
                <c:pt idx="661">
                  <c:v>-5.7</c:v>
                </c:pt>
                <c:pt idx="662">
                  <c:v>-11.433333333333334</c:v>
                </c:pt>
                <c:pt idx="663">
                  <c:v>-12.766666666666667</c:v>
                </c:pt>
                <c:pt idx="664">
                  <c:v>-9.3333333333333321</c:v>
                </c:pt>
                <c:pt idx="665">
                  <c:v>-4.2666666666666675</c:v>
                </c:pt>
                <c:pt idx="666">
                  <c:v>-1.6</c:v>
                </c:pt>
                <c:pt idx="667">
                  <c:v>-0.1666666666666666</c:v>
                </c:pt>
                <c:pt idx="668">
                  <c:v>1.0666666666666669</c:v>
                </c:pt>
                <c:pt idx="669">
                  <c:v>1.8666666666666667</c:v>
                </c:pt>
                <c:pt idx="670">
                  <c:v>1.6333333333333335</c:v>
                </c:pt>
                <c:pt idx="671">
                  <c:v>0.3000000000000001</c:v>
                </c:pt>
                <c:pt idx="672">
                  <c:v>-3.1</c:v>
                </c:pt>
                <c:pt idx="673">
                  <c:v>-9.2666666666666675</c:v>
                </c:pt>
                <c:pt idx="674">
                  <c:v>-11.566666666666666</c:v>
                </c:pt>
                <c:pt idx="675">
                  <c:v>-8.6333333333333346</c:v>
                </c:pt>
                <c:pt idx="676">
                  <c:v>-2.2666666666666671</c:v>
                </c:pt>
                <c:pt idx="677">
                  <c:v>2.833333333333333</c:v>
                </c:pt>
                <c:pt idx="678">
                  <c:v>7.333333333333333</c:v>
                </c:pt>
                <c:pt idx="679">
                  <c:v>9.3333333333333321</c:v>
                </c:pt>
                <c:pt idx="680">
                  <c:v>6.9</c:v>
                </c:pt>
                <c:pt idx="681">
                  <c:v>2.2333333333333334</c:v>
                </c:pt>
                <c:pt idx="682">
                  <c:v>-0.33333333333333331</c:v>
                </c:pt>
                <c:pt idx="683">
                  <c:v>0.93333333333333335</c:v>
                </c:pt>
                <c:pt idx="684">
                  <c:v>1.2999999999999998</c:v>
                </c:pt>
                <c:pt idx="685">
                  <c:v>1.7666666666666664</c:v>
                </c:pt>
                <c:pt idx="686">
                  <c:v>7.5666666666666655</c:v>
                </c:pt>
                <c:pt idx="687">
                  <c:v>13.333333333333334</c:v>
                </c:pt>
                <c:pt idx="688">
                  <c:v>12.799999999999999</c:v>
                </c:pt>
                <c:pt idx="689">
                  <c:v>5.9666666666666659</c:v>
                </c:pt>
                <c:pt idx="690">
                  <c:v>-0.30000000000000215</c:v>
                </c:pt>
                <c:pt idx="691">
                  <c:v>-7.666666666666667</c:v>
                </c:pt>
                <c:pt idx="692">
                  <c:v>-13.633333333333336</c:v>
                </c:pt>
                <c:pt idx="693">
                  <c:v>-13.300000000000002</c:v>
                </c:pt>
                <c:pt idx="694">
                  <c:v>-5.8999999999999995</c:v>
                </c:pt>
                <c:pt idx="695">
                  <c:v>6.1062266354383615E-17</c:v>
                </c:pt>
                <c:pt idx="696">
                  <c:v>0.5</c:v>
                </c:pt>
                <c:pt idx="697">
                  <c:v>-0.1999999999999999</c:v>
                </c:pt>
                <c:pt idx="698">
                  <c:v>-1.7333333333333332</c:v>
                </c:pt>
                <c:pt idx="699">
                  <c:v>-2.7666666666666666</c:v>
                </c:pt>
                <c:pt idx="700">
                  <c:v>-3.3666666666666663</c:v>
                </c:pt>
                <c:pt idx="701">
                  <c:v>-3.166666666666667</c:v>
                </c:pt>
                <c:pt idx="702">
                  <c:v>-5.6999999999999993</c:v>
                </c:pt>
                <c:pt idx="703">
                  <c:v>-4.4999999999999991</c:v>
                </c:pt>
                <c:pt idx="704">
                  <c:v>-2.6666666666666656</c:v>
                </c:pt>
                <c:pt idx="705">
                  <c:v>2.4666666666666672</c:v>
                </c:pt>
                <c:pt idx="706">
                  <c:v>4.0333333333333341</c:v>
                </c:pt>
                <c:pt idx="707">
                  <c:v>5.9666666666666668</c:v>
                </c:pt>
                <c:pt idx="708">
                  <c:v>3.9</c:v>
                </c:pt>
                <c:pt idx="709">
                  <c:v>1.8333333333333328</c:v>
                </c:pt>
                <c:pt idx="710">
                  <c:v>-1.3666666666666667</c:v>
                </c:pt>
                <c:pt idx="711">
                  <c:v>-1.5333333333333334</c:v>
                </c:pt>
                <c:pt idx="712">
                  <c:v>0.26666666666666689</c:v>
                </c:pt>
                <c:pt idx="713">
                  <c:v>2.666666666666667</c:v>
                </c:pt>
                <c:pt idx="714">
                  <c:v>3.4666666666666659</c:v>
                </c:pt>
                <c:pt idx="715">
                  <c:v>8.1333333333333329</c:v>
                </c:pt>
                <c:pt idx="716">
                  <c:v>10.433333333333334</c:v>
                </c:pt>
                <c:pt idx="717">
                  <c:v>12.133333333333333</c:v>
                </c:pt>
                <c:pt idx="718">
                  <c:v>8.6333333333333346</c:v>
                </c:pt>
                <c:pt idx="719">
                  <c:v>5.0999999999999996</c:v>
                </c:pt>
                <c:pt idx="720">
                  <c:v>-2.8000000000000003</c:v>
                </c:pt>
                <c:pt idx="721">
                  <c:v>-7.6666666666666661</c:v>
                </c:pt>
                <c:pt idx="722">
                  <c:v>-10.266666666666666</c:v>
                </c:pt>
                <c:pt idx="723">
                  <c:v>-7.333333333333333</c:v>
                </c:pt>
                <c:pt idx="724">
                  <c:v>-5.8</c:v>
                </c:pt>
                <c:pt idx="725">
                  <c:v>-3.9666666666666663</c:v>
                </c:pt>
                <c:pt idx="726">
                  <c:v>-2.6333333333333333</c:v>
                </c:pt>
                <c:pt idx="727">
                  <c:v>-1.6333333333333333</c:v>
                </c:pt>
                <c:pt idx="728">
                  <c:v>-0.76666666666666661</c:v>
                </c:pt>
                <c:pt idx="729">
                  <c:v>1.1000000000000001</c:v>
                </c:pt>
                <c:pt idx="730">
                  <c:v>0.76666666666666672</c:v>
                </c:pt>
                <c:pt idx="731">
                  <c:v>-0.56666666666666654</c:v>
                </c:pt>
                <c:pt idx="732">
                  <c:v>-8.4333333333333336</c:v>
                </c:pt>
                <c:pt idx="733">
                  <c:v>-12.6</c:v>
                </c:pt>
                <c:pt idx="734">
                  <c:v>-13.033333333333331</c:v>
                </c:pt>
                <c:pt idx="735">
                  <c:v>-5.7</c:v>
                </c:pt>
                <c:pt idx="736">
                  <c:v>-0.7</c:v>
                </c:pt>
                <c:pt idx="737">
                  <c:v>7.833333333333333</c:v>
                </c:pt>
                <c:pt idx="738">
                  <c:v>12.2</c:v>
                </c:pt>
                <c:pt idx="739">
                  <c:v>13.766666666666666</c:v>
                </c:pt>
                <c:pt idx="740">
                  <c:v>6.8666666666666671</c:v>
                </c:pt>
                <c:pt idx="741">
                  <c:v>2.5333333333333332</c:v>
                </c:pt>
                <c:pt idx="742">
                  <c:v>-6.666666666666661E-2</c:v>
                </c:pt>
                <c:pt idx="743">
                  <c:v>-0.6333333333333333</c:v>
                </c:pt>
                <c:pt idx="744">
                  <c:v>4.1666666666666661</c:v>
                </c:pt>
                <c:pt idx="745">
                  <c:v>11.866666666666665</c:v>
                </c:pt>
                <c:pt idx="746">
                  <c:v>14.1</c:v>
                </c:pt>
                <c:pt idx="747">
                  <c:v>9.966666666666665</c:v>
                </c:pt>
                <c:pt idx="748">
                  <c:v>2.7999999999999985</c:v>
                </c:pt>
                <c:pt idx="749">
                  <c:v>-5.0666666666666673</c:v>
                </c:pt>
              </c:numCache>
            </c:numRef>
          </c:yVal>
          <c:smooth val="0"/>
        </c:ser>
        <c:ser>
          <c:idx val="7"/>
          <c:order val="1"/>
          <c:tx>
            <c:strRef>
              <c:f>offset_qbo_all_terms_30hPa!$I$2</c:f>
              <c:strCache>
                <c:ptCount val="1"/>
                <c:pt idx="0">
                  <c:v>M2</c:v>
                </c:pt>
              </c:strCache>
            </c:strRef>
          </c:tx>
          <c:marker>
            <c:symbol val="none"/>
          </c:marker>
          <c:xVal>
            <c:numRef>
              <c:f>offset_qbo_all_terms_30hPa!$A$3:$A$756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offset_qbo_all_terms_30hPa!$I$3:$I$756</c:f>
              <c:numCache>
                <c:formatCode>General</c:formatCode>
                <c:ptCount val="754"/>
                <c:pt idx="4">
                  <c:v>-2.5956186418344922</c:v>
                </c:pt>
                <c:pt idx="5">
                  <c:v>-1.5713346249260893</c:v>
                </c:pt>
                <c:pt idx="6">
                  <c:v>0.69122878814344957</c:v>
                </c:pt>
                <c:pt idx="7">
                  <c:v>3.9976411891519716</c:v>
                </c:pt>
                <c:pt idx="8">
                  <c:v>6.8479725238574547</c:v>
                </c:pt>
                <c:pt idx="9">
                  <c:v>5.9727978940404087</c:v>
                </c:pt>
                <c:pt idx="10">
                  <c:v>2.9004146115317924</c:v>
                </c:pt>
                <c:pt idx="11">
                  <c:v>-1.0087757363725771</c:v>
                </c:pt>
                <c:pt idx="12">
                  <c:v>-4.5923640552269136</c:v>
                </c:pt>
                <c:pt idx="13">
                  <c:v>-6.2668670061505312</c:v>
                </c:pt>
                <c:pt idx="14">
                  <c:v>-3.9765534664401274</c:v>
                </c:pt>
                <c:pt idx="15">
                  <c:v>1.8632415270168341</c:v>
                </c:pt>
                <c:pt idx="16">
                  <c:v>7.9070314556319872</c:v>
                </c:pt>
                <c:pt idx="17">
                  <c:v>10.699585618166271</c:v>
                </c:pt>
                <c:pt idx="18">
                  <c:v>9.0713270539229374</c:v>
                </c:pt>
                <c:pt idx="19">
                  <c:v>6.9148065062293869</c:v>
                </c:pt>
                <c:pt idx="20">
                  <c:v>3.4031754364304994</c:v>
                </c:pt>
                <c:pt idx="21">
                  <c:v>0.7658476213312948</c:v>
                </c:pt>
                <c:pt idx="22">
                  <c:v>-2.2291573533587008</c:v>
                </c:pt>
                <c:pt idx="23">
                  <c:v>-4.1981904153631593</c:v>
                </c:pt>
                <c:pt idx="24">
                  <c:v>-5.1398560613471718</c:v>
                </c:pt>
                <c:pt idx="25">
                  <c:v>-4.1482067557663358</c:v>
                </c:pt>
                <c:pt idx="26">
                  <c:v>-3.1271626663704892</c:v>
                </c:pt>
                <c:pt idx="27">
                  <c:v>-2.2128695235773557</c:v>
                </c:pt>
                <c:pt idx="28">
                  <c:v>-1.4398220561706085</c:v>
                </c:pt>
                <c:pt idx="29">
                  <c:v>-1.3906209269772234</c:v>
                </c:pt>
                <c:pt idx="30">
                  <c:v>-2.1776296649468518</c:v>
                </c:pt>
                <c:pt idx="31">
                  <c:v>-3.2287147276426671</c:v>
                </c:pt>
                <c:pt idx="32">
                  <c:v>-3.4310699056037088</c:v>
                </c:pt>
                <c:pt idx="33">
                  <c:v>-2.5215214005109892</c:v>
                </c:pt>
                <c:pt idx="34">
                  <c:v>-1.5206633799590314</c:v>
                </c:pt>
                <c:pt idx="35">
                  <c:v>-3.8603697577211271</c:v>
                </c:pt>
                <c:pt idx="36">
                  <c:v>-5.0572622252908541</c:v>
                </c:pt>
                <c:pt idx="37">
                  <c:v>-5.1401903503758231</c:v>
                </c:pt>
                <c:pt idx="38">
                  <c:v>-2.1775106259771411</c:v>
                </c:pt>
                <c:pt idx="39">
                  <c:v>0.2264763449244164</c:v>
                </c:pt>
                <c:pt idx="40">
                  <c:v>5.081217950599525</c:v>
                </c:pt>
                <c:pt idx="41">
                  <c:v>8.0678702524114421</c:v>
                </c:pt>
                <c:pt idx="42">
                  <c:v>9.0511714830176118</c:v>
                </c:pt>
                <c:pt idx="43">
                  <c:v>7.6199211814825842</c:v>
                </c:pt>
                <c:pt idx="44">
                  <c:v>9.5134868819841074</c:v>
                </c:pt>
                <c:pt idx="45">
                  <c:v>10.510070746224056</c:v>
                </c:pt>
                <c:pt idx="46">
                  <c:v>8.871794948483176</c:v>
                </c:pt>
                <c:pt idx="47">
                  <c:v>3.6520080167374962</c:v>
                </c:pt>
                <c:pt idx="48">
                  <c:v>-1.4993706107111753</c:v>
                </c:pt>
                <c:pt idx="49">
                  <c:v>-7.595547490245548</c:v>
                </c:pt>
                <c:pt idx="50">
                  <c:v>-10.265908046369949</c:v>
                </c:pt>
                <c:pt idx="51">
                  <c:v>-9.1277768094295784</c:v>
                </c:pt>
                <c:pt idx="52">
                  <c:v>-4.4608151934285392</c:v>
                </c:pt>
                <c:pt idx="53">
                  <c:v>-1.4955955788293358</c:v>
                </c:pt>
                <c:pt idx="54">
                  <c:v>-0.11662710236800193</c:v>
                </c:pt>
                <c:pt idx="55">
                  <c:v>0.21450908157666468</c:v>
                </c:pt>
                <c:pt idx="56">
                  <c:v>-0.1139426056944558</c:v>
                </c:pt>
                <c:pt idx="57">
                  <c:v>-0.58703946004696272</c:v>
                </c:pt>
                <c:pt idx="58">
                  <c:v>-1.2518280232996843</c:v>
                </c:pt>
                <c:pt idx="59">
                  <c:v>-3.2509381135371256</c:v>
                </c:pt>
                <c:pt idx="60">
                  <c:v>-8.8991931980620596</c:v>
                </c:pt>
                <c:pt idx="61">
                  <c:v>-10.456496277641177</c:v>
                </c:pt>
                <c:pt idx="62">
                  <c:v>-8.7734934627695225</c:v>
                </c:pt>
                <c:pt idx="63">
                  <c:v>-2.358014985510799</c:v>
                </c:pt>
                <c:pt idx="64">
                  <c:v>2.0803346886347756</c:v>
                </c:pt>
                <c:pt idx="65">
                  <c:v>8.9462036837870986</c:v>
                </c:pt>
                <c:pt idx="66">
                  <c:v>11.515317627001204</c:v>
                </c:pt>
                <c:pt idx="67">
                  <c:v>11.251549101146699</c:v>
                </c:pt>
                <c:pt idx="68">
                  <c:v>6.4248793232850172</c:v>
                </c:pt>
                <c:pt idx="69">
                  <c:v>4.5985376021386326</c:v>
                </c:pt>
                <c:pt idx="70">
                  <c:v>3.1323930067540493</c:v>
                </c:pt>
                <c:pt idx="71">
                  <c:v>3.4268968723783928</c:v>
                </c:pt>
                <c:pt idx="72">
                  <c:v>3.7483242839815616</c:v>
                </c:pt>
                <c:pt idx="73">
                  <c:v>3.2308424853698212</c:v>
                </c:pt>
                <c:pt idx="74">
                  <c:v>1.4114791324404237</c:v>
                </c:pt>
                <c:pt idx="75">
                  <c:v>-0.11706581622708505</c:v>
                </c:pt>
                <c:pt idx="76">
                  <c:v>-2.4067306385948144</c:v>
                </c:pt>
                <c:pt idx="77">
                  <c:v>-4.9936503485046497</c:v>
                </c:pt>
                <c:pt idx="78">
                  <c:v>-6.2972885060585924</c:v>
                </c:pt>
                <c:pt idx="79">
                  <c:v>-5.3032150347963007</c:v>
                </c:pt>
                <c:pt idx="80">
                  <c:v>-3.5337271234110643</c:v>
                </c:pt>
                <c:pt idx="81">
                  <c:v>-2.6420193097441582</c:v>
                </c:pt>
                <c:pt idx="82">
                  <c:v>-2.1204054497206686</c:v>
                </c:pt>
                <c:pt idx="83">
                  <c:v>-2.3037709250826675</c:v>
                </c:pt>
                <c:pt idx="84">
                  <c:v>-4.7549854443486499</c:v>
                </c:pt>
                <c:pt idx="85">
                  <c:v>-8.7441480916210388</c:v>
                </c:pt>
                <c:pt idx="86">
                  <c:v>-8.5296870906918389</c:v>
                </c:pt>
                <c:pt idx="87">
                  <c:v>-5.6630652465763633</c:v>
                </c:pt>
                <c:pt idx="88">
                  <c:v>-0.61745264386013043</c:v>
                </c:pt>
                <c:pt idx="89">
                  <c:v>3.2152142139213185</c:v>
                </c:pt>
                <c:pt idx="90">
                  <c:v>8.3277973330368837</c:v>
                </c:pt>
                <c:pt idx="91">
                  <c:v>9.6169084902168294</c:v>
                </c:pt>
                <c:pt idx="92">
                  <c:v>8.8103199054567121</c:v>
                </c:pt>
                <c:pt idx="93">
                  <c:v>6.8053796295723998</c:v>
                </c:pt>
                <c:pt idx="94">
                  <c:v>6.9393025130504835</c:v>
                </c:pt>
                <c:pt idx="95">
                  <c:v>6.9102813004094941</c:v>
                </c:pt>
                <c:pt idx="96">
                  <c:v>5.0085388229120253</c:v>
                </c:pt>
                <c:pt idx="97">
                  <c:v>2.9480166493445563</c:v>
                </c:pt>
                <c:pt idx="98">
                  <c:v>-0.12748537745770569</c:v>
                </c:pt>
                <c:pt idx="99">
                  <c:v>-2.2789771904637655</c:v>
                </c:pt>
                <c:pt idx="100">
                  <c:v>-4.0341520824418415</c:v>
                </c:pt>
                <c:pt idx="101">
                  <c:v>-4.1136483262391499</c:v>
                </c:pt>
                <c:pt idx="102">
                  <c:v>-3.7819364764631169</c:v>
                </c:pt>
                <c:pt idx="103">
                  <c:v>-2.5889148583912291</c:v>
                </c:pt>
                <c:pt idx="104">
                  <c:v>-1.5596486321017589</c:v>
                </c:pt>
                <c:pt idx="105">
                  <c:v>-0.87711950261962424</c:v>
                </c:pt>
                <c:pt idx="106">
                  <c:v>-0.69634846147737794</c:v>
                </c:pt>
                <c:pt idx="107">
                  <c:v>-1.4738710360968177</c:v>
                </c:pt>
                <c:pt idx="108">
                  <c:v>-3.107676433800683</c:v>
                </c:pt>
                <c:pt idx="109">
                  <c:v>-5.7795791969118868</c:v>
                </c:pt>
                <c:pt idx="110">
                  <c:v>-8.7463055395025062</c:v>
                </c:pt>
                <c:pt idx="111">
                  <c:v>-8.9336488061594448</c:v>
                </c:pt>
                <c:pt idx="112">
                  <c:v>-6.3842342635824014</c:v>
                </c:pt>
                <c:pt idx="113">
                  <c:v>-2.2385694057219436</c:v>
                </c:pt>
                <c:pt idx="114">
                  <c:v>1.7439090865402966</c:v>
                </c:pt>
                <c:pt idx="115">
                  <c:v>6.1722495365022692</c:v>
                </c:pt>
                <c:pt idx="116">
                  <c:v>8.2612070346545359</c:v>
                </c:pt>
                <c:pt idx="117">
                  <c:v>7.1815412296400254</c:v>
                </c:pt>
                <c:pt idx="118">
                  <c:v>3.9687332721446369</c:v>
                </c:pt>
                <c:pt idx="119">
                  <c:v>1.821978471602185</c:v>
                </c:pt>
                <c:pt idx="120">
                  <c:v>0.48459683834312395</c:v>
                </c:pt>
                <c:pt idx="121">
                  <c:v>6.288904234699047E-2</c:v>
                </c:pt>
                <c:pt idx="122">
                  <c:v>1.9100322438265906</c:v>
                </c:pt>
                <c:pt idx="123">
                  <c:v>7.2700383229458554</c:v>
                </c:pt>
                <c:pt idx="124">
                  <c:v>10.447255579868429</c:v>
                </c:pt>
                <c:pt idx="125">
                  <c:v>9.6142138580836818</c:v>
                </c:pt>
                <c:pt idx="126">
                  <c:v>4.5304154333990292</c:v>
                </c:pt>
                <c:pt idx="127">
                  <c:v>-9.3931289495066045E-2</c:v>
                </c:pt>
                <c:pt idx="128">
                  <c:v>-5.6104322870767076</c:v>
                </c:pt>
                <c:pt idx="129">
                  <c:v>-8.1553994044369098</c:v>
                </c:pt>
                <c:pt idx="130">
                  <c:v>-7.4973279446698964</c:v>
                </c:pt>
                <c:pt idx="131">
                  <c:v>-3.7902935694352684</c:v>
                </c:pt>
                <c:pt idx="132">
                  <c:v>-2.3400561116786669</c:v>
                </c:pt>
                <c:pt idx="133">
                  <c:v>-2.5645029723873329</c:v>
                </c:pt>
                <c:pt idx="134">
                  <c:v>-2.8114745498519991</c:v>
                </c:pt>
                <c:pt idx="135">
                  <c:v>-2.2975008103172527</c:v>
                </c:pt>
                <c:pt idx="136">
                  <c:v>-1.3183248014466122</c:v>
                </c:pt>
                <c:pt idx="137">
                  <c:v>-0.71826827488397149</c:v>
                </c:pt>
                <c:pt idx="138">
                  <c:v>-0.86630070623143784</c:v>
                </c:pt>
                <c:pt idx="139">
                  <c:v>-1.1482360742409294</c:v>
                </c:pt>
                <c:pt idx="140">
                  <c:v>-1.0649107083454372</c:v>
                </c:pt>
                <c:pt idx="141">
                  <c:v>-4.6165424721274204E-2</c:v>
                </c:pt>
                <c:pt idx="142">
                  <c:v>0.77614495892152513</c:v>
                </c:pt>
                <c:pt idx="143">
                  <c:v>-1.5687667780920331</c:v>
                </c:pt>
                <c:pt idx="144">
                  <c:v>-4.3305089061669317</c:v>
                </c:pt>
                <c:pt idx="145">
                  <c:v>-5.4034585979435166</c:v>
                </c:pt>
                <c:pt idx="146">
                  <c:v>-3.5716975270031881</c:v>
                </c:pt>
                <c:pt idx="147">
                  <c:v>-1.1142629033268556</c:v>
                </c:pt>
                <c:pt idx="148">
                  <c:v>2.8811035004459815</c:v>
                </c:pt>
                <c:pt idx="149">
                  <c:v>6.3688331286168252</c:v>
                </c:pt>
                <c:pt idx="150">
                  <c:v>7.412616158819759</c:v>
                </c:pt>
                <c:pt idx="151">
                  <c:v>5.1128824621204938</c:v>
                </c:pt>
                <c:pt idx="152">
                  <c:v>3.9791770673783744</c:v>
                </c:pt>
                <c:pt idx="153">
                  <c:v>7.5825230519112354</c:v>
                </c:pt>
                <c:pt idx="154">
                  <c:v>9.5839396618533907</c:v>
                </c:pt>
                <c:pt idx="155">
                  <c:v>8.5996302517456318</c:v>
                </c:pt>
                <c:pt idx="156">
                  <c:v>3.3845963133312793</c:v>
                </c:pt>
                <c:pt idx="157">
                  <c:v>-1.7616450784222628</c:v>
                </c:pt>
                <c:pt idx="158">
                  <c:v>-7.5416390620062161</c:v>
                </c:pt>
                <c:pt idx="159">
                  <c:v>-9.5542094426717572</c:v>
                </c:pt>
                <c:pt idx="160">
                  <c:v>-7.8217545693414667</c:v>
                </c:pt>
                <c:pt idx="161">
                  <c:v>-2.5184550597350599</c:v>
                </c:pt>
                <c:pt idx="162">
                  <c:v>0.82572405259747028</c:v>
                </c:pt>
                <c:pt idx="163">
                  <c:v>1.8177070502919244</c:v>
                </c:pt>
                <c:pt idx="164">
                  <c:v>1.3154728146983783</c:v>
                </c:pt>
                <c:pt idx="165">
                  <c:v>-0.14985551112444995</c:v>
                </c:pt>
                <c:pt idx="166">
                  <c:v>-1.8420408288107182</c:v>
                </c:pt>
                <c:pt idx="167">
                  <c:v>-2.9724040720977869</c:v>
                </c:pt>
                <c:pt idx="168">
                  <c:v>-4.0263847958129872</c:v>
                </c:pt>
                <c:pt idx="169">
                  <c:v>-6.1586583350746427</c:v>
                </c:pt>
                <c:pt idx="170">
                  <c:v>-7.067823245273007</c:v>
                </c:pt>
                <c:pt idx="171">
                  <c:v>-4.4152833841000714</c:v>
                </c:pt>
                <c:pt idx="172">
                  <c:v>-2.2674874483985938</c:v>
                </c:pt>
                <c:pt idx="173">
                  <c:v>-0.45124711786256438</c:v>
                </c:pt>
                <c:pt idx="174">
                  <c:v>0.94131255568172922</c:v>
                </c:pt>
                <c:pt idx="175">
                  <c:v>3.7091718025469391</c:v>
                </c:pt>
                <c:pt idx="176">
                  <c:v>3.414406586395379</c:v>
                </c:pt>
                <c:pt idx="177">
                  <c:v>2.7173720183095007</c:v>
                </c:pt>
                <c:pt idx="178">
                  <c:v>2.4166325316730974</c:v>
                </c:pt>
                <c:pt idx="179">
                  <c:v>3.7899064609166984</c:v>
                </c:pt>
                <c:pt idx="180">
                  <c:v>2.8362882979647615</c:v>
                </c:pt>
                <c:pt idx="181">
                  <c:v>1.6751126149255988</c:v>
                </c:pt>
                <c:pt idx="182">
                  <c:v>1.8027180206385858</c:v>
                </c:pt>
                <c:pt idx="183">
                  <c:v>2.5859765462507722</c:v>
                </c:pt>
                <c:pt idx="184">
                  <c:v>3.5785593442172763</c:v>
                </c:pt>
                <c:pt idx="185">
                  <c:v>7.4467776378277843</c:v>
                </c:pt>
                <c:pt idx="186">
                  <c:v>8.7784180006374637</c:v>
                </c:pt>
                <c:pt idx="187">
                  <c:v>7.8249070558500531</c:v>
                </c:pt>
                <c:pt idx="188">
                  <c:v>2.7702166634949053</c:v>
                </c:pt>
                <c:pt idx="189">
                  <c:v>-0.97738468111538812</c:v>
                </c:pt>
                <c:pt idx="190">
                  <c:v>-6.2210672706146735</c:v>
                </c:pt>
                <c:pt idx="191">
                  <c:v>-8.8616945698449161</c:v>
                </c:pt>
                <c:pt idx="192">
                  <c:v>-9.2292899079096671</c:v>
                </c:pt>
                <c:pt idx="193">
                  <c:v>-5.4572625648750499</c:v>
                </c:pt>
                <c:pt idx="194">
                  <c:v>-2.9080317593233151</c:v>
                </c:pt>
                <c:pt idx="195">
                  <c:v>-1.9113784170159807</c:v>
                </c:pt>
                <c:pt idx="196">
                  <c:v>-1.7873571311209648</c:v>
                </c:pt>
                <c:pt idx="197">
                  <c:v>-3.0241239991383795</c:v>
                </c:pt>
                <c:pt idx="198">
                  <c:v>-7.3190626399566669</c:v>
                </c:pt>
                <c:pt idx="199">
                  <c:v>-8.4373467138340601</c:v>
                </c:pt>
                <c:pt idx="200">
                  <c:v>-6.5530859250026978</c:v>
                </c:pt>
                <c:pt idx="201">
                  <c:v>-1.2954176360932883</c:v>
                </c:pt>
                <c:pt idx="202">
                  <c:v>2.0086518487671206</c:v>
                </c:pt>
                <c:pt idx="203">
                  <c:v>6.4387672339911148</c:v>
                </c:pt>
                <c:pt idx="204">
                  <c:v>7.7000246138874688</c:v>
                </c:pt>
                <c:pt idx="205">
                  <c:v>6.61349052179696</c:v>
                </c:pt>
                <c:pt idx="206">
                  <c:v>2.8474936771553128</c:v>
                </c:pt>
                <c:pt idx="207">
                  <c:v>1.9278657519102673</c:v>
                </c:pt>
                <c:pt idx="208">
                  <c:v>2.3064573727275475</c:v>
                </c:pt>
                <c:pt idx="209">
                  <c:v>2.4845683767517346</c:v>
                </c:pt>
                <c:pt idx="210">
                  <c:v>3.4466156932371748</c:v>
                </c:pt>
                <c:pt idx="211">
                  <c:v>8.8225242142129332</c:v>
                </c:pt>
                <c:pt idx="212">
                  <c:v>10.205303981760666</c:v>
                </c:pt>
                <c:pt idx="213">
                  <c:v>9.0392741029534385</c:v>
                </c:pt>
                <c:pt idx="214">
                  <c:v>2.9156942741123983</c:v>
                </c:pt>
                <c:pt idx="215">
                  <c:v>-1.1877976580204845</c:v>
                </c:pt>
                <c:pt idx="216">
                  <c:v>-8.5122329107855794</c:v>
                </c:pt>
                <c:pt idx="217">
                  <c:v>-11.120050381583633</c:v>
                </c:pt>
                <c:pt idx="218">
                  <c:v>-10.203401407872029</c:v>
                </c:pt>
                <c:pt idx="219">
                  <c:v>-4.086074817572344</c:v>
                </c:pt>
                <c:pt idx="220">
                  <c:v>-1.5270111234671415</c:v>
                </c:pt>
                <c:pt idx="221">
                  <c:v>-0.84358360513372654</c:v>
                </c:pt>
                <c:pt idx="222">
                  <c:v>-1.0237186478407954</c:v>
                </c:pt>
                <c:pt idx="223">
                  <c:v>-1.5713960441795192</c:v>
                </c:pt>
                <c:pt idx="224">
                  <c:v>-2.1021685797962162</c:v>
                </c:pt>
                <c:pt idx="225">
                  <c:v>-2.8628700681016159</c:v>
                </c:pt>
                <c:pt idx="226">
                  <c:v>-5.3219275748078161</c:v>
                </c:pt>
                <c:pt idx="227">
                  <c:v>-7.5812123252136248</c:v>
                </c:pt>
                <c:pt idx="228">
                  <c:v>-6.8949373395645681</c:v>
                </c:pt>
                <c:pt idx="229">
                  <c:v>-3.2862617452595115</c:v>
                </c:pt>
                <c:pt idx="230">
                  <c:v>1.2006704735225771</c:v>
                </c:pt>
                <c:pt idx="231">
                  <c:v>5.7588977125953109</c:v>
                </c:pt>
                <c:pt idx="232">
                  <c:v>9.5926533577074125</c:v>
                </c:pt>
                <c:pt idx="233">
                  <c:v>9.9743953983635834</c:v>
                </c:pt>
                <c:pt idx="234">
                  <c:v>7.4241747195565555</c:v>
                </c:pt>
                <c:pt idx="235">
                  <c:v>7.1830992675028877</c:v>
                </c:pt>
                <c:pt idx="236">
                  <c:v>10.155500401603788</c:v>
                </c:pt>
                <c:pt idx="237">
                  <c:v>10.01271900289083</c:v>
                </c:pt>
                <c:pt idx="238">
                  <c:v>6.4485427261151953</c:v>
                </c:pt>
                <c:pt idx="239">
                  <c:v>0.94581900932448382</c:v>
                </c:pt>
                <c:pt idx="240">
                  <c:v>-4.1061889741472068</c:v>
                </c:pt>
                <c:pt idx="241">
                  <c:v>-9.5858520576094666</c:v>
                </c:pt>
                <c:pt idx="242">
                  <c:v>-10.558669621579705</c:v>
                </c:pt>
                <c:pt idx="243">
                  <c:v>-7.4288595829696691</c:v>
                </c:pt>
                <c:pt idx="244">
                  <c:v>-2.6766825974553847</c:v>
                </c:pt>
                <c:pt idx="245">
                  <c:v>-1.5107993816131178</c:v>
                </c:pt>
                <c:pt idx="246">
                  <c:v>-1.2810259185874384</c:v>
                </c:pt>
                <c:pt idx="247">
                  <c:v>-1.5901319468545294</c:v>
                </c:pt>
                <c:pt idx="248">
                  <c:v>-2.2939662287857829</c:v>
                </c:pt>
                <c:pt idx="249">
                  <c:v>-2.5881077885899413</c:v>
                </c:pt>
                <c:pt idx="250">
                  <c:v>-2.77651144365925</c:v>
                </c:pt>
                <c:pt idx="251">
                  <c:v>-6.2534581683079935</c:v>
                </c:pt>
                <c:pt idx="252">
                  <c:v>-7.7499063970477327</c:v>
                </c:pt>
                <c:pt idx="253">
                  <c:v>-6.9042215724942633</c:v>
                </c:pt>
                <c:pt idx="254">
                  <c:v>-1.7551549624713616</c:v>
                </c:pt>
                <c:pt idx="255">
                  <c:v>1.8385958668728812</c:v>
                </c:pt>
                <c:pt idx="256">
                  <c:v>7.0346247665948756</c:v>
                </c:pt>
                <c:pt idx="257">
                  <c:v>9.462009199188584</c:v>
                </c:pt>
                <c:pt idx="258">
                  <c:v>9.5159796164162884</c:v>
                </c:pt>
                <c:pt idx="259">
                  <c:v>5.130137178154186</c:v>
                </c:pt>
                <c:pt idx="260">
                  <c:v>2.9888762247678384</c:v>
                </c:pt>
                <c:pt idx="261">
                  <c:v>4.1439457399337645</c:v>
                </c:pt>
                <c:pt idx="262">
                  <c:v>7.5682470393788579</c:v>
                </c:pt>
                <c:pt idx="263">
                  <c:v>8.6041118495863227</c:v>
                </c:pt>
                <c:pt idx="264">
                  <c:v>7.187316997850159</c:v>
                </c:pt>
                <c:pt idx="265">
                  <c:v>2.753373345152931</c:v>
                </c:pt>
                <c:pt idx="266">
                  <c:v>-1.3469711384566967</c:v>
                </c:pt>
                <c:pt idx="267">
                  <c:v>-6.4330055452535246</c:v>
                </c:pt>
                <c:pt idx="268">
                  <c:v>-8.3817301003954423</c:v>
                </c:pt>
                <c:pt idx="269">
                  <c:v>-7.7507455263714107</c:v>
                </c:pt>
                <c:pt idx="270">
                  <c:v>-4.4257369018075439</c:v>
                </c:pt>
                <c:pt idx="271">
                  <c:v>-2.7363880911907974</c:v>
                </c:pt>
                <c:pt idx="272">
                  <c:v>-1.4177830571401302</c:v>
                </c:pt>
                <c:pt idx="273">
                  <c:v>-0.70206186774716728</c:v>
                </c:pt>
                <c:pt idx="274">
                  <c:v>-0.46221445565991426</c:v>
                </c:pt>
                <c:pt idx="275">
                  <c:v>-0.89339364644975239</c:v>
                </c:pt>
                <c:pt idx="276">
                  <c:v>-2.8591055668520995</c:v>
                </c:pt>
                <c:pt idx="277">
                  <c:v>-10.9230170555781</c:v>
                </c:pt>
                <c:pt idx="278">
                  <c:v>-12.62875251682426</c:v>
                </c:pt>
                <c:pt idx="279">
                  <c:v>-11.004165284914581</c:v>
                </c:pt>
                <c:pt idx="280">
                  <c:v>-2.3652082565145038</c:v>
                </c:pt>
                <c:pt idx="281">
                  <c:v>2.0715413987538405</c:v>
                </c:pt>
                <c:pt idx="282">
                  <c:v>10.974945601977973</c:v>
                </c:pt>
                <c:pt idx="283">
                  <c:v>13.369427908148078</c:v>
                </c:pt>
                <c:pt idx="284">
                  <c:v>12.501055975338154</c:v>
                </c:pt>
                <c:pt idx="285">
                  <c:v>4.6001314939050078</c:v>
                </c:pt>
                <c:pt idx="286">
                  <c:v>1.4921243708119967</c:v>
                </c:pt>
                <c:pt idx="287">
                  <c:v>-0.15195129887162678</c:v>
                </c:pt>
                <c:pt idx="288">
                  <c:v>-1.0209064274455462</c:v>
                </c:pt>
                <c:pt idx="289">
                  <c:v>-0.27574572143175846</c:v>
                </c:pt>
                <c:pt idx="290">
                  <c:v>5.1992631482938902</c:v>
                </c:pt>
                <c:pt idx="291">
                  <c:v>9.5680112134970159</c:v>
                </c:pt>
                <c:pt idx="292">
                  <c:v>10.260418351179682</c:v>
                </c:pt>
                <c:pt idx="293">
                  <c:v>5.7536660914499267</c:v>
                </c:pt>
                <c:pt idx="294">
                  <c:v>1.0935620977924572</c:v>
                </c:pt>
                <c:pt idx="295">
                  <c:v>-5.0782299056095921</c:v>
                </c:pt>
                <c:pt idx="296">
                  <c:v>-9.1758326582397043</c:v>
                </c:pt>
                <c:pt idx="297">
                  <c:v>-9.493218753451437</c:v>
                </c:pt>
                <c:pt idx="298">
                  <c:v>-5.026766926204294</c:v>
                </c:pt>
                <c:pt idx="299">
                  <c:v>-1.838655372328875</c:v>
                </c:pt>
                <c:pt idx="300">
                  <c:v>-1.5013062671488708</c:v>
                </c:pt>
                <c:pt idx="301">
                  <c:v>-1.5017803028928181</c:v>
                </c:pt>
                <c:pt idx="302">
                  <c:v>-1.5725427391095916</c:v>
                </c:pt>
                <c:pt idx="303">
                  <c:v>-1.9542076978555951</c:v>
                </c:pt>
                <c:pt idx="304">
                  <c:v>-2.8255606933992747</c:v>
                </c:pt>
                <c:pt idx="305">
                  <c:v>-4.0914908415642657</c:v>
                </c:pt>
                <c:pt idx="306">
                  <c:v>-6.8347185002245228</c:v>
                </c:pt>
                <c:pt idx="307">
                  <c:v>-7.0763875311762403</c:v>
                </c:pt>
                <c:pt idx="308">
                  <c:v>-5.2248150059163994</c:v>
                </c:pt>
                <c:pt idx="309">
                  <c:v>-1.1848830123285452</c:v>
                </c:pt>
                <c:pt idx="310">
                  <c:v>1.5422892896436244</c:v>
                </c:pt>
                <c:pt idx="311">
                  <c:v>4.6432638932124402</c:v>
                </c:pt>
                <c:pt idx="312">
                  <c:v>5.8195001594306639</c:v>
                </c:pt>
                <c:pt idx="313">
                  <c:v>5.4937954994001048</c:v>
                </c:pt>
                <c:pt idx="314">
                  <c:v>3.6065614524427807</c:v>
                </c:pt>
                <c:pt idx="315">
                  <c:v>3.3260715675306889</c:v>
                </c:pt>
                <c:pt idx="316">
                  <c:v>3.7668107937971946</c:v>
                </c:pt>
                <c:pt idx="317">
                  <c:v>3.1834227085834885</c:v>
                </c:pt>
                <c:pt idx="318">
                  <c:v>2.2931258286430358</c:v>
                </c:pt>
                <c:pt idx="319">
                  <c:v>2.9708855467771462</c:v>
                </c:pt>
                <c:pt idx="320">
                  <c:v>8.0766722840205905</c:v>
                </c:pt>
                <c:pt idx="321">
                  <c:v>9.5021738828884335</c:v>
                </c:pt>
                <c:pt idx="322">
                  <c:v>8.5531717077680334</c:v>
                </c:pt>
                <c:pt idx="323">
                  <c:v>2.8672772084956835</c:v>
                </c:pt>
                <c:pt idx="324">
                  <c:v>-0.92491038154842575</c:v>
                </c:pt>
                <c:pt idx="325">
                  <c:v>-7.9021458866019767</c:v>
                </c:pt>
                <c:pt idx="326">
                  <c:v>-10.287032586826303</c:v>
                </c:pt>
                <c:pt idx="327">
                  <c:v>-9.5675209468789699</c:v>
                </c:pt>
                <c:pt idx="328">
                  <c:v>-4.0956482063714779</c:v>
                </c:pt>
                <c:pt idx="329">
                  <c:v>-2.1978893431687299</c:v>
                </c:pt>
                <c:pt idx="330">
                  <c:v>-1.1790822907100089</c:v>
                </c:pt>
                <c:pt idx="331">
                  <c:v>-0.37078019041824528</c:v>
                </c:pt>
                <c:pt idx="332">
                  <c:v>0.23154646173965071</c:v>
                </c:pt>
                <c:pt idx="333">
                  <c:v>0.53578680655938726</c:v>
                </c:pt>
                <c:pt idx="334">
                  <c:v>0.26252785060989481</c:v>
                </c:pt>
                <c:pt idx="335">
                  <c:v>-1.1650822444843714</c:v>
                </c:pt>
                <c:pt idx="336">
                  <c:v>-7.4038673854639772</c:v>
                </c:pt>
                <c:pt idx="337">
                  <c:v>-13.013877627960289</c:v>
                </c:pt>
                <c:pt idx="338">
                  <c:v>-12.867473235646532</c:v>
                </c:pt>
                <c:pt idx="339">
                  <c:v>-6.7157705595822579</c:v>
                </c:pt>
                <c:pt idx="340">
                  <c:v>0.15442107546547063</c:v>
                </c:pt>
                <c:pt idx="341">
                  <c:v>6.9307418881837135</c:v>
                </c:pt>
                <c:pt idx="342">
                  <c:v>12.431582673111466</c:v>
                </c:pt>
                <c:pt idx="343">
                  <c:v>12.464067495155572</c:v>
                </c:pt>
                <c:pt idx="344">
                  <c:v>7.1412451290580963</c:v>
                </c:pt>
                <c:pt idx="345">
                  <c:v>1.9424852504604195</c:v>
                </c:pt>
                <c:pt idx="346">
                  <c:v>1.1419386671178595</c:v>
                </c:pt>
                <c:pt idx="347">
                  <c:v>0.76939321078860778</c:v>
                </c:pt>
                <c:pt idx="348">
                  <c:v>0.69825776514514171</c:v>
                </c:pt>
                <c:pt idx="349">
                  <c:v>1.7818401040266889</c:v>
                </c:pt>
                <c:pt idx="350">
                  <c:v>7.5741211749180506</c:v>
                </c:pt>
                <c:pt idx="351">
                  <c:v>10.64271913684453</c:v>
                </c:pt>
                <c:pt idx="352">
                  <c:v>10.282386499934825</c:v>
                </c:pt>
                <c:pt idx="353">
                  <c:v>4.4508571635779992</c:v>
                </c:pt>
                <c:pt idx="354">
                  <c:v>-0.26790089314082621</c:v>
                </c:pt>
                <c:pt idx="355">
                  <c:v>-7.4132434557196776</c:v>
                </c:pt>
                <c:pt idx="356">
                  <c:v>-10.983268338633678</c:v>
                </c:pt>
                <c:pt idx="357">
                  <c:v>-10.620125977807463</c:v>
                </c:pt>
                <c:pt idx="358">
                  <c:v>-4.9340652903313309</c:v>
                </c:pt>
                <c:pt idx="359">
                  <c:v>-1.7103342330803719</c:v>
                </c:pt>
                <c:pt idx="360">
                  <c:v>-0.97662467983949386</c:v>
                </c:pt>
                <c:pt idx="361">
                  <c:v>-1.1001095961106391</c:v>
                </c:pt>
                <c:pt idx="362">
                  <c:v>-1.5995529739348786</c:v>
                </c:pt>
                <c:pt idx="363">
                  <c:v>-2.1415217185134665</c:v>
                </c:pt>
                <c:pt idx="364">
                  <c:v>-3.1868910016023468</c:v>
                </c:pt>
                <c:pt idx="365">
                  <c:v>-6.650424437514566</c:v>
                </c:pt>
                <c:pt idx="366">
                  <c:v>-8.7988839184896541</c:v>
                </c:pt>
                <c:pt idx="367">
                  <c:v>-7.8249241615060567</c:v>
                </c:pt>
                <c:pt idx="368">
                  <c:v>-3.0368030643909565</c:v>
                </c:pt>
                <c:pt idx="369">
                  <c:v>1.7697776218675727</c:v>
                </c:pt>
                <c:pt idx="370">
                  <c:v>6.5788179149764598</c:v>
                </c:pt>
                <c:pt idx="371">
                  <c:v>8.9465926940715477</c:v>
                </c:pt>
                <c:pt idx="372">
                  <c:v>7.9199170126998952</c:v>
                </c:pt>
                <c:pt idx="373">
                  <c:v>3.6053206390440735</c:v>
                </c:pt>
                <c:pt idx="374">
                  <c:v>0.49964241951157123</c:v>
                </c:pt>
                <c:pt idx="375">
                  <c:v>0.16810740975938349</c:v>
                </c:pt>
                <c:pt idx="376">
                  <c:v>1.0851039293260782</c:v>
                </c:pt>
                <c:pt idx="377">
                  <c:v>2.5489925508206657</c:v>
                </c:pt>
                <c:pt idx="378">
                  <c:v>4.6951601090058954</c:v>
                </c:pt>
                <c:pt idx="379">
                  <c:v>9.7866419968025387</c:v>
                </c:pt>
                <c:pt idx="380">
                  <c:v>10.981143092569019</c:v>
                </c:pt>
                <c:pt idx="381">
                  <c:v>9.0447278436719749</c:v>
                </c:pt>
                <c:pt idx="382">
                  <c:v>2.7667356963016561</c:v>
                </c:pt>
                <c:pt idx="383">
                  <c:v>-1.5288271012371719</c:v>
                </c:pt>
                <c:pt idx="384">
                  <c:v>-7.9855015981590141</c:v>
                </c:pt>
                <c:pt idx="385">
                  <c:v>-10.423113486932587</c:v>
                </c:pt>
                <c:pt idx="386">
                  <c:v>-9.5807707736426373</c:v>
                </c:pt>
                <c:pt idx="387">
                  <c:v>-4.3765780755844741</c:v>
                </c:pt>
                <c:pt idx="388">
                  <c:v>-2.326002840498127</c:v>
                </c:pt>
                <c:pt idx="389">
                  <c:v>-1.5792004416659651</c:v>
                </c:pt>
                <c:pt idx="390">
                  <c:v>-1.0137696750845531</c:v>
                </c:pt>
                <c:pt idx="391">
                  <c:v>-0.34907870138508779</c:v>
                </c:pt>
                <c:pt idx="392">
                  <c:v>0.25406246044475067</c:v>
                </c:pt>
                <c:pt idx="393">
                  <c:v>0.58203443377835207</c:v>
                </c:pt>
                <c:pt idx="394">
                  <c:v>0.36164553886520634</c:v>
                </c:pt>
                <c:pt idx="395">
                  <c:v>-0.8722739436793534</c:v>
                </c:pt>
                <c:pt idx="396">
                  <c:v>-5.1892513091711567</c:v>
                </c:pt>
                <c:pt idx="397">
                  <c:v>-9.9497250303930862</c:v>
                </c:pt>
                <c:pt idx="398">
                  <c:v>-9.7064566904108229</c:v>
                </c:pt>
                <c:pt idx="399">
                  <c:v>-5.4861889554980623</c:v>
                </c:pt>
                <c:pt idx="400">
                  <c:v>0.44535451957037397</c:v>
                </c:pt>
                <c:pt idx="401">
                  <c:v>5.4374149129846838</c:v>
                </c:pt>
                <c:pt idx="402">
                  <c:v>10.432539268598216</c:v>
                </c:pt>
                <c:pt idx="403">
                  <c:v>11.034405361803415</c:v>
                </c:pt>
                <c:pt idx="404">
                  <c:v>7.5232072171897215</c:v>
                </c:pt>
                <c:pt idx="405">
                  <c:v>1.0561489103125905</c:v>
                </c:pt>
                <c:pt idx="406">
                  <c:v>-1.7996386880539681</c:v>
                </c:pt>
                <c:pt idx="407">
                  <c:v>-3.3167993608462352</c:v>
                </c:pt>
                <c:pt idx="408">
                  <c:v>-2.8446392186103671</c:v>
                </c:pt>
                <c:pt idx="409">
                  <c:v>-1.2014206894430874</c:v>
                </c:pt>
                <c:pt idx="410">
                  <c:v>3.6923137641307306</c:v>
                </c:pt>
                <c:pt idx="411">
                  <c:v>9.341194544900171</c:v>
                </c:pt>
                <c:pt idx="412">
                  <c:v>11.093687397389337</c:v>
                </c:pt>
                <c:pt idx="413">
                  <c:v>7.7255973512549279</c:v>
                </c:pt>
                <c:pt idx="414">
                  <c:v>2.3785673483319103</c:v>
                </c:pt>
                <c:pt idx="415">
                  <c:v>-1.6224799353004311</c:v>
                </c:pt>
                <c:pt idx="416">
                  <c:v>-5.3276116630705941</c:v>
                </c:pt>
                <c:pt idx="417">
                  <c:v>-5.8845609552694924</c:v>
                </c:pt>
                <c:pt idx="418">
                  <c:v>-4.2322915686694618</c:v>
                </c:pt>
                <c:pt idx="419">
                  <c:v>-1.5869546604590323</c:v>
                </c:pt>
                <c:pt idx="420">
                  <c:v>-1.5521008597486421</c:v>
                </c:pt>
                <c:pt idx="421">
                  <c:v>-2.28061842251851</c:v>
                </c:pt>
                <c:pt idx="422">
                  <c:v>-2.9027047340862966</c:v>
                </c:pt>
                <c:pt idx="423">
                  <c:v>-2.8500538049031503</c:v>
                </c:pt>
                <c:pt idx="424">
                  <c:v>-2.5684159168837901</c:v>
                </c:pt>
                <c:pt idx="425">
                  <c:v>-2.6565381195324855</c:v>
                </c:pt>
                <c:pt idx="426">
                  <c:v>-2.7350851302840833</c:v>
                </c:pt>
                <c:pt idx="427">
                  <c:v>-1.2211406142250176</c:v>
                </c:pt>
                <c:pt idx="428">
                  <c:v>0.82802851870327676</c:v>
                </c:pt>
                <c:pt idx="429">
                  <c:v>2.2148887047870889</c:v>
                </c:pt>
                <c:pt idx="430">
                  <c:v>0.71433299182959653</c:v>
                </c:pt>
                <c:pt idx="431">
                  <c:v>-5.7337569974342717</c:v>
                </c:pt>
                <c:pt idx="432">
                  <c:v>-8.7836312948963506</c:v>
                </c:pt>
                <c:pt idx="433">
                  <c:v>-9.2831693633901367</c:v>
                </c:pt>
                <c:pt idx="434">
                  <c:v>-3.9214753562786155</c:v>
                </c:pt>
                <c:pt idx="435">
                  <c:v>0.55553269747175871</c:v>
                </c:pt>
                <c:pt idx="436">
                  <c:v>8.3893693469041306</c:v>
                </c:pt>
                <c:pt idx="437">
                  <c:v>10.546993705450131</c:v>
                </c:pt>
                <c:pt idx="438">
                  <c:v>9.5404010931115444</c:v>
                </c:pt>
                <c:pt idx="439">
                  <c:v>3.8354154451685831</c:v>
                </c:pt>
                <c:pt idx="440">
                  <c:v>2.9205872809538098</c:v>
                </c:pt>
                <c:pt idx="441">
                  <c:v>5.2480768009441432</c:v>
                </c:pt>
                <c:pt idx="442">
                  <c:v>9.6925602976917595</c:v>
                </c:pt>
                <c:pt idx="443">
                  <c:v>9.7899924193908525</c:v>
                </c:pt>
                <c:pt idx="444">
                  <c:v>6.6524209263012661</c:v>
                </c:pt>
                <c:pt idx="445">
                  <c:v>0.50680068135981315</c:v>
                </c:pt>
                <c:pt idx="446">
                  <c:v>-3.5764573606476651</c:v>
                </c:pt>
                <c:pt idx="447">
                  <c:v>-8.3351090361188493</c:v>
                </c:pt>
                <c:pt idx="448">
                  <c:v>-8.7776262026822387</c:v>
                </c:pt>
                <c:pt idx="449">
                  <c:v>-6.6651942844297691</c:v>
                </c:pt>
                <c:pt idx="450">
                  <c:v>-2.2651754853701052</c:v>
                </c:pt>
                <c:pt idx="451">
                  <c:v>-1.4032932849602928</c:v>
                </c:pt>
                <c:pt idx="452">
                  <c:v>-1.3687954659540054</c:v>
                </c:pt>
                <c:pt idx="453">
                  <c:v>-1.4125502700028574</c:v>
                </c:pt>
                <c:pt idx="454">
                  <c:v>-1.5546676349050996</c:v>
                </c:pt>
                <c:pt idx="455">
                  <c:v>-2.5165572340186708</c:v>
                </c:pt>
                <c:pt idx="456">
                  <c:v>-7.6926775288427365</c:v>
                </c:pt>
                <c:pt idx="457">
                  <c:v>-11.880447843519628</c:v>
                </c:pt>
                <c:pt idx="458">
                  <c:v>-11.154248289390107</c:v>
                </c:pt>
                <c:pt idx="459">
                  <c:v>-5.2724610023725749</c:v>
                </c:pt>
                <c:pt idx="460">
                  <c:v>0.61966638053138612</c:v>
                </c:pt>
                <c:pt idx="461">
                  <c:v>6.740516792975372</c:v>
                </c:pt>
                <c:pt idx="462">
                  <c:v>11.211904117779172</c:v>
                </c:pt>
                <c:pt idx="463">
                  <c:v>11.024105994315144</c:v>
                </c:pt>
                <c:pt idx="464">
                  <c:v>6.0827054221580905</c:v>
                </c:pt>
                <c:pt idx="465">
                  <c:v>2.0758038723337542</c:v>
                </c:pt>
                <c:pt idx="466">
                  <c:v>1.8715665186698065</c:v>
                </c:pt>
                <c:pt idx="467">
                  <c:v>2.3796832601393789</c:v>
                </c:pt>
                <c:pt idx="468">
                  <c:v>3.2603551901807108</c:v>
                </c:pt>
                <c:pt idx="469">
                  <c:v>4.5749676206094581</c:v>
                </c:pt>
                <c:pt idx="470">
                  <c:v>6.9541539674772448</c:v>
                </c:pt>
                <c:pt idx="471">
                  <c:v>7.3062386612572991</c:v>
                </c:pt>
                <c:pt idx="472">
                  <c:v>5.5597798862611674</c:v>
                </c:pt>
                <c:pt idx="473">
                  <c:v>1.4166980199716499</c:v>
                </c:pt>
                <c:pt idx="474">
                  <c:v>-2.3828385632062998</c:v>
                </c:pt>
                <c:pt idx="475">
                  <c:v>-6.2050060197697148</c:v>
                </c:pt>
                <c:pt idx="476">
                  <c:v>-7.5615334268029999</c:v>
                </c:pt>
                <c:pt idx="477">
                  <c:v>-6.748396274156069</c:v>
                </c:pt>
                <c:pt idx="478">
                  <c:v>-4.0584932317538822</c:v>
                </c:pt>
                <c:pt idx="479">
                  <c:v>-2.4017762011687882</c:v>
                </c:pt>
                <c:pt idx="480">
                  <c:v>-2.0466597076681743</c:v>
                </c:pt>
                <c:pt idx="481">
                  <c:v>-2.5908327087698249</c:v>
                </c:pt>
                <c:pt idx="482">
                  <c:v>-3.7223904372206214</c:v>
                </c:pt>
                <c:pt idx="483">
                  <c:v>-5.9097704493982794</c:v>
                </c:pt>
                <c:pt idx="484">
                  <c:v>-9.7415312829492819</c:v>
                </c:pt>
                <c:pt idx="485">
                  <c:v>-9.2739136619174118</c:v>
                </c:pt>
                <c:pt idx="486">
                  <c:v>-5.9319785313664957</c:v>
                </c:pt>
                <c:pt idx="487">
                  <c:v>0.62949322954688325</c:v>
                </c:pt>
                <c:pt idx="488">
                  <c:v>4.9621267613739839</c:v>
                </c:pt>
                <c:pt idx="489">
                  <c:v>9.9612582743686158</c:v>
                </c:pt>
                <c:pt idx="490">
                  <c:v>10.375374267380909</c:v>
                </c:pt>
                <c:pt idx="491">
                  <c:v>8.2194704243527159</c:v>
                </c:pt>
                <c:pt idx="492">
                  <c:v>3.1667972890079761</c:v>
                </c:pt>
                <c:pt idx="493">
                  <c:v>1.5973237181129876</c:v>
                </c:pt>
                <c:pt idx="494">
                  <c:v>1.7227240175599992</c:v>
                </c:pt>
                <c:pt idx="495">
                  <c:v>2.9382015088089686</c:v>
                </c:pt>
                <c:pt idx="496">
                  <c:v>6.2618005173784823</c:v>
                </c:pt>
                <c:pt idx="497">
                  <c:v>8.5434736673628002</c:v>
                </c:pt>
                <c:pt idx="498">
                  <c:v>7.9497452773767918</c:v>
                </c:pt>
                <c:pt idx="499">
                  <c:v>3.8535375842547728</c:v>
                </c:pt>
                <c:pt idx="500">
                  <c:v>-0.83381402196216636</c:v>
                </c:pt>
                <c:pt idx="501">
                  <c:v>-5.668413827876372</c:v>
                </c:pt>
                <c:pt idx="502">
                  <c:v>-8.7754459028984488</c:v>
                </c:pt>
                <c:pt idx="503">
                  <c:v>-9.0693104257131569</c:v>
                </c:pt>
                <c:pt idx="504">
                  <c:v>-6.5071004212145498</c:v>
                </c:pt>
                <c:pt idx="505">
                  <c:v>-3.951422630570208</c:v>
                </c:pt>
                <c:pt idx="506">
                  <c:v>-2.9378688275355445</c:v>
                </c:pt>
                <c:pt idx="507">
                  <c:v>-2.5296353914637337</c:v>
                </c:pt>
                <c:pt idx="508">
                  <c:v>-2.6141879973440276</c:v>
                </c:pt>
                <c:pt idx="509">
                  <c:v>-4.5102678068712798</c:v>
                </c:pt>
                <c:pt idx="510">
                  <c:v>-6.5019446586108529</c:v>
                </c:pt>
                <c:pt idx="511">
                  <c:v>-5.3213079371985312</c:v>
                </c:pt>
                <c:pt idx="512">
                  <c:v>-1.6401497786636789</c:v>
                </c:pt>
                <c:pt idx="513">
                  <c:v>2.1845296700533345</c:v>
                </c:pt>
                <c:pt idx="514">
                  <c:v>4.6064373524288253</c:v>
                </c:pt>
                <c:pt idx="515">
                  <c:v>6.1347950832452813</c:v>
                </c:pt>
                <c:pt idx="516">
                  <c:v>5.1059002486423735</c:v>
                </c:pt>
                <c:pt idx="517">
                  <c:v>2.4744846249930426</c:v>
                </c:pt>
                <c:pt idx="518">
                  <c:v>0.57846138544285464</c:v>
                </c:pt>
                <c:pt idx="519">
                  <c:v>1.7000615815042965</c:v>
                </c:pt>
                <c:pt idx="520">
                  <c:v>3.5503695302393892</c:v>
                </c:pt>
                <c:pt idx="521">
                  <c:v>4.9610354055722423</c:v>
                </c:pt>
                <c:pt idx="522">
                  <c:v>8.8785077303787379</c:v>
                </c:pt>
                <c:pt idx="523">
                  <c:v>10.03297600581411</c:v>
                </c:pt>
                <c:pt idx="524">
                  <c:v>8.3635017984857605</c:v>
                </c:pt>
                <c:pt idx="525">
                  <c:v>2.8366467995915854</c:v>
                </c:pt>
                <c:pt idx="526">
                  <c:v>-1.3807287796011476</c:v>
                </c:pt>
                <c:pt idx="527">
                  <c:v>-7.0230258264815912</c:v>
                </c:pt>
                <c:pt idx="528">
                  <c:v>-9.9769801691112043</c:v>
                </c:pt>
                <c:pt idx="529">
                  <c:v>-9.6257750689838755</c:v>
                </c:pt>
                <c:pt idx="530">
                  <c:v>-4.8605260020689824</c:v>
                </c:pt>
                <c:pt idx="531">
                  <c:v>-1.6814089810775055</c:v>
                </c:pt>
                <c:pt idx="532">
                  <c:v>-0.84455119687891977</c:v>
                </c:pt>
                <c:pt idx="533">
                  <c:v>-1.3083798724989175</c:v>
                </c:pt>
                <c:pt idx="534">
                  <c:v>-2.991167839741955</c:v>
                </c:pt>
                <c:pt idx="535">
                  <c:v>-5.1889441397567166</c:v>
                </c:pt>
                <c:pt idx="536">
                  <c:v>-6.4168206277086117</c:v>
                </c:pt>
                <c:pt idx="537">
                  <c:v>-3.9577893060291984</c:v>
                </c:pt>
                <c:pt idx="538">
                  <c:v>-0.55434157998494871</c:v>
                </c:pt>
                <c:pt idx="539">
                  <c:v>0.83370685298364899</c:v>
                </c:pt>
                <c:pt idx="540">
                  <c:v>1.2337082492971359</c:v>
                </c:pt>
                <c:pt idx="541">
                  <c:v>1.9404027050634156</c:v>
                </c:pt>
                <c:pt idx="542">
                  <c:v>2.398395283857595</c:v>
                </c:pt>
                <c:pt idx="543">
                  <c:v>1.8878643550024929</c:v>
                </c:pt>
                <c:pt idx="544">
                  <c:v>2.908545598674535</c:v>
                </c:pt>
                <c:pt idx="545">
                  <c:v>4.3726640337550382</c:v>
                </c:pt>
                <c:pt idx="546">
                  <c:v>4.9314728528514546</c:v>
                </c:pt>
                <c:pt idx="547">
                  <c:v>4.3109304626677813</c:v>
                </c:pt>
                <c:pt idx="548">
                  <c:v>7.4001339257185794</c:v>
                </c:pt>
                <c:pt idx="549">
                  <c:v>8.8159384571424759</c:v>
                </c:pt>
                <c:pt idx="550">
                  <c:v>7.6769283657138345</c:v>
                </c:pt>
                <c:pt idx="551">
                  <c:v>2.7100374117476234</c:v>
                </c:pt>
                <c:pt idx="552">
                  <c:v>-1.8109459158928032</c:v>
                </c:pt>
                <c:pt idx="553">
                  <c:v>-7.5489142519186672</c:v>
                </c:pt>
                <c:pt idx="554">
                  <c:v>-9.2543838118083208</c:v>
                </c:pt>
                <c:pt idx="555">
                  <c:v>-7.1738218950436545</c:v>
                </c:pt>
                <c:pt idx="556">
                  <c:v>-1.8979192551768302</c:v>
                </c:pt>
                <c:pt idx="557">
                  <c:v>0.66109959223719972</c:v>
                </c:pt>
                <c:pt idx="558">
                  <c:v>1.0579449066908531</c:v>
                </c:pt>
                <c:pt idx="559">
                  <c:v>0.56952037283456003</c:v>
                </c:pt>
                <c:pt idx="560">
                  <c:v>-9.8559344641811014E-2</c:v>
                </c:pt>
                <c:pt idx="561">
                  <c:v>-0.52733776631042173</c:v>
                </c:pt>
                <c:pt idx="562">
                  <c:v>-0.78902620998447526</c:v>
                </c:pt>
                <c:pt idx="563">
                  <c:v>-1.2027378438022365</c:v>
                </c:pt>
                <c:pt idx="564">
                  <c:v>-2.8673552922939174</c:v>
                </c:pt>
                <c:pt idx="565">
                  <c:v>-8.5570618577194892</c:v>
                </c:pt>
                <c:pt idx="566">
                  <c:v>-10.938183275010159</c:v>
                </c:pt>
                <c:pt idx="567">
                  <c:v>-9.3163098378641855</c:v>
                </c:pt>
                <c:pt idx="568">
                  <c:v>-3.1934157376316525</c:v>
                </c:pt>
                <c:pt idx="569">
                  <c:v>1.2502745244801865</c:v>
                </c:pt>
                <c:pt idx="570">
                  <c:v>7.0750182122050633</c:v>
                </c:pt>
                <c:pt idx="571">
                  <c:v>9.8689976347668757</c:v>
                </c:pt>
                <c:pt idx="572">
                  <c:v>9.2614620084979968</c:v>
                </c:pt>
                <c:pt idx="573">
                  <c:v>4.2731191497799985</c:v>
                </c:pt>
                <c:pt idx="574">
                  <c:v>1.1622957766221877</c:v>
                </c:pt>
                <c:pt idx="575">
                  <c:v>0.26985257037672439</c:v>
                </c:pt>
                <c:pt idx="576">
                  <c:v>-0.49479717563314063</c:v>
                </c:pt>
                <c:pt idx="577">
                  <c:v>-0.5123033699414874</c:v>
                </c:pt>
                <c:pt idx="578">
                  <c:v>0.86965583724555184</c:v>
                </c:pt>
                <c:pt idx="579">
                  <c:v>4.4540439635887612</c:v>
                </c:pt>
                <c:pt idx="580">
                  <c:v>7.6148211677702289</c:v>
                </c:pt>
                <c:pt idx="581">
                  <c:v>8.7146275964844566</c:v>
                </c:pt>
                <c:pt idx="582">
                  <c:v>6.1719687902239384</c:v>
                </c:pt>
                <c:pt idx="583">
                  <c:v>2.273870196553188</c:v>
                </c:pt>
                <c:pt idx="584">
                  <c:v>-2.3959317242890754</c:v>
                </c:pt>
                <c:pt idx="585">
                  <c:v>-5.5878006080999043</c:v>
                </c:pt>
                <c:pt idx="586">
                  <c:v>-6.4702575438024521</c:v>
                </c:pt>
                <c:pt idx="587">
                  <c:v>-4.9312385153519891</c:v>
                </c:pt>
                <c:pt idx="588">
                  <c:v>-3.2825901802677726</c:v>
                </c:pt>
                <c:pt idx="589">
                  <c:v>-2.2677577506246385</c:v>
                </c:pt>
                <c:pt idx="590">
                  <c:v>-1.9007460873177344</c:v>
                </c:pt>
                <c:pt idx="591">
                  <c:v>-1.918893284866884</c:v>
                </c:pt>
                <c:pt idx="592">
                  <c:v>-1.8501476949906706</c:v>
                </c:pt>
                <c:pt idx="593">
                  <c:v>-1.7819139579486714</c:v>
                </c:pt>
                <c:pt idx="594">
                  <c:v>-2.2367623917917641</c:v>
                </c:pt>
                <c:pt idx="595">
                  <c:v>-3.5874757018076329</c:v>
                </c:pt>
                <c:pt idx="596">
                  <c:v>-5.1839946138697792</c:v>
                </c:pt>
                <c:pt idx="597">
                  <c:v>-6.5371121603989879</c:v>
                </c:pt>
                <c:pt idx="598">
                  <c:v>-5.7269228715737066</c:v>
                </c:pt>
                <c:pt idx="599">
                  <c:v>-3.359651484839079</c:v>
                </c:pt>
                <c:pt idx="600">
                  <c:v>0.54530501749191862</c:v>
                </c:pt>
                <c:pt idx="601">
                  <c:v>3.8816352512900671</c:v>
                </c:pt>
                <c:pt idx="602">
                  <c:v>6.4489674230271961</c:v>
                </c:pt>
                <c:pt idx="603">
                  <c:v>6.6407859300437533</c:v>
                </c:pt>
                <c:pt idx="604">
                  <c:v>5.5461329317094714</c:v>
                </c:pt>
                <c:pt idx="605">
                  <c:v>3.651432030556184</c:v>
                </c:pt>
                <c:pt idx="606">
                  <c:v>2.8611161507158389</c:v>
                </c:pt>
                <c:pt idx="607">
                  <c:v>4.460942032810534</c:v>
                </c:pt>
                <c:pt idx="608">
                  <c:v>10.59642584443699</c:v>
                </c:pt>
                <c:pt idx="609">
                  <c:v>11.711024309539923</c:v>
                </c:pt>
                <c:pt idx="610">
                  <c:v>9.8481968453334972</c:v>
                </c:pt>
                <c:pt idx="611">
                  <c:v>2.5658284968105631</c:v>
                </c:pt>
                <c:pt idx="612">
                  <c:v>-2.0814669614742085</c:v>
                </c:pt>
                <c:pt idx="613">
                  <c:v>-9.914291872968823</c:v>
                </c:pt>
                <c:pt idx="614">
                  <c:v>-11.838306512107357</c:v>
                </c:pt>
                <c:pt idx="615">
                  <c:v>-10.369065499828768</c:v>
                </c:pt>
                <c:pt idx="616">
                  <c:v>-3.6895338799837525</c:v>
                </c:pt>
                <c:pt idx="617">
                  <c:v>-1.4853734142145263</c:v>
                </c:pt>
                <c:pt idx="618">
                  <c:v>-0.21178156635631257</c:v>
                </c:pt>
                <c:pt idx="619">
                  <c:v>0.42261041942744682</c:v>
                </c:pt>
                <c:pt idx="620">
                  <c:v>0.40462562554664461</c:v>
                </c:pt>
                <c:pt idx="621">
                  <c:v>-0.33537898348392142</c:v>
                </c:pt>
                <c:pt idx="622">
                  <c:v>-1.936570210987258</c:v>
                </c:pt>
                <c:pt idx="623">
                  <c:v>-7.5476427649422089</c:v>
                </c:pt>
                <c:pt idx="624">
                  <c:v>-12.024731868374701</c:v>
                </c:pt>
                <c:pt idx="625">
                  <c:v>-11.364964163920112</c:v>
                </c:pt>
                <c:pt idx="626">
                  <c:v>-5.3456121922830784</c:v>
                </c:pt>
                <c:pt idx="627">
                  <c:v>1.0840263941386148</c:v>
                </c:pt>
                <c:pt idx="628">
                  <c:v>7.2388954236487084</c:v>
                </c:pt>
                <c:pt idx="629">
                  <c:v>11.465043384651706</c:v>
                </c:pt>
                <c:pt idx="630">
                  <c:v>10.925350820530399</c:v>
                </c:pt>
                <c:pt idx="631">
                  <c:v>6.0124089928519044</c:v>
                </c:pt>
                <c:pt idx="632">
                  <c:v>1.9589578462819737</c:v>
                </c:pt>
                <c:pt idx="633">
                  <c:v>2.2929392040937353</c:v>
                </c:pt>
                <c:pt idx="634">
                  <c:v>3.8334798895019988</c:v>
                </c:pt>
                <c:pt idx="635">
                  <c:v>5.6879393793514481</c:v>
                </c:pt>
                <c:pt idx="636">
                  <c:v>7.7485937838100281</c:v>
                </c:pt>
                <c:pt idx="637">
                  <c:v>7.0562753270488283</c:v>
                </c:pt>
                <c:pt idx="638">
                  <c:v>4.3946219972691143</c:v>
                </c:pt>
                <c:pt idx="639">
                  <c:v>-2.6462418382607565E-2</c:v>
                </c:pt>
                <c:pt idx="640">
                  <c:v>-3.5830079594560842</c:v>
                </c:pt>
                <c:pt idx="641">
                  <c:v>-6.9865585632274643</c:v>
                </c:pt>
                <c:pt idx="642">
                  <c:v>-7.7719480858861356</c:v>
                </c:pt>
                <c:pt idx="643">
                  <c:v>-6.4631666708500459</c:v>
                </c:pt>
                <c:pt idx="644">
                  <c:v>-3.5217865984553911</c:v>
                </c:pt>
                <c:pt idx="645">
                  <c:v>-1.8809671441995213</c:v>
                </c:pt>
                <c:pt idx="646">
                  <c:v>-1.3983646616449612</c:v>
                </c:pt>
                <c:pt idx="647">
                  <c:v>-1.94689195021829</c:v>
                </c:pt>
                <c:pt idx="648">
                  <c:v>-4.3926372627182122</c:v>
                </c:pt>
                <c:pt idx="649">
                  <c:v>-9.6188662086058905</c:v>
                </c:pt>
                <c:pt idx="650">
                  <c:v>-9.940154452742906</c:v>
                </c:pt>
                <c:pt idx="651">
                  <c:v>-6.9217515168315202</c:v>
                </c:pt>
                <c:pt idx="652">
                  <c:v>-0.81547701844546905</c:v>
                </c:pt>
                <c:pt idx="653">
                  <c:v>2.632892844611626</c:v>
                </c:pt>
                <c:pt idx="654">
                  <c:v>7.8639305141375733</c:v>
                </c:pt>
                <c:pt idx="655">
                  <c:v>9.1446406301577614</c:v>
                </c:pt>
                <c:pt idx="656">
                  <c:v>8.1623411574139784</c:v>
                </c:pt>
                <c:pt idx="657">
                  <c:v>5.7873173293444857</c:v>
                </c:pt>
                <c:pt idx="658">
                  <c:v>8.7009314258545878</c:v>
                </c:pt>
                <c:pt idx="659">
                  <c:v>9.2670960795690807</c:v>
                </c:pt>
                <c:pt idx="660">
                  <c:v>6.6846189228068313</c:v>
                </c:pt>
                <c:pt idx="661">
                  <c:v>1.4448176384676081</c:v>
                </c:pt>
                <c:pt idx="662">
                  <c:v>-1.7514323749840071</c:v>
                </c:pt>
                <c:pt idx="663">
                  <c:v>-5.2369302681621281</c:v>
                </c:pt>
                <c:pt idx="664">
                  <c:v>-5.7360469360057946</c:v>
                </c:pt>
                <c:pt idx="665">
                  <c:v>-4.0482326877985866</c:v>
                </c:pt>
                <c:pt idx="666">
                  <c:v>-0.27862498068853636</c:v>
                </c:pt>
                <c:pt idx="667">
                  <c:v>0.57561649007417137</c:v>
                </c:pt>
                <c:pt idx="668">
                  <c:v>7.2517713185016625E-2</c:v>
                </c:pt>
                <c:pt idx="669">
                  <c:v>-0.7136855162769038</c:v>
                </c:pt>
                <c:pt idx="670">
                  <c:v>-1.3226116411955733</c:v>
                </c:pt>
                <c:pt idx="671">
                  <c:v>-2.346909118230216</c:v>
                </c:pt>
                <c:pt idx="672">
                  <c:v>-4.2607909403880591</c:v>
                </c:pt>
                <c:pt idx="673">
                  <c:v>-8.3785732783665008</c:v>
                </c:pt>
                <c:pt idx="674">
                  <c:v>-11.076064271491523</c:v>
                </c:pt>
                <c:pt idx="675">
                  <c:v>-9.3273389409902165</c:v>
                </c:pt>
                <c:pt idx="676">
                  <c:v>-3.9348457056089168</c:v>
                </c:pt>
                <c:pt idx="677">
                  <c:v>1.6399320109169593</c:v>
                </c:pt>
                <c:pt idx="678">
                  <c:v>5.794468981015136</c:v>
                </c:pt>
                <c:pt idx="679">
                  <c:v>8.6583544805983976</c:v>
                </c:pt>
                <c:pt idx="680">
                  <c:v>7.675254588012824</c:v>
                </c:pt>
                <c:pt idx="681">
                  <c:v>4.0090041510865664</c:v>
                </c:pt>
                <c:pt idx="682">
                  <c:v>0.7105939364317555</c:v>
                </c:pt>
                <c:pt idx="683">
                  <c:v>0.99144533360044851</c:v>
                </c:pt>
                <c:pt idx="684">
                  <c:v>1.3910970699077276</c:v>
                </c:pt>
                <c:pt idx="685">
                  <c:v>2.0618219284713541</c:v>
                </c:pt>
                <c:pt idx="686">
                  <c:v>5.7225315689673888</c:v>
                </c:pt>
                <c:pt idx="687">
                  <c:v>8.842600586735756</c:v>
                </c:pt>
                <c:pt idx="688">
                  <c:v>9.1689619137464256</c:v>
                </c:pt>
                <c:pt idx="689">
                  <c:v>5.5530558069812717</c:v>
                </c:pt>
                <c:pt idx="690">
                  <c:v>1.4280532232416525</c:v>
                </c:pt>
                <c:pt idx="691">
                  <c:v>-3.8913954156841939</c:v>
                </c:pt>
                <c:pt idx="692">
                  <c:v>-8.2399437289813058</c:v>
                </c:pt>
                <c:pt idx="693">
                  <c:v>-9.0888806370568016</c:v>
                </c:pt>
                <c:pt idx="694">
                  <c:v>-5.5707100938314094</c:v>
                </c:pt>
                <c:pt idx="695">
                  <c:v>-2.3065574471172328</c:v>
                </c:pt>
                <c:pt idx="696">
                  <c:v>-1.7245031303807523</c:v>
                </c:pt>
                <c:pt idx="697">
                  <c:v>-1.7704119028283523</c:v>
                </c:pt>
                <c:pt idx="698">
                  <c:v>-2.2714385329774691</c:v>
                </c:pt>
                <c:pt idx="699">
                  <c:v>-3.8043926789286417</c:v>
                </c:pt>
                <c:pt idx="700">
                  <c:v>-6.357987292140832</c:v>
                </c:pt>
                <c:pt idx="701">
                  <c:v>-6.9031860215134015</c:v>
                </c:pt>
                <c:pt idx="702">
                  <c:v>-5.4331295931023478</c:v>
                </c:pt>
                <c:pt idx="703">
                  <c:v>-1.4521187961366906</c:v>
                </c:pt>
                <c:pt idx="704">
                  <c:v>2.4678570929017445</c:v>
                </c:pt>
                <c:pt idx="705">
                  <c:v>6.8066487546198431</c:v>
                </c:pt>
                <c:pt idx="706">
                  <c:v>8.6365094563940534</c:v>
                </c:pt>
                <c:pt idx="707">
                  <c:v>6.7888780493078089</c:v>
                </c:pt>
                <c:pt idx="708">
                  <c:v>1.7331530969680984</c:v>
                </c:pt>
                <c:pt idx="709">
                  <c:v>-1.6471124522773917</c:v>
                </c:pt>
                <c:pt idx="710">
                  <c:v>-2.6084217328604544</c:v>
                </c:pt>
                <c:pt idx="711">
                  <c:v>-1.7507139174871895</c:v>
                </c:pt>
                <c:pt idx="712">
                  <c:v>0.29758719277253382</c:v>
                </c:pt>
                <c:pt idx="713">
                  <c:v>2.9686476309662124</c:v>
                </c:pt>
                <c:pt idx="714">
                  <c:v>5.8907721007993112</c:v>
                </c:pt>
                <c:pt idx="715">
                  <c:v>10.445783002402214</c:v>
                </c:pt>
                <c:pt idx="716">
                  <c:v>10.006678955518721</c:v>
                </c:pt>
                <c:pt idx="717">
                  <c:v>7.6812813582204926</c:v>
                </c:pt>
                <c:pt idx="718">
                  <c:v>1.641181097750082</c:v>
                </c:pt>
                <c:pt idx="719">
                  <c:v>-1.9748025758838548</c:v>
                </c:pt>
                <c:pt idx="720">
                  <c:v>-7.6823675435438403</c:v>
                </c:pt>
                <c:pt idx="721">
                  <c:v>-9.203862609356376</c:v>
                </c:pt>
                <c:pt idx="722">
                  <c:v>-8.0894498144945981</c:v>
                </c:pt>
                <c:pt idx="723">
                  <c:v>-3.0118576744424814</c:v>
                </c:pt>
                <c:pt idx="724">
                  <c:v>-1.5230656468519739</c:v>
                </c:pt>
                <c:pt idx="725">
                  <c:v>-1.4470043642885866</c:v>
                </c:pt>
                <c:pt idx="726">
                  <c:v>-1.254693563620934</c:v>
                </c:pt>
                <c:pt idx="727">
                  <c:v>-0.64456951303936272</c:v>
                </c:pt>
                <c:pt idx="728">
                  <c:v>1.1948436129282313E-3</c:v>
                </c:pt>
                <c:pt idx="729">
                  <c:v>0.37877446062386139</c:v>
                </c:pt>
                <c:pt idx="730">
                  <c:v>4.6316894479994632E-2</c:v>
                </c:pt>
                <c:pt idx="731">
                  <c:v>-2.502165492053753</c:v>
                </c:pt>
                <c:pt idx="732">
                  <c:v>-8.8279690774404571</c:v>
                </c:pt>
                <c:pt idx="733">
                  <c:v>-10.559567924818484</c:v>
                </c:pt>
                <c:pt idx="734">
                  <c:v>-8.4488130530222829</c:v>
                </c:pt>
                <c:pt idx="735">
                  <c:v>-1.4984151029277122</c:v>
                </c:pt>
                <c:pt idx="736">
                  <c:v>3.1684263900407585</c:v>
                </c:pt>
                <c:pt idx="737">
                  <c:v>9.5431342154589878</c:v>
                </c:pt>
                <c:pt idx="738">
                  <c:v>11.111914455326</c:v>
                </c:pt>
                <c:pt idx="739">
                  <c:v>9.6008426213487876</c:v>
                </c:pt>
                <c:pt idx="740">
                  <c:v>4.0974794083230428</c:v>
                </c:pt>
                <c:pt idx="741">
                  <c:v>2.0799356238355768</c:v>
                </c:pt>
                <c:pt idx="742">
                  <c:v>0.2039363063706407</c:v>
                </c:pt>
                <c:pt idx="743">
                  <c:v>-1.5291507608298935</c:v>
                </c:pt>
                <c:pt idx="744">
                  <c:v>-2.1058713241243217</c:v>
                </c:pt>
                <c:pt idx="745">
                  <c:v>0.54476814103921212</c:v>
                </c:pt>
                <c:pt idx="746">
                  <c:v>6.9976364318168773</c:v>
                </c:pt>
                <c:pt idx="747">
                  <c:v>9.8783726149650128</c:v>
                </c:pt>
                <c:pt idx="748">
                  <c:v>9.1002898220585724</c:v>
                </c:pt>
                <c:pt idx="749">
                  <c:v>3.4148241307676259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98160"/>
        <c:axId val="865497376"/>
      </c:scatterChart>
      <c:valAx>
        <c:axId val="865498160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out"/>
        <c:minorTickMark val="none"/>
        <c:tickLblPos val="low"/>
        <c:crossAx val="865497376"/>
        <c:crosses val="autoZero"/>
        <c:crossBetween val="midCat"/>
      </c:valAx>
      <c:valAx>
        <c:axId val="865497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65498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5258514597595163"/>
          <c:y val="2.4817569740541324E-2"/>
          <c:w val="0.11494990786121029"/>
          <c:h val="0.1229599659726328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15883066236678E-2"/>
          <c:y val="5.1400554097404488E-2"/>
          <c:w val="0.88301355151382044"/>
          <c:h val="0.8326195683872849"/>
        </c:manualLayout>
      </c:layout>
      <c:scatterChart>
        <c:scatterStyle val="lineMarker"/>
        <c:varyColors val="0"/>
        <c:ser>
          <c:idx val="0"/>
          <c:order val="0"/>
          <c:tx>
            <c:strRef>
              <c:f>offset_qbo_all_terms_70hPa!$B$2</c:f>
              <c:strCache>
                <c:ptCount val="1"/>
                <c:pt idx="0">
                  <c:v>QBO70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offset_qbo_all_terms_70hPa!$A$3:$A$756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offset_qbo_all_terms_70hPa!$B$3:$B$756</c:f>
              <c:numCache>
                <c:formatCode>General</c:formatCode>
                <c:ptCount val="754"/>
                <c:pt idx="0">
                  <c:v>-28</c:v>
                </c:pt>
                <c:pt idx="1">
                  <c:v>-28</c:v>
                </c:pt>
                <c:pt idx="2">
                  <c:v>-80</c:v>
                </c:pt>
                <c:pt idx="3">
                  <c:v>-105</c:v>
                </c:pt>
                <c:pt idx="4">
                  <c:v>-125</c:v>
                </c:pt>
                <c:pt idx="5">
                  <c:v>-140</c:v>
                </c:pt>
                <c:pt idx="6">
                  <c:v>-140</c:v>
                </c:pt>
                <c:pt idx="7">
                  <c:v>-105</c:v>
                </c:pt>
                <c:pt idx="8">
                  <c:v>-100</c:v>
                </c:pt>
                <c:pt idx="9">
                  <c:v>-100</c:v>
                </c:pt>
                <c:pt idx="10">
                  <c:v>-145</c:v>
                </c:pt>
                <c:pt idx="11">
                  <c:v>-145</c:v>
                </c:pt>
                <c:pt idx="12">
                  <c:v>-80</c:v>
                </c:pt>
                <c:pt idx="13">
                  <c:v>-75</c:v>
                </c:pt>
                <c:pt idx="14">
                  <c:v>-75</c:v>
                </c:pt>
                <c:pt idx="15">
                  <c:v>-85</c:v>
                </c:pt>
                <c:pt idx="16">
                  <c:v>-85</c:v>
                </c:pt>
                <c:pt idx="17">
                  <c:v>-85</c:v>
                </c:pt>
                <c:pt idx="18">
                  <c:v>-70</c:v>
                </c:pt>
                <c:pt idx="19">
                  <c:v>-55</c:v>
                </c:pt>
                <c:pt idx="20">
                  <c:v>-10</c:v>
                </c:pt>
                <c:pt idx="21">
                  <c:v>25</c:v>
                </c:pt>
                <c:pt idx="22">
                  <c:v>50</c:v>
                </c:pt>
                <c:pt idx="23">
                  <c:v>50</c:v>
                </c:pt>
                <c:pt idx="24">
                  <c:v>10</c:v>
                </c:pt>
                <c:pt idx="25">
                  <c:v>-50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-75</c:v>
                </c:pt>
                <c:pt idx="30">
                  <c:v>-68</c:v>
                </c:pt>
                <c:pt idx="31">
                  <c:v>-68</c:v>
                </c:pt>
                <c:pt idx="32">
                  <c:v>-100</c:v>
                </c:pt>
                <c:pt idx="33">
                  <c:v>-155</c:v>
                </c:pt>
                <c:pt idx="34">
                  <c:v>-155</c:v>
                </c:pt>
                <c:pt idx="35">
                  <c:v>-140</c:v>
                </c:pt>
                <c:pt idx="36">
                  <c:v>-95</c:v>
                </c:pt>
                <c:pt idx="37">
                  <c:v>-95</c:v>
                </c:pt>
                <c:pt idx="38">
                  <c:v>-120</c:v>
                </c:pt>
                <c:pt idx="39">
                  <c:v>-182</c:v>
                </c:pt>
                <c:pt idx="40">
                  <c:v>-182</c:v>
                </c:pt>
                <c:pt idx="41">
                  <c:v>-125</c:v>
                </c:pt>
                <c:pt idx="42">
                  <c:v>-55</c:v>
                </c:pt>
                <c:pt idx="43">
                  <c:v>-22</c:v>
                </c:pt>
                <c:pt idx="44">
                  <c:v>-15</c:v>
                </c:pt>
                <c:pt idx="45">
                  <c:v>-15</c:v>
                </c:pt>
                <c:pt idx="46">
                  <c:v>-15</c:v>
                </c:pt>
                <c:pt idx="47">
                  <c:v>30</c:v>
                </c:pt>
                <c:pt idx="48">
                  <c:v>35</c:v>
                </c:pt>
                <c:pt idx="49">
                  <c:v>45</c:v>
                </c:pt>
                <c:pt idx="50">
                  <c:v>45</c:v>
                </c:pt>
                <c:pt idx="51">
                  <c:v>30</c:v>
                </c:pt>
                <c:pt idx="52">
                  <c:v>20</c:v>
                </c:pt>
                <c:pt idx="53">
                  <c:v>0</c:v>
                </c:pt>
                <c:pt idx="54">
                  <c:v>-10</c:v>
                </c:pt>
                <c:pt idx="55">
                  <c:v>-25</c:v>
                </c:pt>
                <c:pt idx="56">
                  <c:v>-45</c:v>
                </c:pt>
                <c:pt idx="57">
                  <c:v>-70</c:v>
                </c:pt>
                <c:pt idx="58">
                  <c:v>-70</c:v>
                </c:pt>
                <c:pt idx="59">
                  <c:v>-55</c:v>
                </c:pt>
                <c:pt idx="60">
                  <c:v>-55</c:v>
                </c:pt>
                <c:pt idx="61">
                  <c:v>-55</c:v>
                </c:pt>
                <c:pt idx="62">
                  <c:v>-60</c:v>
                </c:pt>
                <c:pt idx="63">
                  <c:v>-100</c:v>
                </c:pt>
                <c:pt idx="64">
                  <c:v>-115</c:v>
                </c:pt>
                <c:pt idx="65">
                  <c:v>-115</c:v>
                </c:pt>
                <c:pt idx="66">
                  <c:v>-115</c:v>
                </c:pt>
                <c:pt idx="67">
                  <c:v>-110</c:v>
                </c:pt>
                <c:pt idx="68">
                  <c:v>-100</c:v>
                </c:pt>
                <c:pt idx="69">
                  <c:v>-80</c:v>
                </c:pt>
                <c:pt idx="70">
                  <c:v>-60</c:v>
                </c:pt>
                <c:pt idx="71">
                  <c:v>-55</c:v>
                </c:pt>
                <c:pt idx="72">
                  <c:v>-45</c:v>
                </c:pt>
                <c:pt idx="73">
                  <c:v>-12</c:v>
                </c:pt>
                <c:pt idx="74">
                  <c:v>15</c:v>
                </c:pt>
                <c:pt idx="75">
                  <c:v>30</c:v>
                </c:pt>
                <c:pt idx="76">
                  <c:v>30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-10</c:v>
                </c:pt>
                <c:pt idx="81">
                  <c:v>-75</c:v>
                </c:pt>
                <c:pt idx="82">
                  <c:v>-100</c:v>
                </c:pt>
                <c:pt idx="83">
                  <c:v>-100</c:v>
                </c:pt>
                <c:pt idx="84">
                  <c:v>-95</c:v>
                </c:pt>
                <c:pt idx="85">
                  <c:v>-80</c:v>
                </c:pt>
                <c:pt idx="86">
                  <c:v>-80</c:v>
                </c:pt>
                <c:pt idx="87">
                  <c:v>-95</c:v>
                </c:pt>
                <c:pt idx="88">
                  <c:v>-110</c:v>
                </c:pt>
                <c:pt idx="89">
                  <c:v>-110</c:v>
                </c:pt>
                <c:pt idx="90">
                  <c:v>-28</c:v>
                </c:pt>
                <c:pt idx="91">
                  <c:v>-10</c:v>
                </c:pt>
                <c:pt idx="92">
                  <c:v>10</c:v>
                </c:pt>
                <c:pt idx="93">
                  <c:v>10</c:v>
                </c:pt>
                <c:pt idx="94">
                  <c:v>20</c:v>
                </c:pt>
                <c:pt idx="95">
                  <c:v>65</c:v>
                </c:pt>
                <c:pt idx="96">
                  <c:v>70</c:v>
                </c:pt>
                <c:pt idx="97">
                  <c:v>70</c:v>
                </c:pt>
                <c:pt idx="98">
                  <c:v>62</c:v>
                </c:pt>
                <c:pt idx="99">
                  <c:v>39</c:v>
                </c:pt>
                <c:pt idx="100">
                  <c:v>36</c:v>
                </c:pt>
                <c:pt idx="101">
                  <c:v>-38</c:v>
                </c:pt>
                <c:pt idx="102">
                  <c:v>-53</c:v>
                </c:pt>
                <c:pt idx="103">
                  <c:v>-53</c:v>
                </c:pt>
                <c:pt idx="104">
                  <c:v>-53</c:v>
                </c:pt>
                <c:pt idx="105">
                  <c:v>-57</c:v>
                </c:pt>
                <c:pt idx="106">
                  <c:v>-61</c:v>
                </c:pt>
                <c:pt idx="107">
                  <c:v>-84</c:v>
                </c:pt>
                <c:pt idx="108">
                  <c:v>-66</c:v>
                </c:pt>
                <c:pt idx="109">
                  <c:v>-84</c:v>
                </c:pt>
                <c:pt idx="110">
                  <c:v>-100</c:v>
                </c:pt>
                <c:pt idx="111">
                  <c:v>-131</c:v>
                </c:pt>
                <c:pt idx="112">
                  <c:v>-165</c:v>
                </c:pt>
                <c:pt idx="113">
                  <c:v>-165</c:v>
                </c:pt>
                <c:pt idx="114">
                  <c:v>-163</c:v>
                </c:pt>
                <c:pt idx="115">
                  <c:v>-112</c:v>
                </c:pt>
                <c:pt idx="116">
                  <c:v>-110</c:v>
                </c:pt>
                <c:pt idx="117">
                  <c:v>-110</c:v>
                </c:pt>
                <c:pt idx="118">
                  <c:v>-110</c:v>
                </c:pt>
                <c:pt idx="119">
                  <c:v>-106</c:v>
                </c:pt>
                <c:pt idx="120">
                  <c:v>-49</c:v>
                </c:pt>
                <c:pt idx="121">
                  <c:v>-41</c:v>
                </c:pt>
                <c:pt idx="122">
                  <c:v>-41</c:v>
                </c:pt>
                <c:pt idx="123">
                  <c:v>-19</c:v>
                </c:pt>
                <c:pt idx="124">
                  <c:v>2</c:v>
                </c:pt>
                <c:pt idx="125">
                  <c:v>40</c:v>
                </c:pt>
                <c:pt idx="126">
                  <c:v>106</c:v>
                </c:pt>
                <c:pt idx="127">
                  <c:v>138</c:v>
                </c:pt>
                <c:pt idx="128">
                  <c:v>138</c:v>
                </c:pt>
                <c:pt idx="129">
                  <c:v>48</c:v>
                </c:pt>
                <c:pt idx="130">
                  <c:v>-26</c:v>
                </c:pt>
                <c:pt idx="131">
                  <c:v>-40</c:v>
                </c:pt>
                <c:pt idx="132">
                  <c:v>-40</c:v>
                </c:pt>
                <c:pt idx="133">
                  <c:v>-40</c:v>
                </c:pt>
                <c:pt idx="134">
                  <c:v>-51</c:v>
                </c:pt>
                <c:pt idx="135">
                  <c:v>-63</c:v>
                </c:pt>
                <c:pt idx="136">
                  <c:v>-93</c:v>
                </c:pt>
                <c:pt idx="137">
                  <c:v>-119</c:v>
                </c:pt>
                <c:pt idx="138">
                  <c:v>-119</c:v>
                </c:pt>
                <c:pt idx="139">
                  <c:v>-118</c:v>
                </c:pt>
                <c:pt idx="140">
                  <c:v>-113</c:v>
                </c:pt>
                <c:pt idx="141">
                  <c:v>-113</c:v>
                </c:pt>
                <c:pt idx="142">
                  <c:v>-113</c:v>
                </c:pt>
                <c:pt idx="143">
                  <c:v>-77</c:v>
                </c:pt>
                <c:pt idx="144">
                  <c:v>-77</c:v>
                </c:pt>
                <c:pt idx="145">
                  <c:v>-90</c:v>
                </c:pt>
                <c:pt idx="146">
                  <c:v>-90</c:v>
                </c:pt>
                <c:pt idx="147">
                  <c:v>-121</c:v>
                </c:pt>
                <c:pt idx="148">
                  <c:v>-177</c:v>
                </c:pt>
                <c:pt idx="149">
                  <c:v>-177</c:v>
                </c:pt>
                <c:pt idx="150">
                  <c:v>-169</c:v>
                </c:pt>
                <c:pt idx="151">
                  <c:v>-120</c:v>
                </c:pt>
                <c:pt idx="152">
                  <c:v>-116</c:v>
                </c:pt>
                <c:pt idx="153">
                  <c:v>-87</c:v>
                </c:pt>
                <c:pt idx="154">
                  <c:v>-18</c:v>
                </c:pt>
                <c:pt idx="155">
                  <c:v>52</c:v>
                </c:pt>
                <c:pt idx="156">
                  <c:v>55</c:v>
                </c:pt>
                <c:pt idx="157">
                  <c:v>55</c:v>
                </c:pt>
                <c:pt idx="158">
                  <c:v>52</c:v>
                </c:pt>
                <c:pt idx="159">
                  <c:v>52</c:v>
                </c:pt>
                <c:pt idx="160">
                  <c:v>55</c:v>
                </c:pt>
                <c:pt idx="161">
                  <c:v>55</c:v>
                </c:pt>
                <c:pt idx="162">
                  <c:v>-5</c:v>
                </c:pt>
                <c:pt idx="163">
                  <c:v>-20</c:v>
                </c:pt>
                <c:pt idx="164">
                  <c:v>-38</c:v>
                </c:pt>
                <c:pt idx="165">
                  <c:v>-82</c:v>
                </c:pt>
                <c:pt idx="166">
                  <c:v>-109</c:v>
                </c:pt>
                <c:pt idx="167">
                  <c:v>-109</c:v>
                </c:pt>
                <c:pt idx="168">
                  <c:v>-109</c:v>
                </c:pt>
                <c:pt idx="169">
                  <c:v>-93</c:v>
                </c:pt>
                <c:pt idx="170">
                  <c:v>-93</c:v>
                </c:pt>
                <c:pt idx="171">
                  <c:v>-121</c:v>
                </c:pt>
                <c:pt idx="172">
                  <c:v>-185</c:v>
                </c:pt>
                <c:pt idx="173">
                  <c:v>-185</c:v>
                </c:pt>
                <c:pt idx="174">
                  <c:v>-183</c:v>
                </c:pt>
                <c:pt idx="175">
                  <c:v>-146</c:v>
                </c:pt>
                <c:pt idx="176">
                  <c:v>-128</c:v>
                </c:pt>
                <c:pt idx="177">
                  <c:v>-117</c:v>
                </c:pt>
                <c:pt idx="178">
                  <c:v>-109</c:v>
                </c:pt>
                <c:pt idx="179">
                  <c:v>-101</c:v>
                </c:pt>
                <c:pt idx="180">
                  <c:v>-108</c:v>
                </c:pt>
                <c:pt idx="181">
                  <c:v>-82</c:v>
                </c:pt>
                <c:pt idx="182">
                  <c:v>-82</c:v>
                </c:pt>
                <c:pt idx="183">
                  <c:v>-82</c:v>
                </c:pt>
                <c:pt idx="184">
                  <c:v>-113</c:v>
                </c:pt>
                <c:pt idx="185">
                  <c:v>-113</c:v>
                </c:pt>
                <c:pt idx="186">
                  <c:v>-103</c:v>
                </c:pt>
                <c:pt idx="187">
                  <c:v>-63</c:v>
                </c:pt>
                <c:pt idx="188">
                  <c:v>-63</c:v>
                </c:pt>
                <c:pt idx="189">
                  <c:v>-54</c:v>
                </c:pt>
                <c:pt idx="190">
                  <c:v>-54</c:v>
                </c:pt>
                <c:pt idx="191">
                  <c:v>-20</c:v>
                </c:pt>
                <c:pt idx="192">
                  <c:v>2</c:v>
                </c:pt>
                <c:pt idx="193">
                  <c:v>20</c:v>
                </c:pt>
                <c:pt idx="194">
                  <c:v>41</c:v>
                </c:pt>
                <c:pt idx="195">
                  <c:v>41</c:v>
                </c:pt>
                <c:pt idx="196">
                  <c:v>29</c:v>
                </c:pt>
                <c:pt idx="197">
                  <c:v>-36</c:v>
                </c:pt>
                <c:pt idx="198">
                  <c:v>-114</c:v>
                </c:pt>
                <c:pt idx="199">
                  <c:v>-116</c:v>
                </c:pt>
                <c:pt idx="200">
                  <c:v>-116</c:v>
                </c:pt>
                <c:pt idx="201">
                  <c:v>-116</c:v>
                </c:pt>
                <c:pt idx="202">
                  <c:v>-113</c:v>
                </c:pt>
                <c:pt idx="203">
                  <c:v>-99</c:v>
                </c:pt>
                <c:pt idx="204">
                  <c:v>-98</c:v>
                </c:pt>
                <c:pt idx="205">
                  <c:v>-78</c:v>
                </c:pt>
                <c:pt idx="206">
                  <c:v>-52</c:v>
                </c:pt>
                <c:pt idx="207">
                  <c:v>-78</c:v>
                </c:pt>
                <c:pt idx="208">
                  <c:v>-95</c:v>
                </c:pt>
                <c:pt idx="209">
                  <c:v>-104</c:v>
                </c:pt>
                <c:pt idx="210">
                  <c:v>-104</c:v>
                </c:pt>
                <c:pt idx="211">
                  <c:v>-76</c:v>
                </c:pt>
                <c:pt idx="212">
                  <c:v>-70</c:v>
                </c:pt>
                <c:pt idx="213">
                  <c:v>-39</c:v>
                </c:pt>
                <c:pt idx="214">
                  <c:v>-28</c:v>
                </c:pt>
                <c:pt idx="215">
                  <c:v>0</c:v>
                </c:pt>
                <c:pt idx="216">
                  <c:v>12</c:v>
                </c:pt>
                <c:pt idx="217">
                  <c:v>26</c:v>
                </c:pt>
                <c:pt idx="218">
                  <c:v>47</c:v>
                </c:pt>
                <c:pt idx="219">
                  <c:v>48</c:v>
                </c:pt>
                <c:pt idx="220">
                  <c:v>48</c:v>
                </c:pt>
                <c:pt idx="221">
                  <c:v>-18</c:v>
                </c:pt>
                <c:pt idx="222">
                  <c:v>-84</c:v>
                </c:pt>
                <c:pt idx="223">
                  <c:v>-84</c:v>
                </c:pt>
                <c:pt idx="224">
                  <c:v>-44</c:v>
                </c:pt>
                <c:pt idx="225">
                  <c:v>-44</c:v>
                </c:pt>
                <c:pt idx="226">
                  <c:v>-70</c:v>
                </c:pt>
                <c:pt idx="227">
                  <c:v>-80</c:v>
                </c:pt>
                <c:pt idx="228">
                  <c:v>-97</c:v>
                </c:pt>
                <c:pt idx="229">
                  <c:v>-97</c:v>
                </c:pt>
                <c:pt idx="230">
                  <c:v>-126</c:v>
                </c:pt>
                <c:pt idx="231">
                  <c:v>-134</c:v>
                </c:pt>
                <c:pt idx="232">
                  <c:v>-146</c:v>
                </c:pt>
                <c:pt idx="233">
                  <c:v>-134</c:v>
                </c:pt>
                <c:pt idx="234">
                  <c:v>-120</c:v>
                </c:pt>
                <c:pt idx="235">
                  <c:v>-82</c:v>
                </c:pt>
                <c:pt idx="236">
                  <c:v>-26</c:v>
                </c:pt>
                <c:pt idx="237">
                  <c:v>-16</c:v>
                </c:pt>
                <c:pt idx="238">
                  <c:v>15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79</c:v>
                </c:pt>
                <c:pt idx="243">
                  <c:v>79</c:v>
                </c:pt>
                <c:pt idx="244">
                  <c:v>-13</c:v>
                </c:pt>
                <c:pt idx="245">
                  <c:v>-95</c:v>
                </c:pt>
                <c:pt idx="246">
                  <c:v>-95</c:v>
                </c:pt>
                <c:pt idx="247">
                  <c:v>-99</c:v>
                </c:pt>
                <c:pt idx="248">
                  <c:v>-104</c:v>
                </c:pt>
                <c:pt idx="249">
                  <c:v>-114</c:v>
                </c:pt>
                <c:pt idx="250">
                  <c:v>-114</c:v>
                </c:pt>
                <c:pt idx="251">
                  <c:v>-102</c:v>
                </c:pt>
                <c:pt idx="252">
                  <c:v>-94</c:v>
                </c:pt>
                <c:pt idx="253">
                  <c:v>-94</c:v>
                </c:pt>
                <c:pt idx="254">
                  <c:v>-103</c:v>
                </c:pt>
                <c:pt idx="255">
                  <c:v>-109</c:v>
                </c:pt>
                <c:pt idx="256">
                  <c:v>-118</c:v>
                </c:pt>
                <c:pt idx="257">
                  <c:v>-131</c:v>
                </c:pt>
                <c:pt idx="258">
                  <c:v>-131</c:v>
                </c:pt>
                <c:pt idx="259">
                  <c:v>-122</c:v>
                </c:pt>
                <c:pt idx="260">
                  <c:v>-93</c:v>
                </c:pt>
                <c:pt idx="261">
                  <c:v>-62</c:v>
                </c:pt>
                <c:pt idx="262">
                  <c:v>-37</c:v>
                </c:pt>
                <c:pt idx="263">
                  <c:v>-8</c:v>
                </c:pt>
                <c:pt idx="264">
                  <c:v>9</c:v>
                </c:pt>
                <c:pt idx="265">
                  <c:v>43</c:v>
                </c:pt>
                <c:pt idx="266">
                  <c:v>43</c:v>
                </c:pt>
                <c:pt idx="267">
                  <c:v>46</c:v>
                </c:pt>
                <c:pt idx="268">
                  <c:v>48</c:v>
                </c:pt>
                <c:pt idx="269">
                  <c:v>58</c:v>
                </c:pt>
                <c:pt idx="270">
                  <c:v>48</c:v>
                </c:pt>
                <c:pt idx="271">
                  <c:v>23</c:v>
                </c:pt>
                <c:pt idx="272">
                  <c:v>-11</c:v>
                </c:pt>
                <c:pt idx="273">
                  <c:v>-80</c:v>
                </c:pt>
                <c:pt idx="274">
                  <c:v>-80</c:v>
                </c:pt>
                <c:pt idx="275">
                  <c:v>-67</c:v>
                </c:pt>
                <c:pt idx="276">
                  <c:v>-63</c:v>
                </c:pt>
                <c:pt idx="277">
                  <c:v>-63</c:v>
                </c:pt>
                <c:pt idx="278">
                  <c:v>-81</c:v>
                </c:pt>
                <c:pt idx="279">
                  <c:v>-103</c:v>
                </c:pt>
                <c:pt idx="280">
                  <c:v>-115</c:v>
                </c:pt>
                <c:pt idx="281">
                  <c:v>-115</c:v>
                </c:pt>
                <c:pt idx="282">
                  <c:v>-110</c:v>
                </c:pt>
                <c:pt idx="283">
                  <c:v>-103</c:v>
                </c:pt>
                <c:pt idx="284">
                  <c:v>-94</c:v>
                </c:pt>
                <c:pt idx="285">
                  <c:v>-92</c:v>
                </c:pt>
                <c:pt idx="286">
                  <c:v>-91</c:v>
                </c:pt>
                <c:pt idx="287">
                  <c:v>-85</c:v>
                </c:pt>
                <c:pt idx="288">
                  <c:v>-70</c:v>
                </c:pt>
                <c:pt idx="289">
                  <c:v>-69</c:v>
                </c:pt>
                <c:pt idx="290">
                  <c:v>-60</c:v>
                </c:pt>
                <c:pt idx="291">
                  <c:v>-60</c:v>
                </c:pt>
                <c:pt idx="292">
                  <c:v>-58</c:v>
                </c:pt>
                <c:pt idx="293">
                  <c:v>-3</c:v>
                </c:pt>
                <c:pt idx="294">
                  <c:v>50</c:v>
                </c:pt>
                <c:pt idx="295">
                  <c:v>50</c:v>
                </c:pt>
                <c:pt idx="296">
                  <c:v>48</c:v>
                </c:pt>
                <c:pt idx="297">
                  <c:v>48</c:v>
                </c:pt>
                <c:pt idx="298">
                  <c:v>62</c:v>
                </c:pt>
                <c:pt idx="299">
                  <c:v>62</c:v>
                </c:pt>
                <c:pt idx="300">
                  <c:v>18</c:v>
                </c:pt>
                <c:pt idx="301">
                  <c:v>-22</c:v>
                </c:pt>
                <c:pt idx="302">
                  <c:v>-34</c:v>
                </c:pt>
                <c:pt idx="303">
                  <c:v>-85</c:v>
                </c:pt>
                <c:pt idx="304">
                  <c:v>-91</c:v>
                </c:pt>
                <c:pt idx="305">
                  <c:v>-91</c:v>
                </c:pt>
                <c:pt idx="306">
                  <c:v>-97</c:v>
                </c:pt>
                <c:pt idx="307">
                  <c:v>-97</c:v>
                </c:pt>
                <c:pt idx="308">
                  <c:v>-98</c:v>
                </c:pt>
                <c:pt idx="309">
                  <c:v>-99</c:v>
                </c:pt>
                <c:pt idx="310">
                  <c:v>-99</c:v>
                </c:pt>
                <c:pt idx="311">
                  <c:v>-98</c:v>
                </c:pt>
                <c:pt idx="312">
                  <c:v>-68</c:v>
                </c:pt>
                <c:pt idx="313">
                  <c:v>-68</c:v>
                </c:pt>
                <c:pt idx="314">
                  <c:v>-74</c:v>
                </c:pt>
                <c:pt idx="315">
                  <c:v>-84</c:v>
                </c:pt>
                <c:pt idx="316">
                  <c:v>-137</c:v>
                </c:pt>
                <c:pt idx="317">
                  <c:v>-137</c:v>
                </c:pt>
                <c:pt idx="318">
                  <c:v>-85</c:v>
                </c:pt>
                <c:pt idx="319">
                  <c:v>-74</c:v>
                </c:pt>
                <c:pt idx="320">
                  <c:v>-47</c:v>
                </c:pt>
                <c:pt idx="321">
                  <c:v>-25</c:v>
                </c:pt>
                <c:pt idx="322">
                  <c:v>2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52</c:v>
                </c:pt>
                <c:pt idx="327">
                  <c:v>53</c:v>
                </c:pt>
                <c:pt idx="328">
                  <c:v>62</c:v>
                </c:pt>
                <c:pt idx="329">
                  <c:v>62</c:v>
                </c:pt>
                <c:pt idx="330">
                  <c:v>-35</c:v>
                </c:pt>
                <c:pt idx="331">
                  <c:v>-47</c:v>
                </c:pt>
                <c:pt idx="332">
                  <c:v>-60</c:v>
                </c:pt>
                <c:pt idx="333">
                  <c:v>-90</c:v>
                </c:pt>
                <c:pt idx="334">
                  <c:v>-90</c:v>
                </c:pt>
                <c:pt idx="335">
                  <c:v>-80</c:v>
                </c:pt>
                <c:pt idx="336">
                  <c:v>-61</c:v>
                </c:pt>
                <c:pt idx="337">
                  <c:v>-61</c:v>
                </c:pt>
                <c:pt idx="338">
                  <c:v>-84</c:v>
                </c:pt>
                <c:pt idx="339">
                  <c:v>-105</c:v>
                </c:pt>
                <c:pt idx="340">
                  <c:v>-112</c:v>
                </c:pt>
                <c:pt idx="341">
                  <c:v>-126</c:v>
                </c:pt>
                <c:pt idx="342">
                  <c:v>-126</c:v>
                </c:pt>
                <c:pt idx="343">
                  <c:v>-108</c:v>
                </c:pt>
                <c:pt idx="344">
                  <c:v>-101</c:v>
                </c:pt>
                <c:pt idx="345">
                  <c:v>-101</c:v>
                </c:pt>
                <c:pt idx="346">
                  <c:v>-101</c:v>
                </c:pt>
                <c:pt idx="347">
                  <c:v>-69</c:v>
                </c:pt>
                <c:pt idx="348">
                  <c:v>-55</c:v>
                </c:pt>
                <c:pt idx="349">
                  <c:v>-55</c:v>
                </c:pt>
                <c:pt idx="350">
                  <c:v>-66</c:v>
                </c:pt>
                <c:pt idx="351">
                  <c:v>-66</c:v>
                </c:pt>
                <c:pt idx="352">
                  <c:v>27</c:v>
                </c:pt>
                <c:pt idx="353">
                  <c:v>72</c:v>
                </c:pt>
                <c:pt idx="354">
                  <c:v>103</c:v>
                </c:pt>
                <c:pt idx="355">
                  <c:v>103</c:v>
                </c:pt>
                <c:pt idx="356">
                  <c:v>101</c:v>
                </c:pt>
                <c:pt idx="357">
                  <c:v>83</c:v>
                </c:pt>
                <c:pt idx="358">
                  <c:v>50</c:v>
                </c:pt>
                <c:pt idx="359">
                  <c:v>-39</c:v>
                </c:pt>
                <c:pt idx="360">
                  <c:v>-44</c:v>
                </c:pt>
                <c:pt idx="361">
                  <c:v>-44</c:v>
                </c:pt>
                <c:pt idx="362">
                  <c:v>-38</c:v>
                </c:pt>
                <c:pt idx="363">
                  <c:v>-38</c:v>
                </c:pt>
                <c:pt idx="364">
                  <c:v>-114</c:v>
                </c:pt>
                <c:pt idx="365">
                  <c:v>-114</c:v>
                </c:pt>
                <c:pt idx="366">
                  <c:v>-112</c:v>
                </c:pt>
                <c:pt idx="367">
                  <c:v>-107</c:v>
                </c:pt>
                <c:pt idx="368">
                  <c:v>-103</c:v>
                </c:pt>
                <c:pt idx="369">
                  <c:v>-101</c:v>
                </c:pt>
                <c:pt idx="370">
                  <c:v>-101</c:v>
                </c:pt>
                <c:pt idx="371">
                  <c:v>-86</c:v>
                </c:pt>
                <c:pt idx="372">
                  <c:v>-75</c:v>
                </c:pt>
                <c:pt idx="373">
                  <c:v>-70</c:v>
                </c:pt>
                <c:pt idx="374">
                  <c:v>-70</c:v>
                </c:pt>
                <c:pt idx="375">
                  <c:v>-79</c:v>
                </c:pt>
                <c:pt idx="376">
                  <c:v>-82</c:v>
                </c:pt>
                <c:pt idx="377">
                  <c:v>-82</c:v>
                </c:pt>
                <c:pt idx="378">
                  <c:v>-24</c:v>
                </c:pt>
                <c:pt idx="379">
                  <c:v>15</c:v>
                </c:pt>
                <c:pt idx="380">
                  <c:v>36</c:v>
                </c:pt>
                <c:pt idx="381">
                  <c:v>41</c:v>
                </c:pt>
                <c:pt idx="382">
                  <c:v>43</c:v>
                </c:pt>
                <c:pt idx="383">
                  <c:v>43</c:v>
                </c:pt>
                <c:pt idx="384">
                  <c:v>42</c:v>
                </c:pt>
                <c:pt idx="385">
                  <c:v>42</c:v>
                </c:pt>
                <c:pt idx="386">
                  <c:v>38</c:v>
                </c:pt>
                <c:pt idx="387">
                  <c:v>38</c:v>
                </c:pt>
                <c:pt idx="388">
                  <c:v>-15</c:v>
                </c:pt>
                <c:pt idx="389">
                  <c:v>-24</c:v>
                </c:pt>
                <c:pt idx="390">
                  <c:v>-72</c:v>
                </c:pt>
                <c:pt idx="391">
                  <c:v>-76</c:v>
                </c:pt>
                <c:pt idx="392">
                  <c:v>-87</c:v>
                </c:pt>
                <c:pt idx="393">
                  <c:v>-87</c:v>
                </c:pt>
                <c:pt idx="394">
                  <c:v>-83</c:v>
                </c:pt>
                <c:pt idx="395">
                  <c:v>-51</c:v>
                </c:pt>
                <c:pt idx="396">
                  <c:v>-51</c:v>
                </c:pt>
                <c:pt idx="397">
                  <c:v>-67</c:v>
                </c:pt>
                <c:pt idx="398">
                  <c:v>-83</c:v>
                </c:pt>
                <c:pt idx="399">
                  <c:v>-91</c:v>
                </c:pt>
                <c:pt idx="400">
                  <c:v>-124</c:v>
                </c:pt>
                <c:pt idx="401">
                  <c:v>-124</c:v>
                </c:pt>
                <c:pt idx="402">
                  <c:v>-116</c:v>
                </c:pt>
                <c:pt idx="403">
                  <c:v>-94</c:v>
                </c:pt>
                <c:pt idx="404">
                  <c:v>-94</c:v>
                </c:pt>
                <c:pt idx="405">
                  <c:v>-108</c:v>
                </c:pt>
                <c:pt idx="406">
                  <c:v>-108</c:v>
                </c:pt>
                <c:pt idx="407">
                  <c:v>-87</c:v>
                </c:pt>
                <c:pt idx="408">
                  <c:v>-87</c:v>
                </c:pt>
                <c:pt idx="409">
                  <c:v>-87</c:v>
                </c:pt>
                <c:pt idx="410">
                  <c:v>-52</c:v>
                </c:pt>
                <c:pt idx="411">
                  <c:v>-28</c:v>
                </c:pt>
                <c:pt idx="412">
                  <c:v>-26</c:v>
                </c:pt>
                <c:pt idx="413">
                  <c:v>44</c:v>
                </c:pt>
                <c:pt idx="414">
                  <c:v>115</c:v>
                </c:pt>
                <c:pt idx="415">
                  <c:v>115</c:v>
                </c:pt>
                <c:pt idx="416">
                  <c:v>103</c:v>
                </c:pt>
                <c:pt idx="417">
                  <c:v>85</c:v>
                </c:pt>
                <c:pt idx="418">
                  <c:v>7</c:v>
                </c:pt>
                <c:pt idx="419">
                  <c:v>-28</c:v>
                </c:pt>
                <c:pt idx="420">
                  <c:v>-37</c:v>
                </c:pt>
                <c:pt idx="421">
                  <c:v>-50</c:v>
                </c:pt>
                <c:pt idx="422">
                  <c:v>-50</c:v>
                </c:pt>
                <c:pt idx="423">
                  <c:v>-50</c:v>
                </c:pt>
                <c:pt idx="424">
                  <c:v>-52</c:v>
                </c:pt>
                <c:pt idx="425">
                  <c:v>-90</c:v>
                </c:pt>
                <c:pt idx="426">
                  <c:v>-90</c:v>
                </c:pt>
                <c:pt idx="427">
                  <c:v>-87</c:v>
                </c:pt>
                <c:pt idx="428">
                  <c:v>-84</c:v>
                </c:pt>
                <c:pt idx="429">
                  <c:v>-84</c:v>
                </c:pt>
                <c:pt idx="430">
                  <c:v>-84</c:v>
                </c:pt>
                <c:pt idx="431">
                  <c:v>-88</c:v>
                </c:pt>
                <c:pt idx="432">
                  <c:v>-67</c:v>
                </c:pt>
                <c:pt idx="433">
                  <c:v>-71</c:v>
                </c:pt>
                <c:pt idx="434">
                  <c:v>-71</c:v>
                </c:pt>
                <c:pt idx="435">
                  <c:v>-97</c:v>
                </c:pt>
                <c:pt idx="436">
                  <c:v>-97</c:v>
                </c:pt>
                <c:pt idx="437">
                  <c:v>-88</c:v>
                </c:pt>
                <c:pt idx="438">
                  <c:v>-72</c:v>
                </c:pt>
                <c:pt idx="439">
                  <c:v>-71</c:v>
                </c:pt>
                <c:pt idx="440">
                  <c:v>-66</c:v>
                </c:pt>
                <c:pt idx="441">
                  <c:v>-33</c:v>
                </c:pt>
                <c:pt idx="442">
                  <c:v>-33</c:v>
                </c:pt>
                <c:pt idx="443">
                  <c:v>-16</c:v>
                </c:pt>
                <c:pt idx="444">
                  <c:v>-16</c:v>
                </c:pt>
                <c:pt idx="445">
                  <c:v>1</c:v>
                </c:pt>
                <c:pt idx="446">
                  <c:v>51</c:v>
                </c:pt>
                <c:pt idx="447">
                  <c:v>51</c:v>
                </c:pt>
                <c:pt idx="448">
                  <c:v>51</c:v>
                </c:pt>
                <c:pt idx="449">
                  <c:v>20</c:v>
                </c:pt>
                <c:pt idx="450">
                  <c:v>-42</c:v>
                </c:pt>
                <c:pt idx="451">
                  <c:v>-49</c:v>
                </c:pt>
                <c:pt idx="452">
                  <c:v>-62</c:v>
                </c:pt>
                <c:pt idx="453">
                  <c:v>-90</c:v>
                </c:pt>
                <c:pt idx="454">
                  <c:v>-90</c:v>
                </c:pt>
                <c:pt idx="455">
                  <c:v>-86</c:v>
                </c:pt>
                <c:pt idx="456">
                  <c:v>-86</c:v>
                </c:pt>
                <c:pt idx="457">
                  <c:v>-82</c:v>
                </c:pt>
                <c:pt idx="458">
                  <c:v>-87</c:v>
                </c:pt>
                <c:pt idx="459">
                  <c:v>-87</c:v>
                </c:pt>
                <c:pt idx="460">
                  <c:v>-101</c:v>
                </c:pt>
                <c:pt idx="461">
                  <c:v>-101</c:v>
                </c:pt>
                <c:pt idx="462">
                  <c:v>-82</c:v>
                </c:pt>
                <c:pt idx="463">
                  <c:v>-64</c:v>
                </c:pt>
                <c:pt idx="464">
                  <c:v>-64</c:v>
                </c:pt>
                <c:pt idx="465">
                  <c:v>-64</c:v>
                </c:pt>
                <c:pt idx="466">
                  <c:v>-66</c:v>
                </c:pt>
                <c:pt idx="467">
                  <c:v>-57</c:v>
                </c:pt>
                <c:pt idx="468">
                  <c:v>-66</c:v>
                </c:pt>
                <c:pt idx="469">
                  <c:v>-25</c:v>
                </c:pt>
                <c:pt idx="470">
                  <c:v>-56</c:v>
                </c:pt>
                <c:pt idx="471">
                  <c:v>-42</c:v>
                </c:pt>
                <c:pt idx="472">
                  <c:v>-42</c:v>
                </c:pt>
                <c:pt idx="473">
                  <c:v>2</c:v>
                </c:pt>
                <c:pt idx="474">
                  <c:v>46</c:v>
                </c:pt>
                <c:pt idx="475">
                  <c:v>60</c:v>
                </c:pt>
                <c:pt idx="476">
                  <c:v>66</c:v>
                </c:pt>
                <c:pt idx="477">
                  <c:v>66</c:v>
                </c:pt>
                <c:pt idx="478">
                  <c:v>75</c:v>
                </c:pt>
                <c:pt idx="479">
                  <c:v>75</c:v>
                </c:pt>
                <c:pt idx="480">
                  <c:v>-6</c:v>
                </c:pt>
                <c:pt idx="481">
                  <c:v>-7</c:v>
                </c:pt>
                <c:pt idx="482">
                  <c:v>-51</c:v>
                </c:pt>
                <c:pt idx="483">
                  <c:v>-85</c:v>
                </c:pt>
                <c:pt idx="484">
                  <c:v>-118</c:v>
                </c:pt>
                <c:pt idx="485">
                  <c:v>-118</c:v>
                </c:pt>
                <c:pt idx="486">
                  <c:v>-87</c:v>
                </c:pt>
                <c:pt idx="487">
                  <c:v>-73</c:v>
                </c:pt>
                <c:pt idx="488">
                  <c:v>-73</c:v>
                </c:pt>
                <c:pt idx="489">
                  <c:v>-101</c:v>
                </c:pt>
                <c:pt idx="490">
                  <c:v>-101</c:v>
                </c:pt>
                <c:pt idx="491">
                  <c:v>-97</c:v>
                </c:pt>
                <c:pt idx="492">
                  <c:v>-81</c:v>
                </c:pt>
                <c:pt idx="493">
                  <c:v>-81</c:v>
                </c:pt>
                <c:pt idx="494">
                  <c:v>-113</c:v>
                </c:pt>
                <c:pt idx="495">
                  <c:v>-116</c:v>
                </c:pt>
                <c:pt idx="496">
                  <c:v>-113</c:v>
                </c:pt>
                <c:pt idx="497">
                  <c:v>-16</c:v>
                </c:pt>
                <c:pt idx="498">
                  <c:v>42</c:v>
                </c:pt>
                <c:pt idx="499">
                  <c:v>65</c:v>
                </c:pt>
                <c:pt idx="500">
                  <c:v>66</c:v>
                </c:pt>
                <c:pt idx="501">
                  <c:v>80</c:v>
                </c:pt>
                <c:pt idx="502">
                  <c:v>66</c:v>
                </c:pt>
                <c:pt idx="503">
                  <c:v>40</c:v>
                </c:pt>
                <c:pt idx="504">
                  <c:v>-15</c:v>
                </c:pt>
                <c:pt idx="505">
                  <c:v>-15</c:v>
                </c:pt>
                <c:pt idx="506">
                  <c:v>-5</c:v>
                </c:pt>
                <c:pt idx="507">
                  <c:v>-5</c:v>
                </c:pt>
                <c:pt idx="508">
                  <c:v>-65</c:v>
                </c:pt>
                <c:pt idx="509">
                  <c:v>-71</c:v>
                </c:pt>
                <c:pt idx="510">
                  <c:v>-116</c:v>
                </c:pt>
                <c:pt idx="511">
                  <c:v>-116</c:v>
                </c:pt>
                <c:pt idx="512">
                  <c:v>-98</c:v>
                </c:pt>
                <c:pt idx="513">
                  <c:v>-95</c:v>
                </c:pt>
                <c:pt idx="514">
                  <c:v>-88</c:v>
                </c:pt>
                <c:pt idx="515">
                  <c:v>-88</c:v>
                </c:pt>
                <c:pt idx="516">
                  <c:v>-88</c:v>
                </c:pt>
                <c:pt idx="517">
                  <c:v>-88</c:v>
                </c:pt>
                <c:pt idx="518">
                  <c:v>-92</c:v>
                </c:pt>
                <c:pt idx="519">
                  <c:v>-92</c:v>
                </c:pt>
                <c:pt idx="520">
                  <c:v>-93</c:v>
                </c:pt>
                <c:pt idx="521">
                  <c:v>-93</c:v>
                </c:pt>
                <c:pt idx="522">
                  <c:v>-49</c:v>
                </c:pt>
                <c:pt idx="523">
                  <c:v>-7</c:v>
                </c:pt>
                <c:pt idx="524">
                  <c:v>-6</c:v>
                </c:pt>
                <c:pt idx="525">
                  <c:v>2</c:v>
                </c:pt>
                <c:pt idx="526">
                  <c:v>2</c:v>
                </c:pt>
                <c:pt idx="527">
                  <c:v>29</c:v>
                </c:pt>
                <c:pt idx="528">
                  <c:v>1</c:v>
                </c:pt>
                <c:pt idx="529">
                  <c:v>29</c:v>
                </c:pt>
                <c:pt idx="530">
                  <c:v>24</c:v>
                </c:pt>
                <c:pt idx="531">
                  <c:v>46</c:v>
                </c:pt>
                <c:pt idx="532">
                  <c:v>24</c:v>
                </c:pt>
                <c:pt idx="533">
                  <c:v>-6</c:v>
                </c:pt>
                <c:pt idx="534">
                  <c:v>-120</c:v>
                </c:pt>
                <c:pt idx="535">
                  <c:v>-120</c:v>
                </c:pt>
                <c:pt idx="536">
                  <c:v>-120</c:v>
                </c:pt>
                <c:pt idx="537">
                  <c:v>-103</c:v>
                </c:pt>
                <c:pt idx="538">
                  <c:v>-93</c:v>
                </c:pt>
                <c:pt idx="539">
                  <c:v>-63</c:v>
                </c:pt>
                <c:pt idx="540">
                  <c:v>-63</c:v>
                </c:pt>
                <c:pt idx="541">
                  <c:v>-59</c:v>
                </c:pt>
                <c:pt idx="542">
                  <c:v>-69</c:v>
                </c:pt>
                <c:pt idx="543">
                  <c:v>-98</c:v>
                </c:pt>
                <c:pt idx="544">
                  <c:v>-98</c:v>
                </c:pt>
                <c:pt idx="545">
                  <c:v>-60</c:v>
                </c:pt>
                <c:pt idx="546">
                  <c:v>-38</c:v>
                </c:pt>
                <c:pt idx="547">
                  <c:v>-18</c:v>
                </c:pt>
                <c:pt idx="548">
                  <c:v>0</c:v>
                </c:pt>
                <c:pt idx="549">
                  <c:v>5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35</c:v>
                </c:pt>
                <c:pt idx="554">
                  <c:v>27</c:v>
                </c:pt>
                <c:pt idx="555">
                  <c:v>9</c:v>
                </c:pt>
                <c:pt idx="556">
                  <c:v>-43</c:v>
                </c:pt>
                <c:pt idx="557">
                  <c:v>-74</c:v>
                </c:pt>
                <c:pt idx="558">
                  <c:v>-74</c:v>
                </c:pt>
                <c:pt idx="559">
                  <c:v>-65</c:v>
                </c:pt>
                <c:pt idx="560">
                  <c:v>-65</c:v>
                </c:pt>
                <c:pt idx="561">
                  <c:v>-70</c:v>
                </c:pt>
                <c:pt idx="562">
                  <c:v>-70</c:v>
                </c:pt>
                <c:pt idx="563">
                  <c:v>-72</c:v>
                </c:pt>
                <c:pt idx="564">
                  <c:v>-78</c:v>
                </c:pt>
                <c:pt idx="565">
                  <c:v>-78</c:v>
                </c:pt>
                <c:pt idx="566">
                  <c:v>-78</c:v>
                </c:pt>
                <c:pt idx="567">
                  <c:v>-90</c:v>
                </c:pt>
                <c:pt idx="568">
                  <c:v>-122</c:v>
                </c:pt>
                <c:pt idx="569">
                  <c:v>-122</c:v>
                </c:pt>
                <c:pt idx="570">
                  <c:v>-122</c:v>
                </c:pt>
                <c:pt idx="571">
                  <c:v>-118</c:v>
                </c:pt>
                <c:pt idx="572">
                  <c:v>-106</c:v>
                </c:pt>
                <c:pt idx="573">
                  <c:v>-92</c:v>
                </c:pt>
                <c:pt idx="574">
                  <c:v>-65</c:v>
                </c:pt>
                <c:pt idx="575">
                  <c:v>-37</c:v>
                </c:pt>
                <c:pt idx="576">
                  <c:v>-37</c:v>
                </c:pt>
                <c:pt idx="577">
                  <c:v>-37</c:v>
                </c:pt>
                <c:pt idx="578">
                  <c:v>-47</c:v>
                </c:pt>
                <c:pt idx="579">
                  <c:v>-47</c:v>
                </c:pt>
                <c:pt idx="580">
                  <c:v>-72</c:v>
                </c:pt>
                <c:pt idx="581">
                  <c:v>-72</c:v>
                </c:pt>
                <c:pt idx="582">
                  <c:v>-26</c:v>
                </c:pt>
                <c:pt idx="583">
                  <c:v>1</c:v>
                </c:pt>
                <c:pt idx="584">
                  <c:v>20</c:v>
                </c:pt>
                <c:pt idx="585">
                  <c:v>9</c:v>
                </c:pt>
                <c:pt idx="586">
                  <c:v>20</c:v>
                </c:pt>
                <c:pt idx="587">
                  <c:v>17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-39</c:v>
                </c:pt>
                <c:pt idx="592">
                  <c:v>-63</c:v>
                </c:pt>
                <c:pt idx="593">
                  <c:v>-63</c:v>
                </c:pt>
                <c:pt idx="594">
                  <c:v>-63</c:v>
                </c:pt>
                <c:pt idx="595">
                  <c:v>-72</c:v>
                </c:pt>
                <c:pt idx="596">
                  <c:v>-88</c:v>
                </c:pt>
                <c:pt idx="597">
                  <c:v>-88</c:v>
                </c:pt>
                <c:pt idx="598">
                  <c:v>-82</c:v>
                </c:pt>
                <c:pt idx="599">
                  <c:v>-61</c:v>
                </c:pt>
                <c:pt idx="600">
                  <c:v>-61</c:v>
                </c:pt>
                <c:pt idx="601">
                  <c:v>-72</c:v>
                </c:pt>
                <c:pt idx="602">
                  <c:v>-72</c:v>
                </c:pt>
                <c:pt idx="603">
                  <c:v>-77</c:v>
                </c:pt>
                <c:pt idx="604">
                  <c:v>-85</c:v>
                </c:pt>
                <c:pt idx="605">
                  <c:v>-85</c:v>
                </c:pt>
                <c:pt idx="606">
                  <c:v>-70</c:v>
                </c:pt>
                <c:pt idx="607">
                  <c:v>-61</c:v>
                </c:pt>
                <c:pt idx="608">
                  <c:v>-61</c:v>
                </c:pt>
                <c:pt idx="609">
                  <c:v>-57</c:v>
                </c:pt>
                <c:pt idx="610">
                  <c:v>-34</c:v>
                </c:pt>
                <c:pt idx="611">
                  <c:v>-21</c:v>
                </c:pt>
                <c:pt idx="612">
                  <c:v>6</c:v>
                </c:pt>
                <c:pt idx="613">
                  <c:v>28</c:v>
                </c:pt>
                <c:pt idx="614">
                  <c:v>28</c:v>
                </c:pt>
                <c:pt idx="615">
                  <c:v>28</c:v>
                </c:pt>
                <c:pt idx="616">
                  <c:v>-4</c:v>
                </c:pt>
                <c:pt idx="617">
                  <c:v>-69</c:v>
                </c:pt>
                <c:pt idx="618">
                  <c:v>-69</c:v>
                </c:pt>
                <c:pt idx="619">
                  <c:v>-64</c:v>
                </c:pt>
                <c:pt idx="620">
                  <c:v>-64</c:v>
                </c:pt>
                <c:pt idx="621">
                  <c:v>-67</c:v>
                </c:pt>
                <c:pt idx="622">
                  <c:v>-92</c:v>
                </c:pt>
                <c:pt idx="623">
                  <c:v>-67</c:v>
                </c:pt>
                <c:pt idx="624">
                  <c:v>-54</c:v>
                </c:pt>
                <c:pt idx="625">
                  <c:v>-54</c:v>
                </c:pt>
                <c:pt idx="626">
                  <c:v>-59</c:v>
                </c:pt>
                <c:pt idx="627">
                  <c:v>-103</c:v>
                </c:pt>
                <c:pt idx="628">
                  <c:v>-80</c:v>
                </c:pt>
                <c:pt idx="629">
                  <c:v>-80</c:v>
                </c:pt>
                <c:pt idx="630">
                  <c:v>-75</c:v>
                </c:pt>
                <c:pt idx="631">
                  <c:v>-74</c:v>
                </c:pt>
                <c:pt idx="632">
                  <c:v>-30</c:v>
                </c:pt>
                <c:pt idx="633">
                  <c:v>-27</c:v>
                </c:pt>
                <c:pt idx="634">
                  <c:v>-27</c:v>
                </c:pt>
                <c:pt idx="635">
                  <c:v>-16</c:v>
                </c:pt>
                <c:pt idx="636">
                  <c:v>-16</c:v>
                </c:pt>
                <c:pt idx="637">
                  <c:v>1</c:v>
                </c:pt>
                <c:pt idx="638">
                  <c:v>33</c:v>
                </c:pt>
                <c:pt idx="639">
                  <c:v>42</c:v>
                </c:pt>
                <c:pt idx="640">
                  <c:v>80</c:v>
                </c:pt>
                <c:pt idx="641">
                  <c:v>80</c:v>
                </c:pt>
                <c:pt idx="642">
                  <c:v>-6</c:v>
                </c:pt>
                <c:pt idx="643">
                  <c:v>-38</c:v>
                </c:pt>
                <c:pt idx="644">
                  <c:v>-98</c:v>
                </c:pt>
                <c:pt idx="645">
                  <c:v>-98</c:v>
                </c:pt>
                <c:pt idx="646">
                  <c:v>-106</c:v>
                </c:pt>
                <c:pt idx="647">
                  <c:v>-92</c:v>
                </c:pt>
                <c:pt idx="648">
                  <c:v>-71</c:v>
                </c:pt>
                <c:pt idx="649">
                  <c:v>-71</c:v>
                </c:pt>
                <c:pt idx="650">
                  <c:v>-85</c:v>
                </c:pt>
                <c:pt idx="651">
                  <c:v>-121</c:v>
                </c:pt>
                <c:pt idx="652">
                  <c:v>-121</c:v>
                </c:pt>
                <c:pt idx="653">
                  <c:v>-109</c:v>
                </c:pt>
                <c:pt idx="654">
                  <c:v>-51</c:v>
                </c:pt>
                <c:pt idx="655">
                  <c:v>-42</c:v>
                </c:pt>
                <c:pt idx="656">
                  <c:v>-42</c:v>
                </c:pt>
                <c:pt idx="657">
                  <c:v>-42</c:v>
                </c:pt>
                <c:pt idx="658">
                  <c:v>-34</c:v>
                </c:pt>
                <c:pt idx="659">
                  <c:v>0</c:v>
                </c:pt>
                <c:pt idx="660">
                  <c:v>0</c:v>
                </c:pt>
                <c:pt idx="661">
                  <c:v>-9</c:v>
                </c:pt>
                <c:pt idx="662">
                  <c:v>-9</c:v>
                </c:pt>
                <c:pt idx="663">
                  <c:v>19</c:v>
                </c:pt>
                <c:pt idx="664">
                  <c:v>19</c:v>
                </c:pt>
                <c:pt idx="665">
                  <c:v>17</c:v>
                </c:pt>
                <c:pt idx="666">
                  <c:v>-65</c:v>
                </c:pt>
                <c:pt idx="667">
                  <c:v>-65</c:v>
                </c:pt>
                <c:pt idx="668">
                  <c:v>-65</c:v>
                </c:pt>
                <c:pt idx="669">
                  <c:v>-53</c:v>
                </c:pt>
                <c:pt idx="670">
                  <c:v>-53</c:v>
                </c:pt>
                <c:pt idx="671">
                  <c:v>-20</c:v>
                </c:pt>
                <c:pt idx="672">
                  <c:v>-20</c:v>
                </c:pt>
                <c:pt idx="673">
                  <c:v>-66</c:v>
                </c:pt>
                <c:pt idx="674">
                  <c:v>-74</c:v>
                </c:pt>
                <c:pt idx="675">
                  <c:v>-97</c:v>
                </c:pt>
                <c:pt idx="676">
                  <c:v>-121</c:v>
                </c:pt>
                <c:pt idx="677">
                  <c:v>-121</c:v>
                </c:pt>
                <c:pt idx="678">
                  <c:v>-112</c:v>
                </c:pt>
                <c:pt idx="679">
                  <c:v>-99</c:v>
                </c:pt>
                <c:pt idx="680">
                  <c:v>-99</c:v>
                </c:pt>
                <c:pt idx="681">
                  <c:v>-99</c:v>
                </c:pt>
                <c:pt idx="682">
                  <c:v>-96</c:v>
                </c:pt>
                <c:pt idx="683">
                  <c:v>-96</c:v>
                </c:pt>
                <c:pt idx="684">
                  <c:v>-94</c:v>
                </c:pt>
                <c:pt idx="685">
                  <c:v>-91</c:v>
                </c:pt>
                <c:pt idx="686">
                  <c:v>-86</c:v>
                </c:pt>
                <c:pt idx="687">
                  <c:v>-79</c:v>
                </c:pt>
                <c:pt idx="688">
                  <c:v>26</c:v>
                </c:pt>
                <c:pt idx="689">
                  <c:v>107</c:v>
                </c:pt>
                <c:pt idx="690">
                  <c:v>133</c:v>
                </c:pt>
                <c:pt idx="691">
                  <c:v>133</c:v>
                </c:pt>
                <c:pt idx="692">
                  <c:v>133</c:v>
                </c:pt>
                <c:pt idx="693">
                  <c:v>7</c:v>
                </c:pt>
                <c:pt idx="694">
                  <c:v>-71</c:v>
                </c:pt>
                <c:pt idx="695">
                  <c:v>-71</c:v>
                </c:pt>
                <c:pt idx="696">
                  <c:v>-74</c:v>
                </c:pt>
                <c:pt idx="697">
                  <c:v>-78</c:v>
                </c:pt>
                <c:pt idx="698">
                  <c:v>-78</c:v>
                </c:pt>
                <c:pt idx="699">
                  <c:v>-78</c:v>
                </c:pt>
                <c:pt idx="700">
                  <c:v>-63</c:v>
                </c:pt>
                <c:pt idx="701">
                  <c:v>-86</c:v>
                </c:pt>
                <c:pt idx="702">
                  <c:v>-97</c:v>
                </c:pt>
                <c:pt idx="703">
                  <c:v>-106</c:v>
                </c:pt>
                <c:pt idx="704">
                  <c:v>-138</c:v>
                </c:pt>
                <c:pt idx="705">
                  <c:v>-138</c:v>
                </c:pt>
                <c:pt idx="706">
                  <c:v>-130</c:v>
                </c:pt>
                <c:pt idx="707">
                  <c:v>-84</c:v>
                </c:pt>
                <c:pt idx="708">
                  <c:v>-37</c:v>
                </c:pt>
                <c:pt idx="709">
                  <c:v>-37</c:v>
                </c:pt>
                <c:pt idx="710">
                  <c:v>-29</c:v>
                </c:pt>
                <c:pt idx="711">
                  <c:v>-40</c:v>
                </c:pt>
                <c:pt idx="712">
                  <c:v>-46</c:v>
                </c:pt>
                <c:pt idx="713">
                  <c:v>-46</c:v>
                </c:pt>
                <c:pt idx="714">
                  <c:v>-52</c:v>
                </c:pt>
                <c:pt idx="715">
                  <c:v>-52</c:v>
                </c:pt>
                <c:pt idx="716">
                  <c:v>-59</c:v>
                </c:pt>
                <c:pt idx="717">
                  <c:v>-59</c:v>
                </c:pt>
                <c:pt idx="718">
                  <c:v>-56</c:v>
                </c:pt>
                <c:pt idx="719">
                  <c:v>-41</c:v>
                </c:pt>
                <c:pt idx="720">
                  <c:v>-29</c:v>
                </c:pt>
                <c:pt idx="721">
                  <c:v>-28</c:v>
                </c:pt>
                <c:pt idx="722">
                  <c:v>24</c:v>
                </c:pt>
                <c:pt idx="723">
                  <c:v>30</c:v>
                </c:pt>
                <c:pt idx="724">
                  <c:v>83</c:v>
                </c:pt>
                <c:pt idx="725">
                  <c:v>83</c:v>
                </c:pt>
                <c:pt idx="726">
                  <c:v>-12</c:v>
                </c:pt>
                <c:pt idx="727">
                  <c:v>-41</c:v>
                </c:pt>
                <c:pt idx="728">
                  <c:v>-90</c:v>
                </c:pt>
                <c:pt idx="729">
                  <c:v>-96</c:v>
                </c:pt>
                <c:pt idx="730">
                  <c:v>-104</c:v>
                </c:pt>
                <c:pt idx="731">
                  <c:v>-104</c:v>
                </c:pt>
                <c:pt idx="732">
                  <c:v>-92</c:v>
                </c:pt>
                <c:pt idx="733">
                  <c:v>-79</c:v>
                </c:pt>
                <c:pt idx="734">
                  <c:v>-79</c:v>
                </c:pt>
                <c:pt idx="735">
                  <c:v>-112</c:v>
                </c:pt>
                <c:pt idx="736">
                  <c:v>-127</c:v>
                </c:pt>
                <c:pt idx="737">
                  <c:v>-140</c:v>
                </c:pt>
                <c:pt idx="738">
                  <c:v>-140</c:v>
                </c:pt>
                <c:pt idx="739">
                  <c:v>-139</c:v>
                </c:pt>
                <c:pt idx="740">
                  <c:v>-114</c:v>
                </c:pt>
                <c:pt idx="741">
                  <c:v>-114</c:v>
                </c:pt>
                <c:pt idx="742">
                  <c:v>-92</c:v>
                </c:pt>
                <c:pt idx="743">
                  <c:v>-63</c:v>
                </c:pt>
                <c:pt idx="744">
                  <c:v>-35</c:v>
                </c:pt>
                <c:pt idx="745">
                  <c:v>-23</c:v>
                </c:pt>
                <c:pt idx="746">
                  <c:v>-21</c:v>
                </c:pt>
                <c:pt idx="747">
                  <c:v>-1</c:v>
                </c:pt>
                <c:pt idx="748">
                  <c:v>93</c:v>
                </c:pt>
                <c:pt idx="749">
                  <c:v>97</c:v>
                </c:pt>
                <c:pt idx="750">
                  <c:v>104</c:v>
                </c:pt>
                <c:pt idx="751">
                  <c:v>104</c:v>
                </c:pt>
                <c:pt idx="752">
                  <c:v>-10</c:v>
                </c:pt>
                <c:pt idx="753">
                  <c:v>-100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offset_qbo_all_terms_70hPa!$C$2</c:f>
              <c:strCache>
                <c:ptCount val="1"/>
                <c:pt idx="0">
                  <c:v>Model</c:v>
                </c:pt>
              </c:strCache>
            </c:strRef>
          </c:tx>
          <c:spPr>
            <a:ln w="158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offset_qbo_all_terms_70hPa!$A$3:$A$756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offset_qbo_all_terms_70hPa!$C$3:$C$756</c:f>
              <c:numCache>
                <c:formatCode>General</c:formatCode>
                <c:ptCount val="754"/>
                <c:pt idx="0">
                  <c:v>-46.767730142981677</c:v>
                </c:pt>
                <c:pt idx="1">
                  <c:v>-48.766606239992129</c:v>
                </c:pt>
                <c:pt idx="2">
                  <c:v>-68.886416574204404</c:v>
                </c:pt>
                <c:pt idx="3">
                  <c:v>-94.684047285960119</c:v>
                </c:pt>
                <c:pt idx="4">
                  <c:v>-116.51510768923734</c:v>
                </c:pt>
                <c:pt idx="5">
                  <c:v>-126.29535974558988</c:v>
                </c:pt>
                <c:pt idx="6">
                  <c:v>-123.82316592516204</c:v>
                </c:pt>
                <c:pt idx="7">
                  <c:v>-115.98877532396673</c:v>
                </c:pt>
                <c:pt idx="8">
                  <c:v>-108.00572694130634</c:v>
                </c:pt>
                <c:pt idx="9">
                  <c:v>-99.154969751342605</c:v>
                </c:pt>
                <c:pt idx="10">
                  <c:v>-87.83705205465462</c:v>
                </c:pt>
                <c:pt idx="11">
                  <c:v>-73.208322290785972</c:v>
                </c:pt>
                <c:pt idx="12">
                  <c:v>-65.041780779577962</c:v>
                </c:pt>
                <c:pt idx="13">
                  <c:v>-70.475044550128985</c:v>
                </c:pt>
                <c:pt idx="14">
                  <c:v>-73.008338627437851</c:v>
                </c:pt>
                <c:pt idx="15">
                  <c:v>-67.322473328241813</c:v>
                </c:pt>
                <c:pt idx="16">
                  <c:v>-62.065290816826902</c:v>
                </c:pt>
                <c:pt idx="17">
                  <c:v>-54.317060125599909</c:v>
                </c:pt>
                <c:pt idx="18">
                  <c:v>-41.1639456373196</c:v>
                </c:pt>
                <c:pt idx="19">
                  <c:v>-29.578221256181958</c:v>
                </c:pt>
                <c:pt idx="20">
                  <c:v>-21.310739484691229</c:v>
                </c:pt>
                <c:pt idx="21">
                  <c:v>-20.120762468905813</c:v>
                </c:pt>
                <c:pt idx="22">
                  <c:v>-21.31682599263269</c:v>
                </c:pt>
                <c:pt idx="23">
                  <c:v>-10.999327736449434</c:v>
                </c:pt>
                <c:pt idx="24">
                  <c:v>2.8693608558938806</c:v>
                </c:pt>
                <c:pt idx="25">
                  <c:v>11.411904736380244</c:v>
                </c:pt>
                <c:pt idx="26">
                  <c:v>18.872956760875773</c:v>
                </c:pt>
                <c:pt idx="27">
                  <c:v>2.5502453245444947</c:v>
                </c:pt>
                <c:pt idx="28">
                  <c:v>-30.987890437326012</c:v>
                </c:pt>
                <c:pt idx="29">
                  <c:v>-49.524729359007765</c:v>
                </c:pt>
                <c:pt idx="30">
                  <c:v>-55.435894880750794</c:v>
                </c:pt>
                <c:pt idx="31">
                  <c:v>-62.980066130120093</c:v>
                </c:pt>
                <c:pt idx="32">
                  <c:v>-79.385121576285101</c:v>
                </c:pt>
                <c:pt idx="33">
                  <c:v>-99.027733033337284</c:v>
                </c:pt>
                <c:pt idx="34">
                  <c:v>-109.03941159458327</c:v>
                </c:pt>
                <c:pt idx="35">
                  <c:v>-108.79833354723567</c:v>
                </c:pt>
                <c:pt idx="36">
                  <c:v>-109.3062324732843</c:v>
                </c:pt>
                <c:pt idx="37">
                  <c:v>-113.92336545196363</c:v>
                </c:pt>
                <c:pt idx="38">
                  <c:v>-117.16094665539543</c:v>
                </c:pt>
                <c:pt idx="39">
                  <c:v>-117.23697011219778</c:v>
                </c:pt>
                <c:pt idx="40">
                  <c:v>-111.49880138773722</c:v>
                </c:pt>
                <c:pt idx="41">
                  <c:v>-98.395362201787492</c:v>
                </c:pt>
                <c:pt idx="42">
                  <c:v>-82.956339743822028</c:v>
                </c:pt>
                <c:pt idx="43">
                  <c:v>-69.765267883522256</c:v>
                </c:pt>
                <c:pt idx="44">
                  <c:v>-61.588633513982813</c:v>
                </c:pt>
                <c:pt idx="45">
                  <c:v>-54.200824068310382</c:v>
                </c:pt>
                <c:pt idx="46">
                  <c:v>-26.903908160792223</c:v>
                </c:pt>
                <c:pt idx="47">
                  <c:v>33.511176018200956</c:v>
                </c:pt>
                <c:pt idx="48">
                  <c:v>75.789155436642375</c:v>
                </c:pt>
                <c:pt idx="49">
                  <c:v>90.946002463551793</c:v>
                </c:pt>
                <c:pt idx="50">
                  <c:v>87.547676732682689</c:v>
                </c:pt>
                <c:pt idx="51">
                  <c:v>49.645444303415069</c:v>
                </c:pt>
                <c:pt idx="52">
                  <c:v>-20.261058561714851</c:v>
                </c:pt>
                <c:pt idx="53">
                  <c:v>-59.741298504450839</c:v>
                </c:pt>
                <c:pt idx="54">
                  <c:v>-74.158351180522033</c:v>
                </c:pt>
                <c:pt idx="55">
                  <c:v>-73.38909612831624</c:v>
                </c:pt>
                <c:pt idx="56">
                  <c:v>-75.40197988524406</c:v>
                </c:pt>
                <c:pt idx="57">
                  <c:v>-83.334083417230048</c:v>
                </c:pt>
                <c:pt idx="58">
                  <c:v>-82.198889840176946</c:v>
                </c:pt>
                <c:pt idx="59">
                  <c:v>-72.252059254986889</c:v>
                </c:pt>
                <c:pt idx="60">
                  <c:v>-67.171201096865744</c:v>
                </c:pt>
                <c:pt idx="61">
                  <c:v>-76.655944511090908</c:v>
                </c:pt>
                <c:pt idx="62">
                  <c:v>-98.507062997413186</c:v>
                </c:pt>
                <c:pt idx="63">
                  <c:v>-117.23499787063002</c:v>
                </c:pt>
                <c:pt idx="64">
                  <c:v>-124.21626881242631</c:v>
                </c:pt>
                <c:pt idx="65">
                  <c:v>-120.2132231768222</c:v>
                </c:pt>
                <c:pt idx="66">
                  <c:v>-105.39944166848466</c:v>
                </c:pt>
                <c:pt idx="67">
                  <c:v>-84.407104886662722</c:v>
                </c:pt>
                <c:pt idx="68">
                  <c:v>-74.966243135980321</c:v>
                </c:pt>
                <c:pt idx="69">
                  <c:v>-74.880350161839402</c:v>
                </c:pt>
                <c:pt idx="70">
                  <c:v>-65.896672028347737</c:v>
                </c:pt>
                <c:pt idx="71">
                  <c:v>-47.76216072755193</c:v>
                </c:pt>
                <c:pt idx="72">
                  <c:v>-24.757324167995886</c:v>
                </c:pt>
                <c:pt idx="73">
                  <c:v>3.2101886799456167</c:v>
                </c:pt>
                <c:pt idx="74">
                  <c:v>30.562144100535438</c:v>
                </c:pt>
                <c:pt idx="75">
                  <c:v>52.158282356027563</c:v>
                </c:pt>
                <c:pt idx="76">
                  <c:v>58.794332625047126</c:v>
                </c:pt>
                <c:pt idx="77">
                  <c:v>49.894541318204567</c:v>
                </c:pt>
                <c:pt idx="78">
                  <c:v>48.357787704279474</c:v>
                </c:pt>
                <c:pt idx="79">
                  <c:v>43.809140206667763</c:v>
                </c:pt>
                <c:pt idx="80">
                  <c:v>-4.6364797615218087</c:v>
                </c:pt>
                <c:pt idx="81">
                  <c:v>-56.530129517591021</c:v>
                </c:pt>
                <c:pt idx="82">
                  <c:v>-87.161621619302664</c:v>
                </c:pt>
                <c:pt idx="83">
                  <c:v>-101.72031354602132</c:v>
                </c:pt>
                <c:pt idx="84">
                  <c:v>-104.80061904988062</c:v>
                </c:pt>
                <c:pt idx="85">
                  <c:v>-105.09844736739217</c:v>
                </c:pt>
                <c:pt idx="86">
                  <c:v>-110.43327385996164</c:v>
                </c:pt>
                <c:pt idx="87">
                  <c:v>-118.80912453820235</c:v>
                </c:pt>
                <c:pt idx="88">
                  <c:v>-126.31888763403722</c:v>
                </c:pt>
                <c:pt idx="89">
                  <c:v>-127.49194684232947</c:v>
                </c:pt>
                <c:pt idx="90">
                  <c:v>-117.65421198103272</c:v>
                </c:pt>
                <c:pt idx="91">
                  <c:v>-102.037118023289</c:v>
                </c:pt>
                <c:pt idx="92">
                  <c:v>-92.193193485952648</c:v>
                </c:pt>
                <c:pt idx="93">
                  <c:v>-84.947821558155027</c:v>
                </c:pt>
                <c:pt idx="94">
                  <c:v>-69.785950872114668</c:v>
                </c:pt>
                <c:pt idx="95">
                  <c:v>-36.986740676214339</c:v>
                </c:pt>
                <c:pt idx="96">
                  <c:v>19.444778883693203</c:v>
                </c:pt>
                <c:pt idx="97">
                  <c:v>62.008873497644728</c:v>
                </c:pt>
                <c:pt idx="98">
                  <c:v>75.124352505212769</c:v>
                </c:pt>
                <c:pt idx="99">
                  <c:v>76.65545957763949</c:v>
                </c:pt>
                <c:pt idx="100">
                  <c:v>54.540247649105581</c:v>
                </c:pt>
                <c:pt idx="101">
                  <c:v>12.312559534738671</c:v>
                </c:pt>
                <c:pt idx="102">
                  <c:v>-8.7750552970141378</c:v>
                </c:pt>
                <c:pt idx="103">
                  <c:v>-19.477175718088457</c:v>
                </c:pt>
                <c:pt idx="104">
                  <c:v>-26.972824592909756</c:v>
                </c:pt>
                <c:pt idx="105">
                  <c:v>-30.403004604615166</c:v>
                </c:pt>
                <c:pt idx="106">
                  <c:v>-34.562462177626529</c:v>
                </c:pt>
                <c:pt idx="107">
                  <c:v>-36.1864040762988</c:v>
                </c:pt>
                <c:pt idx="108">
                  <c:v>-39.557619627238608</c:v>
                </c:pt>
                <c:pt idx="109">
                  <c:v>-54.572377411021549</c:v>
                </c:pt>
                <c:pt idx="110">
                  <c:v>-75.275114619439364</c:v>
                </c:pt>
                <c:pt idx="111">
                  <c:v>-99.676665905403723</c:v>
                </c:pt>
                <c:pt idx="112">
                  <c:v>-122.36917127585002</c:v>
                </c:pt>
                <c:pt idx="113">
                  <c:v>-133.46367501391197</c:v>
                </c:pt>
                <c:pt idx="114">
                  <c:v>-132.96833233543745</c:v>
                </c:pt>
                <c:pt idx="115">
                  <c:v>-126.01459595307756</c:v>
                </c:pt>
                <c:pt idx="116">
                  <c:v>-117.41655425697201</c:v>
                </c:pt>
                <c:pt idx="117">
                  <c:v>-110.91656183100622</c:v>
                </c:pt>
                <c:pt idx="118">
                  <c:v>-104.34024645514978</c:v>
                </c:pt>
                <c:pt idx="119">
                  <c:v>-91.815124258279653</c:v>
                </c:pt>
                <c:pt idx="120">
                  <c:v>-79.316331393345607</c:v>
                </c:pt>
                <c:pt idx="121">
                  <c:v>-74.271270640304081</c:v>
                </c:pt>
                <c:pt idx="122">
                  <c:v>-66.235639757805686</c:v>
                </c:pt>
                <c:pt idx="123">
                  <c:v>-48.349085672220923</c:v>
                </c:pt>
                <c:pt idx="124">
                  <c:v>-14.439074323155328</c:v>
                </c:pt>
                <c:pt idx="125">
                  <c:v>54.364564254854969</c:v>
                </c:pt>
                <c:pt idx="126">
                  <c:v>98.350384153349552</c:v>
                </c:pt>
                <c:pt idx="127">
                  <c:v>110.37698661944235</c:v>
                </c:pt>
                <c:pt idx="128">
                  <c:v>102.36541316988398</c:v>
                </c:pt>
                <c:pt idx="129">
                  <c:v>73.418970800920576</c:v>
                </c:pt>
                <c:pt idx="130">
                  <c:v>29.024169550524292</c:v>
                </c:pt>
                <c:pt idx="131">
                  <c:v>-5.7154686172582423</c:v>
                </c:pt>
                <c:pt idx="132">
                  <c:v>-35.970827480255977</c:v>
                </c:pt>
                <c:pt idx="133">
                  <c:v>-55.92720244600531</c:v>
                </c:pt>
                <c:pt idx="134">
                  <c:v>-61.295982353230556</c:v>
                </c:pt>
                <c:pt idx="135">
                  <c:v>-68.16781017169815</c:v>
                </c:pt>
                <c:pt idx="136">
                  <c:v>-82.261399940115737</c:v>
                </c:pt>
                <c:pt idx="137">
                  <c:v>-95.329827879430582</c:v>
                </c:pt>
                <c:pt idx="138">
                  <c:v>-104.05135365356574</c:v>
                </c:pt>
                <c:pt idx="139">
                  <c:v>-108.01705115666098</c:v>
                </c:pt>
                <c:pt idx="140">
                  <c:v>-111.3491111705446</c:v>
                </c:pt>
                <c:pt idx="141">
                  <c:v>-115.51015771387722</c:v>
                </c:pt>
                <c:pt idx="142">
                  <c:v>-112.44688519616281</c:v>
                </c:pt>
                <c:pt idx="143">
                  <c:v>-98.836783504887876</c:v>
                </c:pt>
                <c:pt idx="144">
                  <c:v>-82.874004086404668</c:v>
                </c:pt>
                <c:pt idx="145">
                  <c:v>-74.234389996523376</c:v>
                </c:pt>
                <c:pt idx="146">
                  <c:v>-79.088203308739878</c:v>
                </c:pt>
                <c:pt idx="147">
                  <c:v>-93.117764522244244</c:v>
                </c:pt>
                <c:pt idx="148">
                  <c:v>-101.3240400669097</c:v>
                </c:pt>
                <c:pt idx="149">
                  <c:v>-99.046957896992751</c:v>
                </c:pt>
                <c:pt idx="150">
                  <c:v>-88.742332576061116</c:v>
                </c:pt>
                <c:pt idx="151">
                  <c:v>-74.545955061102873</c:v>
                </c:pt>
                <c:pt idx="152">
                  <c:v>-66.501097424240896</c:v>
                </c:pt>
                <c:pt idx="153">
                  <c:v>-59.4564008132281</c:v>
                </c:pt>
                <c:pt idx="154">
                  <c:v>-28.836590034862493</c:v>
                </c:pt>
                <c:pt idx="155">
                  <c:v>33.230310711221492</c:v>
                </c:pt>
                <c:pt idx="156">
                  <c:v>69.187122048671725</c:v>
                </c:pt>
                <c:pt idx="157">
                  <c:v>72.576773957009578</c:v>
                </c:pt>
                <c:pt idx="158">
                  <c:v>55.286399345317406</c:v>
                </c:pt>
                <c:pt idx="159">
                  <c:v>19.615634211103266</c:v>
                </c:pt>
                <c:pt idx="160">
                  <c:v>-11.813329253933841</c:v>
                </c:pt>
                <c:pt idx="161">
                  <c:v>-35.895147540504482</c:v>
                </c:pt>
                <c:pt idx="162">
                  <c:v>-47.346522160407801</c:v>
                </c:pt>
                <c:pt idx="163">
                  <c:v>-48.888148966597811</c:v>
                </c:pt>
                <c:pt idx="164">
                  <c:v>-58.997043121246094</c:v>
                </c:pt>
                <c:pt idx="165">
                  <c:v>-73.657499746933468</c:v>
                </c:pt>
                <c:pt idx="166">
                  <c:v>-79.297738165137091</c:v>
                </c:pt>
                <c:pt idx="167">
                  <c:v>-78.673684838086984</c:v>
                </c:pt>
                <c:pt idx="168">
                  <c:v>-76.178386643641517</c:v>
                </c:pt>
                <c:pt idx="169">
                  <c:v>-77.428732879283203</c:v>
                </c:pt>
                <c:pt idx="170">
                  <c:v>-89.98940001033418</c:v>
                </c:pt>
                <c:pt idx="171">
                  <c:v>-105.54412732631405</c:v>
                </c:pt>
                <c:pt idx="172">
                  <c:v>-114.53213011525898</c:v>
                </c:pt>
                <c:pt idx="173">
                  <c:v>-113.50684577964805</c:v>
                </c:pt>
                <c:pt idx="174">
                  <c:v>-98.726652403339159</c:v>
                </c:pt>
                <c:pt idx="175">
                  <c:v>-77.88683165285174</c:v>
                </c:pt>
                <c:pt idx="176">
                  <c:v>-76.403695022347009</c:v>
                </c:pt>
                <c:pt idx="177">
                  <c:v>-88.613697535242096</c:v>
                </c:pt>
                <c:pt idx="178">
                  <c:v>-94.868109218764261</c:v>
                </c:pt>
                <c:pt idx="179">
                  <c:v>-93.128690975860764</c:v>
                </c:pt>
                <c:pt idx="180">
                  <c:v>-86.297354663457853</c:v>
                </c:pt>
                <c:pt idx="181">
                  <c:v>-80.993251259042154</c:v>
                </c:pt>
                <c:pt idx="182">
                  <c:v>-78.484744047373354</c:v>
                </c:pt>
                <c:pt idx="183">
                  <c:v>-69.909843360601812</c:v>
                </c:pt>
                <c:pt idx="184">
                  <c:v>-55.140632058433269</c:v>
                </c:pt>
                <c:pt idx="185">
                  <c:v>-35.449044329789515</c:v>
                </c:pt>
                <c:pt idx="186">
                  <c:v>-0.70914663438775705</c:v>
                </c:pt>
                <c:pt idx="187">
                  <c:v>32.913679291918612</c:v>
                </c:pt>
                <c:pt idx="188">
                  <c:v>31.503349044413934</c:v>
                </c:pt>
                <c:pt idx="189">
                  <c:v>18.573391613606404</c:v>
                </c:pt>
                <c:pt idx="190">
                  <c:v>14.245935186182358</c:v>
                </c:pt>
                <c:pt idx="191">
                  <c:v>24.570004646414581</c:v>
                </c:pt>
                <c:pt idx="192">
                  <c:v>49.018751196388841</c:v>
                </c:pt>
                <c:pt idx="193">
                  <c:v>57.107706638516788</c:v>
                </c:pt>
                <c:pt idx="194">
                  <c:v>32.024366022421503</c:v>
                </c:pt>
                <c:pt idx="195">
                  <c:v>-27.897351702547869</c:v>
                </c:pt>
                <c:pt idx="196">
                  <c:v>-82.279365207028121</c:v>
                </c:pt>
                <c:pt idx="197">
                  <c:v>-110.34263396938391</c:v>
                </c:pt>
                <c:pt idx="198">
                  <c:v>-117.03502811607964</c:v>
                </c:pt>
                <c:pt idx="199">
                  <c:v>-115.37023111098151</c:v>
                </c:pt>
                <c:pt idx="200">
                  <c:v>-114.74657820055961</c:v>
                </c:pt>
                <c:pt idx="201">
                  <c:v>-116.20113518447559</c:v>
                </c:pt>
                <c:pt idx="202">
                  <c:v>-116.13544844046191</c:v>
                </c:pt>
                <c:pt idx="203">
                  <c:v>-109.27070638855596</c:v>
                </c:pt>
                <c:pt idx="204">
                  <c:v>-97.137863803343677</c:v>
                </c:pt>
                <c:pt idx="205">
                  <c:v>-89.690198765458049</c:v>
                </c:pt>
                <c:pt idx="206">
                  <c:v>-87.330233841723441</c:v>
                </c:pt>
                <c:pt idx="207">
                  <c:v>-86.23561917311136</c:v>
                </c:pt>
                <c:pt idx="208">
                  <c:v>-85.516933806667367</c:v>
                </c:pt>
                <c:pt idx="209">
                  <c:v>-76.028236902933443</c:v>
                </c:pt>
                <c:pt idx="210">
                  <c:v>-54.006108874799139</c:v>
                </c:pt>
                <c:pt idx="211">
                  <c:v>-32.280273899593581</c:v>
                </c:pt>
                <c:pt idx="212">
                  <c:v>-19.421700067323261</c:v>
                </c:pt>
                <c:pt idx="213">
                  <c:v>-12.093862934068429</c:v>
                </c:pt>
                <c:pt idx="214">
                  <c:v>-1.6151845418937754</c:v>
                </c:pt>
                <c:pt idx="215">
                  <c:v>22.582619937241383</c:v>
                </c:pt>
                <c:pt idx="216">
                  <c:v>41.251897303566928</c:v>
                </c:pt>
                <c:pt idx="217">
                  <c:v>42.809099620682545</c:v>
                </c:pt>
                <c:pt idx="218">
                  <c:v>45.831179580148344</c:v>
                </c:pt>
                <c:pt idx="219">
                  <c:v>27.552028131349136</c:v>
                </c:pt>
                <c:pt idx="220">
                  <c:v>-23.003103795415516</c:v>
                </c:pt>
                <c:pt idx="221">
                  <c:v>-58.742261928247089</c:v>
                </c:pt>
                <c:pt idx="222">
                  <c:v>-74.234460684217368</c:v>
                </c:pt>
                <c:pt idx="223">
                  <c:v>-78.389428897176202</c:v>
                </c:pt>
                <c:pt idx="224">
                  <c:v>-80.556061904130388</c:v>
                </c:pt>
                <c:pt idx="225">
                  <c:v>-90.02576995071199</c:v>
                </c:pt>
                <c:pt idx="226">
                  <c:v>-100.7141217548901</c:v>
                </c:pt>
                <c:pt idx="227">
                  <c:v>-106.1426643293774</c:v>
                </c:pt>
                <c:pt idx="228">
                  <c:v>-111.37267086192762</c:v>
                </c:pt>
                <c:pt idx="229">
                  <c:v>-117.28363209431146</c:v>
                </c:pt>
                <c:pt idx="230">
                  <c:v>-120.98653448676725</c:v>
                </c:pt>
                <c:pt idx="231">
                  <c:v>-123.29034755704404</c:v>
                </c:pt>
                <c:pt idx="232">
                  <c:v>-120.82190229211213</c:v>
                </c:pt>
                <c:pt idx="233">
                  <c:v>-107.66269972213499</c:v>
                </c:pt>
                <c:pt idx="234">
                  <c:v>-82.470777276637321</c:v>
                </c:pt>
                <c:pt idx="235">
                  <c:v>-49.393337653084927</c:v>
                </c:pt>
                <c:pt idx="236">
                  <c:v>-23.131276871462457</c:v>
                </c:pt>
                <c:pt idx="237">
                  <c:v>-10.392205613413136</c:v>
                </c:pt>
                <c:pt idx="238">
                  <c:v>22.060089256622391</c:v>
                </c:pt>
                <c:pt idx="239">
                  <c:v>72.69352295593626</c:v>
                </c:pt>
                <c:pt idx="240">
                  <c:v>92.08839143061185</c:v>
                </c:pt>
                <c:pt idx="241">
                  <c:v>94.622500997521115</c:v>
                </c:pt>
                <c:pt idx="242">
                  <c:v>91.574755603348933</c:v>
                </c:pt>
                <c:pt idx="243">
                  <c:v>75.989973414780124</c:v>
                </c:pt>
                <c:pt idx="244">
                  <c:v>36.854072923696407</c:v>
                </c:pt>
                <c:pt idx="245">
                  <c:v>-23.259221538454195</c:v>
                </c:pt>
                <c:pt idx="246">
                  <c:v>-65.454318137543083</c:v>
                </c:pt>
                <c:pt idx="247">
                  <c:v>-87.947932769240225</c:v>
                </c:pt>
                <c:pt idx="248">
                  <c:v>-101.41322072237034</c:v>
                </c:pt>
                <c:pt idx="249">
                  <c:v>-109.48479508531639</c:v>
                </c:pt>
                <c:pt idx="250">
                  <c:v>-108.57512456803138</c:v>
                </c:pt>
                <c:pt idx="251">
                  <c:v>-102.63547650559013</c:v>
                </c:pt>
                <c:pt idx="252">
                  <c:v>-99.560426913924061</c:v>
                </c:pt>
                <c:pt idx="253">
                  <c:v>-101.01805183473954</c:v>
                </c:pt>
                <c:pt idx="254">
                  <c:v>-108.84855250802102</c:v>
                </c:pt>
                <c:pt idx="255">
                  <c:v>-119.64851115233594</c:v>
                </c:pt>
                <c:pt idx="256">
                  <c:v>-125.26781911254335</c:v>
                </c:pt>
                <c:pt idx="257">
                  <c:v>-122.24342388992761</c:v>
                </c:pt>
                <c:pt idx="258">
                  <c:v>-107.65939430780972</c:v>
                </c:pt>
                <c:pt idx="259">
                  <c:v>-82.597378090867835</c:v>
                </c:pt>
                <c:pt idx="260">
                  <c:v>-65.980183766603233</c:v>
                </c:pt>
                <c:pt idx="261">
                  <c:v>-62.500859558258767</c:v>
                </c:pt>
                <c:pt idx="262">
                  <c:v>-48.681423163843888</c:v>
                </c:pt>
                <c:pt idx="263">
                  <c:v>-17.913618353073506</c:v>
                </c:pt>
                <c:pt idx="264">
                  <c:v>21.238768358029791</c:v>
                </c:pt>
                <c:pt idx="265">
                  <c:v>50.423935139411626</c:v>
                </c:pt>
                <c:pt idx="266">
                  <c:v>60.371187558091343</c:v>
                </c:pt>
                <c:pt idx="267">
                  <c:v>74.070236887893543</c:v>
                </c:pt>
                <c:pt idx="268">
                  <c:v>93.362846766795968</c:v>
                </c:pt>
                <c:pt idx="269">
                  <c:v>103.15379814403992</c:v>
                </c:pt>
                <c:pt idx="270">
                  <c:v>101.95118731202403</c:v>
                </c:pt>
                <c:pt idx="271">
                  <c:v>79.334110279038512</c:v>
                </c:pt>
                <c:pt idx="272">
                  <c:v>0.96653931104767565</c:v>
                </c:pt>
                <c:pt idx="273">
                  <c:v>-57.311321109731978</c:v>
                </c:pt>
                <c:pt idx="274">
                  <c:v>-79.208633307454505</c:v>
                </c:pt>
                <c:pt idx="275">
                  <c:v>-86.881489534656978</c:v>
                </c:pt>
                <c:pt idx="276">
                  <c:v>-89.030049832063995</c:v>
                </c:pt>
                <c:pt idx="277">
                  <c:v>-93.696991916940078</c:v>
                </c:pt>
                <c:pt idx="278">
                  <c:v>-106.32995415563425</c:v>
                </c:pt>
                <c:pt idx="279">
                  <c:v>-122.06254122147323</c:v>
                </c:pt>
                <c:pt idx="280">
                  <c:v>-136.07570901590628</c:v>
                </c:pt>
                <c:pt idx="281">
                  <c:v>-143.46739325561452</c:v>
                </c:pt>
                <c:pt idx="282">
                  <c:v>-140.67294251856646</c:v>
                </c:pt>
                <c:pt idx="283">
                  <c:v>-129.85783926465308</c:v>
                </c:pt>
                <c:pt idx="284">
                  <c:v>-117.19452109542121</c:v>
                </c:pt>
                <c:pt idx="285">
                  <c:v>-103.68444229568982</c:v>
                </c:pt>
                <c:pt idx="286">
                  <c:v>-84.956286940114623</c:v>
                </c:pt>
                <c:pt idx="287">
                  <c:v>-54.666681589008391</c:v>
                </c:pt>
                <c:pt idx="288">
                  <c:v>-11.750435373607505</c:v>
                </c:pt>
                <c:pt idx="289">
                  <c:v>9.9963684102005779</c:v>
                </c:pt>
                <c:pt idx="290">
                  <c:v>-5.6575380060584628</c:v>
                </c:pt>
                <c:pt idx="291">
                  <c:v>-22.276757652749833</c:v>
                </c:pt>
                <c:pt idx="292">
                  <c:v>-24.387533697460153</c:v>
                </c:pt>
                <c:pt idx="293">
                  <c:v>5.6934648857292878</c:v>
                </c:pt>
                <c:pt idx="294">
                  <c:v>74.215561531675192</c:v>
                </c:pt>
                <c:pt idx="295">
                  <c:v>102.76094059304121</c:v>
                </c:pt>
                <c:pt idx="296">
                  <c:v>96.682727190280929</c:v>
                </c:pt>
                <c:pt idx="297">
                  <c:v>68.959717567127925</c:v>
                </c:pt>
                <c:pt idx="298">
                  <c:v>29.184563204514792</c:v>
                </c:pt>
                <c:pt idx="299">
                  <c:v>7.7750436494884454</c:v>
                </c:pt>
                <c:pt idx="300">
                  <c:v>4.5302051907411283</c:v>
                </c:pt>
                <c:pt idx="301">
                  <c:v>-0.96485945324042177</c:v>
                </c:pt>
                <c:pt idx="302">
                  <c:v>-6.5121191558354532</c:v>
                </c:pt>
                <c:pt idx="303">
                  <c:v>-25.103045630245706</c:v>
                </c:pt>
                <c:pt idx="304">
                  <c:v>-65.023746544818465</c:v>
                </c:pt>
                <c:pt idx="305">
                  <c:v>-96.378829755309212</c:v>
                </c:pt>
                <c:pt idx="306">
                  <c:v>-111.84882457831171</c:v>
                </c:pt>
                <c:pt idx="307">
                  <c:v>-119.71655751024889</c:v>
                </c:pt>
                <c:pt idx="308">
                  <c:v>-124.718118266668</c:v>
                </c:pt>
                <c:pt idx="309">
                  <c:v>-129.04882055858332</c:v>
                </c:pt>
                <c:pt idx="310">
                  <c:v>-131.49484539678855</c:v>
                </c:pt>
                <c:pt idx="311">
                  <c:v>-128.36308288385305</c:v>
                </c:pt>
                <c:pt idx="312">
                  <c:v>-121.48607789808753</c:v>
                </c:pt>
                <c:pt idx="313">
                  <c:v>-116.0640735780766</c:v>
                </c:pt>
                <c:pt idx="314">
                  <c:v>-113.0994499275389</c:v>
                </c:pt>
                <c:pt idx="315">
                  <c:v>-113.85546866558494</c:v>
                </c:pt>
                <c:pt idx="316">
                  <c:v>-114.21342407142214</c:v>
                </c:pt>
                <c:pt idx="317">
                  <c:v>-102.14352293443784</c:v>
                </c:pt>
                <c:pt idx="318">
                  <c:v>-68.181060539989161</c:v>
                </c:pt>
                <c:pt idx="319">
                  <c:v>-9.1214531013393092</c:v>
                </c:pt>
                <c:pt idx="320">
                  <c:v>51.248379689062475</c:v>
                </c:pt>
                <c:pt idx="321">
                  <c:v>64.370294071020226</c:v>
                </c:pt>
                <c:pt idx="322">
                  <c:v>65.512203083482319</c:v>
                </c:pt>
                <c:pt idx="323">
                  <c:v>75.607126409421838</c:v>
                </c:pt>
                <c:pt idx="324">
                  <c:v>78.545948302604856</c:v>
                </c:pt>
                <c:pt idx="325">
                  <c:v>76.963103887201441</c:v>
                </c:pt>
                <c:pt idx="326">
                  <c:v>87.818849976293535</c:v>
                </c:pt>
                <c:pt idx="327">
                  <c:v>97.360654385284207</c:v>
                </c:pt>
                <c:pt idx="328">
                  <c:v>92.961432913829853</c:v>
                </c:pt>
                <c:pt idx="329">
                  <c:v>70.938174040330793</c:v>
                </c:pt>
                <c:pt idx="330">
                  <c:v>16.700236537204827</c:v>
                </c:pt>
                <c:pt idx="331">
                  <c:v>-32.88786188877036</c:v>
                </c:pt>
                <c:pt idx="332">
                  <c:v>-61.507390640232686</c:v>
                </c:pt>
                <c:pt idx="333">
                  <c:v>-79.110616489217222</c:v>
                </c:pt>
                <c:pt idx="334">
                  <c:v>-83.251912942389367</c:v>
                </c:pt>
                <c:pt idx="335">
                  <c:v>-77.545329854492408</c:v>
                </c:pt>
                <c:pt idx="336">
                  <c:v>-75.820412396857876</c:v>
                </c:pt>
                <c:pt idx="337">
                  <c:v>-82.747564613599195</c:v>
                </c:pt>
                <c:pt idx="338">
                  <c:v>-99.203923506794069</c:v>
                </c:pt>
                <c:pt idx="339">
                  <c:v>-122.46903949210702</c:v>
                </c:pt>
                <c:pt idx="340">
                  <c:v>-140.42088970829565</c:v>
                </c:pt>
                <c:pt idx="341">
                  <c:v>-148.89150400893624</c:v>
                </c:pt>
                <c:pt idx="342">
                  <c:v>-148.89651978014584</c:v>
                </c:pt>
                <c:pt idx="343">
                  <c:v>-141.27644690376778</c:v>
                </c:pt>
                <c:pt idx="344">
                  <c:v>-129.37813997057356</c:v>
                </c:pt>
                <c:pt idx="345">
                  <c:v>-115.90378817962653</c:v>
                </c:pt>
                <c:pt idx="346">
                  <c:v>-94.945795924037967</c:v>
                </c:pt>
                <c:pt idx="347">
                  <c:v>-65.866868142532056</c:v>
                </c:pt>
                <c:pt idx="348">
                  <c:v>-45.982082579920899</c:v>
                </c:pt>
                <c:pt idx="349">
                  <c:v>-40.790537730939263</c:v>
                </c:pt>
                <c:pt idx="350">
                  <c:v>-37.02119005353093</c:v>
                </c:pt>
                <c:pt idx="351">
                  <c:v>-13.297579875932559</c:v>
                </c:pt>
                <c:pt idx="352">
                  <c:v>63.131846439498432</c:v>
                </c:pt>
                <c:pt idx="353">
                  <c:v>119.75754155955215</c:v>
                </c:pt>
                <c:pt idx="354">
                  <c:v>145.07473890403168</c:v>
                </c:pt>
                <c:pt idx="355">
                  <c:v>151.90387211965654</c:v>
                </c:pt>
                <c:pt idx="356">
                  <c:v>140.05006852959929</c:v>
                </c:pt>
                <c:pt idx="357">
                  <c:v>108.6561359331056</c:v>
                </c:pt>
                <c:pt idx="358">
                  <c:v>67.241177371524984</c:v>
                </c:pt>
                <c:pt idx="359">
                  <c:v>19.540945618038485</c:v>
                </c:pt>
                <c:pt idx="360">
                  <c:v>-13.496874161670018</c:v>
                </c:pt>
                <c:pt idx="361">
                  <c:v>-26.778029441153397</c:v>
                </c:pt>
                <c:pt idx="362">
                  <c:v>-37.542031043001472</c:v>
                </c:pt>
                <c:pt idx="363">
                  <c:v>-55.646895441901833</c:v>
                </c:pt>
                <c:pt idx="364">
                  <c:v>-80.652292897343571</c:v>
                </c:pt>
                <c:pt idx="365">
                  <c:v>-104.59251878793251</c:v>
                </c:pt>
                <c:pt idx="366">
                  <c:v>-118.44133669203046</c:v>
                </c:pt>
                <c:pt idx="367">
                  <c:v>-125.83854924285242</c:v>
                </c:pt>
                <c:pt idx="368">
                  <c:v>-133.53239489572664</c:v>
                </c:pt>
                <c:pt idx="369">
                  <c:v>-138.56269956374015</c:v>
                </c:pt>
                <c:pt idx="370">
                  <c:v>-136.86446502999627</c:v>
                </c:pt>
                <c:pt idx="371">
                  <c:v>-128.9696742780973</c:v>
                </c:pt>
                <c:pt idx="372">
                  <c:v>-117.58418963690158</c:v>
                </c:pt>
                <c:pt idx="373">
                  <c:v>-110.87083519946179</c:v>
                </c:pt>
                <c:pt idx="374">
                  <c:v>-114.48397603151136</c:v>
                </c:pt>
                <c:pt idx="375">
                  <c:v>-119.42559879789178</c:v>
                </c:pt>
                <c:pt idx="376">
                  <c:v>-118.09861006955572</c:v>
                </c:pt>
                <c:pt idx="377">
                  <c:v>-105.40439020022006</c:v>
                </c:pt>
                <c:pt idx="378">
                  <c:v>-71.167652352016106</c:v>
                </c:pt>
                <c:pt idx="379">
                  <c:v>-13.783057131271836</c:v>
                </c:pt>
                <c:pt idx="380">
                  <c:v>36.904096372540479</c:v>
                </c:pt>
                <c:pt idx="381">
                  <c:v>68.171740328559295</c:v>
                </c:pt>
                <c:pt idx="382">
                  <c:v>97.314076303879531</c:v>
                </c:pt>
                <c:pt idx="383">
                  <c:v>120.23089130675307</c:v>
                </c:pt>
                <c:pt idx="384">
                  <c:v>133.25285914173909</c:v>
                </c:pt>
                <c:pt idx="385">
                  <c:v>133.66354066384233</c:v>
                </c:pt>
                <c:pt idx="386">
                  <c:v>123.98612061964438</c:v>
                </c:pt>
                <c:pt idx="387">
                  <c:v>105.55863100144526</c:v>
                </c:pt>
                <c:pt idx="388">
                  <c:v>60.034897394999106</c:v>
                </c:pt>
                <c:pt idx="389">
                  <c:v>-15.947002440305656</c:v>
                </c:pt>
                <c:pt idx="390">
                  <c:v>-50.343655958018246</c:v>
                </c:pt>
                <c:pt idx="391">
                  <c:v>-69.833803906050377</c:v>
                </c:pt>
                <c:pt idx="392">
                  <c:v>-87.419866725668754</c:v>
                </c:pt>
                <c:pt idx="393">
                  <c:v>-100.16431636324063</c:v>
                </c:pt>
                <c:pt idx="394">
                  <c:v>-106.36129415347932</c:v>
                </c:pt>
                <c:pt idx="395">
                  <c:v>-103.62734920927954</c:v>
                </c:pt>
                <c:pt idx="396">
                  <c:v>-94.814953423652653</c:v>
                </c:pt>
                <c:pt idx="397">
                  <c:v>-92.816408771641065</c:v>
                </c:pt>
                <c:pt idx="398">
                  <c:v>-102.31982725021658</c:v>
                </c:pt>
                <c:pt idx="399">
                  <c:v>-117.17757958779055</c:v>
                </c:pt>
                <c:pt idx="400">
                  <c:v>-129.54990693461045</c:v>
                </c:pt>
                <c:pt idx="401">
                  <c:v>-131.08474981234764</c:v>
                </c:pt>
                <c:pt idx="402">
                  <c:v>-119.399701401751</c:v>
                </c:pt>
                <c:pt idx="403">
                  <c:v>-100.48861591062865</c:v>
                </c:pt>
                <c:pt idx="404">
                  <c:v>-86.252022309544799</c:v>
                </c:pt>
                <c:pt idx="405">
                  <c:v>-83.520679702451631</c:v>
                </c:pt>
                <c:pt idx="406">
                  <c:v>-85.548281319404865</c:v>
                </c:pt>
                <c:pt idx="407">
                  <c:v>-82.521554571818484</c:v>
                </c:pt>
                <c:pt idx="408">
                  <c:v>-79.158550689356204</c:v>
                </c:pt>
                <c:pt idx="409">
                  <c:v>-79.717556964029171</c:v>
                </c:pt>
                <c:pt idx="410">
                  <c:v>-72.537968368536866</c:v>
                </c:pt>
                <c:pt idx="411">
                  <c:v>-52.79154434825476</c:v>
                </c:pt>
                <c:pt idx="412">
                  <c:v>-22.788101177936323</c:v>
                </c:pt>
                <c:pt idx="413">
                  <c:v>29.592010676624199</c:v>
                </c:pt>
                <c:pt idx="414">
                  <c:v>77.214849849209585</c:v>
                </c:pt>
                <c:pt idx="415">
                  <c:v>92.172946933699137</c:v>
                </c:pt>
                <c:pt idx="416">
                  <c:v>84.530410292656114</c:v>
                </c:pt>
                <c:pt idx="417">
                  <c:v>49.043716486678662</c:v>
                </c:pt>
                <c:pt idx="418">
                  <c:v>-2.088782255819055E-2</c:v>
                </c:pt>
                <c:pt idx="419">
                  <c:v>-13.643680712429987</c:v>
                </c:pt>
                <c:pt idx="420">
                  <c:v>-7.1557747840047874</c:v>
                </c:pt>
                <c:pt idx="421">
                  <c:v>11.786102346003101</c:v>
                </c:pt>
                <c:pt idx="422">
                  <c:v>31.316446061450662</c:v>
                </c:pt>
                <c:pt idx="423">
                  <c:v>-0.16832615325145639</c:v>
                </c:pt>
                <c:pt idx="424">
                  <c:v>-56.930903258170247</c:v>
                </c:pt>
                <c:pt idx="425">
                  <c:v>-91.378615104977627</c:v>
                </c:pt>
                <c:pt idx="426">
                  <c:v>-106.38155590379822</c:v>
                </c:pt>
                <c:pt idx="427">
                  <c:v>-110.64877747458368</c:v>
                </c:pt>
                <c:pt idx="428">
                  <c:v>-111.68586969850125</c:v>
                </c:pt>
                <c:pt idx="429">
                  <c:v>-113.27837298427968</c:v>
                </c:pt>
                <c:pt idx="430">
                  <c:v>-108.999448777623</c:v>
                </c:pt>
                <c:pt idx="431">
                  <c:v>-96.358636125587736</c:v>
                </c:pt>
                <c:pt idx="432">
                  <c:v>-87.52962297260008</c:v>
                </c:pt>
                <c:pt idx="433">
                  <c:v>-90.934652436364132</c:v>
                </c:pt>
                <c:pt idx="434">
                  <c:v>-102.19992415156656</c:v>
                </c:pt>
                <c:pt idx="435">
                  <c:v>-115.26864429216317</c:v>
                </c:pt>
                <c:pt idx="436">
                  <c:v>-122.62382984202051</c:v>
                </c:pt>
                <c:pt idx="437">
                  <c:v>-122.30668606082659</c:v>
                </c:pt>
                <c:pt idx="438">
                  <c:v>-115.81617997400181</c:v>
                </c:pt>
                <c:pt idx="439">
                  <c:v>-102.77663801633284</c:v>
                </c:pt>
                <c:pt idx="440">
                  <c:v>-85.750408793252504</c:v>
                </c:pt>
                <c:pt idx="441">
                  <c:v>-65.995854066642323</c:v>
                </c:pt>
                <c:pt idx="442">
                  <c:v>-31.631631600412536</c:v>
                </c:pt>
                <c:pt idx="443">
                  <c:v>17.543741891039492</c:v>
                </c:pt>
                <c:pt idx="444">
                  <c:v>51.788235384217799</c:v>
                </c:pt>
                <c:pt idx="445">
                  <c:v>74.531032014786774</c:v>
                </c:pt>
                <c:pt idx="446">
                  <c:v>94.954559306365127</c:v>
                </c:pt>
                <c:pt idx="447">
                  <c:v>104.89539933037146</c:v>
                </c:pt>
                <c:pt idx="448">
                  <c:v>104.37703598573475</c:v>
                </c:pt>
                <c:pt idx="449">
                  <c:v>93.853084567252935</c:v>
                </c:pt>
                <c:pt idx="450">
                  <c:v>82.129055834548581</c:v>
                </c:pt>
                <c:pt idx="451">
                  <c:v>74.049171546985562</c:v>
                </c:pt>
                <c:pt idx="452">
                  <c:v>39.972272981921904</c:v>
                </c:pt>
                <c:pt idx="453">
                  <c:v>-22.604723855746773</c:v>
                </c:pt>
                <c:pt idx="454">
                  <c:v>-56.365089700390442</c:v>
                </c:pt>
                <c:pt idx="455">
                  <c:v>-75.380053439691054</c:v>
                </c:pt>
                <c:pt idx="456">
                  <c:v>-91.053422183144463</c:v>
                </c:pt>
                <c:pt idx="457">
                  <c:v>-106.01460425141141</c:v>
                </c:pt>
                <c:pt idx="458">
                  <c:v>-121.39918151622604</c:v>
                </c:pt>
                <c:pt idx="459">
                  <c:v>-132.55826238902628</c:v>
                </c:pt>
                <c:pt idx="460">
                  <c:v>-136.65061864642331</c:v>
                </c:pt>
                <c:pt idx="461">
                  <c:v>-134.60294009836085</c:v>
                </c:pt>
                <c:pt idx="462">
                  <c:v>-126.62714946242292</c:v>
                </c:pt>
                <c:pt idx="463">
                  <c:v>-117.05295030827818</c:v>
                </c:pt>
                <c:pt idx="464">
                  <c:v>-114.29057380981266</c:v>
                </c:pt>
                <c:pt idx="465">
                  <c:v>-112.85761452399674</c:v>
                </c:pt>
                <c:pt idx="466">
                  <c:v>-103.3110189773104</c:v>
                </c:pt>
                <c:pt idx="467">
                  <c:v>-86.767480120342995</c:v>
                </c:pt>
                <c:pt idx="468">
                  <c:v>-67.545866132797457</c:v>
                </c:pt>
                <c:pt idx="469">
                  <c:v>-48.663506801881667</c:v>
                </c:pt>
                <c:pt idx="470">
                  <c:v>-27.640883835035073</c:v>
                </c:pt>
                <c:pt idx="471">
                  <c:v>10.086058892226269</c:v>
                </c:pt>
                <c:pt idx="472">
                  <c:v>54.192669193912735</c:v>
                </c:pt>
                <c:pt idx="473">
                  <c:v>72.917001339417894</c:v>
                </c:pt>
                <c:pt idx="474">
                  <c:v>86.295200220512129</c:v>
                </c:pt>
                <c:pt idx="475">
                  <c:v>90.547616147239765</c:v>
                </c:pt>
                <c:pt idx="476">
                  <c:v>74.829403643597715</c:v>
                </c:pt>
                <c:pt idx="477">
                  <c:v>52.167189263177832</c:v>
                </c:pt>
                <c:pt idx="478">
                  <c:v>43.91528463744217</c:v>
                </c:pt>
                <c:pt idx="479">
                  <c:v>53.687411496030094</c:v>
                </c:pt>
                <c:pt idx="480">
                  <c:v>67.465675101731648</c:v>
                </c:pt>
                <c:pt idx="481">
                  <c:v>52.758173374020551</c:v>
                </c:pt>
                <c:pt idx="482">
                  <c:v>-17.098180107666277</c:v>
                </c:pt>
                <c:pt idx="483">
                  <c:v>-77.722462851928071</c:v>
                </c:pt>
                <c:pt idx="484">
                  <c:v>-114.16641333236385</c:v>
                </c:pt>
                <c:pt idx="485">
                  <c:v>-130.58757220919176</c:v>
                </c:pt>
                <c:pt idx="486">
                  <c:v>-133.25045246902422</c:v>
                </c:pt>
                <c:pt idx="487">
                  <c:v>-131.96310401310583</c:v>
                </c:pt>
                <c:pt idx="488">
                  <c:v>-132.928423950466</c:v>
                </c:pt>
                <c:pt idx="489">
                  <c:v>-133.08257620229182</c:v>
                </c:pt>
                <c:pt idx="490">
                  <c:v>-128.13779856829896</c:v>
                </c:pt>
                <c:pt idx="491">
                  <c:v>-115.12429669411833</c:v>
                </c:pt>
                <c:pt idx="492">
                  <c:v>-96.322312993872231</c:v>
                </c:pt>
                <c:pt idx="493">
                  <c:v>-83.169639648004974</c:v>
                </c:pt>
                <c:pt idx="494">
                  <c:v>-75.00922197006949</c:v>
                </c:pt>
                <c:pt idx="495">
                  <c:v>-61.568917824407976</c:v>
                </c:pt>
                <c:pt idx="496">
                  <c:v>-40.572214038704061</c:v>
                </c:pt>
                <c:pt idx="497">
                  <c:v>2.7528551879156069</c:v>
                </c:pt>
                <c:pt idx="498">
                  <c:v>72.062625352094557</c:v>
                </c:pt>
                <c:pt idx="499">
                  <c:v>100.58208298447468</c:v>
                </c:pt>
                <c:pt idx="500">
                  <c:v>102.2440963129681</c:v>
                </c:pt>
                <c:pt idx="501">
                  <c:v>86.780011227540271</c:v>
                </c:pt>
                <c:pt idx="502">
                  <c:v>58.390333684643217</c:v>
                </c:pt>
                <c:pt idx="503">
                  <c:v>35.169729049737093</c:v>
                </c:pt>
                <c:pt idx="504">
                  <c:v>18.927166267670039</c:v>
                </c:pt>
                <c:pt idx="505">
                  <c:v>-3.4906253091191708</c:v>
                </c:pt>
                <c:pt idx="506">
                  <c:v>-28.085520759635759</c:v>
                </c:pt>
                <c:pt idx="507">
                  <c:v>-61.751085381930636</c:v>
                </c:pt>
                <c:pt idx="508">
                  <c:v>-94.930961568573977</c:v>
                </c:pt>
                <c:pt idx="509">
                  <c:v>-111.14091906844052</c:v>
                </c:pt>
                <c:pt idx="510">
                  <c:v>-112.71023956619348</c:v>
                </c:pt>
                <c:pt idx="511">
                  <c:v>-108.60435077386708</c:v>
                </c:pt>
                <c:pt idx="512">
                  <c:v>-107.30285561446905</c:v>
                </c:pt>
                <c:pt idx="513">
                  <c:v>-112.55612217129871</c:v>
                </c:pt>
                <c:pt idx="514">
                  <c:v>-116.52049401808725</c:v>
                </c:pt>
                <c:pt idx="515">
                  <c:v>-112.01248451653728</c:v>
                </c:pt>
                <c:pt idx="516">
                  <c:v>-103.94350766115804</c:v>
                </c:pt>
                <c:pt idx="517">
                  <c:v>-99.103587434592839</c:v>
                </c:pt>
                <c:pt idx="518">
                  <c:v>-96.569667642819724</c:v>
                </c:pt>
                <c:pt idx="519">
                  <c:v>-96.455249304134369</c:v>
                </c:pt>
                <c:pt idx="520">
                  <c:v>-93.331038803687889</c:v>
                </c:pt>
                <c:pt idx="521">
                  <c:v>-76.880718738666459</c:v>
                </c:pt>
                <c:pt idx="522">
                  <c:v>-44.29399089791643</c:v>
                </c:pt>
                <c:pt idx="523">
                  <c:v>-0.10938235745847891</c:v>
                </c:pt>
                <c:pt idx="524">
                  <c:v>39.04323832609019</c:v>
                </c:pt>
                <c:pt idx="525">
                  <c:v>51.452576552061743</c:v>
                </c:pt>
                <c:pt idx="526">
                  <c:v>65.165401010669569</c:v>
                </c:pt>
                <c:pt idx="527">
                  <c:v>84.189512222945552</c:v>
                </c:pt>
                <c:pt idx="528">
                  <c:v>89.690587070808704</c:v>
                </c:pt>
                <c:pt idx="529">
                  <c:v>87.6079269135396</c:v>
                </c:pt>
                <c:pt idx="530">
                  <c:v>81.834975536899989</c:v>
                </c:pt>
                <c:pt idx="531">
                  <c:v>46.046920657266952</c:v>
                </c:pt>
                <c:pt idx="532">
                  <c:v>-29.753617190443354</c:v>
                </c:pt>
                <c:pt idx="533">
                  <c:v>-77.924505369578966</c:v>
                </c:pt>
                <c:pt idx="534">
                  <c:v>-102.0429971763902</c:v>
                </c:pt>
                <c:pt idx="535">
                  <c:v>-110.98462946061974</c:v>
                </c:pt>
                <c:pt idx="536">
                  <c:v>-115.61465306813432</c:v>
                </c:pt>
                <c:pt idx="537">
                  <c:v>-121.22362286816525</c:v>
                </c:pt>
                <c:pt idx="538">
                  <c:v>-122.74633951475991</c:v>
                </c:pt>
                <c:pt idx="539">
                  <c:v>-119.13335753979294</c:v>
                </c:pt>
                <c:pt idx="540">
                  <c:v>-114.11263241251163</c:v>
                </c:pt>
                <c:pt idx="541">
                  <c:v>-108.52776160574143</c:v>
                </c:pt>
                <c:pt idx="542">
                  <c:v>-105.55921884643581</c:v>
                </c:pt>
                <c:pt idx="543">
                  <c:v>-106.74650797775874</c:v>
                </c:pt>
                <c:pt idx="544">
                  <c:v>-104.63496952983527</c:v>
                </c:pt>
                <c:pt idx="545">
                  <c:v>-93.635903063590362</c:v>
                </c:pt>
                <c:pt idx="546">
                  <c:v>-70.010876841123277</c:v>
                </c:pt>
                <c:pt idx="547">
                  <c:v>-34.58282054159659</c:v>
                </c:pt>
                <c:pt idx="548">
                  <c:v>-12.988305853614921</c:v>
                </c:pt>
                <c:pt idx="549">
                  <c:v>-10.171480197702731</c:v>
                </c:pt>
                <c:pt idx="550">
                  <c:v>6.5087876053354989</c:v>
                </c:pt>
                <c:pt idx="551">
                  <c:v>29.939983911843978</c:v>
                </c:pt>
                <c:pt idx="552">
                  <c:v>32.400710852196973</c:v>
                </c:pt>
                <c:pt idx="553">
                  <c:v>23.737681617955666</c:v>
                </c:pt>
                <c:pt idx="554">
                  <c:v>16.552368507215647</c:v>
                </c:pt>
                <c:pt idx="555">
                  <c:v>18.056137238585933</c:v>
                </c:pt>
                <c:pt idx="556">
                  <c:v>19.453059763319374</c:v>
                </c:pt>
                <c:pt idx="557">
                  <c:v>0.85263614816324207</c:v>
                </c:pt>
                <c:pt idx="558">
                  <c:v>-20.568420515048313</c:v>
                </c:pt>
                <c:pt idx="559">
                  <c:v>-36.262527147942578</c:v>
                </c:pt>
                <c:pt idx="560">
                  <c:v>-56.517838571437579</c:v>
                </c:pt>
                <c:pt idx="561">
                  <c:v>-71.977862942870516</c:v>
                </c:pt>
                <c:pt idx="562">
                  <c:v>-76.642000951957655</c:v>
                </c:pt>
                <c:pt idx="563">
                  <c:v>-78.16380270530081</c:v>
                </c:pt>
                <c:pt idx="564">
                  <c:v>-80.254028083862622</c:v>
                </c:pt>
                <c:pt idx="565">
                  <c:v>-86.372850197724759</c:v>
                </c:pt>
                <c:pt idx="566">
                  <c:v>-100.14534924151286</c:v>
                </c:pt>
                <c:pt idx="567">
                  <c:v>-115.13738330193553</c:v>
                </c:pt>
                <c:pt idx="568">
                  <c:v>-126.43033047193541</c:v>
                </c:pt>
                <c:pt idx="569">
                  <c:v>-131.06010909087431</c:v>
                </c:pt>
                <c:pt idx="570">
                  <c:v>-125.88189398727343</c:v>
                </c:pt>
                <c:pt idx="571">
                  <c:v>-114.73425403305859</c:v>
                </c:pt>
                <c:pt idx="572">
                  <c:v>-106.48450681523389</c:v>
                </c:pt>
                <c:pt idx="573">
                  <c:v>-97.692004703856199</c:v>
                </c:pt>
                <c:pt idx="574">
                  <c:v>-78.669646850472802</c:v>
                </c:pt>
                <c:pt idx="575">
                  <c:v>-45.555887979828782</c:v>
                </c:pt>
                <c:pt idx="576">
                  <c:v>-6.6904077678567013</c:v>
                </c:pt>
                <c:pt idx="577">
                  <c:v>2.6828481826793293</c:v>
                </c:pt>
                <c:pt idx="578">
                  <c:v>-15.430402297852925</c:v>
                </c:pt>
                <c:pt idx="579">
                  <c:v>-22.998679311228624</c:v>
                </c:pt>
                <c:pt idx="580">
                  <c:v>-16.780119429027952</c:v>
                </c:pt>
                <c:pt idx="581">
                  <c:v>2.6227384559790323</c:v>
                </c:pt>
                <c:pt idx="582">
                  <c:v>38.227836146220803</c:v>
                </c:pt>
                <c:pt idx="583">
                  <c:v>46.924678520039897</c:v>
                </c:pt>
                <c:pt idx="584">
                  <c:v>15.439578770110652</c:v>
                </c:pt>
                <c:pt idx="585">
                  <c:v>-15.487060961672608</c:v>
                </c:pt>
                <c:pt idx="586">
                  <c:v>-30.894353325373256</c:v>
                </c:pt>
                <c:pt idx="587">
                  <c:v>-33.247961978239985</c:v>
                </c:pt>
                <c:pt idx="588">
                  <c:v>-28.846876410656687</c:v>
                </c:pt>
                <c:pt idx="589">
                  <c:v>-31.648327045060402</c:v>
                </c:pt>
                <c:pt idx="590">
                  <c:v>-40.319646567902268</c:v>
                </c:pt>
                <c:pt idx="591">
                  <c:v>-54.803289635230882</c:v>
                </c:pt>
                <c:pt idx="592">
                  <c:v>-77.316761871574641</c:v>
                </c:pt>
                <c:pt idx="593">
                  <c:v>-91.64327806214196</c:v>
                </c:pt>
                <c:pt idx="594">
                  <c:v>-93.060120258752306</c:v>
                </c:pt>
                <c:pt idx="595">
                  <c:v>-94.181890262068279</c:v>
                </c:pt>
                <c:pt idx="596">
                  <c:v>-103.33878556324825</c:v>
                </c:pt>
                <c:pt idx="597">
                  <c:v>-115.42555898461583</c:v>
                </c:pt>
                <c:pt idx="598">
                  <c:v>-122.37134444961492</c:v>
                </c:pt>
                <c:pt idx="599">
                  <c:v>-119.26289162629814</c:v>
                </c:pt>
                <c:pt idx="600">
                  <c:v>-109.84228659437207</c:v>
                </c:pt>
                <c:pt idx="601">
                  <c:v>-104.10638115697284</c:v>
                </c:pt>
                <c:pt idx="602">
                  <c:v>-103.66583719231735</c:v>
                </c:pt>
                <c:pt idx="603">
                  <c:v>-105.59132787996012</c:v>
                </c:pt>
                <c:pt idx="604">
                  <c:v>-105.1530986473131</c:v>
                </c:pt>
                <c:pt idx="605">
                  <c:v>-92.024097176507368</c:v>
                </c:pt>
                <c:pt idx="606">
                  <c:v>-61.514688059556448</c:v>
                </c:pt>
                <c:pt idx="607">
                  <c:v>-24.443400444026725</c:v>
                </c:pt>
                <c:pt idx="608">
                  <c:v>2.1711995644282496</c:v>
                </c:pt>
                <c:pt idx="609">
                  <c:v>15.816900084433078</c:v>
                </c:pt>
                <c:pt idx="610">
                  <c:v>40.961309269870554</c:v>
                </c:pt>
                <c:pt idx="611">
                  <c:v>79.219724056885838</c:v>
                </c:pt>
                <c:pt idx="612">
                  <c:v>99.13385716995441</c:v>
                </c:pt>
                <c:pt idx="613">
                  <c:v>100.14627297076217</c:v>
                </c:pt>
                <c:pt idx="614">
                  <c:v>91.354310498330506</c:v>
                </c:pt>
                <c:pt idx="615">
                  <c:v>55.947664408579669</c:v>
                </c:pt>
                <c:pt idx="616">
                  <c:v>-21.653003274372384</c:v>
                </c:pt>
                <c:pt idx="617">
                  <c:v>-64.981630060906454</c:v>
                </c:pt>
                <c:pt idx="618">
                  <c:v>-82.197560338162631</c:v>
                </c:pt>
                <c:pt idx="619">
                  <c:v>-85.589033406798677</c:v>
                </c:pt>
                <c:pt idx="620">
                  <c:v>-85.568735690906138</c:v>
                </c:pt>
                <c:pt idx="621">
                  <c:v>-91.414537423833011</c:v>
                </c:pt>
                <c:pt idx="622">
                  <c:v>-96.195329726418521</c:v>
                </c:pt>
                <c:pt idx="623">
                  <c:v>-93.856909671360157</c:v>
                </c:pt>
                <c:pt idx="624">
                  <c:v>-91.225956078271281</c:v>
                </c:pt>
                <c:pt idx="625">
                  <c:v>-92.869333021767417</c:v>
                </c:pt>
                <c:pt idx="626">
                  <c:v>-100.64686437107511</c:v>
                </c:pt>
                <c:pt idx="627">
                  <c:v>-114.74633036060214</c:v>
                </c:pt>
                <c:pt idx="628">
                  <c:v>-124.84986925372996</c:v>
                </c:pt>
                <c:pt idx="629">
                  <c:v>-124.38747091179795</c:v>
                </c:pt>
                <c:pt idx="630">
                  <c:v>-113.16257322520616</c:v>
                </c:pt>
                <c:pt idx="631">
                  <c:v>-93.060571235031688</c:v>
                </c:pt>
                <c:pt idx="632">
                  <c:v>-75.613544569431298</c:v>
                </c:pt>
                <c:pt idx="633">
                  <c:v>-70.39901731797778</c:v>
                </c:pt>
                <c:pt idx="634">
                  <c:v>-61.829340741929684</c:v>
                </c:pt>
                <c:pt idx="635">
                  <c:v>-43.963970187938784</c:v>
                </c:pt>
                <c:pt idx="636">
                  <c:v>-29.222573873476239</c:v>
                </c:pt>
                <c:pt idx="637">
                  <c:v>-12.856517493340501</c:v>
                </c:pt>
                <c:pt idx="638">
                  <c:v>15.592821577515691</c:v>
                </c:pt>
                <c:pt idx="639">
                  <c:v>49.155318406389981</c:v>
                </c:pt>
                <c:pt idx="640">
                  <c:v>70.946356135887513</c:v>
                </c:pt>
                <c:pt idx="641">
                  <c:v>75.095233186156179</c:v>
                </c:pt>
                <c:pt idx="642">
                  <c:v>64.365120903124804</c:v>
                </c:pt>
                <c:pt idx="643">
                  <c:v>44.800277822293424</c:v>
                </c:pt>
                <c:pt idx="644">
                  <c:v>-1.1799458703408909</c:v>
                </c:pt>
                <c:pt idx="645">
                  <c:v>-46.692537864755536</c:v>
                </c:pt>
                <c:pt idx="646">
                  <c:v>-71.947133539401278</c:v>
                </c:pt>
                <c:pt idx="647">
                  <c:v>-86.642752347328141</c:v>
                </c:pt>
                <c:pt idx="648">
                  <c:v>-95.676959888979624</c:v>
                </c:pt>
                <c:pt idx="649">
                  <c:v>-98.122448820763637</c:v>
                </c:pt>
                <c:pt idx="650">
                  <c:v>-100.48769743182734</c:v>
                </c:pt>
                <c:pt idx="651">
                  <c:v>-107.30610928878502</c:v>
                </c:pt>
                <c:pt idx="652">
                  <c:v>-115.26632411358301</c:v>
                </c:pt>
                <c:pt idx="653">
                  <c:v>-119.9226201633432</c:v>
                </c:pt>
                <c:pt idx="654">
                  <c:v>-116.07185575228331</c:v>
                </c:pt>
                <c:pt idx="655">
                  <c:v>-104.54118575702219</c:v>
                </c:pt>
                <c:pt idx="656">
                  <c:v>-95.753803122798757</c:v>
                </c:pt>
                <c:pt idx="657">
                  <c:v>-89.008895211700178</c:v>
                </c:pt>
                <c:pt idx="658">
                  <c:v>-71.740440237859801</c:v>
                </c:pt>
                <c:pt idx="659">
                  <c:v>-41.393919835992222</c:v>
                </c:pt>
                <c:pt idx="660">
                  <c:v>-5.975287539397609</c:v>
                </c:pt>
                <c:pt idx="661">
                  <c:v>12.781695037612526</c:v>
                </c:pt>
                <c:pt idx="662">
                  <c:v>1.5607393675678658</c:v>
                </c:pt>
                <c:pt idx="663">
                  <c:v>-12.733605513161169</c:v>
                </c:pt>
                <c:pt idx="664">
                  <c:v>-22.091836665283399</c:v>
                </c:pt>
                <c:pt idx="665">
                  <c:v>-33.280540079985627</c:v>
                </c:pt>
                <c:pt idx="666">
                  <c:v>-40.261616455922592</c:v>
                </c:pt>
                <c:pt idx="667">
                  <c:v>-48.760515302087256</c:v>
                </c:pt>
                <c:pt idx="668">
                  <c:v>-62.026566129679921</c:v>
                </c:pt>
                <c:pt idx="669">
                  <c:v>-63.719857049799188</c:v>
                </c:pt>
                <c:pt idx="670">
                  <c:v>-49.219824670063872</c:v>
                </c:pt>
                <c:pt idx="671">
                  <c:v>-30.561947672748733</c:v>
                </c:pt>
                <c:pt idx="672">
                  <c:v>-22.699041878267163</c:v>
                </c:pt>
                <c:pt idx="673">
                  <c:v>-37.19873732078743</c:v>
                </c:pt>
                <c:pt idx="674">
                  <c:v>-63.752728971930665</c:v>
                </c:pt>
                <c:pt idx="675">
                  <c:v>-87.4031639297678</c:v>
                </c:pt>
                <c:pt idx="676">
                  <c:v>-107.35556025429921</c:v>
                </c:pt>
                <c:pt idx="677">
                  <c:v>-118.55510239490732</c:v>
                </c:pt>
                <c:pt idx="678">
                  <c:v>-116.59135824825518</c:v>
                </c:pt>
                <c:pt idx="679">
                  <c:v>-106.70719543797335</c:v>
                </c:pt>
                <c:pt idx="680">
                  <c:v>-97.891445728158459</c:v>
                </c:pt>
                <c:pt idx="681">
                  <c:v>-91.444368948240424</c:v>
                </c:pt>
                <c:pt idx="682">
                  <c:v>-84.840189268573766</c:v>
                </c:pt>
                <c:pt idx="683">
                  <c:v>-74.345631353960357</c:v>
                </c:pt>
                <c:pt idx="684">
                  <c:v>-62.34193366555526</c:v>
                </c:pt>
                <c:pt idx="685">
                  <c:v>-62.235027330920005</c:v>
                </c:pt>
                <c:pt idx="686">
                  <c:v>-68.405341620000371</c:v>
                </c:pt>
                <c:pt idx="687">
                  <c:v>-65.688884529542236</c:v>
                </c:pt>
                <c:pt idx="688">
                  <c:v>-48.187355576040886</c:v>
                </c:pt>
                <c:pt idx="689">
                  <c:v>2.8607503022330043</c:v>
                </c:pt>
                <c:pt idx="690">
                  <c:v>79.506743319889694</c:v>
                </c:pt>
                <c:pt idx="691">
                  <c:v>94.64757931130768</c:v>
                </c:pt>
                <c:pt idx="692">
                  <c:v>58.186220674709261</c:v>
                </c:pt>
                <c:pt idx="693">
                  <c:v>-18.998820823611798</c:v>
                </c:pt>
                <c:pt idx="694">
                  <c:v>-57.817162968285032</c:v>
                </c:pt>
                <c:pt idx="695">
                  <c:v>-67.728902950426473</c:v>
                </c:pt>
                <c:pt idx="696">
                  <c:v>-67.775041539132928</c:v>
                </c:pt>
                <c:pt idx="697">
                  <c:v>-70.51117904518641</c:v>
                </c:pt>
                <c:pt idx="698">
                  <c:v>-71.293016972970065</c:v>
                </c:pt>
                <c:pt idx="699">
                  <c:v>-73.837075220267025</c:v>
                </c:pt>
                <c:pt idx="700">
                  <c:v>-86.025723814789529</c:v>
                </c:pt>
                <c:pt idx="701">
                  <c:v>-97.50124406631673</c:v>
                </c:pt>
                <c:pt idx="702">
                  <c:v>-102.94394986359674</c:v>
                </c:pt>
                <c:pt idx="703">
                  <c:v>-105.5497147889489</c:v>
                </c:pt>
                <c:pt idx="704">
                  <c:v>-106.27239612607175</c:v>
                </c:pt>
                <c:pt idx="705">
                  <c:v>-105.52986646894476</c:v>
                </c:pt>
                <c:pt idx="706">
                  <c:v>-99.194627987378652</c:v>
                </c:pt>
                <c:pt idx="707">
                  <c:v>-79.47885697089356</c:v>
                </c:pt>
                <c:pt idx="708">
                  <c:v>-51.280521492340284</c:v>
                </c:pt>
                <c:pt idx="709">
                  <c:v>-36.242399191064052</c:v>
                </c:pt>
                <c:pt idx="710">
                  <c:v>-46.836984142328504</c:v>
                </c:pt>
                <c:pt idx="711">
                  <c:v>-76.521402990295826</c:v>
                </c:pt>
                <c:pt idx="712">
                  <c:v>-99.86055597144545</c:v>
                </c:pt>
                <c:pt idx="713">
                  <c:v>-103.20994319478422</c:v>
                </c:pt>
                <c:pt idx="714">
                  <c:v>-88.350403988903807</c:v>
                </c:pt>
                <c:pt idx="715">
                  <c:v>-62.32314570095221</c:v>
                </c:pt>
                <c:pt idx="716">
                  <c:v>-41.810580093127513</c:v>
                </c:pt>
                <c:pt idx="717">
                  <c:v>-39.797900109746379</c:v>
                </c:pt>
                <c:pt idx="718">
                  <c:v>-32.910603738774526</c:v>
                </c:pt>
                <c:pt idx="719">
                  <c:v>-2.6057109812444956</c:v>
                </c:pt>
                <c:pt idx="720">
                  <c:v>28.452214779249214</c:v>
                </c:pt>
                <c:pt idx="721">
                  <c:v>36.653289909508587</c:v>
                </c:pt>
                <c:pt idx="722">
                  <c:v>31.545495215128785</c:v>
                </c:pt>
                <c:pt idx="723">
                  <c:v>8.3931311532487314</c:v>
                </c:pt>
                <c:pt idx="724">
                  <c:v>-18.001841130681402</c:v>
                </c:pt>
                <c:pt idx="725">
                  <c:v>-36.135590315950978</c:v>
                </c:pt>
                <c:pt idx="726">
                  <c:v>-49.728009660669045</c:v>
                </c:pt>
                <c:pt idx="727">
                  <c:v>-58.706971481055788</c:v>
                </c:pt>
                <c:pt idx="728">
                  <c:v>-68.903088966384402</c:v>
                </c:pt>
                <c:pt idx="729">
                  <c:v>-82.230531107227179</c:v>
                </c:pt>
                <c:pt idx="730">
                  <c:v>-88.364667674550873</c:v>
                </c:pt>
                <c:pt idx="731">
                  <c:v>-87.579988472044931</c:v>
                </c:pt>
                <c:pt idx="732">
                  <c:v>-87.037218529852368</c:v>
                </c:pt>
                <c:pt idx="733">
                  <c:v>-86.140220530010737</c:v>
                </c:pt>
                <c:pt idx="734">
                  <c:v>-89.618908911686873</c:v>
                </c:pt>
                <c:pt idx="735">
                  <c:v>-103.16033527060131</c:v>
                </c:pt>
                <c:pt idx="736">
                  <c:v>-116.69460135649746</c:v>
                </c:pt>
                <c:pt idx="737">
                  <c:v>-121.87147419270576</c:v>
                </c:pt>
                <c:pt idx="738">
                  <c:v>-115.41828344127339</c:v>
                </c:pt>
                <c:pt idx="739">
                  <c:v>-96.953054908290909</c:v>
                </c:pt>
                <c:pt idx="740">
                  <c:v>-80.47420380318475</c:v>
                </c:pt>
                <c:pt idx="741">
                  <c:v>-79.737060727112791</c:v>
                </c:pt>
                <c:pt idx="742">
                  <c:v>-82.126632314361942</c:v>
                </c:pt>
                <c:pt idx="743">
                  <c:v>-82.581655504347111</c:v>
                </c:pt>
                <c:pt idx="744">
                  <c:v>-83.55552527958433</c:v>
                </c:pt>
                <c:pt idx="745">
                  <c:v>-81.937403618672761</c:v>
                </c:pt>
                <c:pt idx="746">
                  <c:v>-76.707003474387889</c:v>
                </c:pt>
                <c:pt idx="747">
                  <c:v>-62.422625689811923</c:v>
                </c:pt>
                <c:pt idx="748">
                  <c:v>-27.469241339229686</c:v>
                </c:pt>
                <c:pt idx="749">
                  <c:v>34.488094081390813</c:v>
                </c:pt>
                <c:pt idx="750">
                  <c:v>84.489916462292669</c:v>
                </c:pt>
                <c:pt idx="751">
                  <c:v>102.65137151666828</c:v>
                </c:pt>
                <c:pt idx="752">
                  <c:v>92.288289313937469</c:v>
                </c:pt>
                <c:pt idx="753">
                  <c:v>67.11571578001876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88360"/>
        <c:axId val="865485224"/>
      </c:scatterChart>
      <c:valAx>
        <c:axId val="865488360"/>
        <c:scaling>
          <c:orientation val="minMax"/>
          <c:max val="2015"/>
          <c:min val="1950"/>
        </c:scaling>
        <c:delete val="0"/>
        <c:axPos val="b"/>
        <c:minorGridlines>
          <c:spPr>
            <a:ln>
              <a:solidFill>
                <a:schemeClr val="bg1">
                  <a:lumMod val="75000"/>
                  <a:alpha val="61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>
            <c:manualLayout>
              <c:xMode val="edge"/>
              <c:yMode val="edge"/>
              <c:x val="0.49939422654849935"/>
              <c:y val="0.92188107159423538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865485224"/>
        <c:crosses val="autoZero"/>
        <c:crossBetween val="midCat"/>
        <c:minorUnit val="1"/>
      </c:valAx>
      <c:valAx>
        <c:axId val="865485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654883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449394560957685"/>
          <c:y val="0.73276663235469341"/>
          <c:w val="0.1528292953716712"/>
          <c:h val="0.1794272700104889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15883066236678E-2"/>
          <c:y val="5.1400554097404488E-2"/>
          <c:w val="0.94828316080752428"/>
          <c:h val="0.76209622560833401"/>
        </c:manualLayout>
      </c:layout>
      <c:scatterChart>
        <c:scatterStyle val="lineMarker"/>
        <c:varyColors val="0"/>
        <c:ser>
          <c:idx val="4"/>
          <c:order val="0"/>
          <c:tx>
            <c:strRef>
              <c:f>offset_qbo_all_terms_70hPa!$F$2</c:f>
              <c:strCache>
                <c:ptCount val="1"/>
                <c:pt idx="0">
                  <c:v>QBO70'' [3 month avg]</c:v>
                </c:pt>
              </c:strCache>
            </c:strRef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offset_qbo_all_terms_70hPa!$A$3:$A$756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offset_qbo_all_terms_70hPa!$F$3:$F$756</c:f>
              <c:numCache>
                <c:formatCode>General</c:formatCode>
                <c:ptCount val="754"/>
                <c:pt idx="2">
                  <c:v>3.3333333333333335</c:v>
                </c:pt>
                <c:pt idx="3">
                  <c:v>-6.166666666666667</c:v>
                </c:pt>
                <c:pt idx="4">
                  <c:v>-4.166666666666667</c:v>
                </c:pt>
                <c:pt idx="5">
                  <c:v>-9.1666666666666661</c:v>
                </c:pt>
                <c:pt idx="6">
                  <c:v>-3.3333333333333335</c:v>
                </c:pt>
                <c:pt idx="7">
                  <c:v>0</c:v>
                </c:pt>
                <c:pt idx="8">
                  <c:v>13.333333333333334</c:v>
                </c:pt>
                <c:pt idx="9">
                  <c:v>0.83333333333333337</c:v>
                </c:pt>
                <c:pt idx="10">
                  <c:v>-10.833333333333334</c:v>
                </c:pt>
                <c:pt idx="11">
                  <c:v>-8.3333333333333339</c:v>
                </c:pt>
                <c:pt idx="12">
                  <c:v>0</c:v>
                </c:pt>
                <c:pt idx="13">
                  <c:v>12.5</c:v>
                </c:pt>
                <c:pt idx="14">
                  <c:v>0.83333333333333337</c:v>
                </c:pt>
                <c:pt idx="15">
                  <c:v>0</c:v>
                </c:pt>
                <c:pt idx="16">
                  <c:v>-4.166666666666667</c:v>
                </c:pt>
                <c:pt idx="17">
                  <c:v>-2.5</c:v>
                </c:pt>
                <c:pt idx="18">
                  <c:v>-7.5</c:v>
                </c:pt>
                <c:pt idx="19">
                  <c:v>-3.3333333333333335</c:v>
                </c:pt>
                <c:pt idx="20">
                  <c:v>-1.6666666666666667</c:v>
                </c:pt>
                <c:pt idx="21">
                  <c:v>7.5</c:v>
                </c:pt>
                <c:pt idx="22">
                  <c:v>12.5</c:v>
                </c:pt>
                <c:pt idx="23">
                  <c:v>14.166666666666666</c:v>
                </c:pt>
                <c:pt idx="24">
                  <c:v>5</c:v>
                </c:pt>
                <c:pt idx="25">
                  <c:v>-6.666666666666667</c:v>
                </c:pt>
                <c:pt idx="26">
                  <c:v>-10</c:v>
                </c:pt>
                <c:pt idx="27">
                  <c:v>-5.833333333333333</c:v>
                </c:pt>
                <c:pt idx="28">
                  <c:v>-1.1666666666666667</c:v>
                </c:pt>
                <c:pt idx="29">
                  <c:v>0</c:v>
                </c:pt>
                <c:pt idx="30">
                  <c:v>6.166666666666667</c:v>
                </c:pt>
                <c:pt idx="31">
                  <c:v>10.333333333333334</c:v>
                </c:pt>
                <c:pt idx="32">
                  <c:v>0</c:v>
                </c:pt>
                <c:pt idx="33">
                  <c:v>-7.833333333333333</c:v>
                </c:pt>
                <c:pt idx="34">
                  <c:v>-16.666666666666668</c:v>
                </c:pt>
                <c:pt idx="35">
                  <c:v>0</c:v>
                </c:pt>
                <c:pt idx="36">
                  <c:v>6.666666666666667</c:v>
                </c:pt>
                <c:pt idx="37">
                  <c:v>17.833333333333332</c:v>
                </c:pt>
                <c:pt idx="38">
                  <c:v>0</c:v>
                </c:pt>
                <c:pt idx="39">
                  <c:v>-13.666666666666666</c:v>
                </c:pt>
                <c:pt idx="40">
                  <c:v>-22</c:v>
                </c:pt>
                <c:pt idx="41">
                  <c:v>-5.5</c:v>
                </c:pt>
                <c:pt idx="42">
                  <c:v>8.3333333333333339</c:v>
                </c:pt>
                <c:pt idx="43">
                  <c:v>11.666666666666666</c:v>
                </c:pt>
                <c:pt idx="44">
                  <c:v>5.5</c:v>
                </c:pt>
                <c:pt idx="45">
                  <c:v>-6.333333333333333</c:v>
                </c:pt>
                <c:pt idx="46">
                  <c:v>-0.83333333333333337</c:v>
                </c:pt>
                <c:pt idx="47">
                  <c:v>-1.6666666666666667</c:v>
                </c:pt>
                <c:pt idx="48">
                  <c:v>7.5</c:v>
                </c:pt>
                <c:pt idx="49">
                  <c:v>3.3333333333333335</c:v>
                </c:pt>
                <c:pt idx="50">
                  <c:v>3.3333333333333335</c:v>
                </c:pt>
                <c:pt idx="51">
                  <c:v>3.3333333333333335</c:v>
                </c:pt>
                <c:pt idx="52">
                  <c:v>-0.83333333333333337</c:v>
                </c:pt>
                <c:pt idx="53">
                  <c:v>0.83333333333333337</c:v>
                </c:pt>
                <c:pt idx="54">
                  <c:v>0</c:v>
                </c:pt>
                <c:pt idx="55">
                  <c:v>2.5</c:v>
                </c:pt>
                <c:pt idx="56">
                  <c:v>-2.5</c:v>
                </c:pt>
                <c:pt idx="57">
                  <c:v>-5.833333333333333</c:v>
                </c:pt>
                <c:pt idx="58">
                  <c:v>-4.166666666666667</c:v>
                </c:pt>
                <c:pt idx="59">
                  <c:v>0</c:v>
                </c:pt>
                <c:pt idx="60">
                  <c:v>3.3333333333333335</c:v>
                </c:pt>
                <c:pt idx="61">
                  <c:v>6.666666666666667</c:v>
                </c:pt>
                <c:pt idx="62">
                  <c:v>2.5</c:v>
                </c:pt>
                <c:pt idx="63">
                  <c:v>-0.83333333333333337</c:v>
                </c:pt>
                <c:pt idx="64">
                  <c:v>-6.666666666666667</c:v>
                </c:pt>
                <c:pt idx="65">
                  <c:v>-3.3333333333333335</c:v>
                </c:pt>
                <c:pt idx="66">
                  <c:v>-1.6666666666666667</c:v>
                </c:pt>
                <c:pt idx="67">
                  <c:v>-3.3333333333333335</c:v>
                </c:pt>
                <c:pt idx="68">
                  <c:v>-2.5</c:v>
                </c:pt>
                <c:pt idx="69">
                  <c:v>0.83333333333333337</c:v>
                </c:pt>
                <c:pt idx="70">
                  <c:v>1.6666666666666667</c:v>
                </c:pt>
                <c:pt idx="71">
                  <c:v>-2.1666666666666665</c:v>
                </c:pt>
                <c:pt idx="72">
                  <c:v>-3.6666666666666665</c:v>
                </c:pt>
                <c:pt idx="73">
                  <c:v>-0.83333333333333337</c:v>
                </c:pt>
                <c:pt idx="74">
                  <c:v>5.5</c:v>
                </c:pt>
                <c:pt idx="75">
                  <c:v>3.6666666666666665</c:v>
                </c:pt>
                <c:pt idx="76">
                  <c:v>2.5</c:v>
                </c:pt>
                <c:pt idx="77">
                  <c:v>0</c:v>
                </c:pt>
                <c:pt idx="78">
                  <c:v>8.3333333333333339</c:v>
                </c:pt>
                <c:pt idx="79">
                  <c:v>10.833333333333334</c:v>
                </c:pt>
                <c:pt idx="80">
                  <c:v>4.166666666666667</c:v>
                </c:pt>
                <c:pt idx="81">
                  <c:v>-7.5</c:v>
                </c:pt>
                <c:pt idx="82">
                  <c:v>-11.666666666666666</c:v>
                </c:pt>
                <c:pt idx="83">
                  <c:v>-6.666666666666667</c:v>
                </c:pt>
                <c:pt idx="84">
                  <c:v>0</c:v>
                </c:pt>
                <c:pt idx="85">
                  <c:v>3.3333333333333335</c:v>
                </c:pt>
                <c:pt idx="86">
                  <c:v>5</c:v>
                </c:pt>
                <c:pt idx="87">
                  <c:v>0</c:v>
                </c:pt>
                <c:pt idx="88">
                  <c:v>-16.166666666666668</c:v>
                </c:pt>
                <c:pt idx="89">
                  <c:v>-5.5</c:v>
                </c:pt>
                <c:pt idx="90">
                  <c:v>-3.3333333333333335</c:v>
                </c:pt>
                <c:pt idx="91">
                  <c:v>13.666666666666666</c:v>
                </c:pt>
                <c:pt idx="92">
                  <c:v>1.3333333333333333</c:v>
                </c:pt>
                <c:pt idx="93">
                  <c:v>-4.166666666666667</c:v>
                </c:pt>
                <c:pt idx="94">
                  <c:v>-0.83333333333333337</c:v>
                </c:pt>
                <c:pt idx="95">
                  <c:v>1.6666666666666667</c:v>
                </c:pt>
                <c:pt idx="96">
                  <c:v>8.8333333333333339</c:v>
                </c:pt>
                <c:pt idx="97">
                  <c:v>4.666666666666667</c:v>
                </c:pt>
                <c:pt idx="98">
                  <c:v>0.5</c:v>
                </c:pt>
                <c:pt idx="99">
                  <c:v>11</c:v>
                </c:pt>
                <c:pt idx="100">
                  <c:v>-1.3333333333333333</c:v>
                </c:pt>
                <c:pt idx="101">
                  <c:v>-0.5</c:v>
                </c:pt>
                <c:pt idx="102">
                  <c:v>-12.333333333333334</c:v>
                </c:pt>
                <c:pt idx="103">
                  <c:v>-1.8333333333333333</c:v>
                </c:pt>
                <c:pt idx="104">
                  <c:v>0.66666666666666663</c:v>
                </c:pt>
                <c:pt idx="105">
                  <c:v>3.8333333333333335</c:v>
                </c:pt>
                <c:pt idx="106">
                  <c:v>-3.6666666666666665</c:v>
                </c:pt>
                <c:pt idx="107">
                  <c:v>2.3333333333333335</c:v>
                </c:pt>
                <c:pt idx="108">
                  <c:v>-1.1666666666666667</c:v>
                </c:pt>
                <c:pt idx="109">
                  <c:v>8.1666666666666661</c:v>
                </c:pt>
                <c:pt idx="110">
                  <c:v>2.6666666666666665</c:v>
                </c:pt>
                <c:pt idx="111">
                  <c:v>-2.6666666666666665</c:v>
                </c:pt>
                <c:pt idx="112">
                  <c:v>-5.5</c:v>
                </c:pt>
                <c:pt idx="113">
                  <c:v>-14.166666666666666</c:v>
                </c:pt>
                <c:pt idx="114">
                  <c:v>-0.33333333333333331</c:v>
                </c:pt>
                <c:pt idx="115">
                  <c:v>0.33333333333333331</c:v>
                </c:pt>
                <c:pt idx="116">
                  <c:v>8.5</c:v>
                </c:pt>
                <c:pt idx="117">
                  <c:v>-0.33333333333333331</c:v>
                </c:pt>
                <c:pt idx="118">
                  <c:v>-9.5</c:v>
                </c:pt>
                <c:pt idx="119">
                  <c:v>-1.3333333333333333</c:v>
                </c:pt>
                <c:pt idx="120">
                  <c:v>0.66666666666666663</c:v>
                </c:pt>
                <c:pt idx="121">
                  <c:v>5.833333333333333</c:v>
                </c:pt>
                <c:pt idx="122">
                  <c:v>-2.1666666666666665</c:v>
                </c:pt>
                <c:pt idx="123">
                  <c:v>-6.333333333333333</c:v>
                </c:pt>
                <c:pt idx="124">
                  <c:v>-7.333333333333333</c:v>
                </c:pt>
                <c:pt idx="125">
                  <c:v>-1.8333333333333333</c:v>
                </c:pt>
                <c:pt idx="126">
                  <c:v>6.333333333333333</c:v>
                </c:pt>
                <c:pt idx="127">
                  <c:v>26</c:v>
                </c:pt>
                <c:pt idx="128">
                  <c:v>17.666666666666668</c:v>
                </c:pt>
                <c:pt idx="129">
                  <c:v>2.3333333333333335</c:v>
                </c:pt>
                <c:pt idx="130">
                  <c:v>-15</c:v>
                </c:pt>
                <c:pt idx="131">
                  <c:v>-12.333333333333334</c:v>
                </c:pt>
                <c:pt idx="132">
                  <c:v>-0.5</c:v>
                </c:pt>
                <c:pt idx="133">
                  <c:v>2</c:v>
                </c:pt>
                <c:pt idx="134">
                  <c:v>5</c:v>
                </c:pt>
                <c:pt idx="135">
                  <c:v>2.5</c:v>
                </c:pt>
                <c:pt idx="136">
                  <c:v>-2</c:v>
                </c:pt>
                <c:pt idx="137">
                  <c:v>-5.166666666666667</c:v>
                </c:pt>
                <c:pt idx="138">
                  <c:v>-5.166666666666667</c:v>
                </c:pt>
                <c:pt idx="139">
                  <c:v>0</c:v>
                </c:pt>
                <c:pt idx="140">
                  <c:v>0.16666666666666666</c:v>
                </c:pt>
                <c:pt idx="141">
                  <c:v>-5.166666666666667</c:v>
                </c:pt>
                <c:pt idx="142">
                  <c:v>0</c:v>
                </c:pt>
                <c:pt idx="143">
                  <c:v>2.1666666666666665</c:v>
                </c:pt>
                <c:pt idx="144">
                  <c:v>6</c:v>
                </c:pt>
                <c:pt idx="145">
                  <c:v>5.166666666666667</c:v>
                </c:pt>
                <c:pt idx="146">
                  <c:v>7.166666666666667</c:v>
                </c:pt>
                <c:pt idx="147">
                  <c:v>0</c:v>
                </c:pt>
                <c:pt idx="148">
                  <c:v>-6.5</c:v>
                </c:pt>
                <c:pt idx="149">
                  <c:v>-17.5</c:v>
                </c:pt>
                <c:pt idx="150">
                  <c:v>-0.66666666666666663</c:v>
                </c:pt>
                <c:pt idx="151">
                  <c:v>-3.5</c:v>
                </c:pt>
                <c:pt idx="152">
                  <c:v>-3.3333333333333335</c:v>
                </c:pt>
                <c:pt idx="153">
                  <c:v>-11</c:v>
                </c:pt>
                <c:pt idx="154">
                  <c:v>4.333333333333333</c:v>
                </c:pt>
                <c:pt idx="155">
                  <c:v>11.5</c:v>
                </c:pt>
                <c:pt idx="156">
                  <c:v>12.166666666666666</c:v>
                </c:pt>
                <c:pt idx="157">
                  <c:v>0.5</c:v>
                </c:pt>
                <c:pt idx="158">
                  <c:v>-0.5</c:v>
                </c:pt>
                <c:pt idx="159">
                  <c:v>-0.5</c:v>
                </c:pt>
                <c:pt idx="160">
                  <c:v>10</c:v>
                </c:pt>
                <c:pt idx="161">
                  <c:v>3</c:v>
                </c:pt>
                <c:pt idx="162">
                  <c:v>3</c:v>
                </c:pt>
                <c:pt idx="163">
                  <c:v>-2.6666666666666665</c:v>
                </c:pt>
                <c:pt idx="164">
                  <c:v>2</c:v>
                </c:pt>
                <c:pt idx="165">
                  <c:v>-3</c:v>
                </c:pt>
                <c:pt idx="166">
                  <c:v>-7.333333333333333</c:v>
                </c:pt>
                <c:pt idx="167">
                  <c:v>-7.166666666666667</c:v>
                </c:pt>
                <c:pt idx="168">
                  <c:v>0</c:v>
                </c:pt>
                <c:pt idx="169">
                  <c:v>4.666666666666667</c:v>
                </c:pt>
                <c:pt idx="170">
                  <c:v>13.333333333333334</c:v>
                </c:pt>
                <c:pt idx="171">
                  <c:v>0</c:v>
                </c:pt>
                <c:pt idx="172">
                  <c:v>-5</c:v>
                </c:pt>
                <c:pt idx="173">
                  <c:v>-16.833333333333332</c:v>
                </c:pt>
                <c:pt idx="174">
                  <c:v>-3</c:v>
                </c:pt>
                <c:pt idx="175">
                  <c:v>-1.5</c:v>
                </c:pt>
                <c:pt idx="176">
                  <c:v>4.833333333333333</c:v>
                </c:pt>
                <c:pt idx="177">
                  <c:v>1.6666666666666667</c:v>
                </c:pt>
                <c:pt idx="178">
                  <c:v>3</c:v>
                </c:pt>
                <c:pt idx="179">
                  <c:v>-3</c:v>
                </c:pt>
                <c:pt idx="180">
                  <c:v>1.3333333333333333</c:v>
                </c:pt>
                <c:pt idx="181">
                  <c:v>-1.1666666666666667</c:v>
                </c:pt>
                <c:pt idx="182">
                  <c:v>9.5</c:v>
                </c:pt>
                <c:pt idx="183">
                  <c:v>0</c:v>
                </c:pt>
                <c:pt idx="184">
                  <c:v>-1.6666666666666667</c:v>
                </c:pt>
                <c:pt idx="185">
                  <c:v>-11.833333333333334</c:v>
                </c:pt>
                <c:pt idx="186">
                  <c:v>0</c:v>
                </c:pt>
                <c:pt idx="187">
                  <c:v>0.16666666666666666</c:v>
                </c:pt>
                <c:pt idx="188">
                  <c:v>6.666666666666667</c:v>
                </c:pt>
                <c:pt idx="189">
                  <c:v>-5.666666666666667</c:v>
                </c:pt>
                <c:pt idx="190">
                  <c:v>-2.1666666666666665</c:v>
                </c:pt>
                <c:pt idx="191">
                  <c:v>-3</c:v>
                </c:pt>
                <c:pt idx="192">
                  <c:v>2.1666666666666665</c:v>
                </c:pt>
                <c:pt idx="193">
                  <c:v>3.6666666666666665</c:v>
                </c:pt>
                <c:pt idx="194">
                  <c:v>5</c:v>
                </c:pt>
                <c:pt idx="195">
                  <c:v>14.333333333333334</c:v>
                </c:pt>
                <c:pt idx="196">
                  <c:v>13</c:v>
                </c:pt>
                <c:pt idx="197">
                  <c:v>-1.6666666666666667</c:v>
                </c:pt>
                <c:pt idx="198">
                  <c:v>-10.833333333333334</c:v>
                </c:pt>
                <c:pt idx="199">
                  <c:v>-13</c:v>
                </c:pt>
                <c:pt idx="200">
                  <c:v>-0.83333333333333337</c:v>
                </c:pt>
                <c:pt idx="201">
                  <c:v>-2.3333333333333335</c:v>
                </c:pt>
                <c:pt idx="202">
                  <c:v>-0.16666666666666666</c:v>
                </c:pt>
                <c:pt idx="203">
                  <c:v>-2.8333333333333335</c:v>
                </c:pt>
                <c:pt idx="204">
                  <c:v>-2</c:v>
                </c:pt>
                <c:pt idx="205">
                  <c:v>4.5</c:v>
                </c:pt>
                <c:pt idx="206">
                  <c:v>6.166666666666667</c:v>
                </c:pt>
                <c:pt idx="207">
                  <c:v>5.833333333333333</c:v>
                </c:pt>
                <c:pt idx="208">
                  <c:v>-4.333333333333333</c:v>
                </c:pt>
                <c:pt idx="209">
                  <c:v>-7.5</c:v>
                </c:pt>
                <c:pt idx="210">
                  <c:v>-2.5</c:v>
                </c:pt>
                <c:pt idx="211">
                  <c:v>-5.166666666666667</c:v>
                </c:pt>
                <c:pt idx="212">
                  <c:v>2.8333333333333335</c:v>
                </c:pt>
                <c:pt idx="213">
                  <c:v>-3.6666666666666665</c:v>
                </c:pt>
                <c:pt idx="214">
                  <c:v>3.1666666666666665</c:v>
                </c:pt>
                <c:pt idx="215">
                  <c:v>-0.5</c:v>
                </c:pt>
                <c:pt idx="216">
                  <c:v>1.1666666666666667</c:v>
                </c:pt>
                <c:pt idx="217">
                  <c:v>1.8333333333333333</c:v>
                </c:pt>
                <c:pt idx="218">
                  <c:v>2.3333333333333335</c:v>
                </c:pt>
                <c:pt idx="219">
                  <c:v>14.5</c:v>
                </c:pt>
                <c:pt idx="220">
                  <c:v>11.166666666666666</c:v>
                </c:pt>
                <c:pt idx="221">
                  <c:v>0</c:v>
                </c:pt>
                <c:pt idx="222">
                  <c:v>-17.666666666666668</c:v>
                </c:pt>
                <c:pt idx="223">
                  <c:v>-11</c:v>
                </c:pt>
                <c:pt idx="224">
                  <c:v>4.333333333333333</c:v>
                </c:pt>
                <c:pt idx="225">
                  <c:v>8.3333333333333339</c:v>
                </c:pt>
                <c:pt idx="226">
                  <c:v>2.8333333333333335</c:v>
                </c:pt>
                <c:pt idx="227">
                  <c:v>-4.333333333333333</c:v>
                </c:pt>
                <c:pt idx="228">
                  <c:v>3.1666666666666665</c:v>
                </c:pt>
                <c:pt idx="229">
                  <c:v>-1.5</c:v>
                </c:pt>
                <c:pt idx="230">
                  <c:v>2</c:v>
                </c:pt>
                <c:pt idx="231">
                  <c:v>-6.833333333333333</c:v>
                </c:pt>
                <c:pt idx="232">
                  <c:v>-3.6666666666666665</c:v>
                </c:pt>
                <c:pt idx="233">
                  <c:v>-8.3333333333333339</c:v>
                </c:pt>
                <c:pt idx="234">
                  <c:v>-7.333333333333333</c:v>
                </c:pt>
                <c:pt idx="235">
                  <c:v>0.66666666666666663</c:v>
                </c:pt>
                <c:pt idx="236">
                  <c:v>1.1666666666666667</c:v>
                </c:pt>
                <c:pt idx="237">
                  <c:v>3.1666666666666665</c:v>
                </c:pt>
                <c:pt idx="238">
                  <c:v>1.6666666666666667</c:v>
                </c:pt>
                <c:pt idx="239">
                  <c:v>5.166666666666667</c:v>
                </c:pt>
                <c:pt idx="240">
                  <c:v>1.6666666666666667</c:v>
                </c:pt>
                <c:pt idx="241">
                  <c:v>0</c:v>
                </c:pt>
                <c:pt idx="242">
                  <c:v>15.333333333333334</c:v>
                </c:pt>
                <c:pt idx="243">
                  <c:v>18.166666666666668</c:v>
                </c:pt>
                <c:pt idx="244">
                  <c:v>0</c:v>
                </c:pt>
                <c:pt idx="245">
                  <c:v>-14.666666666666666</c:v>
                </c:pt>
                <c:pt idx="246">
                  <c:v>-12.833333333333334</c:v>
                </c:pt>
                <c:pt idx="247">
                  <c:v>1.6666666666666667</c:v>
                </c:pt>
                <c:pt idx="248">
                  <c:v>-0.66666666666666663</c:v>
                </c:pt>
                <c:pt idx="249">
                  <c:v>-2.8333333333333335</c:v>
                </c:pt>
                <c:pt idx="250">
                  <c:v>-3</c:v>
                </c:pt>
                <c:pt idx="251">
                  <c:v>0</c:v>
                </c:pt>
                <c:pt idx="252">
                  <c:v>3.5</c:v>
                </c:pt>
                <c:pt idx="253">
                  <c:v>2.3333333333333335</c:v>
                </c:pt>
                <c:pt idx="254">
                  <c:v>1.5</c:v>
                </c:pt>
                <c:pt idx="255">
                  <c:v>0.66666666666666663</c:v>
                </c:pt>
                <c:pt idx="256">
                  <c:v>-1</c:v>
                </c:pt>
                <c:pt idx="257">
                  <c:v>-3</c:v>
                </c:pt>
                <c:pt idx="258">
                  <c:v>-7</c:v>
                </c:pt>
                <c:pt idx="259">
                  <c:v>-5.166666666666667</c:v>
                </c:pt>
                <c:pt idx="260">
                  <c:v>-2.6666666666666665</c:v>
                </c:pt>
                <c:pt idx="261">
                  <c:v>0</c:v>
                </c:pt>
                <c:pt idx="262">
                  <c:v>2.3333333333333335</c:v>
                </c:pt>
                <c:pt idx="263">
                  <c:v>-1.5</c:v>
                </c:pt>
                <c:pt idx="264">
                  <c:v>4.833333333333333</c:v>
                </c:pt>
                <c:pt idx="265">
                  <c:v>2.3333333333333335</c:v>
                </c:pt>
                <c:pt idx="266">
                  <c:v>5.333333333333333</c:v>
                </c:pt>
                <c:pt idx="267">
                  <c:v>-1.6666666666666667</c:v>
                </c:pt>
                <c:pt idx="268">
                  <c:v>2.1666666666666665</c:v>
                </c:pt>
                <c:pt idx="269">
                  <c:v>4.5</c:v>
                </c:pt>
                <c:pt idx="270">
                  <c:v>7.333333333333333</c:v>
                </c:pt>
                <c:pt idx="271">
                  <c:v>9.8333333333333339</c:v>
                </c:pt>
                <c:pt idx="272">
                  <c:v>-4.166666666666667</c:v>
                </c:pt>
                <c:pt idx="273">
                  <c:v>-7.833333333333333</c:v>
                </c:pt>
                <c:pt idx="274">
                  <c:v>-12.166666666666666</c:v>
                </c:pt>
                <c:pt idx="275">
                  <c:v>0</c:v>
                </c:pt>
                <c:pt idx="276">
                  <c:v>5.166666666666667</c:v>
                </c:pt>
                <c:pt idx="277">
                  <c:v>4.333333333333333</c:v>
                </c:pt>
                <c:pt idx="278">
                  <c:v>2</c:v>
                </c:pt>
                <c:pt idx="279">
                  <c:v>-3</c:v>
                </c:pt>
                <c:pt idx="280">
                  <c:v>-4.5</c:v>
                </c:pt>
                <c:pt idx="281">
                  <c:v>-3.1666666666666665</c:v>
                </c:pt>
                <c:pt idx="282">
                  <c:v>-1.5</c:v>
                </c:pt>
                <c:pt idx="283">
                  <c:v>0.5</c:v>
                </c:pt>
                <c:pt idx="284">
                  <c:v>1</c:v>
                </c:pt>
                <c:pt idx="285">
                  <c:v>0.5</c:v>
                </c:pt>
                <c:pt idx="286">
                  <c:v>-2.1666666666666665</c:v>
                </c:pt>
                <c:pt idx="287">
                  <c:v>0</c:v>
                </c:pt>
                <c:pt idx="288">
                  <c:v>-0.5</c:v>
                </c:pt>
                <c:pt idx="289">
                  <c:v>2.5</c:v>
                </c:pt>
                <c:pt idx="290">
                  <c:v>-0.16666666666666666</c:v>
                </c:pt>
                <c:pt idx="291">
                  <c:v>-7.666666666666667</c:v>
                </c:pt>
                <c:pt idx="292">
                  <c:v>-8.8333333333333339</c:v>
                </c:pt>
                <c:pt idx="293">
                  <c:v>0.33333333333333331</c:v>
                </c:pt>
                <c:pt idx="294">
                  <c:v>9.5</c:v>
                </c:pt>
                <c:pt idx="295">
                  <c:v>8.8333333333333339</c:v>
                </c:pt>
                <c:pt idx="296">
                  <c:v>-2.3333333333333335</c:v>
                </c:pt>
                <c:pt idx="297">
                  <c:v>-0.33333333333333331</c:v>
                </c:pt>
                <c:pt idx="298">
                  <c:v>7.333333333333333</c:v>
                </c:pt>
                <c:pt idx="299">
                  <c:v>9</c:v>
                </c:pt>
                <c:pt idx="300">
                  <c:v>2</c:v>
                </c:pt>
                <c:pt idx="301">
                  <c:v>1.1666666666666667</c:v>
                </c:pt>
                <c:pt idx="302">
                  <c:v>-5.666666666666667</c:v>
                </c:pt>
                <c:pt idx="303">
                  <c:v>-2</c:v>
                </c:pt>
                <c:pt idx="304">
                  <c:v>-7.5</c:v>
                </c:pt>
                <c:pt idx="305">
                  <c:v>-1</c:v>
                </c:pt>
                <c:pt idx="306">
                  <c:v>0.16666666666666666</c:v>
                </c:pt>
                <c:pt idx="307">
                  <c:v>-0.83333333333333337</c:v>
                </c:pt>
                <c:pt idx="308">
                  <c:v>0</c:v>
                </c:pt>
                <c:pt idx="309">
                  <c:v>-0.33333333333333331</c:v>
                </c:pt>
                <c:pt idx="310">
                  <c:v>-5.166666666666667</c:v>
                </c:pt>
                <c:pt idx="311">
                  <c:v>0</c:v>
                </c:pt>
                <c:pt idx="312">
                  <c:v>1.1666666666666667</c:v>
                </c:pt>
                <c:pt idx="313">
                  <c:v>6.666666666666667</c:v>
                </c:pt>
                <c:pt idx="314">
                  <c:v>8.8333333333333339</c:v>
                </c:pt>
                <c:pt idx="315">
                  <c:v>-1</c:v>
                </c:pt>
                <c:pt idx="316">
                  <c:v>-10.333333333333334</c:v>
                </c:pt>
                <c:pt idx="317">
                  <c:v>-10.666666666666666</c:v>
                </c:pt>
                <c:pt idx="318">
                  <c:v>-4.5</c:v>
                </c:pt>
                <c:pt idx="319">
                  <c:v>5</c:v>
                </c:pt>
                <c:pt idx="320">
                  <c:v>-2.6666666666666665</c:v>
                </c:pt>
                <c:pt idx="321">
                  <c:v>0.66666666666666663</c:v>
                </c:pt>
                <c:pt idx="322">
                  <c:v>3.6666666666666665</c:v>
                </c:pt>
                <c:pt idx="323">
                  <c:v>4.5</c:v>
                </c:pt>
                <c:pt idx="324">
                  <c:v>-0.66666666666666663</c:v>
                </c:pt>
                <c:pt idx="325">
                  <c:v>-0.16666666666666666</c:v>
                </c:pt>
                <c:pt idx="326">
                  <c:v>-1.5</c:v>
                </c:pt>
                <c:pt idx="327">
                  <c:v>4.5</c:v>
                </c:pt>
                <c:pt idx="328">
                  <c:v>16.333333333333332</c:v>
                </c:pt>
                <c:pt idx="329">
                  <c:v>3.5</c:v>
                </c:pt>
                <c:pt idx="330">
                  <c:v>2.1666666666666665</c:v>
                </c:pt>
                <c:pt idx="331">
                  <c:v>-11.166666666666666</c:v>
                </c:pt>
                <c:pt idx="332">
                  <c:v>-2</c:v>
                </c:pt>
                <c:pt idx="333">
                  <c:v>-3.8333333333333335</c:v>
                </c:pt>
                <c:pt idx="334">
                  <c:v>-8.1666666666666661</c:v>
                </c:pt>
                <c:pt idx="335">
                  <c:v>0</c:v>
                </c:pt>
                <c:pt idx="336">
                  <c:v>5.5</c:v>
                </c:pt>
                <c:pt idx="337">
                  <c:v>6.666666666666667</c:v>
                </c:pt>
                <c:pt idx="338">
                  <c:v>1.1666666666666667</c:v>
                </c:pt>
                <c:pt idx="339">
                  <c:v>-1.5</c:v>
                </c:pt>
                <c:pt idx="340">
                  <c:v>-3.5</c:v>
                </c:pt>
                <c:pt idx="341">
                  <c:v>-4.166666666666667</c:v>
                </c:pt>
                <c:pt idx="342">
                  <c:v>-3.5</c:v>
                </c:pt>
                <c:pt idx="343">
                  <c:v>0</c:v>
                </c:pt>
                <c:pt idx="344">
                  <c:v>3</c:v>
                </c:pt>
                <c:pt idx="345">
                  <c:v>-4.166666666666667</c:v>
                </c:pt>
                <c:pt idx="346">
                  <c:v>-2.3333333333333335</c:v>
                </c:pt>
                <c:pt idx="347">
                  <c:v>0</c:v>
                </c:pt>
                <c:pt idx="348">
                  <c:v>7.166666666666667</c:v>
                </c:pt>
                <c:pt idx="349">
                  <c:v>2.3333333333333335</c:v>
                </c:pt>
                <c:pt idx="350">
                  <c:v>-15.5</c:v>
                </c:pt>
                <c:pt idx="351">
                  <c:v>-9.3333333333333339</c:v>
                </c:pt>
                <c:pt idx="352">
                  <c:v>-5.166666666666667</c:v>
                </c:pt>
                <c:pt idx="353">
                  <c:v>15.5</c:v>
                </c:pt>
                <c:pt idx="354">
                  <c:v>7.833333333333333</c:v>
                </c:pt>
                <c:pt idx="355">
                  <c:v>8.1666666666666661</c:v>
                </c:pt>
                <c:pt idx="356">
                  <c:v>5.5</c:v>
                </c:pt>
                <c:pt idx="357">
                  <c:v>14.5</c:v>
                </c:pt>
                <c:pt idx="358">
                  <c:v>-2.1666666666666665</c:v>
                </c:pt>
                <c:pt idx="359">
                  <c:v>-5.5</c:v>
                </c:pt>
                <c:pt idx="360">
                  <c:v>-15.833333333333334</c:v>
                </c:pt>
                <c:pt idx="361">
                  <c:v>-0.83333333333333337</c:v>
                </c:pt>
                <c:pt idx="362">
                  <c:v>12.666666666666666</c:v>
                </c:pt>
                <c:pt idx="363">
                  <c:v>1</c:v>
                </c:pt>
                <c:pt idx="364">
                  <c:v>-0.33333333333333331</c:v>
                </c:pt>
                <c:pt idx="365">
                  <c:v>-13.5</c:v>
                </c:pt>
                <c:pt idx="366">
                  <c:v>-0.66666666666666663</c:v>
                </c:pt>
                <c:pt idx="367">
                  <c:v>0</c:v>
                </c:pt>
                <c:pt idx="368">
                  <c:v>0.83333333333333337</c:v>
                </c:pt>
                <c:pt idx="369">
                  <c:v>-1.8333333333333333</c:v>
                </c:pt>
                <c:pt idx="370">
                  <c:v>-1.5</c:v>
                </c:pt>
                <c:pt idx="371">
                  <c:v>-0.83333333333333337</c:v>
                </c:pt>
                <c:pt idx="372">
                  <c:v>2.5</c:v>
                </c:pt>
                <c:pt idx="373">
                  <c:v>3.3333333333333335</c:v>
                </c:pt>
                <c:pt idx="374">
                  <c:v>1.3333333333333333</c:v>
                </c:pt>
                <c:pt idx="375">
                  <c:v>0</c:v>
                </c:pt>
                <c:pt idx="376">
                  <c:v>-11.166666666666666</c:v>
                </c:pt>
                <c:pt idx="377">
                  <c:v>-7</c:v>
                </c:pt>
                <c:pt idx="378">
                  <c:v>-3.5</c:v>
                </c:pt>
                <c:pt idx="379">
                  <c:v>8.8333333333333339</c:v>
                </c:pt>
                <c:pt idx="380">
                  <c:v>6.166666666666667</c:v>
                </c:pt>
                <c:pt idx="381">
                  <c:v>3.5</c:v>
                </c:pt>
                <c:pt idx="382">
                  <c:v>1</c:v>
                </c:pt>
                <c:pt idx="383">
                  <c:v>0.33333333333333331</c:v>
                </c:pt>
                <c:pt idx="384">
                  <c:v>0.66666666666666663</c:v>
                </c:pt>
                <c:pt idx="385">
                  <c:v>-0.16666666666666666</c:v>
                </c:pt>
                <c:pt idx="386">
                  <c:v>8.8333333333333339</c:v>
                </c:pt>
                <c:pt idx="387">
                  <c:v>0.83333333333333337</c:v>
                </c:pt>
                <c:pt idx="388">
                  <c:v>8</c:v>
                </c:pt>
                <c:pt idx="389">
                  <c:v>-8.1666666666666661</c:v>
                </c:pt>
                <c:pt idx="390">
                  <c:v>0.33333333333333331</c:v>
                </c:pt>
                <c:pt idx="391">
                  <c:v>-8</c:v>
                </c:pt>
                <c:pt idx="392">
                  <c:v>-1.3333333333333333</c:v>
                </c:pt>
                <c:pt idx="393">
                  <c:v>-7.166666666666667</c:v>
                </c:pt>
                <c:pt idx="394">
                  <c:v>0</c:v>
                </c:pt>
                <c:pt idx="395">
                  <c:v>3.3333333333333335</c:v>
                </c:pt>
                <c:pt idx="396">
                  <c:v>8</c:v>
                </c:pt>
                <c:pt idx="397">
                  <c:v>1.3333333333333333</c:v>
                </c:pt>
                <c:pt idx="398">
                  <c:v>2.8333333333333335</c:v>
                </c:pt>
                <c:pt idx="399">
                  <c:v>-2.6666666666666665</c:v>
                </c:pt>
                <c:pt idx="400">
                  <c:v>-2.6666666666666665</c:v>
                </c:pt>
                <c:pt idx="401">
                  <c:v>-9.1666666666666661</c:v>
                </c:pt>
                <c:pt idx="402">
                  <c:v>0</c:v>
                </c:pt>
                <c:pt idx="403">
                  <c:v>3.6666666666666665</c:v>
                </c:pt>
                <c:pt idx="404">
                  <c:v>3.6666666666666665</c:v>
                </c:pt>
                <c:pt idx="405">
                  <c:v>-3.5</c:v>
                </c:pt>
                <c:pt idx="406">
                  <c:v>-2.3333333333333335</c:v>
                </c:pt>
                <c:pt idx="407">
                  <c:v>0</c:v>
                </c:pt>
                <c:pt idx="408">
                  <c:v>-2.3333333333333335</c:v>
                </c:pt>
                <c:pt idx="409">
                  <c:v>-4</c:v>
                </c:pt>
                <c:pt idx="410">
                  <c:v>-0.33333333333333331</c:v>
                </c:pt>
                <c:pt idx="411">
                  <c:v>-5.833333333333333</c:v>
                </c:pt>
                <c:pt idx="412">
                  <c:v>-7.833333333333333</c:v>
                </c:pt>
                <c:pt idx="413">
                  <c:v>0.33333333333333331</c:v>
                </c:pt>
                <c:pt idx="414">
                  <c:v>13.666666666666666</c:v>
                </c:pt>
                <c:pt idx="415">
                  <c:v>14.833333333333334</c:v>
                </c:pt>
                <c:pt idx="416">
                  <c:v>13</c:v>
                </c:pt>
                <c:pt idx="417">
                  <c:v>3.8333333333333335</c:v>
                </c:pt>
                <c:pt idx="418">
                  <c:v>-1.5</c:v>
                </c:pt>
                <c:pt idx="419">
                  <c:v>-10.833333333333334</c:v>
                </c:pt>
                <c:pt idx="420">
                  <c:v>-5.833333333333333</c:v>
                </c:pt>
                <c:pt idx="421">
                  <c:v>-1.5</c:v>
                </c:pt>
                <c:pt idx="422">
                  <c:v>-1.8333333333333333</c:v>
                </c:pt>
                <c:pt idx="423">
                  <c:v>6.333333333333333</c:v>
                </c:pt>
                <c:pt idx="424">
                  <c:v>0</c:v>
                </c:pt>
                <c:pt idx="425">
                  <c:v>-0.83333333333333337</c:v>
                </c:pt>
                <c:pt idx="426">
                  <c:v>-6.833333333333333</c:v>
                </c:pt>
                <c:pt idx="427">
                  <c:v>0</c:v>
                </c:pt>
                <c:pt idx="428">
                  <c:v>0.5</c:v>
                </c:pt>
                <c:pt idx="429">
                  <c:v>1.1666666666666667</c:v>
                </c:pt>
                <c:pt idx="430">
                  <c:v>-3.5</c:v>
                </c:pt>
                <c:pt idx="431">
                  <c:v>0.66666666666666663</c:v>
                </c:pt>
                <c:pt idx="432">
                  <c:v>-0.66666666666666663</c:v>
                </c:pt>
                <c:pt idx="433">
                  <c:v>7.833333333333333</c:v>
                </c:pt>
                <c:pt idx="434">
                  <c:v>-0.66666666666666663</c:v>
                </c:pt>
                <c:pt idx="435">
                  <c:v>-1.5</c:v>
                </c:pt>
                <c:pt idx="436">
                  <c:v>-7</c:v>
                </c:pt>
                <c:pt idx="437">
                  <c:v>-0.16666666666666666</c:v>
                </c:pt>
                <c:pt idx="438">
                  <c:v>0.66666666666666663</c:v>
                </c:pt>
                <c:pt idx="439">
                  <c:v>-2.8333333333333335</c:v>
                </c:pt>
                <c:pt idx="440">
                  <c:v>0.16666666666666666</c:v>
                </c:pt>
                <c:pt idx="441">
                  <c:v>-2</c:v>
                </c:pt>
                <c:pt idx="442">
                  <c:v>5.5</c:v>
                </c:pt>
                <c:pt idx="443">
                  <c:v>-2.8333333333333335</c:v>
                </c:pt>
                <c:pt idx="444">
                  <c:v>-5.5</c:v>
                </c:pt>
                <c:pt idx="445">
                  <c:v>0</c:v>
                </c:pt>
                <c:pt idx="446">
                  <c:v>2.8333333333333335</c:v>
                </c:pt>
                <c:pt idx="447">
                  <c:v>13.5</c:v>
                </c:pt>
                <c:pt idx="448">
                  <c:v>10.333333333333334</c:v>
                </c:pt>
                <c:pt idx="449">
                  <c:v>1.1666666666666667</c:v>
                </c:pt>
                <c:pt idx="450">
                  <c:v>-3</c:v>
                </c:pt>
                <c:pt idx="451">
                  <c:v>-5.666666666666667</c:v>
                </c:pt>
                <c:pt idx="452">
                  <c:v>-1.1666666666666667</c:v>
                </c:pt>
                <c:pt idx="453">
                  <c:v>-2.8333333333333335</c:v>
                </c:pt>
                <c:pt idx="454">
                  <c:v>-4.666666666666667</c:v>
                </c:pt>
                <c:pt idx="455">
                  <c:v>-0.66666666666666663</c:v>
                </c:pt>
                <c:pt idx="456">
                  <c:v>1.5</c:v>
                </c:pt>
                <c:pt idx="457">
                  <c:v>0</c:v>
                </c:pt>
                <c:pt idx="458">
                  <c:v>3</c:v>
                </c:pt>
                <c:pt idx="459">
                  <c:v>-0.83333333333333337</c:v>
                </c:pt>
                <c:pt idx="460">
                  <c:v>-3.1666666666666665</c:v>
                </c:pt>
                <c:pt idx="461">
                  <c:v>-5.333333333333333</c:v>
                </c:pt>
                <c:pt idx="462">
                  <c:v>0</c:v>
                </c:pt>
                <c:pt idx="463">
                  <c:v>3.1666666666666665</c:v>
                </c:pt>
                <c:pt idx="464">
                  <c:v>3.3333333333333335</c:v>
                </c:pt>
                <c:pt idx="465">
                  <c:v>-1.5</c:v>
                </c:pt>
                <c:pt idx="466">
                  <c:v>1.5</c:v>
                </c:pt>
                <c:pt idx="467">
                  <c:v>-7.166666666666667</c:v>
                </c:pt>
                <c:pt idx="468">
                  <c:v>6.666666666666667</c:v>
                </c:pt>
                <c:pt idx="469">
                  <c:v>-3.8333333333333335</c:v>
                </c:pt>
                <c:pt idx="470">
                  <c:v>6.833333333333333</c:v>
                </c:pt>
                <c:pt idx="471">
                  <c:v>-12.5</c:v>
                </c:pt>
                <c:pt idx="472">
                  <c:v>-5</c:v>
                </c:pt>
                <c:pt idx="473">
                  <c:v>-2.3333333333333335</c:v>
                </c:pt>
                <c:pt idx="474">
                  <c:v>6.333333333333333</c:v>
                </c:pt>
                <c:pt idx="475">
                  <c:v>7.333333333333333</c:v>
                </c:pt>
                <c:pt idx="476">
                  <c:v>0.83333333333333337</c:v>
                </c:pt>
                <c:pt idx="477">
                  <c:v>1</c:v>
                </c:pt>
                <c:pt idx="478">
                  <c:v>13.5</c:v>
                </c:pt>
                <c:pt idx="479">
                  <c:v>1.6666666666666667</c:v>
                </c:pt>
                <c:pt idx="480">
                  <c:v>7.333333333333333</c:v>
                </c:pt>
                <c:pt idx="481">
                  <c:v>-7.833333333333333</c:v>
                </c:pt>
                <c:pt idx="482">
                  <c:v>5.333333333333333</c:v>
                </c:pt>
                <c:pt idx="483">
                  <c:v>-7.333333333333333</c:v>
                </c:pt>
                <c:pt idx="484">
                  <c:v>-10.833333333333334</c:v>
                </c:pt>
                <c:pt idx="485">
                  <c:v>-7.833333333333333</c:v>
                </c:pt>
                <c:pt idx="486">
                  <c:v>0</c:v>
                </c:pt>
                <c:pt idx="487">
                  <c:v>9.8333333333333339</c:v>
                </c:pt>
                <c:pt idx="488">
                  <c:v>2.3333333333333335</c:v>
                </c:pt>
                <c:pt idx="489">
                  <c:v>-0.66666666666666663</c:v>
                </c:pt>
                <c:pt idx="490">
                  <c:v>-7.333333333333333</c:v>
                </c:pt>
                <c:pt idx="491">
                  <c:v>0</c:v>
                </c:pt>
                <c:pt idx="492">
                  <c:v>6</c:v>
                </c:pt>
                <c:pt idx="493">
                  <c:v>3.1666666666666665</c:v>
                </c:pt>
                <c:pt idx="494">
                  <c:v>-0.5</c:v>
                </c:pt>
                <c:pt idx="495">
                  <c:v>-21.5</c:v>
                </c:pt>
                <c:pt idx="496">
                  <c:v>-10.166666666666666</c:v>
                </c:pt>
                <c:pt idx="497">
                  <c:v>-3.3333333333333335</c:v>
                </c:pt>
                <c:pt idx="498">
                  <c:v>16</c:v>
                </c:pt>
                <c:pt idx="499">
                  <c:v>7.333333333333333</c:v>
                </c:pt>
                <c:pt idx="500">
                  <c:v>6.166666666666667</c:v>
                </c:pt>
                <c:pt idx="501">
                  <c:v>4.5</c:v>
                </c:pt>
                <c:pt idx="502">
                  <c:v>11.5</c:v>
                </c:pt>
                <c:pt idx="503">
                  <c:v>-2.3333333333333335</c:v>
                </c:pt>
                <c:pt idx="504">
                  <c:v>-6</c:v>
                </c:pt>
                <c:pt idx="505">
                  <c:v>-9.1666666666666661</c:v>
                </c:pt>
                <c:pt idx="506">
                  <c:v>10</c:v>
                </c:pt>
                <c:pt idx="507">
                  <c:v>2.6666666666666665</c:v>
                </c:pt>
                <c:pt idx="508">
                  <c:v>7.5</c:v>
                </c:pt>
                <c:pt idx="509">
                  <c:v>-10</c:v>
                </c:pt>
                <c:pt idx="510">
                  <c:v>-4</c:v>
                </c:pt>
                <c:pt idx="511">
                  <c:v>-8</c:v>
                </c:pt>
                <c:pt idx="512">
                  <c:v>-1.1666666666666667</c:v>
                </c:pt>
                <c:pt idx="513">
                  <c:v>3</c:v>
                </c:pt>
                <c:pt idx="514">
                  <c:v>0.5</c:v>
                </c:pt>
                <c:pt idx="515">
                  <c:v>1.1666666666666667</c:v>
                </c:pt>
                <c:pt idx="516">
                  <c:v>0.66666666666666663</c:v>
                </c:pt>
                <c:pt idx="517">
                  <c:v>0</c:v>
                </c:pt>
                <c:pt idx="518">
                  <c:v>0.16666666666666666</c:v>
                </c:pt>
                <c:pt idx="519">
                  <c:v>-0.66666666666666663</c:v>
                </c:pt>
                <c:pt idx="520">
                  <c:v>-7.333333333333333</c:v>
                </c:pt>
                <c:pt idx="521">
                  <c:v>-7.166666666666667</c:v>
                </c:pt>
                <c:pt idx="522">
                  <c:v>-0.16666666666666666</c:v>
                </c:pt>
                <c:pt idx="523">
                  <c:v>6</c:v>
                </c:pt>
                <c:pt idx="524">
                  <c:v>7</c:v>
                </c:pt>
                <c:pt idx="525">
                  <c:v>-4.333333333333333</c:v>
                </c:pt>
                <c:pt idx="526">
                  <c:v>6</c:v>
                </c:pt>
                <c:pt idx="527">
                  <c:v>-4.666666666666667</c:v>
                </c:pt>
                <c:pt idx="528">
                  <c:v>5.333333333333333</c:v>
                </c:pt>
                <c:pt idx="529">
                  <c:v>-8.3333333333333339</c:v>
                </c:pt>
                <c:pt idx="530">
                  <c:v>8.3333333333333339</c:v>
                </c:pt>
                <c:pt idx="531">
                  <c:v>4.166666666666667</c:v>
                </c:pt>
                <c:pt idx="532">
                  <c:v>22.666666666666668</c:v>
                </c:pt>
                <c:pt idx="533">
                  <c:v>-3.6666666666666665</c:v>
                </c:pt>
                <c:pt idx="534">
                  <c:v>-5</c:v>
                </c:pt>
                <c:pt idx="535">
                  <c:v>-21.833333333333332</c:v>
                </c:pt>
                <c:pt idx="536">
                  <c:v>-1.6666666666666667</c:v>
                </c:pt>
                <c:pt idx="537">
                  <c:v>-5</c:v>
                </c:pt>
                <c:pt idx="538">
                  <c:v>2.8333333333333335</c:v>
                </c:pt>
                <c:pt idx="539">
                  <c:v>1</c:v>
                </c:pt>
                <c:pt idx="540">
                  <c:v>6.666666666666667</c:v>
                </c:pt>
                <c:pt idx="541">
                  <c:v>4.833333333333333</c:v>
                </c:pt>
                <c:pt idx="542">
                  <c:v>0.66666666666666663</c:v>
                </c:pt>
                <c:pt idx="543">
                  <c:v>-8</c:v>
                </c:pt>
                <c:pt idx="544">
                  <c:v>-8.5</c:v>
                </c:pt>
                <c:pt idx="545">
                  <c:v>-3.3333333333333335</c:v>
                </c:pt>
                <c:pt idx="546">
                  <c:v>3.3333333333333335</c:v>
                </c:pt>
                <c:pt idx="547">
                  <c:v>2.8333333333333335</c:v>
                </c:pt>
                <c:pt idx="548">
                  <c:v>-2.6666666666666665</c:v>
                </c:pt>
                <c:pt idx="549">
                  <c:v>3</c:v>
                </c:pt>
                <c:pt idx="550">
                  <c:v>0.83333333333333337</c:v>
                </c:pt>
                <c:pt idx="551">
                  <c:v>7</c:v>
                </c:pt>
                <c:pt idx="552">
                  <c:v>1.3333333333333333</c:v>
                </c:pt>
                <c:pt idx="553">
                  <c:v>3</c:v>
                </c:pt>
                <c:pt idx="554">
                  <c:v>7.666666666666667</c:v>
                </c:pt>
                <c:pt idx="555">
                  <c:v>3.8333333333333335</c:v>
                </c:pt>
                <c:pt idx="556">
                  <c:v>-3</c:v>
                </c:pt>
                <c:pt idx="557">
                  <c:v>-10.166666666666666</c:v>
                </c:pt>
                <c:pt idx="558">
                  <c:v>-5.166666666666667</c:v>
                </c:pt>
                <c:pt idx="559">
                  <c:v>0.83333333333333337</c:v>
                </c:pt>
                <c:pt idx="560">
                  <c:v>1.5</c:v>
                </c:pt>
                <c:pt idx="561">
                  <c:v>0.33333333333333331</c:v>
                </c:pt>
                <c:pt idx="562">
                  <c:v>0.16666666666666666</c:v>
                </c:pt>
                <c:pt idx="563">
                  <c:v>0</c:v>
                </c:pt>
                <c:pt idx="564">
                  <c:v>-0.33333333333333331</c:v>
                </c:pt>
                <c:pt idx="565">
                  <c:v>1</c:v>
                </c:pt>
                <c:pt idx="566">
                  <c:v>5.333333333333333</c:v>
                </c:pt>
                <c:pt idx="567">
                  <c:v>0</c:v>
                </c:pt>
                <c:pt idx="568">
                  <c:v>-2</c:v>
                </c:pt>
                <c:pt idx="569">
                  <c:v>-6</c:v>
                </c:pt>
                <c:pt idx="570">
                  <c:v>-2</c:v>
                </c:pt>
                <c:pt idx="571">
                  <c:v>-2.3333333333333335</c:v>
                </c:pt>
                <c:pt idx="572">
                  <c:v>-3.8333333333333335</c:v>
                </c:pt>
                <c:pt idx="573">
                  <c:v>-2.6666666666666665</c:v>
                </c:pt>
                <c:pt idx="574">
                  <c:v>2.3333333333333335</c:v>
                </c:pt>
                <c:pt idx="575">
                  <c:v>4.5</c:v>
                </c:pt>
                <c:pt idx="576">
                  <c:v>6.333333333333333</c:v>
                </c:pt>
                <c:pt idx="577">
                  <c:v>0</c:v>
                </c:pt>
                <c:pt idx="578">
                  <c:v>4.166666666666667</c:v>
                </c:pt>
                <c:pt idx="579">
                  <c:v>-1.6666666666666667</c:v>
                </c:pt>
                <c:pt idx="580">
                  <c:v>-7.666666666666667</c:v>
                </c:pt>
                <c:pt idx="581">
                  <c:v>-8.6666666666666661</c:v>
                </c:pt>
                <c:pt idx="582">
                  <c:v>-3.1666666666666665</c:v>
                </c:pt>
                <c:pt idx="583">
                  <c:v>9.5</c:v>
                </c:pt>
                <c:pt idx="584">
                  <c:v>2.6666666666666665</c:v>
                </c:pt>
                <c:pt idx="585">
                  <c:v>3.6666666666666665</c:v>
                </c:pt>
                <c:pt idx="586">
                  <c:v>-4.333333333333333</c:v>
                </c:pt>
                <c:pt idx="587">
                  <c:v>1.8333333333333333</c:v>
                </c:pt>
                <c:pt idx="588">
                  <c:v>-0.5</c:v>
                </c:pt>
                <c:pt idx="589">
                  <c:v>14.333333333333334</c:v>
                </c:pt>
                <c:pt idx="590">
                  <c:v>4</c:v>
                </c:pt>
                <c:pt idx="591">
                  <c:v>0</c:v>
                </c:pt>
                <c:pt idx="592">
                  <c:v>-11.833333333333334</c:v>
                </c:pt>
                <c:pt idx="593">
                  <c:v>-2.5</c:v>
                </c:pt>
                <c:pt idx="594">
                  <c:v>2.6666666666666665</c:v>
                </c:pt>
                <c:pt idx="595">
                  <c:v>0</c:v>
                </c:pt>
                <c:pt idx="596">
                  <c:v>-2.5</c:v>
                </c:pt>
                <c:pt idx="597">
                  <c:v>-6.166666666666667</c:v>
                </c:pt>
                <c:pt idx="598">
                  <c:v>0</c:v>
                </c:pt>
                <c:pt idx="599">
                  <c:v>2.8333333333333335</c:v>
                </c:pt>
                <c:pt idx="600">
                  <c:v>3.5</c:v>
                </c:pt>
                <c:pt idx="601">
                  <c:v>0.83333333333333337</c:v>
                </c:pt>
                <c:pt idx="602">
                  <c:v>-0.5</c:v>
                </c:pt>
                <c:pt idx="603">
                  <c:v>0</c:v>
                </c:pt>
                <c:pt idx="604">
                  <c:v>-3.3333333333333335</c:v>
                </c:pt>
                <c:pt idx="605">
                  <c:v>-2.8333333333333335</c:v>
                </c:pt>
                <c:pt idx="606">
                  <c:v>0</c:v>
                </c:pt>
                <c:pt idx="607">
                  <c:v>1.8333333333333333</c:v>
                </c:pt>
                <c:pt idx="608">
                  <c:v>-2.3333333333333335</c:v>
                </c:pt>
                <c:pt idx="609">
                  <c:v>-2.1666666666666665</c:v>
                </c:pt>
                <c:pt idx="610">
                  <c:v>-3.8333333333333335</c:v>
                </c:pt>
                <c:pt idx="611">
                  <c:v>0.16666666666666666</c:v>
                </c:pt>
                <c:pt idx="612">
                  <c:v>2.1666666666666665</c:v>
                </c:pt>
                <c:pt idx="613">
                  <c:v>4.5</c:v>
                </c:pt>
                <c:pt idx="614">
                  <c:v>9</c:v>
                </c:pt>
                <c:pt idx="615">
                  <c:v>10.833333333333334</c:v>
                </c:pt>
                <c:pt idx="616">
                  <c:v>0</c:v>
                </c:pt>
                <c:pt idx="617">
                  <c:v>-6.166666666666667</c:v>
                </c:pt>
                <c:pt idx="618">
                  <c:v>-10.833333333333334</c:v>
                </c:pt>
                <c:pt idx="619">
                  <c:v>0.5</c:v>
                </c:pt>
                <c:pt idx="620">
                  <c:v>5</c:v>
                </c:pt>
                <c:pt idx="621">
                  <c:v>-4.166666666666667</c:v>
                </c:pt>
                <c:pt idx="622">
                  <c:v>-2.6666666666666665</c:v>
                </c:pt>
                <c:pt idx="623">
                  <c:v>-4.166666666666667</c:v>
                </c:pt>
                <c:pt idx="624">
                  <c:v>5</c:v>
                </c:pt>
                <c:pt idx="625">
                  <c:v>9.5</c:v>
                </c:pt>
                <c:pt idx="626">
                  <c:v>-3.8333333333333335</c:v>
                </c:pt>
                <c:pt idx="627">
                  <c:v>-0.83333333333333337</c:v>
                </c:pt>
                <c:pt idx="628">
                  <c:v>-8.1666666666666661</c:v>
                </c:pt>
                <c:pt idx="629">
                  <c:v>3.6666666666666665</c:v>
                </c:pt>
                <c:pt idx="630">
                  <c:v>-7.333333333333333</c:v>
                </c:pt>
                <c:pt idx="631">
                  <c:v>0.33333333333333331</c:v>
                </c:pt>
                <c:pt idx="632">
                  <c:v>0.16666666666666666</c:v>
                </c:pt>
                <c:pt idx="633">
                  <c:v>5.5</c:v>
                </c:pt>
                <c:pt idx="634">
                  <c:v>0.5</c:v>
                </c:pt>
                <c:pt idx="635">
                  <c:v>-2.8333333333333335</c:v>
                </c:pt>
                <c:pt idx="636">
                  <c:v>-3.5</c:v>
                </c:pt>
                <c:pt idx="637">
                  <c:v>-1.5</c:v>
                </c:pt>
                <c:pt idx="638">
                  <c:v>-3.5</c:v>
                </c:pt>
                <c:pt idx="639">
                  <c:v>5.333333333333333</c:v>
                </c:pt>
                <c:pt idx="640">
                  <c:v>15.833333333333334</c:v>
                </c:pt>
                <c:pt idx="641">
                  <c:v>11.666666666666666</c:v>
                </c:pt>
                <c:pt idx="642">
                  <c:v>10</c:v>
                </c:pt>
                <c:pt idx="643">
                  <c:v>-14.333333333333334</c:v>
                </c:pt>
                <c:pt idx="644">
                  <c:v>-4</c:v>
                </c:pt>
                <c:pt idx="645">
                  <c:v>-12.333333333333334</c:v>
                </c:pt>
                <c:pt idx="646">
                  <c:v>-3.5</c:v>
                </c:pt>
                <c:pt idx="647">
                  <c:v>-1.3333333333333333</c:v>
                </c:pt>
                <c:pt idx="648">
                  <c:v>4.666666666666667</c:v>
                </c:pt>
                <c:pt idx="649">
                  <c:v>9.5</c:v>
                </c:pt>
                <c:pt idx="650">
                  <c:v>0</c:v>
                </c:pt>
                <c:pt idx="651">
                  <c:v>-4.333333333333333</c:v>
                </c:pt>
                <c:pt idx="652">
                  <c:v>-15.666666666666666</c:v>
                </c:pt>
                <c:pt idx="653">
                  <c:v>-1.5</c:v>
                </c:pt>
                <c:pt idx="654">
                  <c:v>2</c:v>
                </c:pt>
                <c:pt idx="655">
                  <c:v>9.6666666666666661</c:v>
                </c:pt>
                <c:pt idx="656">
                  <c:v>0.16666666666666666</c:v>
                </c:pt>
                <c:pt idx="657">
                  <c:v>-5.666666666666667</c:v>
                </c:pt>
                <c:pt idx="658">
                  <c:v>0</c:v>
                </c:pt>
                <c:pt idx="659">
                  <c:v>2.8333333333333335</c:v>
                </c:pt>
                <c:pt idx="660">
                  <c:v>5.666666666666667</c:v>
                </c:pt>
                <c:pt idx="661">
                  <c:v>-4.666666666666667</c:v>
                </c:pt>
                <c:pt idx="662">
                  <c:v>-1.5</c:v>
                </c:pt>
                <c:pt idx="663">
                  <c:v>0.33333333333333331</c:v>
                </c:pt>
                <c:pt idx="664">
                  <c:v>18.333333333333332</c:v>
                </c:pt>
                <c:pt idx="665">
                  <c:v>0</c:v>
                </c:pt>
                <c:pt idx="666">
                  <c:v>-0.33333333333333331</c:v>
                </c:pt>
                <c:pt idx="667">
                  <c:v>-15.666666666666666</c:v>
                </c:pt>
                <c:pt idx="668">
                  <c:v>0</c:v>
                </c:pt>
                <c:pt idx="669">
                  <c:v>-5.5</c:v>
                </c:pt>
                <c:pt idx="670">
                  <c:v>2</c:v>
                </c:pt>
                <c:pt idx="671">
                  <c:v>7.666666666666667</c:v>
                </c:pt>
                <c:pt idx="672">
                  <c:v>6.833333333333333</c:v>
                </c:pt>
                <c:pt idx="673">
                  <c:v>3.8333333333333335</c:v>
                </c:pt>
                <c:pt idx="674">
                  <c:v>-3.6666666666666665</c:v>
                </c:pt>
                <c:pt idx="675">
                  <c:v>-1.3333333333333333</c:v>
                </c:pt>
                <c:pt idx="676">
                  <c:v>-5.333333333333333</c:v>
                </c:pt>
                <c:pt idx="677">
                  <c:v>-6.166666666666667</c:v>
                </c:pt>
                <c:pt idx="678">
                  <c:v>0</c:v>
                </c:pt>
                <c:pt idx="679">
                  <c:v>1.5</c:v>
                </c:pt>
                <c:pt idx="680">
                  <c:v>1.6666666666666667</c:v>
                </c:pt>
                <c:pt idx="681">
                  <c:v>0</c:v>
                </c:pt>
                <c:pt idx="682">
                  <c:v>-0.33333333333333331</c:v>
                </c:pt>
                <c:pt idx="683">
                  <c:v>0</c:v>
                </c:pt>
                <c:pt idx="684">
                  <c:v>-0.83333333333333337</c:v>
                </c:pt>
                <c:pt idx="685">
                  <c:v>-0.83333333333333337</c:v>
                </c:pt>
                <c:pt idx="686">
                  <c:v>-17</c:v>
                </c:pt>
                <c:pt idx="687">
                  <c:v>-12.666666666666666</c:v>
                </c:pt>
                <c:pt idx="688">
                  <c:v>-3.1666666666666665</c:v>
                </c:pt>
                <c:pt idx="689">
                  <c:v>17.5</c:v>
                </c:pt>
                <c:pt idx="690">
                  <c:v>13.5</c:v>
                </c:pt>
                <c:pt idx="691">
                  <c:v>25.333333333333332</c:v>
                </c:pt>
                <c:pt idx="692">
                  <c:v>13</c:v>
                </c:pt>
                <c:pt idx="693">
                  <c:v>0</c:v>
                </c:pt>
                <c:pt idx="694">
                  <c:v>-20.5</c:v>
                </c:pt>
                <c:pt idx="695">
                  <c:v>-12.333333333333334</c:v>
                </c:pt>
                <c:pt idx="696">
                  <c:v>0</c:v>
                </c:pt>
                <c:pt idx="697">
                  <c:v>-0.5</c:v>
                </c:pt>
                <c:pt idx="698">
                  <c:v>-3.1666666666666665</c:v>
                </c:pt>
                <c:pt idx="699">
                  <c:v>3.8333333333333335</c:v>
                </c:pt>
                <c:pt idx="700">
                  <c:v>1.8333333333333333</c:v>
                </c:pt>
                <c:pt idx="701">
                  <c:v>4</c:v>
                </c:pt>
                <c:pt idx="702">
                  <c:v>1.5</c:v>
                </c:pt>
                <c:pt idx="703">
                  <c:v>-1.8333333333333333</c:v>
                </c:pt>
                <c:pt idx="704">
                  <c:v>-2.8333333333333335</c:v>
                </c:pt>
                <c:pt idx="705">
                  <c:v>-13</c:v>
                </c:pt>
                <c:pt idx="706">
                  <c:v>-7.833333333333333</c:v>
                </c:pt>
                <c:pt idx="707">
                  <c:v>1.3333333333333333</c:v>
                </c:pt>
                <c:pt idx="708">
                  <c:v>6.333333333333333</c:v>
                </c:pt>
                <c:pt idx="709">
                  <c:v>9.6666666666666661</c:v>
                </c:pt>
                <c:pt idx="710">
                  <c:v>1</c:v>
                </c:pt>
                <c:pt idx="711">
                  <c:v>1.3333333333333333</c:v>
                </c:pt>
                <c:pt idx="712">
                  <c:v>-0.83333333333333337</c:v>
                </c:pt>
                <c:pt idx="713">
                  <c:v>-1</c:v>
                </c:pt>
                <c:pt idx="714">
                  <c:v>1.1666666666666667</c:v>
                </c:pt>
                <c:pt idx="715">
                  <c:v>-1</c:v>
                </c:pt>
                <c:pt idx="716">
                  <c:v>-0.5</c:v>
                </c:pt>
                <c:pt idx="717">
                  <c:v>-3.6666666666666665</c:v>
                </c:pt>
                <c:pt idx="718">
                  <c:v>-2</c:v>
                </c:pt>
                <c:pt idx="719">
                  <c:v>0.33333333333333331</c:v>
                </c:pt>
                <c:pt idx="720">
                  <c:v>-6.166666666666667</c:v>
                </c:pt>
                <c:pt idx="721">
                  <c:v>1</c:v>
                </c:pt>
                <c:pt idx="722">
                  <c:v>-8.6666666666666661</c:v>
                </c:pt>
                <c:pt idx="723">
                  <c:v>8.6666666666666661</c:v>
                </c:pt>
                <c:pt idx="724">
                  <c:v>16.833333333333332</c:v>
                </c:pt>
                <c:pt idx="725">
                  <c:v>13.666666666666666</c:v>
                </c:pt>
                <c:pt idx="726">
                  <c:v>8.1666666666666661</c:v>
                </c:pt>
                <c:pt idx="727">
                  <c:v>-14.833333333333334</c:v>
                </c:pt>
                <c:pt idx="728">
                  <c:v>-3.5</c:v>
                </c:pt>
                <c:pt idx="729">
                  <c:v>-8.1666666666666661</c:v>
                </c:pt>
                <c:pt idx="730">
                  <c:v>-3</c:v>
                </c:pt>
                <c:pt idx="731">
                  <c:v>-3.5</c:v>
                </c:pt>
                <c:pt idx="732">
                  <c:v>0</c:v>
                </c:pt>
                <c:pt idx="733">
                  <c:v>7.5</c:v>
                </c:pt>
                <c:pt idx="734">
                  <c:v>4.666666666666667</c:v>
                </c:pt>
                <c:pt idx="735">
                  <c:v>2.1666666666666665</c:v>
                </c:pt>
                <c:pt idx="736">
                  <c:v>-5.5</c:v>
                </c:pt>
                <c:pt idx="737">
                  <c:v>-2.6666666666666665</c:v>
                </c:pt>
                <c:pt idx="738">
                  <c:v>-6.333333333333333</c:v>
                </c:pt>
                <c:pt idx="739">
                  <c:v>0</c:v>
                </c:pt>
                <c:pt idx="740">
                  <c:v>-3.5</c:v>
                </c:pt>
                <c:pt idx="741">
                  <c:v>-0.66666666666666663</c:v>
                </c:pt>
                <c:pt idx="742">
                  <c:v>-4.666666666666667</c:v>
                </c:pt>
                <c:pt idx="743">
                  <c:v>1.6666666666666667</c:v>
                </c:pt>
                <c:pt idx="744">
                  <c:v>4.5</c:v>
                </c:pt>
                <c:pt idx="745">
                  <c:v>1.3333333333333333</c:v>
                </c:pt>
                <c:pt idx="746">
                  <c:v>-13.666666666666666</c:v>
                </c:pt>
                <c:pt idx="747">
                  <c:v>-0.33333333333333331</c:v>
                </c:pt>
                <c:pt idx="748">
                  <c:v>2.1666666666666665</c:v>
                </c:pt>
                <c:pt idx="749">
                  <c:v>15.666666666666666</c:v>
                </c:pt>
                <c:pt idx="750">
                  <c:v>19.666666666666668</c:v>
                </c:pt>
                <c:pt idx="751">
                  <c:v>16.166666666666668</c:v>
                </c:pt>
              </c:numCache>
            </c:numRef>
          </c:yVal>
          <c:smooth val="0"/>
        </c:ser>
        <c:ser>
          <c:idx val="5"/>
          <c:order val="1"/>
          <c:tx>
            <c:strRef>
              <c:f>offset_qbo_all_terms_70hPa!$G$2</c:f>
              <c:strCache>
                <c:ptCount val="1"/>
                <c:pt idx="0">
                  <c:v>Model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offset_qbo_all_terms_70hPa!$A$3:$A$756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offset_qbo_all_terms_70hPa!$G$3:$G$756</c:f>
              <c:numCache>
                <c:formatCode>General</c:formatCode>
                <c:ptCount val="754"/>
                <c:pt idx="2">
                  <c:v>2.6442912408355674</c:v>
                </c:pt>
                <c:pt idx="3">
                  <c:v>-1.3786077703812984</c:v>
                </c:pt>
                <c:pt idx="4">
                  <c:v>-3.7693099376244734</c:v>
                </c:pt>
                <c:pt idx="5">
                  <c:v>-3.9553934672630024</c:v>
                </c:pt>
                <c:pt idx="6">
                  <c:v>-2.3684400585350587</c:v>
                </c:pt>
                <c:pt idx="7">
                  <c:v>-0.85047511593811953</c:v>
                </c:pt>
                <c:pt idx="8">
                  <c:v>-0.4644702793990253</c:v>
                </c:pt>
                <c:pt idx="9">
                  <c:v>-0.88609085082776662</c:v>
                </c:pt>
                <c:pt idx="10">
                  <c:v>9.1228757167429342E-2</c:v>
                </c:pt>
                <c:pt idx="11">
                  <c:v>2.2334908622985381</c:v>
                </c:pt>
                <c:pt idx="12">
                  <c:v>2.2882698454903374</c:v>
                </c:pt>
                <c:pt idx="13">
                  <c:v>0.33075682826826475</c:v>
                </c:pt>
                <c:pt idx="14">
                  <c:v>-1.4253928375954579</c:v>
                </c:pt>
                <c:pt idx="15">
                  <c:v>-1.3708699691381148</c:v>
                </c:pt>
                <c:pt idx="16">
                  <c:v>-0.99563322521123609</c:v>
                </c:pt>
                <c:pt idx="17">
                  <c:v>-0.84380558262969696</c:v>
                </c:pt>
                <c:pt idx="18">
                  <c:v>-6.9233477368498109E-2</c:v>
                </c:pt>
                <c:pt idx="19">
                  <c:v>1.5950849963326525</c:v>
                </c:pt>
                <c:pt idx="20">
                  <c:v>1.7042383873152689</c:v>
                </c:pt>
                <c:pt idx="21">
                  <c:v>-0.27333553129233701</c:v>
                </c:pt>
                <c:pt idx="22">
                  <c:v>-1.6904948768743866</c:v>
                </c:pt>
                <c:pt idx="23">
                  <c:v>-1.2984809872284322</c:v>
                </c:pt>
                <c:pt idx="24">
                  <c:v>0.38085949755836362</c:v>
                </c:pt>
                <c:pt idx="25">
                  <c:v>4.0255200038232797</c:v>
                </c:pt>
                <c:pt idx="26">
                  <c:v>5.6107572856475834</c:v>
                </c:pt>
                <c:pt idx="27">
                  <c:v>3.4663854594903052</c:v>
                </c:pt>
                <c:pt idx="28">
                  <c:v>-1.388206121945099</c:v>
                </c:pt>
                <c:pt idx="29">
                  <c:v>-3.4658619350001603</c:v>
                </c:pt>
                <c:pt idx="30">
                  <c:v>-0.2842377967355636</c:v>
                </c:pt>
                <c:pt idx="31">
                  <c:v>1.8308594580412223</c:v>
                </c:pt>
                <c:pt idx="32">
                  <c:v>0.32900097491689168</c:v>
                </c:pt>
                <c:pt idx="33">
                  <c:v>-2.219484465801683</c:v>
                </c:pt>
                <c:pt idx="34">
                  <c:v>-2.5512950041338098</c:v>
                </c:pt>
                <c:pt idx="35">
                  <c:v>-0.71927274434221999</c:v>
                </c:pt>
                <c:pt idx="36">
                  <c:v>0.46382123343725357</c:v>
                </c:pt>
                <c:pt idx="37">
                  <c:v>-5.758339589950387E-2</c:v>
                </c:pt>
                <c:pt idx="38">
                  <c:v>-1.3807068937519869</c:v>
                </c:pt>
                <c:pt idx="39">
                  <c:v>-2.1788027185842038</c:v>
                </c:pt>
                <c:pt idx="40">
                  <c:v>-2.0686727886357104</c:v>
                </c:pt>
                <c:pt idx="41">
                  <c:v>-0.99372041811189638</c:v>
                </c:pt>
                <c:pt idx="42">
                  <c:v>0.6569073088547005</c:v>
                </c:pt>
                <c:pt idx="43">
                  <c:v>1.0734950683057358</c:v>
                </c:pt>
                <c:pt idx="44">
                  <c:v>-1.8807792062957862</c:v>
                </c:pt>
                <c:pt idx="45">
                  <c:v>-6.9651266412604986</c:v>
                </c:pt>
                <c:pt idx="46">
                  <c:v>-4.6520226630358641</c:v>
                </c:pt>
                <c:pt idx="47">
                  <c:v>1.6186758507478327</c:v>
                </c:pt>
                <c:pt idx="48">
                  <c:v>8.5084546546483022</c:v>
                </c:pt>
                <c:pt idx="49">
                  <c:v>10.690694913027869</c:v>
                </c:pt>
                <c:pt idx="50">
                  <c:v>11.341779985605243</c:v>
                </c:pt>
                <c:pt idx="51">
                  <c:v>4.8109218949155839</c:v>
                </c:pt>
                <c:pt idx="52">
                  <c:v>-3.1313573004261914</c:v>
                </c:pt>
                <c:pt idx="53">
                  <c:v>-9.4234343889780927</c:v>
                </c:pt>
                <c:pt idx="54">
                  <c:v>-4.9956474914410878</c:v>
                </c:pt>
                <c:pt idx="55">
                  <c:v>-0.86465988587802567</c:v>
                </c:pt>
                <c:pt idx="56">
                  <c:v>-4.8791803312974481E-2</c:v>
                </c:pt>
                <c:pt idx="57">
                  <c:v>-1.5946285789490504</c:v>
                </c:pt>
                <c:pt idx="58">
                  <c:v>-1.735061558680953</c:v>
                </c:pt>
                <c:pt idx="59">
                  <c:v>1.4159915988371004</c:v>
                </c:pt>
                <c:pt idx="60">
                  <c:v>4.2397265428683077</c:v>
                </c:pt>
                <c:pt idx="61">
                  <c:v>3.1745057375117316</c:v>
                </c:pt>
                <c:pt idx="62">
                  <c:v>-0.33379632965718431</c:v>
                </c:pt>
                <c:pt idx="63">
                  <c:v>-3.4472218829235168</c:v>
                </c:pt>
                <c:pt idx="64">
                  <c:v>-4.4722288508739174</c:v>
                </c:pt>
                <c:pt idx="65">
                  <c:v>-3.7298143631490954</c:v>
                </c:pt>
                <c:pt idx="66">
                  <c:v>-0.7250421486771037</c:v>
                </c:pt>
                <c:pt idx="67">
                  <c:v>1.9637184712262183</c:v>
                </c:pt>
                <c:pt idx="68">
                  <c:v>1.6011544864440379</c:v>
                </c:pt>
                <c:pt idx="69">
                  <c:v>-1.1591532733484542</c:v>
                </c:pt>
                <c:pt idx="70">
                  <c:v>-3.0558591447220165</c:v>
                </c:pt>
                <c:pt idx="71">
                  <c:v>-2.5311779619266446</c:v>
                </c:pt>
                <c:pt idx="72">
                  <c:v>-1.2289925493058682</c:v>
                </c:pt>
                <c:pt idx="73">
                  <c:v>0.18782644054185579</c:v>
                </c:pt>
                <c:pt idx="74">
                  <c:v>2.8441950105229252</c:v>
                </c:pt>
                <c:pt idx="75">
                  <c:v>4.8335662303243172</c:v>
                </c:pt>
                <c:pt idx="76">
                  <c:v>3.0843855825889612</c:v>
                </c:pt>
                <c:pt idx="77">
                  <c:v>1.4912930355508347</c:v>
                </c:pt>
                <c:pt idx="78">
                  <c:v>5.272777154846267</c:v>
                </c:pt>
                <c:pt idx="79">
                  <c:v>6.7142528189525494</c:v>
                </c:pt>
                <c:pt idx="80">
                  <c:v>3.4777126138799925</c:v>
                </c:pt>
                <c:pt idx="81">
                  <c:v>-4.5182570721961204</c:v>
                </c:pt>
                <c:pt idx="82">
                  <c:v>-6.5084459002946504</c:v>
                </c:pt>
                <c:pt idx="83">
                  <c:v>-4.0444885045600101</c:v>
                </c:pt>
                <c:pt idx="84">
                  <c:v>-1.2298487245532215</c:v>
                </c:pt>
                <c:pt idx="85">
                  <c:v>0.70607268991752037</c:v>
                </c:pt>
                <c:pt idx="86">
                  <c:v>0.96159130377644342</c:v>
                </c:pt>
                <c:pt idx="87">
                  <c:v>-0.55490230457029766</c:v>
                </c:pt>
                <c:pt idx="88">
                  <c:v>-2.4284780719383283</c:v>
                </c:pt>
                <c:pt idx="89">
                  <c:v>-3.0835809404771455</c:v>
                </c:pt>
                <c:pt idx="90">
                  <c:v>-1.4689311660838107</c:v>
                </c:pt>
                <c:pt idx="91">
                  <c:v>0.34564839113321949</c:v>
                </c:pt>
                <c:pt idx="92">
                  <c:v>6.0696436227116617E-2</c:v>
                </c:pt>
                <c:pt idx="93">
                  <c:v>-3.0607047544751977</c:v>
                </c:pt>
                <c:pt idx="94">
                  <c:v>-6.5581530176146563</c:v>
                </c:pt>
                <c:pt idx="95">
                  <c:v>-3.6536298570548222</c:v>
                </c:pt>
                <c:pt idx="96">
                  <c:v>2.6244974917776389</c:v>
                </c:pt>
                <c:pt idx="97">
                  <c:v>7.320054998330777</c:v>
                </c:pt>
                <c:pt idx="98">
                  <c:v>8.6239075389980595</c:v>
                </c:pt>
                <c:pt idx="99">
                  <c:v>7.3790889495913277</c:v>
                </c:pt>
                <c:pt idx="100">
                  <c:v>3.0158295872239376</c:v>
                </c:pt>
                <c:pt idx="101">
                  <c:v>-1.5217455343279456</c:v>
                </c:pt>
                <c:pt idx="102">
                  <c:v>-4.6309385652727491</c:v>
                </c:pt>
                <c:pt idx="103">
                  <c:v>-2.3543246426729865</c:v>
                </c:pt>
                <c:pt idx="104">
                  <c:v>-0.87235504640839379</c:v>
                </c:pt>
                <c:pt idx="105">
                  <c:v>-0.78289426348653712</c:v>
                </c:pt>
                <c:pt idx="106">
                  <c:v>-7.8619281020801662E-3</c:v>
                </c:pt>
                <c:pt idx="107">
                  <c:v>1.4473733614362099</c:v>
                </c:pt>
                <c:pt idx="108">
                  <c:v>2.5438393746327392</c:v>
                </c:pt>
                <c:pt idx="109">
                  <c:v>2.8040447646699422</c:v>
                </c:pt>
                <c:pt idx="110">
                  <c:v>1.0236996782217831</c:v>
                </c:pt>
                <c:pt idx="111">
                  <c:v>-1.2810977960474474</c:v>
                </c:pt>
                <c:pt idx="112">
                  <c:v>-3.3195858619251832</c:v>
                </c:pt>
                <c:pt idx="113">
                  <c:v>-3.9528322337074964</c:v>
                </c:pt>
                <c:pt idx="114">
                  <c:v>-2.6256727245556704</c:v>
                </c:pt>
                <c:pt idx="115">
                  <c:v>-0.80061996633217325</c:v>
                </c:pt>
                <c:pt idx="116">
                  <c:v>5.0322800867127176E-2</c:v>
                </c:pt>
                <c:pt idx="117">
                  <c:v>-0.52361073343527853</c:v>
                </c:pt>
                <c:pt idx="118">
                  <c:v>-0.79984005852910522</c:v>
                </c:pt>
                <c:pt idx="119">
                  <c:v>0.20416728304198464</c:v>
                </c:pt>
                <c:pt idx="120">
                  <c:v>0.59859884191622925</c:v>
                </c:pt>
                <c:pt idx="121">
                  <c:v>-0.71836816275342885</c:v>
                </c:pt>
                <c:pt idx="122">
                  <c:v>-3.8486600794698766</c:v>
                </c:pt>
                <c:pt idx="123">
                  <c:v>-8.1024010260682555</c:v>
                </c:pt>
                <c:pt idx="124">
                  <c:v>-3.4799021083879773</c:v>
                </c:pt>
                <c:pt idx="125">
                  <c:v>2.9177878510630375</c:v>
                </c:pt>
                <c:pt idx="126">
                  <c:v>10.242028270342489</c:v>
                </c:pt>
                <c:pt idx="127">
                  <c:v>9.7243016356610656</c:v>
                </c:pt>
                <c:pt idx="128">
                  <c:v>7.5228538288652134</c:v>
                </c:pt>
                <c:pt idx="129">
                  <c:v>3.5637419624298881</c:v>
                </c:pt>
                <c:pt idx="130">
                  <c:v>0.17452219920457709</c:v>
                </c:pt>
                <c:pt idx="131">
                  <c:v>-3.2584568379529282</c:v>
                </c:pt>
                <c:pt idx="132">
                  <c:v>-3.9161144347409724</c:v>
                </c:pt>
                <c:pt idx="133">
                  <c:v>-3.1178041392706861</c:v>
                </c:pt>
                <c:pt idx="134">
                  <c:v>-0.78170469297756817</c:v>
                </c:pt>
                <c:pt idx="135">
                  <c:v>1.0266197376119428</c:v>
                </c:pt>
                <c:pt idx="136">
                  <c:v>0.24662639408900305</c:v>
                </c:pt>
                <c:pt idx="137">
                  <c:v>-1.3503856353763164</c:v>
                </c:pt>
                <c:pt idx="138">
                  <c:v>-1.2981823900574987</c:v>
                </c:pt>
                <c:pt idx="139">
                  <c:v>-0.60806389744033895</c:v>
                </c:pt>
                <c:pt idx="140">
                  <c:v>-0.93719600277462034</c:v>
                </c:pt>
                <c:pt idx="141">
                  <c:v>-2.2589548940211404</c:v>
                </c:pt>
                <c:pt idx="142">
                  <c:v>-2.6831767949087788</c:v>
                </c:pt>
                <c:pt idx="143">
                  <c:v>-0.74351220962225473</c:v>
                </c:pt>
                <c:pt idx="144">
                  <c:v>2.4618553337988565</c:v>
                </c:pt>
                <c:pt idx="145">
                  <c:v>3.9989787509316788</c:v>
                </c:pt>
                <c:pt idx="146">
                  <c:v>2.2461186179395707</c:v>
                </c:pt>
                <c:pt idx="147">
                  <c:v>-0.95078606428445855</c:v>
                </c:pt>
                <c:pt idx="148">
                  <c:v>-3.2445582045914687</c:v>
                </c:pt>
                <c:pt idx="149">
                  <c:v>-2.987020407949831</c:v>
                </c:pt>
                <c:pt idx="150">
                  <c:v>-0.76903672892600916</c:v>
                </c:pt>
                <c:pt idx="151">
                  <c:v>0.43465716132250992</c:v>
                </c:pt>
                <c:pt idx="152">
                  <c:v>-2.1897911017876481</c:v>
                </c:pt>
                <c:pt idx="153">
                  <c:v>-7.2029390812295988</c:v>
                </c:pt>
                <c:pt idx="154">
                  <c:v>-3.8549486301916573</c:v>
                </c:pt>
                <c:pt idx="155">
                  <c:v>3.6306878493370345</c:v>
                </c:pt>
                <c:pt idx="156">
                  <c:v>10.580970047703488</c:v>
                </c:pt>
                <c:pt idx="157">
                  <c:v>9.5503435295552492</c:v>
                </c:pt>
                <c:pt idx="158">
                  <c:v>4.6424820497833279</c:v>
                </c:pt>
                <c:pt idx="159">
                  <c:v>0.90552582331712927</c:v>
                </c:pt>
                <c:pt idx="160">
                  <c:v>-3.2292520685747754</c:v>
                </c:pt>
                <c:pt idx="161">
                  <c:v>-3.9849782211796128</c:v>
                </c:pt>
                <c:pt idx="162">
                  <c:v>-1.8630565509229808</c:v>
                </c:pt>
                <c:pt idx="163">
                  <c:v>0.42787760077120729</c:v>
                </c:pt>
                <c:pt idx="164">
                  <c:v>0.54648154826847983</c:v>
                </c:pt>
                <c:pt idx="165">
                  <c:v>-1.4310596642264537</c:v>
                </c:pt>
                <c:pt idx="166">
                  <c:v>-2.287433976017716</c:v>
                </c:pt>
                <c:pt idx="167">
                  <c:v>-0.58531895767492492</c:v>
                </c:pt>
                <c:pt idx="168">
                  <c:v>1.7579627277468111</c:v>
                </c:pt>
                <c:pt idx="169">
                  <c:v>2.4066700680567163</c:v>
                </c:pt>
                <c:pt idx="170">
                  <c:v>1.0316875404404338</c:v>
                </c:pt>
                <c:pt idx="171">
                  <c:v>-1.8114601955549194</c:v>
                </c:pt>
                <c:pt idx="172">
                  <c:v>-4.0446560923051686</c:v>
                </c:pt>
                <c:pt idx="173">
                  <c:v>-3.977043138590981</c:v>
                </c:pt>
                <c:pt idx="174">
                  <c:v>-6.1046972652506304E-2</c:v>
                </c:pt>
                <c:pt idx="175">
                  <c:v>3.598692785227195</c:v>
                </c:pt>
                <c:pt idx="176">
                  <c:v>3.6125643245346133</c:v>
                </c:pt>
                <c:pt idx="177">
                  <c:v>-3.417088165316879E-2</c:v>
                </c:pt>
                <c:pt idx="178">
                  <c:v>-2.538845176706396</c:v>
                </c:pt>
                <c:pt idx="179">
                  <c:v>-1.5411353450583798</c:v>
                </c:pt>
                <c:pt idx="180">
                  <c:v>-0.10254519583537179</c:v>
                </c:pt>
                <c:pt idx="181">
                  <c:v>-0.23247524991581564</c:v>
                </c:pt>
                <c:pt idx="182">
                  <c:v>-1.2620143863670441</c:v>
                </c:pt>
                <c:pt idx="183">
                  <c:v>-2.2910774022633253</c:v>
                </c:pt>
                <c:pt idx="184">
                  <c:v>-3.4886662678173623</c:v>
                </c:pt>
                <c:pt idx="185">
                  <c:v>-2.5138152832183769</c:v>
                </c:pt>
                <c:pt idx="186">
                  <c:v>2.8135890634864582</c:v>
                </c:pt>
                <c:pt idx="187">
                  <c:v>6.3559806834945727</c:v>
                </c:pt>
                <c:pt idx="188">
                  <c:v>5.0600376471640569</c:v>
                </c:pt>
                <c:pt idx="189">
                  <c:v>-1.5645866276982532</c:v>
                </c:pt>
                <c:pt idx="190">
                  <c:v>-4.9838271974375719</c:v>
                </c:pt>
                <c:pt idx="191">
                  <c:v>-1.6555215826069334</c:v>
                </c:pt>
                <c:pt idx="192">
                  <c:v>4.720988010176999</c:v>
                </c:pt>
                <c:pt idx="193">
                  <c:v>11.249395236659149</c:v>
                </c:pt>
                <c:pt idx="194">
                  <c:v>8.3294625262144262</c:v>
                </c:pt>
                <c:pt idx="195">
                  <c:v>0.39732375283473309</c:v>
                </c:pt>
                <c:pt idx="196">
                  <c:v>-7.0972431437698198</c:v>
                </c:pt>
                <c:pt idx="197">
                  <c:v>-7.472908067943786</c:v>
                </c:pt>
                <c:pt idx="198">
                  <c:v>-3.8249228897036915</c:v>
                </c:pt>
                <c:pt idx="199">
                  <c:v>-0.69837828837063398</c:v>
                </c:pt>
                <c:pt idx="200">
                  <c:v>0.21321470147792831</c:v>
                </c:pt>
                <c:pt idx="201">
                  <c:v>-0.8321452188645404</c:v>
                </c:pt>
                <c:pt idx="202">
                  <c:v>-1.8116532758837669</c:v>
                </c:pt>
                <c:pt idx="203">
                  <c:v>-0.98426377251625663</c:v>
                </c:pt>
                <c:pt idx="204">
                  <c:v>0.60063695042285126</c:v>
                </c:pt>
                <c:pt idx="205">
                  <c:v>1.4717637222133666</c:v>
                </c:pt>
                <c:pt idx="206">
                  <c:v>0.89719728952555533</c:v>
                </c:pt>
                <c:pt idx="207">
                  <c:v>-0.95049759733323835</c:v>
                </c:pt>
                <c:pt idx="208">
                  <c:v>-2.7903351146029611</c:v>
                </c:pt>
                <c:pt idx="209">
                  <c:v>-2.8009532811682067</c:v>
                </c:pt>
                <c:pt idx="210">
                  <c:v>-0.44931692380485333</c:v>
                </c:pt>
                <c:pt idx="211">
                  <c:v>1.9592387859839289</c:v>
                </c:pt>
                <c:pt idx="212">
                  <c:v>1.4996208777374529</c:v>
                </c:pt>
                <c:pt idx="213">
                  <c:v>-1.511897419581979</c:v>
                </c:pt>
                <c:pt idx="214">
                  <c:v>-1.5121920310760952</c:v>
                </c:pt>
                <c:pt idx="215">
                  <c:v>1.1895301433412058</c:v>
                </c:pt>
                <c:pt idx="216">
                  <c:v>2.8234299359559145</c:v>
                </c:pt>
                <c:pt idx="217">
                  <c:v>4.9264571753499675</c:v>
                </c:pt>
                <c:pt idx="218">
                  <c:v>6.9483112325173693</c:v>
                </c:pt>
                <c:pt idx="219">
                  <c:v>5.1681650789729838</c:v>
                </c:pt>
                <c:pt idx="220">
                  <c:v>-0.37159369237719064</c:v>
                </c:pt>
                <c:pt idx="221">
                  <c:v>-6.1866884951741126</c:v>
                </c:pt>
                <c:pt idx="222">
                  <c:v>-4.4763366834503211</c:v>
                </c:pt>
                <c:pt idx="223">
                  <c:v>-0.80299876125182745</c:v>
                </c:pt>
                <c:pt idx="224">
                  <c:v>0.87111781216256845</c:v>
                </c:pt>
                <c:pt idx="225">
                  <c:v>0.4349212756710813</c:v>
                </c:pt>
                <c:pt idx="226">
                  <c:v>-0.56529353520418224</c:v>
                </c:pt>
                <c:pt idx="227">
                  <c:v>-0.63698540957256755</c:v>
                </c:pt>
                <c:pt idx="228">
                  <c:v>-0.23008535760419968</c:v>
                </c:pt>
                <c:pt idx="229">
                  <c:v>-0.39015912830312427</c:v>
                </c:pt>
                <c:pt idx="230">
                  <c:v>-1.1172541996421008</c:v>
                </c:pt>
                <c:pt idx="231">
                  <c:v>-2.2482806616577249</c:v>
                </c:pt>
                <c:pt idx="232">
                  <c:v>-3.6660980687699261</c:v>
                </c:pt>
                <c:pt idx="233">
                  <c:v>-4.0811992478160617</c:v>
                </c:pt>
                <c:pt idx="234">
                  <c:v>-1.7470477615527085</c:v>
                </c:pt>
                <c:pt idx="235">
                  <c:v>1.660380158326447</c:v>
                </c:pt>
                <c:pt idx="236">
                  <c:v>8.3352633802249929E-2</c:v>
                </c:pt>
                <c:pt idx="237">
                  <c:v>-3.2495163890255192</c:v>
                </c:pt>
                <c:pt idx="238">
                  <c:v>-0.88743962888350247</c:v>
                </c:pt>
                <c:pt idx="239">
                  <c:v>3.9890913737501688</c:v>
                </c:pt>
                <c:pt idx="240">
                  <c:v>7.1574905457981393</c:v>
                </c:pt>
                <c:pt idx="241">
                  <c:v>4.6639534217659167</c:v>
                </c:pt>
                <c:pt idx="242">
                  <c:v>5.556001341065727</c:v>
                </c:pt>
                <c:pt idx="243">
                  <c:v>7.6087398757304543</c:v>
                </c:pt>
                <c:pt idx="244">
                  <c:v>3.5480419214026777</c:v>
                </c:pt>
                <c:pt idx="245">
                  <c:v>-2.218971447918209</c:v>
                </c:pt>
                <c:pt idx="246">
                  <c:v>-6.2197342012027317</c:v>
                </c:pt>
                <c:pt idx="247">
                  <c:v>-4.5498029648190448</c:v>
                </c:pt>
                <c:pt idx="248">
                  <c:v>-3.1204380198642867</c:v>
                </c:pt>
                <c:pt idx="249">
                  <c:v>-2.5873248020761821</c:v>
                </c:pt>
                <c:pt idx="250">
                  <c:v>-1.4862165272816166</c:v>
                </c:pt>
                <c:pt idx="251">
                  <c:v>0.31563939174673128</c:v>
                </c:pt>
                <c:pt idx="252">
                  <c:v>1.8360198314296969</c:v>
                </c:pt>
                <c:pt idx="253">
                  <c:v>1.8500010981307999</c:v>
                </c:pt>
                <c:pt idx="254">
                  <c:v>0.55489107191892417</c:v>
                </c:pt>
                <c:pt idx="255">
                  <c:v>-1.4473194527862954</c:v>
                </c:pt>
                <c:pt idx="256">
                  <c:v>-3.3845317635243761</c:v>
                </c:pt>
                <c:pt idx="257">
                  <c:v>-4.0908432236199053</c:v>
                </c:pt>
                <c:pt idx="258">
                  <c:v>-1.8123732135531823</c:v>
                </c:pt>
                <c:pt idx="259">
                  <c:v>1.4806273831697885</c:v>
                </c:pt>
                <c:pt idx="260">
                  <c:v>1.499010643003599</c:v>
                </c:pt>
                <c:pt idx="261">
                  <c:v>-1.88674806486744</c:v>
                </c:pt>
                <c:pt idx="262">
                  <c:v>-4.7564083337011791</c:v>
                </c:pt>
                <c:pt idx="263">
                  <c:v>-2.0487640515955952</c:v>
                </c:pt>
                <c:pt idx="264">
                  <c:v>2.7760736522787544</c:v>
                </c:pt>
                <c:pt idx="265">
                  <c:v>3.3937783175068121</c:v>
                </c:pt>
                <c:pt idx="266">
                  <c:v>1.3190075869972533</c:v>
                </c:pt>
                <c:pt idx="267">
                  <c:v>2.0840138858102365E-2</c:v>
                </c:pt>
                <c:pt idx="268">
                  <c:v>1.9868880215757487</c:v>
                </c:pt>
                <c:pt idx="269">
                  <c:v>5.587958254918397</c:v>
                </c:pt>
                <c:pt idx="270">
                  <c:v>11.754469646031311</c:v>
                </c:pt>
                <c:pt idx="271">
                  <c:v>7.6100332785018354</c:v>
                </c:pt>
                <c:pt idx="272">
                  <c:v>-9.5968644701732359E-2</c:v>
                </c:pt>
                <c:pt idx="273">
                  <c:v>-9.4259619654384519</c:v>
                </c:pt>
                <c:pt idx="274">
                  <c:v>-7.4839066831163521</c:v>
                </c:pt>
                <c:pt idx="275">
                  <c:v>-2.2973826817128611</c:v>
                </c:pt>
                <c:pt idx="276">
                  <c:v>0.6613474681988919</c:v>
                </c:pt>
                <c:pt idx="277">
                  <c:v>1.811203569124257</c:v>
                </c:pt>
                <c:pt idx="278">
                  <c:v>1.2461634279409282</c:v>
                </c:pt>
                <c:pt idx="279">
                  <c:v>-0.69883706653145816</c:v>
                </c:pt>
                <c:pt idx="280">
                  <c:v>-2.4702717070516051</c:v>
                </c:pt>
                <c:pt idx="281">
                  <c:v>-3.3104361397795254</c:v>
                </c:pt>
                <c:pt idx="282">
                  <c:v>-2.6740003211920187</c:v>
                </c:pt>
                <c:pt idx="283">
                  <c:v>-1.4287504083577802</c:v>
                </c:pt>
                <c:pt idx="284">
                  <c:v>-1.055073613554915</c:v>
                </c:pt>
                <c:pt idx="285">
                  <c:v>-2.3501716242499167</c:v>
                </c:pt>
                <c:pt idx="286">
                  <c:v>-3.9208223220892684</c:v>
                </c:pt>
                <c:pt idx="287">
                  <c:v>-0.40248645709771824</c:v>
                </c:pt>
                <c:pt idx="288">
                  <c:v>6.1258015689820366</c:v>
                </c:pt>
                <c:pt idx="289">
                  <c:v>7.9380621149456347</c:v>
                </c:pt>
                <c:pt idx="290">
                  <c:v>3.1810106438024537</c:v>
                </c:pt>
                <c:pt idx="291">
                  <c:v>-6.0979873332597982</c:v>
                </c:pt>
                <c:pt idx="292">
                  <c:v>-11.35217550568497</c:v>
                </c:pt>
                <c:pt idx="293">
                  <c:v>-4.0874873474768458</c:v>
                </c:pt>
                <c:pt idx="294">
                  <c:v>4.8212282647932962</c:v>
                </c:pt>
                <c:pt idx="295">
                  <c:v>12.832680835879854</c:v>
                </c:pt>
                <c:pt idx="296">
                  <c:v>9.1094044565305534</c:v>
                </c:pt>
                <c:pt idx="297">
                  <c:v>2.0441741536354767</c:v>
                </c:pt>
                <c:pt idx="298">
                  <c:v>-3.2637561552540895</c:v>
                </c:pt>
                <c:pt idx="299">
                  <c:v>-4.5706786291508763</c:v>
                </c:pt>
                <c:pt idx="300">
                  <c:v>-2.1149679803241752</c:v>
                </c:pt>
                <c:pt idx="301">
                  <c:v>2.0461450687550582</c:v>
                </c:pt>
                <c:pt idx="302">
                  <c:v>4.5900848360788276</c:v>
                </c:pt>
                <c:pt idx="303">
                  <c:v>3.4410431343860943</c:v>
                </c:pt>
                <c:pt idx="304">
                  <c:v>-0.41612422018770207</c:v>
                </c:pt>
                <c:pt idx="305">
                  <c:v>-4.2737290643514125</c:v>
                </c:pt>
                <c:pt idx="306">
                  <c:v>-3.5138029938762205</c:v>
                </c:pt>
                <c:pt idx="307">
                  <c:v>-1.485239004144959</c:v>
                </c:pt>
                <c:pt idx="308">
                  <c:v>-0.72289441249759356</c:v>
                </c:pt>
                <c:pt idx="309">
                  <c:v>-1.084443102580614</c:v>
                </c:pt>
                <c:pt idx="310">
                  <c:v>-1.4943609703574454</c:v>
                </c:pt>
                <c:pt idx="311">
                  <c:v>-1.0490705544288212</c:v>
                </c:pt>
                <c:pt idx="312">
                  <c:v>2.2285181653038916E-2</c:v>
                </c:pt>
                <c:pt idx="313">
                  <c:v>1.0177364965082083</c:v>
                </c:pt>
                <c:pt idx="314">
                  <c:v>0.7706612967797507</c:v>
                </c:pt>
                <c:pt idx="315">
                  <c:v>-1.2140369981928796</c:v>
                </c:pt>
                <c:pt idx="316">
                  <c:v>-4.6291308176659607</c:v>
                </c:pt>
                <c:pt idx="317">
                  <c:v>-7.9223417125982722</c:v>
                </c:pt>
                <c:pt idx="318">
                  <c:v>-6.4399908871223293</c:v>
                </c:pt>
                <c:pt idx="319">
                  <c:v>2.7787397349987915</c:v>
                </c:pt>
                <c:pt idx="320">
                  <c:v>7.7223597901583689</c:v>
                </c:pt>
                <c:pt idx="321">
                  <c:v>6.7033212619283056</c:v>
                </c:pt>
                <c:pt idx="322">
                  <c:v>1.3577456651699684</c:v>
                </c:pt>
                <c:pt idx="323">
                  <c:v>0.36330045704874014</c:v>
                </c:pt>
                <c:pt idx="324">
                  <c:v>-0.10144303508700432</c:v>
                </c:pt>
                <c:pt idx="325">
                  <c:v>-0.88039766877434811</c:v>
                </c:pt>
                <c:pt idx="326">
                  <c:v>0.37551694080679759</c:v>
                </c:pt>
                <c:pt idx="327">
                  <c:v>4.3838673283454908</c:v>
                </c:pt>
                <c:pt idx="328">
                  <c:v>8.5039655882822203</c:v>
                </c:pt>
                <c:pt idx="329">
                  <c:v>6.0251835939361111</c:v>
                </c:pt>
                <c:pt idx="330">
                  <c:v>0.87950265039510134</c:v>
                </c:pt>
                <c:pt idx="331">
                  <c:v>-4.8846282205521909</c:v>
                </c:pt>
                <c:pt idx="332">
                  <c:v>-6.0595735963737383</c:v>
                </c:pt>
                <c:pt idx="333">
                  <c:v>-4.5768149119145711</c:v>
                </c:pt>
                <c:pt idx="334">
                  <c:v>-2.5770857742158757</c:v>
                </c:pt>
                <c:pt idx="335">
                  <c:v>0.37144743514255651</c:v>
                </c:pt>
                <c:pt idx="336">
                  <c:v>2.9550589308122466</c:v>
                </c:pt>
                <c:pt idx="337">
                  <c:v>3.3320044590596662</c:v>
                </c:pt>
                <c:pt idx="338">
                  <c:v>1.4699597332596417</c:v>
                </c:pt>
                <c:pt idx="339">
                  <c:v>-1.0647659456739045</c:v>
                </c:pt>
                <c:pt idx="340">
                  <c:v>-3.1013466952137758</c:v>
                </c:pt>
                <c:pt idx="341">
                  <c:v>-3.4095897456755591</c:v>
                </c:pt>
                <c:pt idx="342">
                  <c:v>-2.7158561645113122</c:v>
                </c:pt>
                <c:pt idx="343">
                  <c:v>-1.7972490082875539</c:v>
                </c:pt>
                <c:pt idx="344">
                  <c:v>-1.7783892505614025</c:v>
                </c:pt>
                <c:pt idx="345">
                  <c:v>-2.2907494464415588</c:v>
                </c:pt>
                <c:pt idx="346">
                  <c:v>-0.85472450288855273</c:v>
                </c:pt>
                <c:pt idx="347">
                  <c:v>2.1021929875475904</c:v>
                </c:pt>
                <c:pt idx="348">
                  <c:v>3.3746106805463456</c:v>
                </c:pt>
                <c:pt idx="349">
                  <c:v>-0.51184328199829565</c:v>
                </c:pt>
                <c:pt idx="350">
                  <c:v>-9.4983841955265813</c:v>
                </c:pt>
                <c:pt idx="351">
                  <c:v>-7.0475129923527211</c:v>
                </c:pt>
                <c:pt idx="352">
                  <c:v>-0.21247828891748577</c:v>
                </c:pt>
                <c:pt idx="353">
                  <c:v>9.2800390799741521</c:v>
                </c:pt>
                <c:pt idx="354">
                  <c:v>9.1305998280148</c:v>
                </c:pt>
                <c:pt idx="355">
                  <c:v>7.5614839921297587</c:v>
                </c:pt>
                <c:pt idx="356">
                  <c:v>6.4325455702940602</c:v>
                </c:pt>
                <c:pt idx="357">
                  <c:v>4.7795237551238952</c:v>
                </c:pt>
                <c:pt idx="358">
                  <c:v>0.21918495776197347</c:v>
                </c:pt>
                <c:pt idx="359">
                  <c:v>-3.7511737709462993</c:v>
                </c:pt>
                <c:pt idx="360">
                  <c:v>-4.924830686885123</c:v>
                </c:pt>
                <c:pt idx="361">
                  <c:v>-1.9910607174410857</c:v>
                </c:pt>
                <c:pt idx="362">
                  <c:v>1.5632322901277813</c:v>
                </c:pt>
                <c:pt idx="363">
                  <c:v>1.7568299051654455</c:v>
                </c:pt>
                <c:pt idx="364">
                  <c:v>-0.56747286597365776</c:v>
                </c:pt>
                <c:pt idx="365">
                  <c:v>-2.3477579872826406</c:v>
                </c:pt>
                <c:pt idx="366">
                  <c:v>-2.1661840316952978</c:v>
                </c:pt>
                <c:pt idx="367">
                  <c:v>-1.1758017648112629</c:v>
                </c:pt>
                <c:pt idx="368">
                  <c:v>-1.2127262779421208</c:v>
                </c:pt>
                <c:pt idx="369">
                  <c:v>-2.0784848539697651</c:v>
                </c:pt>
                <c:pt idx="370">
                  <c:v>-2.188771907894568</c:v>
                </c:pt>
                <c:pt idx="371">
                  <c:v>-0.66868265382612058</c:v>
                </c:pt>
                <c:pt idx="372">
                  <c:v>1.5343908778598045</c:v>
                </c:pt>
                <c:pt idx="373">
                  <c:v>2.1769476543434849</c:v>
                </c:pt>
                <c:pt idx="374">
                  <c:v>0.71818209454716386</c:v>
                </c:pt>
                <c:pt idx="375">
                  <c:v>-2.1743147601846959</c:v>
                </c:pt>
                <c:pt idx="376">
                  <c:v>-5.2237814152779194</c:v>
                </c:pt>
                <c:pt idx="377">
                  <c:v>-7.4743475323210973</c:v>
                </c:pt>
                <c:pt idx="378">
                  <c:v>-5.065724484596891</c:v>
                </c:pt>
                <c:pt idx="379">
                  <c:v>0.39587918562468477</c:v>
                </c:pt>
                <c:pt idx="380">
                  <c:v>3.7656345660565371</c:v>
                </c:pt>
                <c:pt idx="381">
                  <c:v>3.7027118001251704</c:v>
                </c:pt>
                <c:pt idx="382">
                  <c:v>2.4327568161377031</c:v>
                </c:pt>
                <c:pt idx="383">
                  <c:v>3.8308872604289301</c:v>
                </c:pt>
                <c:pt idx="384">
                  <c:v>4.3458980062761956</c:v>
                </c:pt>
                <c:pt idx="385">
                  <c:v>4.1932609937580194</c:v>
                </c:pt>
                <c:pt idx="386">
                  <c:v>6.1245886838065875</c:v>
                </c:pt>
                <c:pt idx="387">
                  <c:v>8.8405973054809088</c:v>
                </c:pt>
                <c:pt idx="388">
                  <c:v>2.1292218532684628</c:v>
                </c:pt>
                <c:pt idx="389">
                  <c:v>-3.4711447544552048</c:v>
                </c:pt>
                <c:pt idx="390">
                  <c:v>-7.7861116020915198</c:v>
                </c:pt>
                <c:pt idx="391">
                  <c:v>-2.8869605173520956</c:v>
                </c:pt>
                <c:pt idx="392">
                  <c:v>-1.772422687705792</c:v>
                </c:pt>
                <c:pt idx="393">
                  <c:v>-2.7093343685090874</c:v>
                </c:pt>
                <c:pt idx="394">
                  <c:v>-2.8742460564265042</c:v>
                </c:pt>
                <c:pt idx="395">
                  <c:v>-1.0927363256333706</c:v>
                </c:pt>
                <c:pt idx="396">
                  <c:v>1.6316484563700369</c:v>
                </c:pt>
                <c:pt idx="397">
                  <c:v>3.1560197497601168</c:v>
                </c:pt>
                <c:pt idx="398">
                  <c:v>1.9161162665108653</c:v>
                </c:pt>
                <c:pt idx="399">
                  <c:v>-1.0624767467784408</c:v>
                </c:pt>
                <c:pt idx="400">
                  <c:v>-3.5390400997560811</c:v>
                </c:pt>
                <c:pt idx="401">
                  <c:v>-4.1711217117256334</c:v>
                </c:pt>
                <c:pt idx="402">
                  <c:v>-2.1028581971761393</c:v>
                </c:pt>
                <c:pt idx="403">
                  <c:v>1.1938274404671272</c:v>
                </c:pt>
                <c:pt idx="404">
                  <c:v>2.7918249477434114</c:v>
                </c:pt>
                <c:pt idx="405">
                  <c:v>1.494648913799665</c:v>
                </c:pt>
                <c:pt idx="406">
                  <c:v>-8.4221503382544458E-2</c:v>
                </c:pt>
                <c:pt idx="407">
                  <c:v>-0.19581271230403371</c:v>
                </c:pt>
                <c:pt idx="408">
                  <c:v>-0.55371491305412524</c:v>
                </c:pt>
                <c:pt idx="409">
                  <c:v>-2.1844560183759807</c:v>
                </c:pt>
                <c:pt idx="410">
                  <c:v>-4.0749932593321914</c:v>
                </c:pt>
                <c:pt idx="411">
                  <c:v>-6.026736434542431</c:v>
                </c:pt>
                <c:pt idx="412">
                  <c:v>-3.7168553536404367</c:v>
                </c:pt>
                <c:pt idx="413">
                  <c:v>2.0060461447771853</c:v>
                </c:pt>
                <c:pt idx="414">
                  <c:v>8.0030197994138081</c:v>
                </c:pt>
                <c:pt idx="415">
                  <c:v>11.08127106380838</c:v>
                </c:pt>
                <c:pt idx="416">
                  <c:v>8.5363601858301887</c:v>
                </c:pt>
                <c:pt idx="417">
                  <c:v>0.79736749984383459</c:v>
                </c:pt>
                <c:pt idx="418">
                  <c:v>-5.5966132979203538</c:v>
                </c:pt>
                <c:pt idx="419">
                  <c:v>-9.0675308585659646</c:v>
                </c:pt>
                <c:pt idx="420">
                  <c:v>-4.4204182140425816</c:v>
                </c:pt>
                <c:pt idx="421">
                  <c:v>5.0630237524169752</c:v>
                </c:pt>
                <c:pt idx="422">
                  <c:v>10.093927231323557</c:v>
                </c:pt>
                <c:pt idx="423">
                  <c:v>7.1970740749673254</c:v>
                </c:pt>
                <c:pt idx="424">
                  <c:v>-2.1975775221175371</c:v>
                </c:pt>
                <c:pt idx="425">
                  <c:v>-6.9993807378844437</c:v>
                </c:pt>
                <c:pt idx="426">
                  <c:v>-4.4547492830519753</c:v>
                </c:pt>
                <c:pt idx="427">
                  <c:v>-1.7880583350722874</c:v>
                </c:pt>
                <c:pt idx="428">
                  <c:v>-1.1394861036589532</c:v>
                </c:pt>
                <c:pt idx="429">
                  <c:v>-1.8237206501270447</c:v>
                </c:pt>
                <c:pt idx="430">
                  <c:v>-1.389535525168814</c:v>
                </c:pt>
                <c:pt idx="431">
                  <c:v>1.024527156056096</c:v>
                </c:pt>
                <c:pt idx="432">
                  <c:v>3.187477915631689</c:v>
                </c:pt>
                <c:pt idx="433">
                  <c:v>2.9196977724779005</c:v>
                </c:pt>
                <c:pt idx="434">
                  <c:v>0.52668747814576977</c:v>
                </c:pt>
                <c:pt idx="435">
                  <c:v>-1.5443220661861803</c:v>
                </c:pt>
                <c:pt idx="436">
                  <c:v>-2.6078968303228525</c:v>
                </c:pt>
                <c:pt idx="437">
                  <c:v>-2.7192970010035085</c:v>
                </c:pt>
                <c:pt idx="438">
                  <c:v>-2.2278780589181908</c:v>
                </c:pt>
                <c:pt idx="439">
                  <c:v>-1.7685398186380554</c:v>
                </c:pt>
                <c:pt idx="440">
                  <c:v>-2.8432907344747775</c:v>
                </c:pt>
                <c:pt idx="441">
                  <c:v>-4.2865525691162256</c:v>
                </c:pt>
                <c:pt idx="442">
                  <c:v>-1.9319918355424168</c:v>
                </c:pt>
                <c:pt idx="443">
                  <c:v>1.5495234447547759</c:v>
                </c:pt>
                <c:pt idx="444">
                  <c:v>3.8335794933164928</c:v>
                </c:pt>
                <c:pt idx="445">
                  <c:v>3.240487129222934</c:v>
                </c:pt>
                <c:pt idx="446">
                  <c:v>3.1014879966940954</c:v>
                </c:pt>
                <c:pt idx="447">
                  <c:v>4.1263304946746908</c:v>
                </c:pt>
                <c:pt idx="448">
                  <c:v>2.8886491675614252</c:v>
                </c:pt>
                <c:pt idx="449">
                  <c:v>1.0082027923901744</c:v>
                </c:pt>
                <c:pt idx="450">
                  <c:v>3.1403929528775794</c:v>
                </c:pt>
                <c:pt idx="451">
                  <c:v>6.7803957473285763</c:v>
                </c:pt>
                <c:pt idx="452">
                  <c:v>3.424064207610753</c:v>
                </c:pt>
                <c:pt idx="453">
                  <c:v>-2.008257976768407</c:v>
                </c:pt>
                <c:pt idx="454">
                  <c:v>-6.2538170792287033</c:v>
                </c:pt>
                <c:pt idx="455">
                  <c:v>-2.5065578368502317</c:v>
                </c:pt>
                <c:pt idx="456">
                  <c:v>-0.48405152993146505</c:v>
                </c:pt>
                <c:pt idx="457">
                  <c:v>-0.60190504942042189</c:v>
                </c:pt>
                <c:pt idx="458">
                  <c:v>-1.4491767747826507</c:v>
                </c:pt>
                <c:pt idx="459">
                  <c:v>-2.3243007750502747</c:v>
                </c:pt>
                <c:pt idx="460">
                  <c:v>-2.5513162011650898</c:v>
                </c:pt>
                <c:pt idx="461">
                  <c:v>-1.8222073882055725</c:v>
                </c:pt>
                <c:pt idx="462">
                  <c:v>-9.529306005374566E-2</c:v>
                </c:pt>
                <c:pt idx="463">
                  <c:v>0.87237751334960201</c:v>
                </c:pt>
                <c:pt idx="464">
                  <c:v>3.6804809944518038E-3</c:v>
                </c:pt>
                <c:pt idx="465">
                  <c:v>-1.8374883144669145</c:v>
                </c:pt>
                <c:pt idx="466">
                  <c:v>-2.3718206268972835</c:v>
                </c:pt>
                <c:pt idx="467">
                  <c:v>-1.2447685045639256</c:v>
                </c:pt>
                <c:pt idx="468">
                  <c:v>-0.59721121465056137</c:v>
                </c:pt>
                <c:pt idx="469">
                  <c:v>-2.4673771652954413</c:v>
                </c:pt>
                <c:pt idx="470">
                  <c:v>-3.3632334627694243</c:v>
                </c:pt>
                <c:pt idx="471">
                  <c:v>0.30643877617885901</c:v>
                </c:pt>
                <c:pt idx="472">
                  <c:v>3.2464991794889486</c:v>
                </c:pt>
                <c:pt idx="473">
                  <c:v>5.3138925833278456</c:v>
                </c:pt>
                <c:pt idx="474">
                  <c:v>4.5923392865529618</c:v>
                </c:pt>
                <c:pt idx="475">
                  <c:v>4.8053884348685498</c:v>
                </c:pt>
                <c:pt idx="476">
                  <c:v>1.66724274032844</c:v>
                </c:pt>
                <c:pt idx="477">
                  <c:v>-3.3987119149639966</c:v>
                </c:pt>
                <c:pt idx="478">
                  <c:v>-4.8587303981495253</c:v>
                </c:pt>
                <c:pt idx="479">
                  <c:v>0.86074628026339051</c:v>
                </c:pt>
                <c:pt idx="480">
                  <c:v>10.617130712036634</c:v>
                </c:pt>
                <c:pt idx="481">
                  <c:v>9.9203395133284467</c:v>
                </c:pt>
                <c:pt idx="482">
                  <c:v>2.8981931670299579</c:v>
                </c:pt>
                <c:pt idx="483">
                  <c:v>-7.1246926139811881</c:v>
                </c:pt>
                <c:pt idx="484">
                  <c:v>-7.7281869979239106</c:v>
                </c:pt>
                <c:pt idx="485">
                  <c:v>-5.0308398581805518</c:v>
                </c:pt>
                <c:pt idx="486">
                  <c:v>-2.0607785252623634</c:v>
                </c:pt>
                <c:pt idx="487">
                  <c:v>-0.33449706773421894</c:v>
                </c:pt>
                <c:pt idx="488">
                  <c:v>-0.48765722374326592</c:v>
                </c:pt>
                <c:pt idx="489">
                  <c:v>-1.8638429082054433</c:v>
                </c:pt>
                <c:pt idx="490">
                  <c:v>-2.5274847936095894</c:v>
                </c:pt>
                <c:pt idx="491">
                  <c:v>-1.0943860949165887</c:v>
                </c:pt>
                <c:pt idx="492">
                  <c:v>0.64707789283268469</c:v>
                </c:pt>
                <c:pt idx="493">
                  <c:v>0.71489060727794074</c:v>
                </c:pt>
                <c:pt idx="494">
                  <c:v>-1.0458707253115562</c:v>
                </c:pt>
                <c:pt idx="495">
                  <c:v>-4.6886202064912261</c:v>
                </c:pt>
                <c:pt idx="496">
                  <c:v>-7.449262135802325</c:v>
                </c:pt>
                <c:pt idx="497">
                  <c:v>-1.0030338462234938</c:v>
                </c:pt>
                <c:pt idx="498">
                  <c:v>5.5550741197501701</c:v>
                </c:pt>
                <c:pt idx="499">
                  <c:v>11.303180699947575</c:v>
                </c:pt>
                <c:pt idx="500">
                  <c:v>7.5878846900369625</c:v>
                </c:pt>
                <c:pt idx="501">
                  <c:v>3.3176823951199426</c:v>
                </c:pt>
                <c:pt idx="502">
                  <c:v>0.10379702621856571</c:v>
                </c:pt>
                <c:pt idx="503">
                  <c:v>-0.7962514621477117</c:v>
                </c:pt>
                <c:pt idx="504">
                  <c:v>0.18323877541472866</c:v>
                </c:pt>
                <c:pt idx="505">
                  <c:v>2.323066912030376</c:v>
                </c:pt>
                <c:pt idx="506">
                  <c:v>1.4349446146472167</c:v>
                </c:pt>
                <c:pt idx="507">
                  <c:v>-1.1179917267533399</c:v>
                </c:pt>
                <c:pt idx="508">
                  <c:v>-4.279499216605589</c:v>
                </c:pt>
                <c:pt idx="509">
                  <c:v>-4.9714353305292969</c:v>
                </c:pt>
                <c:pt idx="510">
                  <c:v>-2.3348603545686086</c:v>
                </c:pt>
                <c:pt idx="511">
                  <c:v>0.49119280787689379</c:v>
                </c:pt>
                <c:pt idx="512">
                  <c:v>1.0760347518819913</c:v>
                </c:pt>
                <c:pt idx="513">
                  <c:v>-0.42753524562025791</c:v>
                </c:pt>
                <c:pt idx="514">
                  <c:v>-1.7762991216278541</c:v>
                </c:pt>
                <c:pt idx="515">
                  <c:v>-1.1739056097804983</c:v>
                </c:pt>
                <c:pt idx="516">
                  <c:v>0.26321196130357977</c:v>
                </c:pt>
                <c:pt idx="517">
                  <c:v>1.0606078022258545</c:v>
                </c:pt>
                <c:pt idx="518">
                  <c:v>0.22876129681583279</c:v>
                </c:pt>
                <c:pt idx="519">
                  <c:v>-1.8555200364331048</c:v>
                </c:pt>
                <c:pt idx="520">
                  <c:v>-4.3296412669419544</c:v>
                </c:pt>
                <c:pt idx="521">
                  <c:v>-5.4747197386681972</c:v>
                </c:pt>
                <c:pt idx="522">
                  <c:v>-3.0269734158036332</c:v>
                </c:pt>
                <c:pt idx="523">
                  <c:v>2.6903186153037963</c:v>
                </c:pt>
                <c:pt idx="524">
                  <c:v>4.0629045442466838</c:v>
                </c:pt>
                <c:pt idx="525">
                  <c:v>2.6838012628363583</c:v>
                </c:pt>
                <c:pt idx="526">
                  <c:v>0.92110178374778684</c:v>
                </c:pt>
                <c:pt idx="527">
                  <c:v>2.1060646154502591</c:v>
                </c:pt>
                <c:pt idx="528">
                  <c:v>3.3062750118554129</c:v>
                </c:pt>
                <c:pt idx="529">
                  <c:v>5.5052172969994899</c:v>
                </c:pt>
                <c:pt idx="530">
                  <c:v>9.8290503587254889</c:v>
                </c:pt>
                <c:pt idx="531">
                  <c:v>5.6530582403327978</c:v>
                </c:pt>
                <c:pt idx="532">
                  <c:v>-1.5559417430429079</c:v>
                </c:pt>
                <c:pt idx="533">
                  <c:v>-8.914520741797439</c:v>
                </c:pt>
                <c:pt idx="534">
                  <c:v>-5.8054486095494751</c:v>
                </c:pt>
                <c:pt idx="535">
                  <c:v>-2.4679362675707086</c:v>
                </c:pt>
                <c:pt idx="536">
                  <c:v>-0.98918875168465092</c:v>
                </c:pt>
                <c:pt idx="537">
                  <c:v>-1.0990674109975394</c:v>
                </c:pt>
                <c:pt idx="538">
                  <c:v>-1.4172926569749658</c:v>
                </c:pt>
                <c:pt idx="539">
                  <c:v>-0.94767832711531441</c:v>
                </c:pt>
                <c:pt idx="540">
                  <c:v>8.5925228754846705E-2</c:v>
                </c:pt>
                <c:pt idx="541">
                  <c:v>0.82773523448056496</c:v>
                </c:pt>
                <c:pt idx="542">
                  <c:v>0.4631109811795644</c:v>
                </c:pt>
                <c:pt idx="543">
                  <c:v>-1.0707364942585742</c:v>
                </c:pt>
                <c:pt idx="544">
                  <c:v>-3.3083087138386684</c:v>
                </c:pt>
                <c:pt idx="545">
                  <c:v>-4.4422023802137653</c:v>
                </c:pt>
                <c:pt idx="546">
                  <c:v>-1.4127264295649014</c:v>
                </c:pt>
                <c:pt idx="547">
                  <c:v>2.7744267422073179</c:v>
                </c:pt>
                <c:pt idx="548">
                  <c:v>2.4997051328651279</c:v>
                </c:pt>
                <c:pt idx="549">
                  <c:v>-0.24489088247024093</c:v>
                </c:pt>
                <c:pt idx="550">
                  <c:v>4.7479828741226034E-2</c:v>
                </c:pt>
                <c:pt idx="551">
                  <c:v>3.3791062716372724</c:v>
                </c:pt>
                <c:pt idx="552">
                  <c:v>4.0822012556331337</c:v>
                </c:pt>
                <c:pt idx="553">
                  <c:v>0.12759442786436165</c:v>
                </c:pt>
                <c:pt idx="554">
                  <c:v>-1.3413269011966331</c:v>
                </c:pt>
                <c:pt idx="555">
                  <c:v>1.5220147339221484</c:v>
                </c:pt>
                <c:pt idx="556">
                  <c:v>3.0566433859442457</c:v>
                </c:pt>
                <c:pt idx="557">
                  <c:v>2.278803887683694</c:v>
                </c:pt>
                <c:pt idx="558">
                  <c:v>0.2206517077785165</c:v>
                </c:pt>
                <c:pt idx="559">
                  <c:v>-0.79480430557048198</c:v>
                </c:pt>
                <c:pt idx="560">
                  <c:v>-1.4706624831742809</c:v>
                </c:pt>
                <c:pt idx="561">
                  <c:v>-2.4978012893535761</c:v>
                </c:pt>
                <c:pt idx="562">
                  <c:v>-1.7826398657161464</c:v>
                </c:pt>
                <c:pt idx="563">
                  <c:v>0.19395788063667019</c:v>
                </c:pt>
                <c:pt idx="564">
                  <c:v>1.6334263053926634</c:v>
                </c:pt>
                <c:pt idx="565">
                  <c:v>1.7202411575814496</c:v>
                </c:pt>
                <c:pt idx="566">
                  <c:v>0.68988334081836533</c:v>
                </c:pt>
                <c:pt idx="567">
                  <c:v>-1.2190293899798954</c:v>
                </c:pt>
                <c:pt idx="568">
                  <c:v>-2.6893665552031396</c:v>
                </c:pt>
                <c:pt idx="569">
                  <c:v>-2.9920782832286292</c:v>
                </c:pt>
                <c:pt idx="570">
                  <c:v>-1.7172701115684808</c:v>
                </c:pt>
                <c:pt idx="571">
                  <c:v>-0.48190493437023935</c:v>
                </c:pt>
                <c:pt idx="572">
                  <c:v>-1.0499623865558041</c:v>
                </c:pt>
                <c:pt idx="573">
                  <c:v>-3.3152015537092363</c:v>
                </c:pt>
                <c:pt idx="574">
                  <c:v>-4.0097304134125826</c:v>
                </c:pt>
                <c:pt idx="575">
                  <c:v>1.2865469203796502</c:v>
                </c:pt>
                <c:pt idx="576">
                  <c:v>6.8302679134901698</c:v>
                </c:pt>
                <c:pt idx="577">
                  <c:v>6.1911676300463707</c:v>
                </c:pt>
                <c:pt idx="578">
                  <c:v>0.42062614244471447</c:v>
                </c:pt>
                <c:pt idx="579">
                  <c:v>-5.0021477820718987</c:v>
                </c:pt>
                <c:pt idx="580">
                  <c:v>-5.7564499604823292</c:v>
                </c:pt>
                <c:pt idx="581">
                  <c:v>-0.33043766554912302</c:v>
                </c:pt>
                <c:pt idx="582">
                  <c:v>6.785061017991497</c:v>
                </c:pt>
                <c:pt idx="583">
                  <c:v>8.8708983229366716</c:v>
                </c:pt>
                <c:pt idx="584">
                  <c:v>3.2138846316692993</c:v>
                </c:pt>
                <c:pt idx="585">
                  <c:v>-3.8841988129416687</c:v>
                </c:pt>
                <c:pt idx="586">
                  <c:v>-4.7103633732488737</c:v>
                </c:pt>
                <c:pt idx="587">
                  <c:v>-1.6807788972395912</c:v>
                </c:pt>
                <c:pt idx="588">
                  <c:v>0.84236144933001844</c:v>
                </c:pt>
                <c:pt idx="589">
                  <c:v>2.5179638179882549</c:v>
                </c:pt>
                <c:pt idx="590">
                  <c:v>2.6282695469253397</c:v>
                </c:pt>
                <c:pt idx="591">
                  <c:v>0.75402622236339312</c:v>
                </c:pt>
                <c:pt idx="592">
                  <c:v>-1.7422401160957692</c:v>
                </c:pt>
                <c:pt idx="593">
                  <c:v>-2.8522269644037053</c:v>
                </c:pt>
                <c:pt idx="594">
                  <c:v>-0.68928278525164621</c:v>
                </c:pt>
                <c:pt idx="595">
                  <c:v>1.4226574966342962</c:v>
                </c:pt>
                <c:pt idx="596">
                  <c:v>0.77653539489108048</c:v>
                </c:pt>
                <c:pt idx="597">
                  <c:v>-1.6353797499329024</c:v>
                </c:pt>
                <c:pt idx="598">
                  <c:v>-2.8676504604391542</c:v>
                </c:pt>
                <c:pt idx="599">
                  <c:v>-1.6908921203197753</c:v>
                </c:pt>
                <c:pt idx="600">
                  <c:v>0.35572118115483897</c:v>
                </c:pt>
                <c:pt idx="601">
                  <c:v>1.5128127626091783</c:v>
                </c:pt>
                <c:pt idx="602">
                  <c:v>0.70635682730029437</c:v>
                </c:pt>
                <c:pt idx="603">
                  <c:v>-1.6917943341533677</c:v>
                </c:pt>
                <c:pt idx="604">
                  <c:v>-4.32465330727916</c:v>
                </c:pt>
                <c:pt idx="605">
                  <c:v>-4.8844077843843632</c:v>
                </c:pt>
                <c:pt idx="606">
                  <c:v>-1.7980798050198996</c:v>
                </c:pt>
                <c:pt idx="607">
                  <c:v>2.2484944795928121</c:v>
                </c:pt>
                <c:pt idx="608">
                  <c:v>1.5902504573456333</c:v>
                </c:pt>
                <c:pt idx="609">
                  <c:v>-1.5525086371413739</c:v>
                </c:pt>
                <c:pt idx="610">
                  <c:v>-0.83579101240849862</c:v>
                </c:pt>
                <c:pt idx="611">
                  <c:v>3.21759911795063</c:v>
                </c:pt>
                <c:pt idx="612">
                  <c:v>6.2733836345929266</c:v>
                </c:pt>
                <c:pt idx="613">
                  <c:v>7.3761038937092556</c:v>
                </c:pt>
                <c:pt idx="614">
                  <c:v>10.481744464501309</c:v>
                </c:pt>
                <c:pt idx="615">
                  <c:v>4.6048885752136535</c:v>
                </c:pt>
                <c:pt idx="616">
                  <c:v>-2.4254287749992889</c:v>
                </c:pt>
                <c:pt idx="617">
                  <c:v>-9.8945592819088048</c:v>
                </c:pt>
                <c:pt idx="618">
                  <c:v>-5.7798566003235505</c:v>
                </c:pt>
                <c:pt idx="619">
                  <c:v>-1.5160171392439075</c:v>
                </c:pt>
                <c:pt idx="620">
                  <c:v>0.1852425645265991</c:v>
                </c:pt>
                <c:pt idx="621">
                  <c:v>-0.30908297855543959</c:v>
                </c:pt>
                <c:pt idx="622">
                  <c:v>-1.1302340434687645</c:v>
                </c:pt>
                <c:pt idx="623">
                  <c:v>-0.41832204787858318</c:v>
                </c:pt>
                <c:pt idx="624">
                  <c:v>1.3487935205821411</c:v>
                </c:pt>
                <c:pt idx="625">
                  <c:v>2.2307226110154565</c:v>
                </c:pt>
                <c:pt idx="626">
                  <c:v>1.1280215932842264</c:v>
                </c:pt>
                <c:pt idx="627">
                  <c:v>-1.0986572921652928</c:v>
                </c:pt>
                <c:pt idx="628">
                  <c:v>-3.37658182348251</c:v>
                </c:pt>
                <c:pt idx="629">
                  <c:v>-4.0274054511069721</c:v>
                </c:pt>
                <c:pt idx="630">
                  <c:v>-2.2646171098224501</c:v>
                </c:pt>
                <c:pt idx="631">
                  <c:v>0.80138272468510285</c:v>
                </c:pt>
                <c:pt idx="632">
                  <c:v>1.5376433885501835</c:v>
                </c:pt>
                <c:pt idx="633">
                  <c:v>-5.5779185118734635E-2</c:v>
                </c:pt>
                <c:pt idx="634">
                  <c:v>-1.2702492084012043</c:v>
                </c:pt>
                <c:pt idx="635">
                  <c:v>-1.0395173072116857</c:v>
                </c:pt>
                <c:pt idx="636">
                  <c:v>-1.4111958022487059</c:v>
                </c:pt>
                <c:pt idx="637">
                  <c:v>-2.5094800685882319</c:v>
                </c:pt>
                <c:pt idx="638">
                  <c:v>-0.72333084658157254</c:v>
                </c:pt>
                <c:pt idx="639">
                  <c:v>3.2400616027450035</c:v>
                </c:pt>
                <c:pt idx="640">
                  <c:v>5.9056812149207554</c:v>
                </c:pt>
                <c:pt idx="641">
                  <c:v>5.5141174413771887</c:v>
                </c:pt>
                <c:pt idx="642">
                  <c:v>6.6838800990537308</c:v>
                </c:pt>
                <c:pt idx="643">
                  <c:v>4.6376639615177693</c:v>
                </c:pt>
                <c:pt idx="644">
                  <c:v>0.75863367917524727</c:v>
                </c:pt>
                <c:pt idx="645">
                  <c:v>-4.1712806512943255</c:v>
                </c:pt>
                <c:pt idx="646">
                  <c:v>-4.8637845937017552</c:v>
                </c:pt>
                <c:pt idx="647">
                  <c:v>-3.0412142323815643</c:v>
                </c:pt>
                <c:pt idx="648">
                  <c:v>-1.6440493595817582</c:v>
                </c:pt>
                <c:pt idx="649">
                  <c:v>-0.29543942462584405</c:v>
                </c:pt>
                <c:pt idx="650">
                  <c:v>0.73529678573519286</c:v>
                </c:pt>
                <c:pt idx="651">
                  <c:v>0.30547299182619558</c:v>
                </c:pt>
                <c:pt idx="652">
                  <c:v>-1.4225568357356755</c:v>
                </c:pt>
                <c:pt idx="653">
                  <c:v>-2.598784642674548</c:v>
                </c:pt>
                <c:pt idx="654">
                  <c:v>-1.7924904911978161</c:v>
                </c:pt>
                <c:pt idx="655">
                  <c:v>-0.38588580000515926</c:v>
                </c:pt>
                <c:pt idx="656">
                  <c:v>-0.76503799714389897</c:v>
                </c:pt>
                <c:pt idx="657">
                  <c:v>-2.8745517023525511</c:v>
                </c:pt>
                <c:pt idx="658">
                  <c:v>-3.8231632513994693</c:v>
                </c:pt>
                <c:pt idx="659">
                  <c:v>-0.1984703470893005</c:v>
                </c:pt>
                <c:pt idx="660">
                  <c:v>5.5423301429216316</c:v>
                </c:pt>
                <c:pt idx="661">
                  <c:v>6.6283969569764869</c:v>
                </c:pt>
                <c:pt idx="662">
                  <c:v>3.7486951638843156</c:v>
                </c:pt>
                <c:pt idx="663">
                  <c:v>-4.3003007123246567E-3</c:v>
                </c:pt>
                <c:pt idx="664">
                  <c:v>-0.97510246730561034</c:v>
                </c:pt>
                <c:pt idx="665">
                  <c:v>-0.11457764079434299</c:v>
                </c:pt>
                <c:pt idx="666">
                  <c:v>0.27697965505205768</c:v>
                </c:pt>
                <c:pt idx="667">
                  <c:v>-0.70503806077569309</c:v>
                </c:pt>
                <c:pt idx="668">
                  <c:v>-3.0665241634533307</c:v>
                </c:pt>
                <c:pt idx="669">
                  <c:v>-4.2565237099877073</c:v>
                </c:pt>
                <c:pt idx="670">
                  <c:v>-1.2741595619467783</c:v>
                </c:pt>
                <c:pt idx="671">
                  <c:v>3.8666303763007441</c:v>
                </c:pt>
                <c:pt idx="672">
                  <c:v>6.028249153127784</c:v>
                </c:pt>
                <c:pt idx="673">
                  <c:v>4.2017787669758269</c:v>
                </c:pt>
                <c:pt idx="674">
                  <c:v>0.72702678426815437</c:v>
                </c:pt>
                <c:pt idx="675">
                  <c:v>-2.047259934738014</c:v>
                </c:pt>
                <c:pt idx="676">
                  <c:v>-3.4152238805985693</c:v>
                </c:pt>
                <c:pt idx="677">
                  <c:v>-3.9782078846417641</c:v>
                </c:pt>
                <c:pt idx="678">
                  <c:v>-2.6687055800564017</c:v>
                </c:pt>
                <c:pt idx="679">
                  <c:v>-0.59777768443545187</c:v>
                </c:pt>
                <c:pt idx="680">
                  <c:v>0.43733108408202198</c:v>
                </c:pt>
                <c:pt idx="681">
                  <c:v>-0.22384109397313523</c:v>
                </c:pt>
                <c:pt idx="682">
                  <c:v>-0.7408827877982731</c:v>
                </c:pt>
                <c:pt idx="683">
                  <c:v>0.8663031126708538</c:v>
                </c:pt>
                <c:pt idx="684">
                  <c:v>2.2219829604925052</c:v>
                </c:pt>
                <c:pt idx="685">
                  <c:v>1.2382987463929283</c:v>
                </c:pt>
                <c:pt idx="686">
                  <c:v>-2.3192830158488107</c:v>
                </c:pt>
                <c:pt idx="687">
                  <c:v>-7.6291226889805674</c:v>
                </c:pt>
                <c:pt idx="688">
                  <c:v>-9.8572714569598077</c:v>
                </c:pt>
                <c:pt idx="689">
                  <c:v>0.314759061611116</c:v>
                </c:pt>
                <c:pt idx="690">
                  <c:v>11.667928601982977</c:v>
                </c:pt>
                <c:pt idx="691">
                  <c:v>20.510804602130371</c:v>
                </c:pt>
                <c:pt idx="692">
                  <c:v>7.1945570848121623</c:v>
                </c:pt>
                <c:pt idx="693">
                  <c:v>-3.5399491539275978</c:v>
                </c:pt>
                <c:pt idx="694">
                  <c:v>-10.285187054615283</c:v>
                </c:pt>
                <c:pt idx="695">
                  <c:v>-4.8109606184826346</c:v>
                </c:pt>
                <c:pt idx="696">
                  <c:v>-1.2173202739143714</c:v>
                </c:pt>
                <c:pt idx="697">
                  <c:v>0.33305595447873204</c:v>
                </c:pt>
                <c:pt idx="698">
                  <c:v>1.2603348117958681</c:v>
                </c:pt>
                <c:pt idx="699">
                  <c:v>1.4258243098324708</c:v>
                </c:pt>
                <c:pt idx="700">
                  <c:v>0.38648633999774046</c:v>
                </c:pt>
                <c:pt idx="701">
                  <c:v>-1.2777178225560457</c:v>
                </c:pt>
                <c:pt idx="702">
                  <c:v>-1.4337118552539134</c:v>
                </c:pt>
                <c:pt idx="703">
                  <c:v>-0.82469806058760098</c:v>
                </c:pt>
                <c:pt idx="704">
                  <c:v>-1.1921337875891027</c:v>
                </c:pt>
                <c:pt idx="705">
                  <c:v>-2.7251269804810594</c:v>
                </c:pt>
                <c:pt idx="706">
                  <c:v>-3.6607741095235045</c:v>
                </c:pt>
                <c:pt idx="707">
                  <c:v>-1.1603845092946832</c:v>
                </c:pt>
                <c:pt idx="708">
                  <c:v>4.041380795699939</c:v>
                </c:pt>
                <c:pt idx="709">
                  <c:v>7.7177005768694134</c:v>
                </c:pt>
                <c:pt idx="710">
                  <c:v>5.116970037656781</c:v>
                </c:pt>
                <c:pt idx="711">
                  <c:v>-0.96602636372342465</c:v>
                </c:pt>
                <c:pt idx="712">
                  <c:v>-5.9391944071796958</c:v>
                </c:pt>
                <c:pt idx="713">
                  <c:v>-6.5821881692134943</c:v>
                </c:pt>
                <c:pt idx="714">
                  <c:v>-3.1815937108217938</c:v>
                </c:pt>
                <c:pt idx="715">
                  <c:v>1.7129145629999034</c:v>
                </c:pt>
                <c:pt idx="716">
                  <c:v>2.5519949222639657</c:v>
                </c:pt>
                <c:pt idx="717">
                  <c:v>-1.3056436199607107</c:v>
                </c:pt>
                <c:pt idx="718">
                  <c:v>-3.8726994369483432</c:v>
                </c:pt>
                <c:pt idx="719">
                  <c:v>-0.17517050123833497</c:v>
                </c:pt>
                <c:pt idx="720">
                  <c:v>4.7216916602546446</c:v>
                </c:pt>
                <c:pt idx="721">
                  <c:v>7.2280386429831696</c:v>
                </c:pt>
                <c:pt idx="722">
                  <c:v>4.6128063218919344</c:v>
                </c:pt>
                <c:pt idx="723">
                  <c:v>1.7367939321186368</c:v>
                </c:pt>
                <c:pt idx="724">
                  <c:v>-1.2746592956215987</c:v>
                </c:pt>
                <c:pt idx="725">
                  <c:v>-2.3221347284724527</c:v>
                </c:pt>
                <c:pt idx="726">
                  <c:v>-1.0583508933254622</c:v>
                </c:pt>
                <c:pt idx="727">
                  <c:v>-3.533029385003867E-2</c:v>
                </c:pt>
                <c:pt idx="728">
                  <c:v>-0.37931003374174188</c:v>
                </c:pt>
                <c:pt idx="729">
                  <c:v>-1.4641062250446075</c:v>
                </c:pt>
                <c:pt idx="730">
                  <c:v>-1.8493616110713789</c:v>
                </c:pt>
                <c:pt idx="731">
                  <c:v>-0.93748460895537478</c:v>
                </c:pt>
                <c:pt idx="732">
                  <c:v>0.56844901122427705</c:v>
                </c:pt>
                <c:pt idx="733">
                  <c:v>1.8778928401475998</c:v>
                </c:pt>
                <c:pt idx="734">
                  <c:v>1.9241685447650374</c:v>
                </c:pt>
                <c:pt idx="735">
                  <c:v>0.22642459393762238</c:v>
                </c:pt>
                <c:pt idx="736">
                  <c:v>-2.6659489480462413</c:v>
                </c:pt>
                <c:pt idx="737">
                  <c:v>-4.2665992825171513</c:v>
                </c:pt>
                <c:pt idx="738">
                  <c:v>-2.8874298588419265</c:v>
                </c:pt>
                <c:pt idx="739">
                  <c:v>0.76213969004805526</c:v>
                </c:pt>
                <c:pt idx="740">
                  <c:v>2.7806400160308842</c:v>
                </c:pt>
                <c:pt idx="741">
                  <c:v>2.2578499060121771</c:v>
                </c:pt>
                <c:pt idx="742">
                  <c:v>0.22813504684122565</c:v>
                </c:pt>
                <c:pt idx="743">
                  <c:v>-0.53435909975476081</c:v>
                </c:pt>
                <c:pt idx="744">
                  <c:v>-0.75805644456933885</c:v>
                </c:pt>
                <c:pt idx="745">
                  <c:v>-2.0344330079750916</c:v>
                </c:pt>
                <c:pt idx="746">
                  <c:v>-4.44470169195609</c:v>
                </c:pt>
                <c:pt idx="747">
                  <c:v>-7.5635913701780844</c:v>
                </c:pt>
                <c:pt idx="748">
                  <c:v>-4.7623259461767864</c:v>
                </c:pt>
                <c:pt idx="749">
                  <c:v>2.2389239061608852</c:v>
                </c:pt>
                <c:pt idx="750">
                  <c:v>9.6427223497801737</c:v>
                </c:pt>
                <c:pt idx="751">
                  <c:v>10.023252788642743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501296"/>
        <c:axId val="865501688"/>
      </c:scatterChart>
      <c:valAx>
        <c:axId val="865501296"/>
        <c:scaling>
          <c:orientation val="minMax"/>
          <c:max val="2015"/>
          <c:min val="1955"/>
        </c:scaling>
        <c:delete val="0"/>
        <c:axPos val="b"/>
        <c:minorGridlines>
          <c:spPr>
            <a:ln>
              <a:solidFill>
                <a:schemeClr val="accent5">
                  <a:shade val="76000"/>
                  <a:shade val="95000"/>
                  <a:satMod val="105000"/>
                  <a:alpha val="26000"/>
                </a:schemeClr>
              </a:solidFill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>
            <c:manualLayout>
              <c:xMode val="edge"/>
              <c:yMode val="edge"/>
              <c:x val="0.52447836566131523"/>
              <c:y val="0.9176886724536778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865501688"/>
        <c:crosses val="autoZero"/>
        <c:crossBetween val="midCat"/>
        <c:majorUnit val="5"/>
        <c:minorUnit val="1"/>
      </c:valAx>
      <c:valAx>
        <c:axId val="8655016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655012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8884496334509908"/>
          <c:y val="3.7372008340854626E-3"/>
          <c:w val="0.27334607656801518"/>
          <c:h val="0.19059724253835861"/>
        </c:manualLayout>
      </c:layout>
      <c:overlay val="0"/>
    </c:legend>
    <c:plotVisOnly val="1"/>
    <c:dispBlanksAs val="gap"/>
    <c:showDLblsOverMax val="0"/>
  </c:chart>
  <c:spPr>
    <a:solidFill>
      <a:schemeClr val="bg2">
        <a:lumMod val="90000"/>
      </a:schemeClr>
    </a:solidFill>
  </c:spPr>
  <c:txPr>
    <a:bodyPr/>
    <a:lstStyle/>
    <a:p>
      <a:pPr>
        <a:defRPr sz="1200" baseline="0"/>
      </a:pPr>
      <a:endParaRPr lang="en-US"/>
    </a:p>
  </c:txPr>
  <c:printSettings>
    <c:headerFooter/>
    <c:pageMargins b="0.75" l="0.7" r="0.7" t="0.75" header="0.3" footer="0.3"/>
    <c:pageSetup paperSize="3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15883066236678E-2"/>
          <c:y val="5.1400554097404488E-2"/>
          <c:w val="0.88301355151382044"/>
          <c:h val="0.8326195683872849"/>
        </c:manualLayout>
      </c:layout>
      <c:scatterChart>
        <c:scatterStyle val="lineMarker"/>
        <c:varyColors val="0"/>
        <c:ser>
          <c:idx val="6"/>
          <c:order val="0"/>
          <c:tx>
            <c:strRef>
              <c:f>offset_qbo_all_terms_70hPa!$H$2</c:f>
              <c:strCache>
                <c:ptCount val="1"/>
                <c:pt idx="0">
                  <c:v>Q2 </c:v>
                </c:pt>
              </c:strCache>
            </c:strRef>
          </c:tx>
          <c:marker>
            <c:symbol val="none"/>
          </c:marker>
          <c:xVal>
            <c:numRef>
              <c:f>offset_qbo_all_terms_70hPa!$A$3:$A$756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offset_qbo_all_terms_70hPa!$H$3:$H$756</c:f>
              <c:numCache>
                <c:formatCode>General</c:formatCode>
                <c:ptCount val="754"/>
                <c:pt idx="4">
                  <c:v>-3.8999999999999995</c:v>
                </c:pt>
                <c:pt idx="5">
                  <c:v>-4.5666666666666664</c:v>
                </c:pt>
                <c:pt idx="6">
                  <c:v>-0.66666666666666607</c:v>
                </c:pt>
                <c:pt idx="7">
                  <c:v>0.33333333333333348</c:v>
                </c:pt>
                <c:pt idx="8">
                  <c:v>0</c:v>
                </c:pt>
                <c:pt idx="9">
                  <c:v>-1</c:v>
                </c:pt>
                <c:pt idx="10">
                  <c:v>-1</c:v>
                </c:pt>
                <c:pt idx="11">
                  <c:v>-1.1666666666666672</c:v>
                </c:pt>
                <c:pt idx="12">
                  <c:v>-1.166666666666667</c:v>
                </c:pt>
                <c:pt idx="13">
                  <c:v>0.99999999999999978</c:v>
                </c:pt>
                <c:pt idx="14">
                  <c:v>1.8333333333333335</c:v>
                </c:pt>
                <c:pt idx="15">
                  <c:v>1.3333333333333335</c:v>
                </c:pt>
                <c:pt idx="16">
                  <c:v>-2.666666666666667</c:v>
                </c:pt>
                <c:pt idx="17">
                  <c:v>-3.5</c:v>
                </c:pt>
                <c:pt idx="18">
                  <c:v>-3.8333333333333335</c:v>
                </c:pt>
                <c:pt idx="19">
                  <c:v>-1.5</c:v>
                </c:pt>
                <c:pt idx="20">
                  <c:v>1.5</c:v>
                </c:pt>
                <c:pt idx="21">
                  <c:v>5.833333333333333</c:v>
                </c:pt>
                <c:pt idx="22">
                  <c:v>7.5</c:v>
                </c:pt>
                <c:pt idx="23">
                  <c:v>6.5</c:v>
                </c:pt>
                <c:pt idx="24">
                  <c:v>2.9999999999999991</c:v>
                </c:pt>
                <c:pt idx="25">
                  <c:v>-0.6666666666666673</c:v>
                </c:pt>
                <c:pt idx="26">
                  <c:v>-3.7333333333333334</c:v>
                </c:pt>
                <c:pt idx="27">
                  <c:v>-4.7333333333333334</c:v>
                </c:pt>
                <c:pt idx="28">
                  <c:v>-2.1666666666666665</c:v>
                </c:pt>
                <c:pt idx="29">
                  <c:v>1.9</c:v>
                </c:pt>
                <c:pt idx="30">
                  <c:v>3.0666666666666669</c:v>
                </c:pt>
                <c:pt idx="31">
                  <c:v>1.7333333333333336</c:v>
                </c:pt>
                <c:pt idx="32">
                  <c:v>-1.6</c:v>
                </c:pt>
                <c:pt idx="33">
                  <c:v>-2.8333333333333335</c:v>
                </c:pt>
                <c:pt idx="34">
                  <c:v>-3.5666666666666664</c:v>
                </c:pt>
                <c:pt idx="35">
                  <c:v>0</c:v>
                </c:pt>
                <c:pt idx="36">
                  <c:v>1.5666666666666664</c:v>
                </c:pt>
                <c:pt idx="37">
                  <c:v>2.166666666666667</c:v>
                </c:pt>
                <c:pt idx="38">
                  <c:v>-2.2333333333333334</c:v>
                </c:pt>
                <c:pt idx="39">
                  <c:v>-4.666666666666667</c:v>
                </c:pt>
                <c:pt idx="40">
                  <c:v>-6.5666666666666655</c:v>
                </c:pt>
                <c:pt idx="41">
                  <c:v>-4.2333333333333325</c:v>
                </c:pt>
                <c:pt idx="42">
                  <c:v>-0.39999999999999963</c:v>
                </c:pt>
                <c:pt idx="43">
                  <c:v>2.7333333333333334</c:v>
                </c:pt>
                <c:pt idx="44">
                  <c:v>3.666666666666667</c:v>
                </c:pt>
                <c:pt idx="45">
                  <c:v>1.6666666666666665</c:v>
                </c:pt>
                <c:pt idx="46">
                  <c:v>0.83333333333333337</c:v>
                </c:pt>
                <c:pt idx="47">
                  <c:v>0.40000000000000024</c:v>
                </c:pt>
                <c:pt idx="48">
                  <c:v>2.3333333333333335</c:v>
                </c:pt>
                <c:pt idx="49">
                  <c:v>3.166666666666667</c:v>
                </c:pt>
                <c:pt idx="50">
                  <c:v>3.3333333333333335</c:v>
                </c:pt>
                <c:pt idx="51">
                  <c:v>2</c:v>
                </c:pt>
                <c:pt idx="52">
                  <c:v>1.3333333333333335</c:v>
                </c:pt>
                <c:pt idx="53">
                  <c:v>1.1666666666666667</c:v>
                </c:pt>
                <c:pt idx="54">
                  <c:v>0</c:v>
                </c:pt>
                <c:pt idx="55">
                  <c:v>-1</c:v>
                </c:pt>
                <c:pt idx="56">
                  <c:v>-2</c:v>
                </c:pt>
                <c:pt idx="57">
                  <c:v>-2</c:v>
                </c:pt>
                <c:pt idx="58">
                  <c:v>-1.8333333333333333</c:v>
                </c:pt>
                <c:pt idx="59">
                  <c:v>0</c:v>
                </c:pt>
                <c:pt idx="60">
                  <c:v>1.6666666666666667</c:v>
                </c:pt>
                <c:pt idx="61">
                  <c:v>2.333333333333333</c:v>
                </c:pt>
                <c:pt idx="62">
                  <c:v>0.99999999999999978</c:v>
                </c:pt>
                <c:pt idx="63">
                  <c:v>-0.33333333333333331</c:v>
                </c:pt>
                <c:pt idx="64">
                  <c:v>-2</c:v>
                </c:pt>
                <c:pt idx="65">
                  <c:v>-3.166666666666667</c:v>
                </c:pt>
                <c:pt idx="66">
                  <c:v>-3.5</c:v>
                </c:pt>
                <c:pt idx="67">
                  <c:v>-2</c:v>
                </c:pt>
                <c:pt idx="68">
                  <c:v>-1</c:v>
                </c:pt>
                <c:pt idx="69">
                  <c:v>-1.1000000000000001</c:v>
                </c:pt>
                <c:pt idx="70">
                  <c:v>-1.1666666666666665</c:v>
                </c:pt>
                <c:pt idx="71">
                  <c:v>-0.83333333333333326</c:v>
                </c:pt>
                <c:pt idx="72">
                  <c:v>0.10000000000000017</c:v>
                </c:pt>
                <c:pt idx="73">
                  <c:v>0.50000000000000011</c:v>
                </c:pt>
                <c:pt idx="74">
                  <c:v>1.4333333333333331</c:v>
                </c:pt>
                <c:pt idx="75">
                  <c:v>2.166666666666667</c:v>
                </c:pt>
                <c:pt idx="76">
                  <c:v>4</c:v>
                </c:pt>
                <c:pt idx="77">
                  <c:v>5.0666666666666673</c:v>
                </c:pt>
                <c:pt idx="78">
                  <c:v>5.166666666666667</c:v>
                </c:pt>
                <c:pt idx="79">
                  <c:v>3.166666666666667</c:v>
                </c:pt>
                <c:pt idx="80">
                  <c:v>0.83333333333333393</c:v>
                </c:pt>
                <c:pt idx="81">
                  <c:v>-2.1666666666666665</c:v>
                </c:pt>
                <c:pt idx="82">
                  <c:v>-4.3333333333333339</c:v>
                </c:pt>
                <c:pt idx="83">
                  <c:v>-4.5</c:v>
                </c:pt>
                <c:pt idx="84">
                  <c:v>-1.9999999999999996</c:v>
                </c:pt>
                <c:pt idx="85">
                  <c:v>0.33333333333333331</c:v>
                </c:pt>
                <c:pt idx="86">
                  <c:v>-1.5666666666666669</c:v>
                </c:pt>
                <c:pt idx="87">
                  <c:v>-2.666666666666667</c:v>
                </c:pt>
                <c:pt idx="88">
                  <c:v>-4</c:v>
                </c:pt>
                <c:pt idx="89">
                  <c:v>-2.2666666666666666</c:v>
                </c:pt>
                <c:pt idx="90">
                  <c:v>-2</c:v>
                </c:pt>
                <c:pt idx="91">
                  <c:v>0.39999999999999963</c:v>
                </c:pt>
                <c:pt idx="92">
                  <c:v>1.3333333333333333</c:v>
                </c:pt>
                <c:pt idx="93">
                  <c:v>2.333333333333333</c:v>
                </c:pt>
                <c:pt idx="94">
                  <c:v>1.3666666666666667</c:v>
                </c:pt>
                <c:pt idx="95">
                  <c:v>2.0333333333333337</c:v>
                </c:pt>
                <c:pt idx="96">
                  <c:v>2.9666666666666672</c:v>
                </c:pt>
                <c:pt idx="97">
                  <c:v>5.3333333333333339</c:v>
                </c:pt>
                <c:pt idx="98">
                  <c:v>4.7333333333333334</c:v>
                </c:pt>
                <c:pt idx="99">
                  <c:v>2.8666666666666667</c:v>
                </c:pt>
                <c:pt idx="100">
                  <c:v>-0.53333333333333355</c:v>
                </c:pt>
                <c:pt idx="101">
                  <c:v>-1.0000000000000002</c:v>
                </c:pt>
                <c:pt idx="102">
                  <c:v>-3.0666666666666669</c:v>
                </c:pt>
                <c:pt idx="103">
                  <c:v>-2.0333333333333337</c:v>
                </c:pt>
                <c:pt idx="104">
                  <c:v>-2.666666666666667</c:v>
                </c:pt>
                <c:pt idx="105">
                  <c:v>0.26666666666666677</c:v>
                </c:pt>
                <c:pt idx="106">
                  <c:v>0.4</c:v>
                </c:pt>
                <c:pt idx="107">
                  <c:v>1.9</c:v>
                </c:pt>
                <c:pt idx="108">
                  <c:v>1.6666666666666665</c:v>
                </c:pt>
                <c:pt idx="109">
                  <c:v>1.8666666666666665</c:v>
                </c:pt>
                <c:pt idx="110">
                  <c:v>0.3</c:v>
                </c:pt>
                <c:pt idx="111">
                  <c:v>-2.2999999999999998</c:v>
                </c:pt>
                <c:pt idx="112">
                  <c:v>-3.9999999999999991</c:v>
                </c:pt>
                <c:pt idx="113">
                  <c:v>-4.4666666666666668</c:v>
                </c:pt>
                <c:pt idx="114">
                  <c:v>-2.2333333333333329</c:v>
                </c:pt>
                <c:pt idx="115">
                  <c:v>-1.1999999999999997</c:v>
                </c:pt>
                <c:pt idx="116">
                  <c:v>-0.26666666666666677</c:v>
                </c:pt>
                <c:pt idx="117">
                  <c:v>-0.46666666666666662</c:v>
                </c:pt>
                <c:pt idx="118">
                  <c:v>-0.40000000000000008</c:v>
                </c:pt>
                <c:pt idx="119">
                  <c:v>-0.93333333333333379</c:v>
                </c:pt>
                <c:pt idx="120">
                  <c:v>-1.3000000000000003</c:v>
                </c:pt>
                <c:pt idx="121">
                  <c:v>-0.66666666666666674</c:v>
                </c:pt>
                <c:pt idx="122">
                  <c:v>-1.8666666666666665</c:v>
                </c:pt>
                <c:pt idx="123">
                  <c:v>-2.3666666666666667</c:v>
                </c:pt>
                <c:pt idx="124">
                  <c:v>-2.2666666666666666</c:v>
                </c:pt>
                <c:pt idx="125">
                  <c:v>3.3666666666666663</c:v>
                </c:pt>
                <c:pt idx="126">
                  <c:v>8.1666666666666679</c:v>
                </c:pt>
                <c:pt idx="127">
                  <c:v>10.100000000000001</c:v>
                </c:pt>
                <c:pt idx="128">
                  <c:v>7.4666666666666668</c:v>
                </c:pt>
                <c:pt idx="129">
                  <c:v>3.7333333333333343</c:v>
                </c:pt>
                <c:pt idx="130">
                  <c:v>-1.5666666666666669</c:v>
                </c:pt>
                <c:pt idx="131">
                  <c:v>-4.7</c:v>
                </c:pt>
                <c:pt idx="132">
                  <c:v>-4.166666666666667</c:v>
                </c:pt>
                <c:pt idx="133">
                  <c:v>-0.66666666666666674</c:v>
                </c:pt>
                <c:pt idx="134">
                  <c:v>1.4</c:v>
                </c:pt>
                <c:pt idx="135">
                  <c:v>0.46666666666666662</c:v>
                </c:pt>
                <c:pt idx="136">
                  <c:v>-0.96666666666666679</c:v>
                </c:pt>
                <c:pt idx="137">
                  <c:v>-1.9666666666666668</c:v>
                </c:pt>
                <c:pt idx="138">
                  <c:v>-2.4333333333333336</c:v>
                </c:pt>
                <c:pt idx="139">
                  <c:v>-3.0666666666666673</c:v>
                </c:pt>
                <c:pt idx="140">
                  <c:v>-2.0333333333333337</c:v>
                </c:pt>
                <c:pt idx="141">
                  <c:v>-0.56666666666666665</c:v>
                </c:pt>
                <c:pt idx="142">
                  <c:v>0.6333333333333333</c:v>
                </c:pt>
                <c:pt idx="143">
                  <c:v>1.6333333333333333</c:v>
                </c:pt>
                <c:pt idx="144">
                  <c:v>4.0999999999999996</c:v>
                </c:pt>
                <c:pt idx="145">
                  <c:v>4.0999999999999996</c:v>
                </c:pt>
                <c:pt idx="146">
                  <c:v>2.3666666666666671</c:v>
                </c:pt>
                <c:pt idx="147">
                  <c:v>-2.333333333333333</c:v>
                </c:pt>
                <c:pt idx="148">
                  <c:v>-3.5</c:v>
                </c:pt>
                <c:pt idx="149">
                  <c:v>-5.6333333333333337</c:v>
                </c:pt>
                <c:pt idx="150">
                  <c:v>-6.3</c:v>
                </c:pt>
                <c:pt idx="151">
                  <c:v>-7.2</c:v>
                </c:pt>
                <c:pt idx="152">
                  <c:v>-2.8333333333333335</c:v>
                </c:pt>
                <c:pt idx="153">
                  <c:v>-0.40000000000000069</c:v>
                </c:pt>
                <c:pt idx="154">
                  <c:v>2.7333333333333334</c:v>
                </c:pt>
                <c:pt idx="155">
                  <c:v>3.5</c:v>
                </c:pt>
                <c:pt idx="156">
                  <c:v>5.6</c:v>
                </c:pt>
                <c:pt idx="157">
                  <c:v>4.6333333333333329</c:v>
                </c:pt>
                <c:pt idx="158">
                  <c:v>4.333333333333333</c:v>
                </c:pt>
                <c:pt idx="159">
                  <c:v>2.5</c:v>
                </c:pt>
                <c:pt idx="160">
                  <c:v>3</c:v>
                </c:pt>
                <c:pt idx="161">
                  <c:v>2.5666666666666669</c:v>
                </c:pt>
                <c:pt idx="162">
                  <c:v>3.0666666666666669</c:v>
                </c:pt>
                <c:pt idx="163">
                  <c:v>0.46666666666666679</c:v>
                </c:pt>
                <c:pt idx="164">
                  <c:v>-1.6</c:v>
                </c:pt>
                <c:pt idx="165">
                  <c:v>-3.6333333333333337</c:v>
                </c:pt>
                <c:pt idx="166">
                  <c:v>-3.1</c:v>
                </c:pt>
                <c:pt idx="167">
                  <c:v>-2.5666666666666664</c:v>
                </c:pt>
                <c:pt idx="168">
                  <c:v>0.7000000000000004</c:v>
                </c:pt>
                <c:pt idx="169">
                  <c:v>2.166666666666667</c:v>
                </c:pt>
                <c:pt idx="170">
                  <c:v>2.6</c:v>
                </c:pt>
                <c:pt idx="171">
                  <c:v>-0.76666666666666639</c:v>
                </c:pt>
                <c:pt idx="172">
                  <c:v>-2.2999999999999998</c:v>
                </c:pt>
                <c:pt idx="173">
                  <c:v>-5.2666666666666666</c:v>
                </c:pt>
                <c:pt idx="174">
                  <c:v>-4.3</c:v>
                </c:pt>
                <c:pt idx="175">
                  <c:v>-2.9666666666666668</c:v>
                </c:pt>
                <c:pt idx="176">
                  <c:v>1</c:v>
                </c:pt>
                <c:pt idx="177">
                  <c:v>1</c:v>
                </c:pt>
                <c:pt idx="178">
                  <c:v>1.5666666666666667</c:v>
                </c:pt>
                <c:pt idx="179">
                  <c:v>0.36666666666666664</c:v>
                </c:pt>
                <c:pt idx="180">
                  <c:v>1.9333333333333331</c:v>
                </c:pt>
                <c:pt idx="181">
                  <c:v>1.3333333333333333</c:v>
                </c:pt>
                <c:pt idx="182">
                  <c:v>1.5999999999999999</c:v>
                </c:pt>
                <c:pt idx="183">
                  <c:v>-1.0333333333333334</c:v>
                </c:pt>
                <c:pt idx="184">
                  <c:v>-0.80000000000000016</c:v>
                </c:pt>
                <c:pt idx="185">
                  <c:v>-2.666666666666667</c:v>
                </c:pt>
                <c:pt idx="186">
                  <c:v>-1.3333333333333335</c:v>
                </c:pt>
                <c:pt idx="187">
                  <c:v>-2.1333333333333337</c:v>
                </c:pt>
                <c:pt idx="188">
                  <c:v>-0.1999999999999999</c:v>
                </c:pt>
                <c:pt idx="189">
                  <c:v>-0.79999999999999993</c:v>
                </c:pt>
                <c:pt idx="190">
                  <c:v>-0.39999999999999991</c:v>
                </c:pt>
                <c:pt idx="191">
                  <c:v>-1.0000000000000004</c:v>
                </c:pt>
                <c:pt idx="192">
                  <c:v>1.1333333333333333</c:v>
                </c:pt>
                <c:pt idx="193">
                  <c:v>4.4333333333333336</c:v>
                </c:pt>
                <c:pt idx="194">
                  <c:v>7.6333333333333329</c:v>
                </c:pt>
                <c:pt idx="195">
                  <c:v>6.8666666666666671</c:v>
                </c:pt>
                <c:pt idx="196">
                  <c:v>3.9666666666666672</c:v>
                </c:pt>
                <c:pt idx="197">
                  <c:v>0.36666666666666681</c:v>
                </c:pt>
                <c:pt idx="198">
                  <c:v>-2.666666666666667</c:v>
                </c:pt>
                <c:pt idx="199">
                  <c:v>-5.7333333333333325</c:v>
                </c:pt>
                <c:pt idx="200">
                  <c:v>-5.4333333333333336</c:v>
                </c:pt>
                <c:pt idx="201">
                  <c:v>-3.8333333333333335</c:v>
                </c:pt>
                <c:pt idx="202">
                  <c:v>-1.6333333333333335</c:v>
                </c:pt>
                <c:pt idx="203">
                  <c:v>-0.56666666666666676</c:v>
                </c:pt>
                <c:pt idx="204">
                  <c:v>1.1333333333333333</c:v>
                </c:pt>
                <c:pt idx="205">
                  <c:v>2.333333333333333</c:v>
                </c:pt>
                <c:pt idx="206">
                  <c:v>2.0333333333333337</c:v>
                </c:pt>
                <c:pt idx="207">
                  <c:v>0.93333333333333357</c:v>
                </c:pt>
                <c:pt idx="208">
                  <c:v>-0.46666666666666662</c:v>
                </c:pt>
                <c:pt idx="209">
                  <c:v>-2.7333333333333334</c:v>
                </c:pt>
                <c:pt idx="210">
                  <c:v>-3.3333333333333335</c:v>
                </c:pt>
                <c:pt idx="211">
                  <c:v>-3.2</c:v>
                </c:pt>
                <c:pt idx="212">
                  <c:v>-1.0666666666666669</c:v>
                </c:pt>
                <c:pt idx="213">
                  <c:v>-0.66666666666666674</c:v>
                </c:pt>
                <c:pt idx="214">
                  <c:v>0.6</c:v>
                </c:pt>
                <c:pt idx="215">
                  <c:v>0.4</c:v>
                </c:pt>
                <c:pt idx="216">
                  <c:v>1.6</c:v>
                </c:pt>
                <c:pt idx="217">
                  <c:v>3.8666666666666671</c:v>
                </c:pt>
                <c:pt idx="218">
                  <c:v>6.2</c:v>
                </c:pt>
                <c:pt idx="219">
                  <c:v>5.9666666666666668</c:v>
                </c:pt>
                <c:pt idx="220">
                  <c:v>2.0666666666666664</c:v>
                </c:pt>
                <c:pt idx="221">
                  <c:v>-0.60000000000000075</c:v>
                </c:pt>
                <c:pt idx="222">
                  <c:v>-2.6333333333333337</c:v>
                </c:pt>
                <c:pt idx="223">
                  <c:v>-3.2</c:v>
                </c:pt>
                <c:pt idx="224">
                  <c:v>-2.6333333333333333</c:v>
                </c:pt>
                <c:pt idx="225">
                  <c:v>3.3333333333333395E-2</c:v>
                </c:pt>
                <c:pt idx="226">
                  <c:v>2.8666666666666667</c:v>
                </c:pt>
                <c:pt idx="227">
                  <c:v>1.7000000000000004</c:v>
                </c:pt>
                <c:pt idx="228">
                  <c:v>0.4333333333333334</c:v>
                </c:pt>
                <c:pt idx="229">
                  <c:v>-1.5</c:v>
                </c:pt>
                <c:pt idx="230">
                  <c:v>-1.3666666666666667</c:v>
                </c:pt>
                <c:pt idx="231">
                  <c:v>-3.666666666666667</c:v>
                </c:pt>
                <c:pt idx="232">
                  <c:v>-4.8333333333333339</c:v>
                </c:pt>
                <c:pt idx="233">
                  <c:v>-5.0999999999999996</c:v>
                </c:pt>
                <c:pt idx="234">
                  <c:v>-3.4999999999999991</c:v>
                </c:pt>
                <c:pt idx="235">
                  <c:v>-2.1333333333333337</c:v>
                </c:pt>
                <c:pt idx="236">
                  <c:v>-0.13333333333333316</c:v>
                </c:pt>
                <c:pt idx="237">
                  <c:v>2.3666666666666667</c:v>
                </c:pt>
                <c:pt idx="238">
                  <c:v>2.5666666666666669</c:v>
                </c:pt>
                <c:pt idx="239">
                  <c:v>2.333333333333333</c:v>
                </c:pt>
                <c:pt idx="240">
                  <c:v>4.7666666666666675</c:v>
                </c:pt>
                <c:pt idx="241">
                  <c:v>8.0666666666666664</c:v>
                </c:pt>
                <c:pt idx="242">
                  <c:v>7.0333333333333341</c:v>
                </c:pt>
                <c:pt idx="243">
                  <c:v>3.7666666666666671</c:v>
                </c:pt>
                <c:pt idx="244">
                  <c:v>1.2000000000000004</c:v>
                </c:pt>
                <c:pt idx="245">
                  <c:v>-1.533333333333333</c:v>
                </c:pt>
                <c:pt idx="246">
                  <c:v>-5.3</c:v>
                </c:pt>
                <c:pt idx="247">
                  <c:v>-5.8666666666666663</c:v>
                </c:pt>
                <c:pt idx="248">
                  <c:v>-3.5333333333333337</c:v>
                </c:pt>
                <c:pt idx="249">
                  <c:v>-0.96666666666666679</c:v>
                </c:pt>
                <c:pt idx="250">
                  <c:v>-0.6</c:v>
                </c:pt>
                <c:pt idx="251">
                  <c:v>0</c:v>
                </c:pt>
                <c:pt idx="252">
                  <c:v>0.86666666666666681</c:v>
                </c:pt>
                <c:pt idx="253">
                  <c:v>1.6</c:v>
                </c:pt>
                <c:pt idx="254">
                  <c:v>1.4</c:v>
                </c:pt>
                <c:pt idx="255">
                  <c:v>0.1</c:v>
                </c:pt>
                <c:pt idx="256">
                  <c:v>-1.7666666666666668</c:v>
                </c:pt>
                <c:pt idx="257">
                  <c:v>-3.1</c:v>
                </c:pt>
                <c:pt idx="258">
                  <c:v>-3.7666666666666671</c:v>
                </c:pt>
                <c:pt idx="259">
                  <c:v>-3.5666666666666673</c:v>
                </c:pt>
                <c:pt idx="260">
                  <c:v>-2.5</c:v>
                </c:pt>
                <c:pt idx="261">
                  <c:v>-1.4</c:v>
                </c:pt>
                <c:pt idx="262">
                  <c:v>0.6</c:v>
                </c:pt>
                <c:pt idx="263">
                  <c:v>1.6</c:v>
                </c:pt>
                <c:pt idx="264">
                  <c:v>2.6666666666666665</c:v>
                </c:pt>
                <c:pt idx="265">
                  <c:v>1.8666666666666667</c:v>
                </c:pt>
                <c:pt idx="266">
                  <c:v>2.6</c:v>
                </c:pt>
                <c:pt idx="267">
                  <c:v>2.5333333333333332</c:v>
                </c:pt>
                <c:pt idx="268">
                  <c:v>3.5333333333333328</c:v>
                </c:pt>
                <c:pt idx="269">
                  <c:v>4.4333333333333327</c:v>
                </c:pt>
                <c:pt idx="270">
                  <c:v>3.9333333333333336</c:v>
                </c:pt>
                <c:pt idx="271">
                  <c:v>1.9333333333333329</c:v>
                </c:pt>
                <c:pt idx="272">
                  <c:v>-1.4</c:v>
                </c:pt>
                <c:pt idx="273">
                  <c:v>-2.8666666666666663</c:v>
                </c:pt>
                <c:pt idx="274">
                  <c:v>-3.7999999999999994</c:v>
                </c:pt>
                <c:pt idx="275">
                  <c:v>-2.1</c:v>
                </c:pt>
                <c:pt idx="276">
                  <c:v>-0.13333333333333322</c:v>
                </c:pt>
                <c:pt idx="277">
                  <c:v>1.7</c:v>
                </c:pt>
                <c:pt idx="278">
                  <c:v>0.8</c:v>
                </c:pt>
                <c:pt idx="279">
                  <c:v>-0.86666666666666681</c:v>
                </c:pt>
                <c:pt idx="280">
                  <c:v>-2.0333333333333332</c:v>
                </c:pt>
                <c:pt idx="281">
                  <c:v>-2.333333333333333</c:v>
                </c:pt>
                <c:pt idx="282">
                  <c:v>-1.5333333333333332</c:v>
                </c:pt>
                <c:pt idx="283">
                  <c:v>-0.53333333333333321</c:v>
                </c:pt>
                <c:pt idx="284">
                  <c:v>-0.33333333333333331</c:v>
                </c:pt>
                <c:pt idx="285">
                  <c:v>-3.3333333333333305E-2</c:v>
                </c:pt>
                <c:pt idx="286">
                  <c:v>-0.23333333333333331</c:v>
                </c:pt>
                <c:pt idx="287">
                  <c:v>6.6666666666666693E-2</c:v>
                </c:pt>
                <c:pt idx="288">
                  <c:v>-6.6666666666666624E-2</c:v>
                </c:pt>
                <c:pt idx="289">
                  <c:v>-1.1666666666666667</c:v>
                </c:pt>
                <c:pt idx="290">
                  <c:v>-2.9333333333333336</c:v>
                </c:pt>
                <c:pt idx="291">
                  <c:v>-2.7666666666666666</c:v>
                </c:pt>
                <c:pt idx="292">
                  <c:v>-1.3666666666666671</c:v>
                </c:pt>
                <c:pt idx="293">
                  <c:v>0.43333333333333324</c:v>
                </c:pt>
                <c:pt idx="294">
                  <c:v>1.5</c:v>
                </c:pt>
                <c:pt idx="295">
                  <c:v>3.2000000000000006</c:v>
                </c:pt>
                <c:pt idx="296">
                  <c:v>4.6000000000000005</c:v>
                </c:pt>
                <c:pt idx="297">
                  <c:v>4.5</c:v>
                </c:pt>
                <c:pt idx="298">
                  <c:v>3.1333333333333333</c:v>
                </c:pt>
                <c:pt idx="299">
                  <c:v>3.8333333333333335</c:v>
                </c:pt>
                <c:pt idx="300">
                  <c:v>2.7666666666666666</c:v>
                </c:pt>
                <c:pt idx="301">
                  <c:v>0.8999999999999998</c:v>
                </c:pt>
                <c:pt idx="302">
                  <c:v>-2.4</c:v>
                </c:pt>
                <c:pt idx="303">
                  <c:v>-3</c:v>
                </c:pt>
                <c:pt idx="304">
                  <c:v>-3.2</c:v>
                </c:pt>
                <c:pt idx="305">
                  <c:v>-2.2333333333333334</c:v>
                </c:pt>
                <c:pt idx="306">
                  <c:v>-1.8333333333333335</c:v>
                </c:pt>
                <c:pt idx="307">
                  <c:v>-0.4</c:v>
                </c:pt>
                <c:pt idx="308">
                  <c:v>-1.2333333333333334</c:v>
                </c:pt>
                <c:pt idx="309">
                  <c:v>-1.2666666666666668</c:v>
                </c:pt>
                <c:pt idx="310">
                  <c:v>-0.86666666666666659</c:v>
                </c:pt>
                <c:pt idx="311">
                  <c:v>0.46666666666666679</c:v>
                </c:pt>
                <c:pt idx="312">
                  <c:v>2.2999999999999998</c:v>
                </c:pt>
                <c:pt idx="313">
                  <c:v>3.1333333333333337</c:v>
                </c:pt>
                <c:pt idx="314">
                  <c:v>1.0666666666666669</c:v>
                </c:pt>
                <c:pt idx="315">
                  <c:v>-1.3</c:v>
                </c:pt>
                <c:pt idx="316">
                  <c:v>-3.5333333333333328</c:v>
                </c:pt>
                <c:pt idx="317">
                  <c:v>-4.3</c:v>
                </c:pt>
                <c:pt idx="318">
                  <c:v>-4.6333333333333337</c:v>
                </c:pt>
                <c:pt idx="319">
                  <c:v>-2.4333333333333331</c:v>
                </c:pt>
                <c:pt idx="320">
                  <c:v>0.43333333333333329</c:v>
                </c:pt>
                <c:pt idx="321">
                  <c:v>2.2333333333333334</c:v>
                </c:pt>
                <c:pt idx="322">
                  <c:v>1.0999999999999999</c:v>
                </c:pt>
                <c:pt idx="323">
                  <c:v>1.5999999999999999</c:v>
                </c:pt>
                <c:pt idx="324">
                  <c:v>1.1666666666666665</c:v>
                </c:pt>
                <c:pt idx="325">
                  <c:v>1.3333333333333335</c:v>
                </c:pt>
                <c:pt idx="326">
                  <c:v>3.7</c:v>
                </c:pt>
                <c:pt idx="327">
                  <c:v>4.5333333333333332</c:v>
                </c:pt>
                <c:pt idx="328">
                  <c:v>5</c:v>
                </c:pt>
                <c:pt idx="329">
                  <c:v>3.0666666666666669</c:v>
                </c:pt>
                <c:pt idx="330">
                  <c:v>1.7666666666666668</c:v>
                </c:pt>
                <c:pt idx="331">
                  <c:v>-2.2666666666666666</c:v>
                </c:pt>
                <c:pt idx="332">
                  <c:v>-4.5999999999999996</c:v>
                </c:pt>
                <c:pt idx="333">
                  <c:v>-5.0333333333333332</c:v>
                </c:pt>
                <c:pt idx="334">
                  <c:v>-1.7</c:v>
                </c:pt>
                <c:pt idx="335">
                  <c:v>3.3333333333333395E-2</c:v>
                </c:pt>
                <c:pt idx="336">
                  <c:v>1.0333333333333337</c:v>
                </c:pt>
                <c:pt idx="337">
                  <c:v>2.3666666666666667</c:v>
                </c:pt>
                <c:pt idx="338">
                  <c:v>1.6666666666666667</c:v>
                </c:pt>
                <c:pt idx="339">
                  <c:v>-0.26666666666666661</c:v>
                </c:pt>
                <c:pt idx="340">
                  <c:v>-2.2999999999999998</c:v>
                </c:pt>
                <c:pt idx="341">
                  <c:v>-2.5333333333333337</c:v>
                </c:pt>
                <c:pt idx="342">
                  <c:v>-1.6333333333333335</c:v>
                </c:pt>
                <c:pt idx="343">
                  <c:v>-1.7666666666666668</c:v>
                </c:pt>
                <c:pt idx="344">
                  <c:v>-1.4</c:v>
                </c:pt>
                <c:pt idx="345">
                  <c:v>-0.70000000000000007</c:v>
                </c:pt>
                <c:pt idx="346">
                  <c:v>0.73333333333333328</c:v>
                </c:pt>
                <c:pt idx="347">
                  <c:v>0.60000000000000009</c:v>
                </c:pt>
                <c:pt idx="348">
                  <c:v>-1.6666666666666665</c:v>
                </c:pt>
                <c:pt idx="349">
                  <c:v>-3.0666666666666669</c:v>
                </c:pt>
                <c:pt idx="350">
                  <c:v>-4.0999999999999996</c:v>
                </c:pt>
                <c:pt idx="351">
                  <c:v>-2.4333333333333336</c:v>
                </c:pt>
                <c:pt idx="352">
                  <c:v>-1.3333333333333341</c:v>
                </c:pt>
                <c:pt idx="353">
                  <c:v>3.4</c:v>
                </c:pt>
                <c:pt idx="354">
                  <c:v>6.3666666666666654</c:v>
                </c:pt>
                <c:pt idx="355">
                  <c:v>10.3</c:v>
                </c:pt>
                <c:pt idx="356">
                  <c:v>6.7666666666666675</c:v>
                </c:pt>
                <c:pt idx="357">
                  <c:v>4.0999999999999996</c:v>
                </c:pt>
                <c:pt idx="358">
                  <c:v>-0.7000000000000004</c:v>
                </c:pt>
                <c:pt idx="359">
                  <c:v>-1.9666666666666668</c:v>
                </c:pt>
                <c:pt idx="360">
                  <c:v>-2.333333333333333</c:v>
                </c:pt>
                <c:pt idx="361">
                  <c:v>-1.7000000000000004</c:v>
                </c:pt>
                <c:pt idx="362">
                  <c:v>-0.66666666666666707</c:v>
                </c:pt>
                <c:pt idx="363">
                  <c:v>-0.20000000000000034</c:v>
                </c:pt>
                <c:pt idx="364">
                  <c:v>-0.16666666666666691</c:v>
                </c:pt>
                <c:pt idx="365">
                  <c:v>-2.7</c:v>
                </c:pt>
                <c:pt idx="366">
                  <c:v>-2.7333333333333334</c:v>
                </c:pt>
                <c:pt idx="367">
                  <c:v>-3.0333333333333332</c:v>
                </c:pt>
                <c:pt idx="368">
                  <c:v>-0.6333333333333333</c:v>
                </c:pt>
                <c:pt idx="369">
                  <c:v>-0.66666666666666674</c:v>
                </c:pt>
                <c:pt idx="370">
                  <c:v>-0.16666666666666669</c:v>
                </c:pt>
                <c:pt idx="371">
                  <c:v>0.33333333333333348</c:v>
                </c:pt>
                <c:pt idx="372">
                  <c:v>0.96666666666666656</c:v>
                </c:pt>
                <c:pt idx="373">
                  <c:v>1.2666666666666666</c:v>
                </c:pt>
                <c:pt idx="374">
                  <c:v>-0.79999999999999982</c:v>
                </c:pt>
                <c:pt idx="375">
                  <c:v>-2.7</c:v>
                </c:pt>
                <c:pt idx="376">
                  <c:v>-4.0666666666666664</c:v>
                </c:pt>
                <c:pt idx="377">
                  <c:v>-2.566666666666666</c:v>
                </c:pt>
                <c:pt idx="378">
                  <c:v>-1.3333333333333326</c:v>
                </c:pt>
                <c:pt idx="379">
                  <c:v>1.6</c:v>
                </c:pt>
                <c:pt idx="380">
                  <c:v>3.2</c:v>
                </c:pt>
                <c:pt idx="381">
                  <c:v>3.9666666666666663</c:v>
                </c:pt>
                <c:pt idx="382">
                  <c:v>2.3333333333333335</c:v>
                </c:pt>
                <c:pt idx="383">
                  <c:v>1.0666666666666667</c:v>
                </c:pt>
                <c:pt idx="384">
                  <c:v>2.1333333333333337</c:v>
                </c:pt>
                <c:pt idx="385">
                  <c:v>2.1000000000000005</c:v>
                </c:pt>
                <c:pt idx="386">
                  <c:v>3.6333333333333337</c:v>
                </c:pt>
                <c:pt idx="387">
                  <c:v>1.8666666666666667</c:v>
                </c:pt>
                <c:pt idx="388">
                  <c:v>1.9666666666666672</c:v>
                </c:pt>
                <c:pt idx="389">
                  <c:v>-1.4</c:v>
                </c:pt>
                <c:pt idx="390">
                  <c:v>-1.8333333333333333</c:v>
                </c:pt>
                <c:pt idx="391">
                  <c:v>-4.8666666666666663</c:v>
                </c:pt>
                <c:pt idx="392">
                  <c:v>-3.2333333333333334</c:v>
                </c:pt>
                <c:pt idx="393">
                  <c:v>-2.6333333333333333</c:v>
                </c:pt>
                <c:pt idx="394">
                  <c:v>0.56666666666666676</c:v>
                </c:pt>
                <c:pt idx="395">
                  <c:v>1.0999999999999999</c:v>
                </c:pt>
                <c:pt idx="396">
                  <c:v>3.1000000000000005</c:v>
                </c:pt>
                <c:pt idx="397">
                  <c:v>2.5666666666666673</c:v>
                </c:pt>
                <c:pt idx="398">
                  <c:v>1.3666666666666671</c:v>
                </c:pt>
                <c:pt idx="399">
                  <c:v>-2.0666666666666664</c:v>
                </c:pt>
                <c:pt idx="400">
                  <c:v>-2.333333333333333</c:v>
                </c:pt>
                <c:pt idx="401">
                  <c:v>-2.166666666666667</c:v>
                </c:pt>
                <c:pt idx="402">
                  <c:v>-0.9</c:v>
                </c:pt>
                <c:pt idx="403">
                  <c:v>-1.0666666666666669</c:v>
                </c:pt>
                <c:pt idx="404">
                  <c:v>0.29999999999999993</c:v>
                </c:pt>
                <c:pt idx="405">
                  <c:v>0.29999999999999993</c:v>
                </c:pt>
                <c:pt idx="406">
                  <c:v>-0.9</c:v>
                </c:pt>
                <c:pt idx="407">
                  <c:v>-2.4333333333333336</c:v>
                </c:pt>
                <c:pt idx="408">
                  <c:v>-1.8000000000000003</c:v>
                </c:pt>
                <c:pt idx="409">
                  <c:v>-2.5</c:v>
                </c:pt>
                <c:pt idx="410">
                  <c:v>-4.0666666666666664</c:v>
                </c:pt>
                <c:pt idx="411">
                  <c:v>-3.5333333333333337</c:v>
                </c:pt>
                <c:pt idx="412">
                  <c:v>0</c:v>
                </c:pt>
                <c:pt idx="413">
                  <c:v>3.0333333333333337</c:v>
                </c:pt>
                <c:pt idx="414">
                  <c:v>6.8</c:v>
                </c:pt>
                <c:pt idx="415">
                  <c:v>9.1333333333333346</c:v>
                </c:pt>
                <c:pt idx="416">
                  <c:v>8.7666666666666675</c:v>
                </c:pt>
                <c:pt idx="417">
                  <c:v>3.8666666666666671</c:v>
                </c:pt>
                <c:pt idx="418">
                  <c:v>-0.26666666666666694</c:v>
                </c:pt>
                <c:pt idx="419">
                  <c:v>-3.1666666666666665</c:v>
                </c:pt>
                <c:pt idx="420">
                  <c:v>-4.3</c:v>
                </c:pt>
                <c:pt idx="421">
                  <c:v>-2.7333333333333334</c:v>
                </c:pt>
                <c:pt idx="422">
                  <c:v>-0.56666666666666665</c:v>
                </c:pt>
                <c:pt idx="423">
                  <c:v>0.43333333333333329</c:v>
                </c:pt>
                <c:pt idx="424">
                  <c:v>-0.6333333333333333</c:v>
                </c:pt>
                <c:pt idx="425">
                  <c:v>-0.26666666666666661</c:v>
                </c:pt>
                <c:pt idx="426">
                  <c:v>-1.4333333333333331</c:v>
                </c:pt>
                <c:pt idx="427">
                  <c:v>-1.1999999999999997</c:v>
                </c:pt>
                <c:pt idx="428">
                  <c:v>-1.7333333333333332</c:v>
                </c:pt>
                <c:pt idx="429">
                  <c:v>-0.23333333333333331</c:v>
                </c:pt>
                <c:pt idx="430">
                  <c:v>-0.36666666666666659</c:v>
                </c:pt>
                <c:pt idx="431">
                  <c:v>1.1000000000000001</c:v>
                </c:pt>
                <c:pt idx="432">
                  <c:v>0.73333333333333328</c:v>
                </c:pt>
                <c:pt idx="433">
                  <c:v>1.1333333333333333</c:v>
                </c:pt>
                <c:pt idx="434">
                  <c:v>-0.40000000000000019</c:v>
                </c:pt>
                <c:pt idx="435">
                  <c:v>-0.30000000000000016</c:v>
                </c:pt>
                <c:pt idx="436">
                  <c:v>-1.7333333333333332</c:v>
                </c:pt>
                <c:pt idx="437">
                  <c:v>-2.1666666666666665</c:v>
                </c:pt>
                <c:pt idx="438">
                  <c:v>-1.8333333333333335</c:v>
                </c:pt>
                <c:pt idx="439">
                  <c:v>-0.83333333333333337</c:v>
                </c:pt>
                <c:pt idx="440">
                  <c:v>0.3</c:v>
                </c:pt>
                <c:pt idx="441">
                  <c:v>-0.40000000000000008</c:v>
                </c:pt>
                <c:pt idx="442">
                  <c:v>-0.93333333333333324</c:v>
                </c:pt>
                <c:pt idx="443">
                  <c:v>-0.96666666666666679</c:v>
                </c:pt>
                <c:pt idx="444">
                  <c:v>0</c:v>
                </c:pt>
                <c:pt idx="445">
                  <c:v>1.6</c:v>
                </c:pt>
                <c:pt idx="446">
                  <c:v>4.2333333333333334</c:v>
                </c:pt>
                <c:pt idx="447">
                  <c:v>5.5666666666666664</c:v>
                </c:pt>
                <c:pt idx="448">
                  <c:v>4.9666666666666668</c:v>
                </c:pt>
                <c:pt idx="449">
                  <c:v>3.2666666666666671</c:v>
                </c:pt>
                <c:pt idx="450">
                  <c:v>0.33333333333333326</c:v>
                </c:pt>
                <c:pt idx="451">
                  <c:v>-2.2999999999999998</c:v>
                </c:pt>
                <c:pt idx="452">
                  <c:v>-3.4666666666666672</c:v>
                </c:pt>
                <c:pt idx="453">
                  <c:v>-3.0000000000000004</c:v>
                </c:pt>
                <c:pt idx="454">
                  <c:v>-1.5666666666666669</c:v>
                </c:pt>
                <c:pt idx="455">
                  <c:v>-1.3333333333333333</c:v>
                </c:pt>
                <c:pt idx="456">
                  <c:v>-0.1666666666666668</c:v>
                </c:pt>
                <c:pt idx="457">
                  <c:v>0.6</c:v>
                </c:pt>
                <c:pt idx="458">
                  <c:v>0.1</c:v>
                </c:pt>
                <c:pt idx="459">
                  <c:v>-1.2666666666666666</c:v>
                </c:pt>
                <c:pt idx="460">
                  <c:v>-1.2666666666666666</c:v>
                </c:pt>
                <c:pt idx="461">
                  <c:v>-1.2333333333333332</c:v>
                </c:pt>
                <c:pt idx="462">
                  <c:v>-0.40000000000000008</c:v>
                </c:pt>
                <c:pt idx="463">
                  <c:v>-6.666666666666661E-2</c:v>
                </c:pt>
                <c:pt idx="464">
                  <c:v>1.3</c:v>
                </c:pt>
                <c:pt idx="465">
                  <c:v>-0.13333333333333339</c:v>
                </c:pt>
                <c:pt idx="466">
                  <c:v>0.56666666666666665</c:v>
                </c:pt>
                <c:pt idx="467">
                  <c:v>-0.86666666666666681</c:v>
                </c:pt>
                <c:pt idx="468">
                  <c:v>0.79999999999999993</c:v>
                </c:pt>
                <c:pt idx="469">
                  <c:v>-2</c:v>
                </c:pt>
                <c:pt idx="470">
                  <c:v>-1.5666666666666669</c:v>
                </c:pt>
                <c:pt idx="471">
                  <c:v>-3.3666666666666663</c:v>
                </c:pt>
                <c:pt idx="472">
                  <c:v>-1.3333333333333337</c:v>
                </c:pt>
                <c:pt idx="473">
                  <c:v>-1.2333333333333334</c:v>
                </c:pt>
                <c:pt idx="474">
                  <c:v>1.4333333333333331</c:v>
                </c:pt>
                <c:pt idx="475">
                  <c:v>2.6333333333333333</c:v>
                </c:pt>
                <c:pt idx="476">
                  <c:v>5.8</c:v>
                </c:pt>
                <c:pt idx="477">
                  <c:v>4.8666666666666663</c:v>
                </c:pt>
                <c:pt idx="478">
                  <c:v>4.8666666666666663</c:v>
                </c:pt>
                <c:pt idx="479">
                  <c:v>3.1333333333333337</c:v>
                </c:pt>
                <c:pt idx="480">
                  <c:v>4</c:v>
                </c:pt>
                <c:pt idx="481">
                  <c:v>-0.1666666666666666</c:v>
                </c:pt>
                <c:pt idx="482">
                  <c:v>-2.666666666666667</c:v>
                </c:pt>
                <c:pt idx="483">
                  <c:v>-5.6999999999999993</c:v>
                </c:pt>
                <c:pt idx="484">
                  <c:v>-4.1333333333333337</c:v>
                </c:pt>
                <c:pt idx="485">
                  <c:v>-3.2333333333333329</c:v>
                </c:pt>
                <c:pt idx="486">
                  <c:v>-1.3</c:v>
                </c:pt>
                <c:pt idx="487">
                  <c:v>0.7333333333333335</c:v>
                </c:pt>
                <c:pt idx="488">
                  <c:v>0.8333333333333337</c:v>
                </c:pt>
                <c:pt idx="489">
                  <c:v>0.8333333333333337</c:v>
                </c:pt>
                <c:pt idx="490">
                  <c:v>6.6666666666666791E-2</c:v>
                </c:pt>
                <c:pt idx="491">
                  <c:v>0.23333333333333331</c:v>
                </c:pt>
                <c:pt idx="492">
                  <c:v>0.26666666666666672</c:v>
                </c:pt>
                <c:pt idx="493">
                  <c:v>-2.5666666666666669</c:v>
                </c:pt>
                <c:pt idx="494">
                  <c:v>-4.5999999999999996</c:v>
                </c:pt>
                <c:pt idx="495">
                  <c:v>-6.4666666666666668</c:v>
                </c:pt>
                <c:pt idx="496">
                  <c:v>-3.9</c:v>
                </c:pt>
                <c:pt idx="497">
                  <c:v>-2.3333333333333335</c:v>
                </c:pt>
                <c:pt idx="498">
                  <c:v>3.2</c:v>
                </c:pt>
                <c:pt idx="499">
                  <c:v>6.1333333333333337</c:v>
                </c:pt>
                <c:pt idx="500">
                  <c:v>9.1</c:v>
                </c:pt>
                <c:pt idx="501">
                  <c:v>5.4333333333333336</c:v>
                </c:pt>
                <c:pt idx="502">
                  <c:v>2.7666666666666671</c:v>
                </c:pt>
                <c:pt idx="503">
                  <c:v>-0.3</c:v>
                </c:pt>
                <c:pt idx="504">
                  <c:v>0.8</c:v>
                </c:pt>
                <c:pt idx="505">
                  <c:v>-0.96666666666666679</c:v>
                </c:pt>
                <c:pt idx="506">
                  <c:v>1</c:v>
                </c:pt>
                <c:pt idx="507">
                  <c:v>0.2</c:v>
                </c:pt>
                <c:pt idx="508">
                  <c:v>1.2333333333333329</c:v>
                </c:pt>
                <c:pt idx="509">
                  <c:v>-2.3666666666666667</c:v>
                </c:pt>
                <c:pt idx="510">
                  <c:v>-3.1333333333333333</c:v>
                </c:pt>
                <c:pt idx="511">
                  <c:v>-4.0333333333333332</c:v>
                </c:pt>
                <c:pt idx="512">
                  <c:v>-1.9333333333333331</c:v>
                </c:pt>
                <c:pt idx="513">
                  <c:v>-0.8999999999999998</c:v>
                </c:pt>
                <c:pt idx="514">
                  <c:v>0.83333333333333337</c:v>
                </c:pt>
                <c:pt idx="515">
                  <c:v>1.0666666666666669</c:v>
                </c:pt>
                <c:pt idx="516">
                  <c:v>0.5</c:v>
                </c:pt>
                <c:pt idx="517">
                  <c:v>0.26666666666666672</c:v>
                </c:pt>
                <c:pt idx="518">
                  <c:v>-1.4333333333333331</c:v>
                </c:pt>
                <c:pt idx="519">
                  <c:v>-3</c:v>
                </c:pt>
                <c:pt idx="520">
                  <c:v>-3.0333333333333332</c:v>
                </c:pt>
                <c:pt idx="521">
                  <c:v>-1.8666666666666667</c:v>
                </c:pt>
                <c:pt idx="522">
                  <c:v>-0.3333333333333332</c:v>
                </c:pt>
                <c:pt idx="523">
                  <c:v>0.26666666666666661</c:v>
                </c:pt>
                <c:pt idx="524">
                  <c:v>2.9</c:v>
                </c:pt>
                <c:pt idx="525">
                  <c:v>2</c:v>
                </c:pt>
                <c:pt idx="526">
                  <c:v>1.8666666666666667</c:v>
                </c:pt>
                <c:pt idx="527">
                  <c:v>-1.2000000000000002</c:v>
                </c:pt>
                <c:pt idx="528">
                  <c:v>1.3333333333333333</c:v>
                </c:pt>
                <c:pt idx="529">
                  <c:v>0.96666666666666656</c:v>
                </c:pt>
                <c:pt idx="530">
                  <c:v>6.4333333333333345</c:v>
                </c:pt>
                <c:pt idx="531">
                  <c:v>4.6333333333333337</c:v>
                </c:pt>
                <c:pt idx="532">
                  <c:v>5.3000000000000007</c:v>
                </c:pt>
                <c:pt idx="533">
                  <c:v>-0.73333333333333284</c:v>
                </c:pt>
                <c:pt idx="534">
                  <c:v>-1.8999999999999997</c:v>
                </c:pt>
                <c:pt idx="535">
                  <c:v>-7.4333333333333327</c:v>
                </c:pt>
                <c:pt idx="536">
                  <c:v>-6.1333333333333337</c:v>
                </c:pt>
                <c:pt idx="537">
                  <c:v>-4.9333333333333336</c:v>
                </c:pt>
                <c:pt idx="538">
                  <c:v>0.76666666666666672</c:v>
                </c:pt>
                <c:pt idx="539">
                  <c:v>2.0666666666666664</c:v>
                </c:pt>
                <c:pt idx="540">
                  <c:v>3.1999999999999997</c:v>
                </c:pt>
                <c:pt idx="541">
                  <c:v>1.0333333333333332</c:v>
                </c:pt>
                <c:pt idx="542">
                  <c:v>-0.86666666666666681</c:v>
                </c:pt>
                <c:pt idx="543">
                  <c:v>-2.8666666666666667</c:v>
                </c:pt>
                <c:pt idx="544">
                  <c:v>-3.1666666666666661</c:v>
                </c:pt>
                <c:pt idx="545">
                  <c:v>-2.7333333333333334</c:v>
                </c:pt>
                <c:pt idx="546">
                  <c:v>-1.6666666666666665</c:v>
                </c:pt>
                <c:pt idx="547">
                  <c:v>0.63333333333333341</c:v>
                </c:pt>
                <c:pt idx="548">
                  <c:v>1.4666666666666666</c:v>
                </c:pt>
                <c:pt idx="549">
                  <c:v>2.2000000000000002</c:v>
                </c:pt>
                <c:pt idx="550">
                  <c:v>1.9000000000000004</c:v>
                </c:pt>
                <c:pt idx="551">
                  <c:v>3.0333333333333337</c:v>
                </c:pt>
                <c:pt idx="552">
                  <c:v>3.9666666666666663</c:v>
                </c:pt>
                <c:pt idx="553">
                  <c:v>4.5666666666666664</c:v>
                </c:pt>
                <c:pt idx="554">
                  <c:v>2.5666666666666669</c:v>
                </c:pt>
                <c:pt idx="555">
                  <c:v>0.26666666666666716</c:v>
                </c:pt>
                <c:pt idx="556">
                  <c:v>-1.3666666666666667</c:v>
                </c:pt>
                <c:pt idx="557">
                  <c:v>-2.7333333333333334</c:v>
                </c:pt>
                <c:pt idx="558">
                  <c:v>-3.2</c:v>
                </c:pt>
                <c:pt idx="559">
                  <c:v>-2.5333333333333328</c:v>
                </c:pt>
                <c:pt idx="560">
                  <c:v>-0.46666666666666679</c:v>
                </c:pt>
                <c:pt idx="561">
                  <c:v>0.56666666666666665</c:v>
                </c:pt>
                <c:pt idx="562">
                  <c:v>0.33333333333333337</c:v>
                </c:pt>
                <c:pt idx="563">
                  <c:v>0.23333333333333334</c:v>
                </c:pt>
                <c:pt idx="564">
                  <c:v>1.2333333333333332</c:v>
                </c:pt>
                <c:pt idx="565">
                  <c:v>1.2</c:v>
                </c:pt>
                <c:pt idx="566">
                  <c:v>0.8</c:v>
                </c:pt>
                <c:pt idx="567">
                  <c:v>-0.33333333333333337</c:v>
                </c:pt>
                <c:pt idx="568">
                  <c:v>-0.93333333333333335</c:v>
                </c:pt>
                <c:pt idx="569">
                  <c:v>-2.4666666666666668</c:v>
                </c:pt>
                <c:pt idx="570">
                  <c:v>-3.2333333333333334</c:v>
                </c:pt>
                <c:pt idx="571">
                  <c:v>-3.3666666666666671</c:v>
                </c:pt>
                <c:pt idx="572">
                  <c:v>-1.7</c:v>
                </c:pt>
                <c:pt idx="573">
                  <c:v>-0.4</c:v>
                </c:pt>
                <c:pt idx="574">
                  <c:v>1.3333333333333335</c:v>
                </c:pt>
                <c:pt idx="575">
                  <c:v>2.1</c:v>
                </c:pt>
                <c:pt idx="576">
                  <c:v>3.4666666666666672</c:v>
                </c:pt>
                <c:pt idx="577">
                  <c:v>2.666666666666667</c:v>
                </c:pt>
                <c:pt idx="578">
                  <c:v>0.23333333333333339</c:v>
                </c:pt>
                <c:pt idx="579">
                  <c:v>-2.7666666666666666</c:v>
                </c:pt>
                <c:pt idx="580">
                  <c:v>-3.4</c:v>
                </c:pt>
                <c:pt idx="581">
                  <c:v>-2.3333333333333335</c:v>
                </c:pt>
                <c:pt idx="582">
                  <c:v>-1.4666666666666668</c:v>
                </c:pt>
                <c:pt idx="583">
                  <c:v>0.80000000000000016</c:v>
                </c:pt>
                <c:pt idx="584">
                  <c:v>1.6666666666666665</c:v>
                </c:pt>
                <c:pt idx="585">
                  <c:v>2.666666666666667</c:v>
                </c:pt>
                <c:pt idx="586">
                  <c:v>0.66666666666666663</c:v>
                </c:pt>
                <c:pt idx="587">
                  <c:v>3</c:v>
                </c:pt>
                <c:pt idx="588">
                  <c:v>3.0666666666666669</c:v>
                </c:pt>
                <c:pt idx="589">
                  <c:v>3.9333333333333336</c:v>
                </c:pt>
                <c:pt idx="590">
                  <c:v>1.2000000000000004</c:v>
                </c:pt>
                <c:pt idx="591">
                  <c:v>0.80000000000000038</c:v>
                </c:pt>
                <c:pt idx="592">
                  <c:v>-1.5333333333333337</c:v>
                </c:pt>
                <c:pt idx="593">
                  <c:v>-2.3333333333333335</c:v>
                </c:pt>
                <c:pt idx="594">
                  <c:v>-2.8333333333333335</c:v>
                </c:pt>
                <c:pt idx="595">
                  <c:v>-1.7</c:v>
                </c:pt>
                <c:pt idx="596">
                  <c:v>-1.2</c:v>
                </c:pt>
                <c:pt idx="597">
                  <c:v>-1.1666666666666667</c:v>
                </c:pt>
                <c:pt idx="598">
                  <c:v>-0.46666666666666679</c:v>
                </c:pt>
                <c:pt idx="599">
                  <c:v>0.19999999999999998</c:v>
                </c:pt>
                <c:pt idx="600">
                  <c:v>1.3333333333333335</c:v>
                </c:pt>
                <c:pt idx="601">
                  <c:v>1.3333333333333335</c:v>
                </c:pt>
                <c:pt idx="602">
                  <c:v>9.9999999999999908E-2</c:v>
                </c:pt>
                <c:pt idx="603">
                  <c:v>-1.1666666666666667</c:v>
                </c:pt>
                <c:pt idx="604">
                  <c:v>-1.3333333333333335</c:v>
                </c:pt>
                <c:pt idx="605">
                  <c:v>-0.86666666666666681</c:v>
                </c:pt>
                <c:pt idx="606">
                  <c:v>-1.3333333333333335</c:v>
                </c:pt>
                <c:pt idx="607">
                  <c:v>-1.1000000000000001</c:v>
                </c:pt>
                <c:pt idx="608">
                  <c:v>-1.3</c:v>
                </c:pt>
                <c:pt idx="609">
                  <c:v>-1.2666666666666666</c:v>
                </c:pt>
                <c:pt idx="610">
                  <c:v>-1.2000000000000004</c:v>
                </c:pt>
                <c:pt idx="611">
                  <c:v>0.16666666666666669</c:v>
                </c:pt>
                <c:pt idx="612">
                  <c:v>2.4</c:v>
                </c:pt>
                <c:pt idx="613">
                  <c:v>5.333333333333333</c:v>
                </c:pt>
                <c:pt idx="614">
                  <c:v>5.3</c:v>
                </c:pt>
                <c:pt idx="615">
                  <c:v>3.6333333333333337</c:v>
                </c:pt>
                <c:pt idx="616">
                  <c:v>0.56666666666666676</c:v>
                </c:pt>
                <c:pt idx="617">
                  <c:v>-1.1333333333333333</c:v>
                </c:pt>
                <c:pt idx="618">
                  <c:v>-2.2999999999999998</c:v>
                </c:pt>
                <c:pt idx="619">
                  <c:v>-3.1333333333333337</c:v>
                </c:pt>
                <c:pt idx="620">
                  <c:v>-2.4333333333333331</c:v>
                </c:pt>
                <c:pt idx="621">
                  <c:v>-1.1000000000000001</c:v>
                </c:pt>
                <c:pt idx="622">
                  <c:v>-0.2</c:v>
                </c:pt>
                <c:pt idx="623">
                  <c:v>0.7</c:v>
                </c:pt>
                <c:pt idx="624">
                  <c:v>0.7666666666666665</c:v>
                </c:pt>
                <c:pt idx="625">
                  <c:v>1.1333333333333331</c:v>
                </c:pt>
                <c:pt idx="626">
                  <c:v>0.3333333333333332</c:v>
                </c:pt>
                <c:pt idx="627">
                  <c:v>6.6666666666666693E-2</c:v>
                </c:pt>
                <c:pt idx="628">
                  <c:v>-3.3</c:v>
                </c:pt>
                <c:pt idx="629">
                  <c:v>-2.4666666666666668</c:v>
                </c:pt>
                <c:pt idx="630">
                  <c:v>-2.2666666666666666</c:v>
                </c:pt>
                <c:pt idx="631">
                  <c:v>0.46666666666666667</c:v>
                </c:pt>
                <c:pt idx="632">
                  <c:v>-0.1666666666666666</c:v>
                </c:pt>
                <c:pt idx="633">
                  <c:v>0.73333333333333328</c:v>
                </c:pt>
                <c:pt idx="634">
                  <c:v>-3.3333333333333305E-2</c:v>
                </c:pt>
                <c:pt idx="635">
                  <c:v>-0.3666666666666667</c:v>
                </c:pt>
                <c:pt idx="636">
                  <c:v>-2.166666666666667</c:v>
                </c:pt>
                <c:pt idx="637">
                  <c:v>-1.2000000000000002</c:v>
                </c:pt>
                <c:pt idx="638">
                  <c:v>2.5333333333333337</c:v>
                </c:pt>
                <c:pt idx="639">
                  <c:v>5.5666666666666673</c:v>
                </c:pt>
                <c:pt idx="640">
                  <c:v>7.8666666666666671</c:v>
                </c:pt>
                <c:pt idx="641">
                  <c:v>5.7</c:v>
                </c:pt>
                <c:pt idx="642">
                  <c:v>3.833333333333333</c:v>
                </c:pt>
                <c:pt idx="643">
                  <c:v>-1.8000000000000007</c:v>
                </c:pt>
                <c:pt idx="644">
                  <c:v>-4.8333333333333339</c:v>
                </c:pt>
                <c:pt idx="645">
                  <c:v>-7.1000000000000014</c:v>
                </c:pt>
                <c:pt idx="646">
                  <c:v>-3.3</c:v>
                </c:pt>
                <c:pt idx="647">
                  <c:v>-0.6</c:v>
                </c:pt>
                <c:pt idx="648">
                  <c:v>1.8666666666666667</c:v>
                </c:pt>
                <c:pt idx="649">
                  <c:v>1.7</c:v>
                </c:pt>
                <c:pt idx="650">
                  <c:v>-1.1666666666666661</c:v>
                </c:pt>
                <c:pt idx="651">
                  <c:v>-2.4</c:v>
                </c:pt>
                <c:pt idx="652">
                  <c:v>-3.9</c:v>
                </c:pt>
                <c:pt idx="653">
                  <c:v>-1.9666666666666668</c:v>
                </c:pt>
                <c:pt idx="654">
                  <c:v>-1.0666666666666662</c:v>
                </c:pt>
                <c:pt idx="655">
                  <c:v>0.93333333333333302</c:v>
                </c:pt>
                <c:pt idx="656">
                  <c:v>1.2333333333333329</c:v>
                </c:pt>
                <c:pt idx="657">
                  <c:v>1.3999999999999997</c:v>
                </c:pt>
                <c:pt idx="658">
                  <c:v>0.60000000000000009</c:v>
                </c:pt>
                <c:pt idx="659">
                  <c:v>-0.3666666666666667</c:v>
                </c:pt>
                <c:pt idx="660">
                  <c:v>0.46666666666666662</c:v>
                </c:pt>
                <c:pt idx="661">
                  <c:v>0.53333333333333333</c:v>
                </c:pt>
                <c:pt idx="662">
                  <c:v>3.6333333333333329</c:v>
                </c:pt>
                <c:pt idx="663">
                  <c:v>2.4999999999999996</c:v>
                </c:pt>
                <c:pt idx="664">
                  <c:v>3.3666666666666663</c:v>
                </c:pt>
                <c:pt idx="665">
                  <c:v>0.53333333333333321</c:v>
                </c:pt>
                <c:pt idx="666">
                  <c:v>0.46666666666666679</c:v>
                </c:pt>
                <c:pt idx="667">
                  <c:v>-4.3</c:v>
                </c:pt>
                <c:pt idx="668">
                  <c:v>-3.9</c:v>
                </c:pt>
                <c:pt idx="669">
                  <c:v>-2.2999999999999994</c:v>
                </c:pt>
                <c:pt idx="670">
                  <c:v>2.2000000000000002</c:v>
                </c:pt>
                <c:pt idx="671">
                  <c:v>2.9666666666666668</c:v>
                </c:pt>
                <c:pt idx="672">
                  <c:v>3.333333333333333</c:v>
                </c:pt>
                <c:pt idx="673">
                  <c:v>2.6666666666666665</c:v>
                </c:pt>
                <c:pt idx="674">
                  <c:v>6.6666666666666791E-2</c:v>
                </c:pt>
                <c:pt idx="675">
                  <c:v>-2.5333333333333332</c:v>
                </c:pt>
                <c:pt idx="676">
                  <c:v>-3.3</c:v>
                </c:pt>
                <c:pt idx="677">
                  <c:v>-2.2666666666666666</c:v>
                </c:pt>
                <c:pt idx="678">
                  <c:v>-1.6666666666666667</c:v>
                </c:pt>
                <c:pt idx="679">
                  <c:v>-0.6</c:v>
                </c:pt>
                <c:pt idx="680">
                  <c:v>0.56666666666666665</c:v>
                </c:pt>
                <c:pt idx="681">
                  <c:v>0.56666666666666665</c:v>
                </c:pt>
                <c:pt idx="682">
                  <c:v>0.10000000000000002</c:v>
                </c:pt>
                <c:pt idx="683">
                  <c:v>-0.4</c:v>
                </c:pt>
                <c:pt idx="684">
                  <c:v>-3.8</c:v>
                </c:pt>
                <c:pt idx="685">
                  <c:v>-6.2666666666666675</c:v>
                </c:pt>
                <c:pt idx="686">
                  <c:v>-6.9</c:v>
                </c:pt>
                <c:pt idx="687">
                  <c:v>-3.2333333333333329</c:v>
                </c:pt>
                <c:pt idx="688">
                  <c:v>-0.3666666666666657</c:v>
                </c:pt>
                <c:pt idx="689">
                  <c:v>8.1</c:v>
                </c:pt>
                <c:pt idx="690">
                  <c:v>13.233333333333334</c:v>
                </c:pt>
                <c:pt idx="691">
                  <c:v>13.866666666666665</c:v>
                </c:pt>
                <c:pt idx="692">
                  <c:v>6.2666666666666657</c:v>
                </c:pt>
                <c:pt idx="693">
                  <c:v>1.099999999999999</c:v>
                </c:pt>
                <c:pt idx="694">
                  <c:v>-3.9666666666666672</c:v>
                </c:pt>
                <c:pt idx="695">
                  <c:v>-6.666666666666667</c:v>
                </c:pt>
                <c:pt idx="696">
                  <c:v>-7.3</c:v>
                </c:pt>
                <c:pt idx="697">
                  <c:v>-2.4333333333333331</c:v>
                </c:pt>
                <c:pt idx="698">
                  <c:v>0.4</c:v>
                </c:pt>
                <c:pt idx="699">
                  <c:v>1.2</c:v>
                </c:pt>
                <c:pt idx="700">
                  <c:v>1.6</c:v>
                </c:pt>
                <c:pt idx="701">
                  <c:v>1.8666666666666667</c:v>
                </c:pt>
                <c:pt idx="702">
                  <c:v>0.53333333333333333</c:v>
                </c:pt>
                <c:pt idx="703">
                  <c:v>-2.4333333333333331</c:v>
                </c:pt>
                <c:pt idx="704">
                  <c:v>-4.8</c:v>
                </c:pt>
                <c:pt idx="705">
                  <c:v>-4.8333333333333339</c:v>
                </c:pt>
                <c:pt idx="706">
                  <c:v>-3.2000000000000006</c:v>
                </c:pt>
                <c:pt idx="707">
                  <c:v>-0.7000000000000004</c:v>
                </c:pt>
                <c:pt idx="708">
                  <c:v>2.1</c:v>
                </c:pt>
                <c:pt idx="709">
                  <c:v>3.9333333333333327</c:v>
                </c:pt>
                <c:pt idx="710">
                  <c:v>3.5</c:v>
                </c:pt>
                <c:pt idx="711">
                  <c:v>2.0333333333333332</c:v>
                </c:pt>
                <c:pt idx="712">
                  <c:v>0.33333333333333326</c:v>
                </c:pt>
                <c:pt idx="713">
                  <c:v>-6.666666666666668E-2</c:v>
                </c:pt>
                <c:pt idx="714">
                  <c:v>-0.4333333333333334</c:v>
                </c:pt>
                <c:pt idx="715">
                  <c:v>-1</c:v>
                </c:pt>
                <c:pt idx="716">
                  <c:v>-1.2</c:v>
                </c:pt>
                <c:pt idx="717">
                  <c:v>-1.3666666666666667</c:v>
                </c:pt>
                <c:pt idx="718">
                  <c:v>-2.4</c:v>
                </c:pt>
                <c:pt idx="719">
                  <c:v>-2.1</c:v>
                </c:pt>
                <c:pt idx="720">
                  <c:v>-3.1</c:v>
                </c:pt>
                <c:pt idx="721">
                  <c:v>-0.96666666666666679</c:v>
                </c:pt>
                <c:pt idx="722">
                  <c:v>2.333333333333333</c:v>
                </c:pt>
                <c:pt idx="723">
                  <c:v>6.3</c:v>
                </c:pt>
                <c:pt idx="724">
                  <c:v>7.7333333333333325</c:v>
                </c:pt>
                <c:pt idx="725">
                  <c:v>6.4999999999999982</c:v>
                </c:pt>
                <c:pt idx="726">
                  <c:v>4.0666666666666655</c:v>
                </c:pt>
                <c:pt idx="727">
                  <c:v>-0.93333333333333357</c:v>
                </c:pt>
                <c:pt idx="728">
                  <c:v>-4.2666666666666675</c:v>
                </c:pt>
                <c:pt idx="729">
                  <c:v>-6.6</c:v>
                </c:pt>
                <c:pt idx="730">
                  <c:v>-3.6333333333333329</c:v>
                </c:pt>
                <c:pt idx="731">
                  <c:v>-1.4333333333333331</c:v>
                </c:pt>
                <c:pt idx="732">
                  <c:v>1.1333333333333333</c:v>
                </c:pt>
                <c:pt idx="733">
                  <c:v>2.166666666666667</c:v>
                </c:pt>
                <c:pt idx="734">
                  <c:v>1.7666666666666668</c:v>
                </c:pt>
                <c:pt idx="735">
                  <c:v>1.2333333333333336</c:v>
                </c:pt>
                <c:pt idx="736">
                  <c:v>-1.5333333333333332</c:v>
                </c:pt>
                <c:pt idx="737">
                  <c:v>-2.4666666666666663</c:v>
                </c:pt>
                <c:pt idx="738">
                  <c:v>-3.6</c:v>
                </c:pt>
                <c:pt idx="739">
                  <c:v>-2.6333333333333333</c:v>
                </c:pt>
                <c:pt idx="740">
                  <c:v>-3.0333333333333328</c:v>
                </c:pt>
                <c:pt idx="741">
                  <c:v>-1.4333333333333333</c:v>
                </c:pt>
                <c:pt idx="742">
                  <c:v>-0.53333333333333344</c:v>
                </c:pt>
                <c:pt idx="743">
                  <c:v>0.43333333333333324</c:v>
                </c:pt>
                <c:pt idx="744">
                  <c:v>-2.1666666666666665</c:v>
                </c:pt>
                <c:pt idx="745">
                  <c:v>-1.2999999999999998</c:v>
                </c:pt>
                <c:pt idx="746">
                  <c:v>-1.2</c:v>
                </c:pt>
                <c:pt idx="747">
                  <c:v>1.0333333333333332</c:v>
                </c:pt>
                <c:pt idx="748">
                  <c:v>4.7</c:v>
                </c:pt>
                <c:pt idx="749">
                  <c:v>10.666666666666668</c:v>
                </c:pt>
              </c:numCache>
            </c:numRef>
          </c:yVal>
          <c:smooth val="0"/>
        </c:ser>
        <c:ser>
          <c:idx val="7"/>
          <c:order val="1"/>
          <c:tx>
            <c:strRef>
              <c:f>offset_qbo_all_terms_70hPa!$I$2</c:f>
              <c:strCache>
                <c:ptCount val="1"/>
                <c:pt idx="0">
                  <c:v>M2</c:v>
                </c:pt>
              </c:strCache>
            </c:strRef>
          </c:tx>
          <c:marker>
            <c:symbol val="none"/>
          </c:marker>
          <c:xVal>
            <c:numRef>
              <c:f>offset_qbo_all_terms_70hPa!$A$3:$A$756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offset_qbo_all_terms_70hPa!$I$3:$I$756</c:f>
              <c:numCache>
                <c:formatCode>General</c:formatCode>
                <c:ptCount val="754"/>
                <c:pt idx="4">
                  <c:v>-1.765491998593653</c:v>
                </c:pt>
                <c:pt idx="5">
                  <c:v>-2.4644452699483907</c:v>
                </c:pt>
                <c:pt idx="6">
                  <c:v>-2.2816177717519359</c:v>
                </c:pt>
                <c:pt idx="7">
                  <c:v>-1.7049739543925946</c:v>
                </c:pt>
                <c:pt idx="8">
                  <c:v>-0.89564950950650812</c:v>
                </c:pt>
                <c:pt idx="9">
                  <c:v>2.4736674660211212E-2</c:v>
                </c:pt>
                <c:pt idx="10">
                  <c:v>0.6524856669459026</c:v>
                </c:pt>
                <c:pt idx="11">
                  <c:v>0.81153108847936062</c:v>
                </c:pt>
                <c:pt idx="12">
                  <c:v>0.70367069112582237</c:v>
                </c:pt>
                <c:pt idx="13">
                  <c:v>0.41125094586471339</c:v>
                </c:pt>
                <c:pt idx="14">
                  <c:v>-0.23457387163724133</c:v>
                </c:pt>
                <c:pt idx="15">
                  <c:v>-0.86098895726124824</c:v>
                </c:pt>
                <c:pt idx="16">
                  <c:v>-0.94098701838860088</c:v>
                </c:pt>
                <c:pt idx="17">
                  <c:v>-0.33689145160297868</c:v>
                </c:pt>
                <c:pt idx="18">
                  <c:v>0.27813021968769802</c:v>
                </c:pt>
                <c:pt idx="19">
                  <c:v>0.42258975847147784</c:v>
                </c:pt>
                <c:pt idx="20">
                  <c:v>0.25325189962253997</c:v>
                </c:pt>
                <c:pt idx="21">
                  <c:v>7.4023976505531493E-3</c:v>
                </c:pt>
                <c:pt idx="22">
                  <c:v>-0.23544270210430468</c:v>
                </c:pt>
                <c:pt idx="23">
                  <c:v>0.2288136211972974</c:v>
                </c:pt>
                <c:pt idx="24">
                  <c:v>1.4056321845852815</c:v>
                </c:pt>
                <c:pt idx="25">
                  <c:v>2.4370082518582201</c:v>
                </c:pt>
                <c:pt idx="26">
                  <c:v>2.4190632249148862</c:v>
                </c:pt>
                <c:pt idx="27">
                  <c:v>1.6497189384031821</c:v>
                </c:pt>
                <c:pt idx="28">
                  <c:v>0.78776737829141297</c:v>
                </c:pt>
                <c:pt idx="29">
                  <c:v>3.1787812770140977E-2</c:v>
                </c:pt>
                <c:pt idx="30">
                  <c:v>-0.5956890841445418</c:v>
                </c:pt>
                <c:pt idx="31">
                  <c:v>-0.76194475291585861</c:v>
                </c:pt>
                <c:pt idx="32">
                  <c:v>-0.57903136674258848</c:v>
                </c:pt>
                <c:pt idx="33">
                  <c:v>-0.66603835626391983</c:v>
                </c:pt>
                <c:pt idx="34">
                  <c:v>-0.93944600118471355</c:v>
                </c:pt>
                <c:pt idx="35">
                  <c:v>-1.0167628753479925</c:v>
                </c:pt>
                <c:pt idx="36">
                  <c:v>-0.8490073609380534</c:v>
                </c:pt>
                <c:pt idx="37">
                  <c:v>-0.7745089038281322</c:v>
                </c:pt>
                <c:pt idx="38">
                  <c:v>-1.0443889126868302</c:v>
                </c:pt>
                <c:pt idx="39">
                  <c:v>-1.3358972429966602</c:v>
                </c:pt>
                <c:pt idx="40">
                  <c:v>-1.1929991020458197</c:v>
                </c:pt>
                <c:pt idx="41">
                  <c:v>-0.70215870963427496</c:v>
                </c:pt>
                <c:pt idx="42">
                  <c:v>-0.64255400717659139</c:v>
                </c:pt>
                <c:pt idx="43">
                  <c:v>-1.6218447777015492</c:v>
                </c:pt>
                <c:pt idx="44">
                  <c:v>-2.3535052266863423</c:v>
                </c:pt>
                <c:pt idx="45">
                  <c:v>-2.1611515183077161</c:v>
                </c:pt>
                <c:pt idx="46">
                  <c:v>-0.67415960103920303</c:v>
                </c:pt>
                <c:pt idx="47">
                  <c:v>1.8401352228255283</c:v>
                </c:pt>
                <c:pt idx="48">
                  <c:v>5.5015165481986763</c:v>
                </c:pt>
                <c:pt idx="49">
                  <c:v>7.3941054597889657</c:v>
                </c:pt>
                <c:pt idx="50">
                  <c:v>6.4440988295541617</c:v>
                </c:pt>
                <c:pt idx="51">
                  <c:v>2.8577210208288824</c:v>
                </c:pt>
                <c:pt idx="52">
                  <c:v>-0.27954746006490916</c:v>
                </c:pt>
                <c:pt idx="53">
                  <c:v>-2.7208354343615633</c:v>
                </c:pt>
                <c:pt idx="54">
                  <c:v>-3.6927781740072745</c:v>
                </c:pt>
                <c:pt idx="55">
                  <c:v>-3.3854324297118468</c:v>
                </c:pt>
                <c:pt idx="56">
                  <c:v>-1.8477578636524186</c:v>
                </c:pt>
                <c:pt idx="57">
                  <c:v>-0.56543004559678078</c:v>
                </c:pt>
                <c:pt idx="58">
                  <c:v>0.45544724015248611</c:v>
                </c:pt>
                <c:pt idx="59">
                  <c:v>1.1001067483174272</c:v>
                </c:pt>
                <c:pt idx="60">
                  <c:v>1.3522731981758003</c:v>
                </c:pt>
                <c:pt idx="61">
                  <c:v>1.0098411333272879</c:v>
                </c:pt>
                <c:pt idx="62">
                  <c:v>-0.1678029566149159</c:v>
                </c:pt>
                <c:pt idx="63">
                  <c:v>-1.7617111378183963</c:v>
                </c:pt>
                <c:pt idx="64">
                  <c:v>-2.541620715056164</c:v>
                </c:pt>
                <c:pt idx="65">
                  <c:v>-2.0821177548794827</c:v>
                </c:pt>
                <c:pt idx="66">
                  <c:v>-1.0724424810059718</c:v>
                </c:pt>
                <c:pt idx="67">
                  <c:v>-0.40982736550087939</c:v>
                </c:pt>
                <c:pt idx="68">
                  <c:v>-0.27503632181546361</c:v>
                </c:pt>
                <c:pt idx="69">
                  <c:v>-0.63626348446537173</c:v>
                </c:pt>
                <c:pt idx="70">
                  <c:v>-1.2748056885717891</c:v>
                </c:pt>
                <c:pt idx="71">
                  <c:v>-1.5574712977522256</c:v>
                </c:pt>
                <c:pt idx="72">
                  <c:v>-0.75680164097794966</c:v>
                </c:pt>
                <c:pt idx="73">
                  <c:v>0.82108343403131701</c:v>
                </c:pt>
                <c:pt idx="74">
                  <c:v>1.9441961429344381</c:v>
                </c:pt>
                <c:pt idx="75">
                  <c:v>2.4882532599057785</c:v>
                </c:pt>
                <c:pt idx="76">
                  <c:v>3.5052434027666606</c:v>
                </c:pt>
                <c:pt idx="77">
                  <c:v>4.2792549644525852</c:v>
                </c:pt>
                <c:pt idx="78">
                  <c:v>4.0080842411637203</c:v>
                </c:pt>
                <c:pt idx="79">
                  <c:v>2.487555710206705</c:v>
                </c:pt>
                <c:pt idx="80">
                  <c:v>0.8876079230376076</c:v>
                </c:pt>
                <c:pt idx="81">
                  <c:v>-0.97584520884364756</c:v>
                </c:pt>
                <c:pt idx="82">
                  <c:v>-2.5646655175448019</c:v>
                </c:pt>
                <c:pt idx="83">
                  <c:v>-3.1189935023372963</c:v>
                </c:pt>
                <c:pt idx="84">
                  <c:v>-2.0230238271427838</c:v>
                </c:pt>
                <c:pt idx="85">
                  <c:v>-0.83231510799791297</c:v>
                </c:pt>
                <c:pt idx="86">
                  <c:v>-0.50911302147357673</c:v>
                </c:pt>
                <c:pt idx="87">
                  <c:v>-0.87985946465836162</c:v>
                </c:pt>
                <c:pt idx="88">
                  <c:v>-1.3148602358586277</c:v>
                </c:pt>
                <c:pt idx="89">
                  <c:v>-1.4380488183872726</c:v>
                </c:pt>
                <c:pt idx="90">
                  <c:v>-1.3149290702277896</c:v>
                </c:pt>
                <c:pt idx="91">
                  <c:v>-1.4413744067351633</c:v>
                </c:pt>
                <c:pt idx="92">
                  <c:v>-2.1362888221626655</c:v>
                </c:pt>
                <c:pt idx="93">
                  <c:v>-2.5732285603568679</c:v>
                </c:pt>
                <c:pt idx="94">
                  <c:v>-2.1174587402279839</c:v>
                </c:pt>
                <c:pt idx="95">
                  <c:v>-0.66558702780725199</c:v>
                </c:pt>
                <c:pt idx="96">
                  <c:v>1.6713354308873996</c:v>
                </c:pt>
                <c:pt idx="97">
                  <c:v>4.458783824328596</c:v>
                </c:pt>
                <c:pt idx="98">
                  <c:v>5.792675713184348</c:v>
                </c:pt>
                <c:pt idx="99">
                  <c:v>4.9634271079632315</c:v>
                </c:pt>
                <c:pt idx="100">
                  <c:v>2.5732283952425261</c:v>
                </c:pt>
                <c:pt idx="101">
                  <c:v>0.37758195890831692</c:v>
                </c:pt>
                <c:pt idx="102">
                  <c:v>-1.2727068402916273</c:v>
                </c:pt>
                <c:pt idx="103">
                  <c:v>-2.0324516104337222</c:v>
                </c:pt>
                <c:pt idx="104">
                  <c:v>-1.7296748891885492</c:v>
                </c:pt>
                <c:pt idx="105">
                  <c:v>-0.51401250384675756</c:v>
                </c:pt>
                <c:pt idx="106">
                  <c:v>0.46562029961438756</c:v>
                </c:pt>
                <c:pt idx="107">
                  <c:v>1.2009002618300548</c:v>
                </c:pt>
                <c:pt idx="108">
                  <c:v>1.5622190501717188</c:v>
                </c:pt>
                <c:pt idx="109">
                  <c:v>1.3075718765826454</c:v>
                </c:pt>
                <c:pt idx="110">
                  <c:v>0.3541800319103669</c:v>
                </c:pt>
                <c:pt idx="111">
                  <c:v>-0.94515428975768034</c:v>
                </c:pt>
                <c:pt idx="112">
                  <c:v>-2.0310977876028029</c:v>
                </c:pt>
                <c:pt idx="113">
                  <c:v>-2.395961716513594</c:v>
                </c:pt>
                <c:pt idx="114">
                  <c:v>-2.1296775971306792</c:v>
                </c:pt>
                <c:pt idx="115">
                  <c:v>-1.5704825714326984</c:v>
                </c:pt>
                <c:pt idx="116">
                  <c:v>-0.93988413639701984</c:v>
                </c:pt>
                <c:pt idx="117">
                  <c:v>-0.37391613487748904</c:v>
                </c:pt>
                <c:pt idx="118">
                  <c:v>-9.4072373227808523E-2</c:v>
                </c:pt>
                <c:pt idx="119">
                  <c:v>-0.24781056595191969</c:v>
                </c:pt>
                <c:pt idx="120">
                  <c:v>-0.91282043515883937</c:v>
                </c:pt>
                <c:pt idx="121">
                  <c:v>-2.3733326286666694</c:v>
                </c:pt>
                <c:pt idx="122">
                  <c:v>-3.1101465069526619</c:v>
                </c:pt>
                <c:pt idx="123">
                  <c:v>-2.6463087051233001</c:v>
                </c:pt>
                <c:pt idx="124">
                  <c:v>-0.45422941850411647</c:v>
                </c:pt>
                <c:pt idx="125">
                  <c:v>2.260362924522072</c:v>
                </c:pt>
                <c:pt idx="126">
                  <c:v>5.3854138955087656</c:v>
                </c:pt>
                <c:pt idx="127">
                  <c:v>6.7941427096723386</c:v>
                </c:pt>
                <c:pt idx="128">
                  <c:v>6.2454895793006466</c:v>
                </c:pt>
                <c:pt idx="129">
                  <c:v>3.5453925576415637</c:v>
                </c:pt>
                <c:pt idx="130">
                  <c:v>0.81730934356115559</c:v>
                </c:pt>
                <c:pt idx="131">
                  <c:v>-1.3108222500660243</c:v>
                </c:pt>
                <c:pt idx="132">
                  <c:v>-2.1799115811475156</c:v>
                </c:pt>
                <c:pt idx="133">
                  <c:v>-2.0094920734660424</c:v>
                </c:pt>
                <c:pt idx="134">
                  <c:v>-1.3084754270576562</c:v>
                </c:pt>
                <c:pt idx="135">
                  <c:v>-0.79532966718472498</c:v>
                </c:pt>
                <c:pt idx="136">
                  <c:v>-0.43140531734208754</c:v>
                </c:pt>
                <c:pt idx="137">
                  <c:v>-0.39667715823464167</c:v>
                </c:pt>
                <c:pt idx="138">
                  <c:v>-0.78944030631195417</c:v>
                </c:pt>
                <c:pt idx="139">
                  <c:v>-1.2905565639339831</c:v>
                </c:pt>
                <c:pt idx="140">
                  <c:v>-1.5571147958404754</c:v>
                </c:pt>
                <c:pt idx="141">
                  <c:v>-1.4461807597534266</c:v>
                </c:pt>
                <c:pt idx="142">
                  <c:v>-0.83219691350558733</c:v>
                </c:pt>
                <c:pt idx="143">
                  <c:v>0.15503803723567228</c:v>
                </c:pt>
                <c:pt idx="144">
                  <c:v>1.0560527396278145</c:v>
                </c:pt>
                <c:pt idx="145">
                  <c:v>1.4025308857526786</c:v>
                </c:pt>
                <c:pt idx="146">
                  <c:v>0.90232168675883584</c:v>
                </c:pt>
                <c:pt idx="147">
                  <c:v>-0.18745346159090176</c:v>
                </c:pt>
                <c:pt idx="148">
                  <c:v>-1.1410565575624392</c:v>
                </c:pt>
                <c:pt idx="149">
                  <c:v>-1.5033488488858515</c:v>
                </c:pt>
                <c:pt idx="150">
                  <c:v>-1.7511498563864898</c:v>
                </c:pt>
                <c:pt idx="151">
                  <c:v>-2.5428260317141151</c:v>
                </c:pt>
                <c:pt idx="152">
                  <c:v>-2.7164116761624806</c:v>
                </c:pt>
                <c:pt idx="153">
                  <c:v>-1.8364667605098721</c:v>
                </c:pt>
                <c:pt idx="154">
                  <c:v>0.19279581676632382</c:v>
                </c:pt>
                <c:pt idx="155">
                  <c:v>2.5408227430349033</c:v>
                </c:pt>
                <c:pt idx="156">
                  <c:v>4.9099069692374888</c:v>
                </c:pt>
                <c:pt idx="157">
                  <c:v>5.8620018599392463</c:v>
                </c:pt>
                <c:pt idx="158">
                  <c:v>4.4900138763568842</c:v>
                </c:pt>
                <c:pt idx="159">
                  <c:v>1.5768242225802638</c:v>
                </c:pt>
                <c:pt idx="160">
                  <c:v>-0.70585579351538241</c:v>
                </c:pt>
                <c:pt idx="161">
                  <c:v>-1.5487766833178065</c:v>
                </c:pt>
                <c:pt idx="162">
                  <c:v>-1.6205855383275363</c:v>
                </c:pt>
                <c:pt idx="163">
                  <c:v>-1.2609470574578721</c:v>
                </c:pt>
                <c:pt idx="164">
                  <c:v>-0.92143820842549273</c:v>
                </c:pt>
                <c:pt idx="165">
                  <c:v>-0.66589068977588151</c:v>
                </c:pt>
                <c:pt idx="166">
                  <c:v>-0.39987366438076077</c:v>
                </c:pt>
                <c:pt idx="167">
                  <c:v>-2.783596042311336E-2</c:v>
                </c:pt>
                <c:pt idx="168">
                  <c:v>0.46471348051026407</c:v>
                </c:pt>
                <c:pt idx="169">
                  <c:v>0.55990823660282341</c:v>
                </c:pt>
                <c:pt idx="170">
                  <c:v>-0.13195919032322542</c:v>
                </c:pt>
                <c:pt idx="171">
                  <c:v>-1.2789603635907838</c:v>
                </c:pt>
                <c:pt idx="172">
                  <c:v>-1.7725037717326284</c:v>
                </c:pt>
                <c:pt idx="173">
                  <c:v>-1.259102722775276</c:v>
                </c:pt>
                <c:pt idx="174">
                  <c:v>-0.17429781875736977</c:v>
                </c:pt>
                <c:pt idx="175">
                  <c:v>0.6277992233730304</c:v>
                </c:pt>
                <c:pt idx="176">
                  <c:v>0.91543881574994757</c:v>
                </c:pt>
                <c:pt idx="177">
                  <c:v>0.61942114126877268</c:v>
                </c:pt>
                <c:pt idx="178">
                  <c:v>-0.1208264549437406</c:v>
                </c:pt>
                <c:pt idx="179">
                  <c:v>-0.88983436983382647</c:v>
                </c:pt>
                <c:pt idx="180">
                  <c:v>-1.1354030707766016</c:v>
                </c:pt>
                <c:pt idx="181">
                  <c:v>-1.0858495158879873</c:v>
                </c:pt>
                <c:pt idx="182">
                  <c:v>-1.4753557004397837</c:v>
                </c:pt>
                <c:pt idx="183">
                  <c:v>-1.9576097179163849</c:v>
                </c:pt>
                <c:pt idx="184">
                  <c:v>-1.3483968552359298</c:v>
                </c:pt>
                <c:pt idx="185">
                  <c:v>0.17520215873639308</c:v>
                </c:pt>
                <c:pt idx="186">
                  <c:v>1.6454251686218697</c:v>
                </c:pt>
                <c:pt idx="187">
                  <c:v>2.0302410966456916</c:v>
                </c:pt>
                <c:pt idx="188">
                  <c:v>1.5362387138018527</c:v>
                </c:pt>
                <c:pt idx="189">
                  <c:v>0.64241658458317441</c:v>
                </c:pt>
                <c:pt idx="190">
                  <c:v>0.31541804991965955</c:v>
                </c:pt>
                <c:pt idx="191">
                  <c:v>1.553289567818678</c:v>
                </c:pt>
                <c:pt idx="192">
                  <c:v>3.5320993986012139</c:v>
                </c:pt>
                <c:pt idx="193">
                  <c:v>4.6083295886556748</c:v>
                </c:pt>
                <c:pt idx="194">
                  <c:v>3.5199852764230974</c:v>
                </c:pt>
                <c:pt idx="195">
                  <c:v>1.0812060607989404</c:v>
                </c:pt>
                <c:pt idx="196">
                  <c:v>-1.9336575644736276</c:v>
                </c:pt>
                <c:pt idx="197">
                  <c:v>-3.7392257273906395</c:v>
                </c:pt>
                <c:pt idx="198">
                  <c:v>-3.7760475376620009</c:v>
                </c:pt>
                <c:pt idx="199">
                  <c:v>-2.5230279526809447</c:v>
                </c:pt>
                <c:pt idx="200">
                  <c:v>-1.390776994268941</c:v>
                </c:pt>
                <c:pt idx="201">
                  <c:v>-0.82264517083145383</c:v>
                </c:pt>
                <c:pt idx="202">
                  <c:v>-0.56284212307275694</c:v>
                </c:pt>
                <c:pt idx="203">
                  <c:v>-0.31113231892566928</c:v>
                </c:pt>
                <c:pt idx="204">
                  <c:v>3.4736182752349888E-2</c:v>
                </c:pt>
                <c:pt idx="205">
                  <c:v>0.20696731846245564</c:v>
                </c:pt>
                <c:pt idx="206">
                  <c:v>-0.15424694995488525</c:v>
                </c:pt>
                <c:pt idx="207">
                  <c:v>-0.83456499627309688</c:v>
                </c:pt>
                <c:pt idx="208">
                  <c:v>-1.2187811254767409</c:v>
                </c:pt>
                <c:pt idx="209">
                  <c:v>-1.0063728261850664</c:v>
                </c:pt>
                <c:pt idx="210">
                  <c:v>-0.51634913117092796</c:v>
                </c:pt>
                <c:pt idx="211">
                  <c:v>-0.26066159216673151</c:v>
                </c:pt>
                <c:pt idx="212">
                  <c:v>-2.9093421483091129E-3</c:v>
                </c:pt>
                <c:pt idx="213">
                  <c:v>0.32486007128090266</c:v>
                </c:pt>
                <c:pt idx="214">
                  <c:v>0.49769830127529974</c:v>
                </c:pt>
                <c:pt idx="215">
                  <c:v>1.1830655607978027</c:v>
                </c:pt>
                <c:pt idx="216">
                  <c:v>2.8751072912176725</c:v>
                </c:pt>
                <c:pt idx="217">
                  <c:v>4.211178713227488</c:v>
                </c:pt>
                <c:pt idx="218">
                  <c:v>3.8989539460838087</c:v>
                </c:pt>
                <c:pt idx="219">
                  <c:v>2.0969302598578032</c:v>
                </c:pt>
                <c:pt idx="220">
                  <c:v>0.21637148809774551</c:v>
                </c:pt>
                <c:pt idx="221">
                  <c:v>-1.3338905106560937</c:v>
                </c:pt>
                <c:pt idx="222">
                  <c:v>-2.1932999640181765</c:v>
                </c:pt>
                <c:pt idx="223">
                  <c:v>-2.0319969704085223</c:v>
                </c:pt>
                <c:pt idx="224">
                  <c:v>-0.90771797841453628</c:v>
                </c:pt>
                <c:pt idx="225">
                  <c:v>-0.13984772363898551</c:v>
                </c:pt>
                <c:pt idx="226">
                  <c:v>-2.5265042909459922E-2</c:v>
                </c:pt>
                <c:pt idx="227">
                  <c:v>-0.27752043100259849</c:v>
                </c:pt>
                <c:pt idx="228">
                  <c:v>-0.58795552606523493</c:v>
                </c:pt>
                <c:pt idx="229">
                  <c:v>-0.9245529513559434</c:v>
                </c:pt>
                <c:pt idx="230">
                  <c:v>-1.5303754831954151</c:v>
                </c:pt>
                <c:pt idx="231">
                  <c:v>-2.3005982612377878</c:v>
                </c:pt>
                <c:pt idx="232">
                  <c:v>-2.5719759878877047</c:v>
                </c:pt>
                <c:pt idx="233">
                  <c:v>-2.016449116293995</c:v>
                </c:pt>
                <c:pt idx="234">
                  <c:v>-1.5501224572019998</c:v>
                </c:pt>
                <c:pt idx="235">
                  <c:v>-1.4668061212531183</c:v>
                </c:pt>
                <c:pt idx="236">
                  <c:v>-0.82805419746660669</c:v>
                </c:pt>
                <c:pt idx="237">
                  <c:v>0.31917362959396878</c:v>
                </c:pt>
                <c:pt idx="238">
                  <c:v>1.4185957070883073</c:v>
                </c:pt>
                <c:pt idx="239">
                  <c:v>2.3347158646810406</c:v>
                </c:pt>
                <c:pt idx="240">
                  <c:v>4.0958194106992902</c:v>
                </c:pt>
                <c:pt idx="241">
                  <c:v>5.7950553116220807</c:v>
                </c:pt>
                <c:pt idx="242">
                  <c:v>5.7068454211525825</c:v>
                </c:pt>
                <c:pt idx="243">
                  <c:v>3.8315530224093139</c:v>
                </c:pt>
                <c:pt idx="244">
                  <c:v>1.6548154978155836</c:v>
                </c:pt>
                <c:pt idx="245">
                  <c:v>-0.3663453633613708</c:v>
                </c:pt>
                <c:pt idx="246">
                  <c:v>-2.5121809424803185</c:v>
                </c:pt>
                <c:pt idx="247">
                  <c:v>-3.7392542871760908</c:v>
                </c:pt>
                <c:pt idx="248">
                  <c:v>-3.5927033030487729</c:v>
                </c:pt>
                <c:pt idx="249">
                  <c:v>-2.2856285844588795</c:v>
                </c:pt>
                <c:pt idx="250">
                  <c:v>-1.0084640252091313</c:v>
                </c:pt>
                <c:pt idx="251">
                  <c:v>-1.4376201610114103E-2</c:v>
                </c:pt>
                <c:pt idx="252">
                  <c:v>0.61406697318890724</c:v>
                </c:pt>
                <c:pt idx="253">
                  <c:v>0.62184638808797144</c:v>
                </c:pt>
                <c:pt idx="254">
                  <c:v>-0.11818784296625014</c:v>
                </c:pt>
                <c:pt idx="255">
                  <c:v>-1.3035604539761707</c:v>
                </c:pt>
                <c:pt idx="256">
                  <c:v>-2.0360353163129674</c:v>
                </c:pt>
                <c:pt idx="257">
                  <c:v>-1.8508880540627941</c:v>
                </c:pt>
                <c:pt idx="258">
                  <c:v>-1.2616220349048155</c:v>
                </c:pt>
                <c:pt idx="259">
                  <c:v>-0.96206529517342809</c:v>
                </c:pt>
                <c:pt idx="260">
                  <c:v>-1.0951783171896827</c:v>
                </c:pt>
                <c:pt idx="261">
                  <c:v>-1.1424564847981653</c:v>
                </c:pt>
                <c:pt idx="262">
                  <c:v>-0.88336723097637238</c:v>
                </c:pt>
                <c:pt idx="263">
                  <c:v>-0.50441369607572972</c:v>
                </c:pt>
                <c:pt idx="264">
                  <c:v>0.13673743429720892</c:v>
                </c:pt>
                <c:pt idx="265">
                  <c:v>1.0921871288090654</c:v>
                </c:pt>
                <c:pt idx="266">
                  <c:v>1.8993175434433343</c:v>
                </c:pt>
                <c:pt idx="267">
                  <c:v>2.4616944639712628</c:v>
                </c:pt>
                <c:pt idx="268">
                  <c:v>4.1338327296761621</c:v>
                </c:pt>
                <c:pt idx="269">
                  <c:v>5.3920378679770788</c:v>
                </c:pt>
                <c:pt idx="270">
                  <c:v>5.3686761112651116</c:v>
                </c:pt>
                <c:pt idx="271">
                  <c:v>3.0861061138622721</c:v>
                </c:pt>
                <c:pt idx="272">
                  <c:v>0.47173312625532199</c:v>
                </c:pt>
                <c:pt idx="273">
                  <c:v>-2.3386373392935123</c:v>
                </c:pt>
                <c:pt idx="274">
                  <c:v>-3.7283745013541014</c:v>
                </c:pt>
                <c:pt idx="275">
                  <c:v>-3.346940058588904</c:v>
                </c:pt>
                <c:pt idx="276">
                  <c:v>-1.2125149799130273</c:v>
                </c:pt>
                <c:pt idx="277">
                  <c:v>0.14449894340395153</c:v>
                </c:pt>
                <c:pt idx="278">
                  <c:v>0.10992113833620269</c:v>
                </c:pt>
                <c:pt idx="279">
                  <c:v>-0.68443558325948073</c:v>
                </c:pt>
                <c:pt idx="280">
                  <c:v>-1.5814763613227361</c:v>
                </c:pt>
                <c:pt idx="281">
                  <c:v>-2.1164591285824779</c:v>
                </c:pt>
                <c:pt idx="282">
                  <c:v>-2.1877064379871691</c:v>
                </c:pt>
                <c:pt idx="283">
                  <c:v>-2.1636864214268314</c:v>
                </c:pt>
                <c:pt idx="284">
                  <c:v>-2.2857636578887801</c:v>
                </c:pt>
                <c:pt idx="285">
                  <c:v>-1.8314608850699194</c:v>
                </c:pt>
                <c:pt idx="286">
                  <c:v>-0.32055048960195637</c:v>
                </c:pt>
                <c:pt idx="287">
                  <c:v>1.4780766560981535</c:v>
                </c:pt>
                <c:pt idx="288">
                  <c:v>2.5843131097086274</c:v>
                </c:pt>
                <c:pt idx="289">
                  <c:v>2.1488801074745219</c:v>
                </c:pt>
                <c:pt idx="290">
                  <c:v>-4.1057702242929039E-2</c:v>
                </c:pt>
                <c:pt idx="291">
                  <c:v>-2.0837154855347051</c:v>
                </c:pt>
                <c:pt idx="292">
                  <c:v>-2.7070822555651728</c:v>
                </c:pt>
                <c:pt idx="293">
                  <c:v>-0.77674821714969267</c:v>
                </c:pt>
                <c:pt idx="294">
                  <c:v>2.2647301408083775</c:v>
                </c:pt>
                <c:pt idx="295">
                  <c:v>4.9440000726724671</c:v>
                </c:pt>
                <c:pt idx="296">
                  <c:v>5.1087463111170184</c:v>
                </c:pt>
                <c:pt idx="297">
                  <c:v>3.2303649323281838</c:v>
                </c:pt>
                <c:pt idx="298">
                  <c:v>0.24083516908737765</c:v>
                </c:pt>
                <c:pt idx="299">
                  <c:v>-1.1718167084677211</c:v>
                </c:pt>
                <c:pt idx="300">
                  <c:v>-0.66263457197905118</c:v>
                </c:pt>
                <c:pt idx="301">
                  <c:v>0.67832528594898556</c:v>
                </c:pt>
                <c:pt idx="302">
                  <c:v>1.5092361677416206</c:v>
                </c:pt>
                <c:pt idx="303">
                  <c:v>1.0774839509361729</c:v>
                </c:pt>
                <c:pt idx="304">
                  <c:v>-3.4505661590082504E-2</c:v>
                </c:pt>
                <c:pt idx="305">
                  <c:v>-1.24957042963484</c:v>
                </c:pt>
                <c:pt idx="306">
                  <c:v>-2.082357939011577</c:v>
                </c:pt>
                <c:pt idx="307">
                  <c:v>-2.21602171549016</c:v>
                </c:pt>
                <c:pt idx="308">
                  <c:v>-1.6601480966913662</c:v>
                </c:pt>
                <c:pt idx="309">
                  <c:v>-1.1672016088018868</c:v>
                </c:pt>
                <c:pt idx="310">
                  <c:v>-0.86569677164228709</c:v>
                </c:pt>
                <c:pt idx="311">
                  <c:v>-0.51757058984112658</c:v>
                </c:pt>
                <c:pt idx="312">
                  <c:v>-0.14654970996905378</c:v>
                </c:pt>
                <c:pt idx="313">
                  <c:v>-9.0484915536140575E-2</c:v>
                </c:pt>
                <c:pt idx="314">
                  <c:v>-0.80649696818356842</c:v>
                </c:pt>
                <c:pt idx="315">
                  <c:v>-2.3954223470338305</c:v>
                </c:pt>
                <c:pt idx="316">
                  <c:v>-3.8869678237599388</c:v>
                </c:pt>
                <c:pt idx="317">
                  <c:v>-3.4853521361161306</c:v>
                </c:pt>
                <c:pt idx="318">
                  <c:v>-1.6980727784458807</c:v>
                </c:pt>
                <c:pt idx="319">
                  <c:v>0.56841763747297258</c:v>
                </c:pt>
                <c:pt idx="320">
                  <c:v>2.4244351130266208</c:v>
                </c:pt>
                <c:pt idx="321">
                  <c:v>3.7850933818608352</c:v>
                </c:pt>
                <c:pt idx="322">
                  <c:v>3.2090568278436757</c:v>
                </c:pt>
                <c:pt idx="323">
                  <c:v>1.4885053360571323</c:v>
                </c:pt>
                <c:pt idx="324">
                  <c:v>0.22294447183283075</c:v>
                </c:pt>
                <c:pt idx="325">
                  <c:v>0.82816880446793528</c:v>
                </c:pt>
                <c:pt idx="326">
                  <c:v>2.4563018307146312</c:v>
                </c:pt>
                <c:pt idx="327">
                  <c:v>3.6816271565192542</c:v>
                </c:pt>
                <c:pt idx="328">
                  <c:v>4.0336072203531437</c:v>
                </c:pt>
                <c:pt idx="329">
                  <c:v>2.9815781880813459</c:v>
                </c:pt>
                <c:pt idx="330">
                  <c:v>0.89289000313750078</c:v>
                </c:pt>
                <c:pt idx="331">
                  <c:v>-1.7232660969018574</c:v>
                </c:pt>
                <c:pt idx="332">
                  <c:v>-3.4437199705322548</c:v>
                </c:pt>
                <c:pt idx="333">
                  <c:v>-3.5453310135827634</c:v>
                </c:pt>
                <c:pt idx="334">
                  <c:v>-1.9773935833098766</c:v>
                </c:pt>
                <c:pt idx="335">
                  <c:v>-9.9077972223195504E-2</c:v>
                </c:pt>
                <c:pt idx="336">
                  <c:v>1.1102769568116471</c:v>
                </c:pt>
                <c:pt idx="337">
                  <c:v>1.4127409225200409</c:v>
                </c:pt>
                <c:pt idx="338">
                  <c:v>0.71818209644877484</c:v>
                </c:pt>
                <c:pt idx="339">
                  <c:v>-0.55474763884878631</c:v>
                </c:pt>
                <c:pt idx="340">
                  <c:v>-1.7643197635629817</c:v>
                </c:pt>
                <c:pt idx="341">
                  <c:v>-2.4177615118724214</c:v>
                </c:pt>
                <c:pt idx="342">
                  <c:v>-2.5604861728499211</c:v>
                </c:pt>
                <c:pt idx="343">
                  <c:v>-2.398366723095477</c:v>
                </c:pt>
                <c:pt idx="344">
                  <c:v>-1.8873936745380759</c:v>
                </c:pt>
                <c:pt idx="345">
                  <c:v>-0.92378384412629555</c:v>
                </c:pt>
                <c:pt idx="346">
                  <c:v>0.11058809364048443</c:v>
                </c:pt>
                <c:pt idx="347">
                  <c:v>0.36389728735310578</c:v>
                </c:pt>
                <c:pt idx="348">
                  <c:v>-1.0776296624638988</c:v>
                </c:pt>
                <c:pt idx="349">
                  <c:v>-2.3161873603567322</c:v>
                </c:pt>
                <c:pt idx="350">
                  <c:v>-2.779121615649748</c:v>
                </c:pt>
                <c:pt idx="351">
                  <c:v>-1.598035935764186</c:v>
                </c:pt>
                <c:pt idx="352">
                  <c:v>0.33045268623843321</c:v>
                </c:pt>
                <c:pt idx="353">
                  <c:v>3.7424263237697004</c:v>
                </c:pt>
                <c:pt idx="354">
                  <c:v>6.4384380362990568</c:v>
                </c:pt>
                <c:pt idx="355">
                  <c:v>7.4368384451073339</c:v>
                </c:pt>
                <c:pt idx="356">
                  <c:v>5.6246676206648987</c:v>
                </c:pt>
                <c:pt idx="357">
                  <c:v>3.0483129008726784</c:v>
                </c:pt>
                <c:pt idx="358">
                  <c:v>0.55104996506970116</c:v>
                </c:pt>
                <c:pt idx="359">
                  <c:v>-1.133671292477328</c:v>
                </c:pt>
                <c:pt idx="360">
                  <c:v>-1.7769295854765506</c:v>
                </c:pt>
                <c:pt idx="361">
                  <c:v>-1.469400595995856</c:v>
                </c:pt>
                <c:pt idx="362">
                  <c:v>-0.83266041500132781</c:v>
                </c:pt>
                <c:pt idx="363">
                  <c:v>-0.31724587508083146</c:v>
                </c:pt>
                <c:pt idx="364">
                  <c:v>-0.35227053793167384</c:v>
                </c:pt>
                <c:pt idx="365">
                  <c:v>-0.90007734891948277</c:v>
                </c:pt>
                <c:pt idx="366">
                  <c:v>-1.493988585540996</c:v>
                </c:pt>
                <c:pt idx="367">
                  <c:v>-1.7961909831402174</c:v>
                </c:pt>
                <c:pt idx="368">
                  <c:v>-1.7643937672626027</c:v>
                </c:pt>
                <c:pt idx="369">
                  <c:v>-1.4648934916887675</c:v>
                </c:pt>
                <c:pt idx="370">
                  <c:v>-0.92285496315455406</c:v>
                </c:pt>
                <c:pt idx="371">
                  <c:v>-0.24492017669743288</c:v>
                </c:pt>
                <c:pt idx="372">
                  <c:v>0.31441321300595304</c:v>
                </c:pt>
                <c:pt idx="373">
                  <c:v>0.31730464254792745</c:v>
                </c:pt>
                <c:pt idx="374">
                  <c:v>-0.59371510974243236</c:v>
                </c:pt>
                <c:pt idx="375">
                  <c:v>-2.3954627917786127</c:v>
                </c:pt>
                <c:pt idx="376">
                  <c:v>-3.8439972195666883</c:v>
                </c:pt>
                <c:pt idx="377">
                  <c:v>-3.9084578013511839</c:v>
                </c:pt>
                <c:pt idx="378">
                  <c:v>-2.7204679361029371</c:v>
                </c:pt>
                <c:pt idx="379">
                  <c:v>-0.93516929302231944</c:v>
                </c:pt>
                <c:pt idx="380">
                  <c:v>1.0462515766694409</c:v>
                </c:pt>
                <c:pt idx="381">
                  <c:v>2.8255739256746049</c:v>
                </c:pt>
                <c:pt idx="382">
                  <c:v>3.615577689804907</c:v>
                </c:pt>
                <c:pt idx="383">
                  <c:v>3.7011029753452034</c:v>
                </c:pt>
                <c:pt idx="384">
                  <c:v>4.1854783520814873</c:v>
                </c:pt>
                <c:pt idx="385">
                  <c:v>5.4670464499501286</c:v>
                </c:pt>
                <c:pt idx="386">
                  <c:v>5.1267133685180344</c:v>
                </c:pt>
                <c:pt idx="387">
                  <c:v>3.5633048163717547</c:v>
                </c:pt>
                <c:pt idx="388">
                  <c:v>1.1674302972018471</c:v>
                </c:pt>
                <c:pt idx="389">
                  <c:v>-0.63487954302988958</c:v>
                </c:pt>
                <c:pt idx="390">
                  <c:v>-2.7574835416672299</c:v>
                </c:pt>
                <c:pt idx="391">
                  <c:v>-3.7251947860227395</c:v>
                </c:pt>
                <c:pt idx="392">
                  <c:v>-3.6058150464169998</c:v>
                </c:pt>
                <c:pt idx="393">
                  <c:v>-2.26713999112537</c:v>
                </c:pt>
                <c:pt idx="394">
                  <c:v>-1.3634181963809435</c:v>
                </c:pt>
                <c:pt idx="395">
                  <c:v>-0.37772970888776169</c:v>
                </c:pt>
                <c:pt idx="396">
                  <c:v>0.54736041811622882</c:v>
                </c:pt>
                <c:pt idx="397">
                  <c:v>0.90971428004584143</c:v>
                </c:pt>
                <c:pt idx="398">
                  <c:v>0.42045352522129942</c:v>
                </c:pt>
                <c:pt idx="399">
                  <c:v>-0.7401005083978347</c:v>
                </c:pt>
                <c:pt idx="400">
                  <c:v>-1.7918760977850858</c:v>
                </c:pt>
                <c:pt idx="401">
                  <c:v>-1.9363338629938336</c:v>
                </c:pt>
                <c:pt idx="402">
                  <c:v>-1.1654735240894634</c:v>
                </c:pt>
                <c:pt idx="403">
                  <c:v>-0.15873572137831368</c:v>
                </c:pt>
                <c:pt idx="404">
                  <c:v>0.65864432029030406</c:v>
                </c:pt>
                <c:pt idx="405">
                  <c:v>1.0400534172647249</c:v>
                </c:pt>
                <c:pt idx="406">
                  <c:v>0.69054494656047449</c:v>
                </c:pt>
                <c:pt idx="407">
                  <c:v>-0.30471124666340377</c:v>
                </c:pt>
                <c:pt idx="408">
                  <c:v>-1.418639681289775</c:v>
                </c:pt>
                <c:pt idx="409">
                  <c:v>-2.6071426675217522</c:v>
                </c:pt>
                <c:pt idx="410">
                  <c:v>-3.3113511957890331</c:v>
                </c:pt>
                <c:pt idx="411">
                  <c:v>-2.7993989842227709</c:v>
                </c:pt>
                <c:pt idx="412">
                  <c:v>-0.7619038206648131</c:v>
                </c:pt>
                <c:pt idx="413">
                  <c:v>2.2693490439633011</c:v>
                </c:pt>
                <c:pt idx="414">
                  <c:v>5.1819683680378246</c:v>
                </c:pt>
                <c:pt idx="415">
                  <c:v>6.0848129387346797</c:v>
                </c:pt>
                <c:pt idx="416">
                  <c:v>4.5642810501951718</c:v>
                </c:pt>
                <c:pt idx="417">
                  <c:v>1.1501709185992173</c:v>
                </c:pt>
                <c:pt idx="418">
                  <c:v>-1.9501669369709753</c:v>
                </c:pt>
                <c:pt idx="419">
                  <c:v>-2.6448342236536186</c:v>
                </c:pt>
                <c:pt idx="420">
                  <c:v>-0.78552227735767377</c:v>
                </c:pt>
                <c:pt idx="421">
                  <c:v>1.7732151972198618</c:v>
                </c:pt>
                <c:pt idx="422">
                  <c:v>3.147205864509548</c:v>
                </c:pt>
                <c:pt idx="423">
                  <c:v>2.6314133597411753</c:v>
                </c:pt>
                <c:pt idx="424">
                  <c:v>0.72785875264738475</c:v>
                </c:pt>
                <c:pt idx="425">
                  <c:v>-1.6485383606317836</c:v>
                </c:pt>
                <c:pt idx="426">
                  <c:v>-3.3158503963570398</c:v>
                </c:pt>
                <c:pt idx="427">
                  <c:v>-3.2410790219589409</c:v>
                </c:pt>
                <c:pt idx="428">
                  <c:v>-2.119109979415815</c:v>
                </c:pt>
                <c:pt idx="429">
                  <c:v>-1.0232546915942007</c:v>
                </c:pt>
                <c:pt idx="430">
                  <c:v>-2.8147441453405263E-2</c:v>
                </c:pt>
                <c:pt idx="431">
                  <c:v>0.78368933377396544</c:v>
                </c:pt>
                <c:pt idx="432">
                  <c:v>1.2537709594285285</c:v>
                </c:pt>
                <c:pt idx="433">
                  <c:v>1.2228136512250551</c:v>
                </c:pt>
                <c:pt idx="434">
                  <c:v>0.49632885394926535</c:v>
                </c:pt>
                <c:pt idx="435">
                  <c:v>-0.68502612937777418</c:v>
                </c:pt>
                <c:pt idx="436">
                  <c:v>-1.7145412956569923</c:v>
                </c:pt>
                <c:pt idx="437">
                  <c:v>-2.1735867550137575</c:v>
                </c:pt>
                <c:pt idx="438">
                  <c:v>-2.4333804886714772</c:v>
                </c:pt>
                <c:pt idx="439">
                  <c:v>-2.7691116364301513</c:v>
                </c:pt>
                <c:pt idx="440">
                  <c:v>-2.6116506033379334</c:v>
                </c:pt>
                <c:pt idx="441">
                  <c:v>-1.8561703026033403</c:v>
                </c:pt>
                <c:pt idx="442">
                  <c:v>-0.73574644021243019</c:v>
                </c:pt>
                <c:pt idx="443">
                  <c:v>0.48100913252711208</c:v>
                </c:pt>
                <c:pt idx="444">
                  <c:v>1.9586172456891764</c:v>
                </c:pt>
                <c:pt idx="445">
                  <c:v>3.1702817117325979</c:v>
                </c:pt>
                <c:pt idx="446">
                  <c:v>3.4381068562939276</c:v>
                </c:pt>
                <c:pt idx="447">
                  <c:v>2.8730315161086639</c:v>
                </c:pt>
                <c:pt idx="448">
                  <c:v>2.8530126808395933</c:v>
                </c:pt>
                <c:pt idx="449">
                  <c:v>3.5887942309664895</c:v>
                </c:pt>
                <c:pt idx="450">
                  <c:v>3.4483409735537016</c:v>
                </c:pt>
                <c:pt idx="451">
                  <c:v>2.4689595446877353</c:v>
                </c:pt>
                <c:pt idx="452">
                  <c:v>1.0165555703639597</c:v>
                </c:pt>
                <c:pt idx="453">
                  <c:v>-0.11283458758160254</c:v>
                </c:pt>
                <c:pt idx="454">
                  <c:v>-1.5657240430336108</c:v>
                </c:pt>
                <c:pt idx="455">
                  <c:v>-2.3709178944398461</c:v>
                </c:pt>
                <c:pt idx="456">
                  <c:v>-2.259101654042694</c:v>
                </c:pt>
                <c:pt idx="457">
                  <c:v>-1.4731983932070087</c:v>
                </c:pt>
                <c:pt idx="458">
                  <c:v>-1.4821500660699805</c:v>
                </c:pt>
                <c:pt idx="459">
                  <c:v>-1.7497812377248021</c:v>
                </c:pt>
                <c:pt idx="460">
                  <c:v>-1.6484588398514668</c:v>
                </c:pt>
                <c:pt idx="461">
                  <c:v>-1.184147982225016</c:v>
                </c:pt>
                <c:pt idx="462">
                  <c:v>-0.71855173101607073</c:v>
                </c:pt>
                <c:pt idx="463">
                  <c:v>-0.57578615367643571</c:v>
                </c:pt>
                <c:pt idx="464">
                  <c:v>-0.68570880141477797</c:v>
                </c:pt>
                <c:pt idx="465">
                  <c:v>-0.915603890316814</c:v>
                </c:pt>
                <c:pt idx="466">
                  <c:v>-1.2095216359168466</c:v>
                </c:pt>
                <c:pt idx="467">
                  <c:v>-1.7037331651748253</c:v>
                </c:pt>
                <c:pt idx="468">
                  <c:v>-2.0088821948353273</c:v>
                </c:pt>
                <c:pt idx="469">
                  <c:v>-1.4732303142200984</c:v>
                </c:pt>
                <c:pt idx="470">
                  <c:v>-0.57497677740952391</c:v>
                </c:pt>
                <c:pt idx="471">
                  <c:v>0.60724398218615749</c:v>
                </c:pt>
                <c:pt idx="472">
                  <c:v>2.0191872725558384</c:v>
                </c:pt>
                <c:pt idx="473">
                  <c:v>3.652911652083433</c:v>
                </c:pt>
                <c:pt idx="474">
                  <c:v>3.9250724449133494</c:v>
                </c:pt>
                <c:pt idx="475">
                  <c:v>2.5960302260227599</c:v>
                </c:pt>
                <c:pt idx="476">
                  <c:v>0.56150562972728579</c:v>
                </c:pt>
                <c:pt idx="477">
                  <c:v>-0.18481297153062828</c:v>
                </c:pt>
                <c:pt idx="478">
                  <c:v>0.97753548390298839</c:v>
                </c:pt>
                <c:pt idx="479">
                  <c:v>2.6281548385029896</c:v>
                </c:pt>
                <c:pt idx="480">
                  <c:v>3.8875358549017802</c:v>
                </c:pt>
                <c:pt idx="481">
                  <c:v>3.4343434117354477</c:v>
                </c:pt>
                <c:pt idx="482">
                  <c:v>1.716556756097988</c:v>
                </c:pt>
                <c:pt idx="483">
                  <c:v>-1.4130373579454489</c:v>
                </c:pt>
                <c:pt idx="484">
                  <c:v>-3.8092609656636114</c:v>
                </c:pt>
                <c:pt idx="485">
                  <c:v>-4.4557990126164473</c:v>
                </c:pt>
                <c:pt idx="486">
                  <c:v>-3.1283919345688624</c:v>
                </c:pt>
                <c:pt idx="487">
                  <c:v>-1.9555231166251688</c:v>
                </c:pt>
                <c:pt idx="488">
                  <c:v>-1.4548521037109761</c:v>
                </c:pt>
                <c:pt idx="489">
                  <c:v>-1.2615736176418213</c:v>
                </c:pt>
                <c:pt idx="490">
                  <c:v>-1.0652586255284406</c:v>
                </c:pt>
                <c:pt idx="491">
                  <c:v>-0.82474905932419929</c:v>
                </c:pt>
                <c:pt idx="492">
                  <c:v>-0.6611546227454218</c:v>
                </c:pt>
                <c:pt idx="493">
                  <c:v>-1.0933817053217492</c:v>
                </c:pt>
                <c:pt idx="494">
                  <c:v>-2.3643569134988964</c:v>
                </c:pt>
                <c:pt idx="495">
                  <c:v>-2.6943792613101318</c:v>
                </c:pt>
                <c:pt idx="496">
                  <c:v>-1.726342558815686</c:v>
                </c:pt>
                <c:pt idx="497">
                  <c:v>0.7434677262361401</c:v>
                </c:pt>
                <c:pt idx="498">
                  <c:v>3.1987687055417782</c:v>
                </c:pt>
                <c:pt idx="499">
                  <c:v>5.3521576117262315</c:v>
                </c:pt>
                <c:pt idx="500">
                  <c:v>5.5735237862146425</c:v>
                </c:pt>
                <c:pt idx="501">
                  <c:v>4.3032586698350661</c:v>
                </c:pt>
                <c:pt idx="502">
                  <c:v>2.0792702849284974</c:v>
                </c:pt>
                <c:pt idx="503">
                  <c:v>1.0263067293271804</c:v>
                </c:pt>
                <c:pt idx="504">
                  <c:v>0.6497591732326351</c:v>
                </c:pt>
                <c:pt idx="505">
                  <c:v>0.40540142263825396</c:v>
                </c:pt>
                <c:pt idx="506">
                  <c:v>-0.29124812825332158</c:v>
                </c:pt>
                <c:pt idx="507">
                  <c:v>-1.3221829494421267</c:v>
                </c:pt>
                <c:pt idx="508">
                  <c:v>-2.2537684027619234</c:v>
                </c:pt>
                <c:pt idx="509">
                  <c:v>-2.442518764115988</c:v>
                </c:pt>
                <c:pt idx="510">
                  <c:v>-2.0037134683889217</c:v>
                </c:pt>
                <c:pt idx="511">
                  <c:v>-1.2333206741918556</c:v>
                </c:pt>
                <c:pt idx="512">
                  <c:v>-0.59429343241156718</c:v>
                </c:pt>
                <c:pt idx="513">
                  <c:v>-0.36210248345394508</c:v>
                </c:pt>
                <c:pt idx="514">
                  <c:v>-0.40769865276860778</c:v>
                </c:pt>
                <c:pt idx="515">
                  <c:v>-0.41078404269983509</c:v>
                </c:pt>
                <c:pt idx="516">
                  <c:v>-0.27952473421261703</c:v>
                </c:pt>
                <c:pt idx="517">
                  <c:v>-0.2953689171736672</c:v>
                </c:pt>
                <c:pt idx="518">
                  <c:v>-0.92651604860595849</c:v>
                </c:pt>
                <c:pt idx="519">
                  <c:v>-2.0741023886003136</c:v>
                </c:pt>
                <c:pt idx="520">
                  <c:v>-2.8916186322062112</c:v>
                </c:pt>
                <c:pt idx="521">
                  <c:v>-2.3993071685086185</c:v>
                </c:pt>
                <c:pt idx="522">
                  <c:v>-1.2156222523726607</c:v>
                </c:pt>
                <c:pt idx="523">
                  <c:v>0.18706625358300172</c:v>
                </c:pt>
                <c:pt idx="524">
                  <c:v>1.4662305580661985</c:v>
                </c:pt>
                <c:pt idx="525">
                  <c:v>2.4928381643169768</c:v>
                </c:pt>
                <c:pt idx="526">
                  <c:v>2.6160294436273004</c:v>
                </c:pt>
                <c:pt idx="527">
                  <c:v>2.9044919941778615</c:v>
                </c:pt>
                <c:pt idx="528">
                  <c:v>4.3335418133556871</c:v>
                </c:pt>
                <c:pt idx="529">
                  <c:v>5.2799331046726889</c:v>
                </c:pt>
                <c:pt idx="530">
                  <c:v>4.5475318329740562</c:v>
                </c:pt>
                <c:pt idx="531">
                  <c:v>2.1033726822434859</c:v>
                </c:pt>
                <c:pt idx="532">
                  <c:v>-0.15876049906630724</c:v>
                </c:pt>
                <c:pt idx="533">
                  <c:v>-2.6181578243255466</c:v>
                </c:pt>
                <c:pt idx="534">
                  <c:v>-3.9466072227290367</c:v>
                </c:pt>
                <c:pt idx="535">
                  <c:v>-3.8552323563199629</c:v>
                </c:pt>
                <c:pt idx="536">
                  <c:v>-2.3557867393554681</c:v>
                </c:pt>
                <c:pt idx="537">
                  <c:v>-1.3842326828686358</c:v>
                </c:pt>
                <c:pt idx="538">
                  <c:v>-0.87346038360352485</c:v>
                </c:pt>
                <c:pt idx="539">
                  <c:v>-0.51007558637048167</c:v>
                </c:pt>
                <c:pt idx="540">
                  <c:v>-0.19763990793506081</c:v>
                </c:pt>
                <c:pt idx="541">
                  <c:v>-0.12832867539178253</c:v>
                </c:pt>
                <c:pt idx="542">
                  <c:v>-0.60045475273645332</c:v>
                </c:pt>
                <c:pt idx="543">
                  <c:v>-1.5060802745301758</c:v>
                </c:pt>
                <c:pt idx="544">
                  <c:v>-1.9541726073392691</c:v>
                </c:pt>
                <c:pt idx="545">
                  <c:v>-1.4919094551337182</c:v>
                </c:pt>
                <c:pt idx="546">
                  <c:v>-0.77782112970897788</c:v>
                </c:pt>
                <c:pt idx="547">
                  <c:v>-0.16513756343529234</c:v>
                </c:pt>
                <c:pt idx="548">
                  <c:v>0.7327988783557059</c:v>
                </c:pt>
                <c:pt idx="549">
                  <c:v>1.6911654185961407</c:v>
                </c:pt>
                <c:pt idx="550">
                  <c:v>1.9527203212813038</c:v>
                </c:pt>
                <c:pt idx="551">
                  <c:v>1.4782981802811508</c:v>
                </c:pt>
                <c:pt idx="552">
                  <c:v>1.2590109765358721</c:v>
                </c:pt>
                <c:pt idx="553">
                  <c:v>1.5539179575720568</c:v>
                </c:pt>
                <c:pt idx="554">
                  <c:v>1.4894253804334512</c:v>
                </c:pt>
                <c:pt idx="555">
                  <c:v>1.1287459068435635</c:v>
                </c:pt>
                <c:pt idx="556">
                  <c:v>1.1473573628263942</c:v>
                </c:pt>
                <c:pt idx="557">
                  <c:v>1.2566618819516246</c:v>
                </c:pt>
                <c:pt idx="558">
                  <c:v>0.65812643853233888</c:v>
                </c:pt>
                <c:pt idx="559">
                  <c:v>-0.45276249652722572</c:v>
                </c:pt>
                <c:pt idx="560">
                  <c:v>-1.2650512472071938</c:v>
                </c:pt>
                <c:pt idx="561">
                  <c:v>-1.2703900126355629</c:v>
                </c:pt>
                <c:pt idx="562">
                  <c:v>-0.78474389044293402</c:v>
                </c:pt>
                <c:pt idx="563">
                  <c:v>-0.14656316229178779</c:v>
                </c:pt>
                <c:pt idx="564">
                  <c:v>0.49097376374260043</c:v>
                </c:pt>
                <c:pt idx="565">
                  <c:v>0.60369585888985067</c:v>
                </c:pt>
                <c:pt idx="566">
                  <c:v>2.7030971721888709E-2</c:v>
                </c:pt>
                <c:pt idx="567">
                  <c:v>-0.89806994600236989</c:v>
                </c:pt>
                <c:pt idx="568">
                  <c:v>-1.585572199832356</c:v>
                </c:pt>
                <c:pt idx="569">
                  <c:v>-1.8199298548700771</c:v>
                </c:pt>
                <c:pt idx="570">
                  <c:v>-1.7861164541852588</c:v>
                </c:pt>
                <c:pt idx="571">
                  <c:v>-1.9112834538864778</c:v>
                </c:pt>
                <c:pt idx="572">
                  <c:v>-2.1148138799232687</c:v>
                </c:pt>
                <c:pt idx="573">
                  <c:v>-1.5140504735336426</c:v>
                </c:pt>
                <c:pt idx="574">
                  <c:v>-5.1615903961560329E-2</c:v>
                </c:pt>
                <c:pt idx="575">
                  <c:v>1.3966100993588744</c:v>
                </c:pt>
                <c:pt idx="576">
                  <c:v>2.1437756385896645</c:v>
                </c:pt>
                <c:pt idx="577">
                  <c:v>1.9452921648578012</c:v>
                </c:pt>
                <c:pt idx="578">
                  <c:v>0.5366927886854056</c:v>
                </c:pt>
                <c:pt idx="579">
                  <c:v>-0.89544832712245326</c:v>
                </c:pt>
                <c:pt idx="580">
                  <c:v>-0.77666964953342799</c:v>
                </c:pt>
                <c:pt idx="581">
                  <c:v>0.91338478656496347</c:v>
                </c:pt>
                <c:pt idx="582">
                  <c:v>2.5565912693132029</c:v>
                </c:pt>
                <c:pt idx="583">
                  <c:v>2.9310414988213354</c:v>
                </c:pt>
                <c:pt idx="584">
                  <c:v>2.0550563572813849</c:v>
                </c:pt>
                <c:pt idx="585">
                  <c:v>0.36188837423516718</c:v>
                </c:pt>
                <c:pt idx="586">
                  <c:v>-1.2438190004861631</c:v>
                </c:pt>
                <c:pt idx="587">
                  <c:v>-1.3830031632223718</c:v>
                </c:pt>
                <c:pt idx="588">
                  <c:v>-8.0509491248970472E-2</c:v>
                </c:pt>
                <c:pt idx="589">
                  <c:v>1.012368427873483</c:v>
                </c:pt>
                <c:pt idx="590">
                  <c:v>1.0000761841022474</c:v>
                </c:pt>
                <c:pt idx="591">
                  <c:v>0.26115850135550273</c:v>
                </c:pt>
                <c:pt idx="592">
                  <c:v>-0.3802908192924776</c:v>
                </c:pt>
                <c:pt idx="593">
                  <c:v>-0.62141322935068621</c:v>
                </c:pt>
                <c:pt idx="594">
                  <c:v>-0.61691139484514879</c:v>
                </c:pt>
                <c:pt idx="595">
                  <c:v>-0.5955393216125755</c:v>
                </c:pt>
                <c:pt idx="596">
                  <c:v>-0.59862402081966526</c:v>
                </c:pt>
                <c:pt idx="597">
                  <c:v>-0.79894588783329101</c:v>
                </c:pt>
                <c:pt idx="598">
                  <c:v>-1.0123331509291824</c:v>
                </c:pt>
                <c:pt idx="599">
                  <c:v>-0.86507767738556285</c:v>
                </c:pt>
                <c:pt idx="600">
                  <c:v>-0.39673036193892369</c:v>
                </c:pt>
                <c:pt idx="601">
                  <c:v>-0.16155913668176625</c:v>
                </c:pt>
                <c:pt idx="602">
                  <c:v>-0.68831137407364318</c:v>
                </c:pt>
                <c:pt idx="603">
                  <c:v>-1.7363371671814836</c:v>
                </c:pt>
                <c:pt idx="604">
                  <c:v>-2.3985156807072991</c:v>
                </c:pt>
                <c:pt idx="605">
                  <c:v>-2.0900881502487954</c:v>
                </c:pt>
                <c:pt idx="606">
                  <c:v>-1.4336791919489953</c:v>
                </c:pt>
                <c:pt idx="607">
                  <c:v>-0.87925025792143807</c:v>
                </c:pt>
                <c:pt idx="608">
                  <c:v>-6.9526903526265296E-2</c:v>
                </c:pt>
                <c:pt idx="609">
                  <c:v>0.93360888106784046</c:v>
                </c:pt>
                <c:pt idx="610">
                  <c:v>1.7385867120678633</c:v>
                </c:pt>
                <c:pt idx="611">
                  <c:v>2.8957573993405878</c:v>
                </c:pt>
                <c:pt idx="612">
                  <c:v>5.3026080196691243</c:v>
                </c:pt>
                <c:pt idx="613">
                  <c:v>6.3907439371935544</c:v>
                </c:pt>
                <c:pt idx="614">
                  <c:v>5.262138358603571</c:v>
                </c:pt>
                <c:pt idx="615">
                  <c:v>2.0285497753032247</c:v>
                </c:pt>
                <c:pt idx="616">
                  <c:v>-0.60264232350333613</c:v>
                </c:pt>
                <c:pt idx="617">
                  <c:v>-3.0021946442523797</c:v>
                </c:pt>
                <c:pt idx="618">
                  <c:v>-3.8861238463897907</c:v>
                </c:pt>
                <c:pt idx="619">
                  <c:v>-3.4628546871010206</c:v>
                </c:pt>
                <c:pt idx="620">
                  <c:v>-1.7099896394130127</c:v>
                </c:pt>
                <c:pt idx="621">
                  <c:v>-0.63768272892401912</c:v>
                </c:pt>
                <c:pt idx="622">
                  <c:v>-6.4720596958809426E-2</c:v>
                </c:pt>
                <c:pt idx="623">
                  <c:v>0.34437541233896207</c:v>
                </c:pt>
                <c:pt idx="624">
                  <c:v>0.63179632670689523</c:v>
                </c:pt>
                <c:pt idx="625">
                  <c:v>0.63811167696758953</c:v>
                </c:pt>
                <c:pt idx="626">
                  <c:v>4.6459721846804226E-2</c:v>
                </c:pt>
                <c:pt idx="627">
                  <c:v>-1.0287800724910183</c:v>
                </c:pt>
                <c:pt idx="628">
                  <c:v>-1.9278480166586001</c:v>
                </c:pt>
                <c:pt idx="629">
                  <c:v>-1.9931757903784242</c:v>
                </c:pt>
                <c:pt idx="630">
                  <c:v>-1.4659156542353291</c:v>
                </c:pt>
                <c:pt idx="631">
                  <c:v>-0.80175512656257431</c:v>
                </c:pt>
                <c:pt idx="632">
                  <c:v>-0.25032387802142053</c:v>
                </c:pt>
                <c:pt idx="633">
                  <c:v>-5.3039174992676411E-3</c:v>
                </c:pt>
                <c:pt idx="634">
                  <c:v>-0.44781962288602939</c:v>
                </c:pt>
                <c:pt idx="635">
                  <c:v>-1.2572443143137124</c:v>
                </c:pt>
                <c:pt idx="636">
                  <c:v>-1.3907546466062801</c:v>
                </c:pt>
                <c:pt idx="637">
                  <c:v>-0.48869248437703849</c:v>
                </c:pt>
                <c:pt idx="638">
                  <c:v>0.90034722004944956</c:v>
                </c:pt>
                <c:pt idx="639">
                  <c:v>2.2854098687746287</c:v>
                </c:pt>
                <c:pt idx="640">
                  <c:v>4.1240819023030211</c:v>
                </c:pt>
                <c:pt idx="641">
                  <c:v>5.1962808639228895</c:v>
                </c:pt>
                <c:pt idx="642">
                  <c:v>4.6999952792089381</c:v>
                </c:pt>
                <c:pt idx="643">
                  <c:v>2.6846029059659222</c:v>
                </c:pt>
                <c:pt idx="644">
                  <c:v>0.6090224989501335</c:v>
                </c:pt>
                <c:pt idx="645">
                  <c:v>-1.3359963673369257</c:v>
                </c:pt>
                <c:pt idx="646">
                  <c:v>-2.5923390315568313</c:v>
                </c:pt>
                <c:pt idx="647">
                  <c:v>-2.8031536523170493</c:v>
                </c:pt>
                <c:pt idx="648">
                  <c:v>-1.8218381649111461</c:v>
                </c:pt>
                <c:pt idx="649">
                  <c:v>-0.78798664780555561</c:v>
                </c:pt>
                <c:pt idx="650">
                  <c:v>-0.46425516847637793</c:v>
                </c:pt>
                <c:pt idx="651">
                  <c:v>-0.65520222509493586</c:v>
                </c:pt>
                <c:pt idx="652">
                  <c:v>-0.95461243840933041</c:v>
                </c:pt>
                <c:pt idx="653">
                  <c:v>-1.1788489555574007</c:v>
                </c:pt>
                <c:pt idx="654">
                  <c:v>-1.3929511533514194</c:v>
                </c:pt>
                <c:pt idx="655">
                  <c:v>-1.6833501266747948</c:v>
                </c:pt>
                <c:pt idx="656">
                  <c:v>-1.928225848419779</c:v>
                </c:pt>
                <c:pt idx="657">
                  <c:v>-1.6094218195980758</c:v>
                </c:pt>
                <c:pt idx="658">
                  <c:v>-0.42377863101271773</c:v>
                </c:pt>
                <c:pt idx="659">
                  <c:v>1.0549083598113593</c:v>
                </c:pt>
                <c:pt idx="660">
                  <c:v>2.379557733058733</c:v>
                </c:pt>
                <c:pt idx="661">
                  <c:v>3.1433303231961616</c:v>
                </c:pt>
                <c:pt idx="662">
                  <c:v>2.9880038991528997</c:v>
                </c:pt>
                <c:pt idx="663">
                  <c:v>1.8566223424097046</c:v>
                </c:pt>
                <c:pt idx="664">
                  <c:v>0.5863388820248191</c:v>
                </c:pt>
                <c:pt idx="665">
                  <c:v>-0.30440776290718269</c:v>
                </c:pt>
                <c:pt idx="666">
                  <c:v>-0.91685253545538392</c:v>
                </c:pt>
                <c:pt idx="667">
                  <c:v>-1.5731367839918033</c:v>
                </c:pt>
                <c:pt idx="668">
                  <c:v>-1.8050531682222903</c:v>
                </c:pt>
                <c:pt idx="669">
                  <c:v>-1.0871230239725531</c:v>
                </c:pt>
                <c:pt idx="670">
                  <c:v>0.25953441880814249</c:v>
                </c:pt>
                <c:pt idx="671">
                  <c:v>1.7131950048939739</c:v>
                </c:pt>
                <c:pt idx="672">
                  <c:v>2.7099051037451467</c:v>
                </c:pt>
                <c:pt idx="673">
                  <c:v>2.5552850291868996</c:v>
                </c:pt>
                <c:pt idx="674">
                  <c:v>1.0989141778070366</c:v>
                </c:pt>
                <c:pt idx="675">
                  <c:v>-0.90237722974687329</c:v>
                </c:pt>
                <c:pt idx="676">
                  <c:v>-2.2764740991533192</c:v>
                </c:pt>
                <c:pt idx="677">
                  <c:v>-2.5414349928940401</c:v>
                </c:pt>
                <c:pt idx="678">
                  <c:v>-2.0445167891300331</c:v>
                </c:pt>
                <c:pt idx="679">
                  <c:v>-1.4062402318049463</c:v>
                </c:pt>
                <c:pt idx="680">
                  <c:v>-0.7587752124362479</c:v>
                </c:pt>
                <c:pt idx="681">
                  <c:v>-5.1773473890796895E-2</c:v>
                </c:pt>
                <c:pt idx="682">
                  <c:v>0.51217865509479454</c:v>
                </c:pt>
                <c:pt idx="683">
                  <c:v>0.67237218755697581</c:v>
                </c:pt>
                <c:pt idx="684">
                  <c:v>0.25328380318184074</c:v>
                </c:pt>
                <c:pt idx="685">
                  <c:v>-1.1243641770546182</c:v>
                </c:pt>
                <c:pt idx="686">
                  <c:v>-3.2690790909807506</c:v>
                </c:pt>
                <c:pt idx="687">
                  <c:v>-3.650523870757028</c:v>
                </c:pt>
                <c:pt idx="688">
                  <c:v>-1.564597899639018</c:v>
                </c:pt>
                <c:pt idx="689">
                  <c:v>3.0014196239568181</c:v>
                </c:pt>
                <c:pt idx="690">
                  <c:v>5.9661555787153633</c:v>
                </c:pt>
                <c:pt idx="691">
                  <c:v>7.2296200393218042</c:v>
                </c:pt>
                <c:pt idx="692">
                  <c:v>5.1096308160765247</c:v>
                </c:pt>
                <c:pt idx="693">
                  <c:v>1.8138529719834033</c:v>
                </c:pt>
                <c:pt idx="694">
                  <c:v>-2.5317720032255453</c:v>
                </c:pt>
                <c:pt idx="695">
                  <c:v>-3.9040722292922312</c:v>
                </c:pt>
                <c:pt idx="696">
                  <c:v>-2.9440154361475375</c:v>
                </c:pt>
                <c:pt idx="697">
                  <c:v>-0.60181316325798684</c:v>
                </c:pt>
                <c:pt idx="698">
                  <c:v>0.43767622843808801</c:v>
                </c:pt>
                <c:pt idx="699">
                  <c:v>0.42559671870975302</c:v>
                </c:pt>
                <c:pt idx="700">
                  <c:v>7.2243156763224015E-2</c:v>
                </c:pt>
                <c:pt idx="701">
                  <c:v>-0.3447634177134698</c:v>
                </c:pt>
                <c:pt idx="702">
                  <c:v>-0.8683550371977844</c:v>
                </c:pt>
                <c:pt idx="703">
                  <c:v>-1.4906777012935444</c:v>
                </c:pt>
                <c:pt idx="704">
                  <c:v>-1.9672889586870361</c:v>
                </c:pt>
                <c:pt idx="705">
                  <c:v>-1.9126234894951903</c:v>
                </c:pt>
                <c:pt idx="706">
                  <c:v>-0.9394077182376821</c:v>
                </c:pt>
                <c:pt idx="707">
                  <c:v>0.84255915465402098</c:v>
                </c:pt>
                <c:pt idx="708">
                  <c:v>2.410978558281589</c:v>
                </c:pt>
                <c:pt idx="709">
                  <c:v>2.9499281074416048</c:v>
                </c:pt>
                <c:pt idx="710">
                  <c:v>1.9941661278646023</c:v>
                </c:pt>
                <c:pt idx="711">
                  <c:v>-0.13054766511808397</c:v>
                </c:pt>
                <c:pt idx="712">
                  <c:v>-2.3104065226563257</c:v>
                </c:pt>
                <c:pt idx="713">
                  <c:v>-2.9912176175877012</c:v>
                </c:pt>
                <c:pt idx="714">
                  <c:v>-2.2876133603902229</c:v>
                </c:pt>
                <c:pt idx="715">
                  <c:v>-1.3609032029464259</c:v>
                </c:pt>
                <c:pt idx="716">
                  <c:v>-0.81900545649339573</c:v>
                </c:pt>
                <c:pt idx="717">
                  <c:v>-0.21772081457670386</c:v>
                </c:pt>
                <c:pt idx="718">
                  <c:v>0.38403460487424435</c:v>
                </c:pt>
                <c:pt idx="719">
                  <c:v>1.3192433490180853</c:v>
                </c:pt>
                <c:pt idx="720">
                  <c:v>2.502933337388614</c:v>
                </c:pt>
                <c:pt idx="721">
                  <c:v>3.6248320112020105</c:v>
                </c:pt>
                <c:pt idx="722">
                  <c:v>3.404934252325357</c:v>
                </c:pt>
                <c:pt idx="723">
                  <c:v>1.996168974579938</c:v>
                </c:pt>
                <c:pt idx="724">
                  <c:v>0.3388910673182115</c:v>
                </c:pt>
                <c:pt idx="725">
                  <c:v>-0.59073625583018308</c:v>
                </c:pt>
                <c:pt idx="726">
                  <c:v>-1.0139570490022589</c:v>
                </c:pt>
                <c:pt idx="727">
                  <c:v>-1.0518464348868606</c:v>
                </c:pt>
                <c:pt idx="728">
                  <c:v>-0.95729181140664577</c:v>
                </c:pt>
                <c:pt idx="729">
                  <c:v>-0.93311855453262837</c:v>
                </c:pt>
                <c:pt idx="730">
                  <c:v>-0.81236269351776524</c:v>
                </c:pt>
                <c:pt idx="731">
                  <c:v>-0.36092211873989688</c:v>
                </c:pt>
                <c:pt idx="732">
                  <c:v>0.31673283522203205</c:v>
                </c:pt>
                <c:pt idx="733">
                  <c:v>0.73189007622383229</c:v>
                </c:pt>
                <c:pt idx="734">
                  <c:v>0.38619720840565919</c:v>
                </c:pt>
                <c:pt idx="735">
                  <c:v>-0.58081245034262663</c:v>
                </c:pt>
                <c:pt idx="736">
                  <c:v>-1.5338769901405318</c:v>
                </c:pt>
                <c:pt idx="737">
                  <c:v>-1.7662827610839282</c:v>
                </c:pt>
                <c:pt idx="738">
                  <c:v>-1.255439676665276</c:v>
                </c:pt>
                <c:pt idx="739">
                  <c:v>-0.2706799058535922</c:v>
                </c:pt>
                <c:pt idx="740">
                  <c:v>0.62826696001808313</c:v>
                </c:pt>
                <c:pt idx="741">
                  <c:v>1.0988811118355162</c:v>
                </c:pt>
                <c:pt idx="742">
                  <c:v>0.79484188491203733</c:v>
                </c:pt>
                <c:pt idx="743">
                  <c:v>-0.16817271988915775</c:v>
                </c:pt>
                <c:pt idx="744">
                  <c:v>-1.5086830394828112</c:v>
                </c:pt>
                <c:pt idx="745">
                  <c:v>-3.067028322886673</c:v>
                </c:pt>
                <c:pt idx="746">
                  <c:v>-3.9126216921710784</c:v>
                </c:pt>
                <c:pt idx="747">
                  <c:v>-3.3132256220250333</c:v>
                </c:pt>
                <c:pt idx="748">
                  <c:v>-0.97779455047398078</c:v>
                </c:pt>
                <c:pt idx="749">
                  <c:v>1.915796345645786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500512"/>
        <c:axId val="865500904"/>
      </c:scatterChart>
      <c:valAx>
        <c:axId val="865500512"/>
        <c:scaling>
          <c:orientation val="minMax"/>
          <c:max val="2015"/>
          <c:min val="1950"/>
        </c:scaling>
        <c:delete val="0"/>
        <c:axPos val="b"/>
        <c:numFmt formatCode="General" sourceLinked="1"/>
        <c:majorTickMark val="out"/>
        <c:minorTickMark val="none"/>
        <c:tickLblPos val="low"/>
        <c:crossAx val="865500904"/>
        <c:crosses val="autoZero"/>
        <c:crossBetween val="midCat"/>
      </c:valAx>
      <c:valAx>
        <c:axId val="865500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655005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5258514597595163"/>
          <c:y val="2.4817569740541324E-2"/>
          <c:w val="0.11494990786121029"/>
          <c:h val="0.1229599659726328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04453181851535"/>
          <c:y val="8.3114845938375356E-2"/>
          <c:w val="0.83207752616863073"/>
          <c:h val="0.78198707514501864"/>
        </c:manualLayout>
      </c:layout>
      <c:scatterChart>
        <c:scatterStyle val="lineMarker"/>
        <c:varyColors val="0"/>
        <c:ser>
          <c:idx val="0"/>
          <c:order val="0"/>
          <c:tx>
            <c:strRef>
              <c:f>corr!$C$1</c:f>
              <c:strCache>
                <c:ptCount val="1"/>
                <c:pt idx="0">
                  <c:v>rms30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047755C1-937F-448F-B9D3-DD87374DE1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AF594CEA-C5CF-481F-B1E4-8299087E8A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>
                <c:manualLayout>
                  <c:x val="-0.19483571676383807"/>
                  <c:y val="-2.2408963585434174E-2"/>
                </c:manualLayout>
              </c:layout>
              <c:tx>
                <c:rich>
                  <a:bodyPr/>
                  <a:lstStyle/>
                  <a:p>
                    <a:fld id="{496DD2FD-9F07-490B-B284-CA8520C70A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3.0516437565420423E-2"/>
                  <c:y val="-2.0168067226890758E-2"/>
                </c:manualLayout>
              </c:layout>
              <c:tx>
                <c:rich>
                  <a:bodyPr/>
                  <a:lstStyle/>
                  <a:p>
                    <a:fld id="{C99481B2-3F65-4E06-9015-62DAD92F67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20657280813515372"/>
                  <c:y val="1.3445378151260505E-2"/>
                </c:manualLayout>
              </c:layout>
              <c:tx>
                <c:rich>
                  <a:bodyPr/>
                  <a:lstStyle/>
                  <a:p>
                    <a:fld id="{A1084617-30BC-4D15-849B-4AD8AC7DE1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E0DFC199-31D1-4014-A962-9F078F68BD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>
                <c:manualLayout>
                  <c:x val="2.3474182742631008E-2"/>
                  <c:y val="3.8095238095238099E-2"/>
                </c:manualLayout>
              </c:layout>
              <c:tx>
                <c:rich>
                  <a:bodyPr/>
                  <a:lstStyle/>
                  <a:p>
                    <a:fld id="{408393DF-C224-4598-A498-BFCCFB821A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95531369-8A56-4EA4-B41B-80AD21AABF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>
                <c:manualLayout>
                  <c:x val="-0.18309862539252261"/>
                  <c:y val="-4.0336134453781591E-2"/>
                </c:manualLayout>
              </c:layout>
              <c:tx>
                <c:rich>
                  <a:bodyPr/>
                  <a:lstStyle/>
                  <a:p>
                    <a:fld id="{04D7BF11-4A1E-48B6-911C-973851B32C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-8.607100909000561E-17"/>
                  <c:y val="2.689075630252101E-2"/>
                </c:manualLayout>
              </c:layout>
              <c:tx>
                <c:rich>
                  <a:bodyPr/>
                  <a:lstStyle/>
                  <a:p>
                    <a:fld id="{EC076331-2E97-440F-B9B2-54234FB7D8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1BBE85F4-BB21-4579-9DB3-8CBB587B10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93143006-256F-4C8A-A285-8B360D2821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>
                <c:manualLayout>
                  <c:x val="3.7558692388209747E-2"/>
                  <c:y val="-1.3445378151260505E-2"/>
                </c:manualLayout>
              </c:layout>
              <c:tx>
                <c:rich>
                  <a:bodyPr/>
                  <a:lstStyle/>
                  <a:p>
                    <a:fld id="{A9F8DBBF-77F8-473A-8222-9035A0E6D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3"/>
              <c:layout>
                <c:manualLayout>
                  <c:x val="-2.3474182742631955E-3"/>
                  <c:y val="5.154061624649852E-2"/>
                </c:manualLayout>
              </c:layout>
              <c:tx>
                <c:rich>
                  <a:bodyPr/>
                  <a:lstStyle/>
                  <a:p>
                    <a:fld id="{1CE10175-885F-4529-A8B5-09E0919A6A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4F655579-C03A-45E2-A76B-04016F29D1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>
                <c:manualLayout>
                  <c:x val="-0.11032865889036614"/>
                  <c:y val="-4.7058823529411764E-2"/>
                </c:manualLayout>
              </c:layout>
              <c:tx>
                <c:rich>
                  <a:bodyPr/>
                  <a:lstStyle/>
                  <a:p>
                    <a:fld id="{0274B036-063A-4753-AA8B-1CD5ADF671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23E67661-54F9-4839-ACCD-262D3F80CD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72E98770-3F86-4624-A596-75CC899DB4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>
                <c:manualLayout>
                  <c:x val="-0.12206575026168177"/>
                  <c:y val="-3.5854341736694675E-2"/>
                </c:manualLayout>
              </c:layout>
              <c:tx>
                <c:rich>
                  <a:bodyPr/>
                  <a:lstStyle/>
                  <a:p>
                    <a:fld id="{2E3C6E75-51E0-44D7-92C6-18796B3B55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0564088308027115"/>
                  <c:y val="-3.3721608328370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corr!$B$2:$B$20</c:f>
              <c:numCache>
                <c:formatCode>General</c:formatCode>
                <c:ptCount val="19"/>
                <c:pt idx="0">
                  <c:v>3.512</c:v>
                </c:pt>
                <c:pt idx="1">
                  <c:v>1.81</c:v>
                </c:pt>
                <c:pt idx="2">
                  <c:v>9.0180000000000007</c:v>
                </c:pt>
                <c:pt idx="3">
                  <c:v>25.463999999999999</c:v>
                </c:pt>
                <c:pt idx="4">
                  <c:v>19.797999999999998</c:v>
                </c:pt>
                <c:pt idx="5">
                  <c:v>0.84299999999999997</c:v>
                </c:pt>
                <c:pt idx="6">
                  <c:v>11.137</c:v>
                </c:pt>
                <c:pt idx="7">
                  <c:v>13.35</c:v>
                </c:pt>
                <c:pt idx="8">
                  <c:v>5.8239999999999998</c:v>
                </c:pt>
                <c:pt idx="9">
                  <c:v>7.1280000000000001</c:v>
                </c:pt>
                <c:pt idx="10">
                  <c:v>5.94</c:v>
                </c:pt>
                <c:pt idx="11">
                  <c:v>3.1520000000000001</c:v>
                </c:pt>
                <c:pt idx="12">
                  <c:v>10.108000000000001</c:v>
                </c:pt>
                <c:pt idx="13">
                  <c:v>23.044</c:v>
                </c:pt>
                <c:pt idx="14">
                  <c:v>53.58</c:v>
                </c:pt>
                <c:pt idx="15">
                  <c:v>0.78500000000000003</c:v>
                </c:pt>
                <c:pt idx="16">
                  <c:v>6.83</c:v>
                </c:pt>
                <c:pt idx="17">
                  <c:v>3.617</c:v>
                </c:pt>
                <c:pt idx="18">
                  <c:v>18.396999999999998</c:v>
                </c:pt>
              </c:numCache>
            </c:numRef>
          </c:xVal>
          <c:yVal>
            <c:numRef>
              <c:f>corr!$C$2:$C$20</c:f>
              <c:numCache>
                <c:formatCode>General</c:formatCode>
                <c:ptCount val="19"/>
                <c:pt idx="0">
                  <c:v>1.5064724919093853</c:v>
                </c:pt>
                <c:pt idx="1">
                  <c:v>0.84077669902912622</c:v>
                </c:pt>
                <c:pt idx="2">
                  <c:v>11.37443365695793</c:v>
                </c:pt>
                <c:pt idx="3">
                  <c:v>24.66925566343042</c:v>
                </c:pt>
                <c:pt idx="4">
                  <c:v>21.148220064724921</c:v>
                </c:pt>
                <c:pt idx="5">
                  <c:v>1.3116504854368933</c:v>
                </c:pt>
                <c:pt idx="6">
                  <c:v>11.778317152103561</c:v>
                </c:pt>
                <c:pt idx="7">
                  <c:v>5.4482200647249197</c:v>
                </c:pt>
                <c:pt idx="8">
                  <c:v>4.4236245954692563</c:v>
                </c:pt>
                <c:pt idx="9">
                  <c:v>2.8724919093851131</c:v>
                </c:pt>
                <c:pt idx="10">
                  <c:v>6.1961165048543698</c:v>
                </c:pt>
                <c:pt idx="11">
                  <c:v>3.523624595469256</c:v>
                </c:pt>
                <c:pt idx="12">
                  <c:v>3.1048543689320387</c:v>
                </c:pt>
                <c:pt idx="13">
                  <c:v>22.016828478964403</c:v>
                </c:pt>
                <c:pt idx="14">
                  <c:v>55.528478964401295</c:v>
                </c:pt>
                <c:pt idx="15">
                  <c:v>3.3559870550161812</c:v>
                </c:pt>
                <c:pt idx="16">
                  <c:v>4.076699029126214</c:v>
                </c:pt>
                <c:pt idx="17">
                  <c:v>2.9048543689320394</c:v>
                </c:pt>
                <c:pt idx="18">
                  <c:v>25.364724919093852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corr!$A$2:$A$20</c15:f>
                <c15:dlblRangeCache>
                  <c:ptCount val="19"/>
                  <c:pt idx="0">
                    <c:v>0.730503801</c:v>
                  </c:pt>
                  <c:pt idx="1">
                    <c:v>0.33332147</c:v>
                  </c:pt>
                  <c:pt idx="2">
                    <c:v>0.999997262</c:v>
                  </c:pt>
                  <c:pt idx="3">
                    <c:v>2.524162192</c:v>
                  </c:pt>
                  <c:pt idx="4">
                    <c:v>1.957479341</c:v>
                  </c:pt>
                  <c:pt idx="5">
                    <c:v>0.242544397</c:v>
                  </c:pt>
                  <c:pt idx="6">
                    <c:v>2.10376735</c:v>
                  </c:pt>
                  <c:pt idx="7">
                    <c:v>1.343058036</c:v>
                  </c:pt>
                  <c:pt idx="8">
                    <c:v>0.716244615</c:v>
                  </c:pt>
                  <c:pt idx="9">
                    <c:v>0.79653949</c:v>
                  </c:pt>
                  <c:pt idx="10">
                    <c:v>0.8237</c:v>
                  </c:pt>
                  <c:pt idx="11">
                    <c:v>0.412771863</c:v>
                  </c:pt>
                  <c:pt idx="12">
                    <c:v>0.702915677</c:v>
                  </c:pt>
                  <c:pt idx="13">
                    <c:v>2.710627471</c:v>
                  </c:pt>
                  <c:pt idx="14">
                    <c:v>2.36604769</c:v>
                  </c:pt>
                  <c:pt idx="15">
                    <c:v>0.6666666</c:v>
                  </c:pt>
                  <c:pt idx="16">
                    <c:v>0.49997536</c:v>
                  </c:pt>
                  <c:pt idx="17">
                    <c:v>0.53</c:v>
                  </c:pt>
                  <c:pt idx="18">
                    <c:v>2.202881246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75888"/>
        <c:axId val="599873928"/>
      </c:scatterChart>
      <c:valAx>
        <c:axId val="59987588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70 hPa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873928"/>
        <c:crosses val="autoZero"/>
        <c:crossBetween val="midCat"/>
      </c:valAx>
      <c:valAx>
        <c:axId val="5998739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30 hPa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87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238016547149114E-2"/>
          <c:y val="5.1400554097404488E-2"/>
          <c:w val="0.87673062279875602"/>
          <c:h val="0.8326195683872849"/>
        </c:manualLayout>
      </c:layout>
      <c:scatterChart>
        <c:scatterStyle val="lineMarker"/>
        <c:varyColors val="0"/>
        <c:ser>
          <c:idx val="0"/>
          <c:order val="0"/>
          <c:tx>
            <c:strRef>
              <c:f>offset_qbo_all_terms_30hPa!$B$2</c:f>
              <c:strCache>
                <c:ptCount val="1"/>
                <c:pt idx="0">
                  <c:v>QBO30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offset_qbo_all_terms_30hPa!$A$3:$A$756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offset_qbo_all_terms_30hPa!$B$3:$B$756</c:f>
              <c:numCache>
                <c:formatCode>General</c:formatCode>
                <c:ptCount val="754"/>
                <c:pt idx="0">
                  <c:v>-315</c:v>
                </c:pt>
                <c:pt idx="1">
                  <c:v>-315</c:v>
                </c:pt>
                <c:pt idx="2">
                  <c:v>-295</c:v>
                </c:pt>
                <c:pt idx="3">
                  <c:v>-245</c:v>
                </c:pt>
                <c:pt idx="4">
                  <c:v>-215</c:v>
                </c:pt>
                <c:pt idx="5">
                  <c:v>-185</c:v>
                </c:pt>
                <c:pt idx="6">
                  <c:v>-175</c:v>
                </c:pt>
                <c:pt idx="7">
                  <c:v>-155</c:v>
                </c:pt>
                <c:pt idx="8">
                  <c:v>-133</c:v>
                </c:pt>
                <c:pt idx="9">
                  <c:v>-115</c:v>
                </c:pt>
                <c:pt idx="10">
                  <c:v>-90</c:v>
                </c:pt>
                <c:pt idx="11">
                  <c:v>-45</c:v>
                </c:pt>
                <c:pt idx="12">
                  <c:v>5</c:v>
                </c:pt>
                <c:pt idx="13">
                  <c:v>95</c:v>
                </c:pt>
                <c:pt idx="14">
                  <c:v>115</c:v>
                </c:pt>
                <c:pt idx="15">
                  <c:v>115</c:v>
                </c:pt>
                <c:pt idx="16">
                  <c:v>125</c:v>
                </c:pt>
                <c:pt idx="17">
                  <c:v>130</c:v>
                </c:pt>
                <c:pt idx="18">
                  <c:v>140</c:v>
                </c:pt>
                <c:pt idx="19">
                  <c:v>140</c:v>
                </c:pt>
                <c:pt idx="20">
                  <c:v>80</c:v>
                </c:pt>
                <c:pt idx="21">
                  <c:v>-5</c:v>
                </c:pt>
                <c:pt idx="22">
                  <c:v>-165</c:v>
                </c:pt>
                <c:pt idx="23">
                  <c:v>-180</c:v>
                </c:pt>
                <c:pt idx="24">
                  <c:v>-210</c:v>
                </c:pt>
                <c:pt idx="25">
                  <c:v>-210</c:v>
                </c:pt>
                <c:pt idx="26">
                  <c:v>-213</c:v>
                </c:pt>
                <c:pt idx="27">
                  <c:v>-250</c:v>
                </c:pt>
                <c:pt idx="28">
                  <c:v>-290</c:v>
                </c:pt>
                <c:pt idx="29">
                  <c:v>-295</c:v>
                </c:pt>
                <c:pt idx="30">
                  <c:v>-295</c:v>
                </c:pt>
                <c:pt idx="31">
                  <c:v>-295</c:v>
                </c:pt>
                <c:pt idx="32">
                  <c:v>-285</c:v>
                </c:pt>
                <c:pt idx="33">
                  <c:v>-268</c:v>
                </c:pt>
                <c:pt idx="34">
                  <c:v>-171</c:v>
                </c:pt>
                <c:pt idx="35">
                  <c:v>-164</c:v>
                </c:pt>
                <c:pt idx="36">
                  <c:v>-83</c:v>
                </c:pt>
                <c:pt idx="37">
                  <c:v>-43</c:v>
                </c:pt>
                <c:pt idx="38">
                  <c:v>7</c:v>
                </c:pt>
                <c:pt idx="39">
                  <c:v>117</c:v>
                </c:pt>
                <c:pt idx="40">
                  <c:v>119</c:v>
                </c:pt>
                <c:pt idx="41">
                  <c:v>144</c:v>
                </c:pt>
                <c:pt idx="42">
                  <c:v>147</c:v>
                </c:pt>
                <c:pt idx="43">
                  <c:v>161</c:v>
                </c:pt>
                <c:pt idx="44">
                  <c:v>171</c:v>
                </c:pt>
                <c:pt idx="45">
                  <c:v>171</c:v>
                </c:pt>
                <c:pt idx="46">
                  <c:v>141</c:v>
                </c:pt>
                <c:pt idx="47">
                  <c:v>-21</c:v>
                </c:pt>
                <c:pt idx="48">
                  <c:v>-84</c:v>
                </c:pt>
                <c:pt idx="49">
                  <c:v>-92</c:v>
                </c:pt>
                <c:pt idx="50">
                  <c:v>-197</c:v>
                </c:pt>
                <c:pt idx="51">
                  <c:v>-225</c:v>
                </c:pt>
                <c:pt idx="52">
                  <c:v>-242</c:v>
                </c:pt>
                <c:pt idx="53">
                  <c:v>-246</c:v>
                </c:pt>
                <c:pt idx="54">
                  <c:v>-252</c:v>
                </c:pt>
                <c:pt idx="55">
                  <c:v>-265</c:v>
                </c:pt>
                <c:pt idx="56">
                  <c:v>-265</c:v>
                </c:pt>
                <c:pt idx="57">
                  <c:v>-249</c:v>
                </c:pt>
                <c:pt idx="58">
                  <c:v>-222</c:v>
                </c:pt>
                <c:pt idx="59">
                  <c:v>-215</c:v>
                </c:pt>
                <c:pt idx="60">
                  <c:v>-165</c:v>
                </c:pt>
                <c:pt idx="61">
                  <c:v>-154</c:v>
                </c:pt>
                <c:pt idx="62">
                  <c:v>-142</c:v>
                </c:pt>
                <c:pt idx="63">
                  <c:v>-42</c:v>
                </c:pt>
                <c:pt idx="64">
                  <c:v>92</c:v>
                </c:pt>
                <c:pt idx="65">
                  <c:v>99</c:v>
                </c:pt>
                <c:pt idx="66">
                  <c:v>128</c:v>
                </c:pt>
                <c:pt idx="67">
                  <c:v>152</c:v>
                </c:pt>
                <c:pt idx="68">
                  <c:v>172</c:v>
                </c:pt>
                <c:pt idx="69">
                  <c:v>199</c:v>
                </c:pt>
                <c:pt idx="70">
                  <c:v>225</c:v>
                </c:pt>
                <c:pt idx="71">
                  <c:v>225</c:v>
                </c:pt>
                <c:pt idx="72">
                  <c:v>162</c:v>
                </c:pt>
                <c:pt idx="73">
                  <c:v>153</c:v>
                </c:pt>
                <c:pt idx="74">
                  <c:v>150</c:v>
                </c:pt>
                <c:pt idx="75">
                  <c:v>112</c:v>
                </c:pt>
                <c:pt idx="76">
                  <c:v>-45</c:v>
                </c:pt>
                <c:pt idx="77">
                  <c:v>-240</c:v>
                </c:pt>
                <c:pt idx="78">
                  <c:v>-298</c:v>
                </c:pt>
                <c:pt idx="79">
                  <c:v>-298</c:v>
                </c:pt>
                <c:pt idx="80">
                  <c:v>-295</c:v>
                </c:pt>
                <c:pt idx="81">
                  <c:v>-232</c:v>
                </c:pt>
                <c:pt idx="82">
                  <c:v>-188</c:v>
                </c:pt>
                <c:pt idx="83">
                  <c:v>-145</c:v>
                </c:pt>
                <c:pt idx="84">
                  <c:v>-103</c:v>
                </c:pt>
                <c:pt idx="85">
                  <c:v>-87</c:v>
                </c:pt>
                <c:pt idx="86">
                  <c:v>-59</c:v>
                </c:pt>
                <c:pt idx="87">
                  <c:v>19</c:v>
                </c:pt>
                <c:pt idx="88">
                  <c:v>77</c:v>
                </c:pt>
                <c:pt idx="89">
                  <c:v>147</c:v>
                </c:pt>
                <c:pt idx="90">
                  <c:v>151</c:v>
                </c:pt>
                <c:pt idx="91">
                  <c:v>151</c:v>
                </c:pt>
                <c:pt idx="92">
                  <c:v>150</c:v>
                </c:pt>
                <c:pt idx="93">
                  <c:v>144</c:v>
                </c:pt>
                <c:pt idx="94">
                  <c:v>103</c:v>
                </c:pt>
                <c:pt idx="95">
                  <c:v>50</c:v>
                </c:pt>
                <c:pt idx="96">
                  <c:v>-92</c:v>
                </c:pt>
                <c:pt idx="97">
                  <c:v>-134</c:v>
                </c:pt>
                <c:pt idx="98">
                  <c:v>-143</c:v>
                </c:pt>
                <c:pt idx="99">
                  <c:v>-219</c:v>
                </c:pt>
                <c:pt idx="100">
                  <c:v>-247</c:v>
                </c:pt>
                <c:pt idx="101">
                  <c:v>-247</c:v>
                </c:pt>
                <c:pt idx="102">
                  <c:v>-245</c:v>
                </c:pt>
                <c:pt idx="103">
                  <c:v>-231</c:v>
                </c:pt>
                <c:pt idx="104">
                  <c:v>-203</c:v>
                </c:pt>
                <c:pt idx="105">
                  <c:v>-203</c:v>
                </c:pt>
                <c:pt idx="106">
                  <c:v>-203</c:v>
                </c:pt>
                <c:pt idx="107">
                  <c:v>-174</c:v>
                </c:pt>
                <c:pt idx="108">
                  <c:v>-174</c:v>
                </c:pt>
                <c:pt idx="109">
                  <c:v>-160</c:v>
                </c:pt>
                <c:pt idx="110">
                  <c:v>-154</c:v>
                </c:pt>
                <c:pt idx="111">
                  <c:v>-78</c:v>
                </c:pt>
                <c:pt idx="112">
                  <c:v>56</c:v>
                </c:pt>
                <c:pt idx="113">
                  <c:v>123</c:v>
                </c:pt>
                <c:pt idx="114">
                  <c:v>147</c:v>
                </c:pt>
                <c:pt idx="115">
                  <c:v>170</c:v>
                </c:pt>
                <c:pt idx="116">
                  <c:v>175</c:v>
                </c:pt>
                <c:pt idx="117">
                  <c:v>197</c:v>
                </c:pt>
                <c:pt idx="118">
                  <c:v>197</c:v>
                </c:pt>
                <c:pt idx="119">
                  <c:v>187</c:v>
                </c:pt>
                <c:pt idx="120">
                  <c:v>187</c:v>
                </c:pt>
                <c:pt idx="121">
                  <c:v>228</c:v>
                </c:pt>
                <c:pt idx="122">
                  <c:v>228</c:v>
                </c:pt>
                <c:pt idx="123">
                  <c:v>223</c:v>
                </c:pt>
                <c:pt idx="124">
                  <c:v>212</c:v>
                </c:pt>
                <c:pt idx="125">
                  <c:v>110</c:v>
                </c:pt>
                <c:pt idx="126">
                  <c:v>-90</c:v>
                </c:pt>
                <c:pt idx="127">
                  <c:v>-141</c:v>
                </c:pt>
                <c:pt idx="128">
                  <c:v>-170</c:v>
                </c:pt>
                <c:pt idx="129">
                  <c:v>-175</c:v>
                </c:pt>
                <c:pt idx="130">
                  <c:v>-175</c:v>
                </c:pt>
                <c:pt idx="131">
                  <c:v>-175</c:v>
                </c:pt>
                <c:pt idx="132">
                  <c:v>-140</c:v>
                </c:pt>
                <c:pt idx="133">
                  <c:v>-140</c:v>
                </c:pt>
                <c:pt idx="134">
                  <c:v>-159</c:v>
                </c:pt>
                <c:pt idx="135">
                  <c:v>-169</c:v>
                </c:pt>
                <c:pt idx="136">
                  <c:v>-169</c:v>
                </c:pt>
                <c:pt idx="137">
                  <c:v>-166</c:v>
                </c:pt>
                <c:pt idx="138">
                  <c:v>-142</c:v>
                </c:pt>
                <c:pt idx="139">
                  <c:v>-132</c:v>
                </c:pt>
                <c:pt idx="140">
                  <c:v>-137</c:v>
                </c:pt>
                <c:pt idx="141">
                  <c:v>-125</c:v>
                </c:pt>
                <c:pt idx="142">
                  <c:v>-124</c:v>
                </c:pt>
                <c:pt idx="143">
                  <c:v>-120</c:v>
                </c:pt>
                <c:pt idx="144">
                  <c:v>-112</c:v>
                </c:pt>
                <c:pt idx="145">
                  <c:v>-93</c:v>
                </c:pt>
                <c:pt idx="146">
                  <c:v>-68</c:v>
                </c:pt>
                <c:pt idx="147">
                  <c:v>52</c:v>
                </c:pt>
                <c:pt idx="148">
                  <c:v>137</c:v>
                </c:pt>
                <c:pt idx="149">
                  <c:v>163</c:v>
                </c:pt>
                <c:pt idx="150">
                  <c:v>182</c:v>
                </c:pt>
                <c:pt idx="151">
                  <c:v>186</c:v>
                </c:pt>
                <c:pt idx="152">
                  <c:v>214</c:v>
                </c:pt>
                <c:pt idx="153">
                  <c:v>216</c:v>
                </c:pt>
                <c:pt idx="154">
                  <c:v>224</c:v>
                </c:pt>
                <c:pt idx="155">
                  <c:v>224</c:v>
                </c:pt>
                <c:pt idx="156">
                  <c:v>197</c:v>
                </c:pt>
                <c:pt idx="157">
                  <c:v>102</c:v>
                </c:pt>
                <c:pt idx="158">
                  <c:v>-35</c:v>
                </c:pt>
                <c:pt idx="159">
                  <c:v>-162</c:v>
                </c:pt>
                <c:pt idx="160">
                  <c:v>-241</c:v>
                </c:pt>
                <c:pt idx="161">
                  <c:v>-253</c:v>
                </c:pt>
                <c:pt idx="162">
                  <c:v>-258</c:v>
                </c:pt>
                <c:pt idx="163">
                  <c:v>-258</c:v>
                </c:pt>
                <c:pt idx="164">
                  <c:v>-265</c:v>
                </c:pt>
                <c:pt idx="165">
                  <c:v>-265</c:v>
                </c:pt>
                <c:pt idx="166">
                  <c:v>-253</c:v>
                </c:pt>
                <c:pt idx="167">
                  <c:v>-253</c:v>
                </c:pt>
                <c:pt idx="168">
                  <c:v>-253</c:v>
                </c:pt>
                <c:pt idx="169">
                  <c:v>-250</c:v>
                </c:pt>
                <c:pt idx="170">
                  <c:v>-210</c:v>
                </c:pt>
                <c:pt idx="171">
                  <c:v>-206</c:v>
                </c:pt>
                <c:pt idx="172">
                  <c:v>-158</c:v>
                </c:pt>
                <c:pt idx="173">
                  <c:v>-45</c:v>
                </c:pt>
                <c:pt idx="174">
                  <c:v>45</c:v>
                </c:pt>
                <c:pt idx="175">
                  <c:v>60</c:v>
                </c:pt>
                <c:pt idx="176">
                  <c:v>54</c:v>
                </c:pt>
                <c:pt idx="177">
                  <c:v>61</c:v>
                </c:pt>
                <c:pt idx="178">
                  <c:v>92</c:v>
                </c:pt>
                <c:pt idx="179">
                  <c:v>92</c:v>
                </c:pt>
                <c:pt idx="180">
                  <c:v>103</c:v>
                </c:pt>
                <c:pt idx="181">
                  <c:v>103</c:v>
                </c:pt>
                <c:pt idx="182">
                  <c:v>148</c:v>
                </c:pt>
                <c:pt idx="183">
                  <c:v>148</c:v>
                </c:pt>
                <c:pt idx="184">
                  <c:v>153</c:v>
                </c:pt>
                <c:pt idx="185">
                  <c:v>160</c:v>
                </c:pt>
                <c:pt idx="186">
                  <c:v>203</c:v>
                </c:pt>
                <c:pt idx="187">
                  <c:v>209</c:v>
                </c:pt>
                <c:pt idx="188">
                  <c:v>208</c:v>
                </c:pt>
                <c:pt idx="189">
                  <c:v>208</c:v>
                </c:pt>
                <c:pt idx="190">
                  <c:v>102</c:v>
                </c:pt>
                <c:pt idx="191">
                  <c:v>33</c:v>
                </c:pt>
                <c:pt idx="192">
                  <c:v>-109</c:v>
                </c:pt>
                <c:pt idx="193">
                  <c:v>-166</c:v>
                </c:pt>
                <c:pt idx="194">
                  <c:v>-209</c:v>
                </c:pt>
                <c:pt idx="195">
                  <c:v>-256</c:v>
                </c:pt>
                <c:pt idx="196">
                  <c:v>-256</c:v>
                </c:pt>
                <c:pt idx="197">
                  <c:v>-256</c:v>
                </c:pt>
                <c:pt idx="198">
                  <c:v>-245</c:v>
                </c:pt>
                <c:pt idx="199">
                  <c:v>-243</c:v>
                </c:pt>
                <c:pt idx="200">
                  <c:v>-209</c:v>
                </c:pt>
                <c:pt idx="201">
                  <c:v>-193</c:v>
                </c:pt>
                <c:pt idx="202">
                  <c:v>-108</c:v>
                </c:pt>
                <c:pt idx="203">
                  <c:v>-51</c:v>
                </c:pt>
                <c:pt idx="204">
                  <c:v>-9</c:v>
                </c:pt>
                <c:pt idx="205">
                  <c:v>42</c:v>
                </c:pt>
                <c:pt idx="206">
                  <c:v>61</c:v>
                </c:pt>
                <c:pt idx="207">
                  <c:v>124</c:v>
                </c:pt>
                <c:pt idx="208">
                  <c:v>153</c:v>
                </c:pt>
                <c:pt idx="209">
                  <c:v>185</c:v>
                </c:pt>
                <c:pt idx="210">
                  <c:v>189</c:v>
                </c:pt>
                <c:pt idx="211">
                  <c:v>201</c:v>
                </c:pt>
                <c:pt idx="212">
                  <c:v>222</c:v>
                </c:pt>
                <c:pt idx="213">
                  <c:v>222</c:v>
                </c:pt>
                <c:pt idx="214">
                  <c:v>207</c:v>
                </c:pt>
                <c:pt idx="215">
                  <c:v>84</c:v>
                </c:pt>
                <c:pt idx="216">
                  <c:v>-73</c:v>
                </c:pt>
                <c:pt idx="217">
                  <c:v>-150</c:v>
                </c:pt>
                <c:pt idx="218">
                  <c:v>-207</c:v>
                </c:pt>
                <c:pt idx="219">
                  <c:v>-223</c:v>
                </c:pt>
                <c:pt idx="220">
                  <c:v>-237</c:v>
                </c:pt>
                <c:pt idx="221">
                  <c:v>-240</c:v>
                </c:pt>
                <c:pt idx="222">
                  <c:v>-265</c:v>
                </c:pt>
                <c:pt idx="223">
                  <c:v>-265</c:v>
                </c:pt>
                <c:pt idx="224">
                  <c:v>-239</c:v>
                </c:pt>
                <c:pt idx="225">
                  <c:v>-230</c:v>
                </c:pt>
                <c:pt idx="226">
                  <c:v>-230</c:v>
                </c:pt>
                <c:pt idx="227">
                  <c:v>-217</c:v>
                </c:pt>
                <c:pt idx="228">
                  <c:v>-200</c:v>
                </c:pt>
                <c:pt idx="229">
                  <c:v>-188</c:v>
                </c:pt>
                <c:pt idx="230">
                  <c:v>-179</c:v>
                </c:pt>
                <c:pt idx="231">
                  <c:v>-145</c:v>
                </c:pt>
                <c:pt idx="232">
                  <c:v>82</c:v>
                </c:pt>
                <c:pt idx="233">
                  <c:v>126</c:v>
                </c:pt>
                <c:pt idx="234">
                  <c:v>141</c:v>
                </c:pt>
                <c:pt idx="235">
                  <c:v>145</c:v>
                </c:pt>
                <c:pt idx="236">
                  <c:v>164</c:v>
                </c:pt>
                <c:pt idx="237">
                  <c:v>168</c:v>
                </c:pt>
                <c:pt idx="238">
                  <c:v>164</c:v>
                </c:pt>
                <c:pt idx="239">
                  <c:v>67</c:v>
                </c:pt>
                <c:pt idx="240">
                  <c:v>-163</c:v>
                </c:pt>
                <c:pt idx="241">
                  <c:v>-211</c:v>
                </c:pt>
                <c:pt idx="242">
                  <c:v>-211</c:v>
                </c:pt>
                <c:pt idx="243">
                  <c:v>-211</c:v>
                </c:pt>
                <c:pt idx="244">
                  <c:v>-237</c:v>
                </c:pt>
                <c:pt idx="245">
                  <c:v>-237</c:v>
                </c:pt>
                <c:pt idx="246">
                  <c:v>-208</c:v>
                </c:pt>
                <c:pt idx="247">
                  <c:v>-203</c:v>
                </c:pt>
                <c:pt idx="248">
                  <c:v>-190</c:v>
                </c:pt>
                <c:pt idx="249">
                  <c:v>-190</c:v>
                </c:pt>
                <c:pt idx="250">
                  <c:v>-150</c:v>
                </c:pt>
                <c:pt idx="251">
                  <c:v>-115</c:v>
                </c:pt>
                <c:pt idx="252">
                  <c:v>-91</c:v>
                </c:pt>
                <c:pt idx="253">
                  <c:v>-76</c:v>
                </c:pt>
                <c:pt idx="254">
                  <c:v>-74</c:v>
                </c:pt>
                <c:pt idx="255">
                  <c:v>24</c:v>
                </c:pt>
                <c:pt idx="256">
                  <c:v>120</c:v>
                </c:pt>
                <c:pt idx="257">
                  <c:v>177</c:v>
                </c:pt>
                <c:pt idx="258">
                  <c:v>184</c:v>
                </c:pt>
                <c:pt idx="259">
                  <c:v>193</c:v>
                </c:pt>
                <c:pt idx="260">
                  <c:v>193</c:v>
                </c:pt>
                <c:pt idx="261">
                  <c:v>187</c:v>
                </c:pt>
                <c:pt idx="262">
                  <c:v>187</c:v>
                </c:pt>
                <c:pt idx="263">
                  <c:v>195</c:v>
                </c:pt>
                <c:pt idx="264">
                  <c:v>195</c:v>
                </c:pt>
                <c:pt idx="265">
                  <c:v>135</c:v>
                </c:pt>
                <c:pt idx="266">
                  <c:v>-20</c:v>
                </c:pt>
                <c:pt idx="267">
                  <c:v>-155</c:v>
                </c:pt>
                <c:pt idx="268">
                  <c:v>-198</c:v>
                </c:pt>
                <c:pt idx="269">
                  <c:v>-275</c:v>
                </c:pt>
                <c:pt idx="270">
                  <c:v>-275</c:v>
                </c:pt>
                <c:pt idx="271">
                  <c:v>-258</c:v>
                </c:pt>
                <c:pt idx="272">
                  <c:v>-257</c:v>
                </c:pt>
                <c:pt idx="273">
                  <c:v>-255</c:v>
                </c:pt>
                <c:pt idx="274">
                  <c:v>-255</c:v>
                </c:pt>
                <c:pt idx="275">
                  <c:v>-255</c:v>
                </c:pt>
                <c:pt idx="276">
                  <c:v>-234</c:v>
                </c:pt>
                <c:pt idx="277">
                  <c:v>-229</c:v>
                </c:pt>
                <c:pt idx="278">
                  <c:v>-228</c:v>
                </c:pt>
                <c:pt idx="279">
                  <c:v>-204</c:v>
                </c:pt>
                <c:pt idx="280">
                  <c:v>-135</c:v>
                </c:pt>
                <c:pt idx="281">
                  <c:v>41</c:v>
                </c:pt>
                <c:pt idx="282">
                  <c:v>115</c:v>
                </c:pt>
                <c:pt idx="283">
                  <c:v>115</c:v>
                </c:pt>
                <c:pt idx="284">
                  <c:v>143</c:v>
                </c:pt>
                <c:pt idx="285">
                  <c:v>125</c:v>
                </c:pt>
                <c:pt idx="286">
                  <c:v>152</c:v>
                </c:pt>
                <c:pt idx="287">
                  <c:v>152</c:v>
                </c:pt>
                <c:pt idx="288">
                  <c:v>163</c:v>
                </c:pt>
                <c:pt idx="289">
                  <c:v>165</c:v>
                </c:pt>
                <c:pt idx="290">
                  <c:v>170</c:v>
                </c:pt>
                <c:pt idx="291">
                  <c:v>175</c:v>
                </c:pt>
                <c:pt idx="292">
                  <c:v>175</c:v>
                </c:pt>
                <c:pt idx="293">
                  <c:v>161</c:v>
                </c:pt>
                <c:pt idx="294">
                  <c:v>35</c:v>
                </c:pt>
                <c:pt idx="295">
                  <c:v>-14</c:v>
                </c:pt>
                <c:pt idx="296">
                  <c:v>-149</c:v>
                </c:pt>
                <c:pt idx="297">
                  <c:v>-193</c:v>
                </c:pt>
                <c:pt idx="298">
                  <c:v>-225</c:v>
                </c:pt>
                <c:pt idx="299">
                  <c:v>-275</c:v>
                </c:pt>
                <c:pt idx="300">
                  <c:v>-275</c:v>
                </c:pt>
                <c:pt idx="301">
                  <c:v>-254</c:v>
                </c:pt>
                <c:pt idx="302">
                  <c:v>-233</c:v>
                </c:pt>
                <c:pt idx="303">
                  <c:v>-220</c:v>
                </c:pt>
                <c:pt idx="304">
                  <c:v>-219</c:v>
                </c:pt>
                <c:pt idx="305">
                  <c:v>-205</c:v>
                </c:pt>
                <c:pt idx="306">
                  <c:v>-190</c:v>
                </c:pt>
                <c:pt idx="307">
                  <c:v>-190</c:v>
                </c:pt>
                <c:pt idx="308">
                  <c:v>-180</c:v>
                </c:pt>
                <c:pt idx="309">
                  <c:v>-160</c:v>
                </c:pt>
                <c:pt idx="310">
                  <c:v>-153</c:v>
                </c:pt>
                <c:pt idx="311">
                  <c:v>-142</c:v>
                </c:pt>
                <c:pt idx="312">
                  <c:v>-142</c:v>
                </c:pt>
                <c:pt idx="313">
                  <c:v>-142</c:v>
                </c:pt>
                <c:pt idx="314">
                  <c:v>-30</c:v>
                </c:pt>
                <c:pt idx="315">
                  <c:v>42</c:v>
                </c:pt>
                <c:pt idx="316">
                  <c:v>131</c:v>
                </c:pt>
                <c:pt idx="317">
                  <c:v>151</c:v>
                </c:pt>
                <c:pt idx="318">
                  <c:v>159</c:v>
                </c:pt>
                <c:pt idx="319">
                  <c:v>169</c:v>
                </c:pt>
                <c:pt idx="320">
                  <c:v>175</c:v>
                </c:pt>
                <c:pt idx="321">
                  <c:v>169</c:v>
                </c:pt>
                <c:pt idx="322">
                  <c:v>166</c:v>
                </c:pt>
                <c:pt idx="323">
                  <c:v>50</c:v>
                </c:pt>
                <c:pt idx="324">
                  <c:v>-132</c:v>
                </c:pt>
                <c:pt idx="325">
                  <c:v>-139</c:v>
                </c:pt>
                <c:pt idx="326">
                  <c:v>-199</c:v>
                </c:pt>
                <c:pt idx="327">
                  <c:v>-222</c:v>
                </c:pt>
                <c:pt idx="328">
                  <c:v>-229</c:v>
                </c:pt>
                <c:pt idx="329">
                  <c:v>-258</c:v>
                </c:pt>
                <c:pt idx="330">
                  <c:v>-258</c:v>
                </c:pt>
                <c:pt idx="331">
                  <c:v>-256</c:v>
                </c:pt>
                <c:pt idx="332">
                  <c:v>-236</c:v>
                </c:pt>
                <c:pt idx="333">
                  <c:v>-230</c:v>
                </c:pt>
                <c:pt idx="334">
                  <c:v>-216</c:v>
                </c:pt>
                <c:pt idx="335">
                  <c:v>-212</c:v>
                </c:pt>
                <c:pt idx="336">
                  <c:v>-206</c:v>
                </c:pt>
                <c:pt idx="337">
                  <c:v>-196</c:v>
                </c:pt>
                <c:pt idx="338">
                  <c:v>-184</c:v>
                </c:pt>
                <c:pt idx="339">
                  <c:v>-165</c:v>
                </c:pt>
                <c:pt idx="340">
                  <c:v>31</c:v>
                </c:pt>
                <c:pt idx="341">
                  <c:v>136</c:v>
                </c:pt>
                <c:pt idx="342">
                  <c:v>164</c:v>
                </c:pt>
                <c:pt idx="343">
                  <c:v>173</c:v>
                </c:pt>
                <c:pt idx="344">
                  <c:v>176</c:v>
                </c:pt>
                <c:pt idx="345">
                  <c:v>184</c:v>
                </c:pt>
                <c:pt idx="346">
                  <c:v>190</c:v>
                </c:pt>
                <c:pt idx="347">
                  <c:v>197</c:v>
                </c:pt>
                <c:pt idx="348">
                  <c:v>197</c:v>
                </c:pt>
                <c:pt idx="349">
                  <c:v>205</c:v>
                </c:pt>
                <c:pt idx="350">
                  <c:v>205</c:v>
                </c:pt>
                <c:pt idx="351">
                  <c:v>205</c:v>
                </c:pt>
                <c:pt idx="352">
                  <c:v>186</c:v>
                </c:pt>
                <c:pt idx="353">
                  <c:v>178</c:v>
                </c:pt>
                <c:pt idx="354">
                  <c:v>40</c:v>
                </c:pt>
                <c:pt idx="355">
                  <c:v>-177</c:v>
                </c:pt>
                <c:pt idx="356">
                  <c:v>-224</c:v>
                </c:pt>
                <c:pt idx="357">
                  <c:v>-224</c:v>
                </c:pt>
                <c:pt idx="358">
                  <c:v>-242</c:v>
                </c:pt>
                <c:pt idx="359">
                  <c:v>-262</c:v>
                </c:pt>
                <c:pt idx="360">
                  <c:v>-262</c:v>
                </c:pt>
                <c:pt idx="361">
                  <c:v>-256</c:v>
                </c:pt>
                <c:pt idx="362">
                  <c:v>-239</c:v>
                </c:pt>
                <c:pt idx="363">
                  <c:v>-233</c:v>
                </c:pt>
                <c:pt idx="364">
                  <c:v>-213</c:v>
                </c:pt>
                <c:pt idx="365">
                  <c:v>-45</c:v>
                </c:pt>
                <c:pt idx="366">
                  <c:v>47</c:v>
                </c:pt>
                <c:pt idx="367">
                  <c:v>72</c:v>
                </c:pt>
                <c:pt idx="368">
                  <c:v>94</c:v>
                </c:pt>
                <c:pt idx="369">
                  <c:v>98</c:v>
                </c:pt>
                <c:pt idx="370">
                  <c:v>147</c:v>
                </c:pt>
                <c:pt idx="371">
                  <c:v>150</c:v>
                </c:pt>
                <c:pt idx="372">
                  <c:v>170</c:v>
                </c:pt>
                <c:pt idx="373">
                  <c:v>178</c:v>
                </c:pt>
                <c:pt idx="374">
                  <c:v>178</c:v>
                </c:pt>
                <c:pt idx="375">
                  <c:v>183</c:v>
                </c:pt>
                <c:pt idx="376">
                  <c:v>216</c:v>
                </c:pt>
                <c:pt idx="377">
                  <c:v>241</c:v>
                </c:pt>
                <c:pt idx="378">
                  <c:v>241</c:v>
                </c:pt>
                <c:pt idx="379">
                  <c:v>235</c:v>
                </c:pt>
                <c:pt idx="380">
                  <c:v>230</c:v>
                </c:pt>
                <c:pt idx="381">
                  <c:v>176</c:v>
                </c:pt>
                <c:pt idx="382">
                  <c:v>-83</c:v>
                </c:pt>
                <c:pt idx="383">
                  <c:v>-170</c:v>
                </c:pt>
                <c:pt idx="384">
                  <c:v>-192</c:v>
                </c:pt>
                <c:pt idx="385">
                  <c:v>-215</c:v>
                </c:pt>
                <c:pt idx="386">
                  <c:v>-242</c:v>
                </c:pt>
                <c:pt idx="387">
                  <c:v>-244</c:v>
                </c:pt>
                <c:pt idx="388">
                  <c:v>-242</c:v>
                </c:pt>
                <c:pt idx="389">
                  <c:v>-220</c:v>
                </c:pt>
                <c:pt idx="390">
                  <c:v>-205</c:v>
                </c:pt>
                <c:pt idx="391">
                  <c:v>-198</c:v>
                </c:pt>
                <c:pt idx="392">
                  <c:v>-198</c:v>
                </c:pt>
                <c:pt idx="393">
                  <c:v>-205</c:v>
                </c:pt>
                <c:pt idx="394">
                  <c:v>-207</c:v>
                </c:pt>
                <c:pt idx="395">
                  <c:v>-224</c:v>
                </c:pt>
                <c:pt idx="396">
                  <c:v>-253</c:v>
                </c:pt>
                <c:pt idx="397">
                  <c:v>-253</c:v>
                </c:pt>
                <c:pt idx="398">
                  <c:v>-247</c:v>
                </c:pt>
                <c:pt idx="399">
                  <c:v>-211</c:v>
                </c:pt>
                <c:pt idx="400">
                  <c:v>-63</c:v>
                </c:pt>
                <c:pt idx="401">
                  <c:v>89</c:v>
                </c:pt>
                <c:pt idx="402">
                  <c:v>124</c:v>
                </c:pt>
                <c:pt idx="403">
                  <c:v>127</c:v>
                </c:pt>
                <c:pt idx="404">
                  <c:v>129</c:v>
                </c:pt>
                <c:pt idx="405">
                  <c:v>136</c:v>
                </c:pt>
                <c:pt idx="406">
                  <c:v>149</c:v>
                </c:pt>
                <c:pt idx="407">
                  <c:v>155</c:v>
                </c:pt>
                <c:pt idx="408">
                  <c:v>161</c:v>
                </c:pt>
                <c:pt idx="409">
                  <c:v>161</c:v>
                </c:pt>
                <c:pt idx="410">
                  <c:v>165</c:v>
                </c:pt>
                <c:pt idx="411">
                  <c:v>165</c:v>
                </c:pt>
                <c:pt idx="412">
                  <c:v>163</c:v>
                </c:pt>
                <c:pt idx="413">
                  <c:v>142</c:v>
                </c:pt>
                <c:pt idx="414">
                  <c:v>-42</c:v>
                </c:pt>
                <c:pt idx="415">
                  <c:v>-197</c:v>
                </c:pt>
                <c:pt idx="416">
                  <c:v>-222</c:v>
                </c:pt>
                <c:pt idx="417">
                  <c:v>-222</c:v>
                </c:pt>
                <c:pt idx="418">
                  <c:v>-182</c:v>
                </c:pt>
                <c:pt idx="419">
                  <c:v>-162</c:v>
                </c:pt>
                <c:pt idx="420">
                  <c:v>-159</c:v>
                </c:pt>
                <c:pt idx="421">
                  <c:v>-159</c:v>
                </c:pt>
                <c:pt idx="422">
                  <c:v>-175</c:v>
                </c:pt>
                <c:pt idx="423">
                  <c:v>-175</c:v>
                </c:pt>
                <c:pt idx="424">
                  <c:v>-155</c:v>
                </c:pt>
                <c:pt idx="425">
                  <c:v>-82</c:v>
                </c:pt>
                <c:pt idx="426">
                  <c:v>-42</c:v>
                </c:pt>
                <c:pt idx="427">
                  <c:v>-42</c:v>
                </c:pt>
                <c:pt idx="428">
                  <c:v>-42</c:v>
                </c:pt>
                <c:pt idx="429">
                  <c:v>-24</c:v>
                </c:pt>
                <c:pt idx="430">
                  <c:v>-6</c:v>
                </c:pt>
                <c:pt idx="431">
                  <c:v>-6</c:v>
                </c:pt>
                <c:pt idx="432">
                  <c:v>-21</c:v>
                </c:pt>
                <c:pt idx="433">
                  <c:v>-65</c:v>
                </c:pt>
                <c:pt idx="434">
                  <c:v>-65</c:v>
                </c:pt>
                <c:pt idx="435">
                  <c:v>45</c:v>
                </c:pt>
                <c:pt idx="436">
                  <c:v>145</c:v>
                </c:pt>
                <c:pt idx="437">
                  <c:v>176</c:v>
                </c:pt>
                <c:pt idx="438">
                  <c:v>195</c:v>
                </c:pt>
                <c:pt idx="439">
                  <c:v>201</c:v>
                </c:pt>
                <c:pt idx="440">
                  <c:v>202</c:v>
                </c:pt>
                <c:pt idx="441">
                  <c:v>202</c:v>
                </c:pt>
                <c:pt idx="442">
                  <c:v>201</c:v>
                </c:pt>
                <c:pt idx="443">
                  <c:v>177</c:v>
                </c:pt>
                <c:pt idx="444">
                  <c:v>-63</c:v>
                </c:pt>
                <c:pt idx="445">
                  <c:v>-73</c:v>
                </c:pt>
                <c:pt idx="446">
                  <c:v>-214</c:v>
                </c:pt>
                <c:pt idx="447">
                  <c:v>-229</c:v>
                </c:pt>
                <c:pt idx="448">
                  <c:v>-229</c:v>
                </c:pt>
                <c:pt idx="449">
                  <c:v>-236</c:v>
                </c:pt>
                <c:pt idx="450">
                  <c:v>-240</c:v>
                </c:pt>
                <c:pt idx="451">
                  <c:v>-236</c:v>
                </c:pt>
                <c:pt idx="452">
                  <c:v>-235</c:v>
                </c:pt>
                <c:pt idx="453">
                  <c:v>-215</c:v>
                </c:pt>
                <c:pt idx="454">
                  <c:v>-215</c:v>
                </c:pt>
                <c:pt idx="455">
                  <c:v>-219</c:v>
                </c:pt>
                <c:pt idx="456">
                  <c:v>-232</c:v>
                </c:pt>
                <c:pt idx="457">
                  <c:v>-219</c:v>
                </c:pt>
                <c:pt idx="458">
                  <c:v>-210</c:v>
                </c:pt>
                <c:pt idx="459">
                  <c:v>-197</c:v>
                </c:pt>
                <c:pt idx="460">
                  <c:v>-38</c:v>
                </c:pt>
                <c:pt idx="461">
                  <c:v>104</c:v>
                </c:pt>
                <c:pt idx="462">
                  <c:v>126</c:v>
                </c:pt>
                <c:pt idx="463">
                  <c:v>126</c:v>
                </c:pt>
                <c:pt idx="464">
                  <c:v>117</c:v>
                </c:pt>
                <c:pt idx="465">
                  <c:v>117</c:v>
                </c:pt>
                <c:pt idx="466">
                  <c:v>137</c:v>
                </c:pt>
                <c:pt idx="467">
                  <c:v>148</c:v>
                </c:pt>
                <c:pt idx="468">
                  <c:v>148</c:v>
                </c:pt>
                <c:pt idx="469">
                  <c:v>149</c:v>
                </c:pt>
                <c:pt idx="470">
                  <c:v>155</c:v>
                </c:pt>
                <c:pt idx="471">
                  <c:v>157</c:v>
                </c:pt>
                <c:pt idx="472">
                  <c:v>163</c:v>
                </c:pt>
                <c:pt idx="473">
                  <c:v>163</c:v>
                </c:pt>
                <c:pt idx="474">
                  <c:v>-26</c:v>
                </c:pt>
                <c:pt idx="475">
                  <c:v>-113</c:v>
                </c:pt>
                <c:pt idx="476">
                  <c:v>-180</c:v>
                </c:pt>
                <c:pt idx="477">
                  <c:v>-217</c:v>
                </c:pt>
                <c:pt idx="478">
                  <c:v>-246</c:v>
                </c:pt>
                <c:pt idx="479">
                  <c:v>-260</c:v>
                </c:pt>
                <c:pt idx="480">
                  <c:v>-269</c:v>
                </c:pt>
                <c:pt idx="481">
                  <c:v>-269</c:v>
                </c:pt>
                <c:pt idx="482">
                  <c:v>-269</c:v>
                </c:pt>
                <c:pt idx="483">
                  <c:v>-217</c:v>
                </c:pt>
                <c:pt idx="484">
                  <c:v>-213</c:v>
                </c:pt>
                <c:pt idx="485">
                  <c:v>-153</c:v>
                </c:pt>
                <c:pt idx="486">
                  <c:v>-97</c:v>
                </c:pt>
                <c:pt idx="487">
                  <c:v>-95</c:v>
                </c:pt>
                <c:pt idx="488">
                  <c:v>-61</c:v>
                </c:pt>
                <c:pt idx="489">
                  <c:v>6</c:v>
                </c:pt>
                <c:pt idx="490">
                  <c:v>100</c:v>
                </c:pt>
                <c:pt idx="491">
                  <c:v>135</c:v>
                </c:pt>
                <c:pt idx="492">
                  <c:v>146</c:v>
                </c:pt>
                <c:pt idx="493">
                  <c:v>160</c:v>
                </c:pt>
                <c:pt idx="494">
                  <c:v>186</c:v>
                </c:pt>
                <c:pt idx="495">
                  <c:v>193</c:v>
                </c:pt>
                <c:pt idx="496">
                  <c:v>213</c:v>
                </c:pt>
                <c:pt idx="497">
                  <c:v>223</c:v>
                </c:pt>
                <c:pt idx="498">
                  <c:v>231</c:v>
                </c:pt>
                <c:pt idx="499">
                  <c:v>231</c:v>
                </c:pt>
                <c:pt idx="500">
                  <c:v>166</c:v>
                </c:pt>
                <c:pt idx="501">
                  <c:v>-96</c:v>
                </c:pt>
                <c:pt idx="502">
                  <c:v>-214</c:v>
                </c:pt>
                <c:pt idx="503">
                  <c:v>-272</c:v>
                </c:pt>
                <c:pt idx="504">
                  <c:v>-272</c:v>
                </c:pt>
                <c:pt idx="505">
                  <c:v>-220</c:v>
                </c:pt>
                <c:pt idx="506">
                  <c:v>-215</c:v>
                </c:pt>
                <c:pt idx="507">
                  <c:v>-215</c:v>
                </c:pt>
                <c:pt idx="508">
                  <c:v>-256</c:v>
                </c:pt>
                <c:pt idx="509">
                  <c:v>-256</c:v>
                </c:pt>
                <c:pt idx="510">
                  <c:v>-230</c:v>
                </c:pt>
                <c:pt idx="511">
                  <c:v>-177</c:v>
                </c:pt>
                <c:pt idx="512">
                  <c:v>-139</c:v>
                </c:pt>
                <c:pt idx="513">
                  <c:v>-73</c:v>
                </c:pt>
                <c:pt idx="514">
                  <c:v>26</c:v>
                </c:pt>
                <c:pt idx="515">
                  <c:v>64</c:v>
                </c:pt>
                <c:pt idx="516">
                  <c:v>78</c:v>
                </c:pt>
                <c:pt idx="517">
                  <c:v>97</c:v>
                </c:pt>
                <c:pt idx="518">
                  <c:v>134</c:v>
                </c:pt>
                <c:pt idx="519">
                  <c:v>172</c:v>
                </c:pt>
                <c:pt idx="520">
                  <c:v>202</c:v>
                </c:pt>
                <c:pt idx="521">
                  <c:v>220</c:v>
                </c:pt>
                <c:pt idx="522">
                  <c:v>225</c:v>
                </c:pt>
                <c:pt idx="523">
                  <c:v>241</c:v>
                </c:pt>
                <c:pt idx="524">
                  <c:v>244</c:v>
                </c:pt>
                <c:pt idx="525">
                  <c:v>244</c:v>
                </c:pt>
                <c:pt idx="526">
                  <c:v>179</c:v>
                </c:pt>
                <c:pt idx="527">
                  <c:v>-49</c:v>
                </c:pt>
                <c:pt idx="528">
                  <c:v>-127</c:v>
                </c:pt>
                <c:pt idx="529">
                  <c:v>-205</c:v>
                </c:pt>
                <c:pt idx="530">
                  <c:v>-211</c:v>
                </c:pt>
                <c:pt idx="531">
                  <c:v>-256</c:v>
                </c:pt>
                <c:pt idx="532">
                  <c:v>-256</c:v>
                </c:pt>
                <c:pt idx="533">
                  <c:v>-256</c:v>
                </c:pt>
                <c:pt idx="534">
                  <c:v>-246</c:v>
                </c:pt>
                <c:pt idx="535">
                  <c:v>-219</c:v>
                </c:pt>
                <c:pt idx="536">
                  <c:v>-202</c:v>
                </c:pt>
                <c:pt idx="537">
                  <c:v>-180</c:v>
                </c:pt>
                <c:pt idx="538">
                  <c:v>-120</c:v>
                </c:pt>
                <c:pt idx="539">
                  <c:v>-56</c:v>
                </c:pt>
                <c:pt idx="540">
                  <c:v>-55</c:v>
                </c:pt>
                <c:pt idx="541">
                  <c:v>-48</c:v>
                </c:pt>
                <c:pt idx="542">
                  <c:v>22</c:v>
                </c:pt>
                <c:pt idx="543">
                  <c:v>148</c:v>
                </c:pt>
                <c:pt idx="544">
                  <c:v>175</c:v>
                </c:pt>
                <c:pt idx="545">
                  <c:v>192</c:v>
                </c:pt>
                <c:pt idx="546">
                  <c:v>203</c:v>
                </c:pt>
                <c:pt idx="547">
                  <c:v>206</c:v>
                </c:pt>
                <c:pt idx="548">
                  <c:v>206</c:v>
                </c:pt>
                <c:pt idx="549">
                  <c:v>187</c:v>
                </c:pt>
                <c:pt idx="550">
                  <c:v>-37</c:v>
                </c:pt>
                <c:pt idx="551">
                  <c:v>-175</c:v>
                </c:pt>
                <c:pt idx="552">
                  <c:v>-204</c:v>
                </c:pt>
                <c:pt idx="553">
                  <c:v>-204</c:v>
                </c:pt>
                <c:pt idx="554">
                  <c:v>-236</c:v>
                </c:pt>
                <c:pt idx="555">
                  <c:v>-231</c:v>
                </c:pt>
                <c:pt idx="556">
                  <c:v>-242</c:v>
                </c:pt>
                <c:pt idx="557">
                  <c:v>-231</c:v>
                </c:pt>
                <c:pt idx="558">
                  <c:v>-216</c:v>
                </c:pt>
                <c:pt idx="559">
                  <c:v>-215</c:v>
                </c:pt>
                <c:pt idx="560">
                  <c:v>-206</c:v>
                </c:pt>
                <c:pt idx="561">
                  <c:v>-196</c:v>
                </c:pt>
                <c:pt idx="562">
                  <c:v>-166</c:v>
                </c:pt>
                <c:pt idx="563">
                  <c:v>-166</c:v>
                </c:pt>
                <c:pt idx="564">
                  <c:v>-179</c:v>
                </c:pt>
                <c:pt idx="565">
                  <c:v>-200</c:v>
                </c:pt>
                <c:pt idx="566">
                  <c:v>-200</c:v>
                </c:pt>
                <c:pt idx="567">
                  <c:v>-166</c:v>
                </c:pt>
                <c:pt idx="568">
                  <c:v>-34</c:v>
                </c:pt>
                <c:pt idx="569">
                  <c:v>122</c:v>
                </c:pt>
                <c:pt idx="570">
                  <c:v>177</c:v>
                </c:pt>
                <c:pt idx="571">
                  <c:v>183</c:v>
                </c:pt>
                <c:pt idx="572">
                  <c:v>183</c:v>
                </c:pt>
                <c:pt idx="573">
                  <c:v>170</c:v>
                </c:pt>
                <c:pt idx="574">
                  <c:v>154</c:v>
                </c:pt>
                <c:pt idx="575">
                  <c:v>154</c:v>
                </c:pt>
                <c:pt idx="576">
                  <c:v>167</c:v>
                </c:pt>
                <c:pt idx="577">
                  <c:v>167</c:v>
                </c:pt>
                <c:pt idx="578">
                  <c:v>167</c:v>
                </c:pt>
                <c:pt idx="579">
                  <c:v>204</c:v>
                </c:pt>
                <c:pt idx="580">
                  <c:v>213</c:v>
                </c:pt>
                <c:pt idx="581">
                  <c:v>226</c:v>
                </c:pt>
                <c:pt idx="582">
                  <c:v>244</c:v>
                </c:pt>
                <c:pt idx="583">
                  <c:v>244</c:v>
                </c:pt>
                <c:pt idx="584">
                  <c:v>202</c:v>
                </c:pt>
                <c:pt idx="585">
                  <c:v>31</c:v>
                </c:pt>
                <c:pt idx="586">
                  <c:v>-126</c:v>
                </c:pt>
                <c:pt idx="587">
                  <c:v>-223</c:v>
                </c:pt>
                <c:pt idx="588">
                  <c:v>-245</c:v>
                </c:pt>
                <c:pt idx="589">
                  <c:v>-253</c:v>
                </c:pt>
                <c:pt idx="590">
                  <c:v>-253</c:v>
                </c:pt>
                <c:pt idx="591">
                  <c:v>-238</c:v>
                </c:pt>
                <c:pt idx="592">
                  <c:v>-234</c:v>
                </c:pt>
                <c:pt idx="593">
                  <c:v>-208</c:v>
                </c:pt>
                <c:pt idx="594">
                  <c:v>-197</c:v>
                </c:pt>
                <c:pt idx="595">
                  <c:v>-188</c:v>
                </c:pt>
                <c:pt idx="596">
                  <c:v>-170</c:v>
                </c:pt>
                <c:pt idx="597">
                  <c:v>-146</c:v>
                </c:pt>
                <c:pt idx="598">
                  <c:v>-64</c:v>
                </c:pt>
                <c:pt idx="599">
                  <c:v>-64</c:v>
                </c:pt>
                <c:pt idx="600">
                  <c:v>-91</c:v>
                </c:pt>
                <c:pt idx="601">
                  <c:v>-91</c:v>
                </c:pt>
                <c:pt idx="602">
                  <c:v>-32</c:v>
                </c:pt>
                <c:pt idx="603">
                  <c:v>89</c:v>
                </c:pt>
                <c:pt idx="604">
                  <c:v>164</c:v>
                </c:pt>
                <c:pt idx="605">
                  <c:v>183</c:v>
                </c:pt>
                <c:pt idx="606">
                  <c:v>208</c:v>
                </c:pt>
                <c:pt idx="607">
                  <c:v>208</c:v>
                </c:pt>
                <c:pt idx="608">
                  <c:v>208</c:v>
                </c:pt>
                <c:pt idx="609">
                  <c:v>208</c:v>
                </c:pt>
                <c:pt idx="610">
                  <c:v>207</c:v>
                </c:pt>
                <c:pt idx="611">
                  <c:v>60</c:v>
                </c:pt>
                <c:pt idx="612">
                  <c:v>-89</c:v>
                </c:pt>
                <c:pt idx="613">
                  <c:v>-183</c:v>
                </c:pt>
                <c:pt idx="614">
                  <c:v>-217</c:v>
                </c:pt>
                <c:pt idx="615">
                  <c:v>-225</c:v>
                </c:pt>
                <c:pt idx="616">
                  <c:v>-225</c:v>
                </c:pt>
                <c:pt idx="617">
                  <c:v>-200</c:v>
                </c:pt>
                <c:pt idx="618">
                  <c:v>-200</c:v>
                </c:pt>
                <c:pt idx="619">
                  <c:v>-195</c:v>
                </c:pt>
                <c:pt idx="620">
                  <c:v>-193</c:v>
                </c:pt>
                <c:pt idx="621">
                  <c:v>-178</c:v>
                </c:pt>
                <c:pt idx="622">
                  <c:v>-153</c:v>
                </c:pt>
                <c:pt idx="623">
                  <c:v>-119</c:v>
                </c:pt>
                <c:pt idx="624">
                  <c:v>-119</c:v>
                </c:pt>
                <c:pt idx="625">
                  <c:v>-96</c:v>
                </c:pt>
                <c:pt idx="626">
                  <c:v>-96</c:v>
                </c:pt>
                <c:pt idx="627">
                  <c:v>73</c:v>
                </c:pt>
                <c:pt idx="628">
                  <c:v>161</c:v>
                </c:pt>
                <c:pt idx="629">
                  <c:v>181</c:v>
                </c:pt>
                <c:pt idx="630">
                  <c:v>204</c:v>
                </c:pt>
                <c:pt idx="631">
                  <c:v>211</c:v>
                </c:pt>
                <c:pt idx="632">
                  <c:v>213</c:v>
                </c:pt>
                <c:pt idx="633">
                  <c:v>215</c:v>
                </c:pt>
                <c:pt idx="634">
                  <c:v>219</c:v>
                </c:pt>
                <c:pt idx="635">
                  <c:v>219</c:v>
                </c:pt>
                <c:pt idx="636">
                  <c:v>183</c:v>
                </c:pt>
                <c:pt idx="637">
                  <c:v>-12</c:v>
                </c:pt>
                <c:pt idx="638">
                  <c:v>-188</c:v>
                </c:pt>
                <c:pt idx="639">
                  <c:v>-190</c:v>
                </c:pt>
                <c:pt idx="640">
                  <c:v>-211</c:v>
                </c:pt>
                <c:pt idx="641">
                  <c:v>-228</c:v>
                </c:pt>
                <c:pt idx="642">
                  <c:v>-228</c:v>
                </c:pt>
                <c:pt idx="643">
                  <c:v>-214</c:v>
                </c:pt>
                <c:pt idx="644">
                  <c:v>-198</c:v>
                </c:pt>
                <c:pt idx="645">
                  <c:v>-198</c:v>
                </c:pt>
                <c:pt idx="646">
                  <c:v>-194</c:v>
                </c:pt>
                <c:pt idx="647">
                  <c:v>-178</c:v>
                </c:pt>
                <c:pt idx="648">
                  <c:v>-159</c:v>
                </c:pt>
                <c:pt idx="649">
                  <c:v>-158</c:v>
                </c:pt>
                <c:pt idx="650">
                  <c:v>-119</c:v>
                </c:pt>
                <c:pt idx="651">
                  <c:v>42</c:v>
                </c:pt>
                <c:pt idx="652">
                  <c:v>148</c:v>
                </c:pt>
                <c:pt idx="653">
                  <c:v>192</c:v>
                </c:pt>
                <c:pt idx="654">
                  <c:v>208</c:v>
                </c:pt>
                <c:pt idx="655">
                  <c:v>211</c:v>
                </c:pt>
                <c:pt idx="656">
                  <c:v>211</c:v>
                </c:pt>
                <c:pt idx="657">
                  <c:v>215</c:v>
                </c:pt>
                <c:pt idx="658">
                  <c:v>211</c:v>
                </c:pt>
                <c:pt idx="659">
                  <c:v>160</c:v>
                </c:pt>
                <c:pt idx="660">
                  <c:v>21</c:v>
                </c:pt>
                <c:pt idx="661">
                  <c:v>-143</c:v>
                </c:pt>
                <c:pt idx="662">
                  <c:v>-217</c:v>
                </c:pt>
                <c:pt idx="663">
                  <c:v>-229</c:v>
                </c:pt>
                <c:pt idx="664">
                  <c:v>-229</c:v>
                </c:pt>
                <c:pt idx="665">
                  <c:v>-240</c:v>
                </c:pt>
                <c:pt idx="666">
                  <c:v>-240</c:v>
                </c:pt>
                <c:pt idx="667">
                  <c:v>-223</c:v>
                </c:pt>
                <c:pt idx="668">
                  <c:v>-210</c:v>
                </c:pt>
                <c:pt idx="669">
                  <c:v>-198</c:v>
                </c:pt>
                <c:pt idx="670">
                  <c:v>-198</c:v>
                </c:pt>
                <c:pt idx="671">
                  <c:v>-216</c:v>
                </c:pt>
                <c:pt idx="672">
                  <c:v>-224</c:v>
                </c:pt>
                <c:pt idx="673">
                  <c:v>-224</c:v>
                </c:pt>
                <c:pt idx="674">
                  <c:v>-223</c:v>
                </c:pt>
                <c:pt idx="675">
                  <c:v>-208</c:v>
                </c:pt>
                <c:pt idx="676">
                  <c:v>-137</c:v>
                </c:pt>
                <c:pt idx="677">
                  <c:v>29</c:v>
                </c:pt>
                <c:pt idx="678">
                  <c:v>113</c:v>
                </c:pt>
                <c:pt idx="679">
                  <c:v>115</c:v>
                </c:pt>
                <c:pt idx="680">
                  <c:v>113</c:v>
                </c:pt>
                <c:pt idx="681">
                  <c:v>115</c:v>
                </c:pt>
                <c:pt idx="682">
                  <c:v>147</c:v>
                </c:pt>
                <c:pt idx="683">
                  <c:v>154</c:v>
                </c:pt>
                <c:pt idx="684">
                  <c:v>160</c:v>
                </c:pt>
                <c:pt idx="685">
                  <c:v>164</c:v>
                </c:pt>
                <c:pt idx="686">
                  <c:v>166</c:v>
                </c:pt>
                <c:pt idx="687">
                  <c:v>164</c:v>
                </c:pt>
                <c:pt idx="688">
                  <c:v>166</c:v>
                </c:pt>
                <c:pt idx="689">
                  <c:v>158</c:v>
                </c:pt>
                <c:pt idx="690">
                  <c:v>-46</c:v>
                </c:pt>
                <c:pt idx="691">
                  <c:v>-222</c:v>
                </c:pt>
                <c:pt idx="692">
                  <c:v>-222</c:v>
                </c:pt>
                <c:pt idx="693">
                  <c:v>-223</c:v>
                </c:pt>
                <c:pt idx="694">
                  <c:v>-221</c:v>
                </c:pt>
                <c:pt idx="695">
                  <c:v>-202</c:v>
                </c:pt>
                <c:pt idx="696">
                  <c:v>-202</c:v>
                </c:pt>
                <c:pt idx="697">
                  <c:v>-202</c:v>
                </c:pt>
                <c:pt idx="698">
                  <c:v>-202</c:v>
                </c:pt>
                <c:pt idx="699">
                  <c:v>-201</c:v>
                </c:pt>
                <c:pt idx="700">
                  <c:v>-197</c:v>
                </c:pt>
                <c:pt idx="701">
                  <c:v>-175</c:v>
                </c:pt>
                <c:pt idx="702">
                  <c:v>-130</c:v>
                </c:pt>
                <c:pt idx="703">
                  <c:v>-114</c:v>
                </c:pt>
                <c:pt idx="704">
                  <c:v>-73</c:v>
                </c:pt>
                <c:pt idx="705">
                  <c:v>-30</c:v>
                </c:pt>
                <c:pt idx="706">
                  <c:v>84</c:v>
                </c:pt>
                <c:pt idx="707">
                  <c:v>133</c:v>
                </c:pt>
                <c:pt idx="708">
                  <c:v>133</c:v>
                </c:pt>
                <c:pt idx="709">
                  <c:v>112</c:v>
                </c:pt>
                <c:pt idx="710">
                  <c:v>112</c:v>
                </c:pt>
                <c:pt idx="711">
                  <c:v>152</c:v>
                </c:pt>
                <c:pt idx="712">
                  <c:v>201</c:v>
                </c:pt>
                <c:pt idx="713">
                  <c:v>220</c:v>
                </c:pt>
                <c:pt idx="714">
                  <c:v>221</c:v>
                </c:pt>
                <c:pt idx="715">
                  <c:v>226</c:v>
                </c:pt>
                <c:pt idx="716">
                  <c:v>231</c:v>
                </c:pt>
                <c:pt idx="717">
                  <c:v>230</c:v>
                </c:pt>
                <c:pt idx="718">
                  <c:v>230</c:v>
                </c:pt>
                <c:pt idx="719">
                  <c:v>56</c:v>
                </c:pt>
                <c:pt idx="720">
                  <c:v>-58</c:v>
                </c:pt>
                <c:pt idx="721">
                  <c:v>-123</c:v>
                </c:pt>
                <c:pt idx="722">
                  <c:v>-194</c:v>
                </c:pt>
                <c:pt idx="723">
                  <c:v>-207</c:v>
                </c:pt>
                <c:pt idx="724">
                  <c:v>-214</c:v>
                </c:pt>
                <c:pt idx="725">
                  <c:v>-252</c:v>
                </c:pt>
                <c:pt idx="726">
                  <c:v>-252</c:v>
                </c:pt>
                <c:pt idx="727">
                  <c:v>-244</c:v>
                </c:pt>
                <c:pt idx="728">
                  <c:v>-227</c:v>
                </c:pt>
                <c:pt idx="729">
                  <c:v>-224</c:v>
                </c:pt>
                <c:pt idx="730">
                  <c:v>-223</c:v>
                </c:pt>
                <c:pt idx="731">
                  <c:v>-223</c:v>
                </c:pt>
                <c:pt idx="732">
                  <c:v>-231</c:v>
                </c:pt>
                <c:pt idx="733">
                  <c:v>-231</c:v>
                </c:pt>
                <c:pt idx="734">
                  <c:v>-218</c:v>
                </c:pt>
                <c:pt idx="735">
                  <c:v>-193</c:v>
                </c:pt>
                <c:pt idx="736">
                  <c:v>26</c:v>
                </c:pt>
                <c:pt idx="737">
                  <c:v>153</c:v>
                </c:pt>
                <c:pt idx="738">
                  <c:v>190</c:v>
                </c:pt>
                <c:pt idx="739">
                  <c:v>202</c:v>
                </c:pt>
                <c:pt idx="740">
                  <c:v>212</c:v>
                </c:pt>
                <c:pt idx="741">
                  <c:v>212</c:v>
                </c:pt>
                <c:pt idx="742">
                  <c:v>207</c:v>
                </c:pt>
                <c:pt idx="743">
                  <c:v>182</c:v>
                </c:pt>
                <c:pt idx="744">
                  <c:v>182</c:v>
                </c:pt>
                <c:pt idx="745">
                  <c:v>190</c:v>
                </c:pt>
                <c:pt idx="746">
                  <c:v>206</c:v>
                </c:pt>
                <c:pt idx="747">
                  <c:v>206</c:v>
                </c:pt>
                <c:pt idx="748">
                  <c:v>35</c:v>
                </c:pt>
                <c:pt idx="749">
                  <c:v>-180</c:v>
                </c:pt>
                <c:pt idx="750">
                  <c:v>-234</c:v>
                </c:pt>
                <c:pt idx="751">
                  <c:v>-240</c:v>
                </c:pt>
                <c:pt idx="752">
                  <c:v>-240</c:v>
                </c:pt>
                <c:pt idx="753">
                  <c:v>-237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offset_qbo_all_terms_30hPa!$C$2</c:f>
              <c:strCache>
                <c:ptCount val="1"/>
                <c:pt idx="0">
                  <c:v>Model</c:v>
                </c:pt>
              </c:strCache>
            </c:strRef>
          </c:tx>
          <c:spPr>
            <a:ln w="158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offset_qbo_all_terms_30hPa!$A$3:$A$756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offset_qbo_all_terms_30hPa!$C$3:$C$756</c:f>
              <c:numCache>
                <c:formatCode>General</c:formatCode>
                <c:ptCount val="754"/>
                <c:pt idx="0">
                  <c:v>-247.54826058304101</c:v>
                </c:pt>
                <c:pt idx="1">
                  <c:v>-265.67596658444899</c:v>
                </c:pt>
                <c:pt idx="2">
                  <c:v>-263.83671532489899</c:v>
                </c:pt>
                <c:pt idx="3">
                  <c:v>-243.216022105154</c:v>
                </c:pt>
                <c:pt idx="4">
                  <c:v>-183.32141100075901</c:v>
                </c:pt>
                <c:pt idx="5">
                  <c:v>-76.662021777330907</c:v>
                </c:pt>
                <c:pt idx="6">
                  <c:v>-54.8640863248025</c:v>
                </c:pt>
                <c:pt idx="7">
                  <c:v>-55.379234754461798</c:v>
                </c:pt>
                <c:pt idx="8">
                  <c:v>25.005915769349599</c:v>
                </c:pt>
                <c:pt idx="9">
                  <c:v>86.415517693615897</c:v>
                </c:pt>
                <c:pt idx="10">
                  <c:v>105.874379237727</c:v>
                </c:pt>
                <c:pt idx="11">
                  <c:v>63.446306956502198</c:v>
                </c:pt>
                <c:pt idx="12">
                  <c:v>-42.4412757047414</c:v>
                </c:pt>
                <c:pt idx="13">
                  <c:v>-16.437604242107799</c:v>
                </c:pt>
                <c:pt idx="14">
                  <c:v>95.960363042478406</c:v>
                </c:pt>
                <c:pt idx="15">
                  <c:v>156.64142840141901</c:v>
                </c:pt>
                <c:pt idx="16">
                  <c:v>194.21643901605401</c:v>
                </c:pt>
                <c:pt idx="17">
                  <c:v>202.111082374766</c:v>
                </c:pt>
                <c:pt idx="18">
                  <c:v>183.45019991308899</c:v>
                </c:pt>
                <c:pt idx="19">
                  <c:v>156.85893783889901</c:v>
                </c:pt>
                <c:pt idx="20">
                  <c:v>104.680106894727</c:v>
                </c:pt>
                <c:pt idx="21">
                  <c:v>-7.1302175099843002</c:v>
                </c:pt>
                <c:pt idx="22">
                  <c:v>-77.165107350923506</c:v>
                </c:pt>
                <c:pt idx="23">
                  <c:v>-127.816365577205</c:v>
                </c:pt>
                <c:pt idx="24">
                  <c:v>-172.106797553283</c:v>
                </c:pt>
                <c:pt idx="25">
                  <c:v>-203.31536863088601</c:v>
                </c:pt>
                <c:pt idx="26">
                  <c:v>-234.803382249327</c:v>
                </c:pt>
                <c:pt idx="27">
                  <c:v>-248.698702166987</c:v>
                </c:pt>
                <c:pt idx="28">
                  <c:v>-243.06723880229899</c:v>
                </c:pt>
                <c:pt idx="29">
                  <c:v>-244.22220895138801</c:v>
                </c:pt>
                <c:pt idx="30">
                  <c:v>-257.58036345805601</c:v>
                </c:pt>
                <c:pt idx="31">
                  <c:v>-267.07164834026997</c:v>
                </c:pt>
                <c:pt idx="32">
                  <c:v>-266.82078645869399</c:v>
                </c:pt>
                <c:pt idx="33">
                  <c:v>-245.18394886782301</c:v>
                </c:pt>
                <c:pt idx="34">
                  <c:v>-194.82936260682399</c:v>
                </c:pt>
                <c:pt idx="35">
                  <c:v>-154.62564546316301</c:v>
                </c:pt>
                <c:pt idx="36">
                  <c:v>-140.52323694565499</c:v>
                </c:pt>
                <c:pt idx="37">
                  <c:v>-122.870887594968</c:v>
                </c:pt>
                <c:pt idx="38">
                  <c:v>-85.204354124466406</c:v>
                </c:pt>
                <c:pt idx="39">
                  <c:v>76.482914702333204</c:v>
                </c:pt>
                <c:pt idx="40">
                  <c:v>178.97158684896999</c:v>
                </c:pt>
                <c:pt idx="41">
                  <c:v>212.213495936795</c:v>
                </c:pt>
                <c:pt idx="42">
                  <c:v>230.098038188332</c:v>
                </c:pt>
                <c:pt idx="43">
                  <c:v>239.90001525300099</c:v>
                </c:pt>
                <c:pt idx="44">
                  <c:v>238.67397443730101</c:v>
                </c:pt>
                <c:pt idx="45">
                  <c:v>229.395378166841</c:v>
                </c:pt>
                <c:pt idx="46">
                  <c:v>197.89893470110201</c:v>
                </c:pt>
                <c:pt idx="47">
                  <c:v>106.542053617703</c:v>
                </c:pt>
                <c:pt idx="48">
                  <c:v>-66.431951503531906</c:v>
                </c:pt>
                <c:pt idx="49">
                  <c:v>-169.76823978179399</c:v>
                </c:pt>
                <c:pt idx="50">
                  <c:v>-226.85291697190701</c:v>
                </c:pt>
                <c:pt idx="51">
                  <c:v>-245.38333268308699</c:v>
                </c:pt>
                <c:pt idx="52">
                  <c:v>-245.673762699723</c:v>
                </c:pt>
                <c:pt idx="53">
                  <c:v>-237.847215758072</c:v>
                </c:pt>
                <c:pt idx="54">
                  <c:v>-228.07895542711</c:v>
                </c:pt>
                <c:pt idx="55">
                  <c:v>-236.777102935724</c:v>
                </c:pt>
                <c:pt idx="56">
                  <c:v>-249.51802718405699</c:v>
                </c:pt>
                <c:pt idx="57">
                  <c:v>-247.89964413893901</c:v>
                </c:pt>
                <c:pt idx="58">
                  <c:v>-243.397885383089</c:v>
                </c:pt>
                <c:pt idx="59">
                  <c:v>-240.25774048720501</c:v>
                </c:pt>
                <c:pt idx="60">
                  <c:v>-234.73013666139801</c:v>
                </c:pt>
                <c:pt idx="61">
                  <c:v>-233.05471705731301</c:v>
                </c:pt>
                <c:pt idx="62">
                  <c:v>-213.134878325296</c:v>
                </c:pt>
                <c:pt idx="63">
                  <c:v>-119.44073985112099</c:v>
                </c:pt>
                <c:pt idx="64">
                  <c:v>109.92531456686601</c:v>
                </c:pt>
                <c:pt idx="65">
                  <c:v>192.15323956378899</c:v>
                </c:pt>
                <c:pt idx="66">
                  <c:v>219.90843332851199</c:v>
                </c:pt>
                <c:pt idx="67">
                  <c:v>225.47373868542999</c:v>
                </c:pt>
                <c:pt idx="68">
                  <c:v>229.43008555026199</c:v>
                </c:pt>
                <c:pt idx="69">
                  <c:v>227.40582681067499</c:v>
                </c:pt>
                <c:pt idx="70">
                  <c:v>198.93744556197001</c:v>
                </c:pt>
                <c:pt idx="71">
                  <c:v>146.84616743689401</c:v>
                </c:pt>
                <c:pt idx="72">
                  <c:v>102.02127630605101</c:v>
                </c:pt>
                <c:pt idx="73">
                  <c:v>63.769131468244503</c:v>
                </c:pt>
                <c:pt idx="74">
                  <c:v>36.878823165780297</c:v>
                </c:pt>
                <c:pt idx="75">
                  <c:v>-53.023649531598601</c:v>
                </c:pt>
                <c:pt idx="76">
                  <c:v>-159.376947294432</c:v>
                </c:pt>
                <c:pt idx="77">
                  <c:v>-209.66232054021199</c:v>
                </c:pt>
                <c:pt idx="78">
                  <c:v>-241.12243109184001</c:v>
                </c:pt>
                <c:pt idx="79">
                  <c:v>-264.95432345703</c:v>
                </c:pt>
                <c:pt idx="80">
                  <c:v>-274.45484743055601</c:v>
                </c:pt>
                <c:pt idx="81">
                  <c:v>-277.00662178559202</c:v>
                </c:pt>
                <c:pt idx="82">
                  <c:v>-275.34714818582501</c:v>
                </c:pt>
                <c:pt idx="83">
                  <c:v>-263.68306518593602</c:v>
                </c:pt>
                <c:pt idx="84">
                  <c:v>-250.06923082027501</c:v>
                </c:pt>
                <c:pt idx="85">
                  <c:v>-241.06395096076301</c:v>
                </c:pt>
                <c:pt idx="86">
                  <c:v>-220.05205151516299</c:v>
                </c:pt>
                <c:pt idx="87">
                  <c:v>-174.07064585846999</c:v>
                </c:pt>
                <c:pt idx="88">
                  <c:v>-51.980214553068699</c:v>
                </c:pt>
                <c:pt idx="89">
                  <c:v>134.79089288594301</c:v>
                </c:pt>
                <c:pt idx="90">
                  <c:v>180.075817267536</c:v>
                </c:pt>
                <c:pt idx="91">
                  <c:v>204.01574586431801</c:v>
                </c:pt>
                <c:pt idx="92">
                  <c:v>233.943951992503</c:v>
                </c:pt>
                <c:pt idx="93">
                  <c:v>248.589020653181</c:v>
                </c:pt>
                <c:pt idx="94">
                  <c:v>246.566290276541</c:v>
                </c:pt>
                <c:pt idx="95">
                  <c:v>227.45634673537799</c:v>
                </c:pt>
                <c:pt idx="96">
                  <c:v>174.19798461594101</c:v>
                </c:pt>
                <c:pt idx="97">
                  <c:v>90.517613274135996</c:v>
                </c:pt>
                <c:pt idx="98">
                  <c:v>35.745705881629803</c:v>
                </c:pt>
                <c:pt idx="99">
                  <c:v>-42.387019737191999</c:v>
                </c:pt>
                <c:pt idx="100">
                  <c:v>-103.79019784219</c:v>
                </c:pt>
                <c:pt idx="101">
                  <c:v>-149.195954506031</c:v>
                </c:pt>
                <c:pt idx="102">
                  <c:v>-193.65499508493301</c:v>
                </c:pt>
                <c:pt idx="103">
                  <c:v>-210.03919405354699</c:v>
                </c:pt>
                <c:pt idx="104">
                  <c:v>-214.50025576759501</c:v>
                </c:pt>
                <c:pt idx="105">
                  <c:v>-233.700993967291</c:v>
                </c:pt>
                <c:pt idx="106">
                  <c:v>-253.15823657384101</c:v>
                </c:pt>
                <c:pt idx="107">
                  <c:v>-268.683923925665</c:v>
                </c:pt>
                <c:pt idx="108">
                  <c:v>-281.46316647483201</c:v>
                </c:pt>
                <c:pt idx="109">
                  <c:v>-285.57055648716897</c:v>
                </c:pt>
                <c:pt idx="110">
                  <c:v>-282.61685550262098</c:v>
                </c:pt>
                <c:pt idx="111">
                  <c:v>-269.31204514149499</c:v>
                </c:pt>
                <c:pt idx="112">
                  <c:v>-223.21635837771299</c:v>
                </c:pt>
                <c:pt idx="113">
                  <c:v>-113.64480812596599</c:v>
                </c:pt>
                <c:pt idx="114">
                  <c:v>26.262092676521199</c:v>
                </c:pt>
                <c:pt idx="115">
                  <c:v>97.862540276310199</c:v>
                </c:pt>
                <c:pt idx="116">
                  <c:v>137.915098091711</c:v>
                </c:pt>
                <c:pt idx="117">
                  <c:v>172.56264350055</c:v>
                </c:pt>
                <c:pt idx="118">
                  <c:v>201.43799690770399</c:v>
                </c:pt>
                <c:pt idx="119">
                  <c:v>202.02987829089199</c:v>
                </c:pt>
                <c:pt idx="120">
                  <c:v>183.84627835502801</c:v>
                </c:pt>
                <c:pt idx="121">
                  <c:v>183.69010701388001</c:v>
                </c:pt>
                <c:pt idx="122">
                  <c:v>199.50293140949699</c:v>
                </c:pt>
                <c:pt idx="123">
                  <c:v>219.09754230134001</c:v>
                </c:pt>
                <c:pt idx="124">
                  <c:v>229.63250577519401</c:v>
                </c:pt>
                <c:pt idx="125">
                  <c:v>208.428227175963</c:v>
                </c:pt>
                <c:pt idx="126">
                  <c:v>129.72344326401901</c:v>
                </c:pt>
                <c:pt idx="127">
                  <c:v>-45.520878216670503</c:v>
                </c:pt>
                <c:pt idx="128">
                  <c:v>-148.09259312279099</c:v>
                </c:pt>
                <c:pt idx="129">
                  <c:v>-184.867177652805</c:v>
                </c:pt>
                <c:pt idx="130">
                  <c:v>-206.486161202668</c:v>
                </c:pt>
                <c:pt idx="131">
                  <c:v>-233.944268804047</c:v>
                </c:pt>
                <c:pt idx="132">
                  <c:v>-249.62935087929301</c:v>
                </c:pt>
                <c:pt idx="133">
                  <c:v>-257.17950383503802</c:v>
                </c:pt>
                <c:pt idx="134">
                  <c:v>-267.38509179574999</c:v>
                </c:pt>
                <c:pt idx="135">
                  <c:v>-268.45862501146797</c:v>
                </c:pt>
                <c:pt idx="136">
                  <c:v>-255.27907532834399</c:v>
                </c:pt>
                <c:pt idx="137">
                  <c:v>-235.97840355771299</c:v>
                </c:pt>
                <c:pt idx="138">
                  <c:v>-213.721672024388</c:v>
                </c:pt>
                <c:pt idx="139">
                  <c:v>-202.56361793315</c:v>
                </c:pt>
                <c:pt idx="140">
                  <c:v>-205.37049763563999</c:v>
                </c:pt>
                <c:pt idx="141">
                  <c:v>-184.88618320954501</c:v>
                </c:pt>
                <c:pt idx="142">
                  <c:v>-138.670653211434</c:v>
                </c:pt>
                <c:pt idx="143">
                  <c:v>-107.57469186452499</c:v>
                </c:pt>
                <c:pt idx="144">
                  <c:v>-92.236574251396902</c:v>
                </c:pt>
                <c:pt idx="145">
                  <c:v>-106.331543862313</c:v>
                </c:pt>
                <c:pt idx="146">
                  <c:v>-107.844639009239</c:v>
                </c:pt>
                <c:pt idx="147">
                  <c:v>30.4851446487705</c:v>
                </c:pt>
                <c:pt idx="148">
                  <c:v>153.858345890062</c:v>
                </c:pt>
                <c:pt idx="149">
                  <c:v>187.43466737179099</c:v>
                </c:pt>
                <c:pt idx="150">
                  <c:v>196.762911260511</c:v>
                </c:pt>
                <c:pt idx="151">
                  <c:v>195.37325762010499</c:v>
                </c:pt>
                <c:pt idx="152">
                  <c:v>202.115005005234</c:v>
                </c:pt>
                <c:pt idx="153">
                  <c:v>218.12155868975501</c:v>
                </c:pt>
                <c:pt idx="154">
                  <c:v>212.679458045394</c:v>
                </c:pt>
                <c:pt idx="155">
                  <c:v>176.65967928745599</c:v>
                </c:pt>
                <c:pt idx="156">
                  <c:v>110.417330393109</c:v>
                </c:pt>
                <c:pt idx="157">
                  <c:v>-56.984818767834199</c:v>
                </c:pt>
                <c:pt idx="158">
                  <c:v>-161.37941060280201</c:v>
                </c:pt>
                <c:pt idx="159">
                  <c:v>-194.76260362206301</c:v>
                </c:pt>
                <c:pt idx="160">
                  <c:v>-209.36250623553499</c:v>
                </c:pt>
                <c:pt idx="161">
                  <c:v>-203.021948458613</c:v>
                </c:pt>
                <c:pt idx="162">
                  <c:v>-181.61541561005799</c:v>
                </c:pt>
                <c:pt idx="163">
                  <c:v>-189.11874202560199</c:v>
                </c:pt>
                <c:pt idx="164">
                  <c:v>-214.88608612348</c:v>
                </c:pt>
                <c:pt idx="165">
                  <c:v>-239.551038337694</c:v>
                </c:pt>
                <c:pt idx="166">
                  <c:v>-261.725931853818</c:v>
                </c:pt>
                <c:pt idx="167">
                  <c:v>-269.90291249742199</c:v>
                </c:pt>
                <c:pt idx="168">
                  <c:v>-268.63750467894999</c:v>
                </c:pt>
                <c:pt idx="169">
                  <c:v>-267.97048785151799</c:v>
                </c:pt>
                <c:pt idx="170">
                  <c:v>-258.76200414465598</c:v>
                </c:pt>
                <c:pt idx="171">
                  <c:v>-229.779541803499</c:v>
                </c:pt>
                <c:pt idx="172">
                  <c:v>-171.99788438247299</c:v>
                </c:pt>
                <c:pt idx="173">
                  <c:v>-56.898782920612902</c:v>
                </c:pt>
                <c:pt idx="174">
                  <c:v>29.019273896538799</c:v>
                </c:pt>
                <c:pt idx="175">
                  <c:v>4.7161508740457601</c:v>
                </c:pt>
                <c:pt idx="176">
                  <c:v>66.989959269785402</c:v>
                </c:pt>
                <c:pt idx="177">
                  <c:v>141.91364428543</c:v>
                </c:pt>
                <c:pt idx="178">
                  <c:v>171.28015126002401</c:v>
                </c:pt>
                <c:pt idx="179">
                  <c:v>186.69483237431299</c:v>
                </c:pt>
                <c:pt idx="180">
                  <c:v>190.58743255212201</c:v>
                </c:pt>
                <c:pt idx="181">
                  <c:v>193.26744276381601</c:v>
                </c:pt>
                <c:pt idx="182">
                  <c:v>208.965482825463</c:v>
                </c:pt>
                <c:pt idx="183">
                  <c:v>215.029940653724</c:v>
                </c:pt>
                <c:pt idx="184">
                  <c:v>206.611504694665</c:v>
                </c:pt>
                <c:pt idx="185">
                  <c:v>194.82254803244501</c:v>
                </c:pt>
                <c:pt idx="186">
                  <c:v>169.415306383569</c:v>
                </c:pt>
                <c:pt idx="187">
                  <c:v>131.90803466141099</c:v>
                </c:pt>
                <c:pt idx="188">
                  <c:v>85.069080725899099</c:v>
                </c:pt>
                <c:pt idx="189">
                  <c:v>-96.494793104124</c:v>
                </c:pt>
                <c:pt idx="190">
                  <c:v>-211.42557515551201</c:v>
                </c:pt>
                <c:pt idx="191">
                  <c:v>-253.979568138633</c:v>
                </c:pt>
                <c:pt idx="192">
                  <c:v>-275.081388018437</c:v>
                </c:pt>
                <c:pt idx="193">
                  <c:v>-284.52711692023098</c:v>
                </c:pt>
                <c:pt idx="194">
                  <c:v>-286.59964497827599</c:v>
                </c:pt>
                <c:pt idx="195">
                  <c:v>-286.101451466176</c:v>
                </c:pt>
                <c:pt idx="196">
                  <c:v>-277.47739423815102</c:v>
                </c:pt>
                <c:pt idx="197">
                  <c:v>-260.53889370977498</c:v>
                </c:pt>
                <c:pt idx="198">
                  <c:v>-250.151802256271</c:v>
                </c:pt>
                <c:pt idx="199">
                  <c:v>-238.42078043969499</c:v>
                </c:pt>
                <c:pt idx="200">
                  <c:v>-204.53306474047801</c:v>
                </c:pt>
                <c:pt idx="201">
                  <c:v>-129.697429606502</c:v>
                </c:pt>
                <c:pt idx="202">
                  <c:v>62.104819827180798</c:v>
                </c:pt>
                <c:pt idx="203">
                  <c:v>147.81708623820401</c:v>
                </c:pt>
                <c:pt idx="204">
                  <c:v>155.09990637955499</c:v>
                </c:pt>
                <c:pt idx="205">
                  <c:v>166.68881014997601</c:v>
                </c:pt>
                <c:pt idx="206">
                  <c:v>192.947014559206</c:v>
                </c:pt>
                <c:pt idx="207">
                  <c:v>214.17173537176399</c:v>
                </c:pt>
                <c:pt idx="208">
                  <c:v>230.28803810787801</c:v>
                </c:pt>
                <c:pt idx="209">
                  <c:v>229.73845597787701</c:v>
                </c:pt>
                <c:pt idx="210">
                  <c:v>211.974712801235</c:v>
                </c:pt>
                <c:pt idx="211">
                  <c:v>203.123000732245</c:v>
                </c:pt>
                <c:pt idx="212">
                  <c:v>202.31813349280301</c:v>
                </c:pt>
                <c:pt idx="213">
                  <c:v>182.402626630947</c:v>
                </c:pt>
                <c:pt idx="214">
                  <c:v>110.666353654522</c:v>
                </c:pt>
                <c:pt idx="215">
                  <c:v>-130.723547110711</c:v>
                </c:pt>
                <c:pt idx="216">
                  <c:v>-227.46131006071101</c:v>
                </c:pt>
                <c:pt idx="217">
                  <c:v>-255.726747691306</c:v>
                </c:pt>
                <c:pt idx="218">
                  <c:v>-269.63416856021399</c:v>
                </c:pt>
                <c:pt idx="219">
                  <c:v>-275.37554496266603</c:v>
                </c:pt>
                <c:pt idx="220">
                  <c:v>-269.55969414036099</c:v>
                </c:pt>
                <c:pt idx="221">
                  <c:v>-262.496215942486</c:v>
                </c:pt>
                <c:pt idx="222">
                  <c:v>-259.14109351329301</c:v>
                </c:pt>
                <c:pt idx="223">
                  <c:v>-255.24250993090101</c:v>
                </c:pt>
                <c:pt idx="224">
                  <c:v>-253.14753371442299</c:v>
                </c:pt>
                <c:pt idx="225">
                  <c:v>-241.339654769833</c:v>
                </c:pt>
                <c:pt idx="226">
                  <c:v>-209.715108019143</c:v>
                </c:pt>
                <c:pt idx="227">
                  <c:v>-177.98573060831799</c:v>
                </c:pt>
                <c:pt idx="228">
                  <c:v>-148.19114881801499</c:v>
                </c:pt>
                <c:pt idx="229">
                  <c:v>-93.008798237269502</c:v>
                </c:pt>
                <c:pt idx="230">
                  <c:v>39.387992190435099</c:v>
                </c:pt>
                <c:pt idx="231">
                  <c:v>181.631715289254</c:v>
                </c:pt>
                <c:pt idx="232">
                  <c:v>240.71315510250699</c:v>
                </c:pt>
                <c:pt idx="233">
                  <c:v>255.771313589485</c:v>
                </c:pt>
                <c:pt idx="234">
                  <c:v>253.31288231403099</c:v>
                </c:pt>
                <c:pt idx="235">
                  <c:v>242.12821367893599</c:v>
                </c:pt>
                <c:pt idx="236">
                  <c:v>225.869676782726</c:v>
                </c:pt>
                <c:pt idx="237">
                  <c:v>212.99500821517299</c:v>
                </c:pt>
                <c:pt idx="238">
                  <c:v>180.10498309461499</c:v>
                </c:pt>
                <c:pt idx="239">
                  <c:v>28.1846212761447</c:v>
                </c:pt>
                <c:pt idx="240">
                  <c:v>-166.42119826854</c:v>
                </c:pt>
                <c:pt idx="241">
                  <c:v>-225.27361632054999</c:v>
                </c:pt>
                <c:pt idx="242">
                  <c:v>-253.953605052033</c:v>
                </c:pt>
                <c:pt idx="243">
                  <c:v>-263.91264170252902</c:v>
                </c:pt>
                <c:pt idx="244">
                  <c:v>-268.97658529661101</c:v>
                </c:pt>
                <c:pt idx="245">
                  <c:v>-273.90035937539102</c:v>
                </c:pt>
                <c:pt idx="246">
                  <c:v>-273.34113030845498</c:v>
                </c:pt>
                <c:pt idx="247">
                  <c:v>-272.53257726342599</c:v>
                </c:pt>
                <c:pt idx="248">
                  <c:v>-271.01620540480297</c:v>
                </c:pt>
                <c:pt idx="249">
                  <c:v>-260.38912247402402</c:v>
                </c:pt>
                <c:pt idx="250">
                  <c:v>-244.44085963975499</c:v>
                </c:pt>
                <c:pt idx="251">
                  <c:v>-220.81474600368401</c:v>
                </c:pt>
                <c:pt idx="252">
                  <c:v>-177.921380861372</c:v>
                </c:pt>
                <c:pt idx="253">
                  <c:v>-144.50266359704401</c:v>
                </c:pt>
                <c:pt idx="254">
                  <c:v>-103.743559032031</c:v>
                </c:pt>
                <c:pt idx="255">
                  <c:v>84.675018073848904</c:v>
                </c:pt>
                <c:pt idx="256">
                  <c:v>196.32028569336501</c:v>
                </c:pt>
                <c:pt idx="257">
                  <c:v>237.63249154915599</c:v>
                </c:pt>
                <c:pt idx="258">
                  <c:v>250.43152520923601</c:v>
                </c:pt>
                <c:pt idx="259">
                  <c:v>244.44412765728501</c:v>
                </c:pt>
                <c:pt idx="260">
                  <c:v>236.43046173706901</c:v>
                </c:pt>
                <c:pt idx="261">
                  <c:v>236.429129530073</c:v>
                </c:pt>
                <c:pt idx="262">
                  <c:v>228.970942622861</c:v>
                </c:pt>
                <c:pt idx="263">
                  <c:v>209.806824691674</c:v>
                </c:pt>
                <c:pt idx="264">
                  <c:v>172.470113065199</c:v>
                </c:pt>
                <c:pt idx="265">
                  <c:v>72.3709475632579</c:v>
                </c:pt>
                <c:pt idx="266">
                  <c:v>-88.004834964196107</c:v>
                </c:pt>
                <c:pt idx="267">
                  <c:v>-165.65726632871201</c:v>
                </c:pt>
                <c:pt idx="268">
                  <c:v>-223.777076901518</c:v>
                </c:pt>
                <c:pt idx="269">
                  <c:v>-255.21535187230501</c:v>
                </c:pt>
                <c:pt idx="270">
                  <c:v>-271.74584369618901</c:v>
                </c:pt>
                <c:pt idx="271">
                  <c:v>-280.35102861038098</c:v>
                </c:pt>
                <c:pt idx="272">
                  <c:v>-279.02785250138697</c:v>
                </c:pt>
                <c:pt idx="273">
                  <c:v>-277.24091092203702</c:v>
                </c:pt>
                <c:pt idx="274">
                  <c:v>-281.59641170070699</c:v>
                </c:pt>
                <c:pt idx="275">
                  <c:v>-282.50187644920902</c:v>
                </c:pt>
                <c:pt idx="276">
                  <c:v>-280.64799798814499</c:v>
                </c:pt>
                <c:pt idx="277">
                  <c:v>-279.08159228927002</c:v>
                </c:pt>
                <c:pt idx="278">
                  <c:v>-270.66390158781002</c:v>
                </c:pt>
                <c:pt idx="279">
                  <c:v>-248.39111933660499</c:v>
                </c:pt>
                <c:pt idx="280">
                  <c:v>-175.339157480138</c:v>
                </c:pt>
                <c:pt idx="281">
                  <c:v>135.54215093026099</c:v>
                </c:pt>
                <c:pt idx="282">
                  <c:v>227.701919455742</c:v>
                </c:pt>
                <c:pt idx="283">
                  <c:v>249.15501556555799</c:v>
                </c:pt>
                <c:pt idx="284">
                  <c:v>256.49433920109499</c:v>
                </c:pt>
                <c:pt idx="285">
                  <c:v>253.76155181160499</c:v>
                </c:pt>
                <c:pt idx="286">
                  <c:v>243.800608009455</c:v>
                </c:pt>
                <c:pt idx="287">
                  <c:v>231.23383143788899</c:v>
                </c:pt>
                <c:pt idx="288">
                  <c:v>209.46612578212</c:v>
                </c:pt>
                <c:pt idx="289">
                  <c:v>192.24786525885099</c:v>
                </c:pt>
                <c:pt idx="290">
                  <c:v>201.33879988830199</c:v>
                </c:pt>
                <c:pt idx="291">
                  <c:v>209.809891933703</c:v>
                </c:pt>
                <c:pt idx="292">
                  <c:v>205.27134852485301</c:v>
                </c:pt>
                <c:pt idx="293">
                  <c:v>167.383838412508</c:v>
                </c:pt>
                <c:pt idx="294">
                  <c:v>-36.715218877921799</c:v>
                </c:pt>
                <c:pt idx="295">
                  <c:v>-183.424103530872</c:v>
                </c:pt>
                <c:pt idx="296">
                  <c:v>-217.03808360514699</c:v>
                </c:pt>
                <c:pt idx="297">
                  <c:v>-239.454214041292</c:v>
                </c:pt>
                <c:pt idx="298">
                  <c:v>-258.38764367388302</c:v>
                </c:pt>
                <c:pt idx="299">
                  <c:v>-273.12957295641201</c:v>
                </c:pt>
                <c:pt idx="300">
                  <c:v>-284.05594141302799</c:v>
                </c:pt>
                <c:pt idx="301">
                  <c:v>-286.81386243710898</c:v>
                </c:pt>
                <c:pt idx="302">
                  <c:v>-287.364808387121</c:v>
                </c:pt>
                <c:pt idx="303">
                  <c:v>-290.06990509370598</c:v>
                </c:pt>
                <c:pt idx="304">
                  <c:v>-286.606366770291</c:v>
                </c:pt>
                <c:pt idx="305">
                  <c:v>-275.64977440037597</c:v>
                </c:pt>
                <c:pt idx="306">
                  <c:v>-259.52577114032198</c:v>
                </c:pt>
                <c:pt idx="307">
                  <c:v>-227.55881353141501</c:v>
                </c:pt>
                <c:pt idx="308">
                  <c:v>-175.70521207858101</c:v>
                </c:pt>
                <c:pt idx="309">
                  <c:v>-105.887368914844</c:v>
                </c:pt>
                <c:pt idx="310">
                  <c:v>40.458164213749598</c:v>
                </c:pt>
                <c:pt idx="311">
                  <c:v>120.203454293912</c:v>
                </c:pt>
                <c:pt idx="312">
                  <c:v>149.09074704589699</c:v>
                </c:pt>
                <c:pt idx="313">
                  <c:v>184.83583949786501</c:v>
                </c:pt>
                <c:pt idx="314">
                  <c:v>216.006008157754</c:v>
                </c:pt>
                <c:pt idx="315">
                  <c:v>242.985328795595</c:v>
                </c:pt>
                <c:pt idx="316">
                  <c:v>262.51324989170803</c:v>
                </c:pt>
                <c:pt idx="317">
                  <c:v>264.96679289099097</c:v>
                </c:pt>
                <c:pt idx="318">
                  <c:v>252.11694961310599</c:v>
                </c:pt>
                <c:pt idx="319">
                  <c:v>233.58811997314899</c:v>
                </c:pt>
                <c:pt idx="320">
                  <c:v>217.60596987329399</c:v>
                </c:pt>
                <c:pt idx="321">
                  <c:v>210.41600843506799</c:v>
                </c:pt>
                <c:pt idx="322">
                  <c:v>196.55668613227201</c:v>
                </c:pt>
                <c:pt idx="323">
                  <c:v>115.329382686662</c:v>
                </c:pt>
                <c:pt idx="324">
                  <c:v>-121.384332134263</c:v>
                </c:pt>
                <c:pt idx="325">
                  <c:v>-207.13565749374101</c:v>
                </c:pt>
                <c:pt idx="326">
                  <c:v>-247.11549753267701</c:v>
                </c:pt>
                <c:pt idx="327">
                  <c:v>-265.93866129372799</c:v>
                </c:pt>
                <c:pt idx="328">
                  <c:v>-274.72810537230703</c:v>
                </c:pt>
                <c:pt idx="329">
                  <c:v>-282.58536735443403</c:v>
                </c:pt>
                <c:pt idx="330">
                  <c:v>-283.86728291375499</c:v>
                </c:pt>
                <c:pt idx="331">
                  <c:v>-278.39095008368503</c:v>
                </c:pt>
                <c:pt idx="332">
                  <c:v>-273.55288877496901</c:v>
                </c:pt>
                <c:pt idx="333">
                  <c:v>-269.03888042349399</c:v>
                </c:pt>
                <c:pt idx="334">
                  <c:v>-269.645234003817</c:v>
                </c:pt>
                <c:pt idx="335">
                  <c:v>-277.57725325431198</c:v>
                </c:pt>
                <c:pt idx="336">
                  <c:v>-281.38471745010901</c:v>
                </c:pt>
                <c:pt idx="337">
                  <c:v>-280.70476067032899</c:v>
                </c:pt>
                <c:pt idx="338">
                  <c:v>-272.59364516192198</c:v>
                </c:pt>
                <c:pt idx="339">
                  <c:v>-228.948417202077</c:v>
                </c:pt>
                <c:pt idx="340">
                  <c:v>-7.0840981947728103</c:v>
                </c:pt>
                <c:pt idx="341">
                  <c:v>203.08092885997399</c:v>
                </c:pt>
                <c:pt idx="342">
                  <c:v>242.522302468156</c:v>
                </c:pt>
                <c:pt idx="343">
                  <c:v>249.74090588195199</c:v>
                </c:pt>
                <c:pt idx="344">
                  <c:v>249.726438778051</c:v>
                </c:pt>
                <c:pt idx="345">
                  <c:v>256.24014413682301</c:v>
                </c:pt>
                <c:pt idx="346">
                  <c:v>259.23112966216797</c:v>
                </c:pt>
                <c:pt idx="347">
                  <c:v>253.79462737994999</c:v>
                </c:pt>
                <c:pt idx="348">
                  <c:v>245.26845587386899</c:v>
                </c:pt>
                <c:pt idx="349">
                  <c:v>233.033442687979</c:v>
                </c:pt>
                <c:pt idx="350">
                  <c:v>224.68976903169701</c:v>
                </c:pt>
                <c:pt idx="351">
                  <c:v>225.90643424951199</c:v>
                </c:pt>
                <c:pt idx="352">
                  <c:v>210.916965096935</c:v>
                </c:pt>
                <c:pt idx="353">
                  <c:v>146.899076867742</c:v>
                </c:pt>
                <c:pt idx="354">
                  <c:v>-84.320796784104004</c:v>
                </c:pt>
                <c:pt idx="355">
                  <c:v>-217.28986088298799</c:v>
                </c:pt>
                <c:pt idx="356">
                  <c:v>-258.05243850417099</c:v>
                </c:pt>
                <c:pt idx="357">
                  <c:v>-273.34441800932302</c:v>
                </c:pt>
                <c:pt idx="358">
                  <c:v>-285.03426955416199</c:v>
                </c:pt>
                <c:pt idx="359">
                  <c:v>-290.28303994829901</c:v>
                </c:pt>
                <c:pt idx="360">
                  <c:v>-289.67868129048298</c:v>
                </c:pt>
                <c:pt idx="361">
                  <c:v>-291.73106075829497</c:v>
                </c:pt>
                <c:pt idx="362">
                  <c:v>-294.27921278609301</c:v>
                </c:pt>
                <c:pt idx="363">
                  <c:v>-293.285556221143</c:v>
                </c:pt>
                <c:pt idx="364">
                  <c:v>-287.33823670844203</c:v>
                </c:pt>
                <c:pt idx="365">
                  <c:v>-269.35936621310401</c:v>
                </c:pt>
                <c:pt idx="366">
                  <c:v>-239.999110902718</c:v>
                </c:pt>
                <c:pt idx="367">
                  <c:v>-211.02734510198101</c:v>
                </c:pt>
                <c:pt idx="368">
                  <c:v>-153.45782858367599</c:v>
                </c:pt>
                <c:pt idx="369">
                  <c:v>13.7846295539312</c:v>
                </c:pt>
                <c:pt idx="370">
                  <c:v>143.85064841437</c:v>
                </c:pt>
                <c:pt idx="371">
                  <c:v>193.263272791226</c:v>
                </c:pt>
                <c:pt idx="372">
                  <c:v>203.97563607505299</c:v>
                </c:pt>
                <c:pt idx="373">
                  <c:v>193.38552522376401</c:v>
                </c:pt>
                <c:pt idx="374">
                  <c:v>200.34134143625801</c:v>
                </c:pt>
                <c:pt idx="375">
                  <c:v>223.35640356372099</c:v>
                </c:pt>
                <c:pt idx="376">
                  <c:v>243.10973862242</c:v>
                </c:pt>
                <c:pt idx="377">
                  <c:v>255.33282399322701</c:v>
                </c:pt>
                <c:pt idx="378">
                  <c:v>254.15468964143099</c:v>
                </c:pt>
                <c:pt idx="379">
                  <c:v>243.88377940147501</c:v>
                </c:pt>
                <c:pt idx="380">
                  <c:v>234.02219413216699</c:v>
                </c:pt>
                <c:pt idx="381">
                  <c:v>208.291682384312</c:v>
                </c:pt>
                <c:pt idx="382">
                  <c:v>122.806757870723</c:v>
                </c:pt>
                <c:pt idx="383">
                  <c:v>-102.178594670218</c:v>
                </c:pt>
                <c:pt idx="384">
                  <c:v>-202.72714280797101</c:v>
                </c:pt>
                <c:pt idx="385">
                  <c:v>-237.68116612803601</c:v>
                </c:pt>
                <c:pt idx="386">
                  <c:v>-251.79419053864899</c:v>
                </c:pt>
                <c:pt idx="387">
                  <c:v>-266.473148042329</c:v>
                </c:pt>
                <c:pt idx="388">
                  <c:v>-274.42564499945797</c:v>
                </c:pt>
                <c:pt idx="389">
                  <c:v>-271.94625997096</c:v>
                </c:pt>
                <c:pt idx="390">
                  <c:v>-267.68216802948899</c:v>
                </c:pt>
                <c:pt idx="391">
                  <c:v>-259.91956303347098</c:v>
                </c:pt>
                <c:pt idx="392">
                  <c:v>-248.46715868663799</c:v>
                </c:pt>
                <c:pt idx="393">
                  <c:v>-245.20663033843701</c:v>
                </c:pt>
                <c:pt idx="394">
                  <c:v>-242.055269650111</c:v>
                </c:pt>
                <c:pt idx="395">
                  <c:v>-236.58572737185699</c:v>
                </c:pt>
                <c:pt idx="396">
                  <c:v>-240.22789063912799</c:v>
                </c:pt>
                <c:pt idx="397">
                  <c:v>-240.40245963247699</c:v>
                </c:pt>
                <c:pt idx="398">
                  <c:v>-227.67189738824999</c:v>
                </c:pt>
                <c:pt idx="399">
                  <c:v>-189.65332436779201</c:v>
                </c:pt>
                <c:pt idx="400">
                  <c:v>-33.924104223777398</c:v>
                </c:pt>
                <c:pt idx="401">
                  <c:v>150.42153095079999</c:v>
                </c:pt>
                <c:pt idx="402">
                  <c:v>175.99161154024799</c:v>
                </c:pt>
                <c:pt idx="403">
                  <c:v>180.721811591007</c:v>
                </c:pt>
                <c:pt idx="404">
                  <c:v>184.29530273824699</c:v>
                </c:pt>
                <c:pt idx="405">
                  <c:v>178.56690771202199</c:v>
                </c:pt>
                <c:pt idx="406">
                  <c:v>167.59501735762399</c:v>
                </c:pt>
                <c:pt idx="407">
                  <c:v>136.15003757865901</c:v>
                </c:pt>
                <c:pt idx="408">
                  <c:v>111.092552882192</c:v>
                </c:pt>
                <c:pt idx="409">
                  <c:v>161.86320500834901</c:v>
                </c:pt>
                <c:pt idx="410">
                  <c:v>206.211784552457</c:v>
                </c:pt>
                <c:pt idx="411">
                  <c:v>222.34573468054299</c:v>
                </c:pt>
                <c:pt idx="412">
                  <c:v>220.39191054665</c:v>
                </c:pt>
                <c:pt idx="413">
                  <c:v>183.79070557674299</c:v>
                </c:pt>
                <c:pt idx="414">
                  <c:v>78.152156176365807</c:v>
                </c:pt>
                <c:pt idx="415">
                  <c:v>-59.841137913308302</c:v>
                </c:pt>
                <c:pt idx="416">
                  <c:v>-120.969390027006</c:v>
                </c:pt>
                <c:pt idx="417">
                  <c:v>-153.029038957393</c:v>
                </c:pt>
                <c:pt idx="418">
                  <c:v>-171.458492451469</c:v>
                </c:pt>
                <c:pt idx="419">
                  <c:v>-204.31997095741701</c:v>
                </c:pt>
                <c:pt idx="420">
                  <c:v>-233.47665005220401</c:v>
                </c:pt>
                <c:pt idx="421">
                  <c:v>-255.54755223261199</c:v>
                </c:pt>
                <c:pt idx="422">
                  <c:v>-276.79023226607097</c:v>
                </c:pt>
                <c:pt idx="423">
                  <c:v>-285.58320482315099</c:v>
                </c:pt>
                <c:pt idx="424">
                  <c:v>-280.69435092244902</c:v>
                </c:pt>
                <c:pt idx="425">
                  <c:v>-271.71465251643798</c:v>
                </c:pt>
                <c:pt idx="426">
                  <c:v>-260.82083707605801</c:v>
                </c:pt>
                <c:pt idx="427">
                  <c:v>-246.28759454723499</c:v>
                </c:pt>
                <c:pt idx="428">
                  <c:v>-227.50561040424299</c:v>
                </c:pt>
                <c:pt idx="429">
                  <c:v>-186.34745628342699</c:v>
                </c:pt>
                <c:pt idx="430">
                  <c:v>-138.646322411949</c:v>
                </c:pt>
                <c:pt idx="431">
                  <c:v>-156.950469623712</c:v>
                </c:pt>
                <c:pt idx="432">
                  <c:v>-182.99176935958599</c:v>
                </c:pt>
                <c:pt idx="433">
                  <c:v>-177.49560672927001</c:v>
                </c:pt>
                <c:pt idx="434">
                  <c:v>-109.264576024691</c:v>
                </c:pt>
                <c:pt idx="435">
                  <c:v>139.665390179485</c:v>
                </c:pt>
                <c:pt idx="436">
                  <c:v>222.44570760987401</c:v>
                </c:pt>
                <c:pt idx="437">
                  <c:v>242.20996202628001</c:v>
                </c:pt>
                <c:pt idx="438">
                  <c:v>247.87143172261199</c:v>
                </c:pt>
                <c:pt idx="439">
                  <c:v>249.29912505370399</c:v>
                </c:pt>
                <c:pt idx="440">
                  <c:v>250.265771056446</c:v>
                </c:pt>
                <c:pt idx="441">
                  <c:v>252.30048210737601</c:v>
                </c:pt>
                <c:pt idx="442">
                  <c:v>243.00862211299199</c:v>
                </c:pt>
                <c:pt idx="443">
                  <c:v>214.64373340575099</c:v>
                </c:pt>
                <c:pt idx="444">
                  <c:v>169.63187651543799</c:v>
                </c:pt>
                <c:pt idx="445">
                  <c:v>54.261551107752503</c:v>
                </c:pt>
                <c:pt idx="446">
                  <c:v>-144.39822737292599</c:v>
                </c:pt>
                <c:pt idx="447">
                  <c:v>-203.783342152431</c:v>
                </c:pt>
                <c:pt idx="448">
                  <c:v>-230.82627127923999</c:v>
                </c:pt>
                <c:pt idx="449">
                  <c:v>-246.071858515857</c:v>
                </c:pt>
                <c:pt idx="450">
                  <c:v>-258.413262133383</c:v>
                </c:pt>
                <c:pt idx="451">
                  <c:v>-277.30164320346</c:v>
                </c:pt>
                <c:pt idx="452">
                  <c:v>-290.32609458314198</c:v>
                </c:pt>
                <c:pt idx="453">
                  <c:v>-293.55629885425901</c:v>
                </c:pt>
                <c:pt idx="454">
                  <c:v>-294.03119364501202</c:v>
                </c:pt>
                <c:pt idx="455">
                  <c:v>-292.33251637808303</c:v>
                </c:pt>
                <c:pt idx="456">
                  <c:v>-288.70184080520397</c:v>
                </c:pt>
                <c:pt idx="457">
                  <c:v>-285.31479458719002</c:v>
                </c:pt>
                <c:pt idx="458">
                  <c:v>-269.17551679001798</c:v>
                </c:pt>
                <c:pt idx="459">
                  <c:v>-211.06049497105599</c:v>
                </c:pt>
                <c:pt idx="460">
                  <c:v>1.15419094947141</c:v>
                </c:pt>
                <c:pt idx="461">
                  <c:v>181.19573539102299</c:v>
                </c:pt>
                <c:pt idx="462">
                  <c:v>215.940214938895</c:v>
                </c:pt>
                <c:pt idx="463">
                  <c:v>222.02847812650799</c:v>
                </c:pt>
                <c:pt idx="464">
                  <c:v>235.59959195524399</c:v>
                </c:pt>
                <c:pt idx="465">
                  <c:v>249.63982073898001</c:v>
                </c:pt>
                <c:pt idx="466">
                  <c:v>251.95332589083</c:v>
                </c:pt>
                <c:pt idx="467">
                  <c:v>249.19632707837701</c:v>
                </c:pt>
                <c:pt idx="468">
                  <c:v>242.41265458508801</c:v>
                </c:pt>
                <c:pt idx="469">
                  <c:v>228.514537242535</c:v>
                </c:pt>
                <c:pt idx="470">
                  <c:v>212.71218842834401</c:v>
                </c:pt>
                <c:pt idx="471">
                  <c:v>183.099380094183</c:v>
                </c:pt>
                <c:pt idx="472">
                  <c:v>119.84795273389101</c:v>
                </c:pt>
                <c:pt idx="473">
                  <c:v>33.923736501596998</c:v>
                </c:pt>
                <c:pt idx="474">
                  <c:v>-101.120182334509</c:v>
                </c:pt>
                <c:pt idx="475">
                  <c:v>-190.62013571329101</c:v>
                </c:pt>
                <c:pt idx="476">
                  <c:v>-233.88128372410199</c:v>
                </c:pt>
                <c:pt idx="477">
                  <c:v>-262.91294259209002</c:v>
                </c:pt>
                <c:pt idx="478">
                  <c:v>-280.05214151980198</c:v>
                </c:pt>
                <c:pt idx="479">
                  <c:v>-285.41312041142999</c:v>
                </c:pt>
                <c:pt idx="480">
                  <c:v>-289.82352753416001</c:v>
                </c:pt>
                <c:pt idx="481">
                  <c:v>-294.79230146464897</c:v>
                </c:pt>
                <c:pt idx="482">
                  <c:v>-295.01238447824102</c:v>
                </c:pt>
                <c:pt idx="483">
                  <c:v>-289.188925796842</c:v>
                </c:pt>
                <c:pt idx="484">
                  <c:v>-269.574399114421</c:v>
                </c:pt>
                <c:pt idx="485">
                  <c:v>-224.766742841443</c:v>
                </c:pt>
                <c:pt idx="486">
                  <c:v>-164.33944434591601</c:v>
                </c:pt>
                <c:pt idx="487">
                  <c:v>-57.557271328796702</c:v>
                </c:pt>
                <c:pt idx="488">
                  <c:v>141.175282006473</c:v>
                </c:pt>
                <c:pt idx="489">
                  <c:v>208.65022032621499</c:v>
                </c:pt>
                <c:pt idx="490">
                  <c:v>235.13756523424499</c:v>
                </c:pt>
                <c:pt idx="491">
                  <c:v>242.418767349391</c:v>
                </c:pt>
                <c:pt idx="492">
                  <c:v>234.58759456031501</c:v>
                </c:pt>
                <c:pt idx="493">
                  <c:v>227.532404793338</c:v>
                </c:pt>
                <c:pt idx="494">
                  <c:v>226.331896994738</c:v>
                </c:pt>
                <c:pt idx="495">
                  <c:v>219.05229021013</c:v>
                </c:pt>
                <c:pt idx="496">
                  <c:v>210.020991798457</c:v>
                </c:pt>
                <c:pt idx="497">
                  <c:v>192.369631799601</c:v>
                </c:pt>
                <c:pt idx="498">
                  <c:v>146.84497911072299</c:v>
                </c:pt>
                <c:pt idx="499">
                  <c:v>83.751564863467607</c:v>
                </c:pt>
                <c:pt idx="500">
                  <c:v>-57.983191952277103</c:v>
                </c:pt>
                <c:pt idx="501">
                  <c:v>-191.046696410263</c:v>
                </c:pt>
                <c:pt idx="502">
                  <c:v>-248.32614823329899</c:v>
                </c:pt>
                <c:pt idx="503">
                  <c:v>-274.69816246123798</c:v>
                </c:pt>
                <c:pt idx="504">
                  <c:v>-286.04809752167102</c:v>
                </c:pt>
                <c:pt idx="505">
                  <c:v>-286.11345343981299</c:v>
                </c:pt>
                <c:pt idx="506">
                  <c:v>-283.51061662353197</c:v>
                </c:pt>
                <c:pt idx="507">
                  <c:v>-278.026669654194</c:v>
                </c:pt>
                <c:pt idx="508">
                  <c:v>-258.81215815322798</c:v>
                </c:pt>
                <c:pt idx="509">
                  <c:v>-230.333669088557</c:v>
                </c:pt>
                <c:pt idx="510">
                  <c:v>-205.64389382812499</c:v>
                </c:pt>
                <c:pt idx="511">
                  <c:v>-172.763285135632</c:v>
                </c:pt>
                <c:pt idx="512">
                  <c:v>-124.28019132067899</c:v>
                </c:pt>
                <c:pt idx="513">
                  <c:v>-9.2075557838670292</c:v>
                </c:pt>
                <c:pt idx="514">
                  <c:v>124.23658709724999</c:v>
                </c:pt>
                <c:pt idx="515">
                  <c:v>147.65163215033499</c:v>
                </c:pt>
                <c:pt idx="516">
                  <c:v>138.34693393361701</c:v>
                </c:pt>
                <c:pt idx="517">
                  <c:v>148.370202238128</c:v>
                </c:pt>
                <c:pt idx="518">
                  <c:v>171.34656947851201</c:v>
                </c:pt>
                <c:pt idx="519">
                  <c:v>205.291990544801</c:v>
                </c:pt>
                <c:pt idx="520">
                  <c:v>228.83076638505301</c:v>
                </c:pt>
                <c:pt idx="521">
                  <c:v>226.10788575875699</c:v>
                </c:pt>
                <c:pt idx="522">
                  <c:v>207.73330373157199</c:v>
                </c:pt>
                <c:pt idx="523">
                  <c:v>188.77339440681899</c:v>
                </c:pt>
                <c:pt idx="524">
                  <c:v>159.914084985964</c:v>
                </c:pt>
                <c:pt idx="525">
                  <c:v>102.155040169538</c:v>
                </c:pt>
                <c:pt idx="526">
                  <c:v>-89.409329202138593</c:v>
                </c:pt>
                <c:pt idx="527">
                  <c:v>-213.881202045294</c:v>
                </c:pt>
                <c:pt idx="528">
                  <c:v>-251.53364925191201</c:v>
                </c:pt>
                <c:pt idx="529">
                  <c:v>-261.97738495961602</c:v>
                </c:pt>
                <c:pt idx="530">
                  <c:v>-267.68213637228502</c:v>
                </c:pt>
                <c:pt idx="531">
                  <c:v>-266.35290436781003</c:v>
                </c:pt>
                <c:pt idx="532">
                  <c:v>-261.63591564920398</c:v>
                </c:pt>
                <c:pt idx="533">
                  <c:v>-260.40426070683998</c:v>
                </c:pt>
                <c:pt idx="534">
                  <c:v>-256.65123504770099</c:v>
                </c:pt>
                <c:pt idx="535">
                  <c:v>-252.384013185789</c:v>
                </c:pt>
                <c:pt idx="536">
                  <c:v>-243.55284593977899</c:v>
                </c:pt>
                <c:pt idx="537">
                  <c:v>-207.24552051858001</c:v>
                </c:pt>
                <c:pt idx="538">
                  <c:v>-132.937343530021</c:v>
                </c:pt>
                <c:pt idx="539">
                  <c:v>-39.265771378793303</c:v>
                </c:pt>
                <c:pt idx="540">
                  <c:v>42.637155483907797</c:v>
                </c:pt>
                <c:pt idx="541">
                  <c:v>32.331170213134897</c:v>
                </c:pt>
                <c:pt idx="542">
                  <c:v>30.9277523997633</c:v>
                </c:pt>
                <c:pt idx="543">
                  <c:v>130.819818152789</c:v>
                </c:pt>
                <c:pt idx="544">
                  <c:v>190.35418542547799</c:v>
                </c:pt>
                <c:pt idx="545">
                  <c:v>208.045326962373</c:v>
                </c:pt>
                <c:pt idx="546">
                  <c:v>206.14850875128499</c:v>
                </c:pt>
                <c:pt idx="547">
                  <c:v>189.752795891441</c:v>
                </c:pt>
                <c:pt idx="548">
                  <c:v>187.15752968095899</c:v>
                </c:pt>
                <c:pt idx="549">
                  <c:v>200.19662269781401</c:v>
                </c:pt>
                <c:pt idx="550">
                  <c:v>181.94013847212099</c:v>
                </c:pt>
                <c:pt idx="551">
                  <c:v>100.826327929413</c:v>
                </c:pt>
                <c:pt idx="552">
                  <c:v>-77.9097890506699</c:v>
                </c:pt>
                <c:pt idx="553">
                  <c:v>-169.545350952136</c:v>
                </c:pt>
                <c:pt idx="554">
                  <c:v>-193.01037183832699</c:v>
                </c:pt>
                <c:pt idx="555">
                  <c:v>-187.34884941052599</c:v>
                </c:pt>
                <c:pt idx="556">
                  <c:v>-187.966080857702</c:v>
                </c:pt>
                <c:pt idx="557">
                  <c:v>-188.03249913986099</c:v>
                </c:pt>
                <c:pt idx="558">
                  <c:v>-191.794945891971</c:v>
                </c:pt>
                <c:pt idx="559">
                  <c:v>-212.784459561305</c:v>
                </c:pt>
                <c:pt idx="560">
                  <c:v>-226.299587430586</c:v>
                </c:pt>
                <c:pt idx="561">
                  <c:v>-235.00691050643201</c:v>
                </c:pt>
                <c:pt idx="562">
                  <c:v>-247.47952086374599</c:v>
                </c:pt>
                <c:pt idx="563">
                  <c:v>-252.10269789332699</c:v>
                </c:pt>
                <c:pt idx="564">
                  <c:v>-256.12931378596699</c:v>
                </c:pt>
                <c:pt idx="565">
                  <c:v>-265.97144291783002</c:v>
                </c:pt>
                <c:pt idx="566">
                  <c:v>-265.72617963337001</c:v>
                </c:pt>
                <c:pt idx="567">
                  <c:v>-245.721705945824</c:v>
                </c:pt>
                <c:pt idx="568">
                  <c:v>-184.24872991954899</c:v>
                </c:pt>
                <c:pt idx="569">
                  <c:v>34.041236751576001</c:v>
                </c:pt>
                <c:pt idx="570">
                  <c:v>145.96824481297301</c:v>
                </c:pt>
                <c:pt idx="571">
                  <c:v>151.48940726031501</c:v>
                </c:pt>
                <c:pt idx="572">
                  <c:v>164.201934752906</c:v>
                </c:pt>
                <c:pt idx="573">
                  <c:v>180.80566314324699</c:v>
                </c:pt>
                <c:pt idx="574">
                  <c:v>185.94364068757099</c:v>
                </c:pt>
                <c:pt idx="575">
                  <c:v>185.80447420794499</c:v>
                </c:pt>
                <c:pt idx="576">
                  <c:v>169.23897500443601</c:v>
                </c:pt>
                <c:pt idx="577">
                  <c:v>155.86237057215101</c:v>
                </c:pt>
                <c:pt idx="578">
                  <c:v>177.05580091488699</c:v>
                </c:pt>
                <c:pt idx="579">
                  <c:v>193.573737042565</c:v>
                </c:pt>
                <c:pt idx="580">
                  <c:v>196.019804113433</c:v>
                </c:pt>
                <c:pt idx="581">
                  <c:v>184.70048914888201</c:v>
                </c:pt>
                <c:pt idx="582">
                  <c:v>130.880373030437</c:v>
                </c:pt>
                <c:pt idx="583">
                  <c:v>20.244482185796599</c:v>
                </c:pt>
                <c:pt idx="584">
                  <c:v>-76.520542604372494</c:v>
                </c:pt>
                <c:pt idx="585">
                  <c:v>-155.76072829644801</c:v>
                </c:pt>
                <c:pt idx="586">
                  <c:v>-203.55965921360601</c:v>
                </c:pt>
                <c:pt idx="587">
                  <c:v>-224.48403898724499</c:v>
                </c:pt>
                <c:pt idx="588">
                  <c:v>-241.688610563244</c:v>
                </c:pt>
                <c:pt idx="589">
                  <c:v>-255.23816816311401</c:v>
                </c:pt>
                <c:pt idx="590">
                  <c:v>-268.49048242153799</c:v>
                </c:pt>
                <c:pt idx="591">
                  <c:v>-280.57130763694698</c:v>
                </c:pt>
                <c:pt idx="592">
                  <c:v>-280.10453278594503</c:v>
                </c:pt>
                <c:pt idx="593">
                  <c:v>-269.37744903991</c:v>
                </c:pt>
                <c:pt idx="594">
                  <c:v>-260.97183831204001</c:v>
                </c:pt>
                <c:pt idx="595">
                  <c:v>-252.15247803772999</c:v>
                </c:pt>
                <c:pt idx="596">
                  <c:v>-238.87960755146301</c:v>
                </c:pt>
                <c:pt idx="597">
                  <c:v>-219.01642951179599</c:v>
                </c:pt>
                <c:pt idx="598">
                  <c:v>-169.16085496391099</c:v>
                </c:pt>
                <c:pt idx="599">
                  <c:v>-84.749799408769903</c:v>
                </c:pt>
                <c:pt idx="600">
                  <c:v>3.3354232565356701</c:v>
                </c:pt>
                <c:pt idx="601">
                  <c:v>106.478692539498</c:v>
                </c:pt>
                <c:pt idx="602">
                  <c:v>171.965217075488</c:v>
                </c:pt>
                <c:pt idx="603">
                  <c:v>212.31397701181999</c:v>
                </c:pt>
                <c:pt idx="604">
                  <c:v>240.159562526244</c:v>
                </c:pt>
                <c:pt idx="605">
                  <c:v>248.75574792044199</c:v>
                </c:pt>
                <c:pt idx="606">
                  <c:v>246.117246151709</c:v>
                </c:pt>
                <c:pt idx="607">
                  <c:v>247.84510663386101</c:v>
                </c:pt>
                <c:pt idx="608">
                  <c:v>249.75431673662101</c:v>
                </c:pt>
                <c:pt idx="609">
                  <c:v>242.869414992598</c:v>
                </c:pt>
                <c:pt idx="610">
                  <c:v>217.343781826971</c:v>
                </c:pt>
                <c:pt idx="611">
                  <c:v>116.272259646115</c:v>
                </c:pt>
                <c:pt idx="612">
                  <c:v>-146.811010066172</c:v>
                </c:pt>
                <c:pt idx="613">
                  <c:v>-220.821060964597</c:v>
                </c:pt>
                <c:pt idx="614">
                  <c:v>-256.28295321300197</c:v>
                </c:pt>
                <c:pt idx="615">
                  <c:v>-273.53090350345798</c:v>
                </c:pt>
                <c:pt idx="616">
                  <c:v>-276.24810699981998</c:v>
                </c:pt>
                <c:pt idx="617">
                  <c:v>-274.17743303544103</c:v>
                </c:pt>
                <c:pt idx="618">
                  <c:v>-267.75925209100001</c:v>
                </c:pt>
                <c:pt idx="619">
                  <c:v>-259.96336361535799</c:v>
                </c:pt>
                <c:pt idx="620">
                  <c:v>-262.539805973336</c:v>
                </c:pt>
                <c:pt idx="621">
                  <c:v>-267.48479509317798</c:v>
                </c:pt>
                <c:pt idx="622">
                  <c:v>-269.91603469943499</c:v>
                </c:pt>
                <c:pt idx="623">
                  <c:v>-272.616045289407</c:v>
                </c:pt>
                <c:pt idx="624">
                  <c:v>-266.37351266671499</c:v>
                </c:pt>
                <c:pt idx="625">
                  <c:v>-245.70169575668299</c:v>
                </c:pt>
                <c:pt idx="626">
                  <c:v>-199.720205379563</c:v>
                </c:pt>
                <c:pt idx="627">
                  <c:v>6.7104199345405799</c:v>
                </c:pt>
                <c:pt idx="628">
                  <c:v>195.14950999129701</c:v>
                </c:pt>
                <c:pt idx="629">
                  <c:v>227.57723319390399</c:v>
                </c:pt>
                <c:pt idx="630">
                  <c:v>231.38521608790799</c:v>
                </c:pt>
                <c:pt idx="631">
                  <c:v>227.39436012094299</c:v>
                </c:pt>
                <c:pt idx="632">
                  <c:v>229.20258740833299</c:v>
                </c:pt>
                <c:pt idx="633">
                  <c:v>242.297294911449</c:v>
                </c:pt>
                <c:pt idx="634">
                  <c:v>244.99114292452001</c:v>
                </c:pt>
                <c:pt idx="635">
                  <c:v>228.41204632975399</c:v>
                </c:pt>
                <c:pt idx="636">
                  <c:v>201.081225805521</c:v>
                </c:pt>
                <c:pt idx="637">
                  <c:v>160.631276985434</c:v>
                </c:pt>
                <c:pt idx="638">
                  <c:v>95.568629296970101</c:v>
                </c:pt>
                <c:pt idx="639">
                  <c:v>5.38028188341874</c:v>
                </c:pt>
                <c:pt idx="640">
                  <c:v>-130.731530986021</c:v>
                </c:pt>
                <c:pt idx="641">
                  <c:v>-210.25776457328899</c:v>
                </c:pt>
                <c:pt idx="642">
                  <c:v>-243.77790895325899</c:v>
                </c:pt>
                <c:pt idx="643">
                  <c:v>-262.58260732945701</c:v>
                </c:pt>
                <c:pt idx="644">
                  <c:v>-271.59591001578798</c:v>
                </c:pt>
                <c:pt idx="645">
                  <c:v>-273.14477080368403</c:v>
                </c:pt>
                <c:pt idx="646">
                  <c:v>-276.96094797898598</c:v>
                </c:pt>
                <c:pt idx="647">
                  <c:v>-278.38535069558901</c:v>
                </c:pt>
                <c:pt idx="648">
                  <c:v>-272.92884970504298</c:v>
                </c:pt>
                <c:pt idx="649">
                  <c:v>-267.762825514003</c:v>
                </c:pt>
                <c:pt idx="650">
                  <c:v>-255.31353773432801</c:v>
                </c:pt>
                <c:pt idx="651">
                  <c:v>-214.29874222138599</c:v>
                </c:pt>
                <c:pt idx="652">
                  <c:v>-109.828368841871</c:v>
                </c:pt>
                <c:pt idx="653">
                  <c:v>105.609866187034</c:v>
                </c:pt>
                <c:pt idx="654">
                  <c:v>167.65517222145601</c:v>
                </c:pt>
                <c:pt idx="655">
                  <c:v>172.80912600057201</c:v>
                </c:pt>
                <c:pt idx="656">
                  <c:v>194.820361862396</c:v>
                </c:pt>
                <c:pt idx="657">
                  <c:v>226.85614722065199</c:v>
                </c:pt>
                <c:pt idx="658">
                  <c:v>238.835135641775</c:v>
                </c:pt>
                <c:pt idx="659">
                  <c:v>233.85025267432201</c:v>
                </c:pt>
                <c:pt idx="660">
                  <c:v>203.405848660071</c:v>
                </c:pt>
                <c:pt idx="661">
                  <c:v>111.021231466719</c:v>
                </c:pt>
                <c:pt idx="662">
                  <c:v>-33.233700796028799</c:v>
                </c:pt>
                <c:pt idx="663">
                  <c:v>-78.084244682566293</c:v>
                </c:pt>
                <c:pt idx="664">
                  <c:v>-100.62208732661099</c:v>
                </c:pt>
                <c:pt idx="665">
                  <c:v>-110.864660799145</c:v>
                </c:pt>
                <c:pt idx="666">
                  <c:v>-140.21943479572201</c:v>
                </c:pt>
                <c:pt idx="667">
                  <c:v>-171.32115574088201</c:v>
                </c:pt>
                <c:pt idx="668">
                  <c:v>-177.25299404156499</c:v>
                </c:pt>
                <c:pt idx="669">
                  <c:v>-200.054027796605</c:v>
                </c:pt>
                <c:pt idx="670">
                  <c:v>-238.50367896817801</c:v>
                </c:pt>
                <c:pt idx="671">
                  <c:v>-260.97380253250202</c:v>
                </c:pt>
                <c:pt idx="672">
                  <c:v>-273.47251045531402</c:v>
                </c:pt>
                <c:pt idx="673">
                  <c:v>-278.12880535021401</c:v>
                </c:pt>
                <c:pt idx="674">
                  <c:v>-271.21045898855101</c:v>
                </c:pt>
                <c:pt idx="675">
                  <c:v>-252.64594174897701</c:v>
                </c:pt>
                <c:pt idx="676">
                  <c:v>-202.069953576599</c:v>
                </c:pt>
                <c:pt idx="677">
                  <c:v>-30.432443708516399</c:v>
                </c:pt>
                <c:pt idx="678">
                  <c:v>123.081342049919</c:v>
                </c:pt>
                <c:pt idx="679">
                  <c:v>137.46860025448501</c:v>
                </c:pt>
                <c:pt idx="680">
                  <c:v>137.950838958155</c:v>
                </c:pt>
                <c:pt idx="681">
                  <c:v>137.64274341414799</c:v>
                </c:pt>
                <c:pt idx="682">
                  <c:v>160.954028746452</c:v>
                </c:pt>
                <c:pt idx="683">
                  <c:v>188.98982973461099</c:v>
                </c:pt>
                <c:pt idx="684">
                  <c:v>189.35925019475101</c:v>
                </c:pt>
                <c:pt idx="685">
                  <c:v>178.99965574737701</c:v>
                </c:pt>
                <c:pt idx="686">
                  <c:v>176.90395848264899</c:v>
                </c:pt>
                <c:pt idx="687">
                  <c:v>175.66547867670101</c:v>
                </c:pt>
                <c:pt idx="688">
                  <c:v>177.872506402293</c:v>
                </c:pt>
                <c:pt idx="689">
                  <c:v>151.30214294557601</c:v>
                </c:pt>
                <c:pt idx="690">
                  <c:v>-20.883828158651301</c:v>
                </c:pt>
                <c:pt idx="691">
                  <c:v>-165.81088685226001</c:v>
                </c:pt>
                <c:pt idx="692">
                  <c:v>-206.22770033796499</c:v>
                </c:pt>
                <c:pt idx="693">
                  <c:v>-230.25057026553301</c:v>
                </c:pt>
                <c:pt idx="694">
                  <c:v>-244.96469826089501</c:v>
                </c:pt>
                <c:pt idx="695">
                  <c:v>-256.84967908516001</c:v>
                </c:pt>
                <c:pt idx="696">
                  <c:v>-264.93607368328702</c:v>
                </c:pt>
                <c:pt idx="697">
                  <c:v>-261.661517654806</c:v>
                </c:pt>
                <c:pt idx="698">
                  <c:v>-257.31479267336402</c:v>
                </c:pt>
                <c:pt idx="699">
                  <c:v>-257.59398082502599</c:v>
                </c:pt>
                <c:pt idx="700">
                  <c:v>-247.61462901272299</c:v>
                </c:pt>
                <c:pt idx="701">
                  <c:v>-225.60984973505501</c:v>
                </c:pt>
                <c:pt idx="702">
                  <c:v>-189.11185523228201</c:v>
                </c:pt>
                <c:pt idx="703">
                  <c:v>-105.41501714110299</c:v>
                </c:pt>
                <c:pt idx="704">
                  <c:v>20.156766578487201</c:v>
                </c:pt>
                <c:pt idx="705">
                  <c:v>83.804509216553498</c:v>
                </c:pt>
                <c:pt idx="706">
                  <c:v>130.03228553854399</c:v>
                </c:pt>
                <c:pt idx="707">
                  <c:v>143.09334702635701</c:v>
                </c:pt>
                <c:pt idx="708">
                  <c:v>133.45948010435799</c:v>
                </c:pt>
                <c:pt idx="709">
                  <c:v>120.549573553842</c:v>
                </c:pt>
                <c:pt idx="710">
                  <c:v>92.140606860415403</c:v>
                </c:pt>
                <c:pt idx="711">
                  <c:v>114.323855934962</c:v>
                </c:pt>
                <c:pt idx="712">
                  <c:v>178.49291286540799</c:v>
                </c:pt>
                <c:pt idx="713">
                  <c:v>203.56229470862201</c:v>
                </c:pt>
                <c:pt idx="714">
                  <c:v>202.656958932527</c:v>
                </c:pt>
                <c:pt idx="715">
                  <c:v>193.19194460523599</c:v>
                </c:pt>
                <c:pt idx="716">
                  <c:v>173.267150810256</c:v>
                </c:pt>
                <c:pt idx="717">
                  <c:v>149.27601208286001</c:v>
                </c:pt>
                <c:pt idx="718">
                  <c:v>83.709678673468403</c:v>
                </c:pt>
                <c:pt idx="719">
                  <c:v>-130.11660878226201</c:v>
                </c:pt>
                <c:pt idx="720">
                  <c:v>-211.275417009264</c:v>
                </c:pt>
                <c:pt idx="721">
                  <c:v>-234.633516158166</c:v>
                </c:pt>
                <c:pt idx="722">
                  <c:v>-245.04184679755701</c:v>
                </c:pt>
                <c:pt idx="723">
                  <c:v>-246.702586345387</c:v>
                </c:pt>
                <c:pt idx="724">
                  <c:v>-249.92849286779</c:v>
                </c:pt>
                <c:pt idx="725">
                  <c:v>-260.44842803881699</c:v>
                </c:pt>
                <c:pt idx="726">
                  <c:v>-261.69141313347399</c:v>
                </c:pt>
                <c:pt idx="727">
                  <c:v>-251.909068091492</c:v>
                </c:pt>
                <c:pt idx="728">
                  <c:v>-238.760635617991</c:v>
                </c:pt>
                <c:pt idx="729">
                  <c:v>-222.72372618227601</c:v>
                </c:pt>
                <c:pt idx="730">
                  <c:v>-220.26464069696701</c:v>
                </c:pt>
                <c:pt idx="731">
                  <c:v>-229.57810566710199</c:v>
                </c:pt>
                <c:pt idx="732">
                  <c:v>-224.74910804146299</c:v>
                </c:pt>
                <c:pt idx="733">
                  <c:v>-212.780890549536</c:v>
                </c:pt>
                <c:pt idx="734">
                  <c:v>-192.34730225890399</c:v>
                </c:pt>
                <c:pt idx="735">
                  <c:v>-99.273474694922399</c:v>
                </c:pt>
                <c:pt idx="736">
                  <c:v>127.45047980536999</c:v>
                </c:pt>
                <c:pt idx="737">
                  <c:v>201.61111306260199</c:v>
                </c:pt>
                <c:pt idx="738">
                  <c:v>225.04076494084401</c:v>
                </c:pt>
                <c:pt idx="739">
                  <c:v>220.871849573357</c:v>
                </c:pt>
                <c:pt idx="740">
                  <c:v>208.270756782614</c:v>
                </c:pt>
                <c:pt idx="741">
                  <c:v>207.404602216038</c:v>
                </c:pt>
                <c:pt idx="742">
                  <c:v>198.133472820138</c:v>
                </c:pt>
                <c:pt idx="743">
                  <c:v>172.55339811780101</c:v>
                </c:pt>
                <c:pt idx="744">
                  <c:v>147.170494171911</c:v>
                </c:pt>
                <c:pt idx="745">
                  <c:v>126.795530646316</c:v>
                </c:pt>
                <c:pt idx="746">
                  <c:v>147.26962390409599</c:v>
                </c:pt>
                <c:pt idx="747">
                  <c:v>181.77527094981301</c:v>
                </c:pt>
                <c:pt idx="748">
                  <c:v>170.04834663616501</c:v>
                </c:pt>
                <c:pt idx="749">
                  <c:v>66.606710570998501</c:v>
                </c:pt>
                <c:pt idx="750">
                  <c:v>-151.974037417142</c:v>
                </c:pt>
                <c:pt idx="751">
                  <c:v>-225.674400638728</c:v>
                </c:pt>
                <c:pt idx="752">
                  <c:v>-240.049380978296</c:v>
                </c:pt>
                <c:pt idx="753">
                  <c:v>-236.77712633107899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170008"/>
        <c:axId val="358163344"/>
      </c:scatterChart>
      <c:valAx>
        <c:axId val="358170008"/>
        <c:scaling>
          <c:orientation val="minMax"/>
          <c:max val="2015"/>
          <c:min val="1950"/>
        </c:scaling>
        <c:delete val="0"/>
        <c:axPos val="b"/>
        <c:majorGridlines/>
        <c:minorGridlines>
          <c:spPr>
            <a:ln>
              <a:solidFill>
                <a:schemeClr val="bg1">
                  <a:lumMod val="75000"/>
                  <a:alpha val="45000"/>
                </a:scheme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>
            <c:manualLayout>
              <c:xMode val="edge"/>
              <c:yMode val="edge"/>
              <c:x val="0.47946688838582796"/>
              <c:y val="0.9261699650373259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358163344"/>
        <c:crosses val="autoZero"/>
        <c:crossBetween val="midCat"/>
        <c:minorUnit val="1"/>
      </c:valAx>
      <c:valAx>
        <c:axId val="358163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581700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3560317386004309"/>
          <c:y val="0.75899930667518634"/>
          <c:w val="0.16266444572028396"/>
          <c:h val="0.11363478415530476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21670140917301E-2"/>
          <c:y val="5.1400688952281448E-2"/>
          <c:w val="0.87583666336312638"/>
          <c:h val="0.7872295433412696"/>
        </c:manualLayout>
      </c:layout>
      <c:scatterChart>
        <c:scatterStyle val="lineMarker"/>
        <c:varyColors val="0"/>
        <c:ser>
          <c:idx val="0"/>
          <c:order val="0"/>
          <c:tx>
            <c:strRef>
              <c:f>offset_qbo_all_terms_70hPa!$B$2</c:f>
              <c:strCache>
                <c:ptCount val="1"/>
                <c:pt idx="0">
                  <c:v>QBO70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offset_qbo_all_terms_70hPa!$A$3:$A$756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offset_qbo_all_terms_70hPa!$B$3:$B$756</c:f>
              <c:numCache>
                <c:formatCode>General</c:formatCode>
                <c:ptCount val="754"/>
                <c:pt idx="0">
                  <c:v>-28</c:v>
                </c:pt>
                <c:pt idx="1">
                  <c:v>-28</c:v>
                </c:pt>
                <c:pt idx="2">
                  <c:v>-80</c:v>
                </c:pt>
                <c:pt idx="3">
                  <c:v>-105</c:v>
                </c:pt>
                <c:pt idx="4">
                  <c:v>-125</c:v>
                </c:pt>
                <c:pt idx="5">
                  <c:v>-140</c:v>
                </c:pt>
                <c:pt idx="6">
                  <c:v>-140</c:v>
                </c:pt>
                <c:pt idx="7">
                  <c:v>-105</c:v>
                </c:pt>
                <c:pt idx="8">
                  <c:v>-100</c:v>
                </c:pt>
                <c:pt idx="9">
                  <c:v>-100</c:v>
                </c:pt>
                <c:pt idx="10">
                  <c:v>-145</c:v>
                </c:pt>
                <c:pt idx="11">
                  <c:v>-145</c:v>
                </c:pt>
                <c:pt idx="12">
                  <c:v>-80</c:v>
                </c:pt>
                <c:pt idx="13">
                  <c:v>-75</c:v>
                </c:pt>
                <c:pt idx="14">
                  <c:v>-75</c:v>
                </c:pt>
                <c:pt idx="15">
                  <c:v>-85</c:v>
                </c:pt>
                <c:pt idx="16">
                  <c:v>-85</c:v>
                </c:pt>
                <c:pt idx="17">
                  <c:v>-85</c:v>
                </c:pt>
                <c:pt idx="18">
                  <c:v>-70</c:v>
                </c:pt>
                <c:pt idx="19">
                  <c:v>-55</c:v>
                </c:pt>
                <c:pt idx="20">
                  <c:v>-10</c:v>
                </c:pt>
                <c:pt idx="21">
                  <c:v>25</c:v>
                </c:pt>
                <c:pt idx="22">
                  <c:v>50</c:v>
                </c:pt>
                <c:pt idx="23">
                  <c:v>50</c:v>
                </c:pt>
                <c:pt idx="24">
                  <c:v>10</c:v>
                </c:pt>
                <c:pt idx="25">
                  <c:v>-50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-75</c:v>
                </c:pt>
                <c:pt idx="30">
                  <c:v>-68</c:v>
                </c:pt>
                <c:pt idx="31">
                  <c:v>-68</c:v>
                </c:pt>
                <c:pt idx="32">
                  <c:v>-100</c:v>
                </c:pt>
                <c:pt idx="33">
                  <c:v>-155</c:v>
                </c:pt>
                <c:pt idx="34">
                  <c:v>-155</c:v>
                </c:pt>
                <c:pt idx="35">
                  <c:v>-140</c:v>
                </c:pt>
                <c:pt idx="36">
                  <c:v>-95</c:v>
                </c:pt>
                <c:pt idx="37">
                  <c:v>-95</c:v>
                </c:pt>
                <c:pt idx="38">
                  <c:v>-120</c:v>
                </c:pt>
                <c:pt idx="39">
                  <c:v>-182</c:v>
                </c:pt>
                <c:pt idx="40">
                  <c:v>-182</c:v>
                </c:pt>
                <c:pt idx="41">
                  <c:v>-125</c:v>
                </c:pt>
                <c:pt idx="42">
                  <c:v>-55</c:v>
                </c:pt>
                <c:pt idx="43">
                  <c:v>-22</c:v>
                </c:pt>
                <c:pt idx="44">
                  <c:v>-15</c:v>
                </c:pt>
                <c:pt idx="45">
                  <c:v>-15</c:v>
                </c:pt>
                <c:pt idx="46">
                  <c:v>-15</c:v>
                </c:pt>
                <c:pt idx="47">
                  <c:v>30</c:v>
                </c:pt>
                <c:pt idx="48">
                  <c:v>35</c:v>
                </c:pt>
                <c:pt idx="49">
                  <c:v>45</c:v>
                </c:pt>
                <c:pt idx="50">
                  <c:v>45</c:v>
                </c:pt>
                <c:pt idx="51">
                  <c:v>30</c:v>
                </c:pt>
                <c:pt idx="52">
                  <c:v>20</c:v>
                </c:pt>
                <c:pt idx="53">
                  <c:v>0</c:v>
                </c:pt>
                <c:pt idx="54">
                  <c:v>-10</c:v>
                </c:pt>
                <c:pt idx="55">
                  <c:v>-25</c:v>
                </c:pt>
                <c:pt idx="56">
                  <c:v>-45</c:v>
                </c:pt>
                <c:pt idx="57">
                  <c:v>-70</c:v>
                </c:pt>
                <c:pt idx="58">
                  <c:v>-70</c:v>
                </c:pt>
                <c:pt idx="59">
                  <c:v>-55</c:v>
                </c:pt>
                <c:pt idx="60">
                  <c:v>-55</c:v>
                </c:pt>
                <c:pt idx="61">
                  <c:v>-55</c:v>
                </c:pt>
                <c:pt idx="62">
                  <c:v>-60</c:v>
                </c:pt>
                <c:pt idx="63">
                  <c:v>-100</c:v>
                </c:pt>
                <c:pt idx="64">
                  <c:v>-115</c:v>
                </c:pt>
                <c:pt idx="65">
                  <c:v>-115</c:v>
                </c:pt>
                <c:pt idx="66">
                  <c:v>-115</c:v>
                </c:pt>
                <c:pt idx="67">
                  <c:v>-110</c:v>
                </c:pt>
                <c:pt idx="68">
                  <c:v>-100</c:v>
                </c:pt>
                <c:pt idx="69">
                  <c:v>-80</c:v>
                </c:pt>
                <c:pt idx="70">
                  <c:v>-60</c:v>
                </c:pt>
                <c:pt idx="71">
                  <c:v>-55</c:v>
                </c:pt>
                <c:pt idx="72">
                  <c:v>-45</c:v>
                </c:pt>
                <c:pt idx="73">
                  <c:v>-12</c:v>
                </c:pt>
                <c:pt idx="74">
                  <c:v>15</c:v>
                </c:pt>
                <c:pt idx="75">
                  <c:v>30</c:v>
                </c:pt>
                <c:pt idx="76">
                  <c:v>30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-10</c:v>
                </c:pt>
                <c:pt idx="81">
                  <c:v>-75</c:v>
                </c:pt>
                <c:pt idx="82">
                  <c:v>-100</c:v>
                </c:pt>
                <c:pt idx="83">
                  <c:v>-100</c:v>
                </c:pt>
                <c:pt idx="84">
                  <c:v>-95</c:v>
                </c:pt>
                <c:pt idx="85">
                  <c:v>-80</c:v>
                </c:pt>
                <c:pt idx="86">
                  <c:v>-80</c:v>
                </c:pt>
                <c:pt idx="87">
                  <c:v>-95</c:v>
                </c:pt>
                <c:pt idx="88">
                  <c:v>-110</c:v>
                </c:pt>
                <c:pt idx="89">
                  <c:v>-110</c:v>
                </c:pt>
                <c:pt idx="90">
                  <c:v>-28</c:v>
                </c:pt>
                <c:pt idx="91">
                  <c:v>-10</c:v>
                </c:pt>
                <c:pt idx="92">
                  <c:v>10</c:v>
                </c:pt>
                <c:pt idx="93">
                  <c:v>10</c:v>
                </c:pt>
                <c:pt idx="94">
                  <c:v>20</c:v>
                </c:pt>
                <c:pt idx="95">
                  <c:v>65</c:v>
                </c:pt>
                <c:pt idx="96">
                  <c:v>70</c:v>
                </c:pt>
                <c:pt idx="97">
                  <c:v>70</c:v>
                </c:pt>
                <c:pt idx="98">
                  <c:v>62</c:v>
                </c:pt>
                <c:pt idx="99">
                  <c:v>39</c:v>
                </c:pt>
                <c:pt idx="100">
                  <c:v>36</c:v>
                </c:pt>
                <c:pt idx="101">
                  <c:v>-38</c:v>
                </c:pt>
                <c:pt idx="102">
                  <c:v>-53</c:v>
                </c:pt>
                <c:pt idx="103">
                  <c:v>-53</c:v>
                </c:pt>
                <c:pt idx="104">
                  <c:v>-53</c:v>
                </c:pt>
                <c:pt idx="105">
                  <c:v>-57</c:v>
                </c:pt>
                <c:pt idx="106">
                  <c:v>-61</c:v>
                </c:pt>
                <c:pt idx="107">
                  <c:v>-84</c:v>
                </c:pt>
                <c:pt idx="108">
                  <c:v>-66</c:v>
                </c:pt>
                <c:pt idx="109">
                  <c:v>-84</c:v>
                </c:pt>
                <c:pt idx="110">
                  <c:v>-100</c:v>
                </c:pt>
                <c:pt idx="111">
                  <c:v>-131</c:v>
                </c:pt>
                <c:pt idx="112">
                  <c:v>-165</c:v>
                </c:pt>
                <c:pt idx="113">
                  <c:v>-165</c:v>
                </c:pt>
                <c:pt idx="114">
                  <c:v>-163</c:v>
                </c:pt>
                <c:pt idx="115">
                  <c:v>-112</c:v>
                </c:pt>
                <c:pt idx="116">
                  <c:v>-110</c:v>
                </c:pt>
                <c:pt idx="117">
                  <c:v>-110</c:v>
                </c:pt>
                <c:pt idx="118">
                  <c:v>-110</c:v>
                </c:pt>
                <c:pt idx="119">
                  <c:v>-106</c:v>
                </c:pt>
                <c:pt idx="120">
                  <c:v>-49</c:v>
                </c:pt>
                <c:pt idx="121">
                  <c:v>-41</c:v>
                </c:pt>
                <c:pt idx="122">
                  <c:v>-41</c:v>
                </c:pt>
                <c:pt idx="123">
                  <c:v>-19</c:v>
                </c:pt>
                <c:pt idx="124">
                  <c:v>2</c:v>
                </c:pt>
                <c:pt idx="125">
                  <c:v>40</c:v>
                </c:pt>
                <c:pt idx="126">
                  <c:v>106</c:v>
                </c:pt>
                <c:pt idx="127">
                  <c:v>138</c:v>
                </c:pt>
                <c:pt idx="128">
                  <c:v>138</c:v>
                </c:pt>
                <c:pt idx="129">
                  <c:v>48</c:v>
                </c:pt>
                <c:pt idx="130">
                  <c:v>-26</c:v>
                </c:pt>
                <c:pt idx="131">
                  <c:v>-40</c:v>
                </c:pt>
                <c:pt idx="132">
                  <c:v>-40</c:v>
                </c:pt>
                <c:pt idx="133">
                  <c:v>-40</c:v>
                </c:pt>
                <c:pt idx="134">
                  <c:v>-51</c:v>
                </c:pt>
                <c:pt idx="135">
                  <c:v>-63</c:v>
                </c:pt>
                <c:pt idx="136">
                  <c:v>-93</c:v>
                </c:pt>
                <c:pt idx="137">
                  <c:v>-119</c:v>
                </c:pt>
                <c:pt idx="138">
                  <c:v>-119</c:v>
                </c:pt>
                <c:pt idx="139">
                  <c:v>-118</c:v>
                </c:pt>
                <c:pt idx="140">
                  <c:v>-113</c:v>
                </c:pt>
                <c:pt idx="141">
                  <c:v>-113</c:v>
                </c:pt>
                <c:pt idx="142">
                  <c:v>-113</c:v>
                </c:pt>
                <c:pt idx="143">
                  <c:v>-77</c:v>
                </c:pt>
                <c:pt idx="144">
                  <c:v>-77</c:v>
                </c:pt>
                <c:pt idx="145">
                  <c:v>-90</c:v>
                </c:pt>
                <c:pt idx="146">
                  <c:v>-90</c:v>
                </c:pt>
                <c:pt idx="147">
                  <c:v>-121</c:v>
                </c:pt>
                <c:pt idx="148">
                  <c:v>-177</c:v>
                </c:pt>
                <c:pt idx="149">
                  <c:v>-177</c:v>
                </c:pt>
                <c:pt idx="150">
                  <c:v>-169</c:v>
                </c:pt>
                <c:pt idx="151">
                  <c:v>-120</c:v>
                </c:pt>
                <c:pt idx="152">
                  <c:v>-116</c:v>
                </c:pt>
                <c:pt idx="153">
                  <c:v>-87</c:v>
                </c:pt>
                <c:pt idx="154">
                  <c:v>-18</c:v>
                </c:pt>
                <c:pt idx="155">
                  <c:v>52</c:v>
                </c:pt>
                <c:pt idx="156">
                  <c:v>55</c:v>
                </c:pt>
                <c:pt idx="157">
                  <c:v>55</c:v>
                </c:pt>
                <c:pt idx="158">
                  <c:v>52</c:v>
                </c:pt>
                <c:pt idx="159">
                  <c:v>52</c:v>
                </c:pt>
                <c:pt idx="160">
                  <c:v>55</c:v>
                </c:pt>
                <c:pt idx="161">
                  <c:v>55</c:v>
                </c:pt>
                <c:pt idx="162">
                  <c:v>-5</c:v>
                </c:pt>
                <c:pt idx="163">
                  <c:v>-20</c:v>
                </c:pt>
                <c:pt idx="164">
                  <c:v>-38</c:v>
                </c:pt>
                <c:pt idx="165">
                  <c:v>-82</c:v>
                </c:pt>
                <c:pt idx="166">
                  <c:v>-109</c:v>
                </c:pt>
                <c:pt idx="167">
                  <c:v>-109</c:v>
                </c:pt>
                <c:pt idx="168">
                  <c:v>-109</c:v>
                </c:pt>
                <c:pt idx="169">
                  <c:v>-93</c:v>
                </c:pt>
                <c:pt idx="170">
                  <c:v>-93</c:v>
                </c:pt>
                <c:pt idx="171">
                  <c:v>-121</c:v>
                </c:pt>
                <c:pt idx="172">
                  <c:v>-185</c:v>
                </c:pt>
                <c:pt idx="173">
                  <c:v>-185</c:v>
                </c:pt>
                <c:pt idx="174">
                  <c:v>-183</c:v>
                </c:pt>
                <c:pt idx="175">
                  <c:v>-146</c:v>
                </c:pt>
                <c:pt idx="176">
                  <c:v>-128</c:v>
                </c:pt>
                <c:pt idx="177">
                  <c:v>-117</c:v>
                </c:pt>
                <c:pt idx="178">
                  <c:v>-109</c:v>
                </c:pt>
                <c:pt idx="179">
                  <c:v>-101</c:v>
                </c:pt>
                <c:pt idx="180">
                  <c:v>-108</c:v>
                </c:pt>
                <c:pt idx="181">
                  <c:v>-82</c:v>
                </c:pt>
                <c:pt idx="182">
                  <c:v>-82</c:v>
                </c:pt>
                <c:pt idx="183">
                  <c:v>-82</c:v>
                </c:pt>
                <c:pt idx="184">
                  <c:v>-113</c:v>
                </c:pt>
                <c:pt idx="185">
                  <c:v>-113</c:v>
                </c:pt>
                <c:pt idx="186">
                  <c:v>-103</c:v>
                </c:pt>
                <c:pt idx="187">
                  <c:v>-63</c:v>
                </c:pt>
                <c:pt idx="188">
                  <c:v>-63</c:v>
                </c:pt>
                <c:pt idx="189">
                  <c:v>-54</c:v>
                </c:pt>
                <c:pt idx="190">
                  <c:v>-54</c:v>
                </c:pt>
                <c:pt idx="191">
                  <c:v>-20</c:v>
                </c:pt>
                <c:pt idx="192">
                  <c:v>2</c:v>
                </c:pt>
                <c:pt idx="193">
                  <c:v>20</c:v>
                </c:pt>
                <c:pt idx="194">
                  <c:v>41</c:v>
                </c:pt>
                <c:pt idx="195">
                  <c:v>41</c:v>
                </c:pt>
                <c:pt idx="196">
                  <c:v>29</c:v>
                </c:pt>
                <c:pt idx="197">
                  <c:v>-36</c:v>
                </c:pt>
                <c:pt idx="198">
                  <c:v>-114</c:v>
                </c:pt>
                <c:pt idx="199">
                  <c:v>-116</c:v>
                </c:pt>
                <c:pt idx="200">
                  <c:v>-116</c:v>
                </c:pt>
                <c:pt idx="201">
                  <c:v>-116</c:v>
                </c:pt>
                <c:pt idx="202">
                  <c:v>-113</c:v>
                </c:pt>
                <c:pt idx="203">
                  <c:v>-99</c:v>
                </c:pt>
                <c:pt idx="204">
                  <c:v>-98</c:v>
                </c:pt>
                <c:pt idx="205">
                  <c:v>-78</c:v>
                </c:pt>
                <c:pt idx="206">
                  <c:v>-52</c:v>
                </c:pt>
                <c:pt idx="207">
                  <c:v>-78</c:v>
                </c:pt>
                <c:pt idx="208">
                  <c:v>-95</c:v>
                </c:pt>
                <c:pt idx="209">
                  <c:v>-104</c:v>
                </c:pt>
                <c:pt idx="210">
                  <c:v>-104</c:v>
                </c:pt>
                <c:pt idx="211">
                  <c:v>-76</c:v>
                </c:pt>
                <c:pt idx="212">
                  <c:v>-70</c:v>
                </c:pt>
                <c:pt idx="213">
                  <c:v>-39</c:v>
                </c:pt>
                <c:pt idx="214">
                  <c:v>-28</c:v>
                </c:pt>
                <c:pt idx="215">
                  <c:v>0</c:v>
                </c:pt>
                <c:pt idx="216">
                  <c:v>12</c:v>
                </c:pt>
                <c:pt idx="217">
                  <c:v>26</c:v>
                </c:pt>
                <c:pt idx="218">
                  <c:v>47</c:v>
                </c:pt>
                <c:pt idx="219">
                  <c:v>48</c:v>
                </c:pt>
                <c:pt idx="220">
                  <c:v>48</c:v>
                </c:pt>
                <c:pt idx="221">
                  <c:v>-18</c:v>
                </c:pt>
                <c:pt idx="222">
                  <c:v>-84</c:v>
                </c:pt>
                <c:pt idx="223">
                  <c:v>-84</c:v>
                </c:pt>
                <c:pt idx="224">
                  <c:v>-44</c:v>
                </c:pt>
                <c:pt idx="225">
                  <c:v>-44</c:v>
                </c:pt>
                <c:pt idx="226">
                  <c:v>-70</c:v>
                </c:pt>
                <c:pt idx="227">
                  <c:v>-80</c:v>
                </c:pt>
                <c:pt idx="228">
                  <c:v>-97</c:v>
                </c:pt>
                <c:pt idx="229">
                  <c:v>-97</c:v>
                </c:pt>
                <c:pt idx="230">
                  <c:v>-126</c:v>
                </c:pt>
                <c:pt idx="231">
                  <c:v>-134</c:v>
                </c:pt>
                <c:pt idx="232">
                  <c:v>-146</c:v>
                </c:pt>
                <c:pt idx="233">
                  <c:v>-134</c:v>
                </c:pt>
                <c:pt idx="234">
                  <c:v>-120</c:v>
                </c:pt>
                <c:pt idx="235">
                  <c:v>-82</c:v>
                </c:pt>
                <c:pt idx="236">
                  <c:v>-26</c:v>
                </c:pt>
                <c:pt idx="237">
                  <c:v>-16</c:v>
                </c:pt>
                <c:pt idx="238">
                  <c:v>15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79</c:v>
                </c:pt>
                <c:pt idx="243">
                  <c:v>79</c:v>
                </c:pt>
                <c:pt idx="244">
                  <c:v>-13</c:v>
                </c:pt>
                <c:pt idx="245">
                  <c:v>-95</c:v>
                </c:pt>
                <c:pt idx="246">
                  <c:v>-95</c:v>
                </c:pt>
                <c:pt idx="247">
                  <c:v>-99</c:v>
                </c:pt>
                <c:pt idx="248">
                  <c:v>-104</c:v>
                </c:pt>
                <c:pt idx="249">
                  <c:v>-114</c:v>
                </c:pt>
                <c:pt idx="250">
                  <c:v>-114</c:v>
                </c:pt>
                <c:pt idx="251">
                  <c:v>-102</c:v>
                </c:pt>
                <c:pt idx="252">
                  <c:v>-94</c:v>
                </c:pt>
                <c:pt idx="253">
                  <c:v>-94</c:v>
                </c:pt>
                <c:pt idx="254">
                  <c:v>-103</c:v>
                </c:pt>
                <c:pt idx="255">
                  <c:v>-109</c:v>
                </c:pt>
                <c:pt idx="256">
                  <c:v>-118</c:v>
                </c:pt>
                <c:pt idx="257">
                  <c:v>-131</c:v>
                </c:pt>
                <c:pt idx="258">
                  <c:v>-131</c:v>
                </c:pt>
                <c:pt idx="259">
                  <c:v>-122</c:v>
                </c:pt>
                <c:pt idx="260">
                  <c:v>-93</c:v>
                </c:pt>
                <c:pt idx="261">
                  <c:v>-62</c:v>
                </c:pt>
                <c:pt idx="262">
                  <c:v>-37</c:v>
                </c:pt>
                <c:pt idx="263">
                  <c:v>-8</c:v>
                </c:pt>
                <c:pt idx="264">
                  <c:v>9</c:v>
                </c:pt>
                <c:pt idx="265">
                  <c:v>43</c:v>
                </c:pt>
                <c:pt idx="266">
                  <c:v>43</c:v>
                </c:pt>
                <c:pt idx="267">
                  <c:v>46</c:v>
                </c:pt>
                <c:pt idx="268">
                  <c:v>48</c:v>
                </c:pt>
                <c:pt idx="269">
                  <c:v>58</c:v>
                </c:pt>
                <c:pt idx="270">
                  <c:v>48</c:v>
                </c:pt>
                <c:pt idx="271">
                  <c:v>23</c:v>
                </c:pt>
                <c:pt idx="272">
                  <c:v>-11</c:v>
                </c:pt>
                <c:pt idx="273">
                  <c:v>-80</c:v>
                </c:pt>
                <c:pt idx="274">
                  <c:v>-80</c:v>
                </c:pt>
                <c:pt idx="275">
                  <c:v>-67</c:v>
                </c:pt>
                <c:pt idx="276">
                  <c:v>-63</c:v>
                </c:pt>
                <c:pt idx="277">
                  <c:v>-63</c:v>
                </c:pt>
                <c:pt idx="278">
                  <c:v>-81</c:v>
                </c:pt>
                <c:pt idx="279">
                  <c:v>-103</c:v>
                </c:pt>
                <c:pt idx="280">
                  <c:v>-115</c:v>
                </c:pt>
                <c:pt idx="281">
                  <c:v>-115</c:v>
                </c:pt>
                <c:pt idx="282">
                  <c:v>-110</c:v>
                </c:pt>
                <c:pt idx="283">
                  <c:v>-103</c:v>
                </c:pt>
                <c:pt idx="284">
                  <c:v>-94</c:v>
                </c:pt>
                <c:pt idx="285">
                  <c:v>-92</c:v>
                </c:pt>
                <c:pt idx="286">
                  <c:v>-91</c:v>
                </c:pt>
                <c:pt idx="287">
                  <c:v>-85</c:v>
                </c:pt>
                <c:pt idx="288">
                  <c:v>-70</c:v>
                </c:pt>
                <c:pt idx="289">
                  <c:v>-69</c:v>
                </c:pt>
                <c:pt idx="290">
                  <c:v>-60</c:v>
                </c:pt>
                <c:pt idx="291">
                  <c:v>-60</c:v>
                </c:pt>
                <c:pt idx="292">
                  <c:v>-58</c:v>
                </c:pt>
                <c:pt idx="293">
                  <c:v>-3</c:v>
                </c:pt>
                <c:pt idx="294">
                  <c:v>50</c:v>
                </c:pt>
                <c:pt idx="295">
                  <c:v>50</c:v>
                </c:pt>
                <c:pt idx="296">
                  <c:v>48</c:v>
                </c:pt>
                <c:pt idx="297">
                  <c:v>48</c:v>
                </c:pt>
                <c:pt idx="298">
                  <c:v>62</c:v>
                </c:pt>
                <c:pt idx="299">
                  <c:v>62</c:v>
                </c:pt>
                <c:pt idx="300">
                  <c:v>18</c:v>
                </c:pt>
                <c:pt idx="301">
                  <c:v>-22</c:v>
                </c:pt>
                <c:pt idx="302">
                  <c:v>-34</c:v>
                </c:pt>
                <c:pt idx="303">
                  <c:v>-85</c:v>
                </c:pt>
                <c:pt idx="304">
                  <c:v>-91</c:v>
                </c:pt>
                <c:pt idx="305">
                  <c:v>-91</c:v>
                </c:pt>
                <c:pt idx="306">
                  <c:v>-97</c:v>
                </c:pt>
                <c:pt idx="307">
                  <c:v>-97</c:v>
                </c:pt>
                <c:pt idx="308">
                  <c:v>-98</c:v>
                </c:pt>
                <c:pt idx="309">
                  <c:v>-99</c:v>
                </c:pt>
                <c:pt idx="310">
                  <c:v>-99</c:v>
                </c:pt>
                <c:pt idx="311">
                  <c:v>-98</c:v>
                </c:pt>
                <c:pt idx="312">
                  <c:v>-68</c:v>
                </c:pt>
                <c:pt idx="313">
                  <c:v>-68</c:v>
                </c:pt>
                <c:pt idx="314">
                  <c:v>-74</c:v>
                </c:pt>
                <c:pt idx="315">
                  <c:v>-84</c:v>
                </c:pt>
                <c:pt idx="316">
                  <c:v>-137</c:v>
                </c:pt>
                <c:pt idx="317">
                  <c:v>-137</c:v>
                </c:pt>
                <c:pt idx="318">
                  <c:v>-85</c:v>
                </c:pt>
                <c:pt idx="319">
                  <c:v>-74</c:v>
                </c:pt>
                <c:pt idx="320">
                  <c:v>-47</c:v>
                </c:pt>
                <c:pt idx="321">
                  <c:v>-25</c:v>
                </c:pt>
                <c:pt idx="322">
                  <c:v>2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52</c:v>
                </c:pt>
                <c:pt idx="327">
                  <c:v>53</c:v>
                </c:pt>
                <c:pt idx="328">
                  <c:v>62</c:v>
                </c:pt>
                <c:pt idx="329">
                  <c:v>62</c:v>
                </c:pt>
                <c:pt idx="330">
                  <c:v>-35</c:v>
                </c:pt>
                <c:pt idx="331">
                  <c:v>-47</c:v>
                </c:pt>
                <c:pt idx="332">
                  <c:v>-60</c:v>
                </c:pt>
                <c:pt idx="333">
                  <c:v>-90</c:v>
                </c:pt>
                <c:pt idx="334">
                  <c:v>-90</c:v>
                </c:pt>
                <c:pt idx="335">
                  <c:v>-80</c:v>
                </c:pt>
                <c:pt idx="336">
                  <c:v>-61</c:v>
                </c:pt>
                <c:pt idx="337">
                  <c:v>-61</c:v>
                </c:pt>
                <c:pt idx="338">
                  <c:v>-84</c:v>
                </c:pt>
                <c:pt idx="339">
                  <c:v>-105</c:v>
                </c:pt>
                <c:pt idx="340">
                  <c:v>-112</c:v>
                </c:pt>
                <c:pt idx="341">
                  <c:v>-126</c:v>
                </c:pt>
                <c:pt idx="342">
                  <c:v>-126</c:v>
                </c:pt>
                <c:pt idx="343">
                  <c:v>-108</c:v>
                </c:pt>
                <c:pt idx="344">
                  <c:v>-101</c:v>
                </c:pt>
                <c:pt idx="345">
                  <c:v>-101</c:v>
                </c:pt>
                <c:pt idx="346">
                  <c:v>-101</c:v>
                </c:pt>
                <c:pt idx="347">
                  <c:v>-69</c:v>
                </c:pt>
                <c:pt idx="348">
                  <c:v>-55</c:v>
                </c:pt>
                <c:pt idx="349">
                  <c:v>-55</c:v>
                </c:pt>
                <c:pt idx="350">
                  <c:v>-66</c:v>
                </c:pt>
                <c:pt idx="351">
                  <c:v>-66</c:v>
                </c:pt>
                <c:pt idx="352">
                  <c:v>27</c:v>
                </c:pt>
                <c:pt idx="353">
                  <c:v>72</c:v>
                </c:pt>
                <c:pt idx="354">
                  <c:v>103</c:v>
                </c:pt>
                <c:pt idx="355">
                  <c:v>103</c:v>
                </c:pt>
                <c:pt idx="356">
                  <c:v>101</c:v>
                </c:pt>
                <c:pt idx="357">
                  <c:v>83</c:v>
                </c:pt>
                <c:pt idx="358">
                  <c:v>50</c:v>
                </c:pt>
                <c:pt idx="359">
                  <c:v>-39</c:v>
                </c:pt>
                <c:pt idx="360">
                  <c:v>-44</c:v>
                </c:pt>
                <c:pt idx="361">
                  <c:v>-44</c:v>
                </c:pt>
                <c:pt idx="362">
                  <c:v>-38</c:v>
                </c:pt>
                <c:pt idx="363">
                  <c:v>-38</c:v>
                </c:pt>
                <c:pt idx="364">
                  <c:v>-114</c:v>
                </c:pt>
                <c:pt idx="365">
                  <c:v>-114</c:v>
                </c:pt>
                <c:pt idx="366">
                  <c:v>-112</c:v>
                </c:pt>
                <c:pt idx="367">
                  <c:v>-107</c:v>
                </c:pt>
                <c:pt idx="368">
                  <c:v>-103</c:v>
                </c:pt>
                <c:pt idx="369">
                  <c:v>-101</c:v>
                </c:pt>
                <c:pt idx="370">
                  <c:v>-101</c:v>
                </c:pt>
                <c:pt idx="371">
                  <c:v>-86</c:v>
                </c:pt>
                <c:pt idx="372">
                  <c:v>-75</c:v>
                </c:pt>
                <c:pt idx="373">
                  <c:v>-70</c:v>
                </c:pt>
                <c:pt idx="374">
                  <c:v>-70</c:v>
                </c:pt>
                <c:pt idx="375">
                  <c:v>-79</c:v>
                </c:pt>
                <c:pt idx="376">
                  <c:v>-82</c:v>
                </c:pt>
                <c:pt idx="377">
                  <c:v>-82</c:v>
                </c:pt>
                <c:pt idx="378">
                  <c:v>-24</c:v>
                </c:pt>
                <c:pt idx="379">
                  <c:v>15</c:v>
                </c:pt>
                <c:pt idx="380">
                  <c:v>36</c:v>
                </c:pt>
                <c:pt idx="381">
                  <c:v>41</c:v>
                </c:pt>
                <c:pt idx="382">
                  <c:v>43</c:v>
                </c:pt>
                <c:pt idx="383">
                  <c:v>43</c:v>
                </c:pt>
                <c:pt idx="384">
                  <c:v>42</c:v>
                </c:pt>
                <c:pt idx="385">
                  <c:v>42</c:v>
                </c:pt>
                <c:pt idx="386">
                  <c:v>38</c:v>
                </c:pt>
                <c:pt idx="387">
                  <c:v>38</c:v>
                </c:pt>
                <c:pt idx="388">
                  <c:v>-15</c:v>
                </c:pt>
                <c:pt idx="389">
                  <c:v>-24</c:v>
                </c:pt>
                <c:pt idx="390">
                  <c:v>-72</c:v>
                </c:pt>
                <c:pt idx="391">
                  <c:v>-76</c:v>
                </c:pt>
                <c:pt idx="392">
                  <c:v>-87</c:v>
                </c:pt>
                <c:pt idx="393">
                  <c:v>-87</c:v>
                </c:pt>
                <c:pt idx="394">
                  <c:v>-83</c:v>
                </c:pt>
                <c:pt idx="395">
                  <c:v>-51</c:v>
                </c:pt>
                <c:pt idx="396">
                  <c:v>-51</c:v>
                </c:pt>
                <c:pt idx="397">
                  <c:v>-67</c:v>
                </c:pt>
                <c:pt idx="398">
                  <c:v>-83</c:v>
                </c:pt>
                <c:pt idx="399">
                  <c:v>-91</c:v>
                </c:pt>
                <c:pt idx="400">
                  <c:v>-124</c:v>
                </c:pt>
                <c:pt idx="401">
                  <c:v>-124</c:v>
                </c:pt>
                <c:pt idx="402">
                  <c:v>-116</c:v>
                </c:pt>
                <c:pt idx="403">
                  <c:v>-94</c:v>
                </c:pt>
                <c:pt idx="404">
                  <c:v>-94</c:v>
                </c:pt>
                <c:pt idx="405">
                  <c:v>-108</c:v>
                </c:pt>
                <c:pt idx="406">
                  <c:v>-108</c:v>
                </c:pt>
                <c:pt idx="407">
                  <c:v>-87</c:v>
                </c:pt>
                <c:pt idx="408">
                  <c:v>-87</c:v>
                </c:pt>
                <c:pt idx="409">
                  <c:v>-87</c:v>
                </c:pt>
                <c:pt idx="410">
                  <c:v>-52</c:v>
                </c:pt>
                <c:pt idx="411">
                  <c:v>-28</c:v>
                </c:pt>
                <c:pt idx="412">
                  <c:v>-26</c:v>
                </c:pt>
                <c:pt idx="413">
                  <c:v>44</c:v>
                </c:pt>
                <c:pt idx="414">
                  <c:v>115</c:v>
                </c:pt>
                <c:pt idx="415">
                  <c:v>115</c:v>
                </c:pt>
                <c:pt idx="416">
                  <c:v>103</c:v>
                </c:pt>
                <c:pt idx="417">
                  <c:v>85</c:v>
                </c:pt>
                <c:pt idx="418">
                  <c:v>7</c:v>
                </c:pt>
                <c:pt idx="419">
                  <c:v>-28</c:v>
                </c:pt>
                <c:pt idx="420">
                  <c:v>-37</c:v>
                </c:pt>
                <c:pt idx="421">
                  <c:v>-50</c:v>
                </c:pt>
                <c:pt idx="422">
                  <c:v>-50</c:v>
                </c:pt>
                <c:pt idx="423">
                  <c:v>-50</c:v>
                </c:pt>
                <c:pt idx="424">
                  <c:v>-52</c:v>
                </c:pt>
                <c:pt idx="425">
                  <c:v>-90</c:v>
                </c:pt>
                <c:pt idx="426">
                  <c:v>-90</c:v>
                </c:pt>
                <c:pt idx="427">
                  <c:v>-87</c:v>
                </c:pt>
                <c:pt idx="428">
                  <c:v>-84</c:v>
                </c:pt>
                <c:pt idx="429">
                  <c:v>-84</c:v>
                </c:pt>
                <c:pt idx="430">
                  <c:v>-84</c:v>
                </c:pt>
                <c:pt idx="431">
                  <c:v>-88</c:v>
                </c:pt>
                <c:pt idx="432">
                  <c:v>-67</c:v>
                </c:pt>
                <c:pt idx="433">
                  <c:v>-71</c:v>
                </c:pt>
                <c:pt idx="434">
                  <c:v>-71</c:v>
                </c:pt>
                <c:pt idx="435">
                  <c:v>-97</c:v>
                </c:pt>
                <c:pt idx="436">
                  <c:v>-97</c:v>
                </c:pt>
                <c:pt idx="437">
                  <c:v>-88</c:v>
                </c:pt>
                <c:pt idx="438">
                  <c:v>-72</c:v>
                </c:pt>
                <c:pt idx="439">
                  <c:v>-71</c:v>
                </c:pt>
                <c:pt idx="440">
                  <c:v>-66</c:v>
                </c:pt>
                <c:pt idx="441">
                  <c:v>-33</c:v>
                </c:pt>
                <c:pt idx="442">
                  <c:v>-33</c:v>
                </c:pt>
                <c:pt idx="443">
                  <c:v>-16</c:v>
                </c:pt>
                <c:pt idx="444">
                  <c:v>-16</c:v>
                </c:pt>
                <c:pt idx="445">
                  <c:v>1</c:v>
                </c:pt>
                <c:pt idx="446">
                  <c:v>51</c:v>
                </c:pt>
                <c:pt idx="447">
                  <c:v>51</c:v>
                </c:pt>
                <c:pt idx="448">
                  <c:v>51</c:v>
                </c:pt>
                <c:pt idx="449">
                  <c:v>20</c:v>
                </c:pt>
                <c:pt idx="450">
                  <c:v>-42</c:v>
                </c:pt>
                <c:pt idx="451">
                  <c:v>-49</c:v>
                </c:pt>
                <c:pt idx="452">
                  <c:v>-62</c:v>
                </c:pt>
                <c:pt idx="453">
                  <c:v>-90</c:v>
                </c:pt>
                <c:pt idx="454">
                  <c:v>-90</c:v>
                </c:pt>
                <c:pt idx="455">
                  <c:v>-86</c:v>
                </c:pt>
                <c:pt idx="456">
                  <c:v>-86</c:v>
                </c:pt>
                <c:pt idx="457">
                  <c:v>-82</c:v>
                </c:pt>
                <c:pt idx="458">
                  <c:v>-87</c:v>
                </c:pt>
                <c:pt idx="459">
                  <c:v>-87</c:v>
                </c:pt>
                <c:pt idx="460">
                  <c:v>-101</c:v>
                </c:pt>
                <c:pt idx="461">
                  <c:v>-101</c:v>
                </c:pt>
                <c:pt idx="462">
                  <c:v>-82</c:v>
                </c:pt>
                <c:pt idx="463">
                  <c:v>-64</c:v>
                </c:pt>
                <c:pt idx="464">
                  <c:v>-64</c:v>
                </c:pt>
                <c:pt idx="465">
                  <c:v>-64</c:v>
                </c:pt>
                <c:pt idx="466">
                  <c:v>-66</c:v>
                </c:pt>
                <c:pt idx="467">
                  <c:v>-57</c:v>
                </c:pt>
                <c:pt idx="468">
                  <c:v>-66</c:v>
                </c:pt>
                <c:pt idx="469">
                  <c:v>-25</c:v>
                </c:pt>
                <c:pt idx="470">
                  <c:v>-56</c:v>
                </c:pt>
                <c:pt idx="471">
                  <c:v>-42</c:v>
                </c:pt>
                <c:pt idx="472">
                  <c:v>-42</c:v>
                </c:pt>
                <c:pt idx="473">
                  <c:v>2</c:v>
                </c:pt>
                <c:pt idx="474">
                  <c:v>46</c:v>
                </c:pt>
                <c:pt idx="475">
                  <c:v>60</c:v>
                </c:pt>
                <c:pt idx="476">
                  <c:v>66</c:v>
                </c:pt>
                <c:pt idx="477">
                  <c:v>66</c:v>
                </c:pt>
                <c:pt idx="478">
                  <c:v>75</c:v>
                </c:pt>
                <c:pt idx="479">
                  <c:v>75</c:v>
                </c:pt>
                <c:pt idx="480">
                  <c:v>-6</c:v>
                </c:pt>
                <c:pt idx="481">
                  <c:v>-7</c:v>
                </c:pt>
                <c:pt idx="482">
                  <c:v>-51</c:v>
                </c:pt>
                <c:pt idx="483">
                  <c:v>-85</c:v>
                </c:pt>
                <c:pt idx="484">
                  <c:v>-118</c:v>
                </c:pt>
                <c:pt idx="485">
                  <c:v>-118</c:v>
                </c:pt>
                <c:pt idx="486">
                  <c:v>-87</c:v>
                </c:pt>
                <c:pt idx="487">
                  <c:v>-73</c:v>
                </c:pt>
                <c:pt idx="488">
                  <c:v>-73</c:v>
                </c:pt>
                <c:pt idx="489">
                  <c:v>-101</c:v>
                </c:pt>
                <c:pt idx="490">
                  <c:v>-101</c:v>
                </c:pt>
                <c:pt idx="491">
                  <c:v>-97</c:v>
                </c:pt>
                <c:pt idx="492">
                  <c:v>-81</c:v>
                </c:pt>
                <c:pt idx="493">
                  <c:v>-81</c:v>
                </c:pt>
                <c:pt idx="494">
                  <c:v>-113</c:v>
                </c:pt>
                <c:pt idx="495">
                  <c:v>-116</c:v>
                </c:pt>
                <c:pt idx="496">
                  <c:v>-113</c:v>
                </c:pt>
                <c:pt idx="497">
                  <c:v>-16</c:v>
                </c:pt>
                <c:pt idx="498">
                  <c:v>42</c:v>
                </c:pt>
                <c:pt idx="499">
                  <c:v>65</c:v>
                </c:pt>
                <c:pt idx="500">
                  <c:v>66</c:v>
                </c:pt>
                <c:pt idx="501">
                  <c:v>80</c:v>
                </c:pt>
                <c:pt idx="502">
                  <c:v>66</c:v>
                </c:pt>
                <c:pt idx="503">
                  <c:v>40</c:v>
                </c:pt>
                <c:pt idx="504">
                  <c:v>-15</c:v>
                </c:pt>
                <c:pt idx="505">
                  <c:v>-15</c:v>
                </c:pt>
                <c:pt idx="506">
                  <c:v>-5</c:v>
                </c:pt>
                <c:pt idx="507">
                  <c:v>-5</c:v>
                </c:pt>
                <c:pt idx="508">
                  <c:v>-65</c:v>
                </c:pt>
                <c:pt idx="509">
                  <c:v>-71</c:v>
                </c:pt>
                <c:pt idx="510">
                  <c:v>-116</c:v>
                </c:pt>
                <c:pt idx="511">
                  <c:v>-116</c:v>
                </c:pt>
                <c:pt idx="512">
                  <c:v>-98</c:v>
                </c:pt>
                <c:pt idx="513">
                  <c:v>-95</c:v>
                </c:pt>
                <c:pt idx="514">
                  <c:v>-88</c:v>
                </c:pt>
                <c:pt idx="515">
                  <c:v>-88</c:v>
                </c:pt>
                <c:pt idx="516">
                  <c:v>-88</c:v>
                </c:pt>
                <c:pt idx="517">
                  <c:v>-88</c:v>
                </c:pt>
                <c:pt idx="518">
                  <c:v>-92</c:v>
                </c:pt>
                <c:pt idx="519">
                  <c:v>-92</c:v>
                </c:pt>
                <c:pt idx="520">
                  <c:v>-93</c:v>
                </c:pt>
                <c:pt idx="521">
                  <c:v>-93</c:v>
                </c:pt>
                <c:pt idx="522">
                  <c:v>-49</c:v>
                </c:pt>
                <c:pt idx="523">
                  <c:v>-7</c:v>
                </c:pt>
                <c:pt idx="524">
                  <c:v>-6</c:v>
                </c:pt>
                <c:pt idx="525">
                  <c:v>2</c:v>
                </c:pt>
                <c:pt idx="526">
                  <c:v>2</c:v>
                </c:pt>
                <c:pt idx="527">
                  <c:v>29</c:v>
                </c:pt>
                <c:pt idx="528">
                  <c:v>1</c:v>
                </c:pt>
                <c:pt idx="529">
                  <c:v>29</c:v>
                </c:pt>
                <c:pt idx="530">
                  <c:v>24</c:v>
                </c:pt>
                <c:pt idx="531">
                  <c:v>46</c:v>
                </c:pt>
                <c:pt idx="532">
                  <c:v>24</c:v>
                </c:pt>
                <c:pt idx="533">
                  <c:v>-6</c:v>
                </c:pt>
                <c:pt idx="534">
                  <c:v>-120</c:v>
                </c:pt>
                <c:pt idx="535">
                  <c:v>-120</c:v>
                </c:pt>
                <c:pt idx="536">
                  <c:v>-120</c:v>
                </c:pt>
                <c:pt idx="537">
                  <c:v>-103</c:v>
                </c:pt>
                <c:pt idx="538">
                  <c:v>-93</c:v>
                </c:pt>
                <c:pt idx="539">
                  <c:v>-63</c:v>
                </c:pt>
                <c:pt idx="540">
                  <c:v>-63</c:v>
                </c:pt>
                <c:pt idx="541">
                  <c:v>-59</c:v>
                </c:pt>
                <c:pt idx="542">
                  <c:v>-69</c:v>
                </c:pt>
                <c:pt idx="543">
                  <c:v>-98</c:v>
                </c:pt>
                <c:pt idx="544">
                  <c:v>-98</c:v>
                </c:pt>
                <c:pt idx="545">
                  <c:v>-60</c:v>
                </c:pt>
                <c:pt idx="546">
                  <c:v>-38</c:v>
                </c:pt>
                <c:pt idx="547">
                  <c:v>-18</c:v>
                </c:pt>
                <c:pt idx="548">
                  <c:v>0</c:v>
                </c:pt>
                <c:pt idx="549">
                  <c:v>5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35</c:v>
                </c:pt>
                <c:pt idx="554">
                  <c:v>27</c:v>
                </c:pt>
                <c:pt idx="555">
                  <c:v>9</c:v>
                </c:pt>
                <c:pt idx="556">
                  <c:v>-43</c:v>
                </c:pt>
                <c:pt idx="557">
                  <c:v>-74</c:v>
                </c:pt>
                <c:pt idx="558">
                  <c:v>-74</c:v>
                </c:pt>
                <c:pt idx="559">
                  <c:v>-65</c:v>
                </c:pt>
                <c:pt idx="560">
                  <c:v>-65</c:v>
                </c:pt>
                <c:pt idx="561">
                  <c:v>-70</c:v>
                </c:pt>
                <c:pt idx="562">
                  <c:v>-70</c:v>
                </c:pt>
                <c:pt idx="563">
                  <c:v>-72</c:v>
                </c:pt>
                <c:pt idx="564">
                  <c:v>-78</c:v>
                </c:pt>
                <c:pt idx="565">
                  <c:v>-78</c:v>
                </c:pt>
                <c:pt idx="566">
                  <c:v>-78</c:v>
                </c:pt>
                <c:pt idx="567">
                  <c:v>-90</c:v>
                </c:pt>
                <c:pt idx="568">
                  <c:v>-122</c:v>
                </c:pt>
                <c:pt idx="569">
                  <c:v>-122</c:v>
                </c:pt>
                <c:pt idx="570">
                  <c:v>-122</c:v>
                </c:pt>
                <c:pt idx="571">
                  <c:v>-118</c:v>
                </c:pt>
                <c:pt idx="572">
                  <c:v>-106</c:v>
                </c:pt>
                <c:pt idx="573">
                  <c:v>-92</c:v>
                </c:pt>
                <c:pt idx="574">
                  <c:v>-65</c:v>
                </c:pt>
                <c:pt idx="575">
                  <c:v>-37</c:v>
                </c:pt>
                <c:pt idx="576">
                  <c:v>-37</c:v>
                </c:pt>
                <c:pt idx="577">
                  <c:v>-37</c:v>
                </c:pt>
                <c:pt idx="578">
                  <c:v>-47</c:v>
                </c:pt>
                <c:pt idx="579">
                  <c:v>-47</c:v>
                </c:pt>
                <c:pt idx="580">
                  <c:v>-72</c:v>
                </c:pt>
                <c:pt idx="581">
                  <c:v>-72</c:v>
                </c:pt>
                <c:pt idx="582">
                  <c:v>-26</c:v>
                </c:pt>
                <c:pt idx="583">
                  <c:v>1</c:v>
                </c:pt>
                <c:pt idx="584">
                  <c:v>20</c:v>
                </c:pt>
                <c:pt idx="585">
                  <c:v>9</c:v>
                </c:pt>
                <c:pt idx="586">
                  <c:v>20</c:v>
                </c:pt>
                <c:pt idx="587">
                  <c:v>17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-39</c:v>
                </c:pt>
                <c:pt idx="592">
                  <c:v>-63</c:v>
                </c:pt>
                <c:pt idx="593">
                  <c:v>-63</c:v>
                </c:pt>
                <c:pt idx="594">
                  <c:v>-63</c:v>
                </c:pt>
                <c:pt idx="595">
                  <c:v>-72</c:v>
                </c:pt>
                <c:pt idx="596">
                  <c:v>-88</c:v>
                </c:pt>
                <c:pt idx="597">
                  <c:v>-88</c:v>
                </c:pt>
                <c:pt idx="598">
                  <c:v>-82</c:v>
                </c:pt>
                <c:pt idx="599">
                  <c:v>-61</c:v>
                </c:pt>
                <c:pt idx="600">
                  <c:v>-61</c:v>
                </c:pt>
                <c:pt idx="601">
                  <c:v>-72</c:v>
                </c:pt>
                <c:pt idx="602">
                  <c:v>-72</c:v>
                </c:pt>
                <c:pt idx="603">
                  <c:v>-77</c:v>
                </c:pt>
                <c:pt idx="604">
                  <c:v>-85</c:v>
                </c:pt>
                <c:pt idx="605">
                  <c:v>-85</c:v>
                </c:pt>
                <c:pt idx="606">
                  <c:v>-70</c:v>
                </c:pt>
                <c:pt idx="607">
                  <c:v>-61</c:v>
                </c:pt>
                <c:pt idx="608">
                  <c:v>-61</c:v>
                </c:pt>
                <c:pt idx="609">
                  <c:v>-57</c:v>
                </c:pt>
                <c:pt idx="610">
                  <c:v>-34</c:v>
                </c:pt>
                <c:pt idx="611">
                  <c:v>-21</c:v>
                </c:pt>
                <c:pt idx="612">
                  <c:v>6</c:v>
                </c:pt>
                <c:pt idx="613">
                  <c:v>28</c:v>
                </c:pt>
                <c:pt idx="614">
                  <c:v>28</c:v>
                </c:pt>
                <c:pt idx="615">
                  <c:v>28</c:v>
                </c:pt>
                <c:pt idx="616">
                  <c:v>-4</c:v>
                </c:pt>
                <c:pt idx="617">
                  <c:v>-69</c:v>
                </c:pt>
                <c:pt idx="618">
                  <c:v>-69</c:v>
                </c:pt>
                <c:pt idx="619">
                  <c:v>-64</c:v>
                </c:pt>
                <c:pt idx="620">
                  <c:v>-64</c:v>
                </c:pt>
                <c:pt idx="621">
                  <c:v>-67</c:v>
                </c:pt>
                <c:pt idx="622">
                  <c:v>-92</c:v>
                </c:pt>
                <c:pt idx="623">
                  <c:v>-67</c:v>
                </c:pt>
                <c:pt idx="624">
                  <c:v>-54</c:v>
                </c:pt>
                <c:pt idx="625">
                  <c:v>-54</c:v>
                </c:pt>
                <c:pt idx="626">
                  <c:v>-59</c:v>
                </c:pt>
                <c:pt idx="627">
                  <c:v>-103</c:v>
                </c:pt>
                <c:pt idx="628">
                  <c:v>-80</c:v>
                </c:pt>
                <c:pt idx="629">
                  <c:v>-80</c:v>
                </c:pt>
                <c:pt idx="630">
                  <c:v>-75</c:v>
                </c:pt>
                <c:pt idx="631">
                  <c:v>-74</c:v>
                </c:pt>
                <c:pt idx="632">
                  <c:v>-30</c:v>
                </c:pt>
                <c:pt idx="633">
                  <c:v>-27</c:v>
                </c:pt>
                <c:pt idx="634">
                  <c:v>-27</c:v>
                </c:pt>
                <c:pt idx="635">
                  <c:v>-16</c:v>
                </c:pt>
                <c:pt idx="636">
                  <c:v>-16</c:v>
                </c:pt>
                <c:pt idx="637">
                  <c:v>1</c:v>
                </c:pt>
                <c:pt idx="638">
                  <c:v>33</c:v>
                </c:pt>
                <c:pt idx="639">
                  <c:v>42</c:v>
                </c:pt>
                <c:pt idx="640">
                  <c:v>80</c:v>
                </c:pt>
                <c:pt idx="641">
                  <c:v>80</c:v>
                </c:pt>
                <c:pt idx="642">
                  <c:v>-6</c:v>
                </c:pt>
                <c:pt idx="643">
                  <c:v>-38</c:v>
                </c:pt>
                <c:pt idx="644">
                  <c:v>-98</c:v>
                </c:pt>
                <c:pt idx="645">
                  <c:v>-98</c:v>
                </c:pt>
                <c:pt idx="646">
                  <c:v>-106</c:v>
                </c:pt>
                <c:pt idx="647">
                  <c:v>-92</c:v>
                </c:pt>
                <c:pt idx="648">
                  <c:v>-71</c:v>
                </c:pt>
                <c:pt idx="649">
                  <c:v>-71</c:v>
                </c:pt>
                <c:pt idx="650">
                  <c:v>-85</c:v>
                </c:pt>
                <c:pt idx="651">
                  <c:v>-121</c:v>
                </c:pt>
                <c:pt idx="652">
                  <c:v>-121</c:v>
                </c:pt>
                <c:pt idx="653">
                  <c:v>-109</c:v>
                </c:pt>
                <c:pt idx="654">
                  <c:v>-51</c:v>
                </c:pt>
                <c:pt idx="655">
                  <c:v>-42</c:v>
                </c:pt>
                <c:pt idx="656">
                  <c:v>-42</c:v>
                </c:pt>
                <c:pt idx="657">
                  <c:v>-42</c:v>
                </c:pt>
                <c:pt idx="658">
                  <c:v>-34</c:v>
                </c:pt>
                <c:pt idx="659">
                  <c:v>0</c:v>
                </c:pt>
                <c:pt idx="660">
                  <c:v>0</c:v>
                </c:pt>
                <c:pt idx="661">
                  <c:v>-9</c:v>
                </c:pt>
                <c:pt idx="662">
                  <c:v>-9</c:v>
                </c:pt>
                <c:pt idx="663">
                  <c:v>19</c:v>
                </c:pt>
                <c:pt idx="664">
                  <c:v>19</c:v>
                </c:pt>
                <c:pt idx="665">
                  <c:v>17</c:v>
                </c:pt>
                <c:pt idx="666">
                  <c:v>-65</c:v>
                </c:pt>
                <c:pt idx="667">
                  <c:v>-65</c:v>
                </c:pt>
                <c:pt idx="668">
                  <c:v>-65</c:v>
                </c:pt>
                <c:pt idx="669">
                  <c:v>-53</c:v>
                </c:pt>
                <c:pt idx="670">
                  <c:v>-53</c:v>
                </c:pt>
                <c:pt idx="671">
                  <c:v>-20</c:v>
                </c:pt>
                <c:pt idx="672">
                  <c:v>-20</c:v>
                </c:pt>
                <c:pt idx="673">
                  <c:v>-66</c:v>
                </c:pt>
                <c:pt idx="674">
                  <c:v>-74</c:v>
                </c:pt>
                <c:pt idx="675">
                  <c:v>-97</c:v>
                </c:pt>
                <c:pt idx="676">
                  <c:v>-121</c:v>
                </c:pt>
                <c:pt idx="677">
                  <c:v>-121</c:v>
                </c:pt>
                <c:pt idx="678">
                  <c:v>-112</c:v>
                </c:pt>
                <c:pt idx="679">
                  <c:v>-99</c:v>
                </c:pt>
                <c:pt idx="680">
                  <c:v>-99</c:v>
                </c:pt>
                <c:pt idx="681">
                  <c:v>-99</c:v>
                </c:pt>
                <c:pt idx="682">
                  <c:v>-96</c:v>
                </c:pt>
                <c:pt idx="683">
                  <c:v>-96</c:v>
                </c:pt>
                <c:pt idx="684">
                  <c:v>-94</c:v>
                </c:pt>
                <c:pt idx="685">
                  <c:v>-91</c:v>
                </c:pt>
                <c:pt idx="686">
                  <c:v>-86</c:v>
                </c:pt>
                <c:pt idx="687">
                  <c:v>-79</c:v>
                </c:pt>
                <c:pt idx="688">
                  <c:v>26</c:v>
                </c:pt>
                <c:pt idx="689">
                  <c:v>107</c:v>
                </c:pt>
                <c:pt idx="690">
                  <c:v>133</c:v>
                </c:pt>
                <c:pt idx="691">
                  <c:v>133</c:v>
                </c:pt>
                <c:pt idx="692">
                  <c:v>133</c:v>
                </c:pt>
                <c:pt idx="693">
                  <c:v>7</c:v>
                </c:pt>
                <c:pt idx="694">
                  <c:v>-71</c:v>
                </c:pt>
                <c:pt idx="695">
                  <c:v>-71</c:v>
                </c:pt>
                <c:pt idx="696">
                  <c:v>-74</c:v>
                </c:pt>
                <c:pt idx="697">
                  <c:v>-78</c:v>
                </c:pt>
                <c:pt idx="698">
                  <c:v>-78</c:v>
                </c:pt>
                <c:pt idx="699">
                  <c:v>-78</c:v>
                </c:pt>
                <c:pt idx="700">
                  <c:v>-63</c:v>
                </c:pt>
                <c:pt idx="701">
                  <c:v>-86</c:v>
                </c:pt>
                <c:pt idx="702">
                  <c:v>-97</c:v>
                </c:pt>
                <c:pt idx="703">
                  <c:v>-106</c:v>
                </c:pt>
                <c:pt idx="704">
                  <c:v>-138</c:v>
                </c:pt>
                <c:pt idx="705">
                  <c:v>-138</c:v>
                </c:pt>
                <c:pt idx="706">
                  <c:v>-130</c:v>
                </c:pt>
                <c:pt idx="707">
                  <c:v>-84</c:v>
                </c:pt>
                <c:pt idx="708">
                  <c:v>-37</c:v>
                </c:pt>
                <c:pt idx="709">
                  <c:v>-37</c:v>
                </c:pt>
                <c:pt idx="710">
                  <c:v>-29</c:v>
                </c:pt>
                <c:pt idx="711">
                  <c:v>-40</c:v>
                </c:pt>
                <c:pt idx="712">
                  <c:v>-46</c:v>
                </c:pt>
                <c:pt idx="713">
                  <c:v>-46</c:v>
                </c:pt>
                <c:pt idx="714">
                  <c:v>-52</c:v>
                </c:pt>
                <c:pt idx="715">
                  <c:v>-52</c:v>
                </c:pt>
                <c:pt idx="716">
                  <c:v>-59</c:v>
                </c:pt>
                <c:pt idx="717">
                  <c:v>-59</c:v>
                </c:pt>
                <c:pt idx="718">
                  <c:v>-56</c:v>
                </c:pt>
                <c:pt idx="719">
                  <c:v>-41</c:v>
                </c:pt>
                <c:pt idx="720">
                  <c:v>-29</c:v>
                </c:pt>
                <c:pt idx="721">
                  <c:v>-28</c:v>
                </c:pt>
                <c:pt idx="722">
                  <c:v>24</c:v>
                </c:pt>
                <c:pt idx="723">
                  <c:v>30</c:v>
                </c:pt>
                <c:pt idx="724">
                  <c:v>83</c:v>
                </c:pt>
                <c:pt idx="725">
                  <c:v>83</c:v>
                </c:pt>
                <c:pt idx="726">
                  <c:v>-12</c:v>
                </c:pt>
                <c:pt idx="727">
                  <c:v>-41</c:v>
                </c:pt>
                <c:pt idx="728">
                  <c:v>-90</c:v>
                </c:pt>
                <c:pt idx="729">
                  <c:v>-96</c:v>
                </c:pt>
                <c:pt idx="730">
                  <c:v>-104</c:v>
                </c:pt>
                <c:pt idx="731">
                  <c:v>-104</c:v>
                </c:pt>
                <c:pt idx="732">
                  <c:v>-92</c:v>
                </c:pt>
                <c:pt idx="733">
                  <c:v>-79</c:v>
                </c:pt>
                <c:pt idx="734">
                  <c:v>-79</c:v>
                </c:pt>
                <c:pt idx="735">
                  <c:v>-112</c:v>
                </c:pt>
                <c:pt idx="736">
                  <c:v>-127</c:v>
                </c:pt>
                <c:pt idx="737">
                  <c:v>-140</c:v>
                </c:pt>
                <c:pt idx="738">
                  <c:v>-140</c:v>
                </c:pt>
                <c:pt idx="739">
                  <c:v>-139</c:v>
                </c:pt>
                <c:pt idx="740">
                  <c:v>-114</c:v>
                </c:pt>
                <c:pt idx="741">
                  <c:v>-114</c:v>
                </c:pt>
                <c:pt idx="742">
                  <c:v>-92</c:v>
                </c:pt>
                <c:pt idx="743">
                  <c:v>-63</c:v>
                </c:pt>
                <c:pt idx="744">
                  <c:v>-35</c:v>
                </c:pt>
                <c:pt idx="745">
                  <c:v>-23</c:v>
                </c:pt>
                <c:pt idx="746">
                  <c:v>-21</c:v>
                </c:pt>
                <c:pt idx="747">
                  <c:v>-1</c:v>
                </c:pt>
                <c:pt idx="748">
                  <c:v>93</c:v>
                </c:pt>
                <c:pt idx="749">
                  <c:v>97</c:v>
                </c:pt>
                <c:pt idx="750">
                  <c:v>104</c:v>
                </c:pt>
                <c:pt idx="751">
                  <c:v>104</c:v>
                </c:pt>
                <c:pt idx="752">
                  <c:v>-10</c:v>
                </c:pt>
                <c:pt idx="753">
                  <c:v>-100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offset_qbo_all_terms_70hPa!$C$2</c:f>
              <c:strCache>
                <c:ptCount val="1"/>
                <c:pt idx="0">
                  <c:v>Model</c:v>
                </c:pt>
              </c:strCache>
            </c:strRef>
          </c:tx>
          <c:spPr>
            <a:ln w="158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offset_qbo_all_terms_70hPa!$A$3:$A$756</c:f>
              <c:numCache>
                <c:formatCode>General</c:formatCode>
                <c:ptCount val="754"/>
                <c:pt idx="0">
                  <c:v>1953.0833333333301</c:v>
                </c:pt>
                <c:pt idx="1">
                  <c:v>1953.1666666666599</c:v>
                </c:pt>
                <c:pt idx="2">
                  <c:v>1953.25</c:v>
                </c:pt>
                <c:pt idx="3">
                  <c:v>1953.3333333333301</c:v>
                </c:pt>
                <c:pt idx="4">
                  <c:v>1953.4166666666599</c:v>
                </c:pt>
                <c:pt idx="5">
                  <c:v>1953.5</c:v>
                </c:pt>
                <c:pt idx="6">
                  <c:v>1953.5833333333301</c:v>
                </c:pt>
                <c:pt idx="7">
                  <c:v>1953.6666666666599</c:v>
                </c:pt>
                <c:pt idx="8">
                  <c:v>1953.75</c:v>
                </c:pt>
                <c:pt idx="9">
                  <c:v>1953.8333333333301</c:v>
                </c:pt>
                <c:pt idx="10">
                  <c:v>1953.9166666666599</c:v>
                </c:pt>
                <c:pt idx="11">
                  <c:v>1954</c:v>
                </c:pt>
                <c:pt idx="12">
                  <c:v>1954.0833333333301</c:v>
                </c:pt>
                <c:pt idx="13">
                  <c:v>1954.1666666666599</c:v>
                </c:pt>
                <c:pt idx="14">
                  <c:v>1954.25</c:v>
                </c:pt>
                <c:pt idx="15">
                  <c:v>1954.3333333333301</c:v>
                </c:pt>
                <c:pt idx="16">
                  <c:v>1954.4166666666599</c:v>
                </c:pt>
                <c:pt idx="17">
                  <c:v>1954.5</c:v>
                </c:pt>
                <c:pt idx="18">
                  <c:v>1954.5833333333301</c:v>
                </c:pt>
                <c:pt idx="19">
                  <c:v>1954.6666666666599</c:v>
                </c:pt>
                <c:pt idx="20">
                  <c:v>1954.75</c:v>
                </c:pt>
                <c:pt idx="21">
                  <c:v>1954.8333333333301</c:v>
                </c:pt>
                <c:pt idx="22">
                  <c:v>1954.9166666666599</c:v>
                </c:pt>
                <c:pt idx="23">
                  <c:v>1955</c:v>
                </c:pt>
                <c:pt idx="24">
                  <c:v>1955.0833333333301</c:v>
                </c:pt>
                <c:pt idx="25">
                  <c:v>1955.1666666666599</c:v>
                </c:pt>
                <c:pt idx="26">
                  <c:v>1955.25</c:v>
                </c:pt>
                <c:pt idx="27">
                  <c:v>1955.3333333333301</c:v>
                </c:pt>
                <c:pt idx="28">
                  <c:v>1955.4166666666599</c:v>
                </c:pt>
                <c:pt idx="29">
                  <c:v>1955.5</c:v>
                </c:pt>
                <c:pt idx="30">
                  <c:v>1955.5833333333301</c:v>
                </c:pt>
                <c:pt idx="31">
                  <c:v>1955.6666666666599</c:v>
                </c:pt>
                <c:pt idx="32">
                  <c:v>1955.75</c:v>
                </c:pt>
                <c:pt idx="33">
                  <c:v>1955.8333333333301</c:v>
                </c:pt>
                <c:pt idx="34">
                  <c:v>1955.9166666666599</c:v>
                </c:pt>
                <c:pt idx="35">
                  <c:v>1956</c:v>
                </c:pt>
                <c:pt idx="36">
                  <c:v>1956.0833333333301</c:v>
                </c:pt>
                <c:pt idx="37">
                  <c:v>1956.1666666666599</c:v>
                </c:pt>
                <c:pt idx="38">
                  <c:v>1956.25</c:v>
                </c:pt>
                <c:pt idx="39">
                  <c:v>1956.3333333333301</c:v>
                </c:pt>
                <c:pt idx="40">
                  <c:v>1956.4166666666599</c:v>
                </c:pt>
                <c:pt idx="41">
                  <c:v>1956.5</c:v>
                </c:pt>
                <c:pt idx="42">
                  <c:v>1956.5833333333301</c:v>
                </c:pt>
                <c:pt idx="43">
                  <c:v>1956.6666666666599</c:v>
                </c:pt>
                <c:pt idx="44">
                  <c:v>1956.75</c:v>
                </c:pt>
                <c:pt idx="45">
                  <c:v>1956.8333333333301</c:v>
                </c:pt>
                <c:pt idx="46">
                  <c:v>1956.9166666666599</c:v>
                </c:pt>
                <c:pt idx="47">
                  <c:v>1957</c:v>
                </c:pt>
                <c:pt idx="48">
                  <c:v>1957.0833333333301</c:v>
                </c:pt>
                <c:pt idx="49">
                  <c:v>1957.1666666666599</c:v>
                </c:pt>
                <c:pt idx="50">
                  <c:v>1957.25</c:v>
                </c:pt>
                <c:pt idx="51">
                  <c:v>1957.3333333333301</c:v>
                </c:pt>
                <c:pt idx="52">
                  <c:v>1957.4166666666599</c:v>
                </c:pt>
                <c:pt idx="53">
                  <c:v>1957.5</c:v>
                </c:pt>
                <c:pt idx="54">
                  <c:v>1957.5833333333301</c:v>
                </c:pt>
                <c:pt idx="55">
                  <c:v>1957.6666666666599</c:v>
                </c:pt>
                <c:pt idx="56">
                  <c:v>1957.75</c:v>
                </c:pt>
                <c:pt idx="57">
                  <c:v>1957.8333333333301</c:v>
                </c:pt>
                <c:pt idx="58">
                  <c:v>1957.9166666666599</c:v>
                </c:pt>
                <c:pt idx="59">
                  <c:v>1958</c:v>
                </c:pt>
                <c:pt idx="60">
                  <c:v>1958.0833333333301</c:v>
                </c:pt>
                <c:pt idx="61">
                  <c:v>1958.1666666666599</c:v>
                </c:pt>
                <c:pt idx="62">
                  <c:v>1958.25</c:v>
                </c:pt>
                <c:pt idx="63">
                  <c:v>1958.3333333333301</c:v>
                </c:pt>
                <c:pt idx="64">
                  <c:v>1958.4166666666599</c:v>
                </c:pt>
                <c:pt idx="65">
                  <c:v>1958.5</c:v>
                </c:pt>
                <c:pt idx="66">
                  <c:v>1958.5833333333301</c:v>
                </c:pt>
                <c:pt idx="67">
                  <c:v>1958.6666666666599</c:v>
                </c:pt>
                <c:pt idx="68">
                  <c:v>1958.75</c:v>
                </c:pt>
                <c:pt idx="69">
                  <c:v>1958.8333333333301</c:v>
                </c:pt>
                <c:pt idx="70">
                  <c:v>1958.9166666666599</c:v>
                </c:pt>
                <c:pt idx="71">
                  <c:v>1959</c:v>
                </c:pt>
                <c:pt idx="72">
                  <c:v>1959.0833333333301</c:v>
                </c:pt>
                <c:pt idx="73">
                  <c:v>1959.1666666666599</c:v>
                </c:pt>
                <c:pt idx="74">
                  <c:v>1959.25</c:v>
                </c:pt>
                <c:pt idx="75">
                  <c:v>1959.3333333333301</c:v>
                </c:pt>
                <c:pt idx="76">
                  <c:v>1959.4166666666599</c:v>
                </c:pt>
                <c:pt idx="77">
                  <c:v>1959.5</c:v>
                </c:pt>
                <c:pt idx="78">
                  <c:v>1959.5833333333301</c:v>
                </c:pt>
                <c:pt idx="79">
                  <c:v>1959.6666666666599</c:v>
                </c:pt>
                <c:pt idx="80">
                  <c:v>1959.75</c:v>
                </c:pt>
                <c:pt idx="81">
                  <c:v>1959.8333333333301</c:v>
                </c:pt>
                <c:pt idx="82">
                  <c:v>1959.9166666666599</c:v>
                </c:pt>
                <c:pt idx="83">
                  <c:v>1960</c:v>
                </c:pt>
                <c:pt idx="84">
                  <c:v>1960.0833333333301</c:v>
                </c:pt>
                <c:pt idx="85">
                  <c:v>1960.1666666666599</c:v>
                </c:pt>
                <c:pt idx="86">
                  <c:v>1960.25</c:v>
                </c:pt>
                <c:pt idx="87">
                  <c:v>1960.3333333333301</c:v>
                </c:pt>
                <c:pt idx="88">
                  <c:v>1960.4166666666599</c:v>
                </c:pt>
                <c:pt idx="89">
                  <c:v>1960.5</c:v>
                </c:pt>
                <c:pt idx="90">
                  <c:v>1960.5833333333301</c:v>
                </c:pt>
                <c:pt idx="91">
                  <c:v>1960.6666666666599</c:v>
                </c:pt>
                <c:pt idx="92">
                  <c:v>1960.75</c:v>
                </c:pt>
                <c:pt idx="93">
                  <c:v>1960.8333333333301</c:v>
                </c:pt>
                <c:pt idx="94">
                  <c:v>1960.9166666666599</c:v>
                </c:pt>
                <c:pt idx="95">
                  <c:v>1961</c:v>
                </c:pt>
                <c:pt idx="96">
                  <c:v>1961.0833333333301</c:v>
                </c:pt>
                <c:pt idx="97">
                  <c:v>1961.1666666666599</c:v>
                </c:pt>
                <c:pt idx="98">
                  <c:v>1961.25</c:v>
                </c:pt>
                <c:pt idx="99">
                  <c:v>1961.3333333333301</c:v>
                </c:pt>
                <c:pt idx="100">
                  <c:v>1961.4166666666599</c:v>
                </c:pt>
                <c:pt idx="101">
                  <c:v>1961.5</c:v>
                </c:pt>
                <c:pt idx="102">
                  <c:v>1961.5833333333301</c:v>
                </c:pt>
                <c:pt idx="103">
                  <c:v>1961.6666666666599</c:v>
                </c:pt>
                <c:pt idx="104">
                  <c:v>1961.75</c:v>
                </c:pt>
                <c:pt idx="105">
                  <c:v>1961.8333333333301</c:v>
                </c:pt>
                <c:pt idx="106">
                  <c:v>1961.9166666666599</c:v>
                </c:pt>
                <c:pt idx="107">
                  <c:v>1962</c:v>
                </c:pt>
                <c:pt idx="108">
                  <c:v>1962.0833333333301</c:v>
                </c:pt>
                <c:pt idx="109">
                  <c:v>1962.1666666666599</c:v>
                </c:pt>
                <c:pt idx="110">
                  <c:v>1962.25</c:v>
                </c:pt>
                <c:pt idx="111">
                  <c:v>1962.3333333333301</c:v>
                </c:pt>
                <c:pt idx="112">
                  <c:v>1962.4166666666599</c:v>
                </c:pt>
                <c:pt idx="113">
                  <c:v>1962.5</c:v>
                </c:pt>
                <c:pt idx="114">
                  <c:v>1962.5833333333301</c:v>
                </c:pt>
                <c:pt idx="115">
                  <c:v>1962.6666666666599</c:v>
                </c:pt>
                <c:pt idx="116">
                  <c:v>1962.75</c:v>
                </c:pt>
                <c:pt idx="117">
                  <c:v>1962.8333333333301</c:v>
                </c:pt>
                <c:pt idx="118">
                  <c:v>1962.9166666666599</c:v>
                </c:pt>
                <c:pt idx="119">
                  <c:v>1963</c:v>
                </c:pt>
                <c:pt idx="120">
                  <c:v>1963.0833333333301</c:v>
                </c:pt>
                <c:pt idx="121">
                  <c:v>1963.1666666666599</c:v>
                </c:pt>
                <c:pt idx="122">
                  <c:v>1963.25</c:v>
                </c:pt>
                <c:pt idx="123">
                  <c:v>1963.3333333333301</c:v>
                </c:pt>
                <c:pt idx="124">
                  <c:v>1963.4166666666599</c:v>
                </c:pt>
                <c:pt idx="125">
                  <c:v>1963.5</c:v>
                </c:pt>
                <c:pt idx="126">
                  <c:v>1963.5833333333301</c:v>
                </c:pt>
                <c:pt idx="127">
                  <c:v>1963.6666666666599</c:v>
                </c:pt>
                <c:pt idx="128">
                  <c:v>1963.75</c:v>
                </c:pt>
                <c:pt idx="129">
                  <c:v>1963.8333333333301</c:v>
                </c:pt>
                <c:pt idx="130">
                  <c:v>1963.9166666666599</c:v>
                </c:pt>
                <c:pt idx="131">
                  <c:v>1964</c:v>
                </c:pt>
                <c:pt idx="132">
                  <c:v>1964.0833333333301</c:v>
                </c:pt>
                <c:pt idx="133">
                  <c:v>1964.1666666666599</c:v>
                </c:pt>
                <c:pt idx="134">
                  <c:v>1964.25</c:v>
                </c:pt>
                <c:pt idx="135">
                  <c:v>1964.3333333333301</c:v>
                </c:pt>
                <c:pt idx="136">
                  <c:v>1964.4166666666599</c:v>
                </c:pt>
                <c:pt idx="137">
                  <c:v>1964.5</c:v>
                </c:pt>
                <c:pt idx="138">
                  <c:v>1964.5833333333301</c:v>
                </c:pt>
                <c:pt idx="139">
                  <c:v>1964.6666666666599</c:v>
                </c:pt>
                <c:pt idx="140">
                  <c:v>1964.75</c:v>
                </c:pt>
                <c:pt idx="141">
                  <c:v>1964.8333333333301</c:v>
                </c:pt>
                <c:pt idx="142">
                  <c:v>1964.9166666666599</c:v>
                </c:pt>
                <c:pt idx="143">
                  <c:v>1965</c:v>
                </c:pt>
                <c:pt idx="144">
                  <c:v>1965.0833333333301</c:v>
                </c:pt>
                <c:pt idx="145">
                  <c:v>1965.1666666666599</c:v>
                </c:pt>
                <c:pt idx="146">
                  <c:v>1965.25</c:v>
                </c:pt>
                <c:pt idx="147">
                  <c:v>1965.3333333333301</c:v>
                </c:pt>
                <c:pt idx="148">
                  <c:v>1965.4166666666599</c:v>
                </c:pt>
                <c:pt idx="149">
                  <c:v>1965.5</c:v>
                </c:pt>
                <c:pt idx="150">
                  <c:v>1965.5833333333301</c:v>
                </c:pt>
                <c:pt idx="151">
                  <c:v>1965.6666666666599</c:v>
                </c:pt>
                <c:pt idx="152">
                  <c:v>1965.75</c:v>
                </c:pt>
                <c:pt idx="153">
                  <c:v>1965.8333333333301</c:v>
                </c:pt>
                <c:pt idx="154">
                  <c:v>1965.9166666666599</c:v>
                </c:pt>
                <c:pt idx="155">
                  <c:v>1966</c:v>
                </c:pt>
                <c:pt idx="156">
                  <c:v>1966.0833333333301</c:v>
                </c:pt>
                <c:pt idx="157">
                  <c:v>1966.1666666666599</c:v>
                </c:pt>
                <c:pt idx="158">
                  <c:v>1966.25</c:v>
                </c:pt>
                <c:pt idx="159">
                  <c:v>1966.3333333333301</c:v>
                </c:pt>
                <c:pt idx="160">
                  <c:v>1966.4166666666599</c:v>
                </c:pt>
                <c:pt idx="161">
                  <c:v>1966.5</c:v>
                </c:pt>
                <c:pt idx="162">
                  <c:v>1966.5833333333301</c:v>
                </c:pt>
                <c:pt idx="163">
                  <c:v>1966.6666666666599</c:v>
                </c:pt>
                <c:pt idx="164">
                  <c:v>1966.75</c:v>
                </c:pt>
                <c:pt idx="165">
                  <c:v>1966.8333333333301</c:v>
                </c:pt>
                <c:pt idx="166">
                  <c:v>1966.9166666666599</c:v>
                </c:pt>
                <c:pt idx="167">
                  <c:v>1967</c:v>
                </c:pt>
                <c:pt idx="168">
                  <c:v>1967.0833333333301</c:v>
                </c:pt>
                <c:pt idx="169">
                  <c:v>1967.1666666666599</c:v>
                </c:pt>
                <c:pt idx="170">
                  <c:v>1967.25</c:v>
                </c:pt>
                <c:pt idx="171">
                  <c:v>1967.3333333333301</c:v>
                </c:pt>
                <c:pt idx="172">
                  <c:v>1967.4166666666599</c:v>
                </c:pt>
                <c:pt idx="173">
                  <c:v>1967.5</c:v>
                </c:pt>
                <c:pt idx="174">
                  <c:v>1967.5833333333301</c:v>
                </c:pt>
                <c:pt idx="175">
                  <c:v>1967.6666666666599</c:v>
                </c:pt>
                <c:pt idx="176">
                  <c:v>1967.75</c:v>
                </c:pt>
                <c:pt idx="177">
                  <c:v>1967.8333333333301</c:v>
                </c:pt>
                <c:pt idx="178">
                  <c:v>1967.9166666666599</c:v>
                </c:pt>
                <c:pt idx="179">
                  <c:v>1968</c:v>
                </c:pt>
                <c:pt idx="180">
                  <c:v>1968.0833333333301</c:v>
                </c:pt>
                <c:pt idx="181">
                  <c:v>1968.1666666666599</c:v>
                </c:pt>
                <c:pt idx="182">
                  <c:v>1968.25</c:v>
                </c:pt>
                <c:pt idx="183">
                  <c:v>1968.3333333333301</c:v>
                </c:pt>
                <c:pt idx="184">
                  <c:v>1968.4166666666599</c:v>
                </c:pt>
                <c:pt idx="185">
                  <c:v>1968.5</c:v>
                </c:pt>
                <c:pt idx="186">
                  <c:v>1968.5833333333301</c:v>
                </c:pt>
                <c:pt idx="187">
                  <c:v>1968.6666666666599</c:v>
                </c:pt>
                <c:pt idx="188">
                  <c:v>1968.75</c:v>
                </c:pt>
                <c:pt idx="189">
                  <c:v>1968.8333333333301</c:v>
                </c:pt>
                <c:pt idx="190">
                  <c:v>1968.9166666666599</c:v>
                </c:pt>
                <c:pt idx="191">
                  <c:v>1969</c:v>
                </c:pt>
                <c:pt idx="192">
                  <c:v>1969.0833333333301</c:v>
                </c:pt>
                <c:pt idx="193">
                  <c:v>1969.1666666666599</c:v>
                </c:pt>
                <c:pt idx="194">
                  <c:v>1969.25</c:v>
                </c:pt>
                <c:pt idx="195">
                  <c:v>1969.3333333333301</c:v>
                </c:pt>
                <c:pt idx="196">
                  <c:v>1969.4166666666599</c:v>
                </c:pt>
                <c:pt idx="197">
                  <c:v>1969.5</c:v>
                </c:pt>
                <c:pt idx="198">
                  <c:v>1969.5833333333301</c:v>
                </c:pt>
                <c:pt idx="199">
                  <c:v>1969.6666666666599</c:v>
                </c:pt>
                <c:pt idx="200">
                  <c:v>1969.75</c:v>
                </c:pt>
                <c:pt idx="201">
                  <c:v>1969.8333333333301</c:v>
                </c:pt>
                <c:pt idx="202">
                  <c:v>1969.9166666666599</c:v>
                </c:pt>
                <c:pt idx="203">
                  <c:v>1970</c:v>
                </c:pt>
                <c:pt idx="204">
                  <c:v>1970.0833333333301</c:v>
                </c:pt>
                <c:pt idx="205">
                  <c:v>1970.1666666666599</c:v>
                </c:pt>
                <c:pt idx="206">
                  <c:v>1970.25</c:v>
                </c:pt>
                <c:pt idx="207">
                  <c:v>1970.3333333333301</c:v>
                </c:pt>
                <c:pt idx="208">
                  <c:v>1970.4166666666599</c:v>
                </c:pt>
                <c:pt idx="209">
                  <c:v>1970.5</c:v>
                </c:pt>
                <c:pt idx="210">
                  <c:v>1970.5833333333301</c:v>
                </c:pt>
                <c:pt idx="211">
                  <c:v>1970.6666666666599</c:v>
                </c:pt>
                <c:pt idx="212">
                  <c:v>1970.75</c:v>
                </c:pt>
                <c:pt idx="213">
                  <c:v>1970.8333333333301</c:v>
                </c:pt>
                <c:pt idx="214">
                  <c:v>1970.9166666666599</c:v>
                </c:pt>
                <c:pt idx="215">
                  <c:v>1971</c:v>
                </c:pt>
                <c:pt idx="216">
                  <c:v>1971.0833333333301</c:v>
                </c:pt>
                <c:pt idx="217">
                  <c:v>1971.1666666666599</c:v>
                </c:pt>
                <c:pt idx="218">
                  <c:v>1971.25</c:v>
                </c:pt>
                <c:pt idx="219">
                  <c:v>1971.3333333333301</c:v>
                </c:pt>
                <c:pt idx="220">
                  <c:v>1971.4166666666599</c:v>
                </c:pt>
                <c:pt idx="221">
                  <c:v>1971.5</c:v>
                </c:pt>
                <c:pt idx="222">
                  <c:v>1971.5833333333301</c:v>
                </c:pt>
                <c:pt idx="223">
                  <c:v>1971.6666666666599</c:v>
                </c:pt>
                <c:pt idx="224">
                  <c:v>1971.75</c:v>
                </c:pt>
                <c:pt idx="225">
                  <c:v>1971.8333333333301</c:v>
                </c:pt>
                <c:pt idx="226">
                  <c:v>1971.9166666666599</c:v>
                </c:pt>
                <c:pt idx="227">
                  <c:v>1972</c:v>
                </c:pt>
                <c:pt idx="228">
                  <c:v>1972.0833333333301</c:v>
                </c:pt>
                <c:pt idx="229">
                  <c:v>1972.1666666666599</c:v>
                </c:pt>
                <c:pt idx="230">
                  <c:v>1972.25</c:v>
                </c:pt>
                <c:pt idx="231">
                  <c:v>1972.3333333333301</c:v>
                </c:pt>
                <c:pt idx="232">
                  <c:v>1972.4166666666599</c:v>
                </c:pt>
                <c:pt idx="233">
                  <c:v>1972.5</c:v>
                </c:pt>
                <c:pt idx="234">
                  <c:v>1972.5833333333301</c:v>
                </c:pt>
                <c:pt idx="235">
                  <c:v>1972.6666666666599</c:v>
                </c:pt>
                <c:pt idx="236">
                  <c:v>1972.75</c:v>
                </c:pt>
                <c:pt idx="237">
                  <c:v>1972.8333333333301</c:v>
                </c:pt>
                <c:pt idx="238">
                  <c:v>1972.9166666666599</c:v>
                </c:pt>
                <c:pt idx="239">
                  <c:v>1973</c:v>
                </c:pt>
                <c:pt idx="240">
                  <c:v>1973.0833333333301</c:v>
                </c:pt>
                <c:pt idx="241">
                  <c:v>1973.1666666666599</c:v>
                </c:pt>
                <c:pt idx="242">
                  <c:v>1973.25</c:v>
                </c:pt>
                <c:pt idx="243">
                  <c:v>1973.3333333333301</c:v>
                </c:pt>
                <c:pt idx="244">
                  <c:v>1973.4166666666599</c:v>
                </c:pt>
                <c:pt idx="245">
                  <c:v>1973.5</c:v>
                </c:pt>
                <c:pt idx="246">
                  <c:v>1973.5833333333301</c:v>
                </c:pt>
                <c:pt idx="247">
                  <c:v>1973.6666666666599</c:v>
                </c:pt>
                <c:pt idx="248">
                  <c:v>1973.75</c:v>
                </c:pt>
                <c:pt idx="249">
                  <c:v>1973.8333333333301</c:v>
                </c:pt>
                <c:pt idx="250">
                  <c:v>1973.9166666666599</c:v>
                </c:pt>
                <c:pt idx="251">
                  <c:v>1974</c:v>
                </c:pt>
                <c:pt idx="252">
                  <c:v>1974.0833333333301</c:v>
                </c:pt>
                <c:pt idx="253">
                  <c:v>1974.1666666666599</c:v>
                </c:pt>
                <c:pt idx="254">
                  <c:v>1974.25</c:v>
                </c:pt>
                <c:pt idx="255">
                  <c:v>1974.3333333333301</c:v>
                </c:pt>
                <c:pt idx="256">
                  <c:v>1974.4166666666599</c:v>
                </c:pt>
                <c:pt idx="257">
                  <c:v>1974.5</c:v>
                </c:pt>
                <c:pt idx="258">
                  <c:v>1974.5833333333301</c:v>
                </c:pt>
                <c:pt idx="259">
                  <c:v>1974.6666666666599</c:v>
                </c:pt>
                <c:pt idx="260">
                  <c:v>1974.75</c:v>
                </c:pt>
                <c:pt idx="261">
                  <c:v>1974.8333333333301</c:v>
                </c:pt>
                <c:pt idx="262">
                  <c:v>1974.9166666666599</c:v>
                </c:pt>
                <c:pt idx="263">
                  <c:v>1975</c:v>
                </c:pt>
                <c:pt idx="264">
                  <c:v>1975.0833333333301</c:v>
                </c:pt>
                <c:pt idx="265">
                  <c:v>1975.1666666666599</c:v>
                </c:pt>
                <c:pt idx="266">
                  <c:v>1975.25</c:v>
                </c:pt>
                <c:pt idx="267">
                  <c:v>1975.3333333333301</c:v>
                </c:pt>
                <c:pt idx="268">
                  <c:v>1975.4166666666599</c:v>
                </c:pt>
                <c:pt idx="269">
                  <c:v>1975.5</c:v>
                </c:pt>
                <c:pt idx="270">
                  <c:v>1975.5833333333301</c:v>
                </c:pt>
                <c:pt idx="271">
                  <c:v>1975.6666666666599</c:v>
                </c:pt>
                <c:pt idx="272">
                  <c:v>1975.75</c:v>
                </c:pt>
                <c:pt idx="273">
                  <c:v>1975.8333333333301</c:v>
                </c:pt>
                <c:pt idx="274">
                  <c:v>1975.9166666666599</c:v>
                </c:pt>
                <c:pt idx="275">
                  <c:v>1976</c:v>
                </c:pt>
                <c:pt idx="276">
                  <c:v>1976.0833333333301</c:v>
                </c:pt>
                <c:pt idx="277">
                  <c:v>1976.1666666666599</c:v>
                </c:pt>
                <c:pt idx="278">
                  <c:v>1976.25</c:v>
                </c:pt>
                <c:pt idx="279">
                  <c:v>1976.3333333333301</c:v>
                </c:pt>
                <c:pt idx="280">
                  <c:v>1976.4166666666599</c:v>
                </c:pt>
                <c:pt idx="281">
                  <c:v>1976.5</c:v>
                </c:pt>
                <c:pt idx="282">
                  <c:v>1976.5833333333301</c:v>
                </c:pt>
                <c:pt idx="283">
                  <c:v>1976.6666666666599</c:v>
                </c:pt>
                <c:pt idx="284">
                  <c:v>1976.75</c:v>
                </c:pt>
                <c:pt idx="285">
                  <c:v>1976.8333333333301</c:v>
                </c:pt>
                <c:pt idx="286">
                  <c:v>1976.9166666666599</c:v>
                </c:pt>
                <c:pt idx="287">
                  <c:v>1977</c:v>
                </c:pt>
                <c:pt idx="288">
                  <c:v>1977.0833333333301</c:v>
                </c:pt>
                <c:pt idx="289">
                  <c:v>1977.1666666666599</c:v>
                </c:pt>
                <c:pt idx="290">
                  <c:v>1977.25</c:v>
                </c:pt>
                <c:pt idx="291">
                  <c:v>1977.3333333333301</c:v>
                </c:pt>
                <c:pt idx="292">
                  <c:v>1977.4166666666599</c:v>
                </c:pt>
                <c:pt idx="293">
                  <c:v>1977.5</c:v>
                </c:pt>
                <c:pt idx="294">
                  <c:v>1977.5833333333301</c:v>
                </c:pt>
                <c:pt idx="295">
                  <c:v>1977.6666666666599</c:v>
                </c:pt>
                <c:pt idx="296">
                  <c:v>1977.75</c:v>
                </c:pt>
                <c:pt idx="297">
                  <c:v>1977.8333333333301</c:v>
                </c:pt>
                <c:pt idx="298">
                  <c:v>1977.9166666666599</c:v>
                </c:pt>
                <c:pt idx="299">
                  <c:v>1978</c:v>
                </c:pt>
                <c:pt idx="300">
                  <c:v>1978.0833333333301</c:v>
                </c:pt>
                <c:pt idx="301">
                  <c:v>1978.1666666666599</c:v>
                </c:pt>
                <c:pt idx="302">
                  <c:v>1978.25</c:v>
                </c:pt>
                <c:pt idx="303">
                  <c:v>1978.3333333333301</c:v>
                </c:pt>
                <c:pt idx="304">
                  <c:v>1978.4166666666599</c:v>
                </c:pt>
                <c:pt idx="305">
                  <c:v>1978.5</c:v>
                </c:pt>
                <c:pt idx="306">
                  <c:v>1978.5833333333301</c:v>
                </c:pt>
                <c:pt idx="307">
                  <c:v>1978.6666666666599</c:v>
                </c:pt>
                <c:pt idx="308">
                  <c:v>1978.75</c:v>
                </c:pt>
                <c:pt idx="309">
                  <c:v>1978.8333333333301</c:v>
                </c:pt>
                <c:pt idx="310">
                  <c:v>1978.9166666666599</c:v>
                </c:pt>
                <c:pt idx="311">
                  <c:v>1979</c:v>
                </c:pt>
                <c:pt idx="312">
                  <c:v>1979.0833333333301</c:v>
                </c:pt>
                <c:pt idx="313">
                  <c:v>1979.1666666666599</c:v>
                </c:pt>
                <c:pt idx="314">
                  <c:v>1979.25</c:v>
                </c:pt>
                <c:pt idx="315">
                  <c:v>1979.3333333333301</c:v>
                </c:pt>
                <c:pt idx="316">
                  <c:v>1979.4166666666599</c:v>
                </c:pt>
                <c:pt idx="317">
                  <c:v>1979.5</c:v>
                </c:pt>
                <c:pt idx="318">
                  <c:v>1979.5833333333301</c:v>
                </c:pt>
                <c:pt idx="319">
                  <c:v>1979.6666666666599</c:v>
                </c:pt>
                <c:pt idx="320">
                  <c:v>1979.75</c:v>
                </c:pt>
                <c:pt idx="321">
                  <c:v>1979.8333333333301</c:v>
                </c:pt>
                <c:pt idx="322">
                  <c:v>1979.9166666666599</c:v>
                </c:pt>
                <c:pt idx="323">
                  <c:v>1980</c:v>
                </c:pt>
                <c:pt idx="324">
                  <c:v>1980.0833333333301</c:v>
                </c:pt>
                <c:pt idx="325">
                  <c:v>1980.1666666666599</c:v>
                </c:pt>
                <c:pt idx="326">
                  <c:v>1980.25</c:v>
                </c:pt>
                <c:pt idx="327">
                  <c:v>1980.3333333333301</c:v>
                </c:pt>
                <c:pt idx="328">
                  <c:v>1980.4166666666599</c:v>
                </c:pt>
                <c:pt idx="329">
                  <c:v>1980.5</c:v>
                </c:pt>
                <c:pt idx="330">
                  <c:v>1980.5833333333301</c:v>
                </c:pt>
                <c:pt idx="331">
                  <c:v>1980.6666666666599</c:v>
                </c:pt>
                <c:pt idx="332">
                  <c:v>1980.75</c:v>
                </c:pt>
                <c:pt idx="333">
                  <c:v>1980.8333333333301</c:v>
                </c:pt>
                <c:pt idx="334">
                  <c:v>1980.9166666666599</c:v>
                </c:pt>
                <c:pt idx="335">
                  <c:v>1981</c:v>
                </c:pt>
                <c:pt idx="336">
                  <c:v>1981.0833333333301</c:v>
                </c:pt>
                <c:pt idx="337">
                  <c:v>1981.1666666666599</c:v>
                </c:pt>
                <c:pt idx="338">
                  <c:v>1981.25</c:v>
                </c:pt>
                <c:pt idx="339">
                  <c:v>1981.3333333333301</c:v>
                </c:pt>
                <c:pt idx="340">
                  <c:v>1981.4166666666599</c:v>
                </c:pt>
                <c:pt idx="341">
                  <c:v>1981.5</c:v>
                </c:pt>
                <c:pt idx="342">
                  <c:v>1981.5833333333301</c:v>
                </c:pt>
                <c:pt idx="343">
                  <c:v>1981.6666666666599</c:v>
                </c:pt>
                <c:pt idx="344">
                  <c:v>1981.75</c:v>
                </c:pt>
                <c:pt idx="345">
                  <c:v>1981.8333333333301</c:v>
                </c:pt>
                <c:pt idx="346">
                  <c:v>1981.9166666666599</c:v>
                </c:pt>
                <c:pt idx="347">
                  <c:v>1982</c:v>
                </c:pt>
                <c:pt idx="348">
                  <c:v>1982.0833333333301</c:v>
                </c:pt>
                <c:pt idx="349">
                  <c:v>1982.1666666666599</c:v>
                </c:pt>
                <c:pt idx="350">
                  <c:v>1982.25</c:v>
                </c:pt>
                <c:pt idx="351">
                  <c:v>1982.3333333333301</c:v>
                </c:pt>
                <c:pt idx="352">
                  <c:v>1982.4166666666599</c:v>
                </c:pt>
                <c:pt idx="353">
                  <c:v>1982.5</c:v>
                </c:pt>
                <c:pt idx="354">
                  <c:v>1982.5833333333301</c:v>
                </c:pt>
                <c:pt idx="355">
                  <c:v>1982.6666666666599</c:v>
                </c:pt>
                <c:pt idx="356">
                  <c:v>1982.75</c:v>
                </c:pt>
                <c:pt idx="357">
                  <c:v>1982.8333333333301</c:v>
                </c:pt>
                <c:pt idx="358">
                  <c:v>1982.9166666666599</c:v>
                </c:pt>
                <c:pt idx="359">
                  <c:v>1983</c:v>
                </c:pt>
                <c:pt idx="360">
                  <c:v>1983.0833333333301</c:v>
                </c:pt>
                <c:pt idx="361">
                  <c:v>1983.1666666666599</c:v>
                </c:pt>
                <c:pt idx="362">
                  <c:v>1983.25</c:v>
                </c:pt>
                <c:pt idx="363">
                  <c:v>1983.3333333333301</c:v>
                </c:pt>
                <c:pt idx="364">
                  <c:v>1983.4166666666599</c:v>
                </c:pt>
                <c:pt idx="365">
                  <c:v>1983.5</c:v>
                </c:pt>
                <c:pt idx="366">
                  <c:v>1983.5833333333301</c:v>
                </c:pt>
                <c:pt idx="367">
                  <c:v>1983.6666666666599</c:v>
                </c:pt>
                <c:pt idx="368">
                  <c:v>1983.75</c:v>
                </c:pt>
                <c:pt idx="369">
                  <c:v>1983.8333333333301</c:v>
                </c:pt>
                <c:pt idx="370">
                  <c:v>1983.9166666666599</c:v>
                </c:pt>
                <c:pt idx="371">
                  <c:v>1984</c:v>
                </c:pt>
                <c:pt idx="372">
                  <c:v>1984.0833333333301</c:v>
                </c:pt>
                <c:pt idx="373">
                  <c:v>1984.1666666666599</c:v>
                </c:pt>
                <c:pt idx="374">
                  <c:v>1984.25</c:v>
                </c:pt>
                <c:pt idx="375">
                  <c:v>1984.3333333333301</c:v>
                </c:pt>
                <c:pt idx="376">
                  <c:v>1984.4166666666599</c:v>
                </c:pt>
                <c:pt idx="377">
                  <c:v>1984.5</c:v>
                </c:pt>
                <c:pt idx="378">
                  <c:v>1984.5833333333301</c:v>
                </c:pt>
                <c:pt idx="379">
                  <c:v>1984.6666666666599</c:v>
                </c:pt>
                <c:pt idx="380">
                  <c:v>1984.75</c:v>
                </c:pt>
                <c:pt idx="381">
                  <c:v>1984.8333333333301</c:v>
                </c:pt>
                <c:pt idx="382">
                  <c:v>1984.9166666666599</c:v>
                </c:pt>
                <c:pt idx="383">
                  <c:v>1985</c:v>
                </c:pt>
                <c:pt idx="384">
                  <c:v>1985.0833333333301</c:v>
                </c:pt>
                <c:pt idx="385">
                  <c:v>1985.1666666666599</c:v>
                </c:pt>
                <c:pt idx="386">
                  <c:v>1985.25</c:v>
                </c:pt>
                <c:pt idx="387">
                  <c:v>1985.3333333333301</c:v>
                </c:pt>
                <c:pt idx="388">
                  <c:v>1985.4166666666599</c:v>
                </c:pt>
                <c:pt idx="389">
                  <c:v>1985.5</c:v>
                </c:pt>
                <c:pt idx="390">
                  <c:v>1985.5833333333301</c:v>
                </c:pt>
                <c:pt idx="391">
                  <c:v>1985.6666666666599</c:v>
                </c:pt>
                <c:pt idx="392">
                  <c:v>1985.75</c:v>
                </c:pt>
                <c:pt idx="393">
                  <c:v>1985.8333333333301</c:v>
                </c:pt>
                <c:pt idx="394">
                  <c:v>1985.9166666666599</c:v>
                </c:pt>
                <c:pt idx="395">
                  <c:v>1986</c:v>
                </c:pt>
                <c:pt idx="396">
                  <c:v>1986.0833333333301</c:v>
                </c:pt>
                <c:pt idx="397">
                  <c:v>1986.1666666666599</c:v>
                </c:pt>
                <c:pt idx="398">
                  <c:v>1986.25</c:v>
                </c:pt>
                <c:pt idx="399">
                  <c:v>1986.3333333333301</c:v>
                </c:pt>
                <c:pt idx="400">
                  <c:v>1986.4166666666599</c:v>
                </c:pt>
                <c:pt idx="401">
                  <c:v>1986.5</c:v>
                </c:pt>
                <c:pt idx="402">
                  <c:v>1986.5833333333301</c:v>
                </c:pt>
                <c:pt idx="403">
                  <c:v>1986.6666666666599</c:v>
                </c:pt>
                <c:pt idx="404">
                  <c:v>1986.75</c:v>
                </c:pt>
                <c:pt idx="405">
                  <c:v>1986.8333333333301</c:v>
                </c:pt>
                <c:pt idx="406">
                  <c:v>1986.9166666666599</c:v>
                </c:pt>
                <c:pt idx="407">
                  <c:v>1987</c:v>
                </c:pt>
                <c:pt idx="408">
                  <c:v>1987.0833333333301</c:v>
                </c:pt>
                <c:pt idx="409">
                  <c:v>1987.1666666666599</c:v>
                </c:pt>
                <c:pt idx="410">
                  <c:v>1987.25</c:v>
                </c:pt>
                <c:pt idx="411">
                  <c:v>1987.3333333333301</c:v>
                </c:pt>
                <c:pt idx="412">
                  <c:v>1987.4166666666599</c:v>
                </c:pt>
                <c:pt idx="413">
                  <c:v>1987.5</c:v>
                </c:pt>
                <c:pt idx="414">
                  <c:v>1987.5833333333301</c:v>
                </c:pt>
                <c:pt idx="415">
                  <c:v>1987.6666666666599</c:v>
                </c:pt>
                <c:pt idx="416">
                  <c:v>1987.75</c:v>
                </c:pt>
                <c:pt idx="417">
                  <c:v>1987.8333333333301</c:v>
                </c:pt>
                <c:pt idx="418">
                  <c:v>1987.9166666666599</c:v>
                </c:pt>
                <c:pt idx="419">
                  <c:v>1988</c:v>
                </c:pt>
                <c:pt idx="420">
                  <c:v>1988.0833333333301</c:v>
                </c:pt>
                <c:pt idx="421">
                  <c:v>1988.1666666666599</c:v>
                </c:pt>
                <c:pt idx="422">
                  <c:v>1988.25</c:v>
                </c:pt>
                <c:pt idx="423">
                  <c:v>1988.3333333333301</c:v>
                </c:pt>
                <c:pt idx="424">
                  <c:v>1988.4166666666599</c:v>
                </c:pt>
                <c:pt idx="425">
                  <c:v>1988.5</c:v>
                </c:pt>
                <c:pt idx="426">
                  <c:v>1988.5833333333301</c:v>
                </c:pt>
                <c:pt idx="427">
                  <c:v>1988.6666666666599</c:v>
                </c:pt>
                <c:pt idx="428">
                  <c:v>1988.75</c:v>
                </c:pt>
                <c:pt idx="429">
                  <c:v>1988.8333333333301</c:v>
                </c:pt>
                <c:pt idx="430">
                  <c:v>1988.9166666666599</c:v>
                </c:pt>
                <c:pt idx="431">
                  <c:v>1989</c:v>
                </c:pt>
                <c:pt idx="432">
                  <c:v>1989.0833333333301</c:v>
                </c:pt>
                <c:pt idx="433">
                  <c:v>1989.1666666666599</c:v>
                </c:pt>
                <c:pt idx="434">
                  <c:v>1989.25</c:v>
                </c:pt>
                <c:pt idx="435">
                  <c:v>1989.3333333333301</c:v>
                </c:pt>
                <c:pt idx="436">
                  <c:v>1989.4166666666599</c:v>
                </c:pt>
                <c:pt idx="437">
                  <c:v>1989.5</c:v>
                </c:pt>
                <c:pt idx="438">
                  <c:v>1989.5833333333301</c:v>
                </c:pt>
                <c:pt idx="439">
                  <c:v>1989.6666666666599</c:v>
                </c:pt>
                <c:pt idx="440">
                  <c:v>1989.75</c:v>
                </c:pt>
                <c:pt idx="441">
                  <c:v>1989.8333333333301</c:v>
                </c:pt>
                <c:pt idx="442">
                  <c:v>1989.9166666666599</c:v>
                </c:pt>
                <c:pt idx="443">
                  <c:v>1990</c:v>
                </c:pt>
                <c:pt idx="444">
                  <c:v>1990.0833333333301</c:v>
                </c:pt>
                <c:pt idx="445">
                  <c:v>1990.1666666666599</c:v>
                </c:pt>
                <c:pt idx="446">
                  <c:v>1990.25</c:v>
                </c:pt>
                <c:pt idx="447">
                  <c:v>1990.3333333333301</c:v>
                </c:pt>
                <c:pt idx="448">
                  <c:v>1990.4166666666599</c:v>
                </c:pt>
                <c:pt idx="449">
                  <c:v>1990.5</c:v>
                </c:pt>
                <c:pt idx="450">
                  <c:v>1990.5833333333301</c:v>
                </c:pt>
                <c:pt idx="451">
                  <c:v>1990.6666666666599</c:v>
                </c:pt>
                <c:pt idx="452">
                  <c:v>1990.75</c:v>
                </c:pt>
                <c:pt idx="453">
                  <c:v>1990.8333333333301</c:v>
                </c:pt>
                <c:pt idx="454">
                  <c:v>1990.9166666666599</c:v>
                </c:pt>
                <c:pt idx="455">
                  <c:v>1991</c:v>
                </c:pt>
                <c:pt idx="456">
                  <c:v>1991.0833333333301</c:v>
                </c:pt>
                <c:pt idx="457">
                  <c:v>1991.1666666666599</c:v>
                </c:pt>
                <c:pt idx="458">
                  <c:v>1991.25</c:v>
                </c:pt>
                <c:pt idx="459">
                  <c:v>1991.3333333333301</c:v>
                </c:pt>
                <c:pt idx="460">
                  <c:v>1991.4166666666599</c:v>
                </c:pt>
                <c:pt idx="461">
                  <c:v>1991.5</c:v>
                </c:pt>
                <c:pt idx="462">
                  <c:v>1991.5833333333301</c:v>
                </c:pt>
                <c:pt idx="463">
                  <c:v>1991.6666666666599</c:v>
                </c:pt>
                <c:pt idx="464">
                  <c:v>1991.75</c:v>
                </c:pt>
                <c:pt idx="465">
                  <c:v>1991.8333333333301</c:v>
                </c:pt>
                <c:pt idx="466">
                  <c:v>1991.9166666666599</c:v>
                </c:pt>
                <c:pt idx="467">
                  <c:v>1992</c:v>
                </c:pt>
                <c:pt idx="468">
                  <c:v>1992.0833333333301</c:v>
                </c:pt>
                <c:pt idx="469">
                  <c:v>1992.1666666666599</c:v>
                </c:pt>
                <c:pt idx="470">
                  <c:v>1992.25</c:v>
                </c:pt>
                <c:pt idx="471">
                  <c:v>1992.3333333333301</c:v>
                </c:pt>
                <c:pt idx="472">
                  <c:v>1992.4166666666599</c:v>
                </c:pt>
                <c:pt idx="473">
                  <c:v>1992.5</c:v>
                </c:pt>
                <c:pt idx="474">
                  <c:v>1992.5833333333301</c:v>
                </c:pt>
                <c:pt idx="475">
                  <c:v>1992.6666666666599</c:v>
                </c:pt>
                <c:pt idx="476">
                  <c:v>1992.75</c:v>
                </c:pt>
                <c:pt idx="477">
                  <c:v>1992.8333333333301</c:v>
                </c:pt>
                <c:pt idx="478">
                  <c:v>1992.9166666666599</c:v>
                </c:pt>
                <c:pt idx="479">
                  <c:v>1993</c:v>
                </c:pt>
                <c:pt idx="480">
                  <c:v>1993.0833333333301</c:v>
                </c:pt>
                <c:pt idx="481">
                  <c:v>1993.1666666666599</c:v>
                </c:pt>
                <c:pt idx="482">
                  <c:v>1993.25</c:v>
                </c:pt>
                <c:pt idx="483">
                  <c:v>1993.3333333333301</c:v>
                </c:pt>
                <c:pt idx="484">
                  <c:v>1993.4166666666599</c:v>
                </c:pt>
                <c:pt idx="485">
                  <c:v>1993.5</c:v>
                </c:pt>
                <c:pt idx="486">
                  <c:v>1993.5833333333301</c:v>
                </c:pt>
                <c:pt idx="487">
                  <c:v>1993.6666666666599</c:v>
                </c:pt>
                <c:pt idx="488">
                  <c:v>1993.75</c:v>
                </c:pt>
                <c:pt idx="489">
                  <c:v>1993.8333333333301</c:v>
                </c:pt>
                <c:pt idx="490">
                  <c:v>1993.9166666666599</c:v>
                </c:pt>
                <c:pt idx="491">
                  <c:v>1994</c:v>
                </c:pt>
                <c:pt idx="492">
                  <c:v>1994.0833333333301</c:v>
                </c:pt>
                <c:pt idx="493">
                  <c:v>1994.1666666666599</c:v>
                </c:pt>
                <c:pt idx="494">
                  <c:v>1994.25</c:v>
                </c:pt>
                <c:pt idx="495">
                  <c:v>1994.3333333333301</c:v>
                </c:pt>
                <c:pt idx="496">
                  <c:v>1994.4166666666599</c:v>
                </c:pt>
                <c:pt idx="497">
                  <c:v>1994.5</c:v>
                </c:pt>
                <c:pt idx="498">
                  <c:v>1994.5833333333301</c:v>
                </c:pt>
                <c:pt idx="499">
                  <c:v>1994.6666666666599</c:v>
                </c:pt>
                <c:pt idx="500">
                  <c:v>1994.75</c:v>
                </c:pt>
                <c:pt idx="501">
                  <c:v>1994.8333333333301</c:v>
                </c:pt>
                <c:pt idx="502">
                  <c:v>1994.9166666666599</c:v>
                </c:pt>
                <c:pt idx="503">
                  <c:v>1995</c:v>
                </c:pt>
                <c:pt idx="504">
                  <c:v>1995.0833333333301</c:v>
                </c:pt>
                <c:pt idx="505">
                  <c:v>1995.1666666666599</c:v>
                </c:pt>
                <c:pt idx="506">
                  <c:v>1995.25</c:v>
                </c:pt>
                <c:pt idx="507">
                  <c:v>1995.3333333333301</c:v>
                </c:pt>
                <c:pt idx="508">
                  <c:v>1995.4166666666599</c:v>
                </c:pt>
                <c:pt idx="509">
                  <c:v>1995.5</c:v>
                </c:pt>
                <c:pt idx="510">
                  <c:v>1995.5833333333301</c:v>
                </c:pt>
                <c:pt idx="511">
                  <c:v>1995.6666666666599</c:v>
                </c:pt>
                <c:pt idx="512">
                  <c:v>1995.75</c:v>
                </c:pt>
                <c:pt idx="513">
                  <c:v>1995.8333333333301</c:v>
                </c:pt>
                <c:pt idx="514">
                  <c:v>1995.9166666666599</c:v>
                </c:pt>
                <c:pt idx="515">
                  <c:v>1996</c:v>
                </c:pt>
                <c:pt idx="516">
                  <c:v>1996.0833333333301</c:v>
                </c:pt>
                <c:pt idx="517">
                  <c:v>1996.1666666666599</c:v>
                </c:pt>
                <c:pt idx="518">
                  <c:v>1996.25</c:v>
                </c:pt>
                <c:pt idx="519">
                  <c:v>1996.3333333333301</c:v>
                </c:pt>
                <c:pt idx="520">
                  <c:v>1996.4166666666599</c:v>
                </c:pt>
                <c:pt idx="521">
                  <c:v>1996.5</c:v>
                </c:pt>
                <c:pt idx="522">
                  <c:v>1996.5833333333301</c:v>
                </c:pt>
                <c:pt idx="523">
                  <c:v>1996.6666666666599</c:v>
                </c:pt>
                <c:pt idx="524">
                  <c:v>1996.75</c:v>
                </c:pt>
                <c:pt idx="525">
                  <c:v>1996.8333333333301</c:v>
                </c:pt>
                <c:pt idx="526">
                  <c:v>1996.9166666666599</c:v>
                </c:pt>
                <c:pt idx="527">
                  <c:v>1997</c:v>
                </c:pt>
                <c:pt idx="528">
                  <c:v>1997.0833333333301</c:v>
                </c:pt>
                <c:pt idx="529">
                  <c:v>1997.1666666666599</c:v>
                </c:pt>
                <c:pt idx="530">
                  <c:v>1997.25</c:v>
                </c:pt>
                <c:pt idx="531">
                  <c:v>1997.3333333333301</c:v>
                </c:pt>
                <c:pt idx="532">
                  <c:v>1997.4166666666599</c:v>
                </c:pt>
                <c:pt idx="533">
                  <c:v>1997.5</c:v>
                </c:pt>
                <c:pt idx="534">
                  <c:v>1997.5833333333301</c:v>
                </c:pt>
                <c:pt idx="535">
                  <c:v>1997.6666666666599</c:v>
                </c:pt>
                <c:pt idx="536">
                  <c:v>1997.75</c:v>
                </c:pt>
                <c:pt idx="537">
                  <c:v>1997.8333333333301</c:v>
                </c:pt>
                <c:pt idx="538">
                  <c:v>1997.9166666666599</c:v>
                </c:pt>
                <c:pt idx="539">
                  <c:v>1998</c:v>
                </c:pt>
                <c:pt idx="540">
                  <c:v>1998.0833333333301</c:v>
                </c:pt>
                <c:pt idx="541">
                  <c:v>1998.1666666666599</c:v>
                </c:pt>
                <c:pt idx="542">
                  <c:v>1998.25</c:v>
                </c:pt>
                <c:pt idx="543">
                  <c:v>1998.3333333333301</c:v>
                </c:pt>
                <c:pt idx="544">
                  <c:v>1998.4166666666599</c:v>
                </c:pt>
                <c:pt idx="545">
                  <c:v>1998.5</c:v>
                </c:pt>
                <c:pt idx="546">
                  <c:v>1998.5833333333301</c:v>
                </c:pt>
                <c:pt idx="547">
                  <c:v>1998.6666666666599</c:v>
                </c:pt>
                <c:pt idx="548">
                  <c:v>1998.75</c:v>
                </c:pt>
                <c:pt idx="549">
                  <c:v>1998.8333333333301</c:v>
                </c:pt>
                <c:pt idx="550">
                  <c:v>1998.9166666666599</c:v>
                </c:pt>
                <c:pt idx="551">
                  <c:v>1999</c:v>
                </c:pt>
                <c:pt idx="552">
                  <c:v>1999.0833333333301</c:v>
                </c:pt>
                <c:pt idx="553">
                  <c:v>1999.1666666666599</c:v>
                </c:pt>
                <c:pt idx="554">
                  <c:v>1999.25</c:v>
                </c:pt>
                <c:pt idx="555">
                  <c:v>1999.3333333333301</c:v>
                </c:pt>
                <c:pt idx="556">
                  <c:v>1999.4166666666599</c:v>
                </c:pt>
                <c:pt idx="557">
                  <c:v>1999.5</c:v>
                </c:pt>
                <c:pt idx="558">
                  <c:v>1999.5833333333301</c:v>
                </c:pt>
                <c:pt idx="559">
                  <c:v>1999.6666666666599</c:v>
                </c:pt>
                <c:pt idx="560">
                  <c:v>1999.75</c:v>
                </c:pt>
                <c:pt idx="561">
                  <c:v>1999.8333333333301</c:v>
                </c:pt>
                <c:pt idx="562">
                  <c:v>1999.9166666666599</c:v>
                </c:pt>
                <c:pt idx="563">
                  <c:v>2000</c:v>
                </c:pt>
                <c:pt idx="564">
                  <c:v>2000.0833333333301</c:v>
                </c:pt>
                <c:pt idx="565">
                  <c:v>2000.1666666666599</c:v>
                </c:pt>
                <c:pt idx="566">
                  <c:v>2000.25</c:v>
                </c:pt>
                <c:pt idx="567">
                  <c:v>2000.3333333333301</c:v>
                </c:pt>
                <c:pt idx="568">
                  <c:v>2000.4166666666599</c:v>
                </c:pt>
                <c:pt idx="569">
                  <c:v>2000.5</c:v>
                </c:pt>
                <c:pt idx="570">
                  <c:v>2000.5833333333301</c:v>
                </c:pt>
                <c:pt idx="571">
                  <c:v>2000.6666666666599</c:v>
                </c:pt>
                <c:pt idx="572">
                  <c:v>2000.75</c:v>
                </c:pt>
                <c:pt idx="573">
                  <c:v>2000.8333333333301</c:v>
                </c:pt>
                <c:pt idx="574">
                  <c:v>2000.9166666666599</c:v>
                </c:pt>
                <c:pt idx="575">
                  <c:v>2001</c:v>
                </c:pt>
                <c:pt idx="576">
                  <c:v>2001.0833333333301</c:v>
                </c:pt>
                <c:pt idx="577">
                  <c:v>2001.1666666666599</c:v>
                </c:pt>
                <c:pt idx="578">
                  <c:v>2001.25</c:v>
                </c:pt>
                <c:pt idx="579">
                  <c:v>2001.3333333333301</c:v>
                </c:pt>
                <c:pt idx="580">
                  <c:v>2001.4166666666599</c:v>
                </c:pt>
                <c:pt idx="581">
                  <c:v>2001.5</c:v>
                </c:pt>
                <c:pt idx="582">
                  <c:v>2001.5833333333301</c:v>
                </c:pt>
                <c:pt idx="583">
                  <c:v>2001.6666666666599</c:v>
                </c:pt>
                <c:pt idx="584">
                  <c:v>2001.75</c:v>
                </c:pt>
                <c:pt idx="585">
                  <c:v>2001.8333333333301</c:v>
                </c:pt>
                <c:pt idx="586">
                  <c:v>2001.9166666666599</c:v>
                </c:pt>
                <c:pt idx="587">
                  <c:v>2002</c:v>
                </c:pt>
                <c:pt idx="588">
                  <c:v>2002.0833333333301</c:v>
                </c:pt>
                <c:pt idx="589">
                  <c:v>2002.1666666666599</c:v>
                </c:pt>
                <c:pt idx="590">
                  <c:v>2002.25</c:v>
                </c:pt>
                <c:pt idx="591">
                  <c:v>2002.3333333333301</c:v>
                </c:pt>
                <c:pt idx="592">
                  <c:v>2002.4166666666599</c:v>
                </c:pt>
                <c:pt idx="593">
                  <c:v>2002.5</c:v>
                </c:pt>
                <c:pt idx="594">
                  <c:v>2002.5833333333301</c:v>
                </c:pt>
                <c:pt idx="595">
                  <c:v>2002.6666666666599</c:v>
                </c:pt>
                <c:pt idx="596">
                  <c:v>2002.75</c:v>
                </c:pt>
                <c:pt idx="597">
                  <c:v>2002.8333333333301</c:v>
                </c:pt>
                <c:pt idx="598">
                  <c:v>2002.9166666666599</c:v>
                </c:pt>
                <c:pt idx="599">
                  <c:v>2003</c:v>
                </c:pt>
                <c:pt idx="600">
                  <c:v>2003.0833333333301</c:v>
                </c:pt>
                <c:pt idx="601">
                  <c:v>2003.1666666666599</c:v>
                </c:pt>
                <c:pt idx="602">
                  <c:v>2003.25</c:v>
                </c:pt>
                <c:pt idx="603">
                  <c:v>2003.3333333333301</c:v>
                </c:pt>
                <c:pt idx="604">
                  <c:v>2003.4166666666599</c:v>
                </c:pt>
                <c:pt idx="605">
                  <c:v>2003.5</c:v>
                </c:pt>
                <c:pt idx="606">
                  <c:v>2003.5833333333301</c:v>
                </c:pt>
                <c:pt idx="607">
                  <c:v>2003.6666666666599</c:v>
                </c:pt>
                <c:pt idx="608">
                  <c:v>2003.75</c:v>
                </c:pt>
                <c:pt idx="609">
                  <c:v>2003.8333333333301</c:v>
                </c:pt>
                <c:pt idx="610">
                  <c:v>2003.9166666666599</c:v>
                </c:pt>
                <c:pt idx="611">
                  <c:v>2004</c:v>
                </c:pt>
                <c:pt idx="612">
                  <c:v>2004.0833333333301</c:v>
                </c:pt>
                <c:pt idx="613">
                  <c:v>2004.1666666666599</c:v>
                </c:pt>
                <c:pt idx="614">
                  <c:v>2004.25</c:v>
                </c:pt>
                <c:pt idx="615">
                  <c:v>2004.3333333333301</c:v>
                </c:pt>
                <c:pt idx="616">
                  <c:v>2004.4166666666599</c:v>
                </c:pt>
                <c:pt idx="617">
                  <c:v>2004.5</c:v>
                </c:pt>
                <c:pt idx="618">
                  <c:v>2004.5833333333301</c:v>
                </c:pt>
                <c:pt idx="619">
                  <c:v>2004.6666666666599</c:v>
                </c:pt>
                <c:pt idx="620">
                  <c:v>2004.75</c:v>
                </c:pt>
                <c:pt idx="621">
                  <c:v>2004.8333333333301</c:v>
                </c:pt>
                <c:pt idx="622">
                  <c:v>2004.9166666666599</c:v>
                </c:pt>
                <c:pt idx="623">
                  <c:v>2005</c:v>
                </c:pt>
                <c:pt idx="624">
                  <c:v>2005.0833333333301</c:v>
                </c:pt>
                <c:pt idx="625">
                  <c:v>2005.1666666666599</c:v>
                </c:pt>
                <c:pt idx="626">
                  <c:v>2005.25</c:v>
                </c:pt>
                <c:pt idx="627">
                  <c:v>2005.3333333333301</c:v>
                </c:pt>
                <c:pt idx="628">
                  <c:v>2005.4166666666599</c:v>
                </c:pt>
                <c:pt idx="629">
                  <c:v>2005.5</c:v>
                </c:pt>
                <c:pt idx="630">
                  <c:v>2005.5833333333301</c:v>
                </c:pt>
                <c:pt idx="631">
                  <c:v>2005.6666666666599</c:v>
                </c:pt>
                <c:pt idx="632">
                  <c:v>2005.75</c:v>
                </c:pt>
                <c:pt idx="633">
                  <c:v>2005.8333333333301</c:v>
                </c:pt>
                <c:pt idx="634">
                  <c:v>2005.9166666666599</c:v>
                </c:pt>
                <c:pt idx="635">
                  <c:v>2006</c:v>
                </c:pt>
                <c:pt idx="636">
                  <c:v>2006.0833333333301</c:v>
                </c:pt>
                <c:pt idx="637">
                  <c:v>2006.1666666666599</c:v>
                </c:pt>
                <c:pt idx="638">
                  <c:v>2006.25</c:v>
                </c:pt>
                <c:pt idx="639">
                  <c:v>2006.3333333333301</c:v>
                </c:pt>
                <c:pt idx="640">
                  <c:v>2006.4166666666599</c:v>
                </c:pt>
                <c:pt idx="641">
                  <c:v>2006.5</c:v>
                </c:pt>
                <c:pt idx="642">
                  <c:v>2006.5833333333301</c:v>
                </c:pt>
                <c:pt idx="643">
                  <c:v>2006.6666666666599</c:v>
                </c:pt>
                <c:pt idx="644">
                  <c:v>2006.75</c:v>
                </c:pt>
                <c:pt idx="645">
                  <c:v>2006.8333333333301</c:v>
                </c:pt>
                <c:pt idx="646">
                  <c:v>2006.9166666666599</c:v>
                </c:pt>
                <c:pt idx="647">
                  <c:v>2007</c:v>
                </c:pt>
                <c:pt idx="648">
                  <c:v>2007.0833333333301</c:v>
                </c:pt>
                <c:pt idx="649">
                  <c:v>2007.1666666666599</c:v>
                </c:pt>
                <c:pt idx="650">
                  <c:v>2007.25</c:v>
                </c:pt>
                <c:pt idx="651">
                  <c:v>2007.3333333333301</c:v>
                </c:pt>
                <c:pt idx="652">
                  <c:v>2007.4166666666599</c:v>
                </c:pt>
                <c:pt idx="653">
                  <c:v>2007.5</c:v>
                </c:pt>
                <c:pt idx="654">
                  <c:v>2007.5833333333301</c:v>
                </c:pt>
                <c:pt idx="655">
                  <c:v>2007.6666666666599</c:v>
                </c:pt>
                <c:pt idx="656">
                  <c:v>2007.75</c:v>
                </c:pt>
                <c:pt idx="657">
                  <c:v>2007.8333333333301</c:v>
                </c:pt>
                <c:pt idx="658">
                  <c:v>2007.9166666666599</c:v>
                </c:pt>
                <c:pt idx="659">
                  <c:v>2008</c:v>
                </c:pt>
                <c:pt idx="660">
                  <c:v>2008.0833333333301</c:v>
                </c:pt>
                <c:pt idx="661">
                  <c:v>2008.1666666666599</c:v>
                </c:pt>
                <c:pt idx="662">
                  <c:v>2008.25</c:v>
                </c:pt>
                <c:pt idx="663">
                  <c:v>2008.3333333333301</c:v>
                </c:pt>
                <c:pt idx="664">
                  <c:v>2008.4166666666599</c:v>
                </c:pt>
                <c:pt idx="665">
                  <c:v>2008.5</c:v>
                </c:pt>
                <c:pt idx="666">
                  <c:v>2008.5833333333301</c:v>
                </c:pt>
                <c:pt idx="667">
                  <c:v>2008.6666666666599</c:v>
                </c:pt>
                <c:pt idx="668">
                  <c:v>2008.75</c:v>
                </c:pt>
                <c:pt idx="669">
                  <c:v>2008.8333333333301</c:v>
                </c:pt>
                <c:pt idx="670">
                  <c:v>2008.9166666666599</c:v>
                </c:pt>
                <c:pt idx="671">
                  <c:v>2009</c:v>
                </c:pt>
                <c:pt idx="672">
                  <c:v>2009.0833333333301</c:v>
                </c:pt>
                <c:pt idx="673">
                  <c:v>2009.1666666666599</c:v>
                </c:pt>
                <c:pt idx="674">
                  <c:v>2009.25</c:v>
                </c:pt>
                <c:pt idx="675">
                  <c:v>2009.3333333333301</c:v>
                </c:pt>
                <c:pt idx="676">
                  <c:v>2009.4166666666599</c:v>
                </c:pt>
                <c:pt idx="677">
                  <c:v>2009.5</c:v>
                </c:pt>
                <c:pt idx="678">
                  <c:v>2009.5833333333301</c:v>
                </c:pt>
                <c:pt idx="679">
                  <c:v>2009.6666666666599</c:v>
                </c:pt>
                <c:pt idx="680">
                  <c:v>2009.75</c:v>
                </c:pt>
                <c:pt idx="681">
                  <c:v>2009.8333333333301</c:v>
                </c:pt>
                <c:pt idx="682">
                  <c:v>2009.9166666666599</c:v>
                </c:pt>
                <c:pt idx="683">
                  <c:v>2010</c:v>
                </c:pt>
                <c:pt idx="684">
                  <c:v>2010.0833333333301</c:v>
                </c:pt>
                <c:pt idx="685">
                  <c:v>2010.1666666666599</c:v>
                </c:pt>
                <c:pt idx="686">
                  <c:v>2010.25</c:v>
                </c:pt>
                <c:pt idx="687">
                  <c:v>2010.3333333333301</c:v>
                </c:pt>
                <c:pt idx="688">
                  <c:v>2010.4166666666599</c:v>
                </c:pt>
                <c:pt idx="689">
                  <c:v>2010.5</c:v>
                </c:pt>
                <c:pt idx="690">
                  <c:v>2010.5833333333301</c:v>
                </c:pt>
                <c:pt idx="691">
                  <c:v>2010.6666666666599</c:v>
                </c:pt>
                <c:pt idx="692">
                  <c:v>2010.75</c:v>
                </c:pt>
                <c:pt idx="693">
                  <c:v>2010.8333333333301</c:v>
                </c:pt>
                <c:pt idx="694">
                  <c:v>2010.9166666666599</c:v>
                </c:pt>
                <c:pt idx="695">
                  <c:v>2011</c:v>
                </c:pt>
                <c:pt idx="696">
                  <c:v>2011.0833333333301</c:v>
                </c:pt>
                <c:pt idx="697">
                  <c:v>2011.1666666666599</c:v>
                </c:pt>
                <c:pt idx="698">
                  <c:v>2011.25</c:v>
                </c:pt>
                <c:pt idx="699">
                  <c:v>2011.3333333333301</c:v>
                </c:pt>
                <c:pt idx="700">
                  <c:v>2011.4166666666599</c:v>
                </c:pt>
                <c:pt idx="701">
                  <c:v>2011.5</c:v>
                </c:pt>
                <c:pt idx="702">
                  <c:v>2011.5833333333301</c:v>
                </c:pt>
                <c:pt idx="703">
                  <c:v>2011.6666666666599</c:v>
                </c:pt>
                <c:pt idx="704">
                  <c:v>2011.75</c:v>
                </c:pt>
                <c:pt idx="705">
                  <c:v>2011.8333333333301</c:v>
                </c:pt>
                <c:pt idx="706">
                  <c:v>2011.9166666666599</c:v>
                </c:pt>
                <c:pt idx="707">
                  <c:v>2012</c:v>
                </c:pt>
                <c:pt idx="708">
                  <c:v>2012.0833333333301</c:v>
                </c:pt>
                <c:pt idx="709">
                  <c:v>2012.1666666666599</c:v>
                </c:pt>
                <c:pt idx="710">
                  <c:v>2012.25</c:v>
                </c:pt>
                <c:pt idx="711">
                  <c:v>2012.3333333333301</c:v>
                </c:pt>
                <c:pt idx="712">
                  <c:v>2012.4166666666599</c:v>
                </c:pt>
                <c:pt idx="713">
                  <c:v>2012.5</c:v>
                </c:pt>
                <c:pt idx="714">
                  <c:v>2012.5833333333301</c:v>
                </c:pt>
                <c:pt idx="715">
                  <c:v>2012.6666666666599</c:v>
                </c:pt>
                <c:pt idx="716">
                  <c:v>2012.75</c:v>
                </c:pt>
                <c:pt idx="717">
                  <c:v>2012.8333333333301</c:v>
                </c:pt>
                <c:pt idx="718">
                  <c:v>2012.9166666666599</c:v>
                </c:pt>
                <c:pt idx="719">
                  <c:v>2013</c:v>
                </c:pt>
                <c:pt idx="720">
                  <c:v>2013.0833333333301</c:v>
                </c:pt>
                <c:pt idx="721">
                  <c:v>2013.1666666666599</c:v>
                </c:pt>
                <c:pt idx="722">
                  <c:v>2013.25</c:v>
                </c:pt>
                <c:pt idx="723">
                  <c:v>2013.3333333333301</c:v>
                </c:pt>
                <c:pt idx="724">
                  <c:v>2013.4166666666599</c:v>
                </c:pt>
                <c:pt idx="725">
                  <c:v>2013.5</c:v>
                </c:pt>
                <c:pt idx="726">
                  <c:v>2013.5833333333301</c:v>
                </c:pt>
                <c:pt idx="727">
                  <c:v>2013.6666666666599</c:v>
                </c:pt>
                <c:pt idx="728">
                  <c:v>2013.75</c:v>
                </c:pt>
                <c:pt idx="729">
                  <c:v>2013.8333333333301</c:v>
                </c:pt>
                <c:pt idx="730">
                  <c:v>2013.9166666666599</c:v>
                </c:pt>
                <c:pt idx="731">
                  <c:v>2014</c:v>
                </c:pt>
                <c:pt idx="732">
                  <c:v>2014.0833333333301</c:v>
                </c:pt>
                <c:pt idx="733">
                  <c:v>2014.1666666666599</c:v>
                </c:pt>
                <c:pt idx="734">
                  <c:v>2014.25</c:v>
                </c:pt>
                <c:pt idx="735">
                  <c:v>2014.3333333333301</c:v>
                </c:pt>
                <c:pt idx="736">
                  <c:v>2014.4166666666599</c:v>
                </c:pt>
                <c:pt idx="737">
                  <c:v>2014.5</c:v>
                </c:pt>
                <c:pt idx="738">
                  <c:v>2014.5833333333301</c:v>
                </c:pt>
                <c:pt idx="739">
                  <c:v>2014.6666666666599</c:v>
                </c:pt>
                <c:pt idx="740">
                  <c:v>2014.75</c:v>
                </c:pt>
                <c:pt idx="741">
                  <c:v>2014.8333333333301</c:v>
                </c:pt>
                <c:pt idx="742">
                  <c:v>2014.9166666666599</c:v>
                </c:pt>
                <c:pt idx="743">
                  <c:v>2015</c:v>
                </c:pt>
                <c:pt idx="744">
                  <c:v>2015.0833333333301</c:v>
                </c:pt>
                <c:pt idx="745">
                  <c:v>2015.1666666666599</c:v>
                </c:pt>
                <c:pt idx="746">
                  <c:v>2015.25</c:v>
                </c:pt>
                <c:pt idx="747">
                  <c:v>2015.3333333333301</c:v>
                </c:pt>
                <c:pt idx="748">
                  <c:v>2015.4166666666599</c:v>
                </c:pt>
                <c:pt idx="749">
                  <c:v>2015.5</c:v>
                </c:pt>
                <c:pt idx="750">
                  <c:v>2015.5833333333301</c:v>
                </c:pt>
                <c:pt idx="751">
                  <c:v>2015.6666666666599</c:v>
                </c:pt>
                <c:pt idx="752">
                  <c:v>2015.75</c:v>
                </c:pt>
                <c:pt idx="753">
                  <c:v>2015.8333333333301</c:v>
                </c:pt>
              </c:numCache>
            </c:numRef>
          </c:xVal>
          <c:yVal>
            <c:numRef>
              <c:f>offset_qbo_all_terms_70hPa!$C$3:$C$756</c:f>
              <c:numCache>
                <c:formatCode>General</c:formatCode>
                <c:ptCount val="754"/>
                <c:pt idx="0">
                  <c:v>-46.767730142981677</c:v>
                </c:pt>
                <c:pt idx="1">
                  <c:v>-48.766606239992129</c:v>
                </c:pt>
                <c:pt idx="2">
                  <c:v>-68.886416574204404</c:v>
                </c:pt>
                <c:pt idx="3">
                  <c:v>-94.684047285960119</c:v>
                </c:pt>
                <c:pt idx="4">
                  <c:v>-116.51510768923734</c:v>
                </c:pt>
                <c:pt idx="5">
                  <c:v>-126.29535974558988</c:v>
                </c:pt>
                <c:pt idx="6">
                  <c:v>-123.82316592516204</c:v>
                </c:pt>
                <c:pt idx="7">
                  <c:v>-115.98877532396673</c:v>
                </c:pt>
                <c:pt idx="8">
                  <c:v>-108.00572694130634</c:v>
                </c:pt>
                <c:pt idx="9">
                  <c:v>-99.154969751342605</c:v>
                </c:pt>
                <c:pt idx="10">
                  <c:v>-87.83705205465462</c:v>
                </c:pt>
                <c:pt idx="11">
                  <c:v>-73.208322290785972</c:v>
                </c:pt>
                <c:pt idx="12">
                  <c:v>-65.041780779577962</c:v>
                </c:pt>
                <c:pt idx="13">
                  <c:v>-70.475044550128985</c:v>
                </c:pt>
                <c:pt idx="14">
                  <c:v>-73.008338627437851</c:v>
                </c:pt>
                <c:pt idx="15">
                  <c:v>-67.322473328241813</c:v>
                </c:pt>
                <c:pt idx="16">
                  <c:v>-62.065290816826902</c:v>
                </c:pt>
                <c:pt idx="17">
                  <c:v>-54.317060125599909</c:v>
                </c:pt>
                <c:pt idx="18">
                  <c:v>-41.1639456373196</c:v>
                </c:pt>
                <c:pt idx="19">
                  <c:v>-29.578221256181958</c:v>
                </c:pt>
                <c:pt idx="20">
                  <c:v>-21.310739484691229</c:v>
                </c:pt>
                <c:pt idx="21">
                  <c:v>-20.120762468905813</c:v>
                </c:pt>
                <c:pt idx="22">
                  <c:v>-21.31682599263269</c:v>
                </c:pt>
                <c:pt idx="23">
                  <c:v>-10.999327736449434</c:v>
                </c:pt>
                <c:pt idx="24">
                  <c:v>2.8693608558938806</c:v>
                </c:pt>
                <c:pt idx="25">
                  <c:v>11.411904736380244</c:v>
                </c:pt>
                <c:pt idx="26">
                  <c:v>18.872956760875773</c:v>
                </c:pt>
                <c:pt idx="27">
                  <c:v>2.5502453245444947</c:v>
                </c:pt>
                <c:pt idx="28">
                  <c:v>-30.987890437326012</c:v>
                </c:pt>
                <c:pt idx="29">
                  <c:v>-49.524729359007765</c:v>
                </c:pt>
                <c:pt idx="30">
                  <c:v>-55.435894880750794</c:v>
                </c:pt>
                <c:pt idx="31">
                  <c:v>-62.980066130120093</c:v>
                </c:pt>
                <c:pt idx="32">
                  <c:v>-79.385121576285101</c:v>
                </c:pt>
                <c:pt idx="33">
                  <c:v>-99.027733033337284</c:v>
                </c:pt>
                <c:pt idx="34">
                  <c:v>-109.03941159458327</c:v>
                </c:pt>
                <c:pt idx="35">
                  <c:v>-108.79833354723567</c:v>
                </c:pt>
                <c:pt idx="36">
                  <c:v>-109.3062324732843</c:v>
                </c:pt>
                <c:pt idx="37">
                  <c:v>-113.92336545196363</c:v>
                </c:pt>
                <c:pt idx="38">
                  <c:v>-117.16094665539543</c:v>
                </c:pt>
                <c:pt idx="39">
                  <c:v>-117.23697011219778</c:v>
                </c:pt>
                <c:pt idx="40">
                  <c:v>-111.49880138773722</c:v>
                </c:pt>
                <c:pt idx="41">
                  <c:v>-98.395362201787492</c:v>
                </c:pt>
                <c:pt idx="42">
                  <c:v>-82.956339743822028</c:v>
                </c:pt>
                <c:pt idx="43">
                  <c:v>-69.765267883522256</c:v>
                </c:pt>
                <c:pt idx="44">
                  <c:v>-61.588633513982813</c:v>
                </c:pt>
                <c:pt idx="45">
                  <c:v>-54.200824068310382</c:v>
                </c:pt>
                <c:pt idx="46">
                  <c:v>-26.903908160792223</c:v>
                </c:pt>
                <c:pt idx="47">
                  <c:v>33.511176018200956</c:v>
                </c:pt>
                <c:pt idx="48">
                  <c:v>75.789155436642375</c:v>
                </c:pt>
                <c:pt idx="49">
                  <c:v>90.946002463551793</c:v>
                </c:pt>
                <c:pt idx="50">
                  <c:v>87.547676732682689</c:v>
                </c:pt>
                <c:pt idx="51">
                  <c:v>49.645444303415069</c:v>
                </c:pt>
                <c:pt idx="52">
                  <c:v>-20.261058561714851</c:v>
                </c:pt>
                <c:pt idx="53">
                  <c:v>-59.741298504450839</c:v>
                </c:pt>
                <c:pt idx="54">
                  <c:v>-74.158351180522033</c:v>
                </c:pt>
                <c:pt idx="55">
                  <c:v>-73.38909612831624</c:v>
                </c:pt>
                <c:pt idx="56">
                  <c:v>-75.40197988524406</c:v>
                </c:pt>
                <c:pt idx="57">
                  <c:v>-83.334083417230048</c:v>
                </c:pt>
                <c:pt idx="58">
                  <c:v>-82.198889840176946</c:v>
                </c:pt>
                <c:pt idx="59">
                  <c:v>-72.252059254986889</c:v>
                </c:pt>
                <c:pt idx="60">
                  <c:v>-67.171201096865744</c:v>
                </c:pt>
                <c:pt idx="61">
                  <c:v>-76.655944511090908</c:v>
                </c:pt>
                <c:pt idx="62">
                  <c:v>-98.507062997413186</c:v>
                </c:pt>
                <c:pt idx="63">
                  <c:v>-117.23499787063002</c:v>
                </c:pt>
                <c:pt idx="64">
                  <c:v>-124.21626881242631</c:v>
                </c:pt>
                <c:pt idx="65">
                  <c:v>-120.2132231768222</c:v>
                </c:pt>
                <c:pt idx="66">
                  <c:v>-105.39944166848466</c:v>
                </c:pt>
                <c:pt idx="67">
                  <c:v>-84.407104886662722</c:v>
                </c:pt>
                <c:pt idx="68">
                  <c:v>-74.966243135980321</c:v>
                </c:pt>
                <c:pt idx="69">
                  <c:v>-74.880350161839402</c:v>
                </c:pt>
                <c:pt idx="70">
                  <c:v>-65.896672028347737</c:v>
                </c:pt>
                <c:pt idx="71">
                  <c:v>-47.76216072755193</c:v>
                </c:pt>
                <c:pt idx="72">
                  <c:v>-24.757324167995886</c:v>
                </c:pt>
                <c:pt idx="73">
                  <c:v>3.2101886799456167</c:v>
                </c:pt>
                <c:pt idx="74">
                  <c:v>30.562144100535438</c:v>
                </c:pt>
                <c:pt idx="75">
                  <c:v>52.158282356027563</c:v>
                </c:pt>
                <c:pt idx="76">
                  <c:v>58.794332625047126</c:v>
                </c:pt>
                <c:pt idx="77">
                  <c:v>49.894541318204567</c:v>
                </c:pt>
                <c:pt idx="78">
                  <c:v>48.357787704279474</c:v>
                </c:pt>
                <c:pt idx="79">
                  <c:v>43.809140206667763</c:v>
                </c:pt>
                <c:pt idx="80">
                  <c:v>-4.6364797615218087</c:v>
                </c:pt>
                <c:pt idx="81">
                  <c:v>-56.530129517591021</c:v>
                </c:pt>
                <c:pt idx="82">
                  <c:v>-87.161621619302664</c:v>
                </c:pt>
                <c:pt idx="83">
                  <c:v>-101.72031354602132</c:v>
                </c:pt>
                <c:pt idx="84">
                  <c:v>-104.80061904988062</c:v>
                </c:pt>
                <c:pt idx="85">
                  <c:v>-105.09844736739217</c:v>
                </c:pt>
                <c:pt idx="86">
                  <c:v>-110.43327385996164</c:v>
                </c:pt>
                <c:pt idx="87">
                  <c:v>-118.80912453820235</c:v>
                </c:pt>
                <c:pt idx="88">
                  <c:v>-126.31888763403722</c:v>
                </c:pt>
                <c:pt idx="89">
                  <c:v>-127.49194684232947</c:v>
                </c:pt>
                <c:pt idx="90">
                  <c:v>-117.65421198103272</c:v>
                </c:pt>
                <c:pt idx="91">
                  <c:v>-102.037118023289</c:v>
                </c:pt>
                <c:pt idx="92">
                  <c:v>-92.193193485952648</c:v>
                </c:pt>
                <c:pt idx="93">
                  <c:v>-84.947821558155027</c:v>
                </c:pt>
                <c:pt idx="94">
                  <c:v>-69.785950872114668</c:v>
                </c:pt>
                <c:pt idx="95">
                  <c:v>-36.986740676214339</c:v>
                </c:pt>
                <c:pt idx="96">
                  <c:v>19.444778883693203</c:v>
                </c:pt>
                <c:pt idx="97">
                  <c:v>62.008873497644728</c:v>
                </c:pt>
                <c:pt idx="98">
                  <c:v>75.124352505212769</c:v>
                </c:pt>
                <c:pt idx="99">
                  <c:v>76.65545957763949</c:v>
                </c:pt>
                <c:pt idx="100">
                  <c:v>54.540247649105581</c:v>
                </c:pt>
                <c:pt idx="101">
                  <c:v>12.312559534738671</c:v>
                </c:pt>
                <c:pt idx="102">
                  <c:v>-8.7750552970141378</c:v>
                </c:pt>
                <c:pt idx="103">
                  <c:v>-19.477175718088457</c:v>
                </c:pt>
                <c:pt idx="104">
                  <c:v>-26.972824592909756</c:v>
                </c:pt>
                <c:pt idx="105">
                  <c:v>-30.403004604615166</c:v>
                </c:pt>
                <c:pt idx="106">
                  <c:v>-34.562462177626529</c:v>
                </c:pt>
                <c:pt idx="107">
                  <c:v>-36.1864040762988</c:v>
                </c:pt>
                <c:pt idx="108">
                  <c:v>-39.557619627238608</c:v>
                </c:pt>
                <c:pt idx="109">
                  <c:v>-54.572377411021549</c:v>
                </c:pt>
                <c:pt idx="110">
                  <c:v>-75.275114619439364</c:v>
                </c:pt>
                <c:pt idx="111">
                  <c:v>-99.676665905403723</c:v>
                </c:pt>
                <c:pt idx="112">
                  <c:v>-122.36917127585002</c:v>
                </c:pt>
                <c:pt idx="113">
                  <c:v>-133.46367501391197</c:v>
                </c:pt>
                <c:pt idx="114">
                  <c:v>-132.96833233543745</c:v>
                </c:pt>
                <c:pt idx="115">
                  <c:v>-126.01459595307756</c:v>
                </c:pt>
                <c:pt idx="116">
                  <c:v>-117.41655425697201</c:v>
                </c:pt>
                <c:pt idx="117">
                  <c:v>-110.91656183100622</c:v>
                </c:pt>
                <c:pt idx="118">
                  <c:v>-104.34024645514978</c:v>
                </c:pt>
                <c:pt idx="119">
                  <c:v>-91.815124258279653</c:v>
                </c:pt>
                <c:pt idx="120">
                  <c:v>-79.316331393345607</c:v>
                </c:pt>
                <c:pt idx="121">
                  <c:v>-74.271270640304081</c:v>
                </c:pt>
                <c:pt idx="122">
                  <c:v>-66.235639757805686</c:v>
                </c:pt>
                <c:pt idx="123">
                  <c:v>-48.349085672220923</c:v>
                </c:pt>
                <c:pt idx="124">
                  <c:v>-14.439074323155328</c:v>
                </c:pt>
                <c:pt idx="125">
                  <c:v>54.364564254854969</c:v>
                </c:pt>
                <c:pt idx="126">
                  <c:v>98.350384153349552</c:v>
                </c:pt>
                <c:pt idx="127">
                  <c:v>110.37698661944235</c:v>
                </c:pt>
                <c:pt idx="128">
                  <c:v>102.36541316988398</c:v>
                </c:pt>
                <c:pt idx="129">
                  <c:v>73.418970800920576</c:v>
                </c:pt>
                <c:pt idx="130">
                  <c:v>29.024169550524292</c:v>
                </c:pt>
                <c:pt idx="131">
                  <c:v>-5.7154686172582423</c:v>
                </c:pt>
                <c:pt idx="132">
                  <c:v>-35.970827480255977</c:v>
                </c:pt>
                <c:pt idx="133">
                  <c:v>-55.92720244600531</c:v>
                </c:pt>
                <c:pt idx="134">
                  <c:v>-61.295982353230556</c:v>
                </c:pt>
                <c:pt idx="135">
                  <c:v>-68.16781017169815</c:v>
                </c:pt>
                <c:pt idx="136">
                  <c:v>-82.261399940115737</c:v>
                </c:pt>
                <c:pt idx="137">
                  <c:v>-95.329827879430582</c:v>
                </c:pt>
                <c:pt idx="138">
                  <c:v>-104.05135365356574</c:v>
                </c:pt>
                <c:pt idx="139">
                  <c:v>-108.01705115666098</c:v>
                </c:pt>
                <c:pt idx="140">
                  <c:v>-111.3491111705446</c:v>
                </c:pt>
                <c:pt idx="141">
                  <c:v>-115.51015771387722</c:v>
                </c:pt>
                <c:pt idx="142">
                  <c:v>-112.44688519616281</c:v>
                </c:pt>
                <c:pt idx="143">
                  <c:v>-98.836783504887876</c:v>
                </c:pt>
                <c:pt idx="144">
                  <c:v>-82.874004086404668</c:v>
                </c:pt>
                <c:pt idx="145">
                  <c:v>-74.234389996523376</c:v>
                </c:pt>
                <c:pt idx="146">
                  <c:v>-79.088203308739878</c:v>
                </c:pt>
                <c:pt idx="147">
                  <c:v>-93.117764522244244</c:v>
                </c:pt>
                <c:pt idx="148">
                  <c:v>-101.3240400669097</c:v>
                </c:pt>
                <c:pt idx="149">
                  <c:v>-99.046957896992751</c:v>
                </c:pt>
                <c:pt idx="150">
                  <c:v>-88.742332576061116</c:v>
                </c:pt>
                <c:pt idx="151">
                  <c:v>-74.545955061102873</c:v>
                </c:pt>
                <c:pt idx="152">
                  <c:v>-66.501097424240896</c:v>
                </c:pt>
                <c:pt idx="153">
                  <c:v>-59.4564008132281</c:v>
                </c:pt>
                <c:pt idx="154">
                  <c:v>-28.836590034862493</c:v>
                </c:pt>
                <c:pt idx="155">
                  <c:v>33.230310711221492</c:v>
                </c:pt>
                <c:pt idx="156">
                  <c:v>69.187122048671725</c:v>
                </c:pt>
                <c:pt idx="157">
                  <c:v>72.576773957009578</c:v>
                </c:pt>
                <c:pt idx="158">
                  <c:v>55.286399345317406</c:v>
                </c:pt>
                <c:pt idx="159">
                  <c:v>19.615634211103266</c:v>
                </c:pt>
                <c:pt idx="160">
                  <c:v>-11.813329253933841</c:v>
                </c:pt>
                <c:pt idx="161">
                  <c:v>-35.895147540504482</c:v>
                </c:pt>
                <c:pt idx="162">
                  <c:v>-47.346522160407801</c:v>
                </c:pt>
                <c:pt idx="163">
                  <c:v>-48.888148966597811</c:v>
                </c:pt>
                <c:pt idx="164">
                  <c:v>-58.997043121246094</c:v>
                </c:pt>
                <c:pt idx="165">
                  <c:v>-73.657499746933468</c:v>
                </c:pt>
                <c:pt idx="166">
                  <c:v>-79.297738165137091</c:v>
                </c:pt>
                <c:pt idx="167">
                  <c:v>-78.673684838086984</c:v>
                </c:pt>
                <c:pt idx="168">
                  <c:v>-76.178386643641517</c:v>
                </c:pt>
                <c:pt idx="169">
                  <c:v>-77.428732879283203</c:v>
                </c:pt>
                <c:pt idx="170">
                  <c:v>-89.98940001033418</c:v>
                </c:pt>
                <c:pt idx="171">
                  <c:v>-105.54412732631405</c:v>
                </c:pt>
                <c:pt idx="172">
                  <c:v>-114.53213011525898</c:v>
                </c:pt>
                <c:pt idx="173">
                  <c:v>-113.50684577964805</c:v>
                </c:pt>
                <c:pt idx="174">
                  <c:v>-98.726652403339159</c:v>
                </c:pt>
                <c:pt idx="175">
                  <c:v>-77.88683165285174</c:v>
                </c:pt>
                <c:pt idx="176">
                  <c:v>-76.403695022347009</c:v>
                </c:pt>
                <c:pt idx="177">
                  <c:v>-88.613697535242096</c:v>
                </c:pt>
                <c:pt idx="178">
                  <c:v>-94.868109218764261</c:v>
                </c:pt>
                <c:pt idx="179">
                  <c:v>-93.128690975860764</c:v>
                </c:pt>
                <c:pt idx="180">
                  <c:v>-86.297354663457853</c:v>
                </c:pt>
                <c:pt idx="181">
                  <c:v>-80.993251259042154</c:v>
                </c:pt>
                <c:pt idx="182">
                  <c:v>-78.484744047373354</c:v>
                </c:pt>
                <c:pt idx="183">
                  <c:v>-69.909843360601812</c:v>
                </c:pt>
                <c:pt idx="184">
                  <c:v>-55.140632058433269</c:v>
                </c:pt>
                <c:pt idx="185">
                  <c:v>-35.449044329789515</c:v>
                </c:pt>
                <c:pt idx="186">
                  <c:v>-0.70914663438775705</c:v>
                </c:pt>
                <c:pt idx="187">
                  <c:v>32.913679291918612</c:v>
                </c:pt>
                <c:pt idx="188">
                  <c:v>31.503349044413934</c:v>
                </c:pt>
                <c:pt idx="189">
                  <c:v>18.573391613606404</c:v>
                </c:pt>
                <c:pt idx="190">
                  <c:v>14.245935186182358</c:v>
                </c:pt>
                <c:pt idx="191">
                  <c:v>24.570004646414581</c:v>
                </c:pt>
                <c:pt idx="192">
                  <c:v>49.018751196388841</c:v>
                </c:pt>
                <c:pt idx="193">
                  <c:v>57.107706638516788</c:v>
                </c:pt>
                <c:pt idx="194">
                  <c:v>32.024366022421503</c:v>
                </c:pt>
                <c:pt idx="195">
                  <c:v>-27.897351702547869</c:v>
                </c:pt>
                <c:pt idx="196">
                  <c:v>-82.279365207028121</c:v>
                </c:pt>
                <c:pt idx="197">
                  <c:v>-110.34263396938391</c:v>
                </c:pt>
                <c:pt idx="198">
                  <c:v>-117.03502811607964</c:v>
                </c:pt>
                <c:pt idx="199">
                  <c:v>-115.37023111098151</c:v>
                </c:pt>
                <c:pt idx="200">
                  <c:v>-114.74657820055961</c:v>
                </c:pt>
                <c:pt idx="201">
                  <c:v>-116.20113518447559</c:v>
                </c:pt>
                <c:pt idx="202">
                  <c:v>-116.13544844046191</c:v>
                </c:pt>
                <c:pt idx="203">
                  <c:v>-109.27070638855596</c:v>
                </c:pt>
                <c:pt idx="204">
                  <c:v>-97.137863803343677</c:v>
                </c:pt>
                <c:pt idx="205">
                  <c:v>-89.690198765458049</c:v>
                </c:pt>
                <c:pt idx="206">
                  <c:v>-87.330233841723441</c:v>
                </c:pt>
                <c:pt idx="207">
                  <c:v>-86.23561917311136</c:v>
                </c:pt>
                <c:pt idx="208">
                  <c:v>-85.516933806667367</c:v>
                </c:pt>
                <c:pt idx="209">
                  <c:v>-76.028236902933443</c:v>
                </c:pt>
                <c:pt idx="210">
                  <c:v>-54.006108874799139</c:v>
                </c:pt>
                <c:pt idx="211">
                  <c:v>-32.280273899593581</c:v>
                </c:pt>
                <c:pt idx="212">
                  <c:v>-19.421700067323261</c:v>
                </c:pt>
                <c:pt idx="213">
                  <c:v>-12.093862934068429</c:v>
                </c:pt>
                <c:pt idx="214">
                  <c:v>-1.6151845418937754</c:v>
                </c:pt>
                <c:pt idx="215">
                  <c:v>22.582619937241383</c:v>
                </c:pt>
                <c:pt idx="216">
                  <c:v>41.251897303566928</c:v>
                </c:pt>
                <c:pt idx="217">
                  <c:v>42.809099620682545</c:v>
                </c:pt>
                <c:pt idx="218">
                  <c:v>45.831179580148344</c:v>
                </c:pt>
                <c:pt idx="219">
                  <c:v>27.552028131349136</c:v>
                </c:pt>
                <c:pt idx="220">
                  <c:v>-23.003103795415516</c:v>
                </c:pt>
                <c:pt idx="221">
                  <c:v>-58.742261928247089</c:v>
                </c:pt>
                <c:pt idx="222">
                  <c:v>-74.234460684217368</c:v>
                </c:pt>
                <c:pt idx="223">
                  <c:v>-78.389428897176202</c:v>
                </c:pt>
                <c:pt idx="224">
                  <c:v>-80.556061904130388</c:v>
                </c:pt>
                <c:pt idx="225">
                  <c:v>-90.02576995071199</c:v>
                </c:pt>
                <c:pt idx="226">
                  <c:v>-100.7141217548901</c:v>
                </c:pt>
                <c:pt idx="227">
                  <c:v>-106.1426643293774</c:v>
                </c:pt>
                <c:pt idx="228">
                  <c:v>-111.37267086192762</c:v>
                </c:pt>
                <c:pt idx="229">
                  <c:v>-117.28363209431146</c:v>
                </c:pt>
                <c:pt idx="230">
                  <c:v>-120.98653448676725</c:v>
                </c:pt>
                <c:pt idx="231">
                  <c:v>-123.29034755704404</c:v>
                </c:pt>
                <c:pt idx="232">
                  <c:v>-120.82190229211213</c:v>
                </c:pt>
                <c:pt idx="233">
                  <c:v>-107.66269972213499</c:v>
                </c:pt>
                <c:pt idx="234">
                  <c:v>-82.470777276637321</c:v>
                </c:pt>
                <c:pt idx="235">
                  <c:v>-49.393337653084927</c:v>
                </c:pt>
                <c:pt idx="236">
                  <c:v>-23.131276871462457</c:v>
                </c:pt>
                <c:pt idx="237">
                  <c:v>-10.392205613413136</c:v>
                </c:pt>
                <c:pt idx="238">
                  <c:v>22.060089256622391</c:v>
                </c:pt>
                <c:pt idx="239">
                  <c:v>72.69352295593626</c:v>
                </c:pt>
                <c:pt idx="240">
                  <c:v>92.08839143061185</c:v>
                </c:pt>
                <c:pt idx="241">
                  <c:v>94.622500997521115</c:v>
                </c:pt>
                <c:pt idx="242">
                  <c:v>91.574755603348933</c:v>
                </c:pt>
                <c:pt idx="243">
                  <c:v>75.989973414780124</c:v>
                </c:pt>
                <c:pt idx="244">
                  <c:v>36.854072923696407</c:v>
                </c:pt>
                <c:pt idx="245">
                  <c:v>-23.259221538454195</c:v>
                </c:pt>
                <c:pt idx="246">
                  <c:v>-65.454318137543083</c:v>
                </c:pt>
                <c:pt idx="247">
                  <c:v>-87.947932769240225</c:v>
                </c:pt>
                <c:pt idx="248">
                  <c:v>-101.41322072237034</c:v>
                </c:pt>
                <c:pt idx="249">
                  <c:v>-109.48479508531639</c:v>
                </c:pt>
                <c:pt idx="250">
                  <c:v>-108.57512456803138</c:v>
                </c:pt>
                <c:pt idx="251">
                  <c:v>-102.63547650559013</c:v>
                </c:pt>
                <c:pt idx="252">
                  <c:v>-99.560426913924061</c:v>
                </c:pt>
                <c:pt idx="253">
                  <c:v>-101.01805183473954</c:v>
                </c:pt>
                <c:pt idx="254">
                  <c:v>-108.84855250802102</c:v>
                </c:pt>
                <c:pt idx="255">
                  <c:v>-119.64851115233594</c:v>
                </c:pt>
                <c:pt idx="256">
                  <c:v>-125.26781911254335</c:v>
                </c:pt>
                <c:pt idx="257">
                  <c:v>-122.24342388992761</c:v>
                </c:pt>
                <c:pt idx="258">
                  <c:v>-107.65939430780972</c:v>
                </c:pt>
                <c:pt idx="259">
                  <c:v>-82.597378090867835</c:v>
                </c:pt>
                <c:pt idx="260">
                  <c:v>-65.980183766603233</c:v>
                </c:pt>
                <c:pt idx="261">
                  <c:v>-62.500859558258767</c:v>
                </c:pt>
                <c:pt idx="262">
                  <c:v>-48.681423163843888</c:v>
                </c:pt>
                <c:pt idx="263">
                  <c:v>-17.913618353073506</c:v>
                </c:pt>
                <c:pt idx="264">
                  <c:v>21.238768358029791</c:v>
                </c:pt>
                <c:pt idx="265">
                  <c:v>50.423935139411626</c:v>
                </c:pt>
                <c:pt idx="266">
                  <c:v>60.371187558091343</c:v>
                </c:pt>
                <c:pt idx="267">
                  <c:v>74.070236887893543</c:v>
                </c:pt>
                <c:pt idx="268">
                  <c:v>93.362846766795968</c:v>
                </c:pt>
                <c:pt idx="269">
                  <c:v>103.15379814403992</c:v>
                </c:pt>
                <c:pt idx="270">
                  <c:v>101.95118731202403</c:v>
                </c:pt>
                <c:pt idx="271">
                  <c:v>79.334110279038512</c:v>
                </c:pt>
                <c:pt idx="272">
                  <c:v>0.96653931104767565</c:v>
                </c:pt>
                <c:pt idx="273">
                  <c:v>-57.311321109731978</c:v>
                </c:pt>
                <c:pt idx="274">
                  <c:v>-79.208633307454505</c:v>
                </c:pt>
                <c:pt idx="275">
                  <c:v>-86.881489534656978</c:v>
                </c:pt>
                <c:pt idx="276">
                  <c:v>-89.030049832063995</c:v>
                </c:pt>
                <c:pt idx="277">
                  <c:v>-93.696991916940078</c:v>
                </c:pt>
                <c:pt idx="278">
                  <c:v>-106.32995415563425</c:v>
                </c:pt>
                <c:pt idx="279">
                  <c:v>-122.06254122147323</c:v>
                </c:pt>
                <c:pt idx="280">
                  <c:v>-136.07570901590628</c:v>
                </c:pt>
                <c:pt idx="281">
                  <c:v>-143.46739325561452</c:v>
                </c:pt>
                <c:pt idx="282">
                  <c:v>-140.67294251856646</c:v>
                </c:pt>
                <c:pt idx="283">
                  <c:v>-129.85783926465308</c:v>
                </c:pt>
                <c:pt idx="284">
                  <c:v>-117.19452109542121</c:v>
                </c:pt>
                <c:pt idx="285">
                  <c:v>-103.68444229568982</c:v>
                </c:pt>
                <c:pt idx="286">
                  <c:v>-84.956286940114623</c:v>
                </c:pt>
                <c:pt idx="287">
                  <c:v>-54.666681589008391</c:v>
                </c:pt>
                <c:pt idx="288">
                  <c:v>-11.750435373607505</c:v>
                </c:pt>
                <c:pt idx="289">
                  <c:v>9.9963684102005779</c:v>
                </c:pt>
                <c:pt idx="290">
                  <c:v>-5.6575380060584628</c:v>
                </c:pt>
                <c:pt idx="291">
                  <c:v>-22.276757652749833</c:v>
                </c:pt>
                <c:pt idx="292">
                  <c:v>-24.387533697460153</c:v>
                </c:pt>
                <c:pt idx="293">
                  <c:v>5.6934648857292878</c:v>
                </c:pt>
                <c:pt idx="294">
                  <c:v>74.215561531675192</c:v>
                </c:pt>
                <c:pt idx="295">
                  <c:v>102.76094059304121</c:v>
                </c:pt>
                <c:pt idx="296">
                  <c:v>96.682727190280929</c:v>
                </c:pt>
                <c:pt idx="297">
                  <c:v>68.959717567127925</c:v>
                </c:pt>
                <c:pt idx="298">
                  <c:v>29.184563204514792</c:v>
                </c:pt>
                <c:pt idx="299">
                  <c:v>7.7750436494884454</c:v>
                </c:pt>
                <c:pt idx="300">
                  <c:v>4.5302051907411283</c:v>
                </c:pt>
                <c:pt idx="301">
                  <c:v>-0.96485945324042177</c:v>
                </c:pt>
                <c:pt idx="302">
                  <c:v>-6.5121191558354532</c:v>
                </c:pt>
                <c:pt idx="303">
                  <c:v>-25.103045630245706</c:v>
                </c:pt>
                <c:pt idx="304">
                  <c:v>-65.023746544818465</c:v>
                </c:pt>
                <c:pt idx="305">
                  <c:v>-96.378829755309212</c:v>
                </c:pt>
                <c:pt idx="306">
                  <c:v>-111.84882457831171</c:v>
                </c:pt>
                <c:pt idx="307">
                  <c:v>-119.71655751024889</c:v>
                </c:pt>
                <c:pt idx="308">
                  <c:v>-124.718118266668</c:v>
                </c:pt>
                <c:pt idx="309">
                  <c:v>-129.04882055858332</c:v>
                </c:pt>
                <c:pt idx="310">
                  <c:v>-131.49484539678855</c:v>
                </c:pt>
                <c:pt idx="311">
                  <c:v>-128.36308288385305</c:v>
                </c:pt>
                <c:pt idx="312">
                  <c:v>-121.48607789808753</c:v>
                </c:pt>
                <c:pt idx="313">
                  <c:v>-116.0640735780766</c:v>
                </c:pt>
                <c:pt idx="314">
                  <c:v>-113.0994499275389</c:v>
                </c:pt>
                <c:pt idx="315">
                  <c:v>-113.85546866558494</c:v>
                </c:pt>
                <c:pt idx="316">
                  <c:v>-114.21342407142214</c:v>
                </c:pt>
                <c:pt idx="317">
                  <c:v>-102.14352293443784</c:v>
                </c:pt>
                <c:pt idx="318">
                  <c:v>-68.181060539989161</c:v>
                </c:pt>
                <c:pt idx="319">
                  <c:v>-9.1214531013393092</c:v>
                </c:pt>
                <c:pt idx="320">
                  <c:v>51.248379689062475</c:v>
                </c:pt>
                <c:pt idx="321">
                  <c:v>64.370294071020226</c:v>
                </c:pt>
                <c:pt idx="322">
                  <c:v>65.512203083482319</c:v>
                </c:pt>
                <c:pt idx="323">
                  <c:v>75.607126409421838</c:v>
                </c:pt>
                <c:pt idx="324">
                  <c:v>78.545948302604856</c:v>
                </c:pt>
                <c:pt idx="325">
                  <c:v>76.963103887201441</c:v>
                </c:pt>
                <c:pt idx="326">
                  <c:v>87.818849976293535</c:v>
                </c:pt>
                <c:pt idx="327">
                  <c:v>97.360654385284207</c:v>
                </c:pt>
                <c:pt idx="328">
                  <c:v>92.961432913829853</c:v>
                </c:pt>
                <c:pt idx="329">
                  <c:v>70.938174040330793</c:v>
                </c:pt>
                <c:pt idx="330">
                  <c:v>16.700236537204827</c:v>
                </c:pt>
                <c:pt idx="331">
                  <c:v>-32.88786188877036</c:v>
                </c:pt>
                <c:pt idx="332">
                  <c:v>-61.507390640232686</c:v>
                </c:pt>
                <c:pt idx="333">
                  <c:v>-79.110616489217222</c:v>
                </c:pt>
                <c:pt idx="334">
                  <c:v>-83.251912942389367</c:v>
                </c:pt>
                <c:pt idx="335">
                  <c:v>-77.545329854492408</c:v>
                </c:pt>
                <c:pt idx="336">
                  <c:v>-75.820412396857876</c:v>
                </c:pt>
                <c:pt idx="337">
                  <c:v>-82.747564613599195</c:v>
                </c:pt>
                <c:pt idx="338">
                  <c:v>-99.203923506794069</c:v>
                </c:pt>
                <c:pt idx="339">
                  <c:v>-122.46903949210702</c:v>
                </c:pt>
                <c:pt idx="340">
                  <c:v>-140.42088970829565</c:v>
                </c:pt>
                <c:pt idx="341">
                  <c:v>-148.89150400893624</c:v>
                </c:pt>
                <c:pt idx="342">
                  <c:v>-148.89651978014584</c:v>
                </c:pt>
                <c:pt idx="343">
                  <c:v>-141.27644690376778</c:v>
                </c:pt>
                <c:pt idx="344">
                  <c:v>-129.37813997057356</c:v>
                </c:pt>
                <c:pt idx="345">
                  <c:v>-115.90378817962653</c:v>
                </c:pt>
                <c:pt idx="346">
                  <c:v>-94.945795924037967</c:v>
                </c:pt>
                <c:pt idx="347">
                  <c:v>-65.866868142532056</c:v>
                </c:pt>
                <c:pt idx="348">
                  <c:v>-45.982082579920899</c:v>
                </c:pt>
                <c:pt idx="349">
                  <c:v>-40.790537730939263</c:v>
                </c:pt>
                <c:pt idx="350">
                  <c:v>-37.02119005353093</c:v>
                </c:pt>
                <c:pt idx="351">
                  <c:v>-13.297579875932559</c:v>
                </c:pt>
                <c:pt idx="352">
                  <c:v>63.131846439498432</c:v>
                </c:pt>
                <c:pt idx="353">
                  <c:v>119.75754155955215</c:v>
                </c:pt>
                <c:pt idx="354">
                  <c:v>145.07473890403168</c:v>
                </c:pt>
                <c:pt idx="355">
                  <c:v>151.90387211965654</c:v>
                </c:pt>
                <c:pt idx="356">
                  <c:v>140.05006852959929</c:v>
                </c:pt>
                <c:pt idx="357">
                  <c:v>108.6561359331056</c:v>
                </c:pt>
                <c:pt idx="358">
                  <c:v>67.241177371524984</c:v>
                </c:pt>
                <c:pt idx="359">
                  <c:v>19.540945618038485</c:v>
                </c:pt>
                <c:pt idx="360">
                  <c:v>-13.496874161670018</c:v>
                </c:pt>
                <c:pt idx="361">
                  <c:v>-26.778029441153397</c:v>
                </c:pt>
                <c:pt idx="362">
                  <c:v>-37.542031043001472</c:v>
                </c:pt>
                <c:pt idx="363">
                  <c:v>-55.646895441901833</c:v>
                </c:pt>
                <c:pt idx="364">
                  <c:v>-80.652292897343571</c:v>
                </c:pt>
                <c:pt idx="365">
                  <c:v>-104.59251878793251</c:v>
                </c:pt>
                <c:pt idx="366">
                  <c:v>-118.44133669203046</c:v>
                </c:pt>
                <c:pt idx="367">
                  <c:v>-125.83854924285242</c:v>
                </c:pt>
                <c:pt idx="368">
                  <c:v>-133.53239489572664</c:v>
                </c:pt>
                <c:pt idx="369">
                  <c:v>-138.56269956374015</c:v>
                </c:pt>
                <c:pt idx="370">
                  <c:v>-136.86446502999627</c:v>
                </c:pt>
                <c:pt idx="371">
                  <c:v>-128.9696742780973</c:v>
                </c:pt>
                <c:pt idx="372">
                  <c:v>-117.58418963690158</c:v>
                </c:pt>
                <c:pt idx="373">
                  <c:v>-110.87083519946179</c:v>
                </c:pt>
                <c:pt idx="374">
                  <c:v>-114.48397603151136</c:v>
                </c:pt>
                <c:pt idx="375">
                  <c:v>-119.42559879789178</c:v>
                </c:pt>
                <c:pt idx="376">
                  <c:v>-118.09861006955572</c:v>
                </c:pt>
                <c:pt idx="377">
                  <c:v>-105.40439020022006</c:v>
                </c:pt>
                <c:pt idx="378">
                  <c:v>-71.167652352016106</c:v>
                </c:pt>
                <c:pt idx="379">
                  <c:v>-13.783057131271836</c:v>
                </c:pt>
                <c:pt idx="380">
                  <c:v>36.904096372540479</c:v>
                </c:pt>
                <c:pt idx="381">
                  <c:v>68.171740328559295</c:v>
                </c:pt>
                <c:pt idx="382">
                  <c:v>97.314076303879531</c:v>
                </c:pt>
                <c:pt idx="383">
                  <c:v>120.23089130675307</c:v>
                </c:pt>
                <c:pt idx="384">
                  <c:v>133.25285914173909</c:v>
                </c:pt>
                <c:pt idx="385">
                  <c:v>133.66354066384233</c:v>
                </c:pt>
                <c:pt idx="386">
                  <c:v>123.98612061964438</c:v>
                </c:pt>
                <c:pt idx="387">
                  <c:v>105.55863100144526</c:v>
                </c:pt>
                <c:pt idx="388">
                  <c:v>60.034897394999106</c:v>
                </c:pt>
                <c:pt idx="389">
                  <c:v>-15.947002440305656</c:v>
                </c:pt>
                <c:pt idx="390">
                  <c:v>-50.343655958018246</c:v>
                </c:pt>
                <c:pt idx="391">
                  <c:v>-69.833803906050377</c:v>
                </c:pt>
                <c:pt idx="392">
                  <c:v>-87.419866725668754</c:v>
                </c:pt>
                <c:pt idx="393">
                  <c:v>-100.16431636324063</c:v>
                </c:pt>
                <c:pt idx="394">
                  <c:v>-106.36129415347932</c:v>
                </c:pt>
                <c:pt idx="395">
                  <c:v>-103.62734920927954</c:v>
                </c:pt>
                <c:pt idx="396">
                  <c:v>-94.814953423652653</c:v>
                </c:pt>
                <c:pt idx="397">
                  <c:v>-92.816408771641065</c:v>
                </c:pt>
                <c:pt idx="398">
                  <c:v>-102.31982725021658</c:v>
                </c:pt>
                <c:pt idx="399">
                  <c:v>-117.17757958779055</c:v>
                </c:pt>
                <c:pt idx="400">
                  <c:v>-129.54990693461045</c:v>
                </c:pt>
                <c:pt idx="401">
                  <c:v>-131.08474981234764</c:v>
                </c:pt>
                <c:pt idx="402">
                  <c:v>-119.399701401751</c:v>
                </c:pt>
                <c:pt idx="403">
                  <c:v>-100.48861591062865</c:v>
                </c:pt>
                <c:pt idx="404">
                  <c:v>-86.252022309544799</c:v>
                </c:pt>
                <c:pt idx="405">
                  <c:v>-83.520679702451631</c:v>
                </c:pt>
                <c:pt idx="406">
                  <c:v>-85.548281319404865</c:v>
                </c:pt>
                <c:pt idx="407">
                  <c:v>-82.521554571818484</c:v>
                </c:pt>
                <c:pt idx="408">
                  <c:v>-79.158550689356204</c:v>
                </c:pt>
                <c:pt idx="409">
                  <c:v>-79.717556964029171</c:v>
                </c:pt>
                <c:pt idx="410">
                  <c:v>-72.537968368536866</c:v>
                </c:pt>
                <c:pt idx="411">
                  <c:v>-52.79154434825476</c:v>
                </c:pt>
                <c:pt idx="412">
                  <c:v>-22.788101177936323</c:v>
                </c:pt>
                <c:pt idx="413">
                  <c:v>29.592010676624199</c:v>
                </c:pt>
                <c:pt idx="414">
                  <c:v>77.214849849209585</c:v>
                </c:pt>
                <c:pt idx="415">
                  <c:v>92.172946933699137</c:v>
                </c:pt>
                <c:pt idx="416">
                  <c:v>84.530410292656114</c:v>
                </c:pt>
                <c:pt idx="417">
                  <c:v>49.043716486678662</c:v>
                </c:pt>
                <c:pt idx="418">
                  <c:v>-2.088782255819055E-2</c:v>
                </c:pt>
                <c:pt idx="419">
                  <c:v>-13.643680712429987</c:v>
                </c:pt>
                <c:pt idx="420">
                  <c:v>-7.1557747840047874</c:v>
                </c:pt>
                <c:pt idx="421">
                  <c:v>11.786102346003101</c:v>
                </c:pt>
                <c:pt idx="422">
                  <c:v>31.316446061450662</c:v>
                </c:pt>
                <c:pt idx="423">
                  <c:v>-0.16832615325145639</c:v>
                </c:pt>
                <c:pt idx="424">
                  <c:v>-56.930903258170247</c:v>
                </c:pt>
                <c:pt idx="425">
                  <c:v>-91.378615104977627</c:v>
                </c:pt>
                <c:pt idx="426">
                  <c:v>-106.38155590379822</c:v>
                </c:pt>
                <c:pt idx="427">
                  <c:v>-110.64877747458368</c:v>
                </c:pt>
                <c:pt idx="428">
                  <c:v>-111.68586969850125</c:v>
                </c:pt>
                <c:pt idx="429">
                  <c:v>-113.27837298427968</c:v>
                </c:pt>
                <c:pt idx="430">
                  <c:v>-108.999448777623</c:v>
                </c:pt>
                <c:pt idx="431">
                  <c:v>-96.358636125587736</c:v>
                </c:pt>
                <c:pt idx="432">
                  <c:v>-87.52962297260008</c:v>
                </c:pt>
                <c:pt idx="433">
                  <c:v>-90.934652436364132</c:v>
                </c:pt>
                <c:pt idx="434">
                  <c:v>-102.19992415156656</c:v>
                </c:pt>
                <c:pt idx="435">
                  <c:v>-115.26864429216317</c:v>
                </c:pt>
                <c:pt idx="436">
                  <c:v>-122.62382984202051</c:v>
                </c:pt>
                <c:pt idx="437">
                  <c:v>-122.30668606082659</c:v>
                </c:pt>
                <c:pt idx="438">
                  <c:v>-115.81617997400181</c:v>
                </c:pt>
                <c:pt idx="439">
                  <c:v>-102.77663801633284</c:v>
                </c:pt>
                <c:pt idx="440">
                  <c:v>-85.750408793252504</c:v>
                </c:pt>
                <c:pt idx="441">
                  <c:v>-65.995854066642323</c:v>
                </c:pt>
                <c:pt idx="442">
                  <c:v>-31.631631600412536</c:v>
                </c:pt>
                <c:pt idx="443">
                  <c:v>17.543741891039492</c:v>
                </c:pt>
                <c:pt idx="444">
                  <c:v>51.788235384217799</c:v>
                </c:pt>
                <c:pt idx="445">
                  <c:v>74.531032014786774</c:v>
                </c:pt>
                <c:pt idx="446">
                  <c:v>94.954559306365127</c:v>
                </c:pt>
                <c:pt idx="447">
                  <c:v>104.89539933037146</c:v>
                </c:pt>
                <c:pt idx="448">
                  <c:v>104.37703598573475</c:v>
                </c:pt>
                <c:pt idx="449">
                  <c:v>93.853084567252935</c:v>
                </c:pt>
                <c:pt idx="450">
                  <c:v>82.129055834548581</c:v>
                </c:pt>
                <c:pt idx="451">
                  <c:v>74.049171546985562</c:v>
                </c:pt>
                <c:pt idx="452">
                  <c:v>39.972272981921904</c:v>
                </c:pt>
                <c:pt idx="453">
                  <c:v>-22.604723855746773</c:v>
                </c:pt>
                <c:pt idx="454">
                  <c:v>-56.365089700390442</c:v>
                </c:pt>
                <c:pt idx="455">
                  <c:v>-75.380053439691054</c:v>
                </c:pt>
                <c:pt idx="456">
                  <c:v>-91.053422183144463</c:v>
                </c:pt>
                <c:pt idx="457">
                  <c:v>-106.01460425141141</c:v>
                </c:pt>
                <c:pt idx="458">
                  <c:v>-121.39918151622604</c:v>
                </c:pt>
                <c:pt idx="459">
                  <c:v>-132.55826238902628</c:v>
                </c:pt>
                <c:pt idx="460">
                  <c:v>-136.65061864642331</c:v>
                </c:pt>
                <c:pt idx="461">
                  <c:v>-134.60294009836085</c:v>
                </c:pt>
                <c:pt idx="462">
                  <c:v>-126.62714946242292</c:v>
                </c:pt>
                <c:pt idx="463">
                  <c:v>-117.05295030827818</c:v>
                </c:pt>
                <c:pt idx="464">
                  <c:v>-114.29057380981266</c:v>
                </c:pt>
                <c:pt idx="465">
                  <c:v>-112.85761452399674</c:v>
                </c:pt>
                <c:pt idx="466">
                  <c:v>-103.3110189773104</c:v>
                </c:pt>
                <c:pt idx="467">
                  <c:v>-86.767480120342995</c:v>
                </c:pt>
                <c:pt idx="468">
                  <c:v>-67.545866132797457</c:v>
                </c:pt>
                <c:pt idx="469">
                  <c:v>-48.663506801881667</c:v>
                </c:pt>
                <c:pt idx="470">
                  <c:v>-27.640883835035073</c:v>
                </c:pt>
                <c:pt idx="471">
                  <c:v>10.086058892226269</c:v>
                </c:pt>
                <c:pt idx="472">
                  <c:v>54.192669193912735</c:v>
                </c:pt>
                <c:pt idx="473">
                  <c:v>72.917001339417894</c:v>
                </c:pt>
                <c:pt idx="474">
                  <c:v>86.295200220512129</c:v>
                </c:pt>
                <c:pt idx="475">
                  <c:v>90.547616147239765</c:v>
                </c:pt>
                <c:pt idx="476">
                  <c:v>74.829403643597715</c:v>
                </c:pt>
                <c:pt idx="477">
                  <c:v>52.167189263177832</c:v>
                </c:pt>
                <c:pt idx="478">
                  <c:v>43.91528463744217</c:v>
                </c:pt>
                <c:pt idx="479">
                  <c:v>53.687411496030094</c:v>
                </c:pt>
                <c:pt idx="480">
                  <c:v>67.465675101731648</c:v>
                </c:pt>
                <c:pt idx="481">
                  <c:v>52.758173374020551</c:v>
                </c:pt>
                <c:pt idx="482">
                  <c:v>-17.098180107666277</c:v>
                </c:pt>
                <c:pt idx="483">
                  <c:v>-77.722462851928071</c:v>
                </c:pt>
                <c:pt idx="484">
                  <c:v>-114.16641333236385</c:v>
                </c:pt>
                <c:pt idx="485">
                  <c:v>-130.58757220919176</c:v>
                </c:pt>
                <c:pt idx="486">
                  <c:v>-133.25045246902422</c:v>
                </c:pt>
                <c:pt idx="487">
                  <c:v>-131.96310401310583</c:v>
                </c:pt>
                <c:pt idx="488">
                  <c:v>-132.928423950466</c:v>
                </c:pt>
                <c:pt idx="489">
                  <c:v>-133.08257620229182</c:v>
                </c:pt>
                <c:pt idx="490">
                  <c:v>-128.13779856829896</c:v>
                </c:pt>
                <c:pt idx="491">
                  <c:v>-115.12429669411833</c:v>
                </c:pt>
                <c:pt idx="492">
                  <c:v>-96.322312993872231</c:v>
                </c:pt>
                <c:pt idx="493">
                  <c:v>-83.169639648004974</c:v>
                </c:pt>
                <c:pt idx="494">
                  <c:v>-75.00922197006949</c:v>
                </c:pt>
                <c:pt idx="495">
                  <c:v>-61.568917824407976</c:v>
                </c:pt>
                <c:pt idx="496">
                  <c:v>-40.572214038704061</c:v>
                </c:pt>
                <c:pt idx="497">
                  <c:v>2.7528551879156069</c:v>
                </c:pt>
                <c:pt idx="498">
                  <c:v>72.062625352094557</c:v>
                </c:pt>
                <c:pt idx="499">
                  <c:v>100.58208298447468</c:v>
                </c:pt>
                <c:pt idx="500">
                  <c:v>102.2440963129681</c:v>
                </c:pt>
                <c:pt idx="501">
                  <c:v>86.780011227540271</c:v>
                </c:pt>
                <c:pt idx="502">
                  <c:v>58.390333684643217</c:v>
                </c:pt>
                <c:pt idx="503">
                  <c:v>35.169729049737093</c:v>
                </c:pt>
                <c:pt idx="504">
                  <c:v>18.927166267670039</c:v>
                </c:pt>
                <c:pt idx="505">
                  <c:v>-3.4906253091191708</c:v>
                </c:pt>
                <c:pt idx="506">
                  <c:v>-28.085520759635759</c:v>
                </c:pt>
                <c:pt idx="507">
                  <c:v>-61.751085381930636</c:v>
                </c:pt>
                <c:pt idx="508">
                  <c:v>-94.930961568573977</c:v>
                </c:pt>
                <c:pt idx="509">
                  <c:v>-111.14091906844052</c:v>
                </c:pt>
                <c:pt idx="510">
                  <c:v>-112.71023956619348</c:v>
                </c:pt>
                <c:pt idx="511">
                  <c:v>-108.60435077386708</c:v>
                </c:pt>
                <c:pt idx="512">
                  <c:v>-107.30285561446905</c:v>
                </c:pt>
                <c:pt idx="513">
                  <c:v>-112.55612217129871</c:v>
                </c:pt>
                <c:pt idx="514">
                  <c:v>-116.52049401808725</c:v>
                </c:pt>
                <c:pt idx="515">
                  <c:v>-112.01248451653728</c:v>
                </c:pt>
                <c:pt idx="516">
                  <c:v>-103.94350766115804</c:v>
                </c:pt>
                <c:pt idx="517">
                  <c:v>-99.103587434592839</c:v>
                </c:pt>
                <c:pt idx="518">
                  <c:v>-96.569667642819724</c:v>
                </c:pt>
                <c:pt idx="519">
                  <c:v>-96.455249304134369</c:v>
                </c:pt>
                <c:pt idx="520">
                  <c:v>-93.331038803687889</c:v>
                </c:pt>
                <c:pt idx="521">
                  <c:v>-76.880718738666459</c:v>
                </c:pt>
                <c:pt idx="522">
                  <c:v>-44.29399089791643</c:v>
                </c:pt>
                <c:pt idx="523">
                  <c:v>-0.10938235745847891</c:v>
                </c:pt>
                <c:pt idx="524">
                  <c:v>39.04323832609019</c:v>
                </c:pt>
                <c:pt idx="525">
                  <c:v>51.452576552061743</c:v>
                </c:pt>
                <c:pt idx="526">
                  <c:v>65.165401010669569</c:v>
                </c:pt>
                <c:pt idx="527">
                  <c:v>84.189512222945552</c:v>
                </c:pt>
                <c:pt idx="528">
                  <c:v>89.690587070808704</c:v>
                </c:pt>
                <c:pt idx="529">
                  <c:v>87.6079269135396</c:v>
                </c:pt>
                <c:pt idx="530">
                  <c:v>81.834975536899989</c:v>
                </c:pt>
                <c:pt idx="531">
                  <c:v>46.046920657266952</c:v>
                </c:pt>
                <c:pt idx="532">
                  <c:v>-29.753617190443354</c:v>
                </c:pt>
                <c:pt idx="533">
                  <c:v>-77.924505369578966</c:v>
                </c:pt>
                <c:pt idx="534">
                  <c:v>-102.0429971763902</c:v>
                </c:pt>
                <c:pt idx="535">
                  <c:v>-110.98462946061974</c:v>
                </c:pt>
                <c:pt idx="536">
                  <c:v>-115.61465306813432</c:v>
                </c:pt>
                <c:pt idx="537">
                  <c:v>-121.22362286816525</c:v>
                </c:pt>
                <c:pt idx="538">
                  <c:v>-122.74633951475991</c:v>
                </c:pt>
                <c:pt idx="539">
                  <c:v>-119.13335753979294</c:v>
                </c:pt>
                <c:pt idx="540">
                  <c:v>-114.11263241251163</c:v>
                </c:pt>
                <c:pt idx="541">
                  <c:v>-108.52776160574143</c:v>
                </c:pt>
                <c:pt idx="542">
                  <c:v>-105.55921884643581</c:v>
                </c:pt>
                <c:pt idx="543">
                  <c:v>-106.74650797775874</c:v>
                </c:pt>
                <c:pt idx="544">
                  <c:v>-104.63496952983527</c:v>
                </c:pt>
                <c:pt idx="545">
                  <c:v>-93.635903063590362</c:v>
                </c:pt>
                <c:pt idx="546">
                  <c:v>-70.010876841123277</c:v>
                </c:pt>
                <c:pt idx="547">
                  <c:v>-34.58282054159659</c:v>
                </c:pt>
                <c:pt idx="548">
                  <c:v>-12.988305853614921</c:v>
                </c:pt>
                <c:pt idx="549">
                  <c:v>-10.171480197702731</c:v>
                </c:pt>
                <c:pt idx="550">
                  <c:v>6.5087876053354989</c:v>
                </c:pt>
                <c:pt idx="551">
                  <c:v>29.939983911843978</c:v>
                </c:pt>
                <c:pt idx="552">
                  <c:v>32.400710852196973</c:v>
                </c:pt>
                <c:pt idx="553">
                  <c:v>23.737681617955666</c:v>
                </c:pt>
                <c:pt idx="554">
                  <c:v>16.552368507215647</c:v>
                </c:pt>
                <c:pt idx="555">
                  <c:v>18.056137238585933</c:v>
                </c:pt>
                <c:pt idx="556">
                  <c:v>19.453059763319374</c:v>
                </c:pt>
                <c:pt idx="557">
                  <c:v>0.85263614816324207</c:v>
                </c:pt>
                <c:pt idx="558">
                  <c:v>-20.568420515048313</c:v>
                </c:pt>
                <c:pt idx="559">
                  <c:v>-36.262527147942578</c:v>
                </c:pt>
                <c:pt idx="560">
                  <c:v>-56.517838571437579</c:v>
                </c:pt>
                <c:pt idx="561">
                  <c:v>-71.977862942870516</c:v>
                </c:pt>
                <c:pt idx="562">
                  <c:v>-76.642000951957655</c:v>
                </c:pt>
                <c:pt idx="563">
                  <c:v>-78.16380270530081</c:v>
                </c:pt>
                <c:pt idx="564">
                  <c:v>-80.254028083862622</c:v>
                </c:pt>
                <c:pt idx="565">
                  <c:v>-86.372850197724759</c:v>
                </c:pt>
                <c:pt idx="566">
                  <c:v>-100.14534924151286</c:v>
                </c:pt>
                <c:pt idx="567">
                  <c:v>-115.13738330193553</c:v>
                </c:pt>
                <c:pt idx="568">
                  <c:v>-126.43033047193541</c:v>
                </c:pt>
                <c:pt idx="569">
                  <c:v>-131.06010909087431</c:v>
                </c:pt>
                <c:pt idx="570">
                  <c:v>-125.88189398727343</c:v>
                </c:pt>
                <c:pt idx="571">
                  <c:v>-114.73425403305859</c:v>
                </c:pt>
                <c:pt idx="572">
                  <c:v>-106.48450681523389</c:v>
                </c:pt>
                <c:pt idx="573">
                  <c:v>-97.692004703856199</c:v>
                </c:pt>
                <c:pt idx="574">
                  <c:v>-78.669646850472802</c:v>
                </c:pt>
                <c:pt idx="575">
                  <c:v>-45.555887979828782</c:v>
                </c:pt>
                <c:pt idx="576">
                  <c:v>-6.6904077678567013</c:v>
                </c:pt>
                <c:pt idx="577">
                  <c:v>2.6828481826793293</c:v>
                </c:pt>
                <c:pt idx="578">
                  <c:v>-15.430402297852925</c:v>
                </c:pt>
                <c:pt idx="579">
                  <c:v>-22.998679311228624</c:v>
                </c:pt>
                <c:pt idx="580">
                  <c:v>-16.780119429027952</c:v>
                </c:pt>
                <c:pt idx="581">
                  <c:v>2.6227384559790323</c:v>
                </c:pt>
                <c:pt idx="582">
                  <c:v>38.227836146220803</c:v>
                </c:pt>
                <c:pt idx="583">
                  <c:v>46.924678520039897</c:v>
                </c:pt>
                <c:pt idx="584">
                  <c:v>15.439578770110652</c:v>
                </c:pt>
                <c:pt idx="585">
                  <c:v>-15.487060961672608</c:v>
                </c:pt>
                <c:pt idx="586">
                  <c:v>-30.894353325373256</c:v>
                </c:pt>
                <c:pt idx="587">
                  <c:v>-33.247961978239985</c:v>
                </c:pt>
                <c:pt idx="588">
                  <c:v>-28.846876410656687</c:v>
                </c:pt>
                <c:pt idx="589">
                  <c:v>-31.648327045060402</c:v>
                </c:pt>
                <c:pt idx="590">
                  <c:v>-40.319646567902268</c:v>
                </c:pt>
                <c:pt idx="591">
                  <c:v>-54.803289635230882</c:v>
                </c:pt>
                <c:pt idx="592">
                  <c:v>-77.316761871574641</c:v>
                </c:pt>
                <c:pt idx="593">
                  <c:v>-91.64327806214196</c:v>
                </c:pt>
                <c:pt idx="594">
                  <c:v>-93.060120258752306</c:v>
                </c:pt>
                <c:pt idx="595">
                  <c:v>-94.181890262068279</c:v>
                </c:pt>
                <c:pt idx="596">
                  <c:v>-103.33878556324825</c:v>
                </c:pt>
                <c:pt idx="597">
                  <c:v>-115.42555898461583</c:v>
                </c:pt>
                <c:pt idx="598">
                  <c:v>-122.37134444961492</c:v>
                </c:pt>
                <c:pt idx="599">
                  <c:v>-119.26289162629814</c:v>
                </c:pt>
                <c:pt idx="600">
                  <c:v>-109.84228659437207</c:v>
                </c:pt>
                <c:pt idx="601">
                  <c:v>-104.10638115697284</c:v>
                </c:pt>
                <c:pt idx="602">
                  <c:v>-103.66583719231735</c:v>
                </c:pt>
                <c:pt idx="603">
                  <c:v>-105.59132787996012</c:v>
                </c:pt>
                <c:pt idx="604">
                  <c:v>-105.1530986473131</c:v>
                </c:pt>
                <c:pt idx="605">
                  <c:v>-92.024097176507368</c:v>
                </c:pt>
                <c:pt idx="606">
                  <c:v>-61.514688059556448</c:v>
                </c:pt>
                <c:pt idx="607">
                  <c:v>-24.443400444026725</c:v>
                </c:pt>
                <c:pt idx="608">
                  <c:v>2.1711995644282496</c:v>
                </c:pt>
                <c:pt idx="609">
                  <c:v>15.816900084433078</c:v>
                </c:pt>
                <c:pt idx="610">
                  <c:v>40.961309269870554</c:v>
                </c:pt>
                <c:pt idx="611">
                  <c:v>79.219724056885838</c:v>
                </c:pt>
                <c:pt idx="612">
                  <c:v>99.13385716995441</c:v>
                </c:pt>
                <c:pt idx="613">
                  <c:v>100.14627297076217</c:v>
                </c:pt>
                <c:pt idx="614">
                  <c:v>91.354310498330506</c:v>
                </c:pt>
                <c:pt idx="615">
                  <c:v>55.947664408579669</c:v>
                </c:pt>
                <c:pt idx="616">
                  <c:v>-21.653003274372384</c:v>
                </c:pt>
                <c:pt idx="617">
                  <c:v>-64.981630060906454</c:v>
                </c:pt>
                <c:pt idx="618">
                  <c:v>-82.197560338162631</c:v>
                </c:pt>
                <c:pt idx="619">
                  <c:v>-85.589033406798677</c:v>
                </c:pt>
                <c:pt idx="620">
                  <c:v>-85.568735690906138</c:v>
                </c:pt>
                <c:pt idx="621">
                  <c:v>-91.414537423833011</c:v>
                </c:pt>
                <c:pt idx="622">
                  <c:v>-96.195329726418521</c:v>
                </c:pt>
                <c:pt idx="623">
                  <c:v>-93.856909671360157</c:v>
                </c:pt>
                <c:pt idx="624">
                  <c:v>-91.225956078271281</c:v>
                </c:pt>
                <c:pt idx="625">
                  <c:v>-92.869333021767417</c:v>
                </c:pt>
                <c:pt idx="626">
                  <c:v>-100.64686437107511</c:v>
                </c:pt>
                <c:pt idx="627">
                  <c:v>-114.74633036060214</c:v>
                </c:pt>
                <c:pt idx="628">
                  <c:v>-124.84986925372996</c:v>
                </c:pt>
                <c:pt idx="629">
                  <c:v>-124.38747091179795</c:v>
                </c:pt>
                <c:pt idx="630">
                  <c:v>-113.16257322520616</c:v>
                </c:pt>
                <c:pt idx="631">
                  <c:v>-93.060571235031688</c:v>
                </c:pt>
                <c:pt idx="632">
                  <c:v>-75.613544569431298</c:v>
                </c:pt>
                <c:pt idx="633">
                  <c:v>-70.39901731797778</c:v>
                </c:pt>
                <c:pt idx="634">
                  <c:v>-61.829340741929684</c:v>
                </c:pt>
                <c:pt idx="635">
                  <c:v>-43.963970187938784</c:v>
                </c:pt>
                <c:pt idx="636">
                  <c:v>-29.222573873476239</c:v>
                </c:pt>
                <c:pt idx="637">
                  <c:v>-12.856517493340501</c:v>
                </c:pt>
                <c:pt idx="638">
                  <c:v>15.592821577515691</c:v>
                </c:pt>
                <c:pt idx="639">
                  <c:v>49.155318406389981</c:v>
                </c:pt>
                <c:pt idx="640">
                  <c:v>70.946356135887513</c:v>
                </c:pt>
                <c:pt idx="641">
                  <c:v>75.095233186156179</c:v>
                </c:pt>
                <c:pt idx="642">
                  <c:v>64.365120903124804</c:v>
                </c:pt>
                <c:pt idx="643">
                  <c:v>44.800277822293424</c:v>
                </c:pt>
                <c:pt idx="644">
                  <c:v>-1.1799458703408909</c:v>
                </c:pt>
                <c:pt idx="645">
                  <c:v>-46.692537864755536</c:v>
                </c:pt>
                <c:pt idx="646">
                  <c:v>-71.947133539401278</c:v>
                </c:pt>
                <c:pt idx="647">
                  <c:v>-86.642752347328141</c:v>
                </c:pt>
                <c:pt idx="648">
                  <c:v>-95.676959888979624</c:v>
                </c:pt>
                <c:pt idx="649">
                  <c:v>-98.122448820763637</c:v>
                </c:pt>
                <c:pt idx="650">
                  <c:v>-100.48769743182734</c:v>
                </c:pt>
                <c:pt idx="651">
                  <c:v>-107.30610928878502</c:v>
                </c:pt>
                <c:pt idx="652">
                  <c:v>-115.26632411358301</c:v>
                </c:pt>
                <c:pt idx="653">
                  <c:v>-119.9226201633432</c:v>
                </c:pt>
                <c:pt idx="654">
                  <c:v>-116.07185575228331</c:v>
                </c:pt>
                <c:pt idx="655">
                  <c:v>-104.54118575702219</c:v>
                </c:pt>
                <c:pt idx="656">
                  <c:v>-95.753803122798757</c:v>
                </c:pt>
                <c:pt idx="657">
                  <c:v>-89.008895211700178</c:v>
                </c:pt>
                <c:pt idx="658">
                  <c:v>-71.740440237859801</c:v>
                </c:pt>
                <c:pt idx="659">
                  <c:v>-41.393919835992222</c:v>
                </c:pt>
                <c:pt idx="660">
                  <c:v>-5.975287539397609</c:v>
                </c:pt>
                <c:pt idx="661">
                  <c:v>12.781695037612526</c:v>
                </c:pt>
                <c:pt idx="662">
                  <c:v>1.5607393675678658</c:v>
                </c:pt>
                <c:pt idx="663">
                  <c:v>-12.733605513161169</c:v>
                </c:pt>
                <c:pt idx="664">
                  <c:v>-22.091836665283399</c:v>
                </c:pt>
                <c:pt idx="665">
                  <c:v>-33.280540079985627</c:v>
                </c:pt>
                <c:pt idx="666">
                  <c:v>-40.261616455922592</c:v>
                </c:pt>
                <c:pt idx="667">
                  <c:v>-48.760515302087256</c:v>
                </c:pt>
                <c:pt idx="668">
                  <c:v>-62.026566129679921</c:v>
                </c:pt>
                <c:pt idx="669">
                  <c:v>-63.719857049799188</c:v>
                </c:pt>
                <c:pt idx="670">
                  <c:v>-49.219824670063872</c:v>
                </c:pt>
                <c:pt idx="671">
                  <c:v>-30.561947672748733</c:v>
                </c:pt>
                <c:pt idx="672">
                  <c:v>-22.699041878267163</c:v>
                </c:pt>
                <c:pt idx="673">
                  <c:v>-37.19873732078743</c:v>
                </c:pt>
                <c:pt idx="674">
                  <c:v>-63.752728971930665</c:v>
                </c:pt>
                <c:pt idx="675">
                  <c:v>-87.4031639297678</c:v>
                </c:pt>
                <c:pt idx="676">
                  <c:v>-107.35556025429921</c:v>
                </c:pt>
                <c:pt idx="677">
                  <c:v>-118.55510239490732</c:v>
                </c:pt>
                <c:pt idx="678">
                  <c:v>-116.59135824825518</c:v>
                </c:pt>
                <c:pt idx="679">
                  <c:v>-106.70719543797335</c:v>
                </c:pt>
                <c:pt idx="680">
                  <c:v>-97.891445728158459</c:v>
                </c:pt>
                <c:pt idx="681">
                  <c:v>-91.444368948240424</c:v>
                </c:pt>
                <c:pt idx="682">
                  <c:v>-84.840189268573766</c:v>
                </c:pt>
                <c:pt idx="683">
                  <c:v>-74.345631353960357</c:v>
                </c:pt>
                <c:pt idx="684">
                  <c:v>-62.34193366555526</c:v>
                </c:pt>
                <c:pt idx="685">
                  <c:v>-62.235027330920005</c:v>
                </c:pt>
                <c:pt idx="686">
                  <c:v>-68.405341620000371</c:v>
                </c:pt>
                <c:pt idx="687">
                  <c:v>-65.688884529542236</c:v>
                </c:pt>
                <c:pt idx="688">
                  <c:v>-48.187355576040886</c:v>
                </c:pt>
                <c:pt idx="689">
                  <c:v>2.8607503022330043</c:v>
                </c:pt>
                <c:pt idx="690">
                  <c:v>79.506743319889694</c:v>
                </c:pt>
                <c:pt idx="691">
                  <c:v>94.64757931130768</c:v>
                </c:pt>
                <c:pt idx="692">
                  <c:v>58.186220674709261</c:v>
                </c:pt>
                <c:pt idx="693">
                  <c:v>-18.998820823611798</c:v>
                </c:pt>
                <c:pt idx="694">
                  <c:v>-57.817162968285032</c:v>
                </c:pt>
                <c:pt idx="695">
                  <c:v>-67.728902950426473</c:v>
                </c:pt>
                <c:pt idx="696">
                  <c:v>-67.775041539132928</c:v>
                </c:pt>
                <c:pt idx="697">
                  <c:v>-70.51117904518641</c:v>
                </c:pt>
                <c:pt idx="698">
                  <c:v>-71.293016972970065</c:v>
                </c:pt>
                <c:pt idx="699">
                  <c:v>-73.837075220267025</c:v>
                </c:pt>
                <c:pt idx="700">
                  <c:v>-86.025723814789529</c:v>
                </c:pt>
                <c:pt idx="701">
                  <c:v>-97.50124406631673</c:v>
                </c:pt>
                <c:pt idx="702">
                  <c:v>-102.94394986359674</c:v>
                </c:pt>
                <c:pt idx="703">
                  <c:v>-105.5497147889489</c:v>
                </c:pt>
                <c:pt idx="704">
                  <c:v>-106.27239612607175</c:v>
                </c:pt>
                <c:pt idx="705">
                  <c:v>-105.52986646894476</c:v>
                </c:pt>
                <c:pt idx="706">
                  <c:v>-99.194627987378652</c:v>
                </c:pt>
                <c:pt idx="707">
                  <c:v>-79.47885697089356</c:v>
                </c:pt>
                <c:pt idx="708">
                  <c:v>-51.280521492340284</c:v>
                </c:pt>
                <c:pt idx="709">
                  <c:v>-36.242399191064052</c:v>
                </c:pt>
                <c:pt idx="710">
                  <c:v>-46.836984142328504</c:v>
                </c:pt>
                <c:pt idx="711">
                  <c:v>-76.521402990295826</c:v>
                </c:pt>
                <c:pt idx="712">
                  <c:v>-99.86055597144545</c:v>
                </c:pt>
                <c:pt idx="713">
                  <c:v>-103.20994319478422</c:v>
                </c:pt>
                <c:pt idx="714">
                  <c:v>-88.350403988903807</c:v>
                </c:pt>
                <c:pt idx="715">
                  <c:v>-62.32314570095221</c:v>
                </c:pt>
                <c:pt idx="716">
                  <c:v>-41.810580093127513</c:v>
                </c:pt>
                <c:pt idx="717">
                  <c:v>-39.797900109746379</c:v>
                </c:pt>
                <c:pt idx="718">
                  <c:v>-32.910603738774526</c:v>
                </c:pt>
                <c:pt idx="719">
                  <c:v>-2.6057109812444956</c:v>
                </c:pt>
                <c:pt idx="720">
                  <c:v>28.452214779249214</c:v>
                </c:pt>
                <c:pt idx="721">
                  <c:v>36.653289909508587</c:v>
                </c:pt>
                <c:pt idx="722">
                  <c:v>31.545495215128785</c:v>
                </c:pt>
                <c:pt idx="723">
                  <c:v>8.3931311532487314</c:v>
                </c:pt>
                <c:pt idx="724">
                  <c:v>-18.001841130681402</c:v>
                </c:pt>
                <c:pt idx="725">
                  <c:v>-36.135590315950978</c:v>
                </c:pt>
                <c:pt idx="726">
                  <c:v>-49.728009660669045</c:v>
                </c:pt>
                <c:pt idx="727">
                  <c:v>-58.706971481055788</c:v>
                </c:pt>
                <c:pt idx="728">
                  <c:v>-68.903088966384402</c:v>
                </c:pt>
                <c:pt idx="729">
                  <c:v>-82.230531107227179</c:v>
                </c:pt>
                <c:pt idx="730">
                  <c:v>-88.364667674550873</c:v>
                </c:pt>
                <c:pt idx="731">
                  <c:v>-87.579988472044931</c:v>
                </c:pt>
                <c:pt idx="732">
                  <c:v>-87.037218529852368</c:v>
                </c:pt>
                <c:pt idx="733">
                  <c:v>-86.140220530010737</c:v>
                </c:pt>
                <c:pt idx="734">
                  <c:v>-89.618908911686873</c:v>
                </c:pt>
                <c:pt idx="735">
                  <c:v>-103.16033527060131</c:v>
                </c:pt>
                <c:pt idx="736">
                  <c:v>-116.69460135649746</c:v>
                </c:pt>
                <c:pt idx="737">
                  <c:v>-121.87147419270576</c:v>
                </c:pt>
                <c:pt idx="738">
                  <c:v>-115.41828344127339</c:v>
                </c:pt>
                <c:pt idx="739">
                  <c:v>-96.953054908290909</c:v>
                </c:pt>
                <c:pt idx="740">
                  <c:v>-80.47420380318475</c:v>
                </c:pt>
                <c:pt idx="741">
                  <c:v>-79.737060727112791</c:v>
                </c:pt>
                <c:pt idx="742">
                  <c:v>-82.126632314361942</c:v>
                </c:pt>
                <c:pt idx="743">
                  <c:v>-82.581655504347111</c:v>
                </c:pt>
                <c:pt idx="744">
                  <c:v>-83.55552527958433</c:v>
                </c:pt>
                <c:pt idx="745">
                  <c:v>-81.937403618672761</c:v>
                </c:pt>
                <c:pt idx="746">
                  <c:v>-76.707003474387889</c:v>
                </c:pt>
                <c:pt idx="747">
                  <c:v>-62.422625689811923</c:v>
                </c:pt>
                <c:pt idx="748">
                  <c:v>-27.469241339229686</c:v>
                </c:pt>
                <c:pt idx="749">
                  <c:v>34.488094081390813</c:v>
                </c:pt>
                <c:pt idx="750">
                  <c:v>84.489916462292669</c:v>
                </c:pt>
                <c:pt idx="751">
                  <c:v>102.65137151666828</c:v>
                </c:pt>
                <c:pt idx="752">
                  <c:v>92.288289313937469</c:v>
                </c:pt>
                <c:pt idx="753">
                  <c:v>67.11571578001876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250144"/>
        <c:axId val="873255240"/>
      </c:scatterChart>
      <c:valAx>
        <c:axId val="873250144"/>
        <c:scaling>
          <c:orientation val="minMax"/>
          <c:max val="2015"/>
          <c:min val="1950"/>
        </c:scaling>
        <c:delete val="0"/>
        <c:axPos val="b"/>
        <c:majorGridlines/>
        <c:minorGridlines>
          <c:spPr>
            <a:ln>
              <a:solidFill>
                <a:schemeClr val="bg1">
                  <a:lumMod val="75000"/>
                  <a:alpha val="61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1600" baseline="0"/>
                </a:pPr>
                <a:r>
                  <a:rPr lang="en-US" sz="1600" baseline="0"/>
                  <a:t>Year</a:t>
                </a:r>
              </a:p>
            </c:rich>
          </c:tx>
          <c:layout>
            <c:manualLayout>
              <c:xMode val="edge"/>
              <c:yMode val="edge"/>
              <c:x val="0.49849708932909409"/>
              <c:y val="0.90343260973289552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873255240"/>
        <c:crosses val="autoZero"/>
        <c:crossBetween val="midCat"/>
        <c:minorUnit val="1"/>
      </c:valAx>
      <c:valAx>
        <c:axId val="873255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8732501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7119421214096959"/>
          <c:y val="0.69872395506024909"/>
          <c:w val="0.1528292953716712"/>
          <c:h val="0.1302546311877487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40000"/>
        <a:lumOff val="60000"/>
      </a:schemeClr>
    </a:solidFill>
  </c:spPr>
  <c:txPr>
    <a:bodyPr/>
    <a:lstStyle/>
    <a:p>
      <a:pPr>
        <a:defRPr sz="12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13</xdr:row>
      <xdr:rowOff>95250</xdr:rowOff>
    </xdr:from>
    <xdr:to>
      <xdr:col>18</xdr:col>
      <xdr:colOff>152399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13</xdr:row>
      <xdr:rowOff>95250</xdr:rowOff>
    </xdr:from>
    <xdr:to>
      <xdr:col>11</xdr:col>
      <xdr:colOff>28575</xdr:colOff>
      <xdr:row>25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145257</xdr:colOff>
      <xdr:row>2</xdr:row>
      <xdr:rowOff>154780</xdr:rowOff>
    </xdr:from>
    <xdr:to>
      <xdr:col>24</xdr:col>
      <xdr:colOff>383381</xdr:colOff>
      <xdr:row>18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547688</xdr:colOff>
      <xdr:row>21</xdr:row>
      <xdr:rowOff>71438</xdr:rowOff>
    </xdr:from>
    <xdr:to>
      <xdr:col>23</xdr:col>
      <xdr:colOff>392907</xdr:colOff>
      <xdr:row>36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535781</xdr:colOff>
      <xdr:row>38</xdr:row>
      <xdr:rowOff>23813</xdr:rowOff>
    </xdr:from>
    <xdr:to>
      <xdr:col>24</xdr:col>
      <xdr:colOff>166686</xdr:colOff>
      <xdr:row>48</xdr:row>
      <xdr:rowOff>147638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145257</xdr:colOff>
      <xdr:row>2</xdr:row>
      <xdr:rowOff>154780</xdr:rowOff>
    </xdr:from>
    <xdr:to>
      <xdr:col>24</xdr:col>
      <xdr:colOff>383381</xdr:colOff>
      <xdr:row>17</xdr:row>
      <xdr:rowOff>166687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547688</xdr:colOff>
      <xdr:row>21</xdr:row>
      <xdr:rowOff>71438</xdr:rowOff>
    </xdr:from>
    <xdr:to>
      <xdr:col>23</xdr:col>
      <xdr:colOff>392907</xdr:colOff>
      <xdr:row>36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535781</xdr:colOff>
      <xdr:row>38</xdr:row>
      <xdr:rowOff>23813</xdr:rowOff>
    </xdr:from>
    <xdr:to>
      <xdr:col>24</xdr:col>
      <xdr:colOff>166686</xdr:colOff>
      <xdr:row>48</xdr:row>
      <xdr:rowOff>147638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400051</xdr:colOff>
      <xdr:row>0</xdr:row>
      <xdr:rowOff>66674</xdr:rowOff>
    </xdr:from>
    <xdr:to>
      <xdr:col>15</xdr:col>
      <xdr:colOff>323850</xdr:colOff>
      <xdr:row>30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183355</xdr:colOff>
      <xdr:row>15</xdr:row>
      <xdr:rowOff>178595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14</xdr:row>
      <xdr:rowOff>130969</xdr:rowOff>
    </xdr:from>
    <xdr:to>
      <xdr:col>23</xdr:col>
      <xdr:colOff>190500</xdr:colOff>
      <xdr:row>32</xdr:row>
      <xdr:rowOff>59531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E6" sqref="E6:F6"/>
    </sheetView>
  </sheetViews>
  <sheetFormatPr defaultRowHeight="15" x14ac:dyDescent="0.25"/>
  <sheetData>
    <row r="1" spans="1:10" x14ac:dyDescent="0.25">
      <c r="A1">
        <v>365.24200000000002</v>
      </c>
    </row>
    <row r="2" spans="1:10" x14ac:dyDescent="0.25">
      <c r="A2">
        <v>27.212</v>
      </c>
      <c r="B2">
        <f>2*PI()/A2*$A$1</f>
        <v>84.333498749260869</v>
      </c>
      <c r="C2">
        <f>+B2-26*PI()</f>
        <v>2.6520897559262409</v>
      </c>
      <c r="D2">
        <f>2*PI()/C2</f>
        <v>2.3691450461431263</v>
      </c>
    </row>
    <row r="3" spans="1:10" x14ac:dyDescent="0.25">
      <c r="A3">
        <v>7.0960000000000001</v>
      </c>
      <c r="B3">
        <f>2*PI()/A3*$A$1</f>
        <v>323.4051815057619</v>
      </c>
      <c r="C3">
        <f>+B3-4*26*PI()</f>
        <v>-3.3204544675766101</v>
      </c>
      <c r="D3">
        <f>2*PI()/C3</f>
        <v>-1.8922666666666526</v>
      </c>
      <c r="E3">
        <f>+C3+2*PI()</f>
        <v>2.9627308396029761</v>
      </c>
      <c r="F3">
        <f>2*PI()/E3</f>
        <v>2.1207411835027075</v>
      </c>
    </row>
    <row r="4" spans="1:10" x14ac:dyDescent="0.25">
      <c r="A4">
        <v>6.859</v>
      </c>
      <c r="B4">
        <f>2*PI()/A4*$A$1</f>
        <v>334.57984661975308</v>
      </c>
      <c r="C4">
        <f>+B4-4*26*PI()</f>
        <v>7.8542106464145718</v>
      </c>
      <c r="D4" s="1">
        <f>2*PI()/C4</f>
        <v>0.79997667366457059</v>
      </c>
      <c r="E4">
        <f>+C4-2*PI()</f>
        <v>1.5710253392349856</v>
      </c>
      <c r="F4" s="1">
        <f>2*PI()/E4</f>
        <v>3.9994169096210745</v>
      </c>
      <c r="G4">
        <f>+E4-2*PI()</f>
        <v>-4.7121599679446007</v>
      </c>
      <c r="H4" s="1">
        <f>2*PI()/G4</f>
        <v>-1.3333981337480467</v>
      </c>
      <c r="I4">
        <f>+C4+2*PI()</f>
        <v>14.137395953594158</v>
      </c>
      <c r="J4" s="1">
        <f>2*PI()/I4</f>
        <v>0.44443724486490094</v>
      </c>
    </row>
    <row r="5" spans="1:10" x14ac:dyDescent="0.25">
      <c r="A5">
        <v>7.085</v>
      </c>
      <c r="B5">
        <f>2*PI()/A5*$A$1</f>
        <v>323.90729258502279</v>
      </c>
      <c r="C5">
        <f>+B5-4*26*PI()</f>
        <v>-2.818343388315725</v>
      </c>
      <c r="D5">
        <f>2*PI()/C5</f>
        <v>-2.2293895531780787</v>
      </c>
      <c r="E5">
        <f>+C5+2*PI()</f>
        <v>3.4648419188638613</v>
      </c>
      <c r="F5">
        <f>2*PI()/E5</f>
        <v>1.8134118249296274</v>
      </c>
    </row>
    <row r="6" spans="1:10" x14ac:dyDescent="0.25">
      <c r="D6" s="1"/>
      <c r="H6" s="1"/>
      <c r="J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4"/>
  <sheetViews>
    <sheetView zoomScale="70" zoomScaleNormal="70" workbookViewId="0">
      <selection activeCell="B3" sqref="B3"/>
    </sheetView>
  </sheetViews>
  <sheetFormatPr defaultRowHeight="15" x14ac:dyDescent="0.25"/>
  <cols>
    <col min="1" max="1" width="14" customWidth="1"/>
    <col min="2" max="2" width="14.5703125" customWidth="1"/>
    <col min="3" max="3" width="18.85546875" bestFit="1" customWidth="1"/>
    <col min="4" max="4" width="17.140625" bestFit="1" customWidth="1"/>
    <col min="5" max="5" width="18.85546875" bestFit="1" customWidth="1"/>
    <col min="6" max="6" width="18.85546875" customWidth="1"/>
  </cols>
  <sheetData>
    <row r="1" spans="1:11" x14ac:dyDescent="0.25">
      <c r="B1">
        <v>4</v>
      </c>
    </row>
    <row r="2" spans="1:11" x14ac:dyDescent="0.25">
      <c r="B2">
        <v>1</v>
      </c>
    </row>
    <row r="3" spans="1:11" x14ac:dyDescent="0.25">
      <c r="B3">
        <v>1.2408142752889017E-2</v>
      </c>
      <c r="C3">
        <f>+CORREL(B5:B758,C5:C758)</f>
        <v>0.84854232572345478</v>
      </c>
      <c r="E3">
        <v>0.8666236403554517</v>
      </c>
      <c r="F3">
        <f>+AVERAGE(F5:F758)</f>
        <v>64.729442970822276</v>
      </c>
      <c r="G3">
        <f>+AVERAGE(G5:G758)</f>
        <v>66.555201705606407</v>
      </c>
    </row>
    <row r="4" spans="1:11" ht="36" x14ac:dyDescent="0.25">
      <c r="A4" s="2" t="s">
        <v>0</v>
      </c>
      <c r="B4" s="2" t="s">
        <v>1</v>
      </c>
      <c r="C4" s="2" t="s">
        <v>2</v>
      </c>
      <c r="D4" t="s">
        <v>1</v>
      </c>
      <c r="E4" t="s">
        <v>2</v>
      </c>
      <c r="G4" t="s">
        <v>2</v>
      </c>
      <c r="I4" s="2" t="s">
        <v>0</v>
      </c>
      <c r="J4" s="2" t="s">
        <v>1</v>
      </c>
      <c r="K4" s="2" t="s">
        <v>2</v>
      </c>
    </row>
    <row r="5" spans="1:11" ht="18" x14ac:dyDescent="0.25">
      <c r="A5" s="3">
        <v>1953.0833333333301</v>
      </c>
      <c r="B5" s="3">
        <f>+$D5</f>
        <v>-274.72944297082228</v>
      </c>
      <c r="C5" s="3">
        <f>$B$1*$E5/(1+$B$3*ABS($E5)^$B$2)</f>
        <v>-211.76687641355616</v>
      </c>
      <c r="D5" s="3">
        <f>+F5-$F$3</f>
        <v>-274.72944297082228</v>
      </c>
      <c r="E5" s="3">
        <f>+$G5-$G$3</f>
        <v>-154.3078302456897</v>
      </c>
      <c r="F5" s="3">
        <v>-210</v>
      </c>
      <c r="G5">
        <v>-87.752628540083293</v>
      </c>
      <c r="I5" s="3">
        <v>1880.0833333333301</v>
      </c>
      <c r="J5" s="3">
        <v>0</v>
      </c>
      <c r="K5" s="3">
        <v>33.123718097176202</v>
      </c>
    </row>
    <row r="6" spans="1:11" ht="18" x14ac:dyDescent="0.25">
      <c r="A6" s="3">
        <v>1953.1666666666599</v>
      </c>
      <c r="B6" s="3">
        <f t="shared" ref="B6:B69" si="0">+$D6</f>
        <v>-274.72944297082228</v>
      </c>
      <c r="C6" s="3">
        <f t="shared" ref="C6:C69" si="1">$B$1*$E6/(1+$B$3*ABS($E6)^$B$2)</f>
        <v>-218.41267463385009</v>
      </c>
      <c r="D6" s="3">
        <f t="shared" ref="D6:D69" si="2">+F6-$F$3</f>
        <v>-274.72944297082228</v>
      </c>
      <c r="E6" s="3">
        <f t="shared" ref="E6:E69" si="3">+$G6-$G$3</f>
        <v>-169.32470530790141</v>
      </c>
      <c r="F6" s="3">
        <v>-210</v>
      </c>
      <c r="G6">
        <v>-102.769503602295</v>
      </c>
      <c r="I6" s="3">
        <v>1880.1666666666599</v>
      </c>
      <c r="J6" s="3">
        <v>0</v>
      </c>
      <c r="K6" s="3">
        <v>46.6623954822103</v>
      </c>
    </row>
    <row r="7" spans="1:11" ht="18" x14ac:dyDescent="0.25">
      <c r="A7" s="3">
        <v>1953.25</v>
      </c>
      <c r="B7" s="3">
        <f t="shared" si="0"/>
        <v>-254.72944297082228</v>
      </c>
      <c r="C7" s="3">
        <f t="shared" si="1"/>
        <v>-208.29834204955782</v>
      </c>
      <c r="D7" s="3">
        <f t="shared" si="2"/>
        <v>-254.72944297082228</v>
      </c>
      <c r="E7" s="3">
        <f t="shared" si="3"/>
        <v>-147.1652459570069</v>
      </c>
      <c r="F7" s="3">
        <v>-190</v>
      </c>
      <c r="G7">
        <v>-80.610044251400495</v>
      </c>
      <c r="I7" s="3">
        <v>1880.25</v>
      </c>
      <c r="J7" s="3">
        <v>0</v>
      </c>
      <c r="K7" s="3">
        <v>87.358026939146001</v>
      </c>
    </row>
    <row r="8" spans="1:11" ht="18" x14ac:dyDescent="0.25">
      <c r="A8" s="3">
        <v>1953.3333333333301</v>
      </c>
      <c r="B8" s="3">
        <f t="shared" si="0"/>
        <v>-204.72944297082228</v>
      </c>
      <c r="C8" s="3">
        <f t="shared" si="1"/>
        <v>-169.15089246899734</v>
      </c>
      <c r="D8" s="3">
        <f t="shared" si="2"/>
        <v>-204.72944297082228</v>
      </c>
      <c r="E8" s="3">
        <f t="shared" si="3"/>
        <v>-88.972859553103007</v>
      </c>
      <c r="F8" s="3">
        <v>-140</v>
      </c>
      <c r="G8">
        <v>-22.417657847496599</v>
      </c>
      <c r="I8" s="3">
        <v>1880.3333333333301</v>
      </c>
      <c r="J8" s="3">
        <v>0</v>
      </c>
      <c r="K8" s="3">
        <v>144.188333995547</v>
      </c>
    </row>
    <row r="9" spans="1:11" ht="18" x14ac:dyDescent="0.25">
      <c r="A9" s="3">
        <v>1953.4166666666599</v>
      </c>
      <c r="B9" s="3">
        <f t="shared" si="0"/>
        <v>-174.72944297082228</v>
      </c>
      <c r="C9" s="3">
        <f t="shared" si="1"/>
        <v>17.821377414998953</v>
      </c>
      <c r="D9" s="3">
        <f t="shared" si="2"/>
        <v>-174.72944297082228</v>
      </c>
      <c r="E9" s="3">
        <f t="shared" si="3"/>
        <v>4.7160601806141926</v>
      </c>
      <c r="F9" s="3">
        <v>-110</v>
      </c>
      <c r="G9">
        <v>71.2712618862206</v>
      </c>
      <c r="I9" s="3">
        <v>1880.4166666666599</v>
      </c>
      <c r="J9" s="3">
        <v>0</v>
      </c>
      <c r="K9" s="3">
        <v>214.066410942201</v>
      </c>
    </row>
    <row r="10" spans="1:11" ht="18" x14ac:dyDescent="0.25">
      <c r="A10" s="3">
        <v>1953.5</v>
      </c>
      <c r="B10" s="3">
        <f t="shared" si="0"/>
        <v>-144.72944297082228</v>
      </c>
      <c r="C10" s="3">
        <f t="shared" si="1"/>
        <v>167.06489926417845</v>
      </c>
      <c r="D10" s="3">
        <f t="shared" si="2"/>
        <v>-144.72944297082228</v>
      </c>
      <c r="E10" s="3">
        <f t="shared" si="3"/>
        <v>86.69531668429758</v>
      </c>
      <c r="F10" s="3">
        <v>-80</v>
      </c>
      <c r="G10">
        <v>153.25051838990399</v>
      </c>
      <c r="I10" s="3">
        <v>1880.5</v>
      </c>
      <c r="J10" s="3">
        <v>0</v>
      </c>
      <c r="K10" s="3">
        <v>260.85064641928199</v>
      </c>
    </row>
    <row r="11" spans="1:11" ht="18" x14ac:dyDescent="0.25">
      <c r="A11" s="3">
        <v>1953.5833333333301</v>
      </c>
      <c r="B11" s="3">
        <f t="shared" si="0"/>
        <v>-134.72944297082228</v>
      </c>
      <c r="C11" s="3">
        <f t="shared" si="1"/>
        <v>187.44641488628781</v>
      </c>
      <c r="D11" s="3">
        <f t="shared" si="2"/>
        <v>-134.72944297082228</v>
      </c>
      <c r="E11" s="3">
        <f t="shared" si="3"/>
        <v>111.96591967108759</v>
      </c>
      <c r="F11" s="3">
        <v>-70</v>
      </c>
      <c r="G11">
        <v>178.521121376694</v>
      </c>
      <c r="I11" s="3">
        <v>1880.5833333333301</v>
      </c>
      <c r="J11" s="3">
        <v>0</v>
      </c>
      <c r="K11" s="3">
        <v>261.33430891379498</v>
      </c>
    </row>
    <row r="12" spans="1:11" ht="18" x14ac:dyDescent="0.25">
      <c r="A12" s="3">
        <v>1953.6666666666599</v>
      </c>
      <c r="B12" s="3">
        <f t="shared" si="0"/>
        <v>-114.72944297082228</v>
      </c>
      <c r="C12" s="3">
        <f t="shared" si="1"/>
        <v>193.67917257187727</v>
      </c>
      <c r="D12" s="3">
        <f t="shared" si="2"/>
        <v>-114.72944297082228</v>
      </c>
      <c r="E12" s="3">
        <f t="shared" si="3"/>
        <v>121.29197747577558</v>
      </c>
      <c r="F12" s="3">
        <v>-50</v>
      </c>
      <c r="G12">
        <v>187.84717918138199</v>
      </c>
      <c r="I12" s="3">
        <v>1880.6666666666599</v>
      </c>
      <c r="J12" s="3">
        <v>0</v>
      </c>
      <c r="K12" s="3">
        <v>260.75161123763701</v>
      </c>
    </row>
    <row r="13" spans="1:11" ht="18" x14ac:dyDescent="0.25">
      <c r="A13" s="3">
        <v>1953.75</v>
      </c>
      <c r="B13" s="3">
        <f t="shared" si="0"/>
        <v>-92.729442970822276</v>
      </c>
      <c r="C13" s="3">
        <f t="shared" si="1"/>
        <v>204.91237792200792</v>
      </c>
      <c r="D13" s="3">
        <f t="shared" si="2"/>
        <v>-92.729442970822276</v>
      </c>
      <c r="E13" s="3">
        <f t="shared" si="3"/>
        <v>140.59959677791659</v>
      </c>
      <c r="F13" s="3">
        <v>-28</v>
      </c>
      <c r="G13">
        <v>207.154798483523</v>
      </c>
      <c r="I13" s="3">
        <v>1880.75</v>
      </c>
      <c r="J13" s="3">
        <v>0</v>
      </c>
      <c r="K13" s="3">
        <v>267.566416419738</v>
      </c>
    </row>
    <row r="14" spans="1:11" ht="18" x14ac:dyDescent="0.25">
      <c r="A14" s="3">
        <v>1953.8333333333301</v>
      </c>
      <c r="B14" s="3">
        <f t="shared" si="0"/>
        <v>-74.729442970822276</v>
      </c>
      <c r="C14" s="3">
        <f t="shared" si="1"/>
        <v>209.06268111123686</v>
      </c>
      <c r="D14" s="3">
        <f t="shared" si="2"/>
        <v>-74.729442970822276</v>
      </c>
      <c r="E14" s="3">
        <f t="shared" si="3"/>
        <v>148.70164758383558</v>
      </c>
      <c r="F14" s="3">
        <v>-10</v>
      </c>
      <c r="G14">
        <v>215.25684928944199</v>
      </c>
      <c r="I14" s="3">
        <v>1880.8333333333301</v>
      </c>
      <c r="J14" s="3">
        <v>0</v>
      </c>
      <c r="K14" s="3">
        <v>252.40766706443401</v>
      </c>
    </row>
    <row r="15" spans="1:11" ht="18" x14ac:dyDescent="0.25">
      <c r="A15" s="3">
        <v>1953.9166666666599</v>
      </c>
      <c r="B15" s="3">
        <f t="shared" si="0"/>
        <v>-49.729442970822276</v>
      </c>
      <c r="C15" s="3">
        <f t="shared" si="1"/>
        <v>205.65986006559049</v>
      </c>
      <c r="D15" s="3">
        <f t="shared" si="2"/>
        <v>-49.729442970822276</v>
      </c>
      <c r="E15" s="3">
        <f t="shared" si="3"/>
        <v>142.01625542580459</v>
      </c>
      <c r="F15" s="3">
        <v>15</v>
      </c>
      <c r="G15">
        <v>208.57145713141099</v>
      </c>
      <c r="I15" s="3">
        <v>1880.9166666666599</v>
      </c>
      <c r="J15" s="3">
        <v>0</v>
      </c>
      <c r="K15" s="3">
        <v>219.558373451926</v>
      </c>
    </row>
    <row r="16" spans="1:11" ht="18" x14ac:dyDescent="0.25">
      <c r="A16" s="3">
        <v>1954</v>
      </c>
      <c r="B16" s="3">
        <f t="shared" si="0"/>
        <v>-4.7294429708222765</v>
      </c>
      <c r="C16" s="3">
        <f t="shared" si="1"/>
        <v>186.97793852115603</v>
      </c>
      <c r="D16" s="3">
        <f t="shared" si="2"/>
        <v>-4.7294429708222765</v>
      </c>
      <c r="E16" s="3">
        <f t="shared" si="3"/>
        <v>111.2996350900016</v>
      </c>
      <c r="F16" s="3">
        <v>60</v>
      </c>
      <c r="G16">
        <v>177.85483679560801</v>
      </c>
      <c r="I16" s="3">
        <v>1881</v>
      </c>
      <c r="J16" s="3">
        <v>0</v>
      </c>
      <c r="K16" s="3">
        <v>170.33254194643001</v>
      </c>
    </row>
    <row r="17" spans="1:11" ht="18" x14ac:dyDescent="0.25">
      <c r="A17" s="3">
        <v>1954.0833333333301</v>
      </c>
      <c r="B17" s="3">
        <f t="shared" si="0"/>
        <v>45.270557029177724</v>
      </c>
      <c r="C17" s="3">
        <f t="shared" si="1"/>
        <v>150.81635859802549</v>
      </c>
      <c r="D17" s="3">
        <f t="shared" si="2"/>
        <v>45.270557029177724</v>
      </c>
      <c r="E17" s="3">
        <f t="shared" si="3"/>
        <v>70.850737724130596</v>
      </c>
      <c r="F17" s="3">
        <v>110</v>
      </c>
      <c r="G17">
        <v>137.405939429737</v>
      </c>
      <c r="I17" s="3">
        <v>1881.0833333333301</v>
      </c>
      <c r="J17" s="3">
        <v>0</v>
      </c>
      <c r="K17" s="3">
        <v>120.139288290241</v>
      </c>
    </row>
    <row r="18" spans="1:11" ht="18" x14ac:dyDescent="0.25">
      <c r="A18" s="3">
        <v>1954.1666666666599</v>
      </c>
      <c r="B18" s="3">
        <f t="shared" si="0"/>
        <v>135.27055702917772</v>
      </c>
      <c r="C18" s="3">
        <f t="shared" si="1"/>
        <v>143.94063955755905</v>
      </c>
      <c r="D18" s="3">
        <f t="shared" si="2"/>
        <v>135.27055702917772</v>
      </c>
      <c r="E18" s="3">
        <f t="shared" si="3"/>
        <v>65.014896262908593</v>
      </c>
      <c r="F18" s="3">
        <v>200</v>
      </c>
      <c r="G18">
        <v>131.570097968515</v>
      </c>
      <c r="I18" s="3">
        <v>1881.1666666666599</v>
      </c>
      <c r="J18" s="3">
        <v>0</v>
      </c>
      <c r="K18" s="3">
        <v>95.026773787063405</v>
      </c>
    </row>
    <row r="19" spans="1:11" ht="18" x14ac:dyDescent="0.25">
      <c r="A19" s="3">
        <v>1954.25</v>
      </c>
      <c r="B19" s="3">
        <f t="shared" si="0"/>
        <v>155.27055702917772</v>
      </c>
      <c r="C19" s="3">
        <f t="shared" si="1"/>
        <v>160.18098421818289</v>
      </c>
      <c r="D19" s="3">
        <f t="shared" si="2"/>
        <v>155.27055702917772</v>
      </c>
      <c r="E19" s="3">
        <f t="shared" si="3"/>
        <v>79.594954556120598</v>
      </c>
      <c r="F19" s="3">
        <v>220</v>
      </c>
      <c r="G19">
        <v>146.15015626172701</v>
      </c>
      <c r="I19" s="3">
        <v>1881.25</v>
      </c>
      <c r="J19" s="3">
        <v>0</v>
      </c>
      <c r="K19" s="3">
        <v>66.008655598415501</v>
      </c>
    </row>
    <row r="20" spans="1:11" ht="18" x14ac:dyDescent="0.25">
      <c r="A20" s="3">
        <v>1954.3333333333301</v>
      </c>
      <c r="B20" s="3">
        <f t="shared" si="0"/>
        <v>155.27055702917772</v>
      </c>
      <c r="C20" s="3">
        <f t="shared" si="1"/>
        <v>169.53826930348328</v>
      </c>
      <c r="D20" s="3">
        <f t="shared" si="2"/>
        <v>155.27055702917772</v>
      </c>
      <c r="E20" s="3">
        <f t="shared" si="3"/>
        <v>89.402652765522589</v>
      </c>
      <c r="F20" s="3">
        <v>220</v>
      </c>
      <c r="G20">
        <v>155.957854471129</v>
      </c>
      <c r="I20" s="3">
        <v>1881.3333333333301</v>
      </c>
      <c r="J20" s="3">
        <v>0</v>
      </c>
      <c r="K20" s="3">
        <v>21.809467624369098</v>
      </c>
    </row>
    <row r="21" spans="1:11" ht="18" x14ac:dyDescent="0.25">
      <c r="A21" s="3">
        <v>1954.4166666666599</v>
      </c>
      <c r="B21" s="3">
        <f t="shared" si="0"/>
        <v>165.27055702917772</v>
      </c>
      <c r="C21" s="3">
        <f t="shared" si="1"/>
        <v>180.51896797386013</v>
      </c>
      <c r="D21" s="3">
        <f t="shared" si="2"/>
        <v>165.27055702917772</v>
      </c>
      <c r="E21" s="3">
        <f t="shared" si="3"/>
        <v>102.5620666580586</v>
      </c>
      <c r="F21" s="3">
        <v>230</v>
      </c>
      <c r="G21">
        <v>169.117268363665</v>
      </c>
      <c r="I21" s="3">
        <v>1881.4166666666599</v>
      </c>
      <c r="J21" s="3">
        <v>0</v>
      </c>
      <c r="K21" s="3">
        <v>-7.7430578724309198</v>
      </c>
    </row>
    <row r="22" spans="1:11" ht="18" x14ac:dyDescent="0.25">
      <c r="A22" s="3">
        <v>1954.5</v>
      </c>
      <c r="B22" s="3">
        <f t="shared" si="0"/>
        <v>170.27055702917772</v>
      </c>
      <c r="C22" s="3">
        <f t="shared" si="1"/>
        <v>176.03134891292029</v>
      </c>
      <c r="D22" s="3">
        <f t="shared" si="2"/>
        <v>170.27055702917772</v>
      </c>
      <c r="E22" s="3">
        <f t="shared" si="3"/>
        <v>96.945419108363581</v>
      </c>
      <c r="F22" s="3">
        <v>235</v>
      </c>
      <c r="G22">
        <v>163.50062081396999</v>
      </c>
      <c r="I22" s="3">
        <v>1881.5</v>
      </c>
      <c r="J22" s="3">
        <v>0</v>
      </c>
      <c r="K22" s="3">
        <v>-36.308311253680003</v>
      </c>
    </row>
    <row r="23" spans="1:11" ht="18" x14ac:dyDescent="0.25">
      <c r="A23" s="3">
        <v>1954.5833333333301</v>
      </c>
      <c r="B23" s="3">
        <f t="shared" si="0"/>
        <v>180.27055702917772</v>
      </c>
      <c r="C23" s="3">
        <f t="shared" si="1"/>
        <v>147.20966580913151</v>
      </c>
      <c r="D23" s="3">
        <f t="shared" si="2"/>
        <v>180.27055702917772</v>
      </c>
      <c r="E23" s="3">
        <f t="shared" si="3"/>
        <v>67.732385874354605</v>
      </c>
      <c r="F23" s="3">
        <v>245</v>
      </c>
      <c r="G23">
        <v>134.28758757996101</v>
      </c>
      <c r="I23" s="3">
        <v>1881.5833333333301</v>
      </c>
      <c r="J23" s="3">
        <v>0</v>
      </c>
      <c r="K23" s="3">
        <v>-70.765264544354494</v>
      </c>
    </row>
    <row r="24" spans="1:11" ht="18" x14ac:dyDescent="0.25">
      <c r="A24" s="3">
        <v>1954.6666666666599</v>
      </c>
      <c r="B24" s="3">
        <f t="shared" si="0"/>
        <v>180.27055702917772</v>
      </c>
      <c r="C24" s="3">
        <f t="shared" si="1"/>
        <v>109.75149941081862</v>
      </c>
      <c r="D24" s="3">
        <f t="shared" si="2"/>
        <v>180.27055702917772</v>
      </c>
      <c r="E24" s="3">
        <f t="shared" si="3"/>
        <v>41.601095421437591</v>
      </c>
      <c r="F24" s="3">
        <v>245</v>
      </c>
      <c r="G24">
        <v>108.156297127044</v>
      </c>
      <c r="I24" s="3">
        <v>1881.6666666666599</v>
      </c>
      <c r="J24" s="3">
        <v>0</v>
      </c>
      <c r="K24" s="3">
        <v>-89.873980325900703</v>
      </c>
    </row>
    <row r="25" spans="1:11" ht="18" x14ac:dyDescent="0.25">
      <c r="A25" s="3">
        <v>1954.75</v>
      </c>
      <c r="B25" s="3">
        <f t="shared" si="0"/>
        <v>120.27055702917772</v>
      </c>
      <c r="C25" s="3">
        <f t="shared" si="1"/>
        <v>19.269855338284962</v>
      </c>
      <c r="D25" s="3">
        <f t="shared" si="2"/>
        <v>120.27055702917772</v>
      </c>
      <c r="E25" s="3">
        <f t="shared" si="3"/>
        <v>5.1237393451473991</v>
      </c>
      <c r="F25" s="3">
        <v>185</v>
      </c>
      <c r="G25">
        <v>71.678941050753807</v>
      </c>
      <c r="I25" s="3">
        <v>1881.75</v>
      </c>
      <c r="J25" s="3">
        <v>0</v>
      </c>
      <c r="K25" s="3">
        <v>-101.12996764028701</v>
      </c>
    </row>
    <row r="26" spans="1:11" ht="18" x14ac:dyDescent="0.25">
      <c r="A26" s="3">
        <v>1954.8333333333301</v>
      </c>
      <c r="B26" s="3">
        <f t="shared" si="0"/>
        <v>35.270557029177724</v>
      </c>
      <c r="C26" s="3">
        <f t="shared" si="1"/>
        <v>-107.14188769618251</v>
      </c>
      <c r="D26" s="3">
        <f t="shared" si="2"/>
        <v>35.270557029177724</v>
      </c>
      <c r="E26" s="3">
        <f t="shared" si="3"/>
        <v>-40.119510595002012</v>
      </c>
      <c r="F26" s="3">
        <v>100</v>
      </c>
      <c r="G26">
        <v>26.435691110604399</v>
      </c>
      <c r="I26" s="3">
        <v>1881.8333333333301</v>
      </c>
      <c r="J26" s="3">
        <v>0</v>
      </c>
      <c r="K26" s="3">
        <v>-94.231602014463704</v>
      </c>
    </row>
    <row r="27" spans="1:11" ht="18" x14ac:dyDescent="0.25">
      <c r="A27" s="3">
        <v>1954.9166666666599</v>
      </c>
      <c r="B27" s="3">
        <f t="shared" si="0"/>
        <v>-124.72944297082228</v>
      </c>
      <c r="C27" s="3">
        <f t="shared" si="1"/>
        <v>-146.27361329804421</v>
      </c>
      <c r="D27" s="3">
        <f t="shared" si="2"/>
        <v>-124.72944297082228</v>
      </c>
      <c r="E27" s="3">
        <f t="shared" si="3"/>
        <v>-66.943951401511313</v>
      </c>
      <c r="F27" s="3">
        <v>-60</v>
      </c>
      <c r="G27">
        <v>-0.38874969590490499</v>
      </c>
      <c r="I27" s="3">
        <v>1881.9166666666599</v>
      </c>
      <c r="J27" s="3">
        <v>0</v>
      </c>
      <c r="K27" s="3">
        <v>-58.843835217041701</v>
      </c>
    </row>
    <row r="28" spans="1:11" ht="18" x14ac:dyDescent="0.25">
      <c r="A28" s="3">
        <v>1955</v>
      </c>
      <c r="B28" s="3">
        <f t="shared" si="0"/>
        <v>-139.72944297082228</v>
      </c>
      <c r="C28" s="3">
        <f t="shared" si="1"/>
        <v>-166.27997118991533</v>
      </c>
      <c r="D28" s="3">
        <f t="shared" si="2"/>
        <v>-139.72944297082228</v>
      </c>
      <c r="E28" s="3">
        <f t="shared" si="3"/>
        <v>-85.854074104633909</v>
      </c>
      <c r="F28" s="3">
        <v>-75</v>
      </c>
      <c r="G28">
        <v>-19.298872399027498</v>
      </c>
      <c r="I28" s="3">
        <v>1882</v>
      </c>
      <c r="J28" s="3">
        <v>0</v>
      </c>
      <c r="K28" s="3">
        <v>-33.9733182365215</v>
      </c>
    </row>
    <row r="29" spans="1:11" ht="18" x14ac:dyDescent="0.25">
      <c r="A29" s="3">
        <v>1955.0833333333301</v>
      </c>
      <c r="B29" s="3">
        <f t="shared" si="0"/>
        <v>-169.72944297082228</v>
      </c>
      <c r="C29" s="3">
        <f t="shared" si="1"/>
        <v>-177.44833512719845</v>
      </c>
      <c r="D29" s="3">
        <f t="shared" si="2"/>
        <v>-169.72944297082228</v>
      </c>
      <c r="E29" s="3">
        <f t="shared" si="3"/>
        <v>-98.681324015062899</v>
      </c>
      <c r="F29" s="3">
        <v>-105</v>
      </c>
      <c r="G29">
        <v>-32.126122309456498</v>
      </c>
      <c r="I29" s="3">
        <v>1882.0833333333301</v>
      </c>
      <c r="J29" s="3">
        <v>0</v>
      </c>
      <c r="K29" s="3">
        <v>-29.654982233856099</v>
      </c>
    </row>
    <row r="30" spans="1:11" ht="18" x14ac:dyDescent="0.25">
      <c r="A30" s="3">
        <v>1955.1666666666599</v>
      </c>
      <c r="B30" s="3">
        <f t="shared" si="0"/>
        <v>-169.72944297082228</v>
      </c>
      <c r="C30" s="3">
        <f t="shared" si="1"/>
        <v>-182.39162807571162</v>
      </c>
      <c r="D30" s="3">
        <f t="shared" si="2"/>
        <v>-169.72944297082228</v>
      </c>
      <c r="E30" s="3">
        <f t="shared" si="3"/>
        <v>-105.0123617865018</v>
      </c>
      <c r="F30" s="3">
        <v>-105</v>
      </c>
      <c r="G30">
        <v>-38.457160080895399</v>
      </c>
      <c r="I30" s="3">
        <v>1882.1666666666599</v>
      </c>
      <c r="J30" s="3">
        <v>0</v>
      </c>
      <c r="K30" s="3">
        <v>-30.136505599455401</v>
      </c>
    </row>
    <row r="31" spans="1:11" ht="18" x14ac:dyDescent="0.25">
      <c r="A31" s="3">
        <v>1955.25</v>
      </c>
      <c r="B31" s="3">
        <f t="shared" si="0"/>
        <v>-172.72944297082228</v>
      </c>
      <c r="C31" s="3">
        <f t="shared" si="1"/>
        <v>-197.11313271931658</v>
      </c>
      <c r="D31" s="3">
        <f t="shared" si="2"/>
        <v>-172.72944297082228</v>
      </c>
      <c r="E31" s="3">
        <f t="shared" si="3"/>
        <v>-126.82674899453211</v>
      </c>
      <c r="F31" s="3">
        <v>-108</v>
      </c>
      <c r="G31">
        <v>-60.271547288925703</v>
      </c>
      <c r="I31" s="3">
        <v>1882.25</v>
      </c>
      <c r="J31" s="3">
        <v>0</v>
      </c>
      <c r="K31" s="3">
        <v>-29.840962536508901</v>
      </c>
    </row>
    <row r="32" spans="1:11" ht="18" x14ac:dyDescent="0.25">
      <c r="A32" s="3">
        <v>1955.3333333333301</v>
      </c>
      <c r="B32" s="3">
        <f t="shared" si="0"/>
        <v>-209.72944297082228</v>
      </c>
      <c r="C32" s="3">
        <f t="shared" si="1"/>
        <v>-203.01046550428532</v>
      </c>
      <c r="D32" s="3">
        <f t="shared" si="2"/>
        <v>-209.72944297082228</v>
      </c>
      <c r="E32" s="3">
        <f t="shared" si="3"/>
        <v>-137.07502551702561</v>
      </c>
      <c r="F32" s="3">
        <v>-145</v>
      </c>
      <c r="G32">
        <v>-70.519823811419201</v>
      </c>
      <c r="I32" s="3">
        <v>1882.3333333333301</v>
      </c>
      <c r="J32" s="3">
        <v>0</v>
      </c>
      <c r="K32" s="3">
        <v>11.7508591549025</v>
      </c>
    </row>
    <row r="33" spans="1:11" ht="18" x14ac:dyDescent="0.25">
      <c r="A33" s="3">
        <v>1955.4166666666599</v>
      </c>
      <c r="B33" s="3">
        <f t="shared" si="0"/>
        <v>-249.72944297082228</v>
      </c>
      <c r="C33" s="3">
        <f t="shared" si="1"/>
        <v>-189.80156825465781</v>
      </c>
      <c r="D33" s="3">
        <f t="shared" si="2"/>
        <v>-249.72944297082228</v>
      </c>
      <c r="E33" s="3">
        <f t="shared" si="3"/>
        <v>-115.38685154169561</v>
      </c>
      <c r="F33" s="3">
        <v>-185</v>
      </c>
      <c r="G33">
        <v>-48.831649836089198</v>
      </c>
      <c r="I33" s="3">
        <v>1882.4166666666599</v>
      </c>
      <c r="J33" s="3">
        <v>0</v>
      </c>
      <c r="K33" s="3">
        <v>99.687076503173202</v>
      </c>
    </row>
    <row r="34" spans="1:11" ht="18" x14ac:dyDescent="0.25">
      <c r="A34" s="3">
        <v>1955.5</v>
      </c>
      <c r="B34" s="3">
        <f t="shared" si="0"/>
        <v>-254.72944297082228</v>
      </c>
      <c r="C34" s="3">
        <f t="shared" si="1"/>
        <v>-183.68856851572303</v>
      </c>
      <c r="D34" s="3">
        <f t="shared" si="2"/>
        <v>-254.72944297082228</v>
      </c>
      <c r="E34" s="3">
        <f t="shared" si="3"/>
        <v>-106.74813798268721</v>
      </c>
      <c r="F34" s="3">
        <v>-190</v>
      </c>
      <c r="G34">
        <v>-40.192936277080797</v>
      </c>
      <c r="I34" s="3">
        <v>1882.5</v>
      </c>
      <c r="J34" s="3">
        <v>0</v>
      </c>
      <c r="K34" s="3">
        <v>171.52409532845201</v>
      </c>
    </row>
    <row r="35" spans="1:11" ht="18" x14ac:dyDescent="0.25">
      <c r="A35" s="3">
        <v>1955.5833333333301</v>
      </c>
      <c r="B35" s="3">
        <f t="shared" si="0"/>
        <v>-254.72944297082228</v>
      </c>
      <c r="C35" s="3">
        <f t="shared" si="1"/>
        <v>-192.35393955478591</v>
      </c>
      <c r="D35" s="3">
        <f t="shared" si="2"/>
        <v>-254.72944297082228</v>
      </c>
      <c r="E35" s="3">
        <f t="shared" si="3"/>
        <v>-119.23418722879171</v>
      </c>
      <c r="F35" s="3">
        <v>-190</v>
      </c>
      <c r="G35">
        <v>-52.678985523185297</v>
      </c>
      <c r="I35" s="3">
        <v>1882.5833333333301</v>
      </c>
      <c r="J35" s="3">
        <v>0</v>
      </c>
      <c r="K35" s="3">
        <v>212.57902752299199</v>
      </c>
    </row>
    <row r="36" spans="1:11" ht="18" x14ac:dyDescent="0.25">
      <c r="A36" s="3">
        <v>1955.6666666666599</v>
      </c>
      <c r="B36" s="3">
        <f t="shared" si="0"/>
        <v>-254.72944297082228</v>
      </c>
      <c r="C36" s="3">
        <f t="shared" si="1"/>
        <v>-195.55560325335804</v>
      </c>
      <c r="D36" s="3">
        <f t="shared" si="2"/>
        <v>-254.72944297082228</v>
      </c>
      <c r="E36" s="3">
        <f t="shared" si="3"/>
        <v>-124.27921608117882</v>
      </c>
      <c r="F36" s="3">
        <v>-190</v>
      </c>
      <c r="G36">
        <v>-57.724014375572402</v>
      </c>
      <c r="I36" s="3">
        <v>1882.6666666666599</v>
      </c>
      <c r="J36" s="3">
        <v>0</v>
      </c>
      <c r="K36" s="3">
        <v>240.524767621401</v>
      </c>
    </row>
    <row r="37" spans="1:11" ht="18" x14ac:dyDescent="0.25">
      <c r="A37" s="3">
        <v>1955.75</v>
      </c>
      <c r="B37" s="3">
        <f t="shared" si="0"/>
        <v>-244.72944297082228</v>
      </c>
      <c r="C37" s="3">
        <f t="shared" si="1"/>
        <v>-185.02253061925171</v>
      </c>
      <c r="D37" s="3">
        <f t="shared" si="2"/>
        <v>-244.72944297082228</v>
      </c>
      <c r="E37" s="3">
        <f t="shared" si="3"/>
        <v>-108.56766088380871</v>
      </c>
      <c r="F37" s="3">
        <v>-180</v>
      </c>
      <c r="G37">
        <v>-42.012459178202299</v>
      </c>
      <c r="I37" s="3">
        <v>1882.75</v>
      </c>
      <c r="J37" s="3">
        <v>0</v>
      </c>
      <c r="K37" s="3">
        <v>253.62128868495299</v>
      </c>
    </row>
    <row r="38" spans="1:11" ht="18" x14ac:dyDescent="0.25">
      <c r="A38" s="3">
        <v>1955.8333333333301</v>
      </c>
      <c r="B38" s="3">
        <f t="shared" si="0"/>
        <v>-227.72944297082228</v>
      </c>
      <c r="C38" s="3">
        <f t="shared" si="1"/>
        <v>-129.86636892070848</v>
      </c>
      <c r="D38" s="3">
        <f t="shared" si="2"/>
        <v>-227.72944297082228</v>
      </c>
      <c r="E38" s="3">
        <f t="shared" si="3"/>
        <v>-54.369251059464403</v>
      </c>
      <c r="F38" s="3">
        <v>-163</v>
      </c>
      <c r="G38">
        <v>12.185950646142</v>
      </c>
      <c r="I38" s="3">
        <v>1882.8333333333301</v>
      </c>
      <c r="J38" s="3">
        <v>0</v>
      </c>
      <c r="K38" s="3">
        <v>257.48361580561601</v>
      </c>
    </row>
    <row r="39" spans="1:11" ht="18" x14ac:dyDescent="0.25">
      <c r="A39" s="3">
        <v>1955.9166666666599</v>
      </c>
      <c r="B39" s="3">
        <f t="shared" si="0"/>
        <v>-130.72944297082228</v>
      </c>
      <c r="C39" s="3">
        <f t="shared" si="1"/>
        <v>34.661326869951196</v>
      </c>
      <c r="D39" s="3">
        <f t="shared" si="2"/>
        <v>-130.72944297082228</v>
      </c>
      <c r="E39" s="3">
        <f t="shared" si="3"/>
        <v>9.7092800414177987</v>
      </c>
      <c r="F39" s="3">
        <v>-66</v>
      </c>
      <c r="G39">
        <v>76.264481747024206</v>
      </c>
      <c r="I39" s="3">
        <v>1882.9166666666599</v>
      </c>
      <c r="J39" s="3">
        <v>0</v>
      </c>
      <c r="K39" s="3">
        <v>228.08941080696101</v>
      </c>
    </row>
    <row r="40" spans="1:11" ht="18" x14ac:dyDescent="0.25">
      <c r="A40" s="3">
        <v>1956</v>
      </c>
      <c r="B40" s="3">
        <f t="shared" si="0"/>
        <v>-123.72944297082228</v>
      </c>
      <c r="C40" s="3">
        <f t="shared" si="1"/>
        <v>91.889296318245087</v>
      </c>
      <c r="D40" s="3">
        <f t="shared" si="2"/>
        <v>-123.72944297082228</v>
      </c>
      <c r="E40" s="3">
        <f t="shared" si="3"/>
        <v>32.131096337132888</v>
      </c>
      <c r="F40" s="3">
        <v>-59</v>
      </c>
      <c r="G40">
        <v>98.686298042739296</v>
      </c>
      <c r="I40" s="3">
        <v>1883</v>
      </c>
      <c r="J40" s="3">
        <v>0</v>
      </c>
      <c r="K40" s="3">
        <v>148.70732313535299</v>
      </c>
    </row>
    <row r="41" spans="1:11" ht="18" x14ac:dyDescent="0.25">
      <c r="A41" s="3">
        <v>1956.0833333333301</v>
      </c>
      <c r="B41" s="3">
        <f t="shared" si="0"/>
        <v>-42.729442970822276</v>
      </c>
      <c r="C41" s="3">
        <f t="shared" si="1"/>
        <v>93.190146698713548</v>
      </c>
      <c r="D41" s="3">
        <f t="shared" si="2"/>
        <v>-42.729442970822276</v>
      </c>
      <c r="E41" s="3">
        <f t="shared" si="3"/>
        <v>32.770929464574692</v>
      </c>
      <c r="F41" s="3">
        <v>22</v>
      </c>
      <c r="G41">
        <v>99.3261311701811</v>
      </c>
      <c r="I41" s="3">
        <v>1883.0833333333301</v>
      </c>
      <c r="J41" s="3">
        <v>0</v>
      </c>
      <c r="K41" s="3">
        <v>74.837494119553995</v>
      </c>
    </row>
    <row r="42" spans="1:11" ht="18" x14ac:dyDescent="0.25">
      <c r="A42" s="3">
        <v>1956.1666666666599</v>
      </c>
      <c r="B42" s="3">
        <f t="shared" si="0"/>
        <v>-2.7294429708222765</v>
      </c>
      <c r="C42" s="3">
        <f t="shared" si="1"/>
        <v>103.16621873334532</v>
      </c>
      <c r="D42" s="3">
        <f t="shared" si="2"/>
        <v>-2.7294429708222765</v>
      </c>
      <c r="E42" s="3">
        <f t="shared" si="3"/>
        <v>37.930167684773593</v>
      </c>
      <c r="F42" s="3">
        <v>62</v>
      </c>
      <c r="G42">
        <v>104.48536939038</v>
      </c>
      <c r="I42" s="3">
        <v>1883.1666666666599</v>
      </c>
      <c r="J42" s="3">
        <v>0</v>
      </c>
      <c r="K42" s="3">
        <v>36.344189812816602</v>
      </c>
    </row>
    <row r="43" spans="1:11" ht="18" x14ac:dyDescent="0.25">
      <c r="A43" s="3">
        <v>1956.25</v>
      </c>
      <c r="B43" s="3">
        <f t="shared" si="0"/>
        <v>47.270557029177724</v>
      </c>
      <c r="C43" s="3">
        <f t="shared" si="1"/>
        <v>122.94598160279971</v>
      </c>
      <c r="D43" s="3">
        <f t="shared" si="2"/>
        <v>47.270557029177724</v>
      </c>
      <c r="E43" s="3">
        <f t="shared" si="3"/>
        <v>49.685809780833594</v>
      </c>
      <c r="F43" s="3">
        <v>112</v>
      </c>
      <c r="G43">
        <v>116.24101148644</v>
      </c>
      <c r="I43" s="3">
        <v>1883.25</v>
      </c>
      <c r="J43" s="3">
        <v>0</v>
      </c>
      <c r="K43" s="3">
        <v>19.3924415025546</v>
      </c>
    </row>
    <row r="44" spans="1:11" ht="18" x14ac:dyDescent="0.25">
      <c r="A44" s="3">
        <v>1956.3333333333301</v>
      </c>
      <c r="B44" s="3">
        <f t="shared" si="0"/>
        <v>157.27055702917772</v>
      </c>
      <c r="C44" s="3">
        <f t="shared" si="1"/>
        <v>169.27932611494012</v>
      </c>
      <c r="D44" s="3">
        <f t="shared" si="2"/>
        <v>157.27055702917772</v>
      </c>
      <c r="E44" s="3">
        <f t="shared" si="3"/>
        <v>89.115115198187596</v>
      </c>
      <c r="F44" s="3">
        <v>222</v>
      </c>
      <c r="G44">
        <v>155.670316903794</v>
      </c>
      <c r="I44" s="3">
        <v>1883.3333333333301</v>
      </c>
      <c r="J44" s="3">
        <v>0</v>
      </c>
      <c r="K44" s="3">
        <v>29.891321600786299</v>
      </c>
    </row>
    <row r="45" spans="1:11" ht="18" x14ac:dyDescent="0.25">
      <c r="A45" s="3">
        <v>1956.4166666666599</v>
      </c>
      <c r="B45" s="3">
        <f t="shared" si="0"/>
        <v>159.27055702917772</v>
      </c>
      <c r="C45" s="3">
        <f t="shared" si="1"/>
        <v>202.38107087589805</v>
      </c>
      <c r="D45" s="3">
        <f t="shared" si="2"/>
        <v>159.27055702917772</v>
      </c>
      <c r="E45" s="3">
        <f t="shared" si="3"/>
        <v>135.93325517149259</v>
      </c>
      <c r="F45" s="3">
        <v>224</v>
      </c>
      <c r="G45">
        <v>202.488456877099</v>
      </c>
      <c r="I45" s="3">
        <v>1883.4166666666599</v>
      </c>
      <c r="J45" s="3">
        <v>0</v>
      </c>
      <c r="K45" s="3">
        <v>44.943389053646399</v>
      </c>
    </row>
    <row r="46" spans="1:11" ht="18" x14ac:dyDescent="0.25">
      <c r="A46" s="3">
        <v>1956.5</v>
      </c>
      <c r="B46" s="3">
        <f t="shared" si="0"/>
        <v>184.27055702917772</v>
      </c>
      <c r="C46" s="3">
        <f t="shared" si="1"/>
        <v>212.42154407357572</v>
      </c>
      <c r="D46" s="3">
        <f t="shared" si="2"/>
        <v>184.27055702917772</v>
      </c>
      <c r="E46" s="3">
        <f t="shared" si="3"/>
        <v>155.7065123836326</v>
      </c>
      <c r="F46" s="3">
        <v>249</v>
      </c>
      <c r="G46">
        <v>222.26171408923901</v>
      </c>
      <c r="I46" s="3">
        <v>1883.5</v>
      </c>
      <c r="J46" s="3">
        <v>0</v>
      </c>
      <c r="K46" s="3">
        <v>39.256518423781301</v>
      </c>
    </row>
    <row r="47" spans="1:11" ht="18" x14ac:dyDescent="0.25">
      <c r="A47" s="3">
        <v>1956.5833333333301</v>
      </c>
      <c r="B47" s="3">
        <f t="shared" si="0"/>
        <v>187.27055702917772</v>
      </c>
      <c r="C47" s="3">
        <f t="shared" si="1"/>
        <v>218.75988316285682</v>
      </c>
      <c r="D47" s="3">
        <f t="shared" si="2"/>
        <v>187.27055702917772</v>
      </c>
      <c r="E47" s="3">
        <f t="shared" si="3"/>
        <v>170.16221204116658</v>
      </c>
      <c r="F47" s="3">
        <v>252</v>
      </c>
      <c r="G47">
        <v>236.71741374677299</v>
      </c>
      <c r="I47" s="3">
        <v>1883.5833333333301</v>
      </c>
      <c r="J47" s="3">
        <v>0</v>
      </c>
      <c r="K47" s="3">
        <v>32.421183696129198</v>
      </c>
    </row>
    <row r="48" spans="1:11" ht="18" x14ac:dyDescent="0.25">
      <c r="A48" s="3">
        <v>1956.6666666666599</v>
      </c>
      <c r="B48" s="3">
        <f t="shared" si="0"/>
        <v>201.27055702917772</v>
      </c>
      <c r="C48" s="3">
        <f t="shared" si="1"/>
        <v>223.92894431524741</v>
      </c>
      <c r="D48" s="3">
        <f t="shared" si="2"/>
        <v>201.27055702917772</v>
      </c>
      <c r="E48" s="3">
        <f t="shared" si="3"/>
        <v>183.3292677286816</v>
      </c>
      <c r="F48" s="3">
        <v>266</v>
      </c>
      <c r="G48">
        <v>249.88446943428801</v>
      </c>
      <c r="I48" s="3">
        <v>1883.6666666666599</v>
      </c>
      <c r="J48" s="3">
        <v>0</v>
      </c>
      <c r="K48" s="3">
        <v>18.835339700653101</v>
      </c>
    </row>
    <row r="49" spans="1:11" ht="18" x14ac:dyDescent="0.25">
      <c r="A49" s="3">
        <v>1956.75</v>
      </c>
      <c r="B49" s="3">
        <f t="shared" si="0"/>
        <v>211.27055702917772</v>
      </c>
      <c r="C49" s="3">
        <f t="shared" si="1"/>
        <v>221.73280669934803</v>
      </c>
      <c r="D49" s="3">
        <f t="shared" si="2"/>
        <v>211.27055702917772</v>
      </c>
      <c r="E49" s="3">
        <f t="shared" si="3"/>
        <v>177.56982678067658</v>
      </c>
      <c r="F49" s="3">
        <v>276</v>
      </c>
      <c r="G49">
        <v>244.12502848628299</v>
      </c>
      <c r="I49" s="3">
        <v>1883.75</v>
      </c>
      <c r="J49" s="3">
        <v>0</v>
      </c>
      <c r="K49" s="3">
        <v>-8.5718078462242602</v>
      </c>
    </row>
    <row r="50" spans="1:11" ht="18" x14ac:dyDescent="0.25">
      <c r="A50" s="3">
        <v>1956.8333333333301</v>
      </c>
      <c r="B50" s="3">
        <f t="shared" si="0"/>
        <v>211.27055702917772</v>
      </c>
      <c r="C50" s="3">
        <f t="shared" si="1"/>
        <v>211.63115854905058</v>
      </c>
      <c r="D50" s="3">
        <f t="shared" si="2"/>
        <v>211.27055702917772</v>
      </c>
      <c r="E50" s="3">
        <f t="shared" si="3"/>
        <v>154.01994176480258</v>
      </c>
      <c r="F50" s="3">
        <v>276</v>
      </c>
      <c r="G50">
        <v>220.57514347040899</v>
      </c>
      <c r="I50" s="3">
        <v>1883.8333333333301</v>
      </c>
      <c r="J50" s="3">
        <v>0</v>
      </c>
      <c r="K50" s="3">
        <v>-26.265016576057299</v>
      </c>
    </row>
    <row r="51" spans="1:11" ht="18" x14ac:dyDescent="0.25">
      <c r="A51" s="3">
        <v>1956.9166666666599</v>
      </c>
      <c r="B51" s="3">
        <f t="shared" si="0"/>
        <v>181.27055702917772</v>
      </c>
      <c r="C51" s="3">
        <f t="shared" si="1"/>
        <v>174.28805866813283</v>
      </c>
      <c r="D51" s="3">
        <f t="shared" si="2"/>
        <v>181.27055702917772</v>
      </c>
      <c r="E51" s="3">
        <f t="shared" si="3"/>
        <v>94.85534755698859</v>
      </c>
      <c r="F51" s="3">
        <v>246</v>
      </c>
      <c r="G51">
        <v>161.410549262595</v>
      </c>
      <c r="I51" s="3">
        <v>1883.9166666666599</v>
      </c>
      <c r="J51" s="3">
        <v>0</v>
      </c>
      <c r="K51" s="3">
        <v>-40.920434096842598</v>
      </c>
    </row>
    <row r="52" spans="1:11" ht="18" x14ac:dyDescent="0.25">
      <c r="A52" s="3">
        <v>1957</v>
      </c>
      <c r="B52" s="3">
        <f t="shared" si="0"/>
        <v>19.270557029177724</v>
      </c>
      <c r="C52" s="3">
        <f t="shared" si="1"/>
        <v>42.827195541672467</v>
      </c>
      <c r="D52" s="3">
        <f t="shared" si="2"/>
        <v>19.270557029177724</v>
      </c>
      <c r="E52" s="3">
        <f t="shared" si="3"/>
        <v>12.347134025555491</v>
      </c>
      <c r="F52" s="3">
        <v>84</v>
      </c>
      <c r="G52">
        <v>78.902335731161898</v>
      </c>
      <c r="I52" s="3">
        <v>1884</v>
      </c>
      <c r="J52" s="3">
        <v>0</v>
      </c>
      <c r="K52" s="3">
        <v>-49.437614107083498</v>
      </c>
    </row>
    <row r="53" spans="1:11" ht="18" x14ac:dyDescent="0.25">
      <c r="A53" s="3">
        <v>1957.0833333333301</v>
      </c>
      <c r="B53" s="3">
        <f t="shared" si="0"/>
        <v>-43.729442970822276</v>
      </c>
      <c r="C53" s="3">
        <f t="shared" si="1"/>
        <v>-118.72971548125642</v>
      </c>
      <c r="D53" s="3">
        <f t="shared" si="2"/>
        <v>-43.729442970822276</v>
      </c>
      <c r="E53" s="3">
        <f t="shared" si="3"/>
        <v>-46.988456729493208</v>
      </c>
      <c r="F53" s="3">
        <v>21</v>
      </c>
      <c r="G53">
        <v>19.566744976113199</v>
      </c>
      <c r="I53" s="3">
        <v>1884.0833333333301</v>
      </c>
      <c r="J53" s="3">
        <v>0</v>
      </c>
      <c r="K53" s="3">
        <v>-32.823438676010703</v>
      </c>
    </row>
    <row r="54" spans="1:11" ht="18" x14ac:dyDescent="0.25">
      <c r="A54" s="3">
        <v>1957.1666666666599</v>
      </c>
      <c r="B54" s="3">
        <f t="shared" si="0"/>
        <v>-51.729442970822276</v>
      </c>
      <c r="C54" s="3">
        <f t="shared" si="1"/>
        <v>-174.60405144114304</v>
      </c>
      <c r="D54" s="3">
        <f t="shared" si="2"/>
        <v>-51.729442970822276</v>
      </c>
      <c r="E54" s="3">
        <f t="shared" si="3"/>
        <v>-95.230539285768202</v>
      </c>
      <c r="F54" s="3">
        <v>13</v>
      </c>
      <c r="G54">
        <v>-28.675337580161798</v>
      </c>
      <c r="I54" s="3">
        <v>1884.1666666666599</v>
      </c>
      <c r="J54" s="3">
        <v>0</v>
      </c>
      <c r="K54" s="3">
        <v>-20.2224905347956</v>
      </c>
    </row>
    <row r="55" spans="1:11" ht="18" x14ac:dyDescent="0.25">
      <c r="A55" s="3">
        <v>1957.25</v>
      </c>
      <c r="B55" s="3">
        <f t="shared" si="0"/>
        <v>-156.72944297082228</v>
      </c>
      <c r="C55" s="3">
        <f t="shared" si="1"/>
        <v>-205.82084621300888</v>
      </c>
      <c r="D55" s="3">
        <f t="shared" si="2"/>
        <v>-156.72944297082228</v>
      </c>
      <c r="E55" s="3">
        <f t="shared" si="3"/>
        <v>-142.32374118861389</v>
      </c>
      <c r="F55" s="3">
        <v>-92</v>
      </c>
      <c r="G55">
        <v>-75.768539483007501</v>
      </c>
      <c r="I55" s="3">
        <v>1884.25</v>
      </c>
      <c r="J55" s="3">
        <v>0</v>
      </c>
      <c r="K55" s="3">
        <v>-12.346165467925999</v>
      </c>
    </row>
    <row r="56" spans="1:11" ht="18" x14ac:dyDescent="0.25">
      <c r="A56" s="3">
        <v>1957.3333333333301</v>
      </c>
      <c r="B56" s="3">
        <f t="shared" si="0"/>
        <v>-184.72944297082228</v>
      </c>
      <c r="C56" s="3">
        <f t="shared" si="1"/>
        <v>-212.60895579502741</v>
      </c>
      <c r="D56" s="3">
        <f t="shared" si="2"/>
        <v>-184.72944297082228</v>
      </c>
      <c r="E56" s="3">
        <f t="shared" si="3"/>
        <v>-156.10998501859751</v>
      </c>
      <c r="F56" s="3">
        <v>-120</v>
      </c>
      <c r="G56">
        <v>-89.554783312991106</v>
      </c>
      <c r="I56" s="3">
        <v>1884.3333333333301</v>
      </c>
      <c r="J56" s="3">
        <v>0</v>
      </c>
      <c r="K56" s="3">
        <v>30.102728774136001</v>
      </c>
    </row>
    <row r="57" spans="1:11" ht="18" x14ac:dyDescent="0.25">
      <c r="A57" s="3">
        <v>1957.4166666666599</v>
      </c>
      <c r="B57" s="3">
        <f t="shared" si="0"/>
        <v>-201.72944297082228</v>
      </c>
      <c r="C57" s="3">
        <f t="shared" si="1"/>
        <v>-206.58221217127814</v>
      </c>
      <c r="D57" s="3">
        <f t="shared" si="2"/>
        <v>-201.72944297082228</v>
      </c>
      <c r="E57" s="3">
        <f t="shared" si="3"/>
        <v>-143.78954492263981</v>
      </c>
      <c r="F57" s="3">
        <v>-137</v>
      </c>
      <c r="G57">
        <v>-77.234343217033398</v>
      </c>
      <c r="I57" s="3">
        <v>1884.4166666666599</v>
      </c>
      <c r="J57" s="3">
        <v>0</v>
      </c>
      <c r="K57" s="3">
        <v>90.785486880227197</v>
      </c>
    </row>
    <row r="58" spans="1:11" ht="18" x14ac:dyDescent="0.25">
      <c r="A58" s="3">
        <v>1957.5</v>
      </c>
      <c r="B58" s="3">
        <f t="shared" si="0"/>
        <v>-205.72944297082228</v>
      </c>
      <c r="C58" s="3">
        <f t="shared" si="1"/>
        <v>-194.81136079461032</v>
      </c>
      <c r="D58" s="3">
        <f t="shared" si="2"/>
        <v>-205.72944297082228</v>
      </c>
      <c r="E58" s="3">
        <f t="shared" si="3"/>
        <v>-123.08388124238041</v>
      </c>
      <c r="F58" s="3">
        <v>-141</v>
      </c>
      <c r="G58">
        <v>-56.528679536774</v>
      </c>
      <c r="I58" s="3">
        <v>1884.5</v>
      </c>
      <c r="J58" s="3">
        <v>0</v>
      </c>
      <c r="K58" s="3">
        <v>139.091191208037</v>
      </c>
    </row>
    <row r="59" spans="1:11" ht="18" x14ac:dyDescent="0.25">
      <c r="A59" s="3">
        <v>1957.5833333333301</v>
      </c>
      <c r="B59" s="3">
        <f t="shared" si="0"/>
        <v>-211.72944297082228</v>
      </c>
      <c r="C59" s="3">
        <f t="shared" si="1"/>
        <v>-180.56804335748615</v>
      </c>
      <c r="D59" s="3">
        <f t="shared" si="2"/>
        <v>-211.72944297082228</v>
      </c>
      <c r="E59" s="3">
        <f t="shared" si="3"/>
        <v>-102.6254538940716</v>
      </c>
      <c r="F59" s="3">
        <v>-147</v>
      </c>
      <c r="G59">
        <v>-36.070252188465197</v>
      </c>
      <c r="I59" s="3">
        <v>1884.5833333333301</v>
      </c>
      <c r="J59" s="3">
        <v>0</v>
      </c>
      <c r="K59" s="3">
        <v>160.897315858875</v>
      </c>
    </row>
    <row r="60" spans="1:11" ht="18" x14ac:dyDescent="0.25">
      <c r="A60" s="3">
        <v>1957.6666666666599</v>
      </c>
      <c r="B60" s="3">
        <f t="shared" si="0"/>
        <v>-224.72944297082228</v>
      </c>
      <c r="C60" s="3">
        <f t="shared" si="1"/>
        <v>-183.9808429436433</v>
      </c>
      <c r="D60" s="3">
        <f t="shared" si="2"/>
        <v>-224.72944297082228</v>
      </c>
      <c r="E60" s="3">
        <f t="shared" si="3"/>
        <v>-107.1437991486176</v>
      </c>
      <c r="F60" s="3">
        <v>-160</v>
      </c>
      <c r="G60">
        <v>-40.588597443011203</v>
      </c>
      <c r="I60" s="3">
        <v>1884.6666666666599</v>
      </c>
      <c r="J60" s="3">
        <v>0</v>
      </c>
      <c r="K60" s="3">
        <v>145.28833388913901</v>
      </c>
    </row>
    <row r="61" spans="1:11" ht="18" x14ac:dyDescent="0.25">
      <c r="A61" s="3">
        <v>1957.75</v>
      </c>
      <c r="B61" s="3">
        <f t="shared" si="0"/>
        <v>-224.72944297082228</v>
      </c>
      <c r="C61" s="3">
        <f t="shared" si="1"/>
        <v>-188.91037567381812</v>
      </c>
      <c r="D61" s="3">
        <f t="shared" si="2"/>
        <v>-224.72944297082228</v>
      </c>
      <c r="E61" s="3">
        <f t="shared" si="3"/>
        <v>-114.078167504563</v>
      </c>
      <c r="F61" s="3">
        <v>-160</v>
      </c>
      <c r="G61">
        <v>-47.522965798956598</v>
      </c>
      <c r="I61" s="3">
        <v>1884.75</v>
      </c>
      <c r="J61" s="3">
        <v>0</v>
      </c>
      <c r="K61" s="3">
        <v>133.91677813343401</v>
      </c>
    </row>
    <row r="62" spans="1:11" ht="18" x14ac:dyDescent="0.25">
      <c r="A62" s="3">
        <v>1957.8333333333301</v>
      </c>
      <c r="B62" s="3">
        <f t="shared" si="0"/>
        <v>-208.72944297082228</v>
      </c>
      <c r="C62" s="3">
        <f t="shared" si="1"/>
        <v>-172.03102811763517</v>
      </c>
      <c r="D62" s="3">
        <f t="shared" si="2"/>
        <v>-208.72944297082228</v>
      </c>
      <c r="E62" s="3">
        <f t="shared" si="3"/>
        <v>-92.221344463804812</v>
      </c>
      <c r="F62" s="3">
        <v>-144</v>
      </c>
      <c r="G62">
        <v>-25.666142758198401</v>
      </c>
      <c r="I62" s="3">
        <v>1884.8333333333301</v>
      </c>
      <c r="J62" s="3">
        <v>0</v>
      </c>
      <c r="K62" s="3">
        <v>154.622797261729</v>
      </c>
    </row>
    <row r="63" spans="1:11" ht="18" x14ac:dyDescent="0.25">
      <c r="A63" s="3">
        <v>1957.9166666666599</v>
      </c>
      <c r="B63" s="3">
        <f t="shared" si="0"/>
        <v>-181.72944297082228</v>
      </c>
      <c r="C63" s="3">
        <f t="shared" si="1"/>
        <v>-151.93005856300022</v>
      </c>
      <c r="D63" s="3">
        <f t="shared" si="2"/>
        <v>-181.72944297082228</v>
      </c>
      <c r="E63" s="3">
        <f t="shared" si="3"/>
        <v>-71.840312532762383</v>
      </c>
      <c r="F63" s="3">
        <v>-117</v>
      </c>
      <c r="G63">
        <v>-5.2851108271559699</v>
      </c>
      <c r="I63" s="3">
        <v>1884.9166666666599</v>
      </c>
      <c r="J63" s="3">
        <v>0</v>
      </c>
      <c r="K63" s="3">
        <v>165.22072120804199</v>
      </c>
    </row>
    <row r="64" spans="1:11" ht="18" x14ac:dyDescent="0.25">
      <c r="A64" s="3">
        <v>1958</v>
      </c>
      <c r="B64" s="3">
        <f t="shared" si="0"/>
        <v>-174.72944297082228</v>
      </c>
      <c r="C64" s="3">
        <f t="shared" si="1"/>
        <v>-142.94427030295188</v>
      </c>
      <c r="D64" s="3">
        <f t="shared" si="2"/>
        <v>-174.72944297082228</v>
      </c>
      <c r="E64" s="3">
        <f t="shared" si="3"/>
        <v>-64.206320378282172</v>
      </c>
      <c r="F64" s="3">
        <v>-110</v>
      </c>
      <c r="G64">
        <v>2.3488813273242299</v>
      </c>
      <c r="I64" s="3">
        <v>1885</v>
      </c>
      <c r="J64" s="3">
        <v>0</v>
      </c>
      <c r="K64" s="3">
        <v>155.39190732512799</v>
      </c>
    </row>
    <row r="65" spans="1:11" ht="18" x14ac:dyDescent="0.25">
      <c r="A65" s="3">
        <v>1958.0833333333301</v>
      </c>
      <c r="B65" s="3">
        <f t="shared" si="0"/>
        <v>-124.72944297082228</v>
      </c>
      <c r="C65" s="3">
        <f t="shared" si="1"/>
        <v>-137.26474297162446</v>
      </c>
      <c r="D65" s="3">
        <f t="shared" si="2"/>
        <v>-124.72944297082228</v>
      </c>
      <c r="E65" s="3">
        <f t="shared" si="3"/>
        <v>-59.763485889548036</v>
      </c>
      <c r="F65" s="3">
        <v>-60</v>
      </c>
      <c r="G65">
        <v>6.7917158160583702</v>
      </c>
      <c r="I65" s="3">
        <v>1885.0833333333301</v>
      </c>
      <c r="J65" s="3">
        <v>0</v>
      </c>
      <c r="K65" s="3">
        <v>141.082173811524</v>
      </c>
    </row>
    <row r="66" spans="1:11" ht="18" x14ac:dyDescent="0.25">
      <c r="A66" s="3">
        <v>1958.1666666666599</v>
      </c>
      <c r="B66" s="3">
        <f t="shared" si="0"/>
        <v>-113.72944297082228</v>
      </c>
      <c r="C66" s="3">
        <f t="shared" si="1"/>
        <v>-141.44490614745726</v>
      </c>
      <c r="D66" s="3">
        <f t="shared" si="2"/>
        <v>-113.72944297082228</v>
      </c>
      <c r="E66" s="3">
        <f t="shared" si="3"/>
        <v>-63.006337448714035</v>
      </c>
      <c r="F66" s="3">
        <v>-49</v>
      </c>
      <c r="G66">
        <v>3.5488642568923701</v>
      </c>
      <c r="I66" s="3">
        <v>1885.1666666666599</v>
      </c>
      <c r="J66" s="3">
        <v>0</v>
      </c>
      <c r="K66" s="3">
        <v>119.335174082498</v>
      </c>
    </row>
    <row r="67" spans="1:11" ht="18" x14ac:dyDescent="0.25">
      <c r="A67" s="3">
        <v>1958.25</v>
      </c>
      <c r="B67" s="3">
        <f t="shared" si="0"/>
        <v>-101.72944297082228</v>
      </c>
      <c r="C67" s="3">
        <f t="shared" si="1"/>
        <v>-99.21965341876502</v>
      </c>
      <c r="D67" s="3">
        <f t="shared" si="2"/>
        <v>-101.72944297082228</v>
      </c>
      <c r="E67" s="3">
        <f t="shared" si="3"/>
        <v>-35.834008673471708</v>
      </c>
      <c r="F67" s="3">
        <v>-37</v>
      </c>
      <c r="G67">
        <v>30.7211930321347</v>
      </c>
      <c r="I67" s="3">
        <v>1885.25</v>
      </c>
      <c r="J67" s="3">
        <v>0</v>
      </c>
      <c r="K67" s="3">
        <v>114.011592507232</v>
      </c>
    </row>
    <row r="68" spans="1:11" ht="18" x14ac:dyDescent="0.25">
      <c r="A68" s="3">
        <v>1958.3333333333301</v>
      </c>
      <c r="B68" s="3">
        <f t="shared" si="0"/>
        <v>-1.7294429708222765</v>
      </c>
      <c r="C68" s="3">
        <f t="shared" si="1"/>
        <v>110.34171799632217</v>
      </c>
      <c r="D68" s="3">
        <f t="shared" si="2"/>
        <v>-1.7294429708222765</v>
      </c>
      <c r="E68" s="3">
        <f t="shared" si="3"/>
        <v>41.941244064930586</v>
      </c>
      <c r="F68" s="3">
        <v>63</v>
      </c>
      <c r="G68">
        <v>108.49644577053699</v>
      </c>
      <c r="I68" s="3">
        <v>1885.3333333333301</v>
      </c>
      <c r="J68" s="3">
        <v>0</v>
      </c>
      <c r="K68" s="3">
        <v>123.71833509569601</v>
      </c>
    </row>
    <row r="69" spans="1:11" ht="18" x14ac:dyDescent="0.25">
      <c r="A69" s="3">
        <v>1958.4166666666599</v>
      </c>
      <c r="B69" s="3">
        <f t="shared" si="0"/>
        <v>132.27055702917772</v>
      </c>
      <c r="C69" s="3">
        <f t="shared" si="1"/>
        <v>194.13474663233785</v>
      </c>
      <c r="D69" s="3">
        <f t="shared" si="2"/>
        <v>132.27055702917772</v>
      </c>
      <c r="E69" s="3">
        <f t="shared" si="3"/>
        <v>122.00920584969458</v>
      </c>
      <c r="F69" s="3">
        <v>197</v>
      </c>
      <c r="G69">
        <v>188.56440755530099</v>
      </c>
      <c r="I69" s="3">
        <v>1885.4166666666599</v>
      </c>
      <c r="J69" s="3">
        <v>0</v>
      </c>
      <c r="K69" s="3">
        <v>106.740079010481</v>
      </c>
    </row>
    <row r="70" spans="1:11" ht="18" x14ac:dyDescent="0.25">
      <c r="A70" s="3">
        <v>1958.5</v>
      </c>
      <c r="B70" s="3">
        <f t="shared" ref="B70:B133" si="4">+$D70</f>
        <v>139.27055702917772</v>
      </c>
      <c r="C70" s="3">
        <f t="shared" ref="C70:C133" si="5">$B$1*$E70/(1+$B$3*ABS($E70)^$B$2)</f>
        <v>221.37929181415205</v>
      </c>
      <c r="D70" s="3">
        <f t="shared" ref="D70:D133" si="6">+F70-$F$3</f>
        <v>139.27055702917772</v>
      </c>
      <c r="E70" s="3">
        <f t="shared" ref="E70:E133" si="7">+$G70-$G$3</f>
        <v>176.66612900690359</v>
      </c>
      <c r="F70" s="3">
        <v>204</v>
      </c>
      <c r="G70">
        <v>243.22133071251</v>
      </c>
      <c r="I70" s="3">
        <v>1885.5</v>
      </c>
      <c r="J70" s="3">
        <v>0</v>
      </c>
      <c r="K70" s="3">
        <v>68.818443191943302</v>
      </c>
    </row>
    <row r="71" spans="1:11" ht="18" x14ac:dyDescent="0.25">
      <c r="A71" s="3">
        <v>1958.5833333333301</v>
      </c>
      <c r="B71" s="3">
        <f t="shared" si="4"/>
        <v>168.27055702917772</v>
      </c>
      <c r="C71" s="3">
        <f t="shared" si="5"/>
        <v>229.28397232448393</v>
      </c>
      <c r="D71" s="3">
        <f t="shared" si="6"/>
        <v>168.27055702917772</v>
      </c>
      <c r="E71" s="3">
        <f t="shared" si="7"/>
        <v>198.51224389760858</v>
      </c>
      <c r="F71" s="3">
        <v>233</v>
      </c>
      <c r="G71">
        <v>265.06744560321499</v>
      </c>
      <c r="I71" s="3">
        <v>1885.5833333333301</v>
      </c>
      <c r="J71" s="3">
        <v>0</v>
      </c>
      <c r="K71" s="3">
        <v>28.630996153228299</v>
      </c>
    </row>
    <row r="72" spans="1:11" ht="18" x14ac:dyDescent="0.25">
      <c r="A72" s="3">
        <v>1958.6666666666599</v>
      </c>
      <c r="B72" s="3">
        <f t="shared" si="4"/>
        <v>192.27055702917772</v>
      </c>
      <c r="C72" s="3">
        <f t="shared" si="5"/>
        <v>226.03350409138557</v>
      </c>
      <c r="D72" s="3">
        <f t="shared" si="6"/>
        <v>192.27055702917772</v>
      </c>
      <c r="E72" s="3">
        <f t="shared" si="7"/>
        <v>189.0949395217086</v>
      </c>
      <c r="F72" s="3">
        <v>257</v>
      </c>
      <c r="G72">
        <v>255.650141227315</v>
      </c>
      <c r="I72" s="3">
        <v>1885.6666666666599</v>
      </c>
      <c r="J72" s="3">
        <v>0</v>
      </c>
      <c r="K72" s="3">
        <v>-4.8560281571845199</v>
      </c>
    </row>
    <row r="73" spans="1:11" ht="18" x14ac:dyDescent="0.25">
      <c r="A73" s="3">
        <v>1958.75</v>
      </c>
      <c r="B73" s="3">
        <f t="shared" si="4"/>
        <v>212.27055702917772</v>
      </c>
      <c r="C73" s="3">
        <f t="shared" si="5"/>
        <v>224.32190408539182</v>
      </c>
      <c r="D73" s="3">
        <f t="shared" si="6"/>
        <v>212.27055702917772</v>
      </c>
      <c r="E73" s="3">
        <f t="shared" si="7"/>
        <v>184.38703065515159</v>
      </c>
      <c r="F73" s="3">
        <v>277</v>
      </c>
      <c r="G73">
        <v>250.942232360758</v>
      </c>
      <c r="I73" s="3">
        <v>1885.75</v>
      </c>
      <c r="J73" s="3">
        <v>0</v>
      </c>
      <c r="K73" s="3">
        <v>-4.4251732996009903</v>
      </c>
    </row>
    <row r="74" spans="1:11" ht="18" x14ac:dyDescent="0.25">
      <c r="A74" s="3">
        <v>1958.8333333333301</v>
      </c>
      <c r="B74" s="3">
        <f t="shared" si="4"/>
        <v>239.27055702917772</v>
      </c>
      <c r="C74" s="3">
        <f t="shared" si="5"/>
        <v>220.41309594677293</v>
      </c>
      <c r="D74" s="3">
        <f t="shared" si="6"/>
        <v>239.27055702917772</v>
      </c>
      <c r="E74" s="3">
        <f t="shared" si="7"/>
        <v>174.2281918805956</v>
      </c>
      <c r="F74" s="3">
        <v>304</v>
      </c>
      <c r="G74">
        <v>240.78339358620201</v>
      </c>
      <c r="I74" s="3">
        <v>1885.8333333333301</v>
      </c>
      <c r="J74" s="3">
        <v>0</v>
      </c>
      <c r="K74" s="3">
        <v>7.7997199666178796</v>
      </c>
    </row>
    <row r="75" spans="1:11" ht="18" x14ac:dyDescent="0.25">
      <c r="A75" s="3">
        <v>1958.9166666666599</v>
      </c>
      <c r="B75" s="3">
        <f t="shared" si="4"/>
        <v>265.27055702917772</v>
      </c>
      <c r="C75" s="3">
        <f t="shared" si="5"/>
        <v>194.60988600267476</v>
      </c>
      <c r="D75" s="3">
        <f t="shared" si="6"/>
        <v>265.27055702917772</v>
      </c>
      <c r="E75" s="3">
        <f t="shared" si="7"/>
        <v>122.7626860074916</v>
      </c>
      <c r="F75" s="3">
        <v>330</v>
      </c>
      <c r="G75">
        <v>189.317887713098</v>
      </c>
      <c r="I75" s="3">
        <v>1885.9166666666599</v>
      </c>
      <c r="J75" s="3">
        <v>0</v>
      </c>
      <c r="K75" s="3">
        <v>-5.0330421494227799</v>
      </c>
    </row>
    <row r="76" spans="1:11" ht="18" x14ac:dyDescent="0.25">
      <c r="A76" s="3">
        <v>1959</v>
      </c>
      <c r="B76" s="3">
        <f t="shared" si="4"/>
        <v>265.27055702917772</v>
      </c>
      <c r="C76" s="3">
        <f t="shared" si="5"/>
        <v>142.12689715909585</v>
      </c>
      <c r="D76" s="3">
        <f t="shared" si="6"/>
        <v>265.27055702917772</v>
      </c>
      <c r="E76" s="3">
        <f t="shared" si="7"/>
        <v>63.549678663342604</v>
      </c>
      <c r="F76" s="3">
        <v>330</v>
      </c>
      <c r="G76">
        <v>130.10488036894901</v>
      </c>
      <c r="I76" s="3">
        <v>1886</v>
      </c>
      <c r="J76" s="3">
        <v>0</v>
      </c>
      <c r="K76" s="3">
        <v>-17.344686195987801</v>
      </c>
    </row>
    <row r="77" spans="1:11" ht="18" x14ac:dyDescent="0.25">
      <c r="A77" s="3">
        <v>1959.0833333333301</v>
      </c>
      <c r="B77" s="3">
        <f t="shared" si="4"/>
        <v>202.27055702917772</v>
      </c>
      <c r="C77" s="3">
        <f t="shared" si="5"/>
        <v>74.534560689946417</v>
      </c>
      <c r="D77" s="3">
        <f t="shared" si="6"/>
        <v>202.27055702917772</v>
      </c>
      <c r="E77" s="3">
        <f t="shared" si="7"/>
        <v>24.237584669096591</v>
      </c>
      <c r="F77" s="3">
        <v>267</v>
      </c>
      <c r="G77">
        <v>90.792786374702999</v>
      </c>
      <c r="I77" s="3">
        <v>1886.0833333333301</v>
      </c>
      <c r="J77" s="3">
        <v>0</v>
      </c>
      <c r="K77" s="3">
        <v>-24.071132578363802</v>
      </c>
    </row>
    <row r="78" spans="1:11" ht="18" x14ac:dyDescent="0.25">
      <c r="A78" s="3">
        <v>1959.1666666666599</v>
      </c>
      <c r="B78" s="3">
        <f t="shared" si="4"/>
        <v>193.27055702917772</v>
      </c>
      <c r="C78" s="3">
        <f t="shared" si="5"/>
        <v>-17.109341545306012</v>
      </c>
      <c r="D78" s="3">
        <f t="shared" si="6"/>
        <v>193.27055702917772</v>
      </c>
      <c r="E78" s="3">
        <f t="shared" si="7"/>
        <v>-4.5170735929186066</v>
      </c>
      <c r="F78" s="3">
        <v>258</v>
      </c>
      <c r="G78">
        <v>62.038128112687801</v>
      </c>
      <c r="I78" s="3">
        <v>1886.1666666666599</v>
      </c>
      <c r="J78" s="3">
        <v>0</v>
      </c>
      <c r="K78" s="3">
        <v>-43.397905703794301</v>
      </c>
    </row>
    <row r="79" spans="1:11" ht="18" x14ac:dyDescent="0.25">
      <c r="A79" s="3">
        <v>1959.25</v>
      </c>
      <c r="B79" s="3">
        <f t="shared" si="4"/>
        <v>190.27055702917772</v>
      </c>
      <c r="C79" s="3">
        <f t="shared" si="5"/>
        <v>-59.454137079111312</v>
      </c>
      <c r="D79" s="3">
        <f t="shared" si="6"/>
        <v>190.27055702917772</v>
      </c>
      <c r="E79" s="3">
        <f t="shared" si="7"/>
        <v>-18.224693653621706</v>
      </c>
      <c r="F79" s="3">
        <v>255</v>
      </c>
      <c r="G79">
        <v>48.330508051984701</v>
      </c>
      <c r="I79" s="3">
        <v>1886.25</v>
      </c>
      <c r="J79" s="3">
        <v>0</v>
      </c>
      <c r="K79" s="3">
        <v>-54.652813095066698</v>
      </c>
    </row>
    <row r="80" spans="1:11" ht="18" x14ac:dyDescent="0.25">
      <c r="A80" s="3">
        <v>1959.3333333333301</v>
      </c>
      <c r="B80" s="3">
        <f t="shared" si="4"/>
        <v>152.27055702917772</v>
      </c>
      <c r="C80" s="3">
        <f t="shared" si="5"/>
        <v>-101.41420103554069</v>
      </c>
      <c r="D80" s="3">
        <f t="shared" si="6"/>
        <v>152.27055702917772</v>
      </c>
      <c r="E80" s="3">
        <f t="shared" si="7"/>
        <v>-36.990367339003612</v>
      </c>
      <c r="F80" s="3">
        <v>217</v>
      </c>
      <c r="G80">
        <v>29.564834366602799</v>
      </c>
      <c r="I80" s="3">
        <v>1886.3333333333301</v>
      </c>
      <c r="J80" s="3">
        <v>0</v>
      </c>
      <c r="K80" s="3">
        <v>-48.0003640739424</v>
      </c>
    </row>
    <row r="81" spans="1:11" ht="18" x14ac:dyDescent="0.25">
      <c r="A81" s="3">
        <v>1959.4166666666599</v>
      </c>
      <c r="B81" s="3">
        <f t="shared" si="4"/>
        <v>-4.7294429708222765</v>
      </c>
      <c r="C81" s="3">
        <f t="shared" si="5"/>
        <v>-155.69562910725855</v>
      </c>
      <c r="D81" s="3">
        <f t="shared" si="6"/>
        <v>-4.7294429708222765</v>
      </c>
      <c r="E81" s="3">
        <f t="shared" si="7"/>
        <v>-75.284148099079701</v>
      </c>
      <c r="F81" s="3">
        <v>60</v>
      </c>
      <c r="G81">
        <v>-8.72894639347329</v>
      </c>
      <c r="I81" s="3">
        <v>1886.4166666666599</v>
      </c>
      <c r="J81" s="3">
        <v>0</v>
      </c>
      <c r="K81" s="3">
        <v>-16.181864368765101</v>
      </c>
    </row>
    <row r="82" spans="1:11" ht="18" x14ac:dyDescent="0.25">
      <c r="A82" s="3">
        <v>1959.5</v>
      </c>
      <c r="B82" s="3">
        <f t="shared" si="4"/>
        <v>-199.72944297082228</v>
      </c>
      <c r="C82" s="3">
        <f t="shared" si="5"/>
        <v>-185.73430872251413</v>
      </c>
      <c r="D82" s="3">
        <f t="shared" si="6"/>
        <v>-199.72944297082228</v>
      </c>
      <c r="E82" s="3">
        <f t="shared" si="7"/>
        <v>-109.55306157881441</v>
      </c>
      <c r="F82" s="3">
        <v>-135</v>
      </c>
      <c r="G82">
        <v>-42.997859873208</v>
      </c>
      <c r="I82" s="3">
        <v>1886.5</v>
      </c>
      <c r="J82" s="3">
        <v>0</v>
      </c>
      <c r="K82" s="3">
        <v>49.872685531498298</v>
      </c>
    </row>
    <row r="83" spans="1:11" ht="18" x14ac:dyDescent="0.25">
      <c r="A83" s="3">
        <v>1959.5833333333301</v>
      </c>
      <c r="B83" s="3">
        <f t="shared" si="4"/>
        <v>-257.72944297082228</v>
      </c>
      <c r="C83" s="3">
        <f t="shared" si="5"/>
        <v>-209.65220303988357</v>
      </c>
      <c r="D83" s="3">
        <f t="shared" si="6"/>
        <v>-257.72944297082228</v>
      </c>
      <c r="E83" s="3">
        <f t="shared" si="7"/>
        <v>-149.90088170678311</v>
      </c>
      <c r="F83" s="3">
        <v>-193</v>
      </c>
      <c r="G83">
        <v>-83.345680001176703</v>
      </c>
      <c r="I83" s="3">
        <v>1886.5833333333301</v>
      </c>
      <c r="J83" s="3">
        <v>0</v>
      </c>
      <c r="K83" s="3">
        <v>103.51320365751999</v>
      </c>
    </row>
    <row r="84" spans="1:11" ht="18" x14ac:dyDescent="0.25">
      <c r="A84" s="3">
        <v>1959.6666666666599</v>
      </c>
      <c r="B84" s="3">
        <f t="shared" si="4"/>
        <v>-257.72944297082228</v>
      </c>
      <c r="C84" s="3">
        <f t="shared" si="5"/>
        <v>-229.43161083197847</v>
      </c>
      <c r="D84" s="3">
        <f t="shared" si="6"/>
        <v>-257.72944297082228</v>
      </c>
      <c r="E84" s="3">
        <f t="shared" si="7"/>
        <v>-198.95562400535042</v>
      </c>
      <c r="F84" s="3">
        <v>-193</v>
      </c>
      <c r="G84">
        <v>-132.40042229974401</v>
      </c>
      <c r="I84" s="3">
        <v>1886.6666666666599</v>
      </c>
      <c r="J84" s="3">
        <v>0</v>
      </c>
      <c r="K84" s="3">
        <v>121.32960835681099</v>
      </c>
    </row>
    <row r="85" spans="1:11" ht="18" x14ac:dyDescent="0.25">
      <c r="A85" s="3">
        <v>1959.75</v>
      </c>
      <c r="B85" s="3">
        <f t="shared" si="4"/>
        <v>-254.72944297082228</v>
      </c>
      <c r="C85" s="3">
        <f t="shared" si="5"/>
        <v>-235.66060303859746</v>
      </c>
      <c r="D85" s="3">
        <f t="shared" si="6"/>
        <v>-254.72944297082228</v>
      </c>
      <c r="E85" s="3">
        <f t="shared" si="7"/>
        <v>-219.0379048711564</v>
      </c>
      <c r="F85" s="3">
        <v>-190</v>
      </c>
      <c r="G85">
        <v>-152.48270316554999</v>
      </c>
      <c r="I85" s="3">
        <v>1886.75</v>
      </c>
      <c r="J85" s="3">
        <v>0</v>
      </c>
      <c r="K85" s="3">
        <v>135.804862394265</v>
      </c>
    </row>
    <row r="86" spans="1:11" ht="18" x14ac:dyDescent="0.25">
      <c r="A86" s="3">
        <v>1959.8333333333301</v>
      </c>
      <c r="B86" s="3">
        <f t="shared" si="4"/>
        <v>-191.72944297082228</v>
      </c>
      <c r="C86" s="3">
        <f t="shared" si="5"/>
        <v>-233.75143766692105</v>
      </c>
      <c r="D86" s="3">
        <f t="shared" si="6"/>
        <v>-191.72944297082228</v>
      </c>
      <c r="E86" s="3">
        <f t="shared" si="7"/>
        <v>-212.58270822533441</v>
      </c>
      <c r="F86" s="3">
        <v>-127</v>
      </c>
      <c r="G86">
        <v>-146.02750651972801</v>
      </c>
      <c r="I86" s="3">
        <v>1886.8333333333301</v>
      </c>
      <c r="J86" s="3">
        <v>0</v>
      </c>
      <c r="K86" s="3">
        <v>142.59439997972399</v>
      </c>
    </row>
    <row r="87" spans="1:11" ht="18" x14ac:dyDescent="0.25">
      <c r="A87" s="3">
        <v>1959.9166666666599</v>
      </c>
      <c r="B87" s="3">
        <f t="shared" si="4"/>
        <v>-147.72944297082228</v>
      </c>
      <c r="C87" s="3">
        <f t="shared" si="5"/>
        <v>-225.33013801298503</v>
      </c>
      <c r="D87" s="3">
        <f t="shared" si="6"/>
        <v>-147.72944297082228</v>
      </c>
      <c r="E87" s="3">
        <f t="shared" si="7"/>
        <v>-187.1401669812754</v>
      </c>
      <c r="F87" s="3">
        <v>-83</v>
      </c>
      <c r="G87">
        <v>-120.58496527566901</v>
      </c>
      <c r="I87" s="3">
        <v>1886.9166666666599</v>
      </c>
      <c r="J87" s="3">
        <v>0</v>
      </c>
      <c r="K87" s="3">
        <v>133.72955274822101</v>
      </c>
    </row>
    <row r="88" spans="1:11" ht="18" x14ac:dyDescent="0.25">
      <c r="A88" s="3">
        <v>1960</v>
      </c>
      <c r="B88" s="3">
        <f t="shared" si="4"/>
        <v>-104.72944297082228</v>
      </c>
      <c r="C88" s="3">
        <f t="shared" si="5"/>
        <v>-201.93257211926016</v>
      </c>
      <c r="D88" s="3">
        <f t="shared" si="6"/>
        <v>-104.72944297082228</v>
      </c>
      <c r="E88" s="3">
        <f t="shared" si="7"/>
        <v>-135.12692561231691</v>
      </c>
      <c r="F88" s="3">
        <v>-40</v>
      </c>
      <c r="G88">
        <v>-68.571723906710503</v>
      </c>
      <c r="I88" s="3">
        <v>1887</v>
      </c>
      <c r="J88" s="3">
        <v>0</v>
      </c>
      <c r="K88" s="3">
        <v>119.00030535210399</v>
      </c>
    </row>
    <row r="89" spans="1:11" ht="18" x14ac:dyDescent="0.25">
      <c r="A89" s="3">
        <v>1960.0833333333301</v>
      </c>
      <c r="B89" s="3">
        <f t="shared" si="4"/>
        <v>-62.729442970822276</v>
      </c>
      <c r="C89" s="3">
        <f t="shared" si="5"/>
        <v>-173.55552868585528</v>
      </c>
      <c r="D89" s="3">
        <f t="shared" si="6"/>
        <v>-62.729442970822276</v>
      </c>
      <c r="E89" s="3">
        <f t="shared" si="7"/>
        <v>-93.991711652823113</v>
      </c>
      <c r="F89" s="3">
        <v>2</v>
      </c>
      <c r="G89">
        <v>-27.436509947216699</v>
      </c>
      <c r="I89" s="3">
        <v>1887.0833333333301</v>
      </c>
      <c r="J89" s="3">
        <v>0</v>
      </c>
      <c r="K89" s="3">
        <v>81.691489647805795</v>
      </c>
    </row>
    <row r="90" spans="1:11" ht="18" x14ac:dyDescent="0.25">
      <c r="A90" s="3">
        <v>1960.1666666666599</v>
      </c>
      <c r="B90" s="3">
        <f t="shared" si="4"/>
        <v>-46.729442970822276</v>
      </c>
      <c r="C90" s="3">
        <f t="shared" si="5"/>
        <v>-156.44221060370683</v>
      </c>
      <c r="D90" s="3">
        <f t="shared" si="6"/>
        <v>-46.729442970822276</v>
      </c>
      <c r="E90" s="3">
        <f t="shared" si="7"/>
        <v>-75.985508371690457</v>
      </c>
      <c r="F90" s="3">
        <v>18</v>
      </c>
      <c r="G90">
        <v>-9.43030666608405</v>
      </c>
      <c r="I90" s="3">
        <v>1887.1666666666599</v>
      </c>
      <c r="J90" s="3">
        <v>0</v>
      </c>
      <c r="K90" s="3">
        <v>42.926350765542097</v>
      </c>
    </row>
    <row r="91" spans="1:11" ht="18" x14ac:dyDescent="0.25">
      <c r="A91" s="3">
        <v>1960.25</v>
      </c>
      <c r="B91" s="3">
        <f t="shared" si="4"/>
        <v>-18.729442970822276</v>
      </c>
      <c r="C91" s="3">
        <f t="shared" si="5"/>
        <v>-115.09064263509865</v>
      </c>
      <c r="D91" s="3">
        <f t="shared" si="6"/>
        <v>-18.729442970822276</v>
      </c>
      <c r="E91" s="3">
        <f t="shared" si="7"/>
        <v>-44.748591686778809</v>
      </c>
      <c r="F91" s="3">
        <v>46</v>
      </c>
      <c r="G91">
        <v>21.806610018827602</v>
      </c>
      <c r="I91" s="3">
        <v>1887.25</v>
      </c>
      <c r="J91" s="3">
        <v>0</v>
      </c>
      <c r="K91" s="3">
        <v>47.656402605382198</v>
      </c>
    </row>
    <row r="92" spans="1:11" ht="18" x14ac:dyDescent="0.25">
      <c r="A92" s="3">
        <v>1960.3333333333301</v>
      </c>
      <c r="B92" s="3">
        <f t="shared" si="4"/>
        <v>59.270557029177724</v>
      </c>
      <c r="C92" s="3">
        <f t="shared" si="5"/>
        <v>25.207089700188565</v>
      </c>
      <c r="D92" s="3">
        <f t="shared" si="6"/>
        <v>59.270557029177724</v>
      </c>
      <c r="E92" s="3">
        <f t="shared" si="7"/>
        <v>6.8363273659272892</v>
      </c>
      <c r="F92" s="3">
        <v>124</v>
      </c>
      <c r="G92">
        <v>73.391529071533697</v>
      </c>
      <c r="I92" s="3">
        <v>1887.3333333333301</v>
      </c>
      <c r="J92" s="3">
        <v>0</v>
      </c>
      <c r="K92" s="3">
        <v>84.008132655403401</v>
      </c>
    </row>
    <row r="93" spans="1:11" ht="18" x14ac:dyDescent="0.25">
      <c r="A93" s="3">
        <v>1960.4166666666599</v>
      </c>
      <c r="B93" s="3">
        <f t="shared" si="4"/>
        <v>117.27055702917772</v>
      </c>
      <c r="C93" s="3">
        <f t="shared" si="5"/>
        <v>159.03348185595536</v>
      </c>
      <c r="D93" s="3">
        <f t="shared" si="6"/>
        <v>117.27055702917772</v>
      </c>
      <c r="E93" s="3">
        <f t="shared" si="7"/>
        <v>78.469570216515592</v>
      </c>
      <c r="F93" s="3">
        <v>182</v>
      </c>
      <c r="G93">
        <v>145.024771922122</v>
      </c>
      <c r="I93" s="3">
        <v>1887.4166666666599</v>
      </c>
      <c r="J93" s="3">
        <v>0</v>
      </c>
      <c r="K93" s="3">
        <v>131.56751043546899</v>
      </c>
    </row>
    <row r="94" spans="1:11" ht="18" x14ac:dyDescent="0.25">
      <c r="A94" s="3">
        <v>1960.5</v>
      </c>
      <c r="B94" s="3">
        <f t="shared" si="4"/>
        <v>187.27055702917772</v>
      </c>
      <c r="C94" s="3">
        <f t="shared" si="5"/>
        <v>211.11219663351395</v>
      </c>
      <c r="D94" s="3">
        <f t="shared" si="6"/>
        <v>187.27055702917772</v>
      </c>
      <c r="E94" s="3">
        <f t="shared" si="7"/>
        <v>152.9255831893216</v>
      </c>
      <c r="F94" s="3">
        <v>252</v>
      </c>
      <c r="G94">
        <v>219.48078489492801</v>
      </c>
      <c r="I94" s="3">
        <v>1887.5</v>
      </c>
      <c r="J94" s="3">
        <v>0</v>
      </c>
      <c r="K94" s="3">
        <v>166.80576001475399</v>
      </c>
    </row>
    <row r="95" spans="1:11" ht="18" x14ac:dyDescent="0.25">
      <c r="A95" s="3">
        <v>1960.5833333333301</v>
      </c>
      <c r="B95" s="3">
        <f t="shared" si="4"/>
        <v>191.27055702917772</v>
      </c>
      <c r="C95" s="3">
        <f t="shared" si="5"/>
        <v>224.94677884228591</v>
      </c>
      <c r="D95" s="3">
        <f t="shared" si="6"/>
        <v>191.27055702917772</v>
      </c>
      <c r="E95" s="3">
        <f t="shared" si="7"/>
        <v>186.08663196428358</v>
      </c>
      <c r="F95" s="3">
        <v>256</v>
      </c>
      <c r="G95">
        <v>252.64183366988999</v>
      </c>
      <c r="I95" s="3">
        <v>1887.5833333333301</v>
      </c>
      <c r="J95" s="3">
        <v>0</v>
      </c>
      <c r="K95" s="3">
        <v>158.97079847292099</v>
      </c>
    </row>
    <row r="96" spans="1:11" ht="18" x14ac:dyDescent="0.25">
      <c r="A96" s="3">
        <v>1960.6666666666599</v>
      </c>
      <c r="B96" s="3">
        <f t="shared" si="4"/>
        <v>191.27055702917772</v>
      </c>
      <c r="C96" s="3">
        <f t="shared" si="5"/>
        <v>230.01114867360309</v>
      </c>
      <c r="D96" s="3">
        <f t="shared" si="6"/>
        <v>191.27055702917772</v>
      </c>
      <c r="E96" s="3">
        <f t="shared" si="7"/>
        <v>200.70976448473459</v>
      </c>
      <c r="F96" s="3">
        <v>256</v>
      </c>
      <c r="G96">
        <v>267.264966190341</v>
      </c>
      <c r="I96" s="3">
        <v>1887.6666666666599</v>
      </c>
      <c r="J96" s="3">
        <v>0</v>
      </c>
      <c r="K96" s="3">
        <v>144.76834447792399</v>
      </c>
    </row>
    <row r="97" spans="1:11" ht="18" x14ac:dyDescent="0.25">
      <c r="A97" s="3">
        <v>1960.75</v>
      </c>
      <c r="B97" s="3">
        <f t="shared" si="4"/>
        <v>190.27055702917772</v>
      </c>
      <c r="C97" s="3">
        <f t="shared" si="5"/>
        <v>240.18951171442529</v>
      </c>
      <c r="D97" s="3">
        <f t="shared" si="6"/>
        <v>190.27055702917772</v>
      </c>
      <c r="E97" s="3">
        <f t="shared" si="7"/>
        <v>235.5505206607416</v>
      </c>
      <c r="F97" s="3">
        <v>255</v>
      </c>
      <c r="G97">
        <v>302.105722366348</v>
      </c>
      <c r="I97" s="3">
        <v>1887.75</v>
      </c>
      <c r="J97" s="3">
        <v>0</v>
      </c>
      <c r="K97" s="3">
        <v>156.58679010324499</v>
      </c>
    </row>
    <row r="98" spans="1:11" ht="18" x14ac:dyDescent="0.25">
      <c r="A98" s="3">
        <v>1960.8333333333301</v>
      </c>
      <c r="B98" s="3">
        <f t="shared" si="4"/>
        <v>184.27055702917772</v>
      </c>
      <c r="C98" s="3">
        <f t="shared" si="5"/>
        <v>245.53166397390214</v>
      </c>
      <c r="D98" s="3">
        <f t="shared" si="6"/>
        <v>184.27055702917772</v>
      </c>
      <c r="E98" s="3">
        <f t="shared" si="7"/>
        <v>257.53050922027757</v>
      </c>
      <c r="F98" s="3">
        <v>249</v>
      </c>
      <c r="G98">
        <v>324.08571092588397</v>
      </c>
      <c r="I98" s="3">
        <v>1887.8333333333301</v>
      </c>
      <c r="J98" s="3">
        <v>0</v>
      </c>
      <c r="K98" s="3">
        <v>155.44267006707301</v>
      </c>
    </row>
    <row r="99" spans="1:11" ht="18" x14ac:dyDescent="0.25">
      <c r="A99" s="3">
        <v>1960.9166666666599</v>
      </c>
      <c r="B99" s="3">
        <f t="shared" si="4"/>
        <v>143.27055702917772</v>
      </c>
      <c r="C99" s="3">
        <f t="shared" si="5"/>
        <v>242.0293800176002</v>
      </c>
      <c r="D99" s="3">
        <f t="shared" si="6"/>
        <v>143.27055702917772</v>
      </c>
      <c r="E99" s="3">
        <f t="shared" si="7"/>
        <v>242.79055210734458</v>
      </c>
      <c r="F99" s="3">
        <v>208</v>
      </c>
      <c r="G99">
        <v>309.34575381295099</v>
      </c>
      <c r="I99" s="3">
        <v>1887.9166666666599</v>
      </c>
      <c r="J99" s="3">
        <v>0</v>
      </c>
      <c r="K99" s="3">
        <v>127.600704900743</v>
      </c>
    </row>
    <row r="100" spans="1:11" ht="18" x14ac:dyDescent="0.25">
      <c r="A100" s="3">
        <v>1961</v>
      </c>
      <c r="B100" s="3">
        <f t="shared" si="4"/>
        <v>90.270557029177724</v>
      </c>
      <c r="C100" s="3">
        <f t="shared" si="5"/>
        <v>227.17350779035337</v>
      </c>
      <c r="D100" s="3">
        <f t="shared" si="6"/>
        <v>90.270557029177724</v>
      </c>
      <c r="E100" s="3">
        <f t="shared" si="7"/>
        <v>192.32455178604459</v>
      </c>
      <c r="F100" s="3">
        <v>155</v>
      </c>
      <c r="G100">
        <v>258.879753491651</v>
      </c>
      <c r="I100" s="3">
        <v>1888</v>
      </c>
      <c r="J100" s="3">
        <v>0</v>
      </c>
      <c r="K100" s="3">
        <v>85.334390186411795</v>
      </c>
    </row>
    <row r="101" spans="1:11" ht="18" x14ac:dyDescent="0.25">
      <c r="A101" s="3">
        <v>1961.0833333333301</v>
      </c>
      <c r="B101" s="3">
        <f t="shared" si="4"/>
        <v>-51.729442970822276</v>
      </c>
      <c r="C101" s="3">
        <f t="shared" si="5"/>
        <v>186.04971508754335</v>
      </c>
      <c r="D101" s="3">
        <f t="shared" si="6"/>
        <v>-51.729442970822276</v>
      </c>
      <c r="E101" s="3">
        <f t="shared" si="7"/>
        <v>109.99300709504058</v>
      </c>
      <c r="F101" s="3">
        <v>13</v>
      </c>
      <c r="G101">
        <v>176.54820880064699</v>
      </c>
      <c r="I101" s="3">
        <v>1888.0833333333301</v>
      </c>
      <c r="J101" s="3">
        <v>0</v>
      </c>
      <c r="K101" s="3">
        <v>34.6799884147649</v>
      </c>
    </row>
    <row r="102" spans="1:11" ht="18" x14ac:dyDescent="0.25">
      <c r="A102" s="3">
        <v>1961.1666666666599</v>
      </c>
      <c r="B102" s="3">
        <f t="shared" si="4"/>
        <v>-93.729442970822276</v>
      </c>
      <c r="C102" s="3">
        <f t="shared" si="5"/>
        <v>107.68191309558171</v>
      </c>
      <c r="D102" s="3">
        <f t="shared" si="6"/>
        <v>-93.729442970822276</v>
      </c>
      <c r="E102" s="3">
        <f t="shared" si="7"/>
        <v>40.423149837720587</v>
      </c>
      <c r="F102" s="3">
        <v>-29</v>
      </c>
      <c r="G102">
        <v>106.97835154332699</v>
      </c>
      <c r="I102" s="3">
        <v>1888.1666666666599</v>
      </c>
      <c r="J102" s="3">
        <v>0</v>
      </c>
      <c r="K102" s="3">
        <v>6.6728563841762201</v>
      </c>
    </row>
    <row r="103" spans="1:11" ht="18" x14ac:dyDescent="0.25">
      <c r="A103" s="3">
        <v>1961.25</v>
      </c>
      <c r="B103" s="3">
        <f t="shared" si="4"/>
        <v>-102.72944297082228</v>
      </c>
      <c r="C103" s="3">
        <f t="shared" si="5"/>
        <v>5.5304411047594781</v>
      </c>
      <c r="D103" s="3">
        <f t="shared" si="6"/>
        <v>-102.72944297082228</v>
      </c>
      <c r="E103" s="3">
        <f t="shared" si="7"/>
        <v>1.4067438470555942</v>
      </c>
      <c r="F103" s="3">
        <v>-38</v>
      </c>
      <c r="G103">
        <v>67.961945552662002</v>
      </c>
      <c r="I103" s="3">
        <v>1888.25</v>
      </c>
      <c r="J103" s="3">
        <v>0</v>
      </c>
      <c r="K103" s="3">
        <v>0.48796954937887399</v>
      </c>
    </row>
    <row r="104" spans="1:11" ht="18" x14ac:dyDescent="0.25">
      <c r="A104" s="3">
        <v>1961.3333333333301</v>
      </c>
      <c r="B104" s="3">
        <f t="shared" si="4"/>
        <v>-178.72944297082228</v>
      </c>
      <c r="C104" s="3">
        <f t="shared" si="5"/>
        <v>-97.528282822626906</v>
      </c>
      <c r="D104" s="3">
        <f t="shared" si="6"/>
        <v>-178.72944297082228</v>
      </c>
      <c r="E104" s="3">
        <f t="shared" si="7"/>
        <v>-34.958188787021207</v>
      </c>
      <c r="F104" s="3">
        <v>-114</v>
      </c>
      <c r="G104">
        <v>31.5970129185852</v>
      </c>
      <c r="I104" s="3">
        <v>1888.3333333333301</v>
      </c>
      <c r="J104" s="3">
        <v>0</v>
      </c>
      <c r="K104" s="3">
        <v>-7.9429384442556001</v>
      </c>
    </row>
    <row r="105" spans="1:11" ht="18" x14ac:dyDescent="0.25">
      <c r="A105" s="3">
        <v>1961.4166666666599</v>
      </c>
      <c r="B105" s="3">
        <f t="shared" si="4"/>
        <v>-206.72944297082228</v>
      </c>
      <c r="C105" s="3">
        <f t="shared" si="5"/>
        <v>-140.53939186999887</v>
      </c>
      <c r="D105" s="3">
        <f t="shared" si="6"/>
        <v>-206.72944297082228</v>
      </c>
      <c r="E105" s="3">
        <f t="shared" si="7"/>
        <v>-62.291214125344098</v>
      </c>
      <c r="F105" s="3">
        <v>-142</v>
      </c>
      <c r="G105">
        <v>4.2639875802623104</v>
      </c>
      <c r="I105" s="3">
        <v>1888.4166666666599</v>
      </c>
      <c r="J105" s="3">
        <v>0</v>
      </c>
      <c r="K105" s="3">
        <v>1.8933041970823801</v>
      </c>
    </row>
    <row r="106" spans="1:11" ht="18" x14ac:dyDescent="0.25">
      <c r="A106" s="3">
        <v>1961.5</v>
      </c>
      <c r="B106" s="3">
        <f t="shared" si="4"/>
        <v>-206.72944297082228</v>
      </c>
      <c r="C106" s="3">
        <f t="shared" si="5"/>
        <v>-163.24228517932485</v>
      </c>
      <c r="D106" s="3">
        <f t="shared" si="6"/>
        <v>-206.72944297082228</v>
      </c>
      <c r="E106" s="3">
        <f t="shared" si="7"/>
        <v>-82.676658030224303</v>
      </c>
      <c r="F106" s="3">
        <v>-142</v>
      </c>
      <c r="G106">
        <v>-16.121456324617899</v>
      </c>
      <c r="I106" s="3">
        <v>1888.5</v>
      </c>
      <c r="J106" s="3">
        <v>0</v>
      </c>
      <c r="K106" s="3">
        <v>22.7518664724385</v>
      </c>
    </row>
    <row r="107" spans="1:11" ht="18" x14ac:dyDescent="0.25">
      <c r="A107" s="3">
        <v>1961.5833333333301</v>
      </c>
      <c r="B107" s="3">
        <f t="shared" si="4"/>
        <v>-204.72944297082228</v>
      </c>
      <c r="C107" s="3">
        <f t="shared" si="5"/>
        <v>-187.73607505136349</v>
      </c>
      <c r="D107" s="3">
        <f t="shared" si="6"/>
        <v>-204.72944297082228</v>
      </c>
      <c r="E107" s="3">
        <f t="shared" si="7"/>
        <v>-112.38020501005681</v>
      </c>
      <c r="F107" s="3">
        <v>-140</v>
      </c>
      <c r="G107">
        <v>-45.825003304450398</v>
      </c>
      <c r="I107" s="3">
        <v>1888.5833333333301</v>
      </c>
      <c r="J107" s="3">
        <v>0</v>
      </c>
      <c r="K107" s="3">
        <v>20.007848381011101</v>
      </c>
    </row>
    <row r="108" spans="1:11" ht="18" x14ac:dyDescent="0.25">
      <c r="A108" s="3">
        <v>1961.6666666666599</v>
      </c>
      <c r="B108" s="3">
        <f t="shared" si="4"/>
        <v>-190.72944297082228</v>
      </c>
      <c r="C108" s="3">
        <f t="shared" si="5"/>
        <v>-197.10314323114036</v>
      </c>
      <c r="D108" s="3">
        <f t="shared" si="6"/>
        <v>-190.72944297082228</v>
      </c>
      <c r="E108" s="3">
        <f t="shared" si="7"/>
        <v>-126.81020809234371</v>
      </c>
      <c r="F108" s="3">
        <v>-126</v>
      </c>
      <c r="G108">
        <v>-60.2550063867373</v>
      </c>
      <c r="I108" s="3">
        <v>1888.6666666666599</v>
      </c>
      <c r="J108" s="3">
        <v>0</v>
      </c>
      <c r="K108" s="3">
        <v>4.6705294693361799</v>
      </c>
    </row>
    <row r="109" spans="1:11" ht="18" x14ac:dyDescent="0.25">
      <c r="A109" s="3">
        <v>1961.75</v>
      </c>
      <c r="B109" s="3">
        <f t="shared" si="4"/>
        <v>-162.72944297082228</v>
      </c>
      <c r="C109" s="3">
        <f t="shared" si="5"/>
        <v>-200.18885644021583</v>
      </c>
      <c r="D109" s="3">
        <f t="shared" si="6"/>
        <v>-162.72944297082228</v>
      </c>
      <c r="E109" s="3">
        <f t="shared" si="7"/>
        <v>-132.04824998251939</v>
      </c>
      <c r="F109" s="3">
        <v>-98</v>
      </c>
      <c r="G109">
        <v>-65.493048276913001</v>
      </c>
      <c r="I109" s="3">
        <v>1888.75</v>
      </c>
      <c r="J109" s="3">
        <v>0</v>
      </c>
      <c r="K109" s="3">
        <v>-21.941253351439901</v>
      </c>
    </row>
    <row r="110" spans="1:11" ht="18" x14ac:dyDescent="0.25">
      <c r="A110" s="3">
        <v>1961.8333333333301</v>
      </c>
      <c r="B110" s="3">
        <f t="shared" si="4"/>
        <v>-162.72944297082228</v>
      </c>
      <c r="C110" s="3">
        <f t="shared" si="5"/>
        <v>-213.23467107354534</v>
      </c>
      <c r="D110" s="3">
        <f t="shared" si="6"/>
        <v>-162.72944297082228</v>
      </c>
      <c r="E110" s="3">
        <f t="shared" si="7"/>
        <v>-157.4671039163012</v>
      </c>
      <c r="F110" s="3">
        <v>-98</v>
      </c>
      <c r="G110">
        <v>-90.911902210694805</v>
      </c>
      <c r="I110" s="3">
        <v>1888.8333333333301</v>
      </c>
      <c r="J110" s="3">
        <v>0</v>
      </c>
      <c r="K110" s="3">
        <v>-60.217995775878599</v>
      </c>
    </row>
    <row r="111" spans="1:11" ht="18" x14ac:dyDescent="0.25">
      <c r="A111" s="3">
        <v>1961.9166666666599</v>
      </c>
      <c r="B111" s="3">
        <f t="shared" si="4"/>
        <v>-162.72944297082228</v>
      </c>
      <c r="C111" s="3">
        <f t="shared" si="5"/>
        <v>-223.72541079524959</v>
      </c>
      <c r="D111" s="3">
        <f t="shared" si="6"/>
        <v>-162.72944297082228</v>
      </c>
      <c r="E111" s="3">
        <f t="shared" si="7"/>
        <v>-182.78471233829441</v>
      </c>
      <c r="F111" s="3">
        <v>-98</v>
      </c>
      <c r="G111">
        <v>-116.229510632688</v>
      </c>
      <c r="I111" s="3">
        <v>1888.9166666666599</v>
      </c>
      <c r="J111" s="3">
        <v>0</v>
      </c>
      <c r="K111" s="3">
        <v>-73.953014044895994</v>
      </c>
    </row>
    <row r="112" spans="1:11" ht="18" x14ac:dyDescent="0.25">
      <c r="A112" s="3">
        <v>1962</v>
      </c>
      <c r="B112" s="3">
        <f t="shared" si="4"/>
        <v>-133.72944297082228</v>
      </c>
      <c r="C112" s="3">
        <f t="shared" si="5"/>
        <v>-229.91926089978946</v>
      </c>
      <c r="D112" s="3">
        <f t="shared" si="6"/>
        <v>-133.72944297082228</v>
      </c>
      <c r="E112" s="3">
        <f t="shared" si="7"/>
        <v>-200.43017226583541</v>
      </c>
      <c r="F112" s="3">
        <v>-69</v>
      </c>
      <c r="G112">
        <v>-133.874970560229</v>
      </c>
      <c r="I112" s="3">
        <v>1889</v>
      </c>
      <c r="J112" s="3">
        <v>0</v>
      </c>
      <c r="K112" s="3">
        <v>-66.176063942574004</v>
      </c>
    </row>
    <row r="113" spans="1:11" ht="18" x14ac:dyDescent="0.25">
      <c r="A113" s="3">
        <v>1962.0833333333301</v>
      </c>
      <c r="B113" s="3">
        <f t="shared" si="4"/>
        <v>-133.72944297082228</v>
      </c>
      <c r="C113" s="3">
        <f t="shared" si="5"/>
        <v>-235.22549178007037</v>
      </c>
      <c r="D113" s="3">
        <f t="shared" si="6"/>
        <v>-133.72944297082228</v>
      </c>
      <c r="E113" s="3">
        <f t="shared" si="7"/>
        <v>-217.54183797765941</v>
      </c>
      <c r="F113" s="3">
        <v>-69</v>
      </c>
      <c r="G113">
        <v>-150.986636272053</v>
      </c>
      <c r="I113" s="3">
        <v>1889.0833333333301</v>
      </c>
      <c r="J113" s="3">
        <v>0</v>
      </c>
      <c r="K113" s="3">
        <v>-55.788107630952197</v>
      </c>
    </row>
    <row r="114" spans="1:11" ht="18" x14ac:dyDescent="0.25">
      <c r="A114" s="3">
        <v>1962.1666666666599</v>
      </c>
      <c r="B114" s="3">
        <f t="shared" si="4"/>
        <v>-119.72944297082228</v>
      </c>
      <c r="C114" s="3">
        <f t="shared" si="5"/>
        <v>-234.57531214394547</v>
      </c>
      <c r="D114" s="3">
        <f t="shared" si="6"/>
        <v>-119.72944297082228</v>
      </c>
      <c r="E114" s="3">
        <f t="shared" si="7"/>
        <v>-215.3339251799064</v>
      </c>
      <c r="F114" s="3">
        <v>-55</v>
      </c>
      <c r="G114">
        <v>-148.77872347429999</v>
      </c>
      <c r="I114" s="3">
        <v>1889.1666666666599</v>
      </c>
      <c r="J114" s="3">
        <v>0</v>
      </c>
      <c r="K114" s="3">
        <v>-29.233742842703599</v>
      </c>
    </row>
    <row r="115" spans="1:11" ht="18" x14ac:dyDescent="0.25">
      <c r="A115" s="3">
        <v>1962.25</v>
      </c>
      <c r="B115" s="3">
        <f t="shared" si="4"/>
        <v>-113.72944297082228</v>
      </c>
      <c r="C115" s="3">
        <f t="shared" si="5"/>
        <v>-228.46110193872235</v>
      </c>
      <c r="D115" s="3">
        <f t="shared" si="6"/>
        <v>-113.72944297082228</v>
      </c>
      <c r="E115" s="3">
        <f t="shared" si="7"/>
        <v>-196.06658245272442</v>
      </c>
      <c r="F115" s="3">
        <v>-49</v>
      </c>
      <c r="G115">
        <v>-129.51138074711801</v>
      </c>
      <c r="I115" s="3">
        <v>1889.25</v>
      </c>
      <c r="J115" s="3">
        <v>0</v>
      </c>
      <c r="K115" s="3">
        <v>6.7040898777020601</v>
      </c>
    </row>
    <row r="116" spans="1:11" ht="18" x14ac:dyDescent="0.25">
      <c r="A116" s="3">
        <v>1962.3333333333301</v>
      </c>
      <c r="B116" s="3">
        <f t="shared" si="4"/>
        <v>-37.729442970822276</v>
      </c>
      <c r="C116" s="3">
        <f t="shared" si="5"/>
        <v>-209.1242056301495</v>
      </c>
      <c r="D116" s="3">
        <f t="shared" si="6"/>
        <v>-37.729442970822276</v>
      </c>
      <c r="E116" s="3">
        <f t="shared" si="7"/>
        <v>-148.82622021291471</v>
      </c>
      <c r="F116" s="3">
        <v>27</v>
      </c>
      <c r="G116">
        <v>-82.271018507308298</v>
      </c>
      <c r="I116" s="3">
        <v>1889.3333333333301</v>
      </c>
      <c r="J116" s="3">
        <v>0</v>
      </c>
      <c r="K116" s="3">
        <v>54.545733872755797</v>
      </c>
    </row>
    <row r="117" spans="1:11" ht="18" x14ac:dyDescent="0.25">
      <c r="A117" s="3">
        <v>1962.4166666666599</v>
      </c>
      <c r="B117" s="3">
        <f t="shared" si="4"/>
        <v>96.270557029177724</v>
      </c>
      <c r="C117" s="3">
        <f t="shared" si="5"/>
        <v>-120.5553740228513</v>
      </c>
      <c r="D117" s="3">
        <f t="shared" si="6"/>
        <v>96.270557029177724</v>
      </c>
      <c r="E117" s="3">
        <f t="shared" si="7"/>
        <v>-48.142585138658504</v>
      </c>
      <c r="F117" s="3">
        <v>161</v>
      </c>
      <c r="G117">
        <v>18.4126165669479</v>
      </c>
      <c r="I117" s="3">
        <v>1889.4166666666599</v>
      </c>
      <c r="J117" s="3">
        <v>0</v>
      </c>
      <c r="K117" s="3">
        <v>122.465929830926</v>
      </c>
    </row>
    <row r="118" spans="1:11" ht="18" x14ac:dyDescent="0.25">
      <c r="A118" s="3">
        <v>1962.5</v>
      </c>
      <c r="B118" s="3">
        <f t="shared" si="4"/>
        <v>163.27055702917772</v>
      </c>
      <c r="C118" s="3">
        <f t="shared" si="5"/>
        <v>132.67101102708341</v>
      </c>
      <c r="D118" s="3">
        <f t="shared" si="6"/>
        <v>163.27055702917772</v>
      </c>
      <c r="E118" s="3">
        <f t="shared" si="7"/>
        <v>56.364626815574596</v>
      </c>
      <c r="F118" s="3">
        <v>228</v>
      </c>
      <c r="G118">
        <v>122.919828521181</v>
      </c>
      <c r="I118" s="3">
        <v>1889.5</v>
      </c>
      <c r="J118" s="3">
        <v>0</v>
      </c>
      <c r="K118" s="3">
        <v>158.264718202209</v>
      </c>
    </row>
    <row r="119" spans="1:11" ht="18" x14ac:dyDescent="0.25">
      <c r="A119" s="3">
        <v>1962.5833333333301</v>
      </c>
      <c r="B119" s="3">
        <f t="shared" si="4"/>
        <v>187.27055702917772</v>
      </c>
      <c r="C119" s="3">
        <f t="shared" si="5"/>
        <v>189.67987320243435</v>
      </c>
      <c r="D119" s="3">
        <f t="shared" si="6"/>
        <v>187.27055702917772</v>
      </c>
      <c r="E119" s="3">
        <f t="shared" si="7"/>
        <v>115.2071104095846</v>
      </c>
      <c r="F119" s="3">
        <v>252</v>
      </c>
      <c r="G119">
        <v>181.76231211519101</v>
      </c>
      <c r="I119" s="3">
        <v>1889.5833333333301</v>
      </c>
      <c r="J119" s="3">
        <v>0</v>
      </c>
      <c r="K119" s="3">
        <v>143.59451364434099</v>
      </c>
    </row>
    <row r="120" spans="1:11" ht="18" x14ac:dyDescent="0.25">
      <c r="A120" s="3">
        <v>1962.6666666666599</v>
      </c>
      <c r="B120" s="3">
        <f t="shared" si="4"/>
        <v>210.27055702917772</v>
      </c>
      <c r="C120" s="3">
        <f t="shared" si="5"/>
        <v>208.13789329357863</v>
      </c>
      <c r="D120" s="3">
        <f t="shared" si="6"/>
        <v>210.27055702917772</v>
      </c>
      <c r="E120" s="3">
        <f t="shared" si="7"/>
        <v>146.84533817686759</v>
      </c>
      <c r="F120" s="3">
        <v>275</v>
      </c>
      <c r="G120">
        <v>213.40053988247399</v>
      </c>
      <c r="I120" s="3">
        <v>1889.6666666666599</v>
      </c>
      <c r="J120" s="3">
        <v>0</v>
      </c>
      <c r="K120" s="3">
        <v>132.49224380559201</v>
      </c>
    </row>
    <row r="121" spans="1:11" ht="18" x14ac:dyDescent="0.25">
      <c r="A121" s="3">
        <v>1962.75</v>
      </c>
      <c r="B121" s="3">
        <f t="shared" si="4"/>
        <v>215.27055702917772</v>
      </c>
      <c r="C121" s="3">
        <f t="shared" si="5"/>
        <v>215.59523906868699</v>
      </c>
      <c r="D121" s="3">
        <f t="shared" si="6"/>
        <v>215.27055702917772</v>
      </c>
      <c r="E121" s="3">
        <f t="shared" si="7"/>
        <v>162.7301526464006</v>
      </c>
      <c r="F121" s="3">
        <v>280</v>
      </c>
      <c r="G121">
        <v>229.285354352007</v>
      </c>
      <c r="I121" s="3">
        <v>1889.75</v>
      </c>
      <c r="J121" s="3">
        <v>0</v>
      </c>
      <c r="K121" s="3">
        <v>148.60374451764801</v>
      </c>
    </row>
    <row r="122" spans="1:11" ht="18" x14ac:dyDescent="0.25">
      <c r="A122" s="3">
        <v>1962.8333333333301</v>
      </c>
      <c r="B122" s="3">
        <f t="shared" si="4"/>
        <v>237.27055702917772</v>
      </c>
      <c r="C122" s="3">
        <f t="shared" si="5"/>
        <v>220.58451548815688</v>
      </c>
      <c r="D122" s="3">
        <f t="shared" si="6"/>
        <v>237.27055702917772</v>
      </c>
      <c r="E122" s="3">
        <f t="shared" si="7"/>
        <v>174.65734590413859</v>
      </c>
      <c r="F122" s="3">
        <v>302</v>
      </c>
      <c r="G122">
        <v>241.212547609745</v>
      </c>
      <c r="I122" s="3">
        <v>1889.8333333333301</v>
      </c>
      <c r="J122" s="3">
        <v>0</v>
      </c>
      <c r="K122" s="3">
        <v>190.37624840675201</v>
      </c>
    </row>
    <row r="123" spans="1:11" ht="18" x14ac:dyDescent="0.25">
      <c r="A123" s="3">
        <v>1962.9166666666599</v>
      </c>
      <c r="B123" s="3">
        <f t="shared" si="4"/>
        <v>237.27055702917772</v>
      </c>
      <c r="C123" s="3">
        <f t="shared" si="5"/>
        <v>226.61937007626207</v>
      </c>
      <c r="D123" s="3">
        <f t="shared" si="6"/>
        <v>237.27055702917772</v>
      </c>
      <c r="E123" s="3">
        <f t="shared" si="7"/>
        <v>190.74508292417261</v>
      </c>
      <c r="F123" s="3">
        <v>302</v>
      </c>
      <c r="G123">
        <v>257.30028462977901</v>
      </c>
      <c r="I123" s="3">
        <v>1889.9166666666599</v>
      </c>
      <c r="J123" s="3">
        <v>0</v>
      </c>
      <c r="K123" s="3">
        <v>237.74991407432901</v>
      </c>
    </row>
    <row r="124" spans="1:11" ht="18" x14ac:dyDescent="0.25">
      <c r="A124" s="3">
        <v>1963</v>
      </c>
      <c r="B124" s="3">
        <f t="shared" si="4"/>
        <v>227.27055702917772</v>
      </c>
      <c r="C124" s="3">
        <f t="shared" si="5"/>
        <v>222.45256371813548</v>
      </c>
      <c r="D124" s="3">
        <f t="shared" si="6"/>
        <v>227.27055702917772</v>
      </c>
      <c r="E124" s="3">
        <f t="shared" si="7"/>
        <v>179.42952125113459</v>
      </c>
      <c r="F124" s="3">
        <v>292</v>
      </c>
      <c r="G124">
        <v>245.984722956741</v>
      </c>
      <c r="I124" s="3">
        <v>1890</v>
      </c>
      <c r="J124" s="3">
        <v>0</v>
      </c>
      <c r="K124" s="3">
        <v>244.11224753920001</v>
      </c>
    </row>
    <row r="125" spans="1:11" ht="18" x14ac:dyDescent="0.25">
      <c r="A125" s="3">
        <v>1963.0833333333301</v>
      </c>
      <c r="B125" s="3">
        <f t="shared" si="4"/>
        <v>227.27055702917772</v>
      </c>
      <c r="C125" s="3">
        <f t="shared" si="5"/>
        <v>209.72710950077405</v>
      </c>
      <c r="D125" s="3">
        <f t="shared" si="6"/>
        <v>227.27055702917772</v>
      </c>
      <c r="E125" s="3">
        <f t="shared" si="7"/>
        <v>150.0541588834366</v>
      </c>
      <c r="F125" s="3">
        <v>292</v>
      </c>
      <c r="G125">
        <v>216.60936058904301</v>
      </c>
      <c r="I125" s="3">
        <v>1890.0833333333301</v>
      </c>
      <c r="J125" s="3">
        <v>0</v>
      </c>
      <c r="K125" s="3">
        <v>221.10525167284001</v>
      </c>
    </row>
    <row r="126" spans="1:11" ht="18" x14ac:dyDescent="0.25">
      <c r="A126" s="3">
        <v>1963.1666666666599</v>
      </c>
      <c r="B126" s="3">
        <f t="shared" si="4"/>
        <v>268.27055702917772</v>
      </c>
      <c r="C126" s="3">
        <f t="shared" si="5"/>
        <v>205.35621965215549</v>
      </c>
      <c r="D126" s="3">
        <f t="shared" si="6"/>
        <v>268.27055702917772</v>
      </c>
      <c r="E126" s="3">
        <f t="shared" si="7"/>
        <v>141.43860090367158</v>
      </c>
      <c r="F126" s="3">
        <v>333</v>
      </c>
      <c r="G126">
        <v>207.99380260927799</v>
      </c>
      <c r="I126" s="3">
        <v>1890.1666666666599</v>
      </c>
      <c r="J126" s="3">
        <v>0</v>
      </c>
      <c r="K126" s="3">
        <v>203.17438045063</v>
      </c>
    </row>
    <row r="127" spans="1:11" ht="18" x14ac:dyDescent="0.25">
      <c r="A127" s="3">
        <v>1963.25</v>
      </c>
      <c r="B127" s="3">
        <f t="shared" si="4"/>
        <v>268.27055702917772</v>
      </c>
      <c r="C127" s="3">
        <f t="shared" si="5"/>
        <v>206.92607273264858</v>
      </c>
      <c r="D127" s="3">
        <f t="shared" si="6"/>
        <v>268.27055702917772</v>
      </c>
      <c r="E127" s="3">
        <f t="shared" si="7"/>
        <v>144.45789315838658</v>
      </c>
      <c r="F127" s="3">
        <v>333</v>
      </c>
      <c r="G127">
        <v>211.01309486399299</v>
      </c>
      <c r="I127" s="3">
        <v>1890.25</v>
      </c>
      <c r="J127" s="3">
        <v>0</v>
      </c>
      <c r="K127" s="3">
        <v>176.91459987797299</v>
      </c>
    </row>
    <row r="128" spans="1:11" ht="18" x14ac:dyDescent="0.25">
      <c r="A128" s="3">
        <v>1963.3333333333301</v>
      </c>
      <c r="B128" s="3">
        <f t="shared" si="4"/>
        <v>263.27055702917772</v>
      </c>
      <c r="C128" s="3">
        <f t="shared" si="5"/>
        <v>211.09329176344249</v>
      </c>
      <c r="D128" s="3">
        <f t="shared" si="6"/>
        <v>263.27055702917772</v>
      </c>
      <c r="E128" s="3">
        <f t="shared" si="7"/>
        <v>152.88591032653559</v>
      </c>
      <c r="F128" s="3">
        <v>328</v>
      </c>
      <c r="G128">
        <v>219.441112032142</v>
      </c>
      <c r="I128" s="3">
        <v>1890.3333333333301</v>
      </c>
      <c r="J128" s="3">
        <v>0</v>
      </c>
      <c r="K128" s="3">
        <v>149.82785858130899</v>
      </c>
    </row>
    <row r="129" spans="1:11" ht="18" x14ac:dyDescent="0.25">
      <c r="A129" s="3">
        <v>1963.4166666666599</v>
      </c>
      <c r="B129" s="3">
        <f t="shared" si="4"/>
        <v>252.27055702917772</v>
      </c>
      <c r="C129" s="3">
        <f t="shared" si="5"/>
        <v>210.94068100025004</v>
      </c>
      <c r="D129" s="3">
        <f t="shared" si="6"/>
        <v>252.27055702917772</v>
      </c>
      <c r="E129" s="3">
        <f t="shared" si="7"/>
        <v>152.56614158625558</v>
      </c>
      <c r="F129" s="3">
        <v>317</v>
      </c>
      <c r="G129">
        <v>219.12134329186199</v>
      </c>
      <c r="I129" s="3">
        <v>1890.4166666666599</v>
      </c>
      <c r="J129" s="3">
        <v>0</v>
      </c>
      <c r="K129" s="3">
        <v>132.61141884513</v>
      </c>
    </row>
    <row r="130" spans="1:11" ht="18" x14ac:dyDescent="0.25">
      <c r="A130" s="3">
        <v>1963.5</v>
      </c>
      <c r="B130" s="3">
        <f t="shared" si="4"/>
        <v>150.27055702917772</v>
      </c>
      <c r="C130" s="3">
        <f t="shared" si="5"/>
        <v>179.5556384990156</v>
      </c>
      <c r="D130" s="3">
        <f t="shared" si="6"/>
        <v>150.27055702917772</v>
      </c>
      <c r="E130" s="3">
        <f t="shared" si="7"/>
        <v>101.32662204975259</v>
      </c>
      <c r="F130" s="3">
        <v>215</v>
      </c>
      <c r="G130">
        <v>167.88182375535899</v>
      </c>
      <c r="I130" s="3">
        <v>1890.5</v>
      </c>
      <c r="J130" s="3">
        <v>0</v>
      </c>
      <c r="K130" s="3">
        <v>104.178902647554</v>
      </c>
    </row>
    <row r="131" spans="1:11" ht="18" x14ac:dyDescent="0.25">
      <c r="A131" s="3">
        <v>1963.5833333333301</v>
      </c>
      <c r="B131" s="3">
        <f t="shared" si="4"/>
        <v>-49.729442970822276</v>
      </c>
      <c r="C131" s="3">
        <f t="shared" si="5"/>
        <v>69.358308362890568</v>
      </c>
      <c r="D131" s="3">
        <f t="shared" si="6"/>
        <v>-49.729442970822276</v>
      </c>
      <c r="E131" s="3">
        <f t="shared" si="7"/>
        <v>22.092909630699594</v>
      </c>
      <c r="F131" s="3">
        <v>15</v>
      </c>
      <c r="G131">
        <v>88.648111336306002</v>
      </c>
      <c r="I131" s="3">
        <v>1890.5833333333301</v>
      </c>
      <c r="J131" s="3">
        <v>0</v>
      </c>
      <c r="K131" s="3">
        <v>80.785139928279307</v>
      </c>
    </row>
    <row r="132" spans="1:11" ht="18" x14ac:dyDescent="0.25">
      <c r="A132" s="3">
        <v>1963.6666666666599</v>
      </c>
      <c r="B132" s="3">
        <f t="shared" si="4"/>
        <v>-100.72944297082228</v>
      </c>
      <c r="C132" s="3">
        <f t="shared" si="5"/>
        <v>-102.38107462656238</v>
      </c>
      <c r="D132" s="3">
        <f t="shared" si="6"/>
        <v>-100.72944297082228</v>
      </c>
      <c r="E132" s="3">
        <f t="shared" si="7"/>
        <v>-37.507157248885903</v>
      </c>
      <c r="F132" s="3">
        <v>-36</v>
      </c>
      <c r="G132">
        <v>29.048044456720501</v>
      </c>
      <c r="I132" s="3">
        <v>1890.6666666666599</v>
      </c>
      <c r="J132" s="3">
        <v>0</v>
      </c>
      <c r="K132" s="3">
        <v>72.228418281021902</v>
      </c>
    </row>
    <row r="133" spans="1:11" ht="18" x14ac:dyDescent="0.25">
      <c r="A133" s="3">
        <v>1963.75</v>
      </c>
      <c r="B133" s="3">
        <f t="shared" si="4"/>
        <v>-129.72944297082228</v>
      </c>
      <c r="C133" s="3">
        <f t="shared" si="5"/>
        <v>-162.2270719019123</v>
      </c>
      <c r="D133" s="3">
        <f t="shared" si="6"/>
        <v>-129.72944297082228</v>
      </c>
      <c r="E133" s="3">
        <f t="shared" si="7"/>
        <v>-81.641621165443809</v>
      </c>
      <c r="F133" s="3">
        <v>-65</v>
      </c>
      <c r="G133">
        <v>-15.0864194598374</v>
      </c>
      <c r="I133" s="3">
        <v>1890.75</v>
      </c>
      <c r="J133" s="3">
        <v>0</v>
      </c>
      <c r="K133" s="3">
        <v>46.3558226830881</v>
      </c>
    </row>
    <row r="134" spans="1:11" ht="18" x14ac:dyDescent="0.25">
      <c r="A134" s="3">
        <v>1963.8333333333301</v>
      </c>
      <c r="B134" s="3">
        <f t="shared" ref="B134:B197" si="8">+$D134</f>
        <v>-134.72944297082228</v>
      </c>
      <c r="C134" s="3">
        <f t="shared" ref="C134:C197" si="9">$B$1*$E134/(1+$B$3*ABS($E134)^$B$2)</f>
        <v>-187.36802090555886</v>
      </c>
      <c r="D134" s="3">
        <f t="shared" ref="D134:D197" si="10">+F134-$F$3</f>
        <v>-134.72944297082228</v>
      </c>
      <c r="E134" s="3">
        <f t="shared" ref="E134:E197" si="11">+$G134-$G$3</f>
        <v>-111.85410266214321</v>
      </c>
      <c r="F134" s="3">
        <v>-70</v>
      </c>
      <c r="G134">
        <v>-45.298900956536798</v>
      </c>
      <c r="I134" s="3">
        <v>1890.8333333333301</v>
      </c>
      <c r="J134" s="3">
        <v>0</v>
      </c>
      <c r="K134" s="3">
        <v>3.3430687726328601</v>
      </c>
    </row>
    <row r="135" spans="1:11" ht="18" x14ac:dyDescent="0.25">
      <c r="A135" s="3">
        <v>1963.9166666666599</v>
      </c>
      <c r="B135" s="3">
        <f t="shared" si="8"/>
        <v>-134.72944297082228</v>
      </c>
      <c r="C135" s="3">
        <f t="shared" si="9"/>
        <v>-202.61991877116017</v>
      </c>
      <c r="D135" s="3">
        <f t="shared" si="10"/>
        <v>-134.72944297082228</v>
      </c>
      <c r="E135" s="3">
        <f t="shared" si="11"/>
        <v>-136.3651305377129</v>
      </c>
      <c r="F135" s="3">
        <v>-70</v>
      </c>
      <c r="G135">
        <v>-69.809928832106493</v>
      </c>
      <c r="I135" s="3">
        <v>1890.9166666666599</v>
      </c>
      <c r="J135" s="3">
        <v>0</v>
      </c>
      <c r="K135" s="3">
        <v>-52.080460875327603</v>
      </c>
    </row>
    <row r="136" spans="1:11" ht="18" x14ac:dyDescent="0.25">
      <c r="A136" s="3">
        <v>1964</v>
      </c>
      <c r="B136" s="3">
        <f t="shared" si="8"/>
        <v>-134.72944297082228</v>
      </c>
      <c r="C136" s="3">
        <f t="shared" si="9"/>
        <v>-218.37945349678637</v>
      </c>
      <c r="D136" s="3">
        <f t="shared" si="10"/>
        <v>-134.72944297082228</v>
      </c>
      <c r="E136" s="3">
        <f t="shared" si="11"/>
        <v>-169.24486527591239</v>
      </c>
      <c r="F136" s="3">
        <v>-70</v>
      </c>
      <c r="G136">
        <v>-102.689663570306</v>
      </c>
      <c r="I136" s="3">
        <v>1891</v>
      </c>
      <c r="J136" s="3">
        <v>0</v>
      </c>
      <c r="K136" s="3">
        <v>-122.033672158901</v>
      </c>
    </row>
    <row r="137" spans="1:11" ht="18" x14ac:dyDescent="0.25">
      <c r="A137" s="3">
        <v>1964.0833333333301</v>
      </c>
      <c r="B137" s="3">
        <f t="shared" si="8"/>
        <v>-99.729442970822276</v>
      </c>
      <c r="C137" s="3">
        <f t="shared" si="9"/>
        <v>-223.30972736508696</v>
      </c>
      <c r="D137" s="3">
        <f t="shared" si="10"/>
        <v>-99.729442970822276</v>
      </c>
      <c r="E137" s="3">
        <f t="shared" si="11"/>
        <v>-181.67950045550339</v>
      </c>
      <c r="F137" s="3">
        <v>-35</v>
      </c>
      <c r="G137">
        <v>-115.12429874989699</v>
      </c>
      <c r="I137" s="3">
        <v>1891.0833333333301</v>
      </c>
      <c r="J137" s="3">
        <v>0</v>
      </c>
      <c r="K137" s="3">
        <v>-173.87190052184499</v>
      </c>
    </row>
    <row r="138" spans="1:11" ht="18" x14ac:dyDescent="0.25">
      <c r="A138" s="3">
        <v>1964.1666666666599</v>
      </c>
      <c r="B138" s="3">
        <f t="shared" si="8"/>
        <v>-99.729442970822276</v>
      </c>
      <c r="C138" s="3">
        <f t="shared" si="9"/>
        <v>-220.93789571828759</v>
      </c>
      <c r="D138" s="3">
        <f t="shared" si="10"/>
        <v>-99.729442970822276</v>
      </c>
      <c r="E138" s="3">
        <f t="shared" si="11"/>
        <v>-175.54662142217941</v>
      </c>
      <c r="F138" s="3">
        <v>-35</v>
      </c>
      <c r="G138">
        <v>-108.99141971657301</v>
      </c>
      <c r="I138" s="3">
        <v>1891.1666666666599</v>
      </c>
      <c r="J138" s="3">
        <v>0</v>
      </c>
      <c r="K138" s="3">
        <v>-206.275323080601</v>
      </c>
    </row>
    <row r="139" spans="1:11" ht="18" x14ac:dyDescent="0.25">
      <c r="A139" s="3">
        <v>1964.25</v>
      </c>
      <c r="B139" s="3">
        <f t="shared" si="8"/>
        <v>-118.72944297082228</v>
      </c>
      <c r="C139" s="3">
        <f t="shared" si="9"/>
        <v>-222.88244643317768</v>
      </c>
      <c r="D139" s="3">
        <f t="shared" si="10"/>
        <v>-118.72944297082228</v>
      </c>
      <c r="E139" s="3">
        <f t="shared" si="11"/>
        <v>-180.55307923716541</v>
      </c>
      <c r="F139" s="3">
        <v>-54</v>
      </c>
      <c r="G139">
        <v>-113.997877531559</v>
      </c>
      <c r="I139" s="3">
        <v>1891.25</v>
      </c>
      <c r="J139" s="3">
        <v>0</v>
      </c>
      <c r="K139" s="3">
        <v>-230.375543076805</v>
      </c>
    </row>
    <row r="140" spans="1:11" ht="18" x14ac:dyDescent="0.25">
      <c r="A140" s="3">
        <v>1964.3333333333301</v>
      </c>
      <c r="B140" s="3">
        <f t="shared" si="8"/>
        <v>-128.72944297082228</v>
      </c>
      <c r="C140" s="3">
        <f t="shared" si="9"/>
        <v>-218.13496305946859</v>
      </c>
      <c r="D140" s="3">
        <f t="shared" si="10"/>
        <v>-128.72944297082228</v>
      </c>
      <c r="E140" s="3">
        <f t="shared" si="11"/>
        <v>-168.65884931103142</v>
      </c>
      <c r="F140" s="3">
        <v>-64</v>
      </c>
      <c r="G140">
        <v>-102.103647605425</v>
      </c>
      <c r="I140" s="3">
        <v>1891.3333333333301</v>
      </c>
      <c r="J140" s="3">
        <v>0</v>
      </c>
      <c r="K140" s="3">
        <v>-204.70101671819</v>
      </c>
    </row>
    <row r="141" spans="1:11" ht="18" x14ac:dyDescent="0.25">
      <c r="A141" s="3">
        <v>1964.4166666666599</v>
      </c>
      <c r="B141" s="3">
        <f t="shared" si="8"/>
        <v>-128.72944297082228</v>
      </c>
      <c r="C141" s="3">
        <f t="shared" si="9"/>
        <v>-196.66462826549599</v>
      </c>
      <c r="D141" s="3">
        <f t="shared" si="10"/>
        <v>-128.72944297082228</v>
      </c>
      <c r="E141" s="3">
        <f t="shared" si="11"/>
        <v>-126.08669220514591</v>
      </c>
      <c r="F141" s="3">
        <v>-64</v>
      </c>
      <c r="G141">
        <v>-59.531490499539501</v>
      </c>
      <c r="I141" s="3">
        <v>1891.4166666666599</v>
      </c>
      <c r="J141" s="3">
        <v>0</v>
      </c>
      <c r="K141" s="3">
        <v>-128.55247905069001</v>
      </c>
    </row>
    <row r="142" spans="1:11" ht="18" x14ac:dyDescent="0.25">
      <c r="A142" s="3">
        <v>1964.5</v>
      </c>
      <c r="B142" s="3">
        <f t="shared" si="8"/>
        <v>-125.72944297082228</v>
      </c>
      <c r="C142" s="3">
        <f t="shared" si="9"/>
        <v>-160.23059545757025</v>
      </c>
      <c r="D142" s="3">
        <f t="shared" si="10"/>
        <v>-125.72944297082228</v>
      </c>
      <c r="E142" s="3">
        <f t="shared" si="11"/>
        <v>-79.643968776160307</v>
      </c>
      <c r="F142" s="3">
        <v>-61</v>
      </c>
      <c r="G142">
        <v>-13.088767070553899</v>
      </c>
      <c r="I142" s="3">
        <v>1891.5</v>
      </c>
      <c r="J142" s="3">
        <v>0</v>
      </c>
      <c r="K142" s="3">
        <v>-50.261325850265401</v>
      </c>
    </row>
    <row r="143" spans="1:11" ht="18" x14ac:dyDescent="0.25">
      <c r="A143" s="3">
        <v>1964.5833333333301</v>
      </c>
      <c r="B143" s="3">
        <f t="shared" si="8"/>
        <v>-101.72944297082228</v>
      </c>
      <c r="C143" s="3">
        <f t="shared" si="9"/>
        <v>-95.806698755659497</v>
      </c>
      <c r="D143" s="3">
        <f t="shared" si="10"/>
        <v>-101.72944297082228</v>
      </c>
      <c r="E143" s="3">
        <f t="shared" si="11"/>
        <v>-34.080152971452407</v>
      </c>
      <c r="F143" s="3">
        <v>-37</v>
      </c>
      <c r="G143">
        <v>32.475048734154001</v>
      </c>
      <c r="I143" s="3">
        <v>1891.5833333333301</v>
      </c>
      <c r="J143" s="3">
        <v>0</v>
      </c>
      <c r="K143" s="3">
        <v>14.2919110087595</v>
      </c>
    </row>
    <row r="144" spans="1:11" ht="18" x14ac:dyDescent="0.25">
      <c r="A144" s="3">
        <v>1964.6666666666599</v>
      </c>
      <c r="B144" s="3">
        <f t="shared" si="8"/>
        <v>-91.729442970822276</v>
      </c>
      <c r="C144" s="3">
        <f t="shared" si="9"/>
        <v>-18.772741269855075</v>
      </c>
      <c r="D144" s="3">
        <f t="shared" si="10"/>
        <v>-91.729442970822276</v>
      </c>
      <c r="E144" s="3">
        <f t="shared" si="11"/>
        <v>-4.9833864135568078</v>
      </c>
      <c r="F144" s="3">
        <v>-27</v>
      </c>
      <c r="G144">
        <v>61.5718152920496</v>
      </c>
      <c r="I144" s="3">
        <v>1891.6666666666599</v>
      </c>
      <c r="J144" s="3">
        <v>0</v>
      </c>
      <c r="K144" s="3">
        <v>57.222649790570699</v>
      </c>
    </row>
    <row r="145" spans="1:11" ht="18" x14ac:dyDescent="0.25">
      <c r="A145" s="3">
        <v>1964.75</v>
      </c>
      <c r="B145" s="3">
        <f t="shared" si="8"/>
        <v>-96.729442970822276</v>
      </c>
      <c r="C145" s="3">
        <f t="shared" si="9"/>
        <v>16.143880674142554</v>
      </c>
      <c r="D145" s="3">
        <f t="shared" si="10"/>
        <v>-96.729442970822276</v>
      </c>
      <c r="E145" s="3">
        <f t="shared" si="11"/>
        <v>4.2487424934901981</v>
      </c>
      <c r="F145" s="3">
        <v>-32</v>
      </c>
      <c r="G145">
        <v>70.803944199096605</v>
      </c>
      <c r="I145" s="3">
        <v>1891.75</v>
      </c>
      <c r="J145" s="3">
        <v>0</v>
      </c>
      <c r="K145" s="3">
        <v>94.028482618303599</v>
      </c>
    </row>
    <row r="146" spans="1:11" ht="18" x14ac:dyDescent="0.25">
      <c r="A146" s="3">
        <v>1964.8333333333301</v>
      </c>
      <c r="B146" s="3">
        <f t="shared" si="8"/>
        <v>-84.729442970822276</v>
      </c>
      <c r="C146" s="3">
        <f t="shared" si="9"/>
        <v>82.960265511870787</v>
      </c>
      <c r="D146" s="3">
        <f t="shared" si="10"/>
        <v>-84.729442970822276</v>
      </c>
      <c r="E146" s="3">
        <f t="shared" si="11"/>
        <v>27.926945954091991</v>
      </c>
      <c r="F146" s="3">
        <v>-20</v>
      </c>
      <c r="G146">
        <v>94.482147659698398</v>
      </c>
      <c r="I146" s="3">
        <v>1891.8333333333301</v>
      </c>
      <c r="J146" s="3">
        <v>0</v>
      </c>
      <c r="K146" s="3">
        <v>157.666987277267</v>
      </c>
    </row>
    <row r="147" spans="1:11" ht="18" x14ac:dyDescent="0.25">
      <c r="A147" s="3">
        <v>1964.9166666666599</v>
      </c>
      <c r="B147" s="3">
        <f t="shared" si="8"/>
        <v>-83.729442970822276</v>
      </c>
      <c r="C147" s="3">
        <f t="shared" si="9"/>
        <v>129.09210631509248</v>
      </c>
      <c r="D147" s="3">
        <f t="shared" si="10"/>
        <v>-83.729442970822276</v>
      </c>
      <c r="E147" s="3">
        <f t="shared" si="11"/>
        <v>53.828598436943594</v>
      </c>
      <c r="F147" s="3">
        <v>-19</v>
      </c>
      <c r="G147">
        <v>120.38380014255</v>
      </c>
      <c r="I147" s="3">
        <v>1891.9166666666599</v>
      </c>
      <c r="J147" s="3">
        <v>0</v>
      </c>
      <c r="K147" s="3">
        <v>215.14531809448599</v>
      </c>
    </row>
    <row r="148" spans="1:11" ht="18" x14ac:dyDescent="0.25">
      <c r="A148" s="3">
        <v>1965</v>
      </c>
      <c r="B148" s="3">
        <f t="shared" si="8"/>
        <v>-79.729442970822276</v>
      </c>
      <c r="C148" s="3">
        <f t="shared" si="9"/>
        <v>133.81032565138844</v>
      </c>
      <c r="D148" s="3">
        <f t="shared" si="10"/>
        <v>-79.729442970822276</v>
      </c>
      <c r="E148" s="3">
        <f t="shared" si="11"/>
        <v>57.192151712918587</v>
      </c>
      <c r="F148" s="3">
        <v>-15</v>
      </c>
      <c r="G148">
        <v>123.74735341852499</v>
      </c>
      <c r="I148" s="3">
        <v>1892</v>
      </c>
      <c r="J148" s="3">
        <v>0</v>
      </c>
      <c r="K148" s="3">
        <v>234.100006917602</v>
      </c>
    </row>
    <row r="149" spans="1:11" ht="18" x14ac:dyDescent="0.25">
      <c r="A149" s="3">
        <v>1965.0833333333301</v>
      </c>
      <c r="B149" s="3">
        <f t="shared" si="8"/>
        <v>-71.729442970822276</v>
      </c>
      <c r="C149" s="3">
        <f t="shared" si="9"/>
        <v>128.48306655371476</v>
      </c>
      <c r="D149" s="3">
        <f t="shared" si="10"/>
        <v>-71.729442970822276</v>
      </c>
      <c r="E149" s="3">
        <f t="shared" si="11"/>
        <v>53.406351951973591</v>
      </c>
      <c r="F149" s="3">
        <v>-7</v>
      </c>
      <c r="G149">
        <v>119.96155365758</v>
      </c>
      <c r="I149" s="3">
        <v>1892.0833333333301</v>
      </c>
      <c r="J149" s="3">
        <v>0</v>
      </c>
      <c r="K149" s="3">
        <v>238.310000993155</v>
      </c>
    </row>
    <row r="150" spans="1:11" ht="18" x14ac:dyDescent="0.25">
      <c r="A150" s="3">
        <v>1965.1666666666599</v>
      </c>
      <c r="B150" s="3">
        <f t="shared" si="8"/>
        <v>-52.729442970822276</v>
      </c>
      <c r="C150" s="3">
        <f t="shared" si="9"/>
        <v>106.76766280380552</v>
      </c>
      <c r="D150" s="3">
        <f t="shared" si="10"/>
        <v>-52.729442970822276</v>
      </c>
      <c r="E150" s="3">
        <f t="shared" si="11"/>
        <v>39.909988003248586</v>
      </c>
      <c r="F150" s="3">
        <v>12</v>
      </c>
      <c r="G150">
        <v>106.46518970885499</v>
      </c>
      <c r="I150" s="3">
        <v>1892.1666666666599</v>
      </c>
      <c r="J150" s="3">
        <v>0</v>
      </c>
      <c r="K150" s="3">
        <v>235.561882573422</v>
      </c>
    </row>
    <row r="151" spans="1:11" ht="18" x14ac:dyDescent="0.25">
      <c r="A151" s="3">
        <v>1965.25</v>
      </c>
      <c r="B151" s="3">
        <f t="shared" si="8"/>
        <v>-27.729442970822276</v>
      </c>
      <c r="C151" s="3">
        <f t="shared" si="9"/>
        <v>91.278755736601781</v>
      </c>
      <c r="D151" s="3">
        <f t="shared" si="10"/>
        <v>-27.729442970822276</v>
      </c>
      <c r="E151" s="3">
        <f t="shared" si="11"/>
        <v>31.833281150953198</v>
      </c>
      <c r="F151" s="3">
        <v>37</v>
      </c>
      <c r="G151">
        <v>98.388482856559605</v>
      </c>
      <c r="I151" s="3">
        <v>1892.25</v>
      </c>
      <c r="J151" s="3">
        <v>0</v>
      </c>
      <c r="K151" s="3">
        <v>242.09870546848001</v>
      </c>
    </row>
    <row r="152" spans="1:11" ht="18" x14ac:dyDescent="0.25">
      <c r="A152" s="3">
        <v>1965.3333333333301</v>
      </c>
      <c r="B152" s="3">
        <f t="shared" si="8"/>
        <v>92.270557029177724</v>
      </c>
      <c r="C152" s="3">
        <f t="shared" si="9"/>
        <v>142.59114566084708</v>
      </c>
      <c r="D152" s="3">
        <f t="shared" si="10"/>
        <v>92.270557029177724</v>
      </c>
      <c r="E152" s="3">
        <f t="shared" si="11"/>
        <v>63.921902964593585</v>
      </c>
      <c r="F152" s="3">
        <v>157</v>
      </c>
      <c r="G152">
        <v>130.47710467019999</v>
      </c>
      <c r="I152" s="3">
        <v>1892.3333333333301</v>
      </c>
      <c r="J152" s="3">
        <v>0</v>
      </c>
      <c r="K152" s="3">
        <v>278.37863485714797</v>
      </c>
    </row>
    <row r="153" spans="1:11" ht="18" x14ac:dyDescent="0.25">
      <c r="A153" s="3">
        <v>1965.4166666666599</v>
      </c>
      <c r="B153" s="3">
        <f t="shared" si="8"/>
        <v>177.27055702917772</v>
      </c>
      <c r="C153" s="3">
        <f t="shared" si="9"/>
        <v>179.87347643017645</v>
      </c>
      <c r="D153" s="3">
        <f t="shared" si="10"/>
        <v>177.27055702917772</v>
      </c>
      <c r="E153" s="3">
        <f t="shared" si="11"/>
        <v>101.7323943259756</v>
      </c>
      <c r="F153" s="3">
        <v>242</v>
      </c>
      <c r="G153">
        <v>168.28759603158201</v>
      </c>
      <c r="I153" s="3">
        <v>1892.4166666666599</v>
      </c>
      <c r="J153" s="3">
        <v>0</v>
      </c>
      <c r="K153" s="3">
        <v>302.81763075375602</v>
      </c>
    </row>
    <row r="154" spans="1:11" ht="18" x14ac:dyDescent="0.25">
      <c r="A154" s="3">
        <v>1965.5</v>
      </c>
      <c r="B154" s="3">
        <f t="shared" si="8"/>
        <v>203.27055702917772</v>
      </c>
      <c r="C154" s="3">
        <f t="shared" si="9"/>
        <v>184.42487052495625</v>
      </c>
      <c r="D154" s="3">
        <f t="shared" si="10"/>
        <v>203.27055702917772</v>
      </c>
      <c r="E154" s="3">
        <f t="shared" si="11"/>
        <v>107.74810182427859</v>
      </c>
      <c r="F154" s="3">
        <v>268</v>
      </c>
      <c r="G154">
        <v>174.303303529885</v>
      </c>
      <c r="I154" s="3">
        <v>1892.5</v>
      </c>
      <c r="J154" s="3">
        <v>0</v>
      </c>
      <c r="K154" s="3">
        <v>289.97198152136002</v>
      </c>
    </row>
    <row r="155" spans="1:11" ht="18" x14ac:dyDescent="0.25">
      <c r="A155" s="3">
        <v>1965.5833333333301</v>
      </c>
      <c r="B155" s="3">
        <f t="shared" si="8"/>
        <v>222.27055702917772</v>
      </c>
      <c r="C155" s="3">
        <f t="shared" si="9"/>
        <v>176.41000951587455</v>
      </c>
      <c r="D155" s="3">
        <f t="shared" si="10"/>
        <v>222.27055702917772</v>
      </c>
      <c r="E155" s="3">
        <f t="shared" si="11"/>
        <v>97.406004218268606</v>
      </c>
      <c r="F155" s="3">
        <v>287</v>
      </c>
      <c r="G155">
        <v>163.96120592387501</v>
      </c>
      <c r="I155" s="3">
        <v>1892.5833333333301</v>
      </c>
      <c r="J155" s="3">
        <v>0</v>
      </c>
      <c r="K155" s="3">
        <v>259.40925483844802</v>
      </c>
    </row>
    <row r="156" spans="1:11" ht="18" x14ac:dyDescent="0.25">
      <c r="A156" s="3">
        <v>1965.6666666666599</v>
      </c>
      <c r="B156" s="3">
        <f t="shared" si="8"/>
        <v>226.27055702917772</v>
      </c>
      <c r="C156" s="3">
        <f t="shared" si="9"/>
        <v>164.62256065949109</v>
      </c>
      <c r="D156" s="3">
        <f t="shared" si="10"/>
        <v>226.27055702917772</v>
      </c>
      <c r="E156" s="3">
        <f t="shared" si="11"/>
        <v>84.105255222281585</v>
      </c>
      <c r="F156" s="3">
        <v>291</v>
      </c>
      <c r="G156">
        <v>150.66045692788799</v>
      </c>
      <c r="I156" s="3">
        <v>1892.6666666666599</v>
      </c>
      <c r="J156" s="3">
        <v>0</v>
      </c>
      <c r="K156" s="3">
        <v>212.41410066189701</v>
      </c>
    </row>
    <row r="157" spans="1:11" ht="18" x14ac:dyDescent="0.25">
      <c r="A157" s="3">
        <v>1965.75</v>
      </c>
      <c r="B157" s="3">
        <f t="shared" si="8"/>
        <v>254.27055702917772</v>
      </c>
      <c r="C157" s="3">
        <f t="shared" si="9"/>
        <v>171.11546166397198</v>
      </c>
      <c r="D157" s="3">
        <f t="shared" si="10"/>
        <v>254.27055702917772</v>
      </c>
      <c r="E157" s="3">
        <f t="shared" si="11"/>
        <v>91.175270638485586</v>
      </c>
      <c r="F157" s="3">
        <v>319</v>
      </c>
      <c r="G157">
        <v>157.73047234409199</v>
      </c>
      <c r="I157" s="3">
        <v>1892.75</v>
      </c>
      <c r="J157" s="3">
        <v>0</v>
      </c>
      <c r="K157" s="3">
        <v>161.41871557278</v>
      </c>
    </row>
    <row r="158" spans="1:11" ht="18" x14ac:dyDescent="0.25">
      <c r="A158" s="3">
        <v>1965.8333333333301</v>
      </c>
      <c r="B158" s="3">
        <f t="shared" si="8"/>
        <v>256.27055702917772</v>
      </c>
      <c r="C158" s="3">
        <f t="shared" si="9"/>
        <v>190.63533728151953</v>
      </c>
      <c r="D158" s="3">
        <f t="shared" si="10"/>
        <v>256.27055702917772</v>
      </c>
      <c r="E158" s="3">
        <f t="shared" si="11"/>
        <v>116.62724332085759</v>
      </c>
      <c r="F158" s="3">
        <v>321</v>
      </c>
      <c r="G158">
        <v>183.18244502646399</v>
      </c>
      <c r="I158" s="3">
        <v>1892.8333333333301</v>
      </c>
      <c r="J158" s="3">
        <v>0</v>
      </c>
      <c r="K158" s="3">
        <v>108.02490149422999</v>
      </c>
    </row>
    <row r="159" spans="1:11" ht="18" x14ac:dyDescent="0.25">
      <c r="A159" s="3">
        <v>1965.9166666666599</v>
      </c>
      <c r="B159" s="3">
        <f t="shared" si="8"/>
        <v>264.27055702917772</v>
      </c>
      <c r="C159" s="3">
        <f t="shared" si="9"/>
        <v>181.71715455808013</v>
      </c>
      <c r="D159" s="3">
        <f t="shared" si="10"/>
        <v>264.27055702917772</v>
      </c>
      <c r="E159" s="3">
        <f t="shared" si="11"/>
        <v>104.12232420319458</v>
      </c>
      <c r="F159" s="3">
        <v>329</v>
      </c>
      <c r="G159">
        <v>170.67752590880099</v>
      </c>
      <c r="I159" s="3">
        <v>1892.9166666666599</v>
      </c>
      <c r="J159" s="3">
        <v>0</v>
      </c>
      <c r="K159" s="3">
        <v>23.254254499407601</v>
      </c>
    </row>
    <row r="160" spans="1:11" ht="18" x14ac:dyDescent="0.25">
      <c r="A160" s="3">
        <v>1966</v>
      </c>
      <c r="B160" s="3">
        <f t="shared" si="8"/>
        <v>264.27055702917772</v>
      </c>
      <c r="C160" s="3">
        <f t="shared" si="9"/>
        <v>128.33445769927144</v>
      </c>
      <c r="D160" s="3">
        <f t="shared" si="10"/>
        <v>264.27055702917772</v>
      </c>
      <c r="E160" s="3">
        <f t="shared" si="11"/>
        <v>53.303723927547594</v>
      </c>
      <c r="F160" s="3">
        <v>329</v>
      </c>
      <c r="G160">
        <v>119.858925633154</v>
      </c>
      <c r="I160" s="3">
        <v>1893</v>
      </c>
      <c r="J160" s="3">
        <v>0</v>
      </c>
      <c r="K160" s="3">
        <v>-63.542967100672797</v>
      </c>
    </row>
    <row r="161" spans="1:11" ht="18" x14ac:dyDescent="0.25">
      <c r="A161" s="3">
        <v>1966.0833333333301</v>
      </c>
      <c r="B161" s="3">
        <f t="shared" si="8"/>
        <v>237.27055702917772</v>
      </c>
      <c r="C161" s="3">
        <f t="shared" si="9"/>
        <v>19.241041649671914</v>
      </c>
      <c r="D161" s="3">
        <f t="shared" si="10"/>
        <v>237.27055702917772</v>
      </c>
      <c r="E161" s="3">
        <f t="shared" si="11"/>
        <v>5.1155916510743964</v>
      </c>
      <c r="F161" s="3">
        <v>302</v>
      </c>
      <c r="G161">
        <v>71.670793356680804</v>
      </c>
      <c r="I161" s="3">
        <v>1893.0833333333301</v>
      </c>
      <c r="J161" s="3">
        <v>0</v>
      </c>
      <c r="K161" s="3">
        <v>-112.731474341094</v>
      </c>
    </row>
    <row r="162" spans="1:11" ht="18" x14ac:dyDescent="0.25">
      <c r="A162" s="3">
        <v>1966.1666666666599</v>
      </c>
      <c r="B162" s="3">
        <f t="shared" si="8"/>
        <v>142.27055702917772</v>
      </c>
      <c r="C162" s="3">
        <f t="shared" si="9"/>
        <v>-109.49268473040502</v>
      </c>
      <c r="D162" s="3">
        <f t="shared" si="10"/>
        <v>142.27055702917772</v>
      </c>
      <c r="E162" s="3">
        <f t="shared" si="11"/>
        <v>-41.452532931225306</v>
      </c>
      <c r="F162" s="3">
        <v>207</v>
      </c>
      <c r="G162">
        <v>25.102668774381101</v>
      </c>
      <c r="I162" s="3">
        <v>1893.1666666666599</v>
      </c>
      <c r="J162" s="3">
        <v>0</v>
      </c>
      <c r="K162" s="3">
        <v>-145.01203177682299</v>
      </c>
    </row>
    <row r="163" spans="1:11" ht="18" x14ac:dyDescent="0.25">
      <c r="A163" s="3">
        <v>1966.25</v>
      </c>
      <c r="B163" s="3">
        <f t="shared" si="8"/>
        <v>5.2705570291777235</v>
      </c>
      <c r="C163" s="3">
        <f t="shared" si="9"/>
        <v>-154.62653775556299</v>
      </c>
      <c r="D163" s="3">
        <f t="shared" si="10"/>
        <v>5.2705570291777235</v>
      </c>
      <c r="E163" s="3">
        <f t="shared" si="11"/>
        <v>-74.290683830488291</v>
      </c>
      <c r="F163" s="3">
        <v>70</v>
      </c>
      <c r="G163">
        <v>-7.7354821248818801</v>
      </c>
      <c r="I163" s="3">
        <v>1893.25</v>
      </c>
      <c r="J163" s="3">
        <v>0</v>
      </c>
      <c r="K163" s="3">
        <v>-161.55539540188099</v>
      </c>
    </row>
    <row r="164" spans="1:11" ht="18" x14ac:dyDescent="0.25">
      <c r="A164" s="3">
        <v>1966.3333333333301</v>
      </c>
      <c r="B164" s="3">
        <f t="shared" si="8"/>
        <v>-121.72944297082228</v>
      </c>
      <c r="C164" s="3">
        <f t="shared" si="9"/>
        <v>-160.45319102557747</v>
      </c>
      <c r="D164" s="3">
        <f t="shared" si="10"/>
        <v>-121.72944297082228</v>
      </c>
      <c r="E164" s="3">
        <f t="shared" si="11"/>
        <v>-79.864255355571302</v>
      </c>
      <c r="F164" s="3">
        <v>-57</v>
      </c>
      <c r="G164">
        <v>-13.3090536499649</v>
      </c>
      <c r="I164" s="3">
        <v>1893.3333333333301</v>
      </c>
      <c r="J164" s="3">
        <v>0</v>
      </c>
      <c r="K164" s="3">
        <v>-153.5233790291</v>
      </c>
    </row>
    <row r="165" spans="1:11" ht="18" x14ac:dyDescent="0.25">
      <c r="A165" s="3">
        <v>1966.4166666666599</v>
      </c>
      <c r="B165" s="3">
        <f t="shared" si="8"/>
        <v>-200.72944297082228</v>
      </c>
      <c r="C165" s="3">
        <f t="shared" si="9"/>
        <v>-156.78533049006046</v>
      </c>
      <c r="D165" s="3">
        <f t="shared" si="10"/>
        <v>-200.72944297082228</v>
      </c>
      <c r="E165" s="3">
        <f t="shared" si="11"/>
        <v>-76.309966416391205</v>
      </c>
      <c r="F165" s="3">
        <v>-136</v>
      </c>
      <c r="G165">
        <v>-9.7547647107847908</v>
      </c>
      <c r="I165" s="3">
        <v>1893.4166666666599</v>
      </c>
      <c r="J165" s="3">
        <v>0</v>
      </c>
      <c r="K165" s="3">
        <v>-137.41940424534701</v>
      </c>
    </row>
    <row r="166" spans="1:11" ht="18" x14ac:dyDescent="0.25">
      <c r="A166" s="3">
        <v>1966.5</v>
      </c>
      <c r="B166" s="3">
        <f t="shared" si="8"/>
        <v>-212.72944297082228</v>
      </c>
      <c r="C166" s="3">
        <f t="shared" si="9"/>
        <v>-131.89727258603818</v>
      </c>
      <c r="D166" s="3">
        <f t="shared" si="10"/>
        <v>-212.72944297082228</v>
      </c>
      <c r="E166" s="3">
        <f t="shared" si="11"/>
        <v>-55.80827749013811</v>
      </c>
      <c r="F166" s="3">
        <v>-148</v>
      </c>
      <c r="G166">
        <v>10.746924215468299</v>
      </c>
      <c r="I166" s="3">
        <v>1893.5</v>
      </c>
      <c r="J166" s="3">
        <v>0</v>
      </c>
      <c r="K166" s="3">
        <v>-109.943260583577</v>
      </c>
    </row>
    <row r="167" spans="1:11" ht="18" x14ac:dyDescent="0.25">
      <c r="A167" s="3">
        <v>1966.5833333333301</v>
      </c>
      <c r="B167" s="3">
        <f t="shared" si="8"/>
        <v>-217.72944297082228</v>
      </c>
      <c r="C167" s="3">
        <f t="shared" si="9"/>
        <v>-76.380994063370053</v>
      </c>
      <c r="D167" s="3">
        <f t="shared" si="10"/>
        <v>-217.72944297082228</v>
      </c>
      <c r="E167" s="3">
        <f t="shared" si="11"/>
        <v>-25.024457669255106</v>
      </c>
      <c r="F167" s="3">
        <v>-153</v>
      </c>
      <c r="G167">
        <v>41.530744036351301</v>
      </c>
      <c r="I167" s="3">
        <v>1893.5833333333301</v>
      </c>
      <c r="J167" s="3">
        <v>0</v>
      </c>
      <c r="K167" s="3">
        <v>-87.130450654388994</v>
      </c>
    </row>
    <row r="168" spans="1:11" ht="18" x14ac:dyDescent="0.25">
      <c r="A168" s="3">
        <v>1966.6666666666599</v>
      </c>
      <c r="B168" s="3">
        <f t="shared" si="8"/>
        <v>-217.72944297082228</v>
      </c>
      <c r="C168" s="3">
        <f t="shared" si="9"/>
        <v>-64.699809726776735</v>
      </c>
      <c r="D168" s="3">
        <f t="shared" si="10"/>
        <v>-217.72944297082228</v>
      </c>
      <c r="E168" s="3">
        <f t="shared" si="11"/>
        <v>-20.236425712597004</v>
      </c>
      <c r="F168" s="3">
        <v>-153</v>
      </c>
      <c r="G168">
        <v>46.318775993009403</v>
      </c>
      <c r="I168" s="3">
        <v>1893.6666666666599</v>
      </c>
      <c r="J168" s="3">
        <v>0</v>
      </c>
      <c r="K168" s="3">
        <v>-91.593608363866906</v>
      </c>
    </row>
    <row r="169" spans="1:11" ht="18" x14ac:dyDescent="0.25">
      <c r="A169" s="3">
        <v>1966.75</v>
      </c>
      <c r="B169" s="3">
        <f t="shared" si="8"/>
        <v>-224.72944297082228</v>
      </c>
      <c r="C169" s="3">
        <f t="shared" si="9"/>
        <v>-91.556436008998588</v>
      </c>
      <c r="D169" s="3">
        <f t="shared" si="10"/>
        <v>-224.72944297082228</v>
      </c>
      <c r="E169" s="3">
        <f t="shared" si="11"/>
        <v>-31.968535292255908</v>
      </c>
      <c r="F169" s="3">
        <v>-160</v>
      </c>
      <c r="G169">
        <v>34.5866664133505</v>
      </c>
      <c r="I169" s="3">
        <v>1893.75</v>
      </c>
      <c r="J169" s="3">
        <v>0</v>
      </c>
      <c r="K169" s="3">
        <v>-83.623283720436703</v>
      </c>
    </row>
    <row r="170" spans="1:11" ht="18" x14ac:dyDescent="0.25">
      <c r="A170" s="3">
        <v>1966.8333333333301</v>
      </c>
      <c r="B170" s="3">
        <f t="shared" si="8"/>
        <v>-224.72944297082228</v>
      </c>
      <c r="C170" s="3">
        <f t="shared" si="9"/>
        <v>-127.01330777512581</v>
      </c>
      <c r="D170" s="3">
        <f t="shared" si="10"/>
        <v>-224.72944297082228</v>
      </c>
      <c r="E170" s="3">
        <f t="shared" si="11"/>
        <v>-52.398213162753507</v>
      </c>
      <c r="F170" s="3">
        <v>-160</v>
      </c>
      <c r="G170">
        <v>14.156988542852901</v>
      </c>
      <c r="I170" s="3">
        <v>1893.8333333333301</v>
      </c>
      <c r="J170" s="3">
        <v>0</v>
      </c>
      <c r="K170" s="3">
        <v>-43.218339946741899</v>
      </c>
    </row>
    <row r="171" spans="1:11" ht="18" x14ac:dyDescent="0.25">
      <c r="A171" s="3">
        <v>1966.9166666666599</v>
      </c>
      <c r="B171" s="3">
        <f t="shared" si="8"/>
        <v>-212.72944297082228</v>
      </c>
      <c r="C171" s="3">
        <f t="shared" si="9"/>
        <v>-169.91258729796459</v>
      </c>
      <c r="D171" s="3">
        <f t="shared" si="10"/>
        <v>-212.72944297082228</v>
      </c>
      <c r="E171" s="3">
        <f t="shared" si="11"/>
        <v>-89.820032164991005</v>
      </c>
      <c r="F171" s="3">
        <v>-148</v>
      </c>
      <c r="G171">
        <v>-23.264830459384601</v>
      </c>
      <c r="I171" s="3">
        <v>1893.9166666666599</v>
      </c>
      <c r="J171" s="3">
        <v>0</v>
      </c>
      <c r="K171" s="3">
        <v>6.7730854352800502</v>
      </c>
    </row>
    <row r="172" spans="1:11" ht="18" x14ac:dyDescent="0.25">
      <c r="A172" s="3">
        <v>1967</v>
      </c>
      <c r="B172" s="3">
        <f t="shared" si="8"/>
        <v>-212.72944297082228</v>
      </c>
      <c r="C172" s="3">
        <f t="shared" si="9"/>
        <v>-188.12116066936517</v>
      </c>
      <c r="D172" s="3">
        <f t="shared" si="10"/>
        <v>-212.72944297082228</v>
      </c>
      <c r="E172" s="3">
        <f t="shared" si="11"/>
        <v>-112.93374045995111</v>
      </c>
      <c r="F172" s="3">
        <v>-148</v>
      </c>
      <c r="G172">
        <v>-46.378538754344703</v>
      </c>
      <c r="I172" s="3">
        <v>1894</v>
      </c>
      <c r="J172" s="3">
        <v>0</v>
      </c>
      <c r="K172" s="3">
        <v>66.183543470973106</v>
      </c>
    </row>
    <row r="173" spans="1:11" ht="18" x14ac:dyDescent="0.25">
      <c r="A173" s="3">
        <v>1967.0833333333301</v>
      </c>
      <c r="B173" s="3">
        <f t="shared" si="8"/>
        <v>-212.72944297082228</v>
      </c>
      <c r="C173" s="3">
        <f t="shared" si="9"/>
        <v>-192.23377444587112</v>
      </c>
      <c r="D173" s="3">
        <f t="shared" si="10"/>
        <v>-212.72944297082228</v>
      </c>
      <c r="E173" s="3">
        <f t="shared" si="11"/>
        <v>-119.0496701420351</v>
      </c>
      <c r="F173" s="3">
        <v>-148</v>
      </c>
      <c r="G173">
        <v>-52.494468436428697</v>
      </c>
      <c r="I173" s="3">
        <v>1894.0833333333301</v>
      </c>
      <c r="J173" s="3">
        <v>0</v>
      </c>
      <c r="K173" s="3">
        <v>114.536951365847</v>
      </c>
    </row>
    <row r="174" spans="1:11" ht="18" x14ac:dyDescent="0.25">
      <c r="A174" s="3">
        <v>1967.1666666666599</v>
      </c>
      <c r="B174" s="3">
        <f t="shared" si="8"/>
        <v>-209.72944297082228</v>
      </c>
      <c r="C174" s="3">
        <f t="shared" si="9"/>
        <v>-198.49080732686079</v>
      </c>
      <c r="D174" s="3">
        <f t="shared" si="10"/>
        <v>-209.72944297082228</v>
      </c>
      <c r="E174" s="3">
        <f t="shared" si="11"/>
        <v>-129.13349865070961</v>
      </c>
      <c r="F174" s="3">
        <v>-145</v>
      </c>
      <c r="G174">
        <v>-62.578296945103197</v>
      </c>
      <c r="I174" s="3">
        <v>1894.1666666666599</v>
      </c>
      <c r="J174" s="3">
        <v>0</v>
      </c>
      <c r="K174" s="3">
        <v>136.452167775649</v>
      </c>
    </row>
    <row r="175" spans="1:11" ht="18" x14ac:dyDescent="0.25">
      <c r="A175" s="3">
        <v>1967.25</v>
      </c>
      <c r="B175" s="3">
        <f t="shared" si="8"/>
        <v>-169.72944297082228</v>
      </c>
      <c r="C175" s="3">
        <f t="shared" si="9"/>
        <v>-188.53374827999252</v>
      </c>
      <c r="D175" s="3">
        <f t="shared" si="10"/>
        <v>-169.72944297082228</v>
      </c>
      <c r="E175" s="3">
        <f t="shared" si="11"/>
        <v>-113.53034298196332</v>
      </c>
      <c r="F175" s="3">
        <v>-105</v>
      </c>
      <c r="G175">
        <v>-46.975141276356901</v>
      </c>
      <c r="I175" s="3">
        <v>1894.25</v>
      </c>
      <c r="J175" s="3">
        <v>0</v>
      </c>
      <c r="K175" s="3">
        <v>172.462181853564</v>
      </c>
    </row>
    <row r="176" spans="1:11" ht="18" x14ac:dyDescent="0.25">
      <c r="A176" s="3">
        <v>1967.3333333333301</v>
      </c>
      <c r="B176" s="3">
        <f t="shared" si="8"/>
        <v>-165.72944297082228</v>
      </c>
      <c r="C176" s="3">
        <f t="shared" si="9"/>
        <v>-141.0086347700794</v>
      </c>
      <c r="D176" s="3">
        <f t="shared" si="10"/>
        <v>-165.72944297082228</v>
      </c>
      <c r="E176" s="3">
        <f t="shared" si="11"/>
        <v>-62.660903845647127</v>
      </c>
      <c r="F176" s="3">
        <v>-101</v>
      </c>
      <c r="G176">
        <v>3.8942978599592801</v>
      </c>
      <c r="I176" s="3">
        <v>1894.3333333333301</v>
      </c>
      <c r="J176" s="3">
        <v>0</v>
      </c>
      <c r="K176" s="3">
        <v>228.992767069156</v>
      </c>
    </row>
    <row r="177" spans="1:11" ht="18" x14ac:dyDescent="0.25">
      <c r="A177" s="3">
        <v>1967.4166666666599</v>
      </c>
      <c r="B177" s="3">
        <f t="shared" si="8"/>
        <v>-117.72944297082228</v>
      </c>
      <c r="C177" s="3">
        <f t="shared" si="9"/>
        <v>-20.172232577596702</v>
      </c>
      <c r="D177" s="3">
        <f t="shared" si="10"/>
        <v>-117.72944297082228</v>
      </c>
      <c r="E177" s="3">
        <f t="shared" si="11"/>
        <v>-5.3796923121073092</v>
      </c>
      <c r="F177" s="3">
        <v>-53</v>
      </c>
      <c r="G177">
        <v>61.175509393499098</v>
      </c>
      <c r="I177" s="3">
        <v>1894.4166666666599</v>
      </c>
      <c r="J177" s="3">
        <v>0</v>
      </c>
      <c r="K177" s="3">
        <v>276.330760457162</v>
      </c>
    </row>
    <row r="178" spans="1:11" ht="18" x14ac:dyDescent="0.25">
      <c r="A178" s="3">
        <v>1967.5</v>
      </c>
      <c r="B178" s="3">
        <f t="shared" si="8"/>
        <v>-4.7294429708222765</v>
      </c>
      <c r="C178" s="3">
        <f t="shared" si="9"/>
        <v>104.50920484569596</v>
      </c>
      <c r="D178" s="3">
        <f t="shared" si="10"/>
        <v>-4.7294429708222765</v>
      </c>
      <c r="E178" s="3">
        <f t="shared" si="11"/>
        <v>38.660793448077598</v>
      </c>
      <c r="F178" s="3">
        <v>60</v>
      </c>
      <c r="G178">
        <v>105.21599515368401</v>
      </c>
      <c r="I178" s="3">
        <v>1894.5</v>
      </c>
      <c r="J178" s="3">
        <v>0</v>
      </c>
      <c r="K178" s="3">
        <v>302.76896046613501</v>
      </c>
    </row>
    <row r="179" spans="1:11" ht="18" x14ac:dyDescent="0.25">
      <c r="A179" s="3">
        <v>1967.5833333333301</v>
      </c>
      <c r="B179" s="3">
        <f t="shared" si="8"/>
        <v>85.270557029177724</v>
      </c>
      <c r="C179" s="3">
        <f t="shared" si="9"/>
        <v>103.52109561579326</v>
      </c>
      <c r="D179" s="3">
        <f t="shared" si="10"/>
        <v>85.270557029177724</v>
      </c>
      <c r="E179" s="3">
        <f t="shared" si="11"/>
        <v>38.122359933399594</v>
      </c>
      <c r="F179" s="3">
        <v>150</v>
      </c>
      <c r="G179">
        <v>104.677561639006</v>
      </c>
      <c r="I179" s="3">
        <v>1894.5833333333301</v>
      </c>
      <c r="J179" s="3">
        <v>0</v>
      </c>
      <c r="K179" s="3">
        <v>288.963056937972</v>
      </c>
    </row>
    <row r="180" spans="1:11" ht="18" x14ac:dyDescent="0.25">
      <c r="A180" s="3">
        <v>1967.6666666666599</v>
      </c>
      <c r="B180" s="3">
        <f t="shared" si="8"/>
        <v>100.27055702917772</v>
      </c>
      <c r="C180" s="3">
        <f t="shared" si="9"/>
        <v>26.270948260607213</v>
      </c>
      <c r="D180" s="3">
        <f t="shared" si="10"/>
        <v>100.27055702917772</v>
      </c>
      <c r="E180" s="3">
        <f t="shared" si="11"/>
        <v>7.1504518328942908</v>
      </c>
      <c r="F180" s="3">
        <v>165</v>
      </c>
      <c r="G180">
        <v>73.705653538500698</v>
      </c>
      <c r="I180" s="3">
        <v>1894.6666666666599</v>
      </c>
      <c r="J180" s="3">
        <v>0</v>
      </c>
      <c r="K180" s="3">
        <v>254.71359668308901</v>
      </c>
    </row>
    <row r="181" spans="1:11" ht="18" x14ac:dyDescent="0.25">
      <c r="A181" s="3">
        <v>1967.75</v>
      </c>
      <c r="B181" s="3">
        <f t="shared" si="8"/>
        <v>94.270557029177724</v>
      </c>
      <c r="C181" s="3">
        <f t="shared" si="9"/>
        <v>37.642274003397738</v>
      </c>
      <c r="D181" s="3">
        <f t="shared" si="10"/>
        <v>94.270557029177724</v>
      </c>
      <c r="E181" s="3">
        <f t="shared" si="11"/>
        <v>10.654692156820786</v>
      </c>
      <c r="F181" s="3">
        <v>159</v>
      </c>
      <c r="G181">
        <v>77.209893862427194</v>
      </c>
      <c r="I181" s="3">
        <v>1894.75</v>
      </c>
      <c r="J181" s="3">
        <v>0</v>
      </c>
      <c r="K181" s="3">
        <v>246.659536998166</v>
      </c>
    </row>
    <row r="182" spans="1:11" ht="18" x14ac:dyDescent="0.25">
      <c r="A182" s="3">
        <v>1967.8333333333301</v>
      </c>
      <c r="B182" s="3">
        <f t="shared" si="8"/>
        <v>101.27055702917772</v>
      </c>
      <c r="C182" s="3">
        <f t="shared" si="9"/>
        <v>111.65073353211925</v>
      </c>
      <c r="D182" s="3">
        <f t="shared" si="10"/>
        <v>101.27055702917772</v>
      </c>
      <c r="E182" s="3">
        <f t="shared" si="11"/>
        <v>42.702441800884586</v>
      </c>
      <c r="F182" s="3">
        <v>166</v>
      </c>
      <c r="G182">
        <v>109.25764350649099</v>
      </c>
      <c r="I182" s="3">
        <v>1894.8333333333301</v>
      </c>
      <c r="J182" s="3">
        <v>0</v>
      </c>
      <c r="K182" s="3">
        <v>235.04112105042799</v>
      </c>
    </row>
    <row r="183" spans="1:11" ht="18" x14ac:dyDescent="0.25">
      <c r="A183" s="3">
        <v>1967.9166666666599</v>
      </c>
      <c r="B183" s="3">
        <f t="shared" si="8"/>
        <v>132.27055702917772</v>
      </c>
      <c r="C183" s="3">
        <f t="shared" si="9"/>
        <v>143.68880020489883</v>
      </c>
      <c r="D183" s="3">
        <f t="shared" si="10"/>
        <v>132.27055702917772</v>
      </c>
      <c r="E183" s="3">
        <f t="shared" si="11"/>
        <v>64.809671419598601</v>
      </c>
      <c r="F183" s="3">
        <v>197</v>
      </c>
      <c r="G183">
        <v>131.36487312520501</v>
      </c>
      <c r="I183" s="3">
        <v>1894.9166666666599</v>
      </c>
      <c r="J183" s="3">
        <v>0</v>
      </c>
      <c r="K183" s="3">
        <v>184.28580282898801</v>
      </c>
    </row>
    <row r="184" spans="1:11" ht="18" x14ac:dyDescent="0.25">
      <c r="A184" s="3">
        <v>1968</v>
      </c>
      <c r="B184" s="3">
        <f t="shared" si="8"/>
        <v>132.27055702917772</v>
      </c>
      <c r="C184" s="3">
        <f t="shared" si="9"/>
        <v>158.14173305240902</v>
      </c>
      <c r="D184" s="3">
        <f t="shared" si="10"/>
        <v>132.27055702917772</v>
      </c>
      <c r="E184" s="3">
        <f t="shared" si="11"/>
        <v>77.60586944382058</v>
      </c>
      <c r="F184" s="3">
        <v>197</v>
      </c>
      <c r="G184">
        <v>144.16107114942699</v>
      </c>
      <c r="I184" s="3">
        <v>1895</v>
      </c>
      <c r="J184" s="3">
        <v>0</v>
      </c>
      <c r="K184" s="3">
        <v>115.048618268989</v>
      </c>
    </row>
    <row r="185" spans="1:11" ht="18" x14ac:dyDescent="0.25">
      <c r="A185" s="3">
        <v>1968.0833333333301</v>
      </c>
      <c r="B185" s="3">
        <f t="shared" si="8"/>
        <v>143.27055702917772</v>
      </c>
      <c r="C185" s="3">
        <f t="shared" si="9"/>
        <v>155.05240336150021</v>
      </c>
      <c r="D185" s="3">
        <f t="shared" si="10"/>
        <v>143.27055702917772</v>
      </c>
      <c r="E185" s="3">
        <f t="shared" si="11"/>
        <v>74.684902509534595</v>
      </c>
      <c r="F185" s="3">
        <v>208</v>
      </c>
      <c r="G185">
        <v>141.240104215141</v>
      </c>
      <c r="I185" s="3">
        <v>1895.0833333333301</v>
      </c>
      <c r="J185" s="3">
        <v>0</v>
      </c>
      <c r="K185" s="3">
        <v>37.3544271173933</v>
      </c>
    </row>
    <row r="186" spans="1:11" ht="18" x14ac:dyDescent="0.25">
      <c r="A186" s="3">
        <v>1968.1666666666599</v>
      </c>
      <c r="B186" s="3">
        <f t="shared" si="8"/>
        <v>143.27055702917772</v>
      </c>
      <c r="C186" s="3">
        <f t="shared" si="9"/>
        <v>150.68336912187596</v>
      </c>
      <c r="D186" s="3">
        <f t="shared" si="10"/>
        <v>143.27055702917772</v>
      </c>
      <c r="E186" s="3">
        <f t="shared" si="11"/>
        <v>70.733428387466603</v>
      </c>
      <c r="F186" s="3">
        <v>208</v>
      </c>
      <c r="G186">
        <v>137.28863009307301</v>
      </c>
      <c r="I186" s="3">
        <v>1895.1666666666599</v>
      </c>
      <c r="J186" s="3">
        <v>0</v>
      </c>
      <c r="K186" s="3">
        <v>-30.511056020213601</v>
      </c>
    </row>
    <row r="187" spans="1:11" ht="18" x14ac:dyDescent="0.25">
      <c r="A187" s="3">
        <v>1968.25</v>
      </c>
      <c r="B187" s="3">
        <f t="shared" si="8"/>
        <v>188.27055702917772</v>
      </c>
      <c r="C187" s="3">
        <f t="shared" si="9"/>
        <v>172.79898989171809</v>
      </c>
      <c r="D187" s="3">
        <f t="shared" si="10"/>
        <v>188.27055702917772</v>
      </c>
      <c r="E187" s="3">
        <f t="shared" si="11"/>
        <v>93.108649789899602</v>
      </c>
      <c r="F187" s="3">
        <v>253</v>
      </c>
      <c r="G187">
        <v>159.66385149550601</v>
      </c>
      <c r="I187" s="3">
        <v>1895.25</v>
      </c>
      <c r="J187" s="3">
        <v>0</v>
      </c>
      <c r="K187" s="3">
        <v>-69.757114240052104</v>
      </c>
    </row>
    <row r="188" spans="1:11" ht="18" x14ac:dyDescent="0.25">
      <c r="A188" s="3">
        <v>1968.3333333333301</v>
      </c>
      <c r="B188" s="3">
        <f t="shared" si="8"/>
        <v>188.27055702917772</v>
      </c>
      <c r="C188" s="3">
        <f t="shared" si="9"/>
        <v>189.70757028131626</v>
      </c>
      <c r="D188" s="3">
        <f t="shared" si="10"/>
        <v>188.27055702917772</v>
      </c>
      <c r="E188" s="3">
        <f t="shared" si="11"/>
        <v>115.2479894495936</v>
      </c>
      <c r="F188" s="3">
        <v>253</v>
      </c>
      <c r="G188">
        <v>181.80319115520001</v>
      </c>
      <c r="I188" s="3">
        <v>1895.3333333333301</v>
      </c>
      <c r="J188" s="3">
        <v>0</v>
      </c>
      <c r="K188" s="3">
        <v>-102.751479125548</v>
      </c>
    </row>
    <row r="189" spans="1:11" ht="18" x14ac:dyDescent="0.25">
      <c r="A189" s="3">
        <v>1968.4166666666599</v>
      </c>
      <c r="B189" s="3">
        <f t="shared" si="8"/>
        <v>193.27055702917772</v>
      </c>
      <c r="C189" s="3">
        <f t="shared" si="9"/>
        <v>194.65030099586392</v>
      </c>
      <c r="D189" s="3">
        <f t="shared" si="10"/>
        <v>193.27055702917772</v>
      </c>
      <c r="E189" s="3">
        <f t="shared" si="11"/>
        <v>122.8270351663426</v>
      </c>
      <c r="F189" s="3">
        <v>258</v>
      </c>
      <c r="G189">
        <v>189.382236871949</v>
      </c>
      <c r="I189" s="3">
        <v>1895.4166666666599</v>
      </c>
      <c r="J189" s="3">
        <v>0</v>
      </c>
      <c r="K189" s="3">
        <v>-122.141586098739</v>
      </c>
    </row>
    <row r="190" spans="1:11" ht="18" x14ac:dyDescent="0.25">
      <c r="A190" s="3">
        <v>1968.5</v>
      </c>
      <c r="B190" s="3">
        <f t="shared" si="8"/>
        <v>200.27055702917772</v>
      </c>
      <c r="C190" s="3">
        <f t="shared" si="9"/>
        <v>197.22211886961895</v>
      </c>
      <c r="D190" s="3">
        <f t="shared" si="10"/>
        <v>200.27055702917772</v>
      </c>
      <c r="E190" s="3">
        <f t="shared" si="11"/>
        <v>127.00738318258161</v>
      </c>
      <c r="F190" s="3">
        <v>265</v>
      </c>
      <c r="G190">
        <v>193.56258488818801</v>
      </c>
      <c r="I190" s="3">
        <v>1895.5</v>
      </c>
      <c r="J190" s="3">
        <v>0</v>
      </c>
      <c r="K190" s="3">
        <v>-109.395013624952</v>
      </c>
    </row>
    <row r="191" spans="1:11" ht="18" x14ac:dyDescent="0.25">
      <c r="A191" s="3">
        <v>1968.5833333333301</v>
      </c>
      <c r="B191" s="3">
        <f t="shared" si="8"/>
        <v>243.27055702917772</v>
      </c>
      <c r="C191" s="3">
        <f t="shared" si="9"/>
        <v>187.9741870860575</v>
      </c>
      <c r="D191" s="3">
        <f t="shared" si="10"/>
        <v>243.27055702917772</v>
      </c>
      <c r="E191" s="3">
        <f t="shared" si="11"/>
        <v>112.72210121797258</v>
      </c>
      <c r="F191" s="3">
        <v>308</v>
      </c>
      <c r="G191">
        <v>179.27730292357899</v>
      </c>
      <c r="I191" s="3">
        <v>1895.5833333333301</v>
      </c>
      <c r="J191" s="3">
        <v>0</v>
      </c>
      <c r="K191" s="3">
        <v>-91.687568845982199</v>
      </c>
    </row>
    <row r="192" spans="1:11" ht="18" x14ac:dyDescent="0.25">
      <c r="A192" s="3">
        <v>1968.6666666666599</v>
      </c>
      <c r="B192" s="3">
        <f t="shared" si="8"/>
        <v>249.27055702917772</v>
      </c>
      <c r="C192" s="3">
        <f t="shared" si="9"/>
        <v>172.27315479525097</v>
      </c>
      <c r="D192" s="3">
        <f t="shared" si="10"/>
        <v>249.27055702917772</v>
      </c>
      <c r="E192" s="3">
        <f t="shared" si="11"/>
        <v>92.500118279710591</v>
      </c>
      <c r="F192" s="3">
        <v>314</v>
      </c>
      <c r="G192">
        <v>159.055319985317</v>
      </c>
      <c r="I192" s="3">
        <v>1895.6666666666599</v>
      </c>
      <c r="J192" s="3">
        <v>0</v>
      </c>
      <c r="K192" s="3">
        <v>-69.359242004762905</v>
      </c>
    </row>
    <row r="193" spans="1:11" ht="18" x14ac:dyDescent="0.25">
      <c r="A193" s="3">
        <v>1968.75</v>
      </c>
      <c r="B193" s="3">
        <f t="shared" si="8"/>
        <v>248.27055702917772</v>
      </c>
      <c r="C193" s="3">
        <f t="shared" si="9"/>
        <v>158.73102843356517</v>
      </c>
      <c r="D193" s="3">
        <f t="shared" si="10"/>
        <v>248.27055702917772</v>
      </c>
      <c r="E193" s="3">
        <f t="shared" si="11"/>
        <v>78.175574871260579</v>
      </c>
      <c r="F193" s="3">
        <v>313</v>
      </c>
      <c r="G193">
        <v>144.73077657686699</v>
      </c>
      <c r="I193" s="3">
        <v>1895.75</v>
      </c>
      <c r="J193" s="3">
        <v>0</v>
      </c>
      <c r="K193" s="3">
        <v>-34.337177923246301</v>
      </c>
    </row>
    <row r="194" spans="1:11" ht="18" x14ac:dyDescent="0.25">
      <c r="A194" s="3">
        <v>1968.8333333333301</v>
      </c>
      <c r="B194" s="3">
        <f t="shared" si="8"/>
        <v>248.27055702917772</v>
      </c>
      <c r="C194" s="3">
        <f t="shared" si="9"/>
        <v>96.507624128447134</v>
      </c>
      <c r="D194" s="3">
        <f t="shared" si="10"/>
        <v>248.27055702917772</v>
      </c>
      <c r="E194" s="3">
        <f t="shared" si="11"/>
        <v>34.436020834229595</v>
      </c>
      <c r="F194" s="3">
        <v>313</v>
      </c>
      <c r="G194">
        <v>100.991222539836</v>
      </c>
      <c r="I194" s="3">
        <v>1895.8333333333301</v>
      </c>
      <c r="J194" s="3">
        <v>0</v>
      </c>
      <c r="K194" s="3">
        <v>-12.8858417459879</v>
      </c>
    </row>
    <row r="195" spans="1:11" ht="18" x14ac:dyDescent="0.25">
      <c r="A195" s="3">
        <v>1968.9166666666599</v>
      </c>
      <c r="B195" s="3">
        <f t="shared" si="8"/>
        <v>142.27055702917772</v>
      </c>
      <c r="C195" s="3">
        <f t="shared" si="9"/>
        <v>-87.983616384655278</v>
      </c>
      <c r="D195" s="3">
        <f t="shared" si="10"/>
        <v>142.27055702917772</v>
      </c>
      <c r="E195" s="3">
        <f t="shared" si="11"/>
        <v>-30.252731114188208</v>
      </c>
      <c r="F195" s="3">
        <v>207</v>
      </c>
      <c r="G195">
        <v>36.302470591418199</v>
      </c>
      <c r="I195" s="3">
        <v>1895.9166666666599</v>
      </c>
      <c r="J195" s="3">
        <v>0</v>
      </c>
      <c r="K195" s="3">
        <v>4.9415978365360402</v>
      </c>
    </row>
    <row r="196" spans="1:11" ht="18" x14ac:dyDescent="0.25">
      <c r="A196" s="3">
        <v>1969</v>
      </c>
      <c r="B196" s="3">
        <f t="shared" si="8"/>
        <v>73.270557029177724</v>
      </c>
      <c r="C196" s="3">
        <f t="shared" si="9"/>
        <v>-163.41457322152908</v>
      </c>
      <c r="D196" s="3">
        <f t="shared" si="10"/>
        <v>73.270557029177724</v>
      </c>
      <c r="E196" s="3">
        <f t="shared" si="11"/>
        <v>-82.853622505200406</v>
      </c>
      <c r="F196" s="3">
        <v>138</v>
      </c>
      <c r="G196">
        <v>-16.298420799593998</v>
      </c>
      <c r="I196" s="3">
        <v>1896</v>
      </c>
      <c r="J196" s="3">
        <v>0</v>
      </c>
      <c r="K196" s="3">
        <v>29.331400011224002</v>
      </c>
    </row>
    <row r="197" spans="1:11" ht="18" x14ac:dyDescent="0.25">
      <c r="A197" s="3">
        <v>1969.0833333333301</v>
      </c>
      <c r="B197" s="3">
        <f t="shared" si="8"/>
        <v>-68.729442970822276</v>
      </c>
      <c r="C197" s="3">
        <f t="shared" si="9"/>
        <v>-199.60990035971284</v>
      </c>
      <c r="D197" s="3">
        <f t="shared" si="10"/>
        <v>-68.729442970822276</v>
      </c>
      <c r="E197" s="3">
        <f t="shared" si="11"/>
        <v>-131.04539520203411</v>
      </c>
      <c r="F197" s="3">
        <v>-4</v>
      </c>
      <c r="G197">
        <v>-64.490193496427693</v>
      </c>
      <c r="I197" s="3">
        <v>1896.0833333333301</v>
      </c>
      <c r="J197" s="3">
        <v>0</v>
      </c>
      <c r="K197" s="3">
        <v>34.050682118394199</v>
      </c>
    </row>
    <row r="198" spans="1:11" ht="18" x14ac:dyDescent="0.25">
      <c r="A198" s="3">
        <v>1969.1666666666599</v>
      </c>
      <c r="B198" s="3">
        <f t="shared" ref="B198:B261" si="12">+$D198</f>
        <v>-125.72944297082228</v>
      </c>
      <c r="C198" s="3">
        <f t="shared" ref="C198:C261" si="13">$B$1*$E198/(1+$B$3*ABS($E198)^$B$2)</f>
        <v>-217.67975449669612</v>
      </c>
      <c r="D198" s="3">
        <f t="shared" ref="D198:D261" si="14">+F198-$F$3</f>
        <v>-125.72944297082228</v>
      </c>
      <c r="E198" s="3">
        <f t="shared" ref="E198:E261" si="15">+$G198-$G$3</f>
        <v>-167.57505814617241</v>
      </c>
      <c r="F198" s="3">
        <v>-61</v>
      </c>
      <c r="G198">
        <v>-101.019856440566</v>
      </c>
      <c r="I198" s="3">
        <v>1896.1666666666599</v>
      </c>
      <c r="J198" s="3">
        <v>0</v>
      </c>
      <c r="K198" s="3">
        <v>32.627372029455799</v>
      </c>
    </row>
    <row r="199" spans="1:11" ht="18" x14ac:dyDescent="0.25">
      <c r="A199" s="3">
        <v>1969.25</v>
      </c>
      <c r="B199" s="3">
        <f t="shared" si="12"/>
        <v>-168.72944297082228</v>
      </c>
      <c r="C199" s="3">
        <f t="shared" si="13"/>
        <v>-224.53051978220168</v>
      </c>
      <c r="D199" s="3">
        <f t="shared" si="14"/>
        <v>-168.72944297082228</v>
      </c>
      <c r="E199" s="3">
        <f t="shared" si="15"/>
        <v>-184.95203187712141</v>
      </c>
      <c r="F199" s="3">
        <v>-104</v>
      </c>
      <c r="G199">
        <v>-118.39683017151501</v>
      </c>
      <c r="I199" s="3">
        <v>1896.25</v>
      </c>
      <c r="J199" s="3">
        <v>0</v>
      </c>
      <c r="K199" s="3">
        <v>49.122109943194801</v>
      </c>
    </row>
    <row r="200" spans="1:11" ht="18" x14ac:dyDescent="0.25">
      <c r="A200" s="3">
        <v>1969.3333333333301</v>
      </c>
      <c r="B200" s="3">
        <f t="shared" si="12"/>
        <v>-215.72944297082228</v>
      </c>
      <c r="C200" s="3">
        <f t="shared" si="13"/>
        <v>-226.32188245827439</v>
      </c>
      <c r="D200" s="3">
        <f t="shared" si="14"/>
        <v>-215.72944297082228</v>
      </c>
      <c r="E200" s="3">
        <f t="shared" si="15"/>
        <v>-189.90466694743941</v>
      </c>
      <c r="F200" s="3">
        <v>-151</v>
      </c>
      <c r="G200">
        <v>-123.349465241833</v>
      </c>
      <c r="I200" s="3">
        <v>1896.3333333333301</v>
      </c>
      <c r="J200" s="3">
        <v>0</v>
      </c>
      <c r="K200" s="3">
        <v>87.782466405477805</v>
      </c>
    </row>
    <row r="201" spans="1:11" ht="18" x14ac:dyDescent="0.25">
      <c r="A201" s="3">
        <v>1969.4166666666599</v>
      </c>
      <c r="B201" s="3">
        <f t="shared" si="12"/>
        <v>-215.72944297082228</v>
      </c>
      <c r="C201" s="3">
        <f t="shared" si="13"/>
        <v>-214.62492741164206</v>
      </c>
      <c r="D201" s="3">
        <f t="shared" si="14"/>
        <v>-215.72944297082228</v>
      </c>
      <c r="E201" s="3">
        <f t="shared" si="15"/>
        <v>-160.53886130452889</v>
      </c>
      <c r="F201" s="3">
        <v>-151</v>
      </c>
      <c r="G201">
        <v>-93.9836595989225</v>
      </c>
      <c r="I201" s="3">
        <v>1896.4166666666599</v>
      </c>
      <c r="J201" s="3">
        <v>0</v>
      </c>
      <c r="K201" s="3">
        <v>160.84302912267299</v>
      </c>
    </row>
    <row r="202" spans="1:11" ht="18" x14ac:dyDescent="0.25">
      <c r="A202" s="3">
        <v>1969.5</v>
      </c>
      <c r="B202" s="3">
        <f t="shared" si="12"/>
        <v>-215.72944297082228</v>
      </c>
      <c r="C202" s="3">
        <f t="shared" si="13"/>
        <v>-189.82135784465606</v>
      </c>
      <c r="D202" s="3">
        <f t="shared" si="14"/>
        <v>-215.72944297082228</v>
      </c>
      <c r="E202" s="3">
        <f t="shared" si="15"/>
        <v>-115.4161115656666</v>
      </c>
      <c r="F202" s="3">
        <v>-151</v>
      </c>
      <c r="G202">
        <v>-48.860909860060197</v>
      </c>
      <c r="I202" s="3">
        <v>1896.5</v>
      </c>
      <c r="J202" s="3">
        <v>0</v>
      </c>
      <c r="K202" s="3">
        <v>227.172665033946</v>
      </c>
    </row>
    <row r="203" spans="1:11" ht="18" x14ac:dyDescent="0.25">
      <c r="A203" s="3">
        <v>1969.5833333333301</v>
      </c>
      <c r="B203" s="3">
        <f t="shared" si="12"/>
        <v>-204.72944297082228</v>
      </c>
      <c r="C203" s="3">
        <f t="shared" si="13"/>
        <v>-181.50954662922609</v>
      </c>
      <c r="D203" s="3">
        <f t="shared" si="14"/>
        <v>-204.72944297082228</v>
      </c>
      <c r="E203" s="3">
        <f t="shared" si="15"/>
        <v>-103.8500796402387</v>
      </c>
      <c r="F203" s="3">
        <v>-140</v>
      </c>
      <c r="G203">
        <v>-37.294877934632297</v>
      </c>
      <c r="I203" s="3">
        <v>1896.5833333333301</v>
      </c>
      <c r="J203" s="3">
        <v>0</v>
      </c>
      <c r="K203" s="3">
        <v>233.051650600578</v>
      </c>
    </row>
    <row r="204" spans="1:11" ht="18" x14ac:dyDescent="0.25">
      <c r="A204" s="3">
        <v>1969.6666666666599</v>
      </c>
      <c r="B204" s="3">
        <f t="shared" si="12"/>
        <v>-202.72944297082228</v>
      </c>
      <c r="C204" s="3">
        <f t="shared" si="13"/>
        <v>-180.51575739091695</v>
      </c>
      <c r="D204" s="3">
        <f t="shared" si="14"/>
        <v>-202.72944297082228</v>
      </c>
      <c r="E204" s="3">
        <f t="shared" si="15"/>
        <v>-102.5579213014346</v>
      </c>
      <c r="F204" s="3">
        <v>-138</v>
      </c>
      <c r="G204">
        <v>-36.002719595828196</v>
      </c>
      <c r="I204" s="3">
        <v>1896.6666666666599</v>
      </c>
      <c r="J204" s="3">
        <v>0</v>
      </c>
      <c r="K204" s="3">
        <v>211.15864221874</v>
      </c>
    </row>
    <row r="205" spans="1:11" ht="18" x14ac:dyDescent="0.25">
      <c r="A205" s="3">
        <v>1969.75</v>
      </c>
      <c r="B205" s="3">
        <f t="shared" si="12"/>
        <v>-168.72944297082228</v>
      </c>
      <c r="C205" s="3">
        <f t="shared" si="13"/>
        <v>-160.18743136729515</v>
      </c>
      <c r="D205" s="3">
        <f t="shared" si="14"/>
        <v>-168.72944297082228</v>
      </c>
      <c r="E205" s="3">
        <f t="shared" si="15"/>
        <v>-79.601322425301205</v>
      </c>
      <c r="F205" s="3">
        <v>-104</v>
      </c>
      <c r="G205">
        <v>-13.0461207196948</v>
      </c>
      <c r="I205" s="3">
        <v>1896.75</v>
      </c>
      <c r="J205" s="3">
        <v>0</v>
      </c>
      <c r="K205" s="3">
        <v>194.34299138834601</v>
      </c>
    </row>
    <row r="206" spans="1:11" ht="18" x14ac:dyDescent="0.25">
      <c r="A206" s="3">
        <v>1969.8333333333301</v>
      </c>
      <c r="B206" s="3">
        <f t="shared" si="12"/>
        <v>-152.72944297082228</v>
      </c>
      <c r="C206" s="3">
        <f t="shared" si="13"/>
        <v>-107.17709440862319</v>
      </c>
      <c r="D206" s="3">
        <f t="shared" si="14"/>
        <v>-152.72944297082228</v>
      </c>
      <c r="E206" s="3">
        <f t="shared" si="15"/>
        <v>-40.139259779971006</v>
      </c>
      <c r="F206" s="3">
        <v>-88</v>
      </c>
      <c r="G206">
        <v>26.415941925635401</v>
      </c>
      <c r="I206" s="3">
        <v>1896.8333333333301</v>
      </c>
      <c r="J206" s="3">
        <v>0</v>
      </c>
      <c r="K206" s="3">
        <v>174.05277384484501</v>
      </c>
    </row>
    <row r="207" spans="1:11" ht="18" x14ac:dyDescent="0.25">
      <c r="A207" s="3">
        <v>1969.9166666666599</v>
      </c>
      <c r="B207" s="3">
        <f t="shared" si="12"/>
        <v>-67.729442970822276</v>
      </c>
      <c r="C207" s="3">
        <f t="shared" si="13"/>
        <v>53.09011924711281</v>
      </c>
      <c r="D207" s="3">
        <f t="shared" si="14"/>
        <v>-67.729442970822276</v>
      </c>
      <c r="E207" s="3">
        <f t="shared" si="15"/>
        <v>15.889297635861794</v>
      </c>
      <c r="F207" s="3">
        <v>-3</v>
      </c>
      <c r="G207">
        <v>82.444499341468202</v>
      </c>
      <c r="I207" s="3">
        <v>1896.9166666666599</v>
      </c>
      <c r="J207" s="3">
        <v>0</v>
      </c>
      <c r="K207" s="3">
        <v>151.46365297602401</v>
      </c>
    </row>
    <row r="208" spans="1:11" ht="18" x14ac:dyDescent="0.25">
      <c r="A208" s="3">
        <v>1970</v>
      </c>
      <c r="B208" s="3">
        <f t="shared" si="12"/>
        <v>-10.729442970822276</v>
      </c>
      <c r="C208" s="3">
        <f t="shared" si="13"/>
        <v>133.58780871592842</v>
      </c>
      <c r="D208" s="3">
        <f t="shared" si="14"/>
        <v>-10.729442970822276</v>
      </c>
      <c r="E208" s="3">
        <f t="shared" si="15"/>
        <v>57.029744814596597</v>
      </c>
      <c r="F208" s="3">
        <v>54</v>
      </c>
      <c r="G208">
        <v>123.584946520203</v>
      </c>
      <c r="I208" s="3">
        <v>1897</v>
      </c>
      <c r="J208" s="3">
        <v>0</v>
      </c>
      <c r="K208" s="3">
        <v>110.54075213915699</v>
      </c>
    </row>
    <row r="209" spans="1:11" ht="18" x14ac:dyDescent="0.25">
      <c r="A209" s="3">
        <v>1970.0833333333301</v>
      </c>
      <c r="B209" s="3">
        <f t="shared" si="12"/>
        <v>31.270557029177724</v>
      </c>
      <c r="C209" s="3">
        <f t="shared" si="13"/>
        <v>137.01708672657696</v>
      </c>
      <c r="D209" s="3">
        <f t="shared" si="14"/>
        <v>31.270557029177724</v>
      </c>
      <c r="E209" s="3">
        <f t="shared" si="15"/>
        <v>59.575950839656599</v>
      </c>
      <c r="F209" s="3">
        <v>96</v>
      </c>
      <c r="G209">
        <v>126.13115254526301</v>
      </c>
      <c r="I209" s="3">
        <v>1897.0833333333301</v>
      </c>
      <c r="J209" s="3">
        <v>0</v>
      </c>
      <c r="K209" s="3">
        <v>55.628515292287403</v>
      </c>
    </row>
    <row r="210" spans="1:11" ht="18" x14ac:dyDescent="0.25">
      <c r="A210" s="3">
        <v>1970.1666666666599</v>
      </c>
      <c r="B210" s="3">
        <f t="shared" si="12"/>
        <v>82.270557029177724</v>
      </c>
      <c r="C210" s="3">
        <f t="shared" si="13"/>
        <v>139.58151907616534</v>
      </c>
      <c r="D210" s="3">
        <f t="shared" si="14"/>
        <v>82.270557029177724</v>
      </c>
      <c r="E210" s="3">
        <f t="shared" si="15"/>
        <v>61.542452745605601</v>
      </c>
      <c r="F210" s="3">
        <v>147</v>
      </c>
      <c r="G210">
        <v>128.09765445121201</v>
      </c>
      <c r="I210" s="3">
        <v>1897.1666666666599</v>
      </c>
      <c r="J210" s="3">
        <v>0</v>
      </c>
      <c r="K210" s="3">
        <v>31.8524521512864</v>
      </c>
    </row>
    <row r="211" spans="1:11" ht="18" x14ac:dyDescent="0.25">
      <c r="A211" s="3">
        <v>1970.25</v>
      </c>
      <c r="B211" s="3">
        <f t="shared" si="12"/>
        <v>101.27055702917772</v>
      </c>
      <c r="C211" s="3">
        <f t="shared" si="13"/>
        <v>158.74947745986216</v>
      </c>
      <c r="D211" s="3">
        <f t="shared" si="14"/>
        <v>101.27055702917772</v>
      </c>
      <c r="E211" s="3">
        <f t="shared" si="15"/>
        <v>78.19347684495159</v>
      </c>
      <c r="F211" s="3">
        <v>166</v>
      </c>
      <c r="G211">
        <v>144.748678550558</v>
      </c>
      <c r="I211" s="3">
        <v>1897.25</v>
      </c>
      <c r="J211" s="3">
        <v>0</v>
      </c>
      <c r="K211" s="3">
        <v>32.598533579117998</v>
      </c>
    </row>
    <row r="212" spans="1:11" ht="18" x14ac:dyDescent="0.25">
      <c r="A212" s="3">
        <v>1970.3333333333301</v>
      </c>
      <c r="B212" s="3">
        <f t="shared" si="12"/>
        <v>164.27055702917772</v>
      </c>
      <c r="C212" s="3">
        <f t="shared" si="13"/>
        <v>180.65430348622226</v>
      </c>
      <c r="D212" s="3">
        <f t="shared" si="14"/>
        <v>164.27055702917772</v>
      </c>
      <c r="E212" s="3">
        <f t="shared" si="15"/>
        <v>102.73697646197658</v>
      </c>
      <c r="F212" s="3">
        <v>229</v>
      </c>
      <c r="G212">
        <v>169.29217816758299</v>
      </c>
      <c r="I212" s="3">
        <v>1897.3333333333301</v>
      </c>
      <c r="J212" s="3">
        <v>0</v>
      </c>
      <c r="K212" s="3">
        <v>32.748938652830297</v>
      </c>
    </row>
    <row r="213" spans="1:11" ht="18" x14ac:dyDescent="0.25">
      <c r="A213" s="3">
        <v>1970.4166666666599</v>
      </c>
      <c r="B213" s="3">
        <f t="shared" si="12"/>
        <v>193.27055702917772</v>
      </c>
      <c r="C213" s="3">
        <f t="shared" si="13"/>
        <v>204.00474308198122</v>
      </c>
      <c r="D213" s="3">
        <f t="shared" si="14"/>
        <v>193.27055702917772</v>
      </c>
      <c r="E213" s="3">
        <f t="shared" si="15"/>
        <v>138.90346401523558</v>
      </c>
      <c r="F213" s="3">
        <v>258</v>
      </c>
      <c r="G213">
        <v>205.45866572084199</v>
      </c>
      <c r="I213" s="3">
        <v>1897.4166666666599</v>
      </c>
      <c r="J213" s="3">
        <v>0</v>
      </c>
      <c r="K213" s="3">
        <v>35.615426594643303</v>
      </c>
    </row>
    <row r="214" spans="1:11" ht="18" x14ac:dyDescent="0.25">
      <c r="A214" s="3">
        <v>1970.5</v>
      </c>
      <c r="B214" s="3">
        <f t="shared" si="12"/>
        <v>225.27055702917772</v>
      </c>
      <c r="C214" s="3">
        <f t="shared" si="13"/>
        <v>210.98907635968854</v>
      </c>
      <c r="D214" s="3">
        <f t="shared" si="14"/>
        <v>225.27055702917772</v>
      </c>
      <c r="E214" s="3">
        <f t="shared" si="15"/>
        <v>152.66745058256458</v>
      </c>
      <c r="F214" s="3">
        <v>290</v>
      </c>
      <c r="G214">
        <v>219.22265228817099</v>
      </c>
      <c r="I214" s="3">
        <v>1897.5</v>
      </c>
      <c r="J214" s="3">
        <v>0</v>
      </c>
      <c r="K214" s="3">
        <v>19.952370757299999</v>
      </c>
    </row>
    <row r="215" spans="1:11" ht="18" x14ac:dyDescent="0.25">
      <c r="A215" s="3">
        <v>1970.5833333333301</v>
      </c>
      <c r="B215" s="3">
        <f t="shared" si="12"/>
        <v>229.27055702917772</v>
      </c>
      <c r="C215" s="3">
        <f t="shared" si="13"/>
        <v>202.98634451489073</v>
      </c>
      <c r="D215" s="3">
        <f t="shared" si="14"/>
        <v>229.27055702917772</v>
      </c>
      <c r="E215" s="3">
        <f t="shared" si="15"/>
        <v>137.03104633286659</v>
      </c>
      <c r="F215" s="3">
        <v>294</v>
      </c>
      <c r="G215">
        <v>203.586248038473</v>
      </c>
      <c r="I215" s="3">
        <v>1897.5833333333301</v>
      </c>
      <c r="J215" s="3">
        <v>0</v>
      </c>
      <c r="K215" s="3">
        <v>-9.2558725707788003</v>
      </c>
    </row>
    <row r="216" spans="1:11" ht="18" x14ac:dyDescent="0.25">
      <c r="A216" s="3">
        <v>1970.6666666666599</v>
      </c>
      <c r="B216" s="3">
        <f t="shared" si="12"/>
        <v>241.27055702917772</v>
      </c>
      <c r="C216" s="3">
        <f t="shared" si="13"/>
        <v>202.86472403211141</v>
      </c>
      <c r="D216" s="3">
        <f t="shared" si="14"/>
        <v>241.27055702917772</v>
      </c>
      <c r="E216" s="3">
        <f t="shared" si="15"/>
        <v>136.8095692439166</v>
      </c>
      <c r="F216" s="3">
        <v>306</v>
      </c>
      <c r="G216">
        <v>203.36477094952301</v>
      </c>
      <c r="I216" s="3">
        <v>1897.6666666666599</v>
      </c>
      <c r="J216" s="3">
        <v>0</v>
      </c>
      <c r="K216" s="3">
        <v>-13.2748856267512</v>
      </c>
    </row>
    <row r="217" spans="1:11" ht="18" x14ac:dyDescent="0.25">
      <c r="A217" s="3">
        <v>1970.75</v>
      </c>
      <c r="B217" s="3">
        <f t="shared" si="12"/>
        <v>262.27055702917772</v>
      </c>
      <c r="C217" s="3">
        <f t="shared" si="13"/>
        <v>206.05666815133111</v>
      </c>
      <c r="D217" s="3">
        <f t="shared" si="14"/>
        <v>262.27055702917772</v>
      </c>
      <c r="E217" s="3">
        <f t="shared" si="15"/>
        <v>142.77570099698758</v>
      </c>
      <c r="F217" s="3">
        <v>327</v>
      </c>
      <c r="G217">
        <v>209.33090270259399</v>
      </c>
      <c r="I217" s="3">
        <v>1897.75</v>
      </c>
      <c r="J217" s="3">
        <v>0</v>
      </c>
      <c r="K217" s="3">
        <v>-7.7703804601437501</v>
      </c>
    </row>
    <row r="218" spans="1:11" ht="18" x14ac:dyDescent="0.25">
      <c r="A218" s="3">
        <v>1970.8333333333301</v>
      </c>
      <c r="B218" s="3">
        <f t="shared" si="12"/>
        <v>262.27055702917772</v>
      </c>
      <c r="C218" s="3">
        <f t="shared" si="13"/>
        <v>195.57643439322641</v>
      </c>
      <c r="D218" s="3">
        <f t="shared" si="14"/>
        <v>262.27055702917772</v>
      </c>
      <c r="E218" s="3">
        <f t="shared" si="15"/>
        <v>124.31287505364358</v>
      </c>
      <c r="F218" s="3">
        <v>327</v>
      </c>
      <c r="G218">
        <v>190.86807675924999</v>
      </c>
      <c r="I218" s="3">
        <v>1897.8333333333301</v>
      </c>
      <c r="J218" s="3">
        <v>0</v>
      </c>
      <c r="K218" s="3">
        <v>-10.474756989802801</v>
      </c>
    </row>
    <row r="219" spans="1:11" ht="18" x14ac:dyDescent="0.25">
      <c r="A219" s="3">
        <v>1970.9166666666599</v>
      </c>
      <c r="B219" s="3">
        <f t="shared" si="12"/>
        <v>247.27055702917772</v>
      </c>
      <c r="C219" s="3">
        <f t="shared" si="13"/>
        <v>162.44898231912026</v>
      </c>
      <c r="D219" s="3">
        <f t="shared" si="14"/>
        <v>247.27055702917772</v>
      </c>
      <c r="E219" s="3">
        <f t="shared" si="15"/>
        <v>81.866742412713592</v>
      </c>
      <c r="F219" s="3">
        <v>312</v>
      </c>
      <c r="G219">
        <v>148.42194411832</v>
      </c>
      <c r="I219" s="3">
        <v>1897.9166666666599</v>
      </c>
      <c r="J219" s="3">
        <v>0</v>
      </c>
      <c r="K219" s="3">
        <v>-10.0991388358159</v>
      </c>
    </row>
    <row r="220" spans="1:11" ht="18" x14ac:dyDescent="0.25">
      <c r="A220" s="3">
        <v>1971</v>
      </c>
      <c r="B220" s="3">
        <f t="shared" si="12"/>
        <v>124.27055702917772</v>
      </c>
      <c r="C220" s="3">
        <f t="shared" si="13"/>
        <v>42.406230366974675</v>
      </c>
      <c r="D220" s="3">
        <f t="shared" si="14"/>
        <v>124.27055702917772</v>
      </c>
      <c r="E220" s="3">
        <f t="shared" si="15"/>
        <v>12.207385995229387</v>
      </c>
      <c r="F220" s="3">
        <v>189</v>
      </c>
      <c r="G220">
        <v>78.762587700835795</v>
      </c>
      <c r="I220" s="3">
        <v>1898</v>
      </c>
      <c r="J220" s="3">
        <v>0</v>
      </c>
      <c r="K220" s="3">
        <v>-16.646732167874301</v>
      </c>
    </row>
    <row r="221" spans="1:11" ht="18" x14ac:dyDescent="0.25">
      <c r="A221" s="3">
        <v>1971.0833333333301</v>
      </c>
      <c r="B221" s="3">
        <f t="shared" si="12"/>
        <v>-32.729442970822276</v>
      </c>
      <c r="C221" s="3">
        <f t="shared" si="13"/>
        <v>-133.26618660630285</v>
      </c>
      <c r="D221" s="3">
        <f t="shared" si="14"/>
        <v>-32.729442970822276</v>
      </c>
      <c r="E221" s="3">
        <f t="shared" si="15"/>
        <v>-56.795680167005017</v>
      </c>
      <c r="F221" s="3">
        <v>32</v>
      </c>
      <c r="G221">
        <v>9.7595215386013905</v>
      </c>
      <c r="I221" s="3">
        <v>1898.0833333333301</v>
      </c>
      <c r="J221" s="3">
        <v>0</v>
      </c>
      <c r="K221" s="3">
        <v>-20.4044575301237</v>
      </c>
    </row>
    <row r="222" spans="1:11" ht="18" x14ac:dyDescent="0.25">
      <c r="A222" s="3">
        <v>1971.1666666666599</v>
      </c>
      <c r="B222" s="3">
        <f t="shared" si="12"/>
        <v>-109.72944297082228</v>
      </c>
      <c r="C222" s="3">
        <f t="shared" si="13"/>
        <v>-175.29337619044978</v>
      </c>
      <c r="D222" s="3">
        <f t="shared" si="14"/>
        <v>-109.72944297082228</v>
      </c>
      <c r="E222" s="3">
        <f t="shared" si="15"/>
        <v>-96.0545985486456</v>
      </c>
      <c r="F222" s="3">
        <v>-45</v>
      </c>
      <c r="G222">
        <v>-29.4993968430392</v>
      </c>
      <c r="I222" s="3">
        <v>1898.1666666666599</v>
      </c>
      <c r="J222" s="3">
        <v>0</v>
      </c>
      <c r="K222" s="3">
        <v>-9.5047985102195796</v>
      </c>
    </row>
    <row r="223" spans="1:11" ht="18" x14ac:dyDescent="0.25">
      <c r="A223" s="3">
        <v>1971.25</v>
      </c>
      <c r="B223" s="3">
        <f t="shared" si="12"/>
        <v>-166.72944297082228</v>
      </c>
      <c r="C223" s="3">
        <f t="shared" si="13"/>
        <v>-199.15574614089482</v>
      </c>
      <c r="D223" s="3">
        <f t="shared" si="14"/>
        <v>-166.72944297082228</v>
      </c>
      <c r="E223" s="3">
        <f t="shared" si="15"/>
        <v>-130.2653154857901</v>
      </c>
      <c r="F223" s="3">
        <v>-102</v>
      </c>
      <c r="G223">
        <v>-63.710113780183697</v>
      </c>
      <c r="I223" s="3">
        <v>1898.25</v>
      </c>
      <c r="J223" s="3">
        <v>0</v>
      </c>
      <c r="K223" s="3">
        <v>-3.2443086600401099</v>
      </c>
    </row>
    <row r="224" spans="1:11" ht="18" x14ac:dyDescent="0.25">
      <c r="A224" s="3">
        <v>1971.3333333333301</v>
      </c>
      <c r="B224" s="3">
        <f t="shared" si="12"/>
        <v>-182.72944297082228</v>
      </c>
      <c r="C224" s="3">
        <f t="shared" si="13"/>
        <v>-210.95154874767061</v>
      </c>
      <c r="D224" s="3">
        <f t="shared" si="14"/>
        <v>-182.72944297082228</v>
      </c>
      <c r="E224" s="3">
        <f t="shared" si="15"/>
        <v>-152.58888405076152</v>
      </c>
      <c r="F224" s="3">
        <v>-118</v>
      </c>
      <c r="G224">
        <v>-86.0336823451551</v>
      </c>
      <c r="I224" s="3">
        <v>1898.3333333333301</v>
      </c>
      <c r="J224" s="3">
        <v>0</v>
      </c>
      <c r="K224" s="3">
        <v>24.598185856124999</v>
      </c>
    </row>
    <row r="225" spans="1:11" ht="18" x14ac:dyDescent="0.25">
      <c r="A225" s="3">
        <v>1971.4166666666599</v>
      </c>
      <c r="B225" s="3">
        <f t="shared" si="12"/>
        <v>-196.72944297082228</v>
      </c>
      <c r="C225" s="3">
        <f t="shared" si="13"/>
        <v>-203.71200049617249</v>
      </c>
      <c r="D225" s="3">
        <f t="shared" si="14"/>
        <v>-196.72944297082228</v>
      </c>
      <c r="E225" s="3">
        <f t="shared" si="15"/>
        <v>-138.36193873885429</v>
      </c>
      <c r="F225" s="3">
        <v>-132</v>
      </c>
      <c r="G225">
        <v>-71.806737033247899</v>
      </c>
      <c r="I225" s="3">
        <v>1898.4166666666599</v>
      </c>
      <c r="J225" s="3">
        <v>0</v>
      </c>
      <c r="K225" s="3">
        <v>96.976810280928703</v>
      </c>
    </row>
    <row r="226" spans="1:11" ht="18" x14ac:dyDescent="0.25">
      <c r="A226" s="3">
        <v>1971.5</v>
      </c>
      <c r="B226" s="3">
        <f t="shared" si="12"/>
        <v>-199.72944297082228</v>
      </c>
      <c r="C226" s="3">
        <f t="shared" si="13"/>
        <v>-191.64055861937857</v>
      </c>
      <c r="D226" s="3">
        <f t="shared" si="14"/>
        <v>-199.72944297082228</v>
      </c>
      <c r="E226" s="3">
        <f t="shared" si="15"/>
        <v>-118.1437404125906</v>
      </c>
      <c r="F226" s="3">
        <v>-135</v>
      </c>
      <c r="G226">
        <v>-51.588538706984203</v>
      </c>
      <c r="I226" s="3">
        <v>1898.5</v>
      </c>
      <c r="J226" s="3">
        <v>0</v>
      </c>
      <c r="K226" s="3">
        <v>163.32814736597999</v>
      </c>
    </row>
    <row r="227" spans="1:11" ht="18" x14ac:dyDescent="0.25">
      <c r="A227" s="3">
        <v>1971.5833333333301</v>
      </c>
      <c r="B227" s="3">
        <f t="shared" si="12"/>
        <v>-224.72944297082228</v>
      </c>
      <c r="C227" s="3">
        <f t="shared" si="13"/>
        <v>-183.74291698166405</v>
      </c>
      <c r="D227" s="3">
        <f t="shared" si="14"/>
        <v>-224.72944297082228</v>
      </c>
      <c r="E227" s="3">
        <f t="shared" si="15"/>
        <v>-106.82158495045201</v>
      </c>
      <c r="F227" s="3">
        <v>-160</v>
      </c>
      <c r="G227">
        <v>-40.266383244845599</v>
      </c>
      <c r="I227" s="3">
        <v>1898.5833333333301</v>
      </c>
      <c r="J227" s="3">
        <v>0</v>
      </c>
      <c r="K227" s="3">
        <v>193.90223247192</v>
      </c>
    </row>
    <row r="228" spans="1:11" ht="18" x14ac:dyDescent="0.25">
      <c r="A228" s="3">
        <v>1971.6666666666599</v>
      </c>
      <c r="B228" s="3">
        <f t="shared" si="12"/>
        <v>-224.72944297082228</v>
      </c>
      <c r="C228" s="3">
        <f t="shared" si="13"/>
        <v>-178.43206828266352</v>
      </c>
      <c r="D228" s="3">
        <f t="shared" si="14"/>
        <v>-224.72944297082228</v>
      </c>
      <c r="E228" s="3">
        <f t="shared" si="15"/>
        <v>-99.906564831492005</v>
      </c>
      <c r="F228" s="3">
        <v>-160</v>
      </c>
      <c r="G228">
        <v>-33.351363125885598</v>
      </c>
      <c r="I228" s="3">
        <v>1898.6666666666599</v>
      </c>
      <c r="J228" s="3">
        <v>0</v>
      </c>
      <c r="K228" s="3">
        <v>193.03504806046499</v>
      </c>
    </row>
    <row r="229" spans="1:11" ht="18" x14ac:dyDescent="0.25">
      <c r="A229" s="3">
        <v>1971.75</v>
      </c>
      <c r="B229" s="3">
        <f t="shared" si="12"/>
        <v>-198.72944297082228</v>
      </c>
      <c r="C229" s="3">
        <f t="shared" si="13"/>
        <v>-184.49430909270023</v>
      </c>
      <c r="D229" s="3">
        <f t="shared" si="14"/>
        <v>-198.72944297082228</v>
      </c>
      <c r="E229" s="3">
        <f t="shared" si="15"/>
        <v>-107.84295670852072</v>
      </c>
      <c r="F229" s="3">
        <v>-134</v>
      </c>
      <c r="G229">
        <v>-41.287755002914302</v>
      </c>
      <c r="I229" s="3">
        <v>1898.75</v>
      </c>
      <c r="J229" s="3">
        <v>0</v>
      </c>
      <c r="K229" s="3">
        <v>165.97127252610699</v>
      </c>
    </row>
    <row r="230" spans="1:11" ht="18" x14ac:dyDescent="0.25">
      <c r="A230" s="3">
        <v>1971.8333333333301</v>
      </c>
      <c r="B230" s="3">
        <f t="shared" si="12"/>
        <v>-189.72944297082228</v>
      </c>
      <c r="C230" s="3">
        <f t="shared" si="13"/>
        <v>-182.37735209971726</v>
      </c>
      <c r="D230" s="3">
        <f t="shared" si="14"/>
        <v>-189.72944297082228</v>
      </c>
      <c r="E230" s="3">
        <f t="shared" si="15"/>
        <v>-104.99343431669232</v>
      </c>
      <c r="F230" s="3">
        <v>-125</v>
      </c>
      <c r="G230">
        <v>-38.438232611085901</v>
      </c>
      <c r="I230" s="3">
        <v>1898.8333333333301</v>
      </c>
      <c r="J230" s="3">
        <v>0</v>
      </c>
      <c r="K230" s="3">
        <v>148.08264330851199</v>
      </c>
    </row>
    <row r="231" spans="1:11" ht="18" x14ac:dyDescent="0.25">
      <c r="A231" s="3">
        <v>1971.9166666666599</v>
      </c>
      <c r="B231" s="3">
        <f t="shared" si="12"/>
        <v>-189.72944297082228</v>
      </c>
      <c r="C231" s="3">
        <f t="shared" si="13"/>
        <v>-159.72148591997316</v>
      </c>
      <c r="D231" s="3">
        <f t="shared" si="14"/>
        <v>-189.72944297082228</v>
      </c>
      <c r="E231" s="3">
        <f t="shared" si="15"/>
        <v>-79.142406825238709</v>
      </c>
      <c r="F231" s="3">
        <v>-125</v>
      </c>
      <c r="G231">
        <v>-12.5872051196323</v>
      </c>
      <c r="I231" s="3">
        <v>1898.9166666666599</v>
      </c>
      <c r="J231" s="3">
        <v>0</v>
      </c>
      <c r="K231" s="3">
        <v>141.880437313166</v>
      </c>
    </row>
    <row r="232" spans="1:11" ht="18" x14ac:dyDescent="0.25">
      <c r="A232" s="3">
        <v>1972</v>
      </c>
      <c r="B232" s="3">
        <f t="shared" si="12"/>
        <v>-176.72944297082228</v>
      </c>
      <c r="C232" s="3">
        <f t="shared" si="13"/>
        <v>-138.71120014072903</v>
      </c>
      <c r="D232" s="3">
        <f t="shared" si="14"/>
        <v>-176.72944297082228</v>
      </c>
      <c r="E232" s="3">
        <f t="shared" si="15"/>
        <v>-60.868903654504287</v>
      </c>
      <c r="F232" s="3">
        <v>-112</v>
      </c>
      <c r="G232">
        <v>5.6862980511021197</v>
      </c>
      <c r="I232" s="3">
        <v>1899</v>
      </c>
      <c r="J232" s="3">
        <v>0</v>
      </c>
      <c r="K232" s="3">
        <v>114.107115660651</v>
      </c>
    </row>
    <row r="233" spans="1:11" ht="18" x14ac:dyDescent="0.25">
      <c r="A233" s="3">
        <v>1972.0833333333301</v>
      </c>
      <c r="B233" s="3">
        <f t="shared" si="12"/>
        <v>-159.72944297082228</v>
      </c>
      <c r="C233" s="3">
        <f t="shared" si="13"/>
        <v>-114.47680591092728</v>
      </c>
      <c r="D233" s="3">
        <f t="shared" si="14"/>
        <v>-159.72944297082228</v>
      </c>
      <c r="E233" s="3">
        <f t="shared" si="15"/>
        <v>-44.378501689057508</v>
      </c>
      <c r="F233" s="3">
        <v>-95</v>
      </c>
      <c r="G233">
        <v>22.176700016548899</v>
      </c>
      <c r="I233" s="3">
        <v>1899.0833333333301</v>
      </c>
      <c r="J233" s="3">
        <v>0</v>
      </c>
      <c r="K233" s="3">
        <v>83.715124758279202</v>
      </c>
    </row>
    <row r="234" spans="1:11" ht="18" x14ac:dyDescent="0.25">
      <c r="A234" s="3">
        <v>1972.1666666666599</v>
      </c>
      <c r="B234" s="3">
        <f t="shared" si="12"/>
        <v>-147.72944297082228</v>
      </c>
      <c r="C234" s="3">
        <f t="shared" si="13"/>
        <v>-62.884262819752252</v>
      </c>
      <c r="D234" s="3">
        <f t="shared" si="14"/>
        <v>-147.72944297082228</v>
      </c>
      <c r="E234" s="3">
        <f t="shared" si="15"/>
        <v>-19.53095376885851</v>
      </c>
      <c r="F234" s="3">
        <v>-83</v>
      </c>
      <c r="G234">
        <v>47.024247936747898</v>
      </c>
      <c r="I234" s="3">
        <v>1899.1666666666599</v>
      </c>
      <c r="J234" s="3">
        <v>0</v>
      </c>
      <c r="K234" s="3">
        <v>69.149314390317699</v>
      </c>
    </row>
    <row r="235" spans="1:11" ht="18" x14ac:dyDescent="0.25">
      <c r="A235" s="3">
        <v>1972.25</v>
      </c>
      <c r="B235" s="3">
        <f t="shared" si="12"/>
        <v>-138.72944297082228</v>
      </c>
      <c r="C235" s="3">
        <f t="shared" si="13"/>
        <v>43.03126721956729</v>
      </c>
      <c r="D235" s="3">
        <f t="shared" si="14"/>
        <v>-138.72944297082228</v>
      </c>
      <c r="E235" s="3">
        <f t="shared" si="15"/>
        <v>12.415031393478998</v>
      </c>
      <c r="F235" s="3">
        <v>-74</v>
      </c>
      <c r="G235">
        <v>78.970233099085405</v>
      </c>
      <c r="I235" s="3">
        <v>1899.25</v>
      </c>
      <c r="J235" s="3">
        <v>0</v>
      </c>
      <c r="K235" s="3">
        <v>64.326220617427893</v>
      </c>
    </row>
    <row r="236" spans="1:11" ht="18" x14ac:dyDescent="0.25">
      <c r="A236" s="3">
        <v>1972.3333333333301</v>
      </c>
      <c r="B236" s="3">
        <f t="shared" si="12"/>
        <v>-104.72944297082228</v>
      </c>
      <c r="C236" s="3">
        <f t="shared" si="13"/>
        <v>162.29627254015284</v>
      </c>
      <c r="D236" s="3">
        <f t="shared" si="14"/>
        <v>-104.72944297082228</v>
      </c>
      <c r="E236" s="3">
        <f t="shared" si="15"/>
        <v>81.711756097476581</v>
      </c>
      <c r="F236" s="3">
        <v>-40</v>
      </c>
      <c r="G236">
        <v>148.26695780308299</v>
      </c>
      <c r="I236" s="3">
        <v>1899.3333333333301</v>
      </c>
      <c r="J236" s="3">
        <v>0</v>
      </c>
      <c r="K236" s="3">
        <v>83.170076487903302</v>
      </c>
    </row>
    <row r="237" spans="1:11" ht="18" x14ac:dyDescent="0.25">
      <c r="A237" s="3">
        <v>1972.4166666666599</v>
      </c>
      <c r="B237" s="3">
        <f t="shared" si="12"/>
        <v>122.27055702917772</v>
      </c>
      <c r="C237" s="3">
        <f t="shared" si="13"/>
        <v>217.99036486957357</v>
      </c>
      <c r="D237" s="3">
        <f t="shared" si="14"/>
        <v>122.27055702917772</v>
      </c>
      <c r="E237" s="3">
        <f t="shared" si="15"/>
        <v>168.3135557365986</v>
      </c>
      <c r="F237" s="3">
        <v>187</v>
      </c>
      <c r="G237">
        <v>234.86875744220501</v>
      </c>
      <c r="I237" s="3">
        <v>1899.4166666666599</v>
      </c>
      <c r="J237" s="3">
        <v>0</v>
      </c>
      <c r="K237" s="3">
        <v>97.949426766399696</v>
      </c>
    </row>
    <row r="238" spans="1:11" ht="18" x14ac:dyDescent="0.25">
      <c r="A238" s="3">
        <v>1972.5</v>
      </c>
      <c r="B238" s="3">
        <f t="shared" si="12"/>
        <v>166.27055702917772</v>
      </c>
      <c r="C238" s="3">
        <f t="shared" si="13"/>
        <v>232.69010810260096</v>
      </c>
      <c r="D238" s="3">
        <f t="shared" si="14"/>
        <v>166.27055702917772</v>
      </c>
      <c r="E238" s="3">
        <f t="shared" si="15"/>
        <v>209.11304672992259</v>
      </c>
      <c r="F238" s="3">
        <v>231</v>
      </c>
      <c r="G238">
        <v>275.66824843552899</v>
      </c>
      <c r="I238" s="3">
        <v>1899.5</v>
      </c>
      <c r="J238" s="3">
        <v>0</v>
      </c>
      <c r="K238" s="3">
        <v>69.454727290553393</v>
      </c>
    </row>
    <row r="239" spans="1:11" ht="18" x14ac:dyDescent="0.25">
      <c r="A239" s="3">
        <v>1972.5833333333301</v>
      </c>
      <c r="B239" s="3">
        <f t="shared" si="12"/>
        <v>181.27055702917772</v>
      </c>
      <c r="C239" s="3">
        <f t="shared" si="13"/>
        <v>231.85486206351246</v>
      </c>
      <c r="D239" s="3">
        <f t="shared" si="14"/>
        <v>181.27055702917772</v>
      </c>
      <c r="E239" s="3">
        <f t="shared" si="15"/>
        <v>206.43970397322857</v>
      </c>
      <c r="F239" s="3">
        <v>246</v>
      </c>
      <c r="G239">
        <v>272.99490567883498</v>
      </c>
      <c r="I239" s="3">
        <v>1899.5833333333301</v>
      </c>
      <c r="J239" s="3">
        <v>0</v>
      </c>
      <c r="K239" s="3">
        <v>31.169884867256801</v>
      </c>
    </row>
    <row r="240" spans="1:11" ht="18" x14ac:dyDescent="0.25">
      <c r="A240" s="3">
        <v>1972.6666666666599</v>
      </c>
      <c r="B240" s="3">
        <f t="shared" si="12"/>
        <v>185.27055702917772</v>
      </c>
      <c r="C240" s="3">
        <f t="shared" si="13"/>
        <v>224.57317641903506</v>
      </c>
      <c r="D240" s="3">
        <f t="shared" si="14"/>
        <v>185.27055702917772</v>
      </c>
      <c r="E240" s="3">
        <f t="shared" si="15"/>
        <v>185.06785717947758</v>
      </c>
      <c r="F240" s="3">
        <v>250</v>
      </c>
      <c r="G240">
        <v>251.62305888508399</v>
      </c>
      <c r="I240" s="3">
        <v>1899.6666666666599</v>
      </c>
      <c r="J240" s="3">
        <v>0</v>
      </c>
      <c r="K240" s="3">
        <v>15.0308932594703</v>
      </c>
    </row>
    <row r="241" spans="1:11" ht="18" x14ac:dyDescent="0.25">
      <c r="A241" s="3">
        <v>1972.75</v>
      </c>
      <c r="B241" s="3">
        <f t="shared" si="12"/>
        <v>204.27055702917772</v>
      </c>
      <c r="C241" s="3">
        <f t="shared" si="13"/>
        <v>213.80119925995055</v>
      </c>
      <c r="D241" s="3">
        <f t="shared" si="14"/>
        <v>204.27055702917772</v>
      </c>
      <c r="E241" s="3">
        <f t="shared" si="15"/>
        <v>158.70934502065359</v>
      </c>
      <c r="F241" s="3">
        <v>269</v>
      </c>
      <c r="G241">
        <v>225.26454672625999</v>
      </c>
      <c r="I241" s="3">
        <v>1899.75</v>
      </c>
      <c r="J241" s="3">
        <v>0</v>
      </c>
      <c r="K241" s="3">
        <v>24.046409457295901</v>
      </c>
    </row>
    <row r="242" spans="1:11" ht="18" x14ac:dyDescent="0.25">
      <c r="A242" s="3">
        <v>1972.8333333333301</v>
      </c>
      <c r="B242" s="3">
        <f t="shared" si="12"/>
        <v>208.27055702917772</v>
      </c>
      <c r="C242" s="3">
        <f t="shared" si="13"/>
        <v>205.58718800083295</v>
      </c>
      <c r="D242" s="3">
        <f t="shared" si="14"/>
        <v>208.27055702917772</v>
      </c>
      <c r="E242" s="3">
        <f t="shared" si="15"/>
        <v>141.87772850123758</v>
      </c>
      <c r="F242" s="3">
        <v>273</v>
      </c>
      <c r="G242">
        <v>208.43293020684399</v>
      </c>
      <c r="I242" s="3">
        <v>1899.8333333333301</v>
      </c>
      <c r="J242" s="3">
        <v>0</v>
      </c>
      <c r="K242" s="3">
        <v>55.985531872264303</v>
      </c>
    </row>
    <row r="243" spans="1:11" ht="18" x14ac:dyDescent="0.25">
      <c r="A243" s="3">
        <v>1972.9166666666599</v>
      </c>
      <c r="B243" s="3">
        <f t="shared" si="12"/>
        <v>204.27055702917772</v>
      </c>
      <c r="C243" s="3">
        <f t="shared" si="13"/>
        <v>180.67799492005554</v>
      </c>
      <c r="D243" s="3">
        <f t="shared" si="14"/>
        <v>204.27055702917772</v>
      </c>
      <c r="E243" s="3">
        <f t="shared" si="15"/>
        <v>102.7676300195136</v>
      </c>
      <c r="F243" s="3">
        <v>269</v>
      </c>
      <c r="G243">
        <v>169.32283172512001</v>
      </c>
      <c r="I243" s="3">
        <v>1899.9166666666599</v>
      </c>
      <c r="J243" s="3">
        <v>0</v>
      </c>
      <c r="K243" s="3">
        <v>68.537481610525802</v>
      </c>
    </row>
    <row r="244" spans="1:11" ht="18" x14ac:dyDescent="0.25">
      <c r="A244" s="3">
        <v>1973</v>
      </c>
      <c r="B244" s="3">
        <f t="shared" si="12"/>
        <v>107.27055702917772</v>
      </c>
      <c r="C244" s="3">
        <f t="shared" si="13"/>
        <v>82.679819164555369</v>
      </c>
      <c r="D244" s="3">
        <f t="shared" si="14"/>
        <v>107.27055702917772</v>
      </c>
      <c r="E244" s="3">
        <f t="shared" si="15"/>
        <v>27.799973953812497</v>
      </c>
      <c r="F244" s="3">
        <v>172</v>
      </c>
      <c r="G244">
        <v>94.355175659418904</v>
      </c>
      <c r="I244" s="3">
        <v>1900</v>
      </c>
      <c r="J244" s="3">
        <v>0</v>
      </c>
      <c r="K244" s="3">
        <v>46.771314420450601</v>
      </c>
    </row>
    <row r="245" spans="1:11" ht="18" x14ac:dyDescent="0.25">
      <c r="A245" s="3">
        <v>1973.0833333333301</v>
      </c>
      <c r="B245" s="3">
        <f t="shared" si="12"/>
        <v>-122.72944297082228</v>
      </c>
      <c r="C245" s="3">
        <f t="shared" si="13"/>
        <v>-96.241024998343818</v>
      </c>
      <c r="D245" s="3">
        <f t="shared" si="14"/>
        <v>-122.72944297082228</v>
      </c>
      <c r="E245" s="3">
        <f t="shared" si="15"/>
        <v>-34.300405415059409</v>
      </c>
      <c r="F245" s="3">
        <v>-58</v>
      </c>
      <c r="G245">
        <v>32.254796290546999</v>
      </c>
      <c r="I245" s="3">
        <v>1900.0833333333301</v>
      </c>
      <c r="J245" s="3">
        <v>0</v>
      </c>
      <c r="K245" s="3">
        <v>27.020990750272698</v>
      </c>
    </row>
    <row r="246" spans="1:11" ht="18" x14ac:dyDescent="0.25">
      <c r="A246" s="3">
        <v>1973.1666666666599</v>
      </c>
      <c r="B246" s="3">
        <f t="shared" si="12"/>
        <v>-170.72944297082228</v>
      </c>
      <c r="C246" s="3">
        <f t="shared" si="13"/>
        <v>-155.891072616157</v>
      </c>
      <c r="D246" s="3">
        <f t="shared" si="14"/>
        <v>-170.72944297082228</v>
      </c>
      <c r="E246" s="3">
        <f t="shared" si="15"/>
        <v>-75.46714555016257</v>
      </c>
      <c r="F246" s="3">
        <v>-106</v>
      </c>
      <c r="G246">
        <v>-8.9119438445561592</v>
      </c>
      <c r="I246" s="3">
        <v>1900.1666666666599</v>
      </c>
      <c r="J246" s="3">
        <v>0</v>
      </c>
      <c r="K246" s="3">
        <v>0.68626443591183695</v>
      </c>
    </row>
    <row r="247" spans="1:11" ht="18" x14ac:dyDescent="0.25">
      <c r="A247" s="3">
        <v>1973.25</v>
      </c>
      <c r="B247" s="3">
        <f t="shared" si="12"/>
        <v>-170.72944297082228</v>
      </c>
      <c r="C247" s="3">
        <f t="shared" si="13"/>
        <v>-185.88809438995386</v>
      </c>
      <c r="D247" s="3">
        <f t="shared" si="14"/>
        <v>-170.72944297082228</v>
      </c>
      <c r="E247" s="3">
        <f t="shared" si="15"/>
        <v>-109.76731595830321</v>
      </c>
      <c r="F247" s="3">
        <v>-106</v>
      </c>
      <c r="G247">
        <v>-43.2121142526968</v>
      </c>
      <c r="I247" s="3">
        <v>1900.25</v>
      </c>
      <c r="J247" s="3">
        <v>0</v>
      </c>
      <c r="K247" s="3">
        <v>-38.831722852423603</v>
      </c>
    </row>
    <row r="248" spans="1:11" ht="18" x14ac:dyDescent="0.25">
      <c r="A248" s="3">
        <v>1973.3333333333301</v>
      </c>
      <c r="B248" s="3">
        <f t="shared" si="12"/>
        <v>-170.72944297082228</v>
      </c>
      <c r="C248" s="3">
        <f t="shared" si="13"/>
        <v>-196.24187874287219</v>
      </c>
      <c r="D248" s="3">
        <f t="shared" si="14"/>
        <v>-170.72944297082228</v>
      </c>
      <c r="E248" s="3">
        <f t="shared" si="15"/>
        <v>-125.39395102225902</v>
      </c>
      <c r="F248" s="3">
        <v>-106</v>
      </c>
      <c r="G248">
        <v>-58.838749316652603</v>
      </c>
      <c r="I248" s="3">
        <v>1900.3333333333301</v>
      </c>
      <c r="J248" s="3">
        <v>0</v>
      </c>
      <c r="K248" s="3">
        <v>-54.283861211127999</v>
      </c>
    </row>
    <row r="249" spans="1:11" ht="18" x14ac:dyDescent="0.25">
      <c r="A249" s="3">
        <v>1973.4166666666599</v>
      </c>
      <c r="B249" s="3">
        <f t="shared" si="12"/>
        <v>-196.72944297082228</v>
      </c>
      <c r="C249" s="3">
        <f t="shared" si="13"/>
        <v>-204.33985746374194</v>
      </c>
      <c r="D249" s="3">
        <f t="shared" si="14"/>
        <v>-196.72944297082228</v>
      </c>
      <c r="E249" s="3">
        <f t="shared" si="15"/>
        <v>-139.5266676897578</v>
      </c>
      <c r="F249" s="3">
        <v>-132</v>
      </c>
      <c r="G249">
        <v>-72.971465984151394</v>
      </c>
      <c r="I249" s="3">
        <v>1900.4166666666599</v>
      </c>
      <c r="J249" s="3">
        <v>0</v>
      </c>
      <c r="K249" s="3">
        <v>-41.790512104152597</v>
      </c>
    </row>
    <row r="250" spans="1:11" ht="18" x14ac:dyDescent="0.25">
      <c r="A250" s="3">
        <v>1973.5</v>
      </c>
      <c r="B250" s="3">
        <f t="shared" si="12"/>
        <v>-196.72944297082228</v>
      </c>
      <c r="C250" s="3">
        <f t="shared" si="13"/>
        <v>-212.88459839192583</v>
      </c>
      <c r="D250" s="3">
        <f t="shared" si="14"/>
        <v>-196.72944297082228</v>
      </c>
      <c r="E250" s="3">
        <f t="shared" si="15"/>
        <v>-156.70591687784821</v>
      </c>
      <c r="F250" s="3">
        <v>-132</v>
      </c>
      <c r="G250">
        <v>-90.150715172241803</v>
      </c>
      <c r="I250" s="3">
        <v>1900.5</v>
      </c>
      <c r="J250" s="3">
        <v>0</v>
      </c>
      <c r="K250" s="3">
        <v>-7.5399463432391496</v>
      </c>
    </row>
    <row r="251" spans="1:11" ht="18" x14ac:dyDescent="0.25">
      <c r="A251" s="3">
        <v>1973.5833333333301</v>
      </c>
      <c r="B251" s="3">
        <f t="shared" si="12"/>
        <v>-167.72944297082228</v>
      </c>
      <c r="C251" s="3">
        <f t="shared" si="13"/>
        <v>-211.35556197995831</v>
      </c>
      <c r="D251" s="3">
        <f t="shared" si="14"/>
        <v>-167.72944297082228</v>
      </c>
      <c r="E251" s="3">
        <f t="shared" si="15"/>
        <v>-153.43750472017751</v>
      </c>
      <c r="F251" s="3">
        <v>-103</v>
      </c>
      <c r="G251">
        <v>-86.882303014571093</v>
      </c>
      <c r="I251" s="3">
        <v>1900.5833333333301</v>
      </c>
      <c r="J251" s="3">
        <v>0</v>
      </c>
      <c r="K251" s="3">
        <v>42.0144829276298</v>
      </c>
    </row>
    <row r="252" spans="1:11" ht="18" x14ac:dyDescent="0.25">
      <c r="A252" s="3">
        <v>1973.6666666666599</v>
      </c>
      <c r="B252" s="3">
        <f t="shared" si="12"/>
        <v>-162.72944297082228</v>
      </c>
      <c r="C252" s="3">
        <f t="shared" si="13"/>
        <v>-207.26306863089806</v>
      </c>
      <c r="D252" s="3">
        <f t="shared" si="14"/>
        <v>-162.72944297082228</v>
      </c>
      <c r="E252" s="3">
        <f t="shared" si="15"/>
        <v>-145.11677320645322</v>
      </c>
      <c r="F252" s="3">
        <v>-98</v>
      </c>
      <c r="G252">
        <v>-78.561571500846796</v>
      </c>
      <c r="I252" s="3">
        <v>1900.6666666666599</v>
      </c>
      <c r="J252" s="3">
        <v>0</v>
      </c>
      <c r="K252" s="3">
        <v>66.868321148325904</v>
      </c>
    </row>
    <row r="253" spans="1:11" ht="18" x14ac:dyDescent="0.25">
      <c r="A253" s="3">
        <v>1973.75</v>
      </c>
      <c r="B253" s="3">
        <f t="shared" si="12"/>
        <v>-149.72944297082228</v>
      </c>
      <c r="C253" s="3">
        <f t="shared" si="13"/>
        <v>-202.40534040201925</v>
      </c>
      <c r="D253" s="3">
        <f t="shared" si="14"/>
        <v>-149.72944297082228</v>
      </c>
      <c r="E253" s="3">
        <f t="shared" si="15"/>
        <v>-135.97705988000359</v>
      </c>
      <c r="F253" s="3">
        <v>-85</v>
      </c>
      <c r="G253">
        <v>-69.421858174397201</v>
      </c>
      <c r="I253" s="3">
        <v>1900.75</v>
      </c>
      <c r="J253" s="3">
        <v>0</v>
      </c>
      <c r="K253" s="3">
        <v>67.993158431430501</v>
      </c>
    </row>
    <row r="254" spans="1:11" ht="18" x14ac:dyDescent="0.25">
      <c r="A254" s="3">
        <v>1973.8333333333301</v>
      </c>
      <c r="B254" s="3">
        <f t="shared" si="12"/>
        <v>-149.72944297082228</v>
      </c>
      <c r="C254" s="3">
        <f t="shared" si="13"/>
        <v>-187.24509388134783</v>
      </c>
      <c r="D254" s="3">
        <f t="shared" si="14"/>
        <v>-149.72944297082228</v>
      </c>
      <c r="E254" s="3">
        <f t="shared" si="15"/>
        <v>-111.67902731999081</v>
      </c>
      <c r="F254" s="3">
        <v>-85</v>
      </c>
      <c r="G254">
        <v>-45.123825614384401</v>
      </c>
      <c r="I254" s="3">
        <v>1900.8333333333301</v>
      </c>
      <c r="J254" s="3">
        <v>0</v>
      </c>
      <c r="K254" s="3">
        <v>72.468805463876095</v>
      </c>
    </row>
    <row r="255" spans="1:11" ht="18" x14ac:dyDescent="0.25">
      <c r="A255" s="3">
        <v>1973.9166666666599</v>
      </c>
      <c r="B255" s="3">
        <f t="shared" si="12"/>
        <v>-109.72944297082228</v>
      </c>
      <c r="C255" s="3">
        <f t="shared" si="13"/>
        <v>-172.15779458775313</v>
      </c>
      <c r="D255" s="3">
        <f t="shared" si="14"/>
        <v>-109.72944297082228</v>
      </c>
      <c r="E255" s="3">
        <f t="shared" si="15"/>
        <v>-92.367185611623114</v>
      </c>
      <c r="F255" s="3">
        <v>-45</v>
      </c>
      <c r="G255">
        <v>-25.8119839060167</v>
      </c>
      <c r="I255" s="3">
        <v>1900.9166666666599</v>
      </c>
      <c r="J255" s="3">
        <v>0</v>
      </c>
      <c r="K255" s="3">
        <v>65.565964021495304</v>
      </c>
    </row>
    <row r="256" spans="1:11" ht="18" x14ac:dyDescent="0.25">
      <c r="A256" s="3">
        <v>1974</v>
      </c>
      <c r="B256" s="3">
        <f t="shared" si="12"/>
        <v>-74.729442970822276</v>
      </c>
      <c r="C256" s="3">
        <f t="shared" si="13"/>
        <v>-153.56189287140944</v>
      </c>
      <c r="D256" s="3">
        <f t="shared" si="14"/>
        <v>-74.729442970822276</v>
      </c>
      <c r="E256" s="3">
        <f t="shared" si="15"/>
        <v>-73.31385673677282</v>
      </c>
      <c r="F256" s="3">
        <v>-10</v>
      </c>
      <c r="G256">
        <v>-6.75865503116641</v>
      </c>
      <c r="I256" s="3">
        <v>1901</v>
      </c>
      <c r="J256" s="3">
        <v>0</v>
      </c>
      <c r="K256" s="3">
        <v>54.106632871791902</v>
      </c>
    </row>
    <row r="257" spans="1:11" ht="18" x14ac:dyDescent="0.25">
      <c r="A257" s="3">
        <v>1974.0833333333301</v>
      </c>
      <c r="B257" s="3">
        <f t="shared" si="12"/>
        <v>-50.729442970822276</v>
      </c>
      <c r="C257" s="3">
        <f t="shared" si="13"/>
        <v>-110.84132392241197</v>
      </c>
      <c r="D257" s="3">
        <f t="shared" si="14"/>
        <v>-50.729442970822276</v>
      </c>
      <c r="E257" s="3">
        <f t="shared" si="15"/>
        <v>-42.230655211908406</v>
      </c>
      <c r="F257" s="3">
        <v>14</v>
      </c>
      <c r="G257">
        <v>24.324546493698001</v>
      </c>
      <c r="I257" s="3">
        <v>1901.0833333333301</v>
      </c>
      <c r="J257" s="3">
        <v>0</v>
      </c>
      <c r="K257" s="3">
        <v>54.232602069932902</v>
      </c>
    </row>
    <row r="258" spans="1:11" ht="18" x14ac:dyDescent="0.25">
      <c r="A258" s="3">
        <v>1974.1666666666599</v>
      </c>
      <c r="B258" s="3">
        <f t="shared" si="12"/>
        <v>-35.729442970822276</v>
      </c>
      <c r="C258" s="3">
        <f t="shared" si="13"/>
        <v>-80.834690358413141</v>
      </c>
      <c r="D258" s="3">
        <f t="shared" si="14"/>
        <v>-35.729442970822276</v>
      </c>
      <c r="E258" s="3">
        <f t="shared" si="15"/>
        <v>-26.971944048015807</v>
      </c>
      <c r="F258" s="3">
        <v>29</v>
      </c>
      <c r="G258">
        <v>39.5832576575906</v>
      </c>
      <c r="I258" s="3">
        <v>1901.1666666666599</v>
      </c>
      <c r="J258" s="3">
        <v>0</v>
      </c>
      <c r="K258" s="3">
        <v>53.278592049341803</v>
      </c>
    </row>
    <row r="259" spans="1:11" ht="18" x14ac:dyDescent="0.25">
      <c r="A259" s="3">
        <v>1974.25</v>
      </c>
      <c r="B259" s="3">
        <f t="shared" si="12"/>
        <v>-33.729442970822276</v>
      </c>
      <c r="C259" s="3">
        <f t="shared" si="13"/>
        <v>-35.307326499675312</v>
      </c>
      <c r="D259" s="3">
        <f t="shared" si="14"/>
        <v>-33.729442970822276</v>
      </c>
      <c r="E259" s="3">
        <f t="shared" si="15"/>
        <v>-9.912493365505604</v>
      </c>
      <c r="F259" s="3">
        <v>31</v>
      </c>
      <c r="G259">
        <v>56.642708340100803</v>
      </c>
      <c r="I259" s="3">
        <v>1901.25</v>
      </c>
      <c r="J259" s="3">
        <v>0</v>
      </c>
      <c r="K259" s="3">
        <v>79.057395483119393</v>
      </c>
    </row>
    <row r="260" spans="1:11" ht="18" x14ac:dyDescent="0.25">
      <c r="A260" s="3">
        <v>1974.3333333333301</v>
      </c>
      <c r="B260" s="3">
        <f t="shared" si="12"/>
        <v>64.270557029177724</v>
      </c>
      <c r="C260" s="3">
        <f t="shared" si="13"/>
        <v>117.57370524418123</v>
      </c>
      <c r="D260" s="3">
        <f t="shared" si="14"/>
        <v>64.270557029177724</v>
      </c>
      <c r="E260" s="3">
        <f t="shared" si="15"/>
        <v>46.268300423885591</v>
      </c>
      <c r="F260" s="3">
        <v>129</v>
      </c>
      <c r="G260">
        <v>112.823502129492</v>
      </c>
      <c r="I260" s="3">
        <v>1901.3333333333301</v>
      </c>
      <c r="J260" s="3">
        <v>0</v>
      </c>
      <c r="K260" s="3">
        <v>150.49181966398899</v>
      </c>
    </row>
    <row r="261" spans="1:11" ht="18" x14ac:dyDescent="0.25">
      <c r="A261" s="3">
        <v>1974.4166666666599</v>
      </c>
      <c r="B261" s="3">
        <f t="shared" si="12"/>
        <v>160.27055702917772</v>
      </c>
      <c r="C261" s="3">
        <f t="shared" si="13"/>
        <v>191.37389895125679</v>
      </c>
      <c r="D261" s="3">
        <f t="shared" si="14"/>
        <v>160.27055702917772</v>
      </c>
      <c r="E261" s="3">
        <f t="shared" si="15"/>
        <v>117.7391841476996</v>
      </c>
      <c r="F261" s="3">
        <v>225</v>
      </c>
      <c r="G261">
        <v>184.29438585330601</v>
      </c>
      <c r="I261" s="3">
        <v>1901.4166666666599</v>
      </c>
      <c r="J261" s="3">
        <v>0</v>
      </c>
      <c r="K261" s="3">
        <v>218.78846682647699</v>
      </c>
    </row>
    <row r="262" spans="1:11" ht="18" x14ac:dyDescent="0.25">
      <c r="A262" s="3">
        <v>1974.5</v>
      </c>
      <c r="B262" s="3">
        <f t="shared" ref="B262:B325" si="16">+$D262</f>
        <v>217.27055702917772</v>
      </c>
      <c r="C262" s="3">
        <f t="shared" ref="C262:C325" si="17">$B$1*$E262/(1+$B$3*ABS($E262)^$B$2)</f>
        <v>221.21473563840348</v>
      </c>
      <c r="D262" s="3">
        <f t="shared" ref="D262:D325" si="18">+F262-$F$3</f>
        <v>217.27055702917772</v>
      </c>
      <c r="E262" s="3">
        <f t="shared" ref="E262:E325" si="19">+$G262-$G$3</f>
        <v>176.2476249263816</v>
      </c>
      <c r="F262" s="3">
        <v>282</v>
      </c>
      <c r="G262">
        <v>242.80282663198801</v>
      </c>
      <c r="I262" s="3">
        <v>1901.5</v>
      </c>
      <c r="J262" s="3">
        <v>0</v>
      </c>
      <c r="K262" s="3">
        <v>251.33862642899001</v>
      </c>
    </row>
    <row r="263" spans="1:11" ht="18" x14ac:dyDescent="0.25">
      <c r="A263" s="3">
        <v>1974.5833333333301</v>
      </c>
      <c r="B263" s="3">
        <f t="shared" si="16"/>
        <v>224.27055702917772</v>
      </c>
      <c r="C263" s="3">
        <f t="shared" si="17"/>
        <v>229.68288337298921</v>
      </c>
      <c r="D263" s="3">
        <f t="shared" si="18"/>
        <v>224.27055702917772</v>
      </c>
      <c r="E263" s="3">
        <f t="shared" si="19"/>
        <v>199.71348008112557</v>
      </c>
      <c r="F263" s="3">
        <v>289</v>
      </c>
      <c r="G263">
        <v>266.26868178673197</v>
      </c>
      <c r="I263" s="3">
        <v>1901.5833333333301</v>
      </c>
      <c r="J263" s="3">
        <v>0</v>
      </c>
      <c r="K263" s="3">
        <v>240.62023445788299</v>
      </c>
    </row>
    <row r="264" spans="1:11" ht="18" x14ac:dyDescent="0.25">
      <c r="A264" s="3">
        <v>1974.6666666666599</v>
      </c>
      <c r="B264" s="3">
        <f t="shared" si="16"/>
        <v>233.27055702917772</v>
      </c>
      <c r="C264" s="3">
        <f t="shared" si="17"/>
        <v>222.29794093930911</v>
      </c>
      <c r="D264" s="3">
        <f t="shared" si="18"/>
        <v>233.27055702917772</v>
      </c>
      <c r="E264" s="3">
        <f t="shared" si="19"/>
        <v>179.02775368800059</v>
      </c>
      <c r="F264" s="3">
        <v>298</v>
      </c>
      <c r="G264">
        <v>245.58295539360699</v>
      </c>
      <c r="I264" s="3">
        <v>1901.6666666666599</v>
      </c>
      <c r="J264" s="3">
        <v>0</v>
      </c>
      <c r="K264" s="3">
        <v>199.22655241968701</v>
      </c>
    </row>
    <row r="265" spans="1:11" ht="18" x14ac:dyDescent="0.25">
      <c r="A265" s="3">
        <v>1974.75</v>
      </c>
      <c r="B265" s="3">
        <f t="shared" si="16"/>
        <v>233.27055702917772</v>
      </c>
      <c r="C265" s="3">
        <f t="shared" si="17"/>
        <v>216.29217112357551</v>
      </c>
      <c r="D265" s="3">
        <f t="shared" si="18"/>
        <v>233.27055702917772</v>
      </c>
      <c r="E265" s="3">
        <f t="shared" si="19"/>
        <v>164.32879816997058</v>
      </c>
      <c r="F265" s="3">
        <v>298</v>
      </c>
      <c r="G265">
        <v>230.88399987557699</v>
      </c>
      <c r="I265" s="3">
        <v>1901.75</v>
      </c>
      <c r="J265" s="3">
        <v>0</v>
      </c>
      <c r="K265" s="3">
        <v>181.68044160424699</v>
      </c>
    </row>
    <row r="266" spans="1:11" ht="18" x14ac:dyDescent="0.25">
      <c r="A266" s="3">
        <v>1974.8333333333301</v>
      </c>
      <c r="B266" s="3">
        <f t="shared" si="16"/>
        <v>227.27055702917772</v>
      </c>
      <c r="C266" s="3">
        <f t="shared" si="17"/>
        <v>219.62154909088059</v>
      </c>
      <c r="D266" s="3">
        <f t="shared" si="18"/>
        <v>227.27055702917772</v>
      </c>
      <c r="E266" s="3">
        <f t="shared" si="19"/>
        <v>172.2651027815526</v>
      </c>
      <c r="F266" s="3">
        <v>292</v>
      </c>
      <c r="G266">
        <v>238.82030448715901</v>
      </c>
      <c r="I266" s="3">
        <v>1901.8333333333301</v>
      </c>
      <c r="J266" s="3">
        <v>0</v>
      </c>
      <c r="K266" s="3">
        <v>187.11354891928099</v>
      </c>
    </row>
    <row r="267" spans="1:11" ht="18" x14ac:dyDescent="0.25">
      <c r="A267" s="3">
        <v>1974.9166666666599</v>
      </c>
      <c r="B267" s="3">
        <f t="shared" si="16"/>
        <v>227.27055702917772</v>
      </c>
      <c r="C267" s="3">
        <f t="shared" si="17"/>
        <v>214.3062436078537</v>
      </c>
      <c r="D267" s="3">
        <f t="shared" si="18"/>
        <v>227.27055702917772</v>
      </c>
      <c r="E267" s="3">
        <f t="shared" si="19"/>
        <v>159.8277503594546</v>
      </c>
      <c r="F267" s="3">
        <v>292</v>
      </c>
      <c r="G267">
        <v>226.382952065061</v>
      </c>
      <c r="I267" s="3">
        <v>1901.9166666666599</v>
      </c>
      <c r="J267" s="3">
        <v>0</v>
      </c>
      <c r="K267" s="3">
        <v>164.64690026088999</v>
      </c>
    </row>
    <row r="268" spans="1:11" ht="18" x14ac:dyDescent="0.25">
      <c r="A268" s="3">
        <v>1975</v>
      </c>
      <c r="B268" s="3">
        <f t="shared" si="16"/>
        <v>235.27055702917772</v>
      </c>
      <c r="C268" s="3">
        <f t="shared" si="17"/>
        <v>197.35510447801116</v>
      </c>
      <c r="D268" s="3">
        <f t="shared" si="18"/>
        <v>235.27055702917772</v>
      </c>
      <c r="E268" s="3">
        <f t="shared" si="19"/>
        <v>127.2282208105886</v>
      </c>
      <c r="F268" s="3">
        <v>300</v>
      </c>
      <c r="G268">
        <v>193.783422516195</v>
      </c>
      <c r="I268" s="3">
        <v>1902</v>
      </c>
      <c r="J268" s="3">
        <v>0</v>
      </c>
      <c r="K268" s="3">
        <v>122.35875609101301</v>
      </c>
    </row>
    <row r="269" spans="1:11" ht="18" x14ac:dyDescent="0.25">
      <c r="A269" s="3">
        <v>1975.0833333333301</v>
      </c>
      <c r="B269" s="3">
        <f t="shared" si="16"/>
        <v>235.27055702917772</v>
      </c>
      <c r="C269" s="3">
        <f t="shared" si="17"/>
        <v>166.6830674216188</v>
      </c>
      <c r="D269" s="3">
        <f t="shared" si="18"/>
        <v>235.27055702917772</v>
      </c>
      <c r="E269" s="3">
        <f t="shared" si="19"/>
        <v>86.285030839860582</v>
      </c>
      <c r="F269" s="3">
        <v>300</v>
      </c>
      <c r="G269">
        <v>152.84023254546699</v>
      </c>
      <c r="I269" s="3">
        <v>1902.0833333333301</v>
      </c>
      <c r="J269" s="3">
        <v>0</v>
      </c>
      <c r="K269" s="3">
        <v>76.761896508016207</v>
      </c>
    </row>
    <row r="270" spans="1:11" ht="18" x14ac:dyDescent="0.25">
      <c r="A270" s="3">
        <v>1975.1666666666599</v>
      </c>
      <c r="B270" s="3">
        <f t="shared" si="16"/>
        <v>175.27055702917772</v>
      </c>
      <c r="C270" s="3">
        <f t="shared" si="17"/>
        <v>101.55837645726835</v>
      </c>
      <c r="D270" s="3">
        <f t="shared" si="18"/>
        <v>175.27055702917772</v>
      </c>
      <c r="E270" s="3">
        <f t="shared" si="19"/>
        <v>37.067141386580587</v>
      </c>
      <c r="F270" s="3">
        <v>240</v>
      </c>
      <c r="G270">
        <v>103.62234309218699</v>
      </c>
      <c r="I270" s="3">
        <v>1902.1666666666599</v>
      </c>
      <c r="J270" s="3">
        <v>0</v>
      </c>
      <c r="K270" s="3">
        <v>26.354993571951599</v>
      </c>
    </row>
    <row r="271" spans="1:11" ht="18" x14ac:dyDescent="0.25">
      <c r="A271" s="3">
        <v>1975.25</v>
      </c>
      <c r="B271" s="3">
        <f t="shared" si="16"/>
        <v>20.270557029177724</v>
      </c>
      <c r="C271" s="3">
        <f t="shared" si="17"/>
        <v>24.76759038844866</v>
      </c>
      <c r="D271" s="3">
        <f t="shared" si="18"/>
        <v>20.270557029177724</v>
      </c>
      <c r="E271" s="3">
        <f t="shared" si="19"/>
        <v>6.7072123845350973</v>
      </c>
      <c r="F271" s="3">
        <v>85</v>
      </c>
      <c r="G271">
        <v>73.262414090141505</v>
      </c>
      <c r="I271" s="3">
        <v>1902.25</v>
      </c>
      <c r="J271" s="3">
        <v>0</v>
      </c>
      <c r="K271" s="3">
        <v>-7.4880688373239703</v>
      </c>
    </row>
    <row r="272" spans="1:11" ht="18" x14ac:dyDescent="0.25">
      <c r="A272" s="3">
        <v>1975.3333333333301</v>
      </c>
      <c r="B272" s="3">
        <f t="shared" si="16"/>
        <v>-114.72944297082228</v>
      </c>
      <c r="C272" s="3">
        <f t="shared" si="17"/>
        <v>-51.583898475099026</v>
      </c>
      <c r="D272" s="3">
        <f t="shared" si="18"/>
        <v>-114.72944297082228</v>
      </c>
      <c r="E272" s="3">
        <f t="shared" si="19"/>
        <v>-15.352626608850308</v>
      </c>
      <c r="F272" s="3">
        <v>-50</v>
      </c>
      <c r="G272">
        <v>51.2025750967561</v>
      </c>
      <c r="I272" s="3">
        <v>1902.3333333333301</v>
      </c>
      <c r="J272" s="3">
        <v>0</v>
      </c>
      <c r="K272" s="3">
        <v>-32.371305139386401</v>
      </c>
    </row>
    <row r="273" spans="1:11" ht="18" x14ac:dyDescent="0.25">
      <c r="A273" s="3">
        <v>1975.4166666666599</v>
      </c>
      <c r="B273" s="3">
        <f t="shared" si="16"/>
        <v>-157.72944297082228</v>
      </c>
      <c r="C273" s="3">
        <f t="shared" si="17"/>
        <v>-138.4804093704204</v>
      </c>
      <c r="D273" s="3">
        <f t="shared" si="18"/>
        <v>-157.72944297082228</v>
      </c>
      <c r="E273" s="3">
        <f t="shared" si="19"/>
        <v>-60.691361730750707</v>
      </c>
      <c r="F273" s="3">
        <v>-93</v>
      </c>
      <c r="G273">
        <v>5.8638399748556997</v>
      </c>
      <c r="I273" s="3">
        <v>1902.4166666666599</v>
      </c>
      <c r="J273" s="3">
        <v>0</v>
      </c>
      <c r="K273" s="3">
        <v>-59.950847099509197</v>
      </c>
    </row>
    <row r="274" spans="1:11" ht="18" x14ac:dyDescent="0.25">
      <c r="A274" s="3">
        <v>1975.5</v>
      </c>
      <c r="B274" s="3">
        <f t="shared" si="16"/>
        <v>-234.72944297082228</v>
      </c>
      <c r="C274" s="3">
        <f t="shared" si="17"/>
        <v>-186.48617605146143</v>
      </c>
      <c r="D274" s="3">
        <f t="shared" si="18"/>
        <v>-234.72944297082228</v>
      </c>
      <c r="E274" s="3">
        <f t="shared" si="19"/>
        <v>-110.60517459168921</v>
      </c>
      <c r="F274" s="3">
        <v>-170</v>
      </c>
      <c r="G274">
        <v>-44.049972886082799</v>
      </c>
      <c r="I274" s="3">
        <v>1902.5</v>
      </c>
      <c r="J274" s="3">
        <v>0</v>
      </c>
      <c r="K274" s="3">
        <v>-65.688040625098296</v>
      </c>
    </row>
    <row r="275" spans="1:11" ht="18" x14ac:dyDescent="0.25">
      <c r="A275" s="3">
        <v>1975.5833333333301</v>
      </c>
      <c r="B275" s="3">
        <f t="shared" si="16"/>
        <v>-234.72944297082228</v>
      </c>
      <c r="C275" s="3">
        <f t="shared" si="17"/>
        <v>-210.86470829431067</v>
      </c>
      <c r="D275" s="3">
        <f t="shared" si="18"/>
        <v>-234.72944297082228</v>
      </c>
      <c r="E275" s="3">
        <f t="shared" si="19"/>
        <v>-152.40728061249422</v>
      </c>
      <c r="F275" s="3">
        <v>-170</v>
      </c>
      <c r="G275">
        <v>-85.852078906887797</v>
      </c>
      <c r="I275" s="3">
        <v>1902.5833333333301</v>
      </c>
      <c r="J275" s="3">
        <v>0</v>
      </c>
      <c r="K275" s="3">
        <v>-61.918894183691698</v>
      </c>
    </row>
    <row r="276" spans="1:11" ht="18" x14ac:dyDescent="0.25">
      <c r="A276" s="3">
        <v>1975.6666666666599</v>
      </c>
      <c r="B276" s="3">
        <f t="shared" si="16"/>
        <v>-217.72944297082228</v>
      </c>
      <c r="C276" s="3">
        <f t="shared" si="17"/>
        <v>-221.50041247977524</v>
      </c>
      <c r="D276" s="3">
        <f t="shared" si="18"/>
        <v>-217.72944297082228</v>
      </c>
      <c r="E276" s="3">
        <f t="shared" si="19"/>
        <v>-176.97503904215739</v>
      </c>
      <c r="F276" s="3">
        <v>-153</v>
      </c>
      <c r="G276">
        <v>-110.419837336551</v>
      </c>
      <c r="I276" s="3">
        <v>1902.6666666666599</v>
      </c>
      <c r="J276" s="3">
        <v>0</v>
      </c>
      <c r="K276" s="3">
        <v>-67.516637317984006</v>
      </c>
    </row>
    <row r="277" spans="1:11" ht="18" x14ac:dyDescent="0.25">
      <c r="A277" s="3">
        <v>1975.75</v>
      </c>
      <c r="B277" s="3">
        <f t="shared" si="16"/>
        <v>-216.72944297082228</v>
      </c>
      <c r="C277" s="3">
        <f t="shared" si="17"/>
        <v>-215.78553062820151</v>
      </c>
      <c r="D277" s="3">
        <f t="shared" si="18"/>
        <v>-216.72944297082228</v>
      </c>
      <c r="E277" s="3">
        <f t="shared" si="19"/>
        <v>-163.1645747715454</v>
      </c>
      <c r="F277" s="3">
        <v>-152</v>
      </c>
      <c r="G277">
        <v>-96.609373065938996</v>
      </c>
      <c r="I277" s="3">
        <v>1902.75</v>
      </c>
      <c r="J277" s="3">
        <v>0</v>
      </c>
      <c r="K277" s="3">
        <v>-69.742695298949997</v>
      </c>
    </row>
    <row r="278" spans="1:11" ht="18" x14ac:dyDescent="0.25">
      <c r="A278" s="3">
        <v>1975.8333333333301</v>
      </c>
      <c r="B278" s="3">
        <f t="shared" si="16"/>
        <v>-214.72944297082228</v>
      </c>
      <c r="C278" s="3">
        <f t="shared" si="17"/>
        <v>-208.32434101370387</v>
      </c>
      <c r="D278" s="3">
        <f t="shared" si="18"/>
        <v>-214.72944297082228</v>
      </c>
      <c r="E278" s="3">
        <f t="shared" si="19"/>
        <v>-147.2171682575746</v>
      </c>
      <c r="F278" s="3">
        <v>-150</v>
      </c>
      <c r="G278">
        <v>-80.661966551968206</v>
      </c>
      <c r="I278" s="3">
        <v>1902.8333333333301</v>
      </c>
      <c r="J278" s="3">
        <v>0</v>
      </c>
      <c r="K278" s="3">
        <v>-87.340415941651997</v>
      </c>
    </row>
    <row r="279" spans="1:11" ht="18" x14ac:dyDescent="0.25">
      <c r="A279" s="3">
        <v>1975.9166666666599</v>
      </c>
      <c r="B279" s="3">
        <f t="shared" si="16"/>
        <v>-214.72944297082228</v>
      </c>
      <c r="C279" s="3">
        <f t="shared" si="17"/>
        <v>-213.98968593005787</v>
      </c>
      <c r="D279" s="3">
        <f t="shared" si="18"/>
        <v>-214.72944297082228</v>
      </c>
      <c r="E279" s="3">
        <f t="shared" si="19"/>
        <v>-159.1255238659468</v>
      </c>
      <c r="F279" s="3">
        <v>-150</v>
      </c>
      <c r="G279">
        <v>-92.570322160340396</v>
      </c>
      <c r="I279" s="3">
        <v>1902.9166666666599</v>
      </c>
      <c r="J279" s="3">
        <v>0</v>
      </c>
      <c r="K279" s="3">
        <v>-121.30977150567</v>
      </c>
    </row>
    <row r="280" spans="1:11" ht="18" x14ac:dyDescent="0.25">
      <c r="A280" s="3">
        <v>1976</v>
      </c>
      <c r="B280" s="3">
        <f t="shared" si="16"/>
        <v>-214.72944297082228</v>
      </c>
      <c r="C280" s="3">
        <f t="shared" si="17"/>
        <v>-218.78956779055378</v>
      </c>
      <c r="D280" s="3">
        <f t="shared" si="18"/>
        <v>-214.72944297082228</v>
      </c>
      <c r="E280" s="3">
        <f t="shared" si="19"/>
        <v>-170.23407530259141</v>
      </c>
      <c r="F280" s="3">
        <v>-150</v>
      </c>
      <c r="G280">
        <v>-103.678873596985</v>
      </c>
      <c r="I280" s="3">
        <v>1903</v>
      </c>
      <c r="J280" s="3">
        <v>0</v>
      </c>
      <c r="K280" s="3">
        <v>-134.430295786865</v>
      </c>
    </row>
    <row r="281" spans="1:11" ht="18" x14ac:dyDescent="0.25">
      <c r="A281" s="3">
        <v>1976.0833333333301</v>
      </c>
      <c r="B281" s="3">
        <f t="shared" si="16"/>
        <v>-193.72944297082228</v>
      </c>
      <c r="C281" s="3">
        <f t="shared" si="17"/>
        <v>-223.06640967194977</v>
      </c>
      <c r="D281" s="3">
        <f t="shared" si="18"/>
        <v>-193.72944297082228</v>
      </c>
      <c r="E281" s="3">
        <f t="shared" si="19"/>
        <v>-181.03686481162242</v>
      </c>
      <c r="F281" s="3">
        <v>-129</v>
      </c>
      <c r="G281">
        <v>-114.481663106016</v>
      </c>
      <c r="I281" s="3">
        <v>1903.0833333333301</v>
      </c>
      <c r="J281" s="3">
        <v>0</v>
      </c>
      <c r="K281" s="3">
        <v>-134.62637506260299</v>
      </c>
    </row>
    <row r="282" spans="1:11" ht="18" x14ac:dyDescent="0.25">
      <c r="A282" s="3">
        <v>1976.1666666666599</v>
      </c>
      <c r="B282" s="3">
        <f t="shared" si="16"/>
        <v>-188.72944297082228</v>
      </c>
      <c r="C282" s="3">
        <f t="shared" si="17"/>
        <v>-228.26641226720443</v>
      </c>
      <c r="D282" s="3">
        <f t="shared" si="18"/>
        <v>-188.72944297082228</v>
      </c>
      <c r="E282" s="3">
        <f t="shared" si="19"/>
        <v>-195.4942003045274</v>
      </c>
      <c r="F282" s="3">
        <v>-124</v>
      </c>
      <c r="G282">
        <v>-128.93899859892099</v>
      </c>
      <c r="I282" s="3">
        <v>1903.1666666666599</v>
      </c>
      <c r="J282" s="3">
        <v>0</v>
      </c>
      <c r="K282" s="3">
        <v>-125.750975036299</v>
      </c>
    </row>
    <row r="283" spans="1:11" ht="18" x14ac:dyDescent="0.25">
      <c r="A283" s="3">
        <v>1976.25</v>
      </c>
      <c r="B283" s="3">
        <f t="shared" si="16"/>
        <v>-187.72944297082228</v>
      </c>
      <c r="C283" s="3">
        <f t="shared" si="17"/>
        <v>-224.12496824438355</v>
      </c>
      <c r="D283" s="3">
        <f t="shared" si="18"/>
        <v>-187.72944297082228</v>
      </c>
      <c r="E283" s="3">
        <f t="shared" si="19"/>
        <v>-183.85586414320341</v>
      </c>
      <c r="F283" s="3">
        <v>-123</v>
      </c>
      <c r="G283">
        <v>-117.300662437597</v>
      </c>
      <c r="I283" s="3">
        <v>1903.25</v>
      </c>
      <c r="J283" s="3">
        <v>0</v>
      </c>
      <c r="K283" s="3">
        <v>-78.620567336569394</v>
      </c>
    </row>
    <row r="284" spans="1:11" ht="18" x14ac:dyDescent="0.25">
      <c r="A284" s="3">
        <v>1976.3333333333301</v>
      </c>
      <c r="B284" s="3">
        <f t="shared" si="16"/>
        <v>-163.72944297082228</v>
      </c>
      <c r="C284" s="3">
        <f t="shared" si="17"/>
        <v>-203.78768798781823</v>
      </c>
      <c r="D284" s="3">
        <f t="shared" si="18"/>
        <v>-163.72944297082228</v>
      </c>
      <c r="E284" s="3">
        <f t="shared" si="19"/>
        <v>-138.5016917792889</v>
      </c>
      <c r="F284" s="3">
        <v>-99</v>
      </c>
      <c r="G284">
        <v>-71.946490073682497</v>
      </c>
      <c r="I284" s="3">
        <v>1903.3333333333301</v>
      </c>
      <c r="J284" s="3">
        <v>0</v>
      </c>
      <c r="K284" s="3">
        <v>3.2868568442166701</v>
      </c>
    </row>
    <row r="285" spans="1:11" ht="18" x14ac:dyDescent="0.25">
      <c r="A285" s="3">
        <v>1976.4166666666599</v>
      </c>
      <c r="B285" s="3">
        <f t="shared" si="16"/>
        <v>-94.729442970822276</v>
      </c>
      <c r="C285" s="3">
        <f t="shared" si="17"/>
        <v>-124.2080945464334</v>
      </c>
      <c r="D285" s="3">
        <f t="shared" si="18"/>
        <v>-94.729442970822276</v>
      </c>
      <c r="E285" s="3">
        <f t="shared" si="19"/>
        <v>-50.515568046283803</v>
      </c>
      <c r="F285" s="3">
        <v>-30</v>
      </c>
      <c r="G285">
        <v>16.0396336593226</v>
      </c>
      <c r="I285" s="3">
        <v>1903.4166666666599</v>
      </c>
      <c r="J285" s="3">
        <v>0</v>
      </c>
      <c r="K285" s="3">
        <v>109.781922681138</v>
      </c>
    </row>
    <row r="286" spans="1:11" ht="18" x14ac:dyDescent="0.25">
      <c r="A286" s="3">
        <v>1976.5</v>
      </c>
      <c r="B286" s="3">
        <f t="shared" si="16"/>
        <v>81.270557029177724</v>
      </c>
      <c r="C286" s="3">
        <f t="shared" si="17"/>
        <v>150.71678809981671</v>
      </c>
      <c r="D286" s="3">
        <f t="shared" si="18"/>
        <v>81.270557029177724</v>
      </c>
      <c r="E286" s="3">
        <f t="shared" si="19"/>
        <v>70.762889997214586</v>
      </c>
      <c r="F286" s="3">
        <v>146</v>
      </c>
      <c r="G286">
        <v>137.31809170282099</v>
      </c>
      <c r="I286" s="3">
        <v>1903.5</v>
      </c>
      <c r="J286" s="3">
        <v>0</v>
      </c>
      <c r="K286" s="3">
        <v>213.56644725779199</v>
      </c>
    </row>
    <row r="287" spans="1:11" ht="18" x14ac:dyDescent="0.25">
      <c r="A287" s="3">
        <v>1976.5833333333301</v>
      </c>
      <c r="B287" s="3">
        <f t="shared" si="16"/>
        <v>155.27055702917772</v>
      </c>
      <c r="C287" s="3">
        <f t="shared" si="17"/>
        <v>213.60755552731234</v>
      </c>
      <c r="D287" s="3">
        <f t="shared" si="18"/>
        <v>155.27055702917772</v>
      </c>
      <c r="E287" s="3">
        <f t="shared" si="19"/>
        <v>158.28328161470259</v>
      </c>
      <c r="F287" s="3">
        <v>220</v>
      </c>
      <c r="G287">
        <v>224.838483320309</v>
      </c>
      <c r="I287" s="3">
        <v>1903.5833333333301</v>
      </c>
      <c r="J287" s="3">
        <v>0</v>
      </c>
      <c r="K287" s="3">
        <v>258.29069860568302</v>
      </c>
    </row>
    <row r="288" spans="1:11" ht="18" x14ac:dyDescent="0.25">
      <c r="A288" s="3">
        <v>1976.6666666666599</v>
      </c>
      <c r="B288" s="3">
        <f t="shared" si="16"/>
        <v>155.27055702917772</v>
      </c>
      <c r="C288" s="3">
        <f t="shared" si="17"/>
        <v>227.33591722040228</v>
      </c>
      <c r="D288" s="3">
        <f t="shared" si="18"/>
        <v>155.27055702917772</v>
      </c>
      <c r="E288" s="3">
        <f t="shared" si="19"/>
        <v>192.79096075154257</v>
      </c>
      <c r="F288" s="3">
        <v>220</v>
      </c>
      <c r="G288">
        <v>259.34616245714898</v>
      </c>
      <c r="I288" s="3">
        <v>1903.6666666666599</v>
      </c>
      <c r="J288" s="3">
        <v>0</v>
      </c>
      <c r="K288" s="3">
        <v>263.28629833579902</v>
      </c>
    </row>
    <row r="289" spans="1:11" ht="18" x14ac:dyDescent="0.25">
      <c r="A289" s="3">
        <v>1976.75</v>
      </c>
      <c r="B289" s="3">
        <f t="shared" si="16"/>
        <v>183.27055702917772</v>
      </c>
      <c r="C289" s="3">
        <f t="shared" si="17"/>
        <v>231.76688207180024</v>
      </c>
      <c r="D289" s="3">
        <f t="shared" si="18"/>
        <v>183.27055702917772</v>
      </c>
      <c r="E289" s="3">
        <f t="shared" si="19"/>
        <v>206.16097891331157</v>
      </c>
      <c r="F289" s="3">
        <v>248</v>
      </c>
      <c r="G289">
        <v>272.71618061891797</v>
      </c>
      <c r="I289" s="3">
        <v>1903.75</v>
      </c>
      <c r="J289" s="3">
        <v>0</v>
      </c>
      <c r="K289" s="3">
        <v>285.31023551210501</v>
      </c>
    </row>
    <row r="290" spans="1:11" ht="18" x14ac:dyDescent="0.25">
      <c r="A290" s="3">
        <v>1976.8333333333301</v>
      </c>
      <c r="B290" s="3">
        <f t="shared" si="16"/>
        <v>165.27055702917772</v>
      </c>
      <c r="C290" s="3">
        <f t="shared" si="17"/>
        <v>228.49798659658336</v>
      </c>
      <c r="D290" s="3">
        <f t="shared" si="18"/>
        <v>165.27055702917772</v>
      </c>
      <c r="E290" s="3">
        <f t="shared" si="19"/>
        <v>196.17528982242561</v>
      </c>
      <c r="F290" s="3">
        <v>230</v>
      </c>
      <c r="G290">
        <v>262.73049152803202</v>
      </c>
      <c r="I290" s="3">
        <v>1903.8333333333301</v>
      </c>
      <c r="J290" s="3">
        <v>0</v>
      </c>
      <c r="K290" s="3">
        <v>317.17352785459502</v>
      </c>
    </row>
    <row r="291" spans="1:11" ht="18" x14ac:dyDescent="0.25">
      <c r="A291" s="3">
        <v>1976.9166666666599</v>
      </c>
      <c r="B291" s="3">
        <f t="shared" si="16"/>
        <v>192.27055702917772</v>
      </c>
      <c r="C291" s="3">
        <f t="shared" si="17"/>
        <v>219.61516124829814</v>
      </c>
      <c r="D291" s="3">
        <f t="shared" si="18"/>
        <v>192.27055702917772</v>
      </c>
      <c r="E291" s="3">
        <f t="shared" si="19"/>
        <v>172.24938352828659</v>
      </c>
      <c r="F291" s="3">
        <v>257</v>
      </c>
      <c r="G291">
        <v>238.80458523389299</v>
      </c>
      <c r="I291" s="3">
        <v>1903.9166666666599</v>
      </c>
      <c r="J291" s="3">
        <v>0</v>
      </c>
      <c r="K291" s="3">
        <v>345.38535204685002</v>
      </c>
    </row>
    <row r="292" spans="1:11" ht="18" x14ac:dyDescent="0.25">
      <c r="A292" s="3">
        <v>1977</v>
      </c>
      <c r="B292" s="3">
        <f t="shared" si="16"/>
        <v>192.27055702917772</v>
      </c>
      <c r="C292" s="3">
        <f t="shared" si="17"/>
        <v>208.81825896028008</v>
      </c>
      <c r="D292" s="3">
        <f t="shared" si="18"/>
        <v>192.27055702917772</v>
      </c>
      <c r="E292" s="3">
        <f t="shared" si="19"/>
        <v>148.20808385153259</v>
      </c>
      <c r="F292" s="3">
        <v>257</v>
      </c>
      <c r="G292">
        <v>214.763285557139</v>
      </c>
      <c r="I292" s="3">
        <v>1904</v>
      </c>
      <c r="J292" s="3">
        <v>0</v>
      </c>
      <c r="K292" s="3">
        <v>359.05219298940199</v>
      </c>
    </row>
    <row r="293" spans="1:11" ht="18" x14ac:dyDescent="0.25">
      <c r="A293" s="3">
        <v>1977.0833333333301</v>
      </c>
      <c r="B293" s="3">
        <f t="shared" si="16"/>
        <v>203.27055702917772</v>
      </c>
      <c r="C293" s="3">
        <f t="shared" si="17"/>
        <v>187.20585235565622</v>
      </c>
      <c r="D293" s="3">
        <f t="shared" si="18"/>
        <v>203.27055702917772</v>
      </c>
      <c r="E293" s="3">
        <f t="shared" si="19"/>
        <v>111.62320574052958</v>
      </c>
      <c r="F293" s="3">
        <v>268</v>
      </c>
      <c r="G293">
        <v>178.17840744613599</v>
      </c>
      <c r="I293" s="3">
        <v>1904.0833333333301</v>
      </c>
      <c r="J293" s="3">
        <v>0</v>
      </c>
      <c r="K293" s="3">
        <v>337.59352372655798</v>
      </c>
    </row>
    <row r="294" spans="1:11" ht="18" x14ac:dyDescent="0.25">
      <c r="A294" s="3">
        <v>1977.1666666666599</v>
      </c>
      <c r="B294" s="3">
        <f t="shared" si="16"/>
        <v>205.27055702917772</v>
      </c>
      <c r="C294" s="3">
        <f t="shared" si="17"/>
        <v>171.22336811689308</v>
      </c>
      <c r="D294" s="3">
        <f t="shared" si="18"/>
        <v>205.27055702917772</v>
      </c>
      <c r="E294" s="3">
        <f t="shared" si="19"/>
        <v>91.29789957622458</v>
      </c>
      <c r="F294" s="3">
        <v>270</v>
      </c>
      <c r="G294">
        <v>157.85310128183099</v>
      </c>
      <c r="I294" s="3">
        <v>1904.1666666666599</v>
      </c>
      <c r="J294" s="3">
        <v>0</v>
      </c>
      <c r="K294" s="3">
        <v>307.87327852923102</v>
      </c>
    </row>
    <row r="295" spans="1:11" ht="18" x14ac:dyDescent="0.25">
      <c r="A295" s="3">
        <v>1977.25</v>
      </c>
      <c r="B295" s="3">
        <f t="shared" si="16"/>
        <v>210.27055702917772</v>
      </c>
      <c r="C295" s="3">
        <f t="shared" si="17"/>
        <v>187.9643581414754</v>
      </c>
      <c r="D295" s="3">
        <f t="shared" si="18"/>
        <v>210.27055702917772</v>
      </c>
      <c r="E295" s="3">
        <f t="shared" si="19"/>
        <v>112.7079642316576</v>
      </c>
      <c r="F295" s="3">
        <v>275</v>
      </c>
      <c r="G295">
        <v>179.26316593726401</v>
      </c>
      <c r="I295" s="3">
        <v>1904.25</v>
      </c>
      <c r="J295" s="3">
        <v>0</v>
      </c>
      <c r="K295" s="3">
        <v>284.27447614256801</v>
      </c>
    </row>
    <row r="296" spans="1:11" ht="18" x14ac:dyDescent="0.25">
      <c r="A296" s="3">
        <v>1977.3333333333301</v>
      </c>
      <c r="B296" s="3">
        <f t="shared" si="16"/>
        <v>215.27055702917772</v>
      </c>
      <c r="C296" s="3">
        <f t="shared" si="17"/>
        <v>206.94373001517434</v>
      </c>
      <c r="D296" s="3">
        <f t="shared" si="18"/>
        <v>215.27055702917772</v>
      </c>
      <c r="E296" s="3">
        <f t="shared" si="19"/>
        <v>144.49232041458561</v>
      </c>
      <c r="F296" s="3">
        <v>280</v>
      </c>
      <c r="G296">
        <v>211.04752212019201</v>
      </c>
      <c r="I296" s="3">
        <v>1904.3333333333301</v>
      </c>
      <c r="J296" s="3">
        <v>0</v>
      </c>
      <c r="K296" s="3">
        <v>237.73277608651699</v>
      </c>
    </row>
    <row r="297" spans="1:11" ht="18" x14ac:dyDescent="0.25">
      <c r="A297" s="3">
        <v>1977.4166666666599</v>
      </c>
      <c r="B297" s="3">
        <f t="shared" si="16"/>
        <v>215.27055702917772</v>
      </c>
      <c r="C297" s="3">
        <f t="shared" si="17"/>
        <v>215.90525195871618</v>
      </c>
      <c r="D297" s="3">
        <f t="shared" si="18"/>
        <v>215.27055702917772</v>
      </c>
      <c r="E297" s="3">
        <f t="shared" si="19"/>
        <v>163.4386859423376</v>
      </c>
      <c r="F297" s="3">
        <v>280</v>
      </c>
      <c r="G297">
        <v>229.99388764794401</v>
      </c>
      <c r="I297" s="3">
        <v>1904.4166666666599</v>
      </c>
      <c r="J297" s="3">
        <v>0</v>
      </c>
      <c r="K297" s="3">
        <v>171.90833210666199</v>
      </c>
    </row>
    <row r="298" spans="1:11" ht="18" x14ac:dyDescent="0.25">
      <c r="A298" s="3">
        <v>1977.5</v>
      </c>
      <c r="B298" s="3">
        <f t="shared" si="16"/>
        <v>201.27055702917772</v>
      </c>
      <c r="C298" s="3">
        <f t="shared" si="17"/>
        <v>205.83175393526463</v>
      </c>
      <c r="D298" s="3">
        <f t="shared" si="18"/>
        <v>201.27055702917772</v>
      </c>
      <c r="E298" s="3">
        <f t="shared" si="19"/>
        <v>142.34460581889459</v>
      </c>
      <c r="F298" s="3">
        <v>266</v>
      </c>
      <c r="G298">
        <v>208.899807524501</v>
      </c>
      <c r="I298" s="3">
        <v>1904.5</v>
      </c>
      <c r="J298" s="3">
        <v>0</v>
      </c>
      <c r="K298" s="3">
        <v>89.952258182847402</v>
      </c>
    </row>
    <row r="299" spans="1:11" ht="18" x14ac:dyDescent="0.25">
      <c r="A299" s="3">
        <v>1977.5833333333301</v>
      </c>
      <c r="B299" s="3">
        <f t="shared" si="16"/>
        <v>75.270557029177724</v>
      </c>
      <c r="C299" s="3">
        <f t="shared" si="17"/>
        <v>145.68899966306199</v>
      </c>
      <c r="D299" s="3">
        <f t="shared" si="18"/>
        <v>75.270557029177724</v>
      </c>
      <c r="E299" s="3">
        <f t="shared" si="19"/>
        <v>66.455771128867582</v>
      </c>
      <c r="F299" s="3">
        <v>140</v>
      </c>
      <c r="G299">
        <v>133.01097283447399</v>
      </c>
      <c r="I299" s="3">
        <v>1904.5833333333301</v>
      </c>
      <c r="J299" s="3">
        <v>0</v>
      </c>
      <c r="K299" s="3">
        <v>-8.3779404118257297</v>
      </c>
    </row>
    <row r="300" spans="1:11" ht="18" x14ac:dyDescent="0.25">
      <c r="A300" s="3">
        <v>1977.6666666666599</v>
      </c>
      <c r="B300" s="3">
        <f t="shared" si="16"/>
        <v>26.270557029177724</v>
      </c>
      <c r="C300" s="3">
        <f t="shared" si="17"/>
        <v>-15.084444942510231</v>
      </c>
      <c r="D300" s="3">
        <f t="shared" si="18"/>
        <v>26.270557029177724</v>
      </c>
      <c r="E300" s="3">
        <f t="shared" si="19"/>
        <v>-3.9562332256209061</v>
      </c>
      <c r="F300" s="3">
        <v>91</v>
      </c>
      <c r="G300">
        <v>62.598968479985501</v>
      </c>
      <c r="I300" s="3">
        <v>1904.6666666666599</v>
      </c>
      <c r="J300" s="3">
        <v>0</v>
      </c>
      <c r="K300" s="3">
        <v>-78.008497636071496</v>
      </c>
    </row>
    <row r="301" spans="1:11" ht="18" x14ac:dyDescent="0.25">
      <c r="A301" s="3">
        <v>1977.75</v>
      </c>
      <c r="B301" s="3">
        <f t="shared" si="16"/>
        <v>-108.72944297082228</v>
      </c>
      <c r="C301" s="3">
        <f t="shared" si="17"/>
        <v>-97.76402232458102</v>
      </c>
      <c r="D301" s="3">
        <f t="shared" si="18"/>
        <v>-108.72944297082228</v>
      </c>
      <c r="E301" s="3">
        <f t="shared" si="19"/>
        <v>-35.07946751397391</v>
      </c>
      <c r="F301" s="3">
        <v>-44</v>
      </c>
      <c r="G301">
        <v>31.475734191632501</v>
      </c>
      <c r="I301" s="3">
        <v>1904.75</v>
      </c>
      <c r="J301" s="3">
        <v>0</v>
      </c>
      <c r="K301" s="3">
        <v>-114.67730815505701</v>
      </c>
    </row>
    <row r="302" spans="1:11" ht="18" x14ac:dyDescent="0.25">
      <c r="A302" s="3">
        <v>1977.8333333333301</v>
      </c>
      <c r="B302" s="3">
        <f t="shared" si="16"/>
        <v>-152.72944297082228</v>
      </c>
      <c r="C302" s="3">
        <f t="shared" si="17"/>
        <v>-136.63942527056182</v>
      </c>
      <c r="D302" s="3">
        <f t="shared" si="18"/>
        <v>-152.72944297082228</v>
      </c>
      <c r="E302" s="3">
        <f t="shared" si="19"/>
        <v>-59.290933573741746</v>
      </c>
      <c r="F302" s="3">
        <v>-88</v>
      </c>
      <c r="G302">
        <v>7.26426813186466</v>
      </c>
      <c r="I302" s="3">
        <v>1904.8333333333301</v>
      </c>
      <c r="J302" s="3">
        <v>0</v>
      </c>
      <c r="K302" s="3">
        <v>-157.032218625957</v>
      </c>
    </row>
    <row r="303" spans="1:11" ht="18" x14ac:dyDescent="0.25">
      <c r="A303" s="3">
        <v>1977.9166666666599</v>
      </c>
      <c r="B303" s="3">
        <f t="shared" si="16"/>
        <v>-184.72944297082228</v>
      </c>
      <c r="C303" s="3">
        <f t="shared" si="17"/>
        <v>-164.51310864276766</v>
      </c>
      <c r="D303" s="3">
        <f t="shared" si="18"/>
        <v>-184.72944297082228</v>
      </c>
      <c r="E303" s="3">
        <f t="shared" si="19"/>
        <v>-83.991059433087202</v>
      </c>
      <c r="F303" s="3">
        <v>-120</v>
      </c>
      <c r="G303">
        <v>-17.435857727480801</v>
      </c>
      <c r="I303" s="3">
        <v>1904.9166666666599</v>
      </c>
      <c r="J303" s="3">
        <v>0</v>
      </c>
      <c r="K303" s="3">
        <v>-199.26757830413101</v>
      </c>
    </row>
    <row r="304" spans="1:11" ht="18" x14ac:dyDescent="0.25">
      <c r="A304" s="3">
        <v>1978</v>
      </c>
      <c r="B304" s="3">
        <f t="shared" si="16"/>
        <v>-234.72944297082228</v>
      </c>
      <c r="C304" s="3">
        <f t="shared" si="17"/>
        <v>-188.01467003387626</v>
      </c>
      <c r="D304" s="3">
        <f t="shared" si="18"/>
        <v>-234.72944297082228</v>
      </c>
      <c r="E304" s="3">
        <f t="shared" si="19"/>
        <v>-112.78034970918321</v>
      </c>
      <c r="F304" s="3">
        <v>-170</v>
      </c>
      <c r="G304">
        <v>-46.225148003576798</v>
      </c>
      <c r="I304" s="3">
        <v>1905</v>
      </c>
      <c r="J304" s="3">
        <v>0</v>
      </c>
      <c r="K304" s="3">
        <v>-237.39020366787801</v>
      </c>
    </row>
    <row r="305" spans="1:11" ht="18" x14ac:dyDescent="0.25">
      <c r="A305" s="3">
        <v>1978.0833333333301</v>
      </c>
      <c r="B305" s="3">
        <f t="shared" si="16"/>
        <v>-234.72944297082228</v>
      </c>
      <c r="C305" s="3">
        <f t="shared" si="17"/>
        <v>-209.77879838375245</v>
      </c>
      <c r="D305" s="3">
        <f t="shared" si="18"/>
        <v>-234.72944297082228</v>
      </c>
      <c r="E305" s="3">
        <f t="shared" si="19"/>
        <v>-150.16004606851931</v>
      </c>
      <c r="F305" s="3">
        <v>-170</v>
      </c>
      <c r="G305">
        <v>-83.6048443629129</v>
      </c>
      <c r="I305" s="3">
        <v>1905.0833333333301</v>
      </c>
      <c r="J305" s="3">
        <v>0</v>
      </c>
      <c r="K305" s="3">
        <v>-275.37576992694102</v>
      </c>
    </row>
    <row r="306" spans="1:11" ht="18" x14ac:dyDescent="0.25">
      <c r="A306" s="3">
        <v>1978.1666666666599</v>
      </c>
      <c r="B306" s="3">
        <f t="shared" si="16"/>
        <v>-213.72944297082228</v>
      </c>
      <c r="C306" s="3">
        <f t="shared" si="17"/>
        <v>-220.38767403762657</v>
      </c>
      <c r="D306" s="3">
        <f t="shared" si="18"/>
        <v>-213.72944297082228</v>
      </c>
      <c r="E306" s="3">
        <f t="shared" si="19"/>
        <v>-174.16467020452239</v>
      </c>
      <c r="F306" s="3">
        <v>-149</v>
      </c>
      <c r="G306">
        <v>-107.609468498916</v>
      </c>
      <c r="I306" s="3">
        <v>1905.1666666666599</v>
      </c>
      <c r="J306" s="3">
        <v>0</v>
      </c>
      <c r="K306" s="3">
        <v>-293.65715504250198</v>
      </c>
    </row>
    <row r="307" spans="1:11" ht="18" x14ac:dyDescent="0.25">
      <c r="A307" s="3">
        <v>1978.25</v>
      </c>
      <c r="B307" s="3">
        <f t="shared" si="16"/>
        <v>-192.72944297082228</v>
      </c>
      <c r="C307" s="3">
        <f t="shared" si="17"/>
        <v>-228.88910628558276</v>
      </c>
      <c r="D307" s="3">
        <f t="shared" si="18"/>
        <v>-192.72944297082228</v>
      </c>
      <c r="E307" s="3">
        <f t="shared" si="19"/>
        <v>-197.33328517947442</v>
      </c>
      <c r="F307" s="3">
        <v>-128</v>
      </c>
      <c r="G307">
        <v>-130.77808347386801</v>
      </c>
      <c r="I307" s="3">
        <v>1905.25</v>
      </c>
      <c r="J307" s="3">
        <v>0</v>
      </c>
      <c r="K307" s="3">
        <v>-298.83291292811901</v>
      </c>
    </row>
    <row r="308" spans="1:11" ht="18" x14ac:dyDescent="0.25">
      <c r="A308" s="3">
        <v>1978.3333333333301</v>
      </c>
      <c r="B308" s="3">
        <f t="shared" si="16"/>
        <v>-179.72944297082228</v>
      </c>
      <c r="C308" s="3">
        <f t="shared" si="17"/>
        <v>-238.06601681792878</v>
      </c>
      <c r="D308" s="3">
        <f t="shared" si="18"/>
        <v>-179.72944297082228</v>
      </c>
      <c r="E308" s="3">
        <f t="shared" si="19"/>
        <v>-227.58724490451442</v>
      </c>
      <c r="F308" s="3">
        <v>-115</v>
      </c>
      <c r="G308">
        <v>-161.03204319890801</v>
      </c>
      <c r="I308" s="3">
        <v>1905.3333333333301</v>
      </c>
      <c r="J308" s="3">
        <v>0</v>
      </c>
      <c r="K308" s="3">
        <v>-281.51423854529003</v>
      </c>
    </row>
    <row r="309" spans="1:11" ht="18" x14ac:dyDescent="0.25">
      <c r="A309" s="3">
        <v>1978.4166666666599</v>
      </c>
      <c r="B309" s="3">
        <f t="shared" si="16"/>
        <v>-178.72944297082228</v>
      </c>
      <c r="C309" s="3">
        <f t="shared" si="17"/>
        <v>-237.51743025472865</v>
      </c>
      <c r="D309" s="3">
        <f t="shared" si="18"/>
        <v>-178.72944297082228</v>
      </c>
      <c r="E309" s="3">
        <f t="shared" si="19"/>
        <v>-225.59478659337341</v>
      </c>
      <c r="F309" s="3">
        <v>-114</v>
      </c>
      <c r="G309">
        <v>-159.03958488776701</v>
      </c>
      <c r="I309" s="3">
        <v>1905.4166666666599</v>
      </c>
      <c r="J309" s="3">
        <v>0</v>
      </c>
      <c r="K309" s="3">
        <v>-202.884668822973</v>
      </c>
    </row>
    <row r="310" spans="1:11" ht="18" x14ac:dyDescent="0.25">
      <c r="A310" s="3">
        <v>1978.5</v>
      </c>
      <c r="B310" s="3">
        <f t="shared" si="16"/>
        <v>-164.72944297082228</v>
      </c>
      <c r="C310" s="3">
        <f t="shared" si="17"/>
        <v>-228.82418093746438</v>
      </c>
      <c r="D310" s="3">
        <f t="shared" si="18"/>
        <v>-164.72944297082228</v>
      </c>
      <c r="E310" s="3">
        <f t="shared" si="19"/>
        <v>-197.14038919191842</v>
      </c>
      <c r="F310" s="3">
        <v>-100</v>
      </c>
      <c r="G310">
        <v>-130.58518748631201</v>
      </c>
      <c r="I310" s="3">
        <v>1905.5</v>
      </c>
      <c r="J310" s="3">
        <v>0</v>
      </c>
      <c r="K310" s="3">
        <v>-93.487236762706303</v>
      </c>
    </row>
    <row r="311" spans="1:11" ht="18" x14ac:dyDescent="0.25">
      <c r="A311" s="3">
        <v>1978.5833333333301</v>
      </c>
      <c r="B311" s="3">
        <f t="shared" si="16"/>
        <v>-149.72944297082228</v>
      </c>
      <c r="C311" s="3">
        <f t="shared" si="17"/>
        <v>-217.96769295606575</v>
      </c>
      <c r="D311" s="3">
        <f t="shared" si="18"/>
        <v>-149.72944297082228</v>
      </c>
      <c r="E311" s="3">
        <f t="shared" si="19"/>
        <v>-168.25950303088041</v>
      </c>
      <c r="F311" s="3">
        <v>-85</v>
      </c>
      <c r="G311">
        <v>-101.704301325274</v>
      </c>
      <c r="I311" s="3">
        <v>1905.5833333333301</v>
      </c>
      <c r="J311" s="3">
        <v>0</v>
      </c>
      <c r="K311" s="3">
        <v>1.1746003167077801</v>
      </c>
    </row>
    <row r="312" spans="1:11" ht="18" x14ac:dyDescent="0.25">
      <c r="A312" s="3">
        <v>1978.6666666666599</v>
      </c>
      <c r="B312" s="3">
        <f t="shared" si="16"/>
        <v>-149.72944297082228</v>
      </c>
      <c r="C312" s="3">
        <f t="shared" si="17"/>
        <v>-199.28378902194555</v>
      </c>
      <c r="D312" s="3">
        <f t="shared" si="18"/>
        <v>-149.72944297082228</v>
      </c>
      <c r="E312" s="3">
        <f t="shared" si="19"/>
        <v>-130.48466611763482</v>
      </c>
      <c r="F312" s="3">
        <v>-85</v>
      </c>
      <c r="G312">
        <v>-63.929464412028402</v>
      </c>
      <c r="I312" s="3">
        <v>1905.6666666666599</v>
      </c>
      <c r="J312" s="3">
        <v>0</v>
      </c>
      <c r="K312" s="3">
        <v>87.368513328386499</v>
      </c>
    </row>
    <row r="313" spans="1:11" ht="18" x14ac:dyDescent="0.25">
      <c r="A313" s="3">
        <v>1978.75</v>
      </c>
      <c r="B313" s="3">
        <f t="shared" si="16"/>
        <v>-139.72944297082228</v>
      </c>
      <c r="C313" s="3">
        <f t="shared" si="17"/>
        <v>-177.41408907492578</v>
      </c>
      <c r="D313" s="3">
        <f t="shared" si="18"/>
        <v>-139.72944297082228</v>
      </c>
      <c r="E313" s="3">
        <f t="shared" si="19"/>
        <v>-98.638970060284805</v>
      </c>
      <c r="F313" s="3">
        <v>-75</v>
      </c>
      <c r="G313">
        <v>-32.083768354678398</v>
      </c>
      <c r="I313" s="3">
        <v>1905.75</v>
      </c>
      <c r="J313" s="3">
        <v>0</v>
      </c>
      <c r="K313" s="3">
        <v>160.797542461566</v>
      </c>
    </row>
    <row r="314" spans="1:11" ht="18" x14ac:dyDescent="0.25">
      <c r="A314" s="3">
        <v>1978.8333333333301</v>
      </c>
      <c r="B314" s="3">
        <f t="shared" si="16"/>
        <v>-119.72944297082228</v>
      </c>
      <c r="C314" s="3">
        <f t="shared" si="17"/>
        <v>-156.89089308204339</v>
      </c>
      <c r="D314" s="3">
        <f t="shared" si="18"/>
        <v>-119.72944297082228</v>
      </c>
      <c r="E314" s="3">
        <f t="shared" si="19"/>
        <v>-76.410058255447709</v>
      </c>
      <c r="F314" s="3">
        <v>-55</v>
      </c>
      <c r="G314">
        <v>-9.8548565498412994</v>
      </c>
      <c r="I314" s="3">
        <v>1905.8333333333301</v>
      </c>
      <c r="J314" s="3">
        <v>0</v>
      </c>
      <c r="K314" s="3">
        <v>224.655630352739</v>
      </c>
    </row>
    <row r="315" spans="1:11" ht="18" x14ac:dyDescent="0.25">
      <c r="A315" s="3">
        <v>1978.9166666666599</v>
      </c>
      <c r="B315" s="3">
        <f t="shared" si="16"/>
        <v>-112.72944297082228</v>
      </c>
      <c r="C315" s="3">
        <f t="shared" si="17"/>
        <v>-106.74223381294431</v>
      </c>
      <c r="D315" s="3">
        <f t="shared" si="18"/>
        <v>-112.72944297082228</v>
      </c>
      <c r="E315" s="3">
        <f t="shared" si="19"/>
        <v>-39.895777102048307</v>
      </c>
      <c r="F315" s="3">
        <v>-48</v>
      </c>
      <c r="G315">
        <v>26.659424603558101</v>
      </c>
      <c r="I315" s="3">
        <v>1905.9166666666599</v>
      </c>
      <c r="J315" s="3">
        <v>0</v>
      </c>
      <c r="K315" s="3">
        <v>287.231365744708</v>
      </c>
    </row>
    <row r="316" spans="1:11" ht="18" x14ac:dyDescent="0.25">
      <c r="A316" s="3">
        <v>1979</v>
      </c>
      <c r="B316" s="3">
        <f t="shared" si="16"/>
        <v>-101.72944297082228</v>
      </c>
      <c r="C316" s="3">
        <f t="shared" si="17"/>
        <v>-25.567081953059738</v>
      </c>
      <c r="D316" s="3">
        <f t="shared" si="18"/>
        <v>-101.72944297082228</v>
      </c>
      <c r="E316" s="3">
        <f t="shared" si="19"/>
        <v>-6.942369845291509</v>
      </c>
      <c r="F316" s="3">
        <v>-37</v>
      </c>
      <c r="G316">
        <v>59.612831860314898</v>
      </c>
      <c r="I316" s="3">
        <v>1906</v>
      </c>
      <c r="J316" s="3">
        <v>0</v>
      </c>
      <c r="K316" s="3">
        <v>314.74921140293998</v>
      </c>
    </row>
    <row r="317" spans="1:11" ht="18" x14ac:dyDescent="0.25">
      <c r="A317" s="3">
        <v>1979.0833333333301</v>
      </c>
      <c r="B317" s="3">
        <f t="shared" si="16"/>
        <v>-101.72944297082228</v>
      </c>
      <c r="C317" s="3">
        <f t="shared" si="17"/>
        <v>50.084131960455544</v>
      </c>
      <c r="D317" s="3">
        <f t="shared" si="18"/>
        <v>-101.72944297082228</v>
      </c>
      <c r="E317" s="3">
        <f t="shared" si="19"/>
        <v>14.824154640165091</v>
      </c>
      <c r="F317" s="3">
        <v>-37</v>
      </c>
      <c r="G317">
        <v>81.379356345771498</v>
      </c>
      <c r="I317" s="3">
        <v>1906.0833333333301</v>
      </c>
      <c r="J317" s="3">
        <v>0</v>
      </c>
      <c r="K317" s="3">
        <v>309.83086780123102</v>
      </c>
    </row>
    <row r="318" spans="1:11" ht="18" x14ac:dyDescent="0.25">
      <c r="A318" s="3">
        <v>1979.1666666666599</v>
      </c>
      <c r="B318" s="3">
        <f t="shared" si="16"/>
        <v>-101.72944297082228</v>
      </c>
      <c r="C318" s="3">
        <f t="shared" si="17"/>
        <v>120.79702627379166</v>
      </c>
      <c r="D318" s="3">
        <f t="shared" si="18"/>
        <v>-101.72944297082228</v>
      </c>
      <c r="E318" s="3">
        <f t="shared" si="19"/>
        <v>48.296917442070594</v>
      </c>
      <c r="F318" s="3">
        <v>-37</v>
      </c>
      <c r="G318">
        <v>114.852119147677</v>
      </c>
      <c r="I318" s="3">
        <v>1906.1666666666599</v>
      </c>
      <c r="J318" s="3">
        <v>0</v>
      </c>
      <c r="K318" s="3">
        <v>314.43920719177299</v>
      </c>
    </row>
    <row r="319" spans="1:11" ht="18" x14ac:dyDescent="0.25">
      <c r="A319" s="3">
        <v>1979.25</v>
      </c>
      <c r="B319" s="3">
        <f t="shared" si="16"/>
        <v>10.270557029177724</v>
      </c>
      <c r="C319" s="3">
        <f t="shared" si="17"/>
        <v>170.92211959820963</v>
      </c>
      <c r="D319" s="3">
        <f t="shared" si="18"/>
        <v>10.270557029177724</v>
      </c>
      <c r="E319" s="3">
        <f t="shared" si="19"/>
        <v>90.955986523479595</v>
      </c>
      <c r="F319" s="3">
        <v>75</v>
      </c>
      <c r="G319">
        <v>157.511188229086</v>
      </c>
      <c r="I319" s="3">
        <v>1906.25</v>
      </c>
      <c r="J319" s="3">
        <v>0</v>
      </c>
      <c r="K319" s="3">
        <v>335.07653334057898</v>
      </c>
    </row>
    <row r="320" spans="1:11" ht="18" x14ac:dyDescent="0.25">
      <c r="A320" s="3">
        <v>1979.3333333333301</v>
      </c>
      <c r="B320" s="3">
        <f t="shared" si="16"/>
        <v>82.270557029177724</v>
      </c>
      <c r="C320" s="3">
        <f t="shared" si="17"/>
        <v>212.34450737162774</v>
      </c>
      <c r="D320" s="3">
        <f t="shared" si="18"/>
        <v>82.270557029177724</v>
      </c>
      <c r="E320" s="3">
        <f t="shared" si="19"/>
        <v>155.54106118615559</v>
      </c>
      <c r="F320" s="3">
        <v>147</v>
      </c>
      <c r="G320">
        <v>222.096262891762</v>
      </c>
      <c r="I320" s="3">
        <v>1906.3333333333301</v>
      </c>
      <c r="J320" s="3">
        <v>0</v>
      </c>
      <c r="K320" s="3">
        <v>379.91306149212897</v>
      </c>
    </row>
    <row r="321" spans="1:11" ht="18" x14ac:dyDescent="0.25">
      <c r="A321" s="3">
        <v>1979.4166666666599</v>
      </c>
      <c r="B321" s="3">
        <f t="shared" si="16"/>
        <v>171.27055702917772</v>
      </c>
      <c r="C321" s="3">
        <f t="shared" si="17"/>
        <v>241.20352019952961</v>
      </c>
      <c r="D321" s="3">
        <f t="shared" si="18"/>
        <v>171.27055702917772</v>
      </c>
      <c r="E321" s="3">
        <f t="shared" si="19"/>
        <v>239.50012611939161</v>
      </c>
      <c r="F321" s="3">
        <v>236</v>
      </c>
      <c r="G321">
        <v>306.05532782499802</v>
      </c>
      <c r="I321" s="3">
        <v>1906.4166666666599</v>
      </c>
      <c r="J321" s="3">
        <v>0</v>
      </c>
      <c r="K321" s="3">
        <v>433.86148540562601</v>
      </c>
    </row>
    <row r="322" spans="1:11" ht="18" x14ac:dyDescent="0.25">
      <c r="A322" s="3">
        <v>1979.5</v>
      </c>
      <c r="B322" s="3">
        <f t="shared" si="16"/>
        <v>191.27055702917772</v>
      </c>
      <c r="C322" s="3">
        <f t="shared" si="17"/>
        <v>250.05976663423937</v>
      </c>
      <c r="D322" s="3">
        <f t="shared" si="18"/>
        <v>191.27055702917772</v>
      </c>
      <c r="E322" s="3">
        <f t="shared" si="19"/>
        <v>278.70422959779557</v>
      </c>
      <c r="F322" s="3">
        <v>256</v>
      </c>
      <c r="G322">
        <v>345.25943130340198</v>
      </c>
      <c r="I322" s="3">
        <v>1906.5</v>
      </c>
      <c r="J322" s="3">
        <v>0</v>
      </c>
      <c r="K322" s="3">
        <v>434.00185781748399</v>
      </c>
    </row>
    <row r="323" spans="1:11" ht="18" x14ac:dyDescent="0.25">
      <c r="A323" s="3">
        <v>1979.5833333333301</v>
      </c>
      <c r="B323" s="3">
        <f t="shared" si="16"/>
        <v>199.27055702917772</v>
      </c>
      <c r="C323" s="3">
        <f t="shared" si="17"/>
        <v>246.48289700562546</v>
      </c>
      <c r="D323" s="3">
        <f t="shared" si="18"/>
        <v>199.27055702917772</v>
      </c>
      <c r="E323" s="3">
        <f t="shared" si="19"/>
        <v>261.76888368924358</v>
      </c>
      <c r="F323" s="3">
        <v>264</v>
      </c>
      <c r="G323">
        <v>328.32408539484999</v>
      </c>
      <c r="I323" s="3">
        <v>1906.5833333333301</v>
      </c>
      <c r="J323" s="3">
        <v>0</v>
      </c>
      <c r="K323" s="3">
        <v>379.36283544448298</v>
      </c>
    </row>
    <row r="324" spans="1:11" ht="18" x14ac:dyDescent="0.25">
      <c r="A324" s="3">
        <v>1979.6666666666599</v>
      </c>
      <c r="B324" s="3">
        <f t="shared" si="16"/>
        <v>209.27055702917772</v>
      </c>
      <c r="C324" s="3">
        <f t="shared" si="17"/>
        <v>240.54898300995441</v>
      </c>
      <c r="D324" s="3">
        <f t="shared" si="18"/>
        <v>209.27055702917772</v>
      </c>
      <c r="E324" s="3">
        <f t="shared" si="19"/>
        <v>236.93947553162758</v>
      </c>
      <c r="F324" s="3">
        <v>274</v>
      </c>
      <c r="G324">
        <v>303.49467723723399</v>
      </c>
      <c r="I324" s="3">
        <v>1906.6666666666599</v>
      </c>
      <c r="J324" s="3">
        <v>0</v>
      </c>
      <c r="K324" s="3">
        <v>310.83355232096199</v>
      </c>
    </row>
    <row r="325" spans="1:11" ht="18" x14ac:dyDescent="0.25">
      <c r="A325" s="3">
        <v>1979.75</v>
      </c>
      <c r="B325" s="3">
        <f t="shared" si="16"/>
        <v>215.27055702917772</v>
      </c>
      <c r="C325" s="3">
        <f t="shared" si="17"/>
        <v>236.47243864872573</v>
      </c>
      <c r="D325" s="3">
        <f t="shared" si="18"/>
        <v>215.27055702917772</v>
      </c>
      <c r="E325" s="3">
        <f t="shared" si="19"/>
        <v>221.86980578508758</v>
      </c>
      <c r="F325" s="3">
        <v>280</v>
      </c>
      <c r="G325">
        <v>288.42500749069399</v>
      </c>
      <c r="I325" s="3">
        <v>1906.75</v>
      </c>
      <c r="J325" s="3">
        <v>0</v>
      </c>
      <c r="K325" s="3">
        <v>230.45556066775401</v>
      </c>
    </row>
    <row r="326" spans="1:11" ht="18" x14ac:dyDescent="0.25">
      <c r="A326" s="3">
        <v>1979.8333333333301</v>
      </c>
      <c r="B326" s="3">
        <f t="shared" ref="B326:B389" si="20">+$D326</f>
        <v>209.27055702917772</v>
      </c>
      <c r="C326" s="3">
        <f t="shared" ref="C326:C389" si="21">$B$1*$E326/(1+$B$3*ABS($E326)^$B$2)</f>
        <v>236.65922159342691</v>
      </c>
      <c r="D326" s="3">
        <f t="shared" ref="D326:D389" si="22">+F326-$F$3</f>
        <v>209.27055702917772</v>
      </c>
      <c r="E326" s="3">
        <f t="shared" ref="E326:E389" si="23">+$G326-$G$3</f>
        <v>222.52894623182561</v>
      </c>
      <c r="F326" s="3">
        <v>274</v>
      </c>
      <c r="G326">
        <v>289.08414793743202</v>
      </c>
      <c r="I326" s="3">
        <v>1906.8333333333301</v>
      </c>
      <c r="J326" s="3">
        <v>0</v>
      </c>
      <c r="K326" s="3">
        <v>143.159654882117</v>
      </c>
    </row>
    <row r="327" spans="1:11" ht="18" x14ac:dyDescent="0.25">
      <c r="A327" s="3">
        <v>1979.9166666666599</v>
      </c>
      <c r="B327" s="3">
        <f t="shared" si="20"/>
        <v>206.27055702917772</v>
      </c>
      <c r="C327" s="3">
        <f t="shared" si="21"/>
        <v>235.19940432840914</v>
      </c>
      <c r="D327" s="3">
        <f t="shared" si="22"/>
        <v>206.27055702917772</v>
      </c>
      <c r="E327" s="3">
        <f t="shared" si="23"/>
        <v>217.45261463831457</v>
      </c>
      <c r="F327" s="3">
        <v>271</v>
      </c>
      <c r="G327">
        <v>284.00781634392098</v>
      </c>
      <c r="I327" s="3">
        <v>1906.9166666666599</v>
      </c>
      <c r="J327" s="3">
        <v>0</v>
      </c>
      <c r="K327" s="3">
        <v>45.7296390708064</v>
      </c>
    </row>
    <row r="328" spans="1:11" ht="18" x14ac:dyDescent="0.25">
      <c r="A328" s="3">
        <v>1980</v>
      </c>
      <c r="B328" s="3">
        <f t="shared" si="20"/>
        <v>90.270557029177724</v>
      </c>
      <c r="C328" s="3">
        <f t="shared" si="21"/>
        <v>217.9413931251112</v>
      </c>
      <c r="D328" s="3">
        <f t="shared" si="22"/>
        <v>90.270557029177724</v>
      </c>
      <c r="E328" s="3">
        <f t="shared" si="23"/>
        <v>168.19683031611359</v>
      </c>
      <c r="F328" s="3">
        <v>155</v>
      </c>
      <c r="G328">
        <v>234.75203202172</v>
      </c>
      <c r="I328" s="3">
        <v>1907</v>
      </c>
      <c r="J328" s="3">
        <v>0</v>
      </c>
      <c r="K328" s="3">
        <v>-68.419202617470006</v>
      </c>
    </row>
    <row r="329" spans="1:11" ht="18" x14ac:dyDescent="0.25">
      <c r="A329" s="3">
        <v>1980.0833333333301</v>
      </c>
      <c r="B329" s="3">
        <f t="shared" si="20"/>
        <v>-91.729442970822276</v>
      </c>
      <c r="C329" s="3">
        <f t="shared" si="21"/>
        <v>179.56065635613868</v>
      </c>
      <c r="D329" s="3">
        <f t="shared" si="22"/>
        <v>-91.729442970822276</v>
      </c>
      <c r="E329" s="3">
        <f t="shared" si="23"/>
        <v>101.33301413526459</v>
      </c>
      <c r="F329" s="3">
        <v>-27</v>
      </c>
      <c r="G329">
        <v>167.888215840871</v>
      </c>
      <c r="I329" s="3">
        <v>1907.0833333333301</v>
      </c>
      <c r="J329" s="3">
        <v>0</v>
      </c>
      <c r="K329" s="3">
        <v>-156.18716451411399</v>
      </c>
    </row>
    <row r="330" spans="1:11" ht="18" x14ac:dyDescent="0.25">
      <c r="A330" s="3">
        <v>1980.1666666666599</v>
      </c>
      <c r="B330" s="3">
        <f t="shared" si="20"/>
        <v>-98.729442970822276</v>
      </c>
      <c r="C330" s="3">
        <f t="shared" si="21"/>
        <v>111.81266485589609</v>
      </c>
      <c r="D330" s="3">
        <f t="shared" si="22"/>
        <v>-98.729442970822276</v>
      </c>
      <c r="E330" s="3">
        <f t="shared" si="23"/>
        <v>42.797263337103587</v>
      </c>
      <c r="F330" s="3">
        <v>-34</v>
      </c>
      <c r="G330">
        <v>109.35246504270999</v>
      </c>
      <c r="I330" s="3">
        <v>1907.1666666666599</v>
      </c>
      <c r="J330" s="3">
        <v>0</v>
      </c>
      <c r="K330" s="3">
        <v>-206.42373217226501</v>
      </c>
    </row>
    <row r="331" spans="1:11" ht="18" x14ac:dyDescent="0.25">
      <c r="A331" s="3">
        <v>1980.25</v>
      </c>
      <c r="B331" s="3">
        <f t="shared" si="20"/>
        <v>-158.72944297082228</v>
      </c>
      <c r="C331" s="3">
        <f t="shared" si="21"/>
        <v>-74.837964897017301</v>
      </c>
      <c r="D331" s="3">
        <f t="shared" si="22"/>
        <v>-158.72944297082228</v>
      </c>
      <c r="E331" s="3">
        <f t="shared" si="23"/>
        <v>-24.366076901494104</v>
      </c>
      <c r="F331" s="3">
        <v>-94</v>
      </c>
      <c r="G331">
        <v>42.189124804112303</v>
      </c>
      <c r="I331" s="3">
        <v>1907.25</v>
      </c>
      <c r="J331" s="3">
        <v>0</v>
      </c>
      <c r="K331" s="3">
        <v>-252.83774358974199</v>
      </c>
    </row>
    <row r="332" spans="1:11" ht="18" x14ac:dyDescent="0.25">
      <c r="A332" s="3">
        <v>1980.3333333333301</v>
      </c>
      <c r="B332" s="3">
        <f t="shared" si="20"/>
        <v>-181.72944297082228</v>
      </c>
      <c r="C332" s="3">
        <f t="shared" si="21"/>
        <v>-165.04773134976958</v>
      </c>
      <c r="D332" s="3">
        <f t="shared" si="22"/>
        <v>-181.72944297082228</v>
      </c>
      <c r="E332" s="3">
        <f t="shared" si="23"/>
        <v>-84.550360758092111</v>
      </c>
      <c r="F332" s="3">
        <v>-117</v>
      </c>
      <c r="G332">
        <v>-17.9951590524857</v>
      </c>
      <c r="I332" s="3">
        <v>1907.3333333333301</v>
      </c>
      <c r="J332" s="3">
        <v>0</v>
      </c>
      <c r="K332" s="3">
        <v>-282.24788941082198</v>
      </c>
    </row>
    <row r="333" spans="1:11" ht="18" x14ac:dyDescent="0.25">
      <c r="A333" s="3">
        <v>1980.4166666666599</v>
      </c>
      <c r="B333" s="3">
        <f t="shared" si="20"/>
        <v>-188.72944297082228</v>
      </c>
      <c r="C333" s="3">
        <f t="shared" si="21"/>
        <v>-198.93732753976698</v>
      </c>
      <c r="D333" s="3">
        <f t="shared" si="22"/>
        <v>-188.72944297082228</v>
      </c>
      <c r="E333" s="3">
        <f t="shared" si="23"/>
        <v>-129.89219221659161</v>
      </c>
      <c r="F333" s="3">
        <v>-124</v>
      </c>
      <c r="G333">
        <v>-63.336990510985203</v>
      </c>
      <c r="I333" s="3">
        <v>1907.4166666666599</v>
      </c>
      <c r="J333" s="3">
        <v>0</v>
      </c>
      <c r="K333" s="3">
        <v>-286.31994122759301</v>
      </c>
    </row>
    <row r="334" spans="1:11" ht="18" x14ac:dyDescent="0.25">
      <c r="A334" s="3">
        <v>1980.5</v>
      </c>
      <c r="B334" s="3">
        <f t="shared" si="20"/>
        <v>-217.72944297082228</v>
      </c>
      <c r="C334" s="3">
        <f t="shared" si="21"/>
        <v>-220.44846955864665</v>
      </c>
      <c r="D334" s="3">
        <f t="shared" si="22"/>
        <v>-217.72944297082228</v>
      </c>
      <c r="E334" s="3">
        <f t="shared" si="23"/>
        <v>-174.3166325807484</v>
      </c>
      <c r="F334" s="3">
        <v>-153</v>
      </c>
      <c r="G334">
        <v>-107.761430875142</v>
      </c>
      <c r="I334" s="3">
        <v>1907.5</v>
      </c>
      <c r="J334" s="3">
        <v>0</v>
      </c>
      <c r="K334" s="3">
        <v>-282.18177032217</v>
      </c>
    </row>
    <row r="335" spans="1:11" ht="18" x14ac:dyDescent="0.25">
      <c r="A335" s="3">
        <v>1980.5833333333301</v>
      </c>
      <c r="B335" s="3">
        <f t="shared" si="20"/>
        <v>-217.72944297082228</v>
      </c>
      <c r="C335" s="3">
        <f t="shared" si="21"/>
        <v>-228.06161410327374</v>
      </c>
      <c r="D335" s="3">
        <f t="shared" si="22"/>
        <v>-217.72944297082228</v>
      </c>
      <c r="E335" s="3">
        <f t="shared" si="23"/>
        <v>-194.89464998500941</v>
      </c>
      <c r="F335" s="3">
        <v>-153</v>
      </c>
      <c r="G335">
        <v>-128.339448279403</v>
      </c>
      <c r="I335" s="3">
        <v>1907.5833333333301</v>
      </c>
      <c r="J335" s="3">
        <v>0</v>
      </c>
      <c r="K335" s="3">
        <v>-258.59017367250101</v>
      </c>
    </row>
    <row r="336" spans="1:11" ht="18" x14ac:dyDescent="0.25">
      <c r="A336" s="3">
        <v>1980.6666666666599</v>
      </c>
      <c r="B336" s="3">
        <f t="shared" si="20"/>
        <v>-215.72944297082228</v>
      </c>
      <c r="C336" s="3">
        <f t="shared" si="21"/>
        <v>-228.01744598148301</v>
      </c>
      <c r="D336" s="3">
        <f t="shared" si="22"/>
        <v>-215.72944297082228</v>
      </c>
      <c r="E336" s="3">
        <f t="shared" si="23"/>
        <v>-194.76568820473642</v>
      </c>
      <c r="F336" s="3">
        <v>-151</v>
      </c>
      <c r="G336">
        <v>-128.21048649913001</v>
      </c>
      <c r="I336" s="3">
        <v>1907.6666666666599</v>
      </c>
      <c r="J336" s="3">
        <v>0</v>
      </c>
      <c r="K336" s="3">
        <v>-224.20828592965699</v>
      </c>
    </row>
    <row r="337" spans="1:11" ht="18" x14ac:dyDescent="0.25">
      <c r="A337" s="3">
        <v>1980.75</v>
      </c>
      <c r="B337" s="3">
        <f t="shared" si="20"/>
        <v>-195.72944297082228</v>
      </c>
      <c r="C337" s="3">
        <f t="shared" si="21"/>
        <v>-231.82079942172092</v>
      </c>
      <c r="D337" s="3">
        <f t="shared" si="22"/>
        <v>-195.72944297082228</v>
      </c>
      <c r="E337" s="3">
        <f t="shared" si="23"/>
        <v>-206.33172754579741</v>
      </c>
      <c r="F337" s="3">
        <v>-131</v>
      </c>
      <c r="G337">
        <v>-139.776525840191</v>
      </c>
      <c r="I337" s="3">
        <v>1907.75</v>
      </c>
      <c r="J337" s="3">
        <v>0</v>
      </c>
      <c r="K337" s="3">
        <v>-190.683678823994</v>
      </c>
    </row>
    <row r="338" spans="1:11" ht="18" x14ac:dyDescent="0.25">
      <c r="A338" s="3">
        <v>1980.8333333333301</v>
      </c>
      <c r="B338" s="3">
        <f t="shared" si="20"/>
        <v>-189.72944297082228</v>
      </c>
      <c r="C338" s="3">
        <f t="shared" si="21"/>
        <v>-237.55338179320813</v>
      </c>
      <c r="D338" s="3">
        <f t="shared" si="22"/>
        <v>-189.72944297082228</v>
      </c>
      <c r="E338" s="3">
        <f t="shared" si="23"/>
        <v>-225.7245728381794</v>
      </c>
      <c r="F338" s="3">
        <v>-125</v>
      </c>
      <c r="G338">
        <v>-159.16937113257299</v>
      </c>
      <c r="I338" s="3">
        <v>1907.8333333333301</v>
      </c>
      <c r="J338" s="3">
        <v>0</v>
      </c>
      <c r="K338" s="3">
        <v>-132.58494629092399</v>
      </c>
    </row>
    <row r="339" spans="1:11" ht="18" x14ac:dyDescent="0.25">
      <c r="A339" s="3">
        <v>1980.9166666666599</v>
      </c>
      <c r="B339" s="3">
        <f t="shared" si="20"/>
        <v>-175.72944297082228</v>
      </c>
      <c r="C339" s="3">
        <f t="shared" si="21"/>
        <v>-245.71756306566769</v>
      </c>
      <c r="D339" s="3">
        <f t="shared" si="22"/>
        <v>-175.72944297082228</v>
      </c>
      <c r="E339" s="3">
        <f t="shared" si="23"/>
        <v>-258.35054276384341</v>
      </c>
      <c r="F339" s="3">
        <v>-111</v>
      </c>
      <c r="G339">
        <v>-191.795341058237</v>
      </c>
      <c r="I339" s="3">
        <v>1907.9166666666599</v>
      </c>
      <c r="J339" s="3">
        <v>0</v>
      </c>
      <c r="K339" s="3">
        <v>-62.235023135682503</v>
      </c>
    </row>
    <row r="340" spans="1:11" ht="18" x14ac:dyDescent="0.25">
      <c r="A340" s="3">
        <v>1981</v>
      </c>
      <c r="B340" s="3">
        <f t="shared" si="20"/>
        <v>-171.72944297082228</v>
      </c>
      <c r="C340" s="3">
        <f t="shared" si="21"/>
        <v>-254.7315006632725</v>
      </c>
      <c r="D340" s="3">
        <f t="shared" si="22"/>
        <v>-171.72944297082228</v>
      </c>
      <c r="E340" s="3">
        <f t="shared" si="23"/>
        <v>-303.52091701503537</v>
      </c>
      <c r="F340" s="3">
        <v>-107</v>
      </c>
      <c r="G340">
        <v>-236.96571530942899</v>
      </c>
      <c r="I340" s="3">
        <v>1908</v>
      </c>
      <c r="J340" s="3">
        <v>0</v>
      </c>
      <c r="K340" s="3">
        <v>-4.1414811468215103</v>
      </c>
    </row>
    <row r="341" spans="1:11" ht="18" x14ac:dyDescent="0.25">
      <c r="A341" s="3">
        <v>1981.0833333333301</v>
      </c>
      <c r="B341" s="3">
        <f t="shared" si="20"/>
        <v>-165.72944297082228</v>
      </c>
      <c r="C341" s="3">
        <f t="shared" si="21"/>
        <v>-258.39824533620646</v>
      </c>
      <c r="D341" s="3">
        <f t="shared" si="22"/>
        <v>-165.72944297082228</v>
      </c>
      <c r="E341" s="3">
        <f t="shared" si="23"/>
        <v>-325.53794475744542</v>
      </c>
      <c r="F341" s="3">
        <v>-101</v>
      </c>
      <c r="G341">
        <v>-258.98274305183901</v>
      </c>
      <c r="I341" s="3">
        <v>1908.0833333333301</v>
      </c>
      <c r="J341" s="3">
        <v>0</v>
      </c>
      <c r="K341" s="3">
        <v>52.067907243663697</v>
      </c>
    </row>
    <row r="342" spans="1:11" ht="18" x14ac:dyDescent="0.25">
      <c r="A342" s="3">
        <v>1981.1666666666599</v>
      </c>
      <c r="B342" s="3">
        <f t="shared" si="20"/>
        <v>-155.72944297082228</v>
      </c>
      <c r="C342" s="3">
        <f t="shared" si="21"/>
        <v>-258.61939609770144</v>
      </c>
      <c r="D342" s="3">
        <f t="shared" si="22"/>
        <v>-155.72944297082228</v>
      </c>
      <c r="E342" s="3">
        <f t="shared" si="23"/>
        <v>-326.94683294875341</v>
      </c>
      <c r="F342" s="3">
        <v>-91</v>
      </c>
      <c r="G342">
        <v>-260.391631243147</v>
      </c>
      <c r="I342" s="3">
        <v>1908.1666666666599</v>
      </c>
      <c r="J342" s="3">
        <v>0</v>
      </c>
      <c r="K342" s="3">
        <v>95.975191800500298</v>
      </c>
    </row>
    <row r="343" spans="1:11" ht="18" x14ac:dyDescent="0.25">
      <c r="A343" s="3">
        <v>1981.25</v>
      </c>
      <c r="B343" s="3">
        <f t="shared" si="20"/>
        <v>-143.72944297082228</v>
      </c>
      <c r="C343" s="3">
        <f t="shared" si="21"/>
        <v>-254.99992409966043</v>
      </c>
      <c r="D343" s="3">
        <f t="shared" si="22"/>
        <v>-143.72944297082228</v>
      </c>
      <c r="E343" s="3">
        <f t="shared" si="23"/>
        <v>-305.05136762946142</v>
      </c>
      <c r="F343" s="3">
        <v>-79</v>
      </c>
      <c r="G343">
        <v>-238.49616592385499</v>
      </c>
      <c r="I343" s="3">
        <v>1908.25</v>
      </c>
      <c r="J343" s="3">
        <v>0</v>
      </c>
      <c r="K343" s="3">
        <v>139.82984831357399</v>
      </c>
    </row>
    <row r="344" spans="1:11" ht="18" x14ac:dyDescent="0.25">
      <c r="A344" s="3">
        <v>1981.3333333333301</v>
      </c>
      <c r="B344" s="3">
        <f t="shared" si="20"/>
        <v>-124.72944297082228</v>
      </c>
      <c r="C344" s="3">
        <f t="shared" si="21"/>
        <v>-234.76544668819713</v>
      </c>
      <c r="D344" s="3">
        <f t="shared" si="22"/>
        <v>-124.72944297082228</v>
      </c>
      <c r="E344" s="3">
        <f t="shared" si="23"/>
        <v>-215.97620296085242</v>
      </c>
      <c r="F344" s="3">
        <v>-60</v>
      </c>
      <c r="G344">
        <v>-149.42100125524601</v>
      </c>
      <c r="I344" s="3">
        <v>1908.3333333333301</v>
      </c>
      <c r="J344" s="3">
        <v>0</v>
      </c>
      <c r="K344" s="3">
        <v>226.13059161191001</v>
      </c>
    </row>
    <row r="345" spans="1:11" ht="18" x14ac:dyDescent="0.25">
      <c r="A345" s="3">
        <v>1981.4166666666599</v>
      </c>
      <c r="B345" s="3">
        <f t="shared" si="20"/>
        <v>71.270557029177724</v>
      </c>
      <c r="C345" s="3">
        <f t="shared" si="21"/>
        <v>-158.47191966424114</v>
      </c>
      <c r="D345" s="3">
        <f t="shared" si="22"/>
        <v>71.270557029177724</v>
      </c>
      <c r="E345" s="3">
        <f t="shared" si="23"/>
        <v>-77.924575010875103</v>
      </c>
      <c r="F345" s="3">
        <v>136</v>
      </c>
      <c r="G345">
        <v>-11.3693733052687</v>
      </c>
      <c r="I345" s="3">
        <v>1908.4166666666599</v>
      </c>
      <c r="J345" s="3">
        <v>0</v>
      </c>
      <c r="K345" s="3">
        <v>325.04780795228601</v>
      </c>
    </row>
    <row r="346" spans="1:11" ht="18" x14ac:dyDescent="0.25">
      <c r="A346" s="3">
        <v>1981.5</v>
      </c>
      <c r="B346" s="3">
        <f t="shared" si="20"/>
        <v>176.27055702917772</v>
      </c>
      <c r="C346" s="3">
        <f t="shared" si="21"/>
        <v>128.73329070000543</v>
      </c>
      <c r="D346" s="3">
        <f t="shared" si="22"/>
        <v>176.27055702917772</v>
      </c>
      <c r="E346" s="3">
        <f t="shared" si="23"/>
        <v>53.579510565069597</v>
      </c>
      <c r="F346" s="3">
        <v>241</v>
      </c>
      <c r="G346">
        <v>120.134712270676</v>
      </c>
      <c r="I346" s="3">
        <v>1908.5</v>
      </c>
      <c r="J346" s="3">
        <v>0</v>
      </c>
      <c r="K346" s="3">
        <v>385.50262513104201</v>
      </c>
    </row>
    <row r="347" spans="1:11" ht="18" x14ac:dyDescent="0.25">
      <c r="A347" s="3">
        <v>1981.5833333333301</v>
      </c>
      <c r="B347" s="3">
        <f t="shared" si="20"/>
        <v>204.27055702917772</v>
      </c>
      <c r="C347" s="3">
        <f t="shared" si="21"/>
        <v>211.47351570372976</v>
      </c>
      <c r="D347" s="3">
        <f t="shared" si="22"/>
        <v>204.27055702917772</v>
      </c>
      <c r="E347" s="3">
        <f t="shared" si="23"/>
        <v>153.6864300151766</v>
      </c>
      <c r="F347" s="3">
        <v>269</v>
      </c>
      <c r="G347">
        <v>220.241631720783</v>
      </c>
      <c r="I347" s="3">
        <v>1908.5833333333301</v>
      </c>
      <c r="J347" s="3">
        <v>0</v>
      </c>
      <c r="K347" s="3">
        <v>401.89982020480699</v>
      </c>
    </row>
    <row r="348" spans="1:11" ht="18" x14ac:dyDescent="0.25">
      <c r="A348" s="3">
        <v>1981.6666666666599</v>
      </c>
      <c r="B348" s="3">
        <f t="shared" si="20"/>
        <v>213.27055702917772</v>
      </c>
      <c r="C348" s="3">
        <f t="shared" si="21"/>
        <v>231.74352850527239</v>
      </c>
      <c r="D348" s="3">
        <f t="shared" si="22"/>
        <v>213.27055702917772</v>
      </c>
      <c r="E348" s="3">
        <f t="shared" si="23"/>
        <v>206.08708452544857</v>
      </c>
      <c r="F348" s="3">
        <v>278</v>
      </c>
      <c r="G348">
        <v>272.64228623105498</v>
      </c>
      <c r="I348" s="3">
        <v>1908.6666666666599</v>
      </c>
      <c r="J348" s="3">
        <v>0</v>
      </c>
      <c r="K348" s="3">
        <v>379.05893783828799</v>
      </c>
    </row>
    <row r="349" spans="1:11" ht="18" x14ac:dyDescent="0.25">
      <c r="A349" s="3">
        <v>1981.75</v>
      </c>
      <c r="B349" s="3">
        <f t="shared" si="20"/>
        <v>216.27055702917772</v>
      </c>
      <c r="C349" s="3">
        <f t="shared" si="21"/>
        <v>240.77356797676762</v>
      </c>
      <c r="D349" s="3">
        <f t="shared" si="22"/>
        <v>216.27055702917772</v>
      </c>
      <c r="E349" s="3">
        <f t="shared" si="23"/>
        <v>237.81345692880461</v>
      </c>
      <c r="F349" s="3">
        <v>281</v>
      </c>
      <c r="G349">
        <v>304.36865863441102</v>
      </c>
      <c r="I349" s="3">
        <v>1908.75</v>
      </c>
      <c r="J349" s="3">
        <v>0</v>
      </c>
      <c r="K349" s="3">
        <v>352.72006983732803</v>
      </c>
    </row>
    <row r="350" spans="1:11" ht="18" x14ac:dyDescent="0.25">
      <c r="A350" s="3">
        <v>1981.8333333333301</v>
      </c>
      <c r="B350" s="3">
        <f t="shared" si="20"/>
        <v>224.27055702917772</v>
      </c>
      <c r="C350" s="3">
        <f t="shared" si="21"/>
        <v>251.24510231426677</v>
      </c>
      <c r="D350" s="3">
        <f t="shared" si="22"/>
        <v>224.27055702917772</v>
      </c>
      <c r="E350" s="3">
        <f t="shared" si="23"/>
        <v>284.69219163025161</v>
      </c>
      <c r="F350" s="3">
        <v>289</v>
      </c>
      <c r="G350">
        <v>351.24739333585802</v>
      </c>
      <c r="I350" s="3">
        <v>1908.8333333333301</v>
      </c>
      <c r="J350" s="3">
        <v>0</v>
      </c>
      <c r="K350" s="3">
        <v>345.56358500173098</v>
      </c>
    </row>
    <row r="351" spans="1:11" ht="18" x14ac:dyDescent="0.25">
      <c r="A351" s="3">
        <v>1981.9166666666599</v>
      </c>
      <c r="B351" s="3">
        <f t="shared" si="20"/>
        <v>230.27055702917772</v>
      </c>
      <c r="C351" s="3">
        <f t="shared" si="21"/>
        <v>256.69668754327643</v>
      </c>
      <c r="D351" s="3">
        <f t="shared" si="22"/>
        <v>230.27055702917772</v>
      </c>
      <c r="E351" s="3">
        <f t="shared" si="23"/>
        <v>315.01517744910257</v>
      </c>
      <c r="F351" s="3">
        <v>295</v>
      </c>
      <c r="G351">
        <v>381.57037915470897</v>
      </c>
      <c r="I351" s="3">
        <v>1908.9166666666599</v>
      </c>
      <c r="J351" s="3">
        <v>0</v>
      </c>
      <c r="K351" s="3">
        <v>316.39885224368697</v>
      </c>
    </row>
    <row r="352" spans="1:11" ht="18" x14ac:dyDescent="0.25">
      <c r="A352" s="3">
        <v>1982</v>
      </c>
      <c r="B352" s="3">
        <f t="shared" si="20"/>
        <v>237.27055702917772</v>
      </c>
      <c r="C352" s="3">
        <f t="shared" si="21"/>
        <v>256.88593240797354</v>
      </c>
      <c r="D352" s="3">
        <f t="shared" si="22"/>
        <v>237.27055702917772</v>
      </c>
      <c r="E352" s="3">
        <f t="shared" si="23"/>
        <v>316.15847643124459</v>
      </c>
      <c r="F352" s="3">
        <v>302</v>
      </c>
      <c r="G352">
        <v>382.713678136851</v>
      </c>
      <c r="I352" s="3">
        <v>1909</v>
      </c>
      <c r="J352" s="3">
        <v>0</v>
      </c>
      <c r="K352" s="3">
        <v>263.50498610424597</v>
      </c>
    </row>
    <row r="353" spans="1:11" ht="18" x14ac:dyDescent="0.25">
      <c r="A353" s="3">
        <v>1982.0833333333301</v>
      </c>
      <c r="B353" s="3">
        <f t="shared" si="20"/>
        <v>237.27055702917772</v>
      </c>
      <c r="C353" s="3">
        <f t="shared" si="21"/>
        <v>256.80654575081752</v>
      </c>
      <c r="D353" s="3">
        <f t="shared" si="22"/>
        <v>237.27055702917772</v>
      </c>
      <c r="E353" s="3">
        <f t="shared" si="23"/>
        <v>315.67806831573961</v>
      </c>
      <c r="F353" s="3">
        <v>302</v>
      </c>
      <c r="G353">
        <v>382.23327002134602</v>
      </c>
      <c r="I353" s="3">
        <v>1909.0833333333301</v>
      </c>
      <c r="J353" s="3">
        <v>0</v>
      </c>
      <c r="K353" s="3">
        <v>222.07186419020101</v>
      </c>
    </row>
    <row r="354" spans="1:11" ht="18" x14ac:dyDescent="0.25">
      <c r="A354" s="3">
        <v>1982.1666666666599</v>
      </c>
      <c r="B354" s="3">
        <f t="shared" si="20"/>
        <v>245.27055702917772</v>
      </c>
      <c r="C354" s="3">
        <f t="shared" si="21"/>
        <v>256.21514715593833</v>
      </c>
      <c r="D354" s="3">
        <f t="shared" si="22"/>
        <v>245.27055702917772</v>
      </c>
      <c r="E354" s="3">
        <f t="shared" si="23"/>
        <v>312.13551023913061</v>
      </c>
      <c r="F354" s="3">
        <v>310</v>
      </c>
      <c r="G354">
        <v>378.69071194473702</v>
      </c>
      <c r="I354" s="3">
        <v>1909.1666666666599</v>
      </c>
      <c r="J354" s="3">
        <v>0</v>
      </c>
      <c r="K354" s="3">
        <v>183.80671563540599</v>
      </c>
    </row>
    <row r="355" spans="1:11" ht="18" x14ac:dyDescent="0.25">
      <c r="A355" s="3">
        <v>1982.25</v>
      </c>
      <c r="B355" s="3">
        <f t="shared" si="20"/>
        <v>245.27055702917772</v>
      </c>
      <c r="C355" s="3">
        <f t="shared" si="21"/>
        <v>256.88575195548498</v>
      </c>
      <c r="D355" s="3">
        <f t="shared" si="22"/>
        <v>245.27055702917772</v>
      </c>
      <c r="E355" s="3">
        <f t="shared" si="23"/>
        <v>316.1573831027016</v>
      </c>
      <c r="F355" s="3">
        <v>310</v>
      </c>
      <c r="G355">
        <v>382.71258480830801</v>
      </c>
      <c r="I355" s="3">
        <v>1909.25</v>
      </c>
      <c r="J355" s="3">
        <v>0</v>
      </c>
      <c r="K355" s="3">
        <v>147.238350403147</v>
      </c>
    </row>
    <row r="356" spans="1:11" ht="18" x14ac:dyDescent="0.25">
      <c r="A356" s="3">
        <v>1982.3333333333301</v>
      </c>
      <c r="B356" s="3">
        <f t="shared" si="20"/>
        <v>245.27055702917772</v>
      </c>
      <c r="C356" s="3">
        <f t="shared" si="21"/>
        <v>258.73926735363244</v>
      </c>
      <c r="D356" s="3">
        <f t="shared" si="22"/>
        <v>245.27055702917772</v>
      </c>
      <c r="E356" s="3">
        <f t="shared" si="23"/>
        <v>327.71459125356358</v>
      </c>
      <c r="F356" s="3">
        <v>310</v>
      </c>
      <c r="G356">
        <v>394.26979295916999</v>
      </c>
      <c r="I356" s="3">
        <v>1909.3333333333301</v>
      </c>
      <c r="J356" s="3">
        <v>0</v>
      </c>
      <c r="K356" s="3">
        <v>109.020188694372</v>
      </c>
    </row>
    <row r="357" spans="1:11" ht="18" x14ac:dyDescent="0.25">
      <c r="A357" s="3">
        <v>1982.4166666666599</v>
      </c>
      <c r="B357" s="3">
        <f t="shared" si="20"/>
        <v>226.27055702917772</v>
      </c>
      <c r="C357" s="3">
        <f t="shared" si="21"/>
        <v>253.4648021580048</v>
      </c>
      <c r="D357" s="3">
        <f t="shared" si="22"/>
        <v>226.27055702917772</v>
      </c>
      <c r="E357" s="3">
        <f t="shared" si="23"/>
        <v>296.45957822603958</v>
      </c>
      <c r="F357" s="3">
        <v>291</v>
      </c>
      <c r="G357">
        <v>363.01477993164599</v>
      </c>
      <c r="I357" s="3">
        <v>1909.4166666666599</v>
      </c>
      <c r="J357" s="3">
        <v>0</v>
      </c>
      <c r="K357" s="3">
        <v>41.079220574258301</v>
      </c>
    </row>
    <row r="358" spans="1:11" ht="18" x14ac:dyDescent="0.25">
      <c r="A358" s="3">
        <v>1982.5</v>
      </c>
      <c r="B358" s="3">
        <f t="shared" si="20"/>
        <v>218.27055702917772</v>
      </c>
      <c r="C358" s="3">
        <f t="shared" si="21"/>
        <v>234.30134942164958</v>
      </c>
      <c r="D358" s="3">
        <f t="shared" si="22"/>
        <v>218.27055702917772</v>
      </c>
      <c r="E358" s="3">
        <f t="shared" si="23"/>
        <v>214.4133512888456</v>
      </c>
      <c r="F358" s="3">
        <v>283</v>
      </c>
      <c r="G358">
        <v>280.96855299445201</v>
      </c>
      <c r="I358" s="3">
        <v>1909.5</v>
      </c>
      <c r="J358" s="3">
        <v>0</v>
      </c>
      <c r="K358" s="3">
        <v>-36.343774331797</v>
      </c>
    </row>
    <row r="359" spans="1:11" ht="18" x14ac:dyDescent="0.25">
      <c r="A359" s="3">
        <v>1982.5833333333301</v>
      </c>
      <c r="B359" s="3">
        <f t="shared" si="20"/>
        <v>80.270557029177724</v>
      </c>
      <c r="C359" s="3">
        <f t="shared" si="21"/>
        <v>186.4520877800621</v>
      </c>
      <c r="D359" s="3">
        <f t="shared" si="22"/>
        <v>80.270557029177724</v>
      </c>
      <c r="E359" s="3">
        <f t="shared" si="23"/>
        <v>110.55722182842558</v>
      </c>
      <c r="F359" s="3">
        <v>145</v>
      </c>
      <c r="G359">
        <v>177.11242353403199</v>
      </c>
      <c r="I359" s="3">
        <v>1909.5833333333301</v>
      </c>
      <c r="J359" s="3">
        <v>0</v>
      </c>
      <c r="K359" s="3">
        <v>-94.812484540187597</v>
      </c>
    </row>
    <row r="360" spans="1:11" ht="18" x14ac:dyDescent="0.25">
      <c r="A360" s="3">
        <v>1982.6666666666599</v>
      </c>
      <c r="B360" s="3">
        <f t="shared" si="20"/>
        <v>-136.72944297082228</v>
      </c>
      <c r="C360" s="3">
        <f t="shared" si="21"/>
        <v>-4.8732427674480858</v>
      </c>
      <c r="D360" s="3">
        <f t="shared" si="22"/>
        <v>-136.72944297082228</v>
      </c>
      <c r="E360" s="3">
        <f t="shared" si="23"/>
        <v>-1.2370105468776131</v>
      </c>
      <c r="F360" s="3">
        <v>-72</v>
      </c>
      <c r="G360">
        <v>65.318191158728794</v>
      </c>
      <c r="I360" s="3">
        <v>1909.6666666666599</v>
      </c>
      <c r="J360" s="3">
        <v>0</v>
      </c>
      <c r="K360" s="3">
        <v>-139.472572361608</v>
      </c>
    </row>
    <row r="361" spans="1:11" ht="18" x14ac:dyDescent="0.25">
      <c r="A361" s="3">
        <v>1982.75</v>
      </c>
      <c r="B361" s="3">
        <f t="shared" si="20"/>
        <v>-183.72944297082228</v>
      </c>
      <c r="C361" s="3">
        <f t="shared" si="21"/>
        <v>-170.16865527461425</v>
      </c>
      <c r="D361" s="3">
        <f t="shared" si="22"/>
        <v>-183.72944297082228</v>
      </c>
      <c r="E361" s="3">
        <f t="shared" si="23"/>
        <v>-90.106740704441009</v>
      </c>
      <c r="F361" s="3">
        <v>-119</v>
      </c>
      <c r="G361">
        <v>-23.551538998834602</v>
      </c>
      <c r="I361" s="3">
        <v>1909.75</v>
      </c>
      <c r="J361" s="3">
        <v>0</v>
      </c>
      <c r="K361" s="3">
        <v>-155.30980492795001</v>
      </c>
    </row>
    <row r="362" spans="1:11" ht="18" x14ac:dyDescent="0.25">
      <c r="A362" s="3">
        <v>1982.8333333333301</v>
      </c>
      <c r="B362" s="3">
        <f t="shared" si="20"/>
        <v>-183.72944297082228</v>
      </c>
      <c r="C362" s="3">
        <f t="shared" si="21"/>
        <v>-212.87830979203531</v>
      </c>
      <c r="D362" s="3">
        <f t="shared" si="22"/>
        <v>-183.72944297082228</v>
      </c>
      <c r="E362" s="3">
        <f t="shared" si="23"/>
        <v>-156.69228764801721</v>
      </c>
      <c r="F362" s="3">
        <v>-119</v>
      </c>
      <c r="G362">
        <v>-90.137085942410806</v>
      </c>
      <c r="I362" s="3">
        <v>1909.8333333333301</v>
      </c>
      <c r="J362" s="3">
        <v>0</v>
      </c>
      <c r="K362" s="3">
        <v>-152.22675522556699</v>
      </c>
    </row>
    <row r="363" spans="1:11" ht="18" x14ac:dyDescent="0.25">
      <c r="A363" s="3">
        <v>1982.9166666666599</v>
      </c>
      <c r="B363" s="3">
        <f t="shared" si="20"/>
        <v>-201.72944297082228</v>
      </c>
      <c r="C363" s="3">
        <f t="shared" si="21"/>
        <v>-239.23588700157916</v>
      </c>
      <c r="D363" s="3">
        <f t="shared" si="22"/>
        <v>-201.72944297082228</v>
      </c>
      <c r="E363" s="3">
        <f t="shared" si="23"/>
        <v>-231.9240269092324</v>
      </c>
      <c r="F363" s="3">
        <v>-137</v>
      </c>
      <c r="G363">
        <v>-165.36882520362599</v>
      </c>
      <c r="I363" s="3">
        <v>1909.9166666666599</v>
      </c>
      <c r="J363" s="3">
        <v>0</v>
      </c>
      <c r="K363" s="3">
        <v>-164.84822546645401</v>
      </c>
    </row>
    <row r="364" spans="1:11" ht="18" x14ac:dyDescent="0.25">
      <c r="A364" s="3">
        <v>1983</v>
      </c>
      <c r="B364" s="3">
        <f t="shared" si="20"/>
        <v>-221.72944297082228</v>
      </c>
      <c r="C364" s="3">
        <f t="shared" si="21"/>
        <v>-252.37067235707477</v>
      </c>
      <c r="D364" s="3">
        <f t="shared" si="22"/>
        <v>-221.72944297082228</v>
      </c>
      <c r="E364" s="3">
        <f t="shared" si="23"/>
        <v>-290.5659531306494</v>
      </c>
      <c r="F364" s="3">
        <v>-157</v>
      </c>
      <c r="G364">
        <v>-224.010751425043</v>
      </c>
      <c r="I364" s="3">
        <v>1910</v>
      </c>
      <c r="J364" s="3">
        <v>0</v>
      </c>
      <c r="K364" s="3">
        <v>-179.51842655777401</v>
      </c>
    </row>
    <row r="365" spans="1:11" ht="18" x14ac:dyDescent="0.25">
      <c r="A365" s="3">
        <v>1983.0833333333301</v>
      </c>
      <c r="B365" s="3">
        <f t="shared" si="20"/>
        <v>-221.72944297082228</v>
      </c>
      <c r="C365" s="3">
        <f t="shared" si="21"/>
        <v>-257.43867005688412</v>
      </c>
      <c r="D365" s="3">
        <f t="shared" si="22"/>
        <v>-221.72944297082228</v>
      </c>
      <c r="E365" s="3">
        <f t="shared" si="23"/>
        <v>-319.53593058889737</v>
      </c>
      <c r="F365" s="3">
        <v>-157</v>
      </c>
      <c r="G365">
        <v>-252.98072888329099</v>
      </c>
      <c r="I365" s="3">
        <v>1910.0833333333301</v>
      </c>
      <c r="J365" s="3">
        <v>0</v>
      </c>
      <c r="K365" s="3">
        <v>-198.30027800614101</v>
      </c>
    </row>
    <row r="366" spans="1:11" ht="18" x14ac:dyDescent="0.25">
      <c r="A366" s="3">
        <v>1983.1666666666599</v>
      </c>
      <c r="B366" s="3">
        <f t="shared" si="20"/>
        <v>-215.72944297082228</v>
      </c>
      <c r="C366" s="3">
        <f t="shared" si="21"/>
        <v>-262.13805203178197</v>
      </c>
      <c r="D366" s="3">
        <f t="shared" si="22"/>
        <v>-215.72944297082228</v>
      </c>
      <c r="E366" s="3">
        <f t="shared" si="23"/>
        <v>-350.75503979732542</v>
      </c>
      <c r="F366" s="3">
        <v>-151</v>
      </c>
      <c r="G366">
        <v>-284.19983809171902</v>
      </c>
      <c r="I366" s="3">
        <v>1910.1666666666599</v>
      </c>
      <c r="J366" s="3">
        <v>0</v>
      </c>
      <c r="K366" s="3">
        <v>-240.764632648831</v>
      </c>
    </row>
    <row r="367" spans="1:11" ht="18" x14ac:dyDescent="0.25">
      <c r="A367" s="3">
        <v>1983.25</v>
      </c>
      <c r="B367" s="3">
        <f t="shared" si="20"/>
        <v>-198.72944297082228</v>
      </c>
      <c r="C367" s="3">
        <f t="shared" si="21"/>
        <v>-265.55427994806723</v>
      </c>
      <c r="D367" s="3">
        <f t="shared" si="22"/>
        <v>-198.72944297082228</v>
      </c>
      <c r="E367" s="3">
        <f t="shared" si="23"/>
        <v>-376.69165985178842</v>
      </c>
      <c r="F367" s="3">
        <v>-134</v>
      </c>
      <c r="G367">
        <v>-310.13645814618201</v>
      </c>
      <c r="I367" s="3">
        <v>1910.25</v>
      </c>
      <c r="J367" s="3">
        <v>0</v>
      </c>
      <c r="K367" s="3">
        <v>-264.79729097106298</v>
      </c>
    </row>
    <row r="368" spans="1:11" ht="18" x14ac:dyDescent="0.25">
      <c r="A368" s="3">
        <v>1983.3333333333301</v>
      </c>
      <c r="B368" s="3">
        <f t="shared" si="20"/>
        <v>-192.72944297082228</v>
      </c>
      <c r="C368" s="3">
        <f t="shared" si="21"/>
        <v>-266.37801974616514</v>
      </c>
      <c r="D368" s="3">
        <f t="shared" si="22"/>
        <v>-192.72944297082228</v>
      </c>
      <c r="E368" s="3">
        <f t="shared" si="23"/>
        <v>-383.41923015037042</v>
      </c>
      <c r="F368" s="3">
        <v>-128</v>
      </c>
      <c r="G368">
        <v>-316.86402844476402</v>
      </c>
      <c r="I368" s="3">
        <v>1910.3333333333301</v>
      </c>
      <c r="J368" s="3">
        <v>0</v>
      </c>
      <c r="K368" s="3">
        <v>-233.05444218400001</v>
      </c>
    </row>
    <row r="369" spans="1:11" ht="18" x14ac:dyDescent="0.25">
      <c r="A369" s="3">
        <v>1983.4166666666599</v>
      </c>
      <c r="B369" s="3">
        <f t="shared" si="20"/>
        <v>-172.72944297082228</v>
      </c>
      <c r="C369" s="3">
        <f t="shared" si="21"/>
        <v>-264.62860781447262</v>
      </c>
      <c r="D369" s="3">
        <f t="shared" si="22"/>
        <v>-172.72944297082228</v>
      </c>
      <c r="E369" s="3">
        <f t="shared" si="23"/>
        <v>-369.36065146684842</v>
      </c>
      <c r="F369" s="3">
        <v>-108</v>
      </c>
      <c r="G369">
        <v>-302.80544976124202</v>
      </c>
      <c r="I369" s="3">
        <v>1910.4166666666599</v>
      </c>
      <c r="J369" s="3">
        <v>0</v>
      </c>
      <c r="K369" s="3">
        <v>-147.01810635635101</v>
      </c>
    </row>
    <row r="370" spans="1:11" ht="18" x14ac:dyDescent="0.25">
      <c r="A370" s="3">
        <v>1983.5</v>
      </c>
      <c r="B370" s="3">
        <f t="shared" si="20"/>
        <v>-4.7294429708222765</v>
      </c>
      <c r="C370" s="3">
        <f t="shared" si="21"/>
        <v>-257.15376241665086</v>
      </c>
      <c r="D370" s="3">
        <f t="shared" si="22"/>
        <v>-4.7294429708222765</v>
      </c>
      <c r="E370" s="3">
        <f t="shared" si="23"/>
        <v>-317.78787818388241</v>
      </c>
      <c r="F370" s="3">
        <v>60</v>
      </c>
      <c r="G370">
        <v>-251.23267647827601</v>
      </c>
      <c r="I370" s="3">
        <v>1910.5</v>
      </c>
      <c r="J370" s="3">
        <v>0</v>
      </c>
      <c r="K370" s="3">
        <v>-20.2988014756111</v>
      </c>
    </row>
    <row r="371" spans="1:11" ht="18" x14ac:dyDescent="0.25">
      <c r="A371" s="3">
        <v>1983.5833333333301</v>
      </c>
      <c r="B371" s="3">
        <f t="shared" si="20"/>
        <v>87.270557029177724</v>
      </c>
      <c r="C371" s="3">
        <f t="shared" si="21"/>
        <v>-244.44050229162616</v>
      </c>
      <c r="D371" s="3">
        <f t="shared" si="22"/>
        <v>87.270557029177724</v>
      </c>
      <c r="E371" s="3">
        <f t="shared" si="23"/>
        <v>-252.79608195720141</v>
      </c>
      <c r="F371" s="3">
        <v>152</v>
      </c>
      <c r="G371">
        <v>-186.240880251595</v>
      </c>
      <c r="I371" s="3">
        <v>1910.5833333333301</v>
      </c>
      <c r="J371" s="3">
        <v>0</v>
      </c>
      <c r="K371" s="3">
        <v>90.455854169303393</v>
      </c>
    </row>
    <row r="372" spans="1:11" ht="18" x14ac:dyDescent="0.25">
      <c r="A372" s="3">
        <v>1983.6666666666599</v>
      </c>
      <c r="B372" s="3">
        <f t="shared" si="20"/>
        <v>112.27055702917772</v>
      </c>
      <c r="C372" s="3">
        <f t="shared" si="21"/>
        <v>-228.72870871295362</v>
      </c>
      <c r="D372" s="3">
        <f t="shared" si="22"/>
        <v>112.27055702917772</v>
      </c>
      <c r="E372" s="3">
        <f t="shared" si="23"/>
        <v>-196.85722299867942</v>
      </c>
      <c r="F372" s="3">
        <v>177</v>
      </c>
      <c r="G372">
        <v>-130.30202129307301</v>
      </c>
      <c r="I372" s="3">
        <v>1910.6666666666599</v>
      </c>
      <c r="J372" s="3">
        <v>0</v>
      </c>
      <c r="K372" s="3">
        <v>156.22809485958899</v>
      </c>
    </row>
    <row r="373" spans="1:11" ht="18" x14ac:dyDescent="0.25">
      <c r="A373" s="3">
        <v>1983.75</v>
      </c>
      <c r="B373" s="3">
        <f t="shared" si="20"/>
        <v>134.27055702917772</v>
      </c>
      <c r="C373" s="3">
        <f t="shared" si="21"/>
        <v>-191.28367156524047</v>
      </c>
      <c r="D373" s="3">
        <f t="shared" si="22"/>
        <v>134.27055702917772</v>
      </c>
      <c r="E373" s="3">
        <f t="shared" si="23"/>
        <v>-117.60267053228011</v>
      </c>
      <c r="F373" s="3">
        <v>199</v>
      </c>
      <c r="G373">
        <v>-51.0474688266737</v>
      </c>
      <c r="I373" s="3">
        <v>1910.75</v>
      </c>
      <c r="J373" s="3">
        <v>0</v>
      </c>
      <c r="K373" s="3">
        <v>213.461528899694</v>
      </c>
    </row>
    <row r="374" spans="1:11" ht="18" x14ac:dyDescent="0.25">
      <c r="A374" s="3">
        <v>1983.8333333333301</v>
      </c>
      <c r="B374" s="3">
        <f t="shared" si="20"/>
        <v>138.27055702917772</v>
      </c>
      <c r="C374" s="3">
        <f t="shared" si="21"/>
        <v>-65.418250761237573</v>
      </c>
      <c r="D374" s="3">
        <f t="shared" si="22"/>
        <v>138.27055702917772</v>
      </c>
      <c r="E374" s="3">
        <f t="shared" si="23"/>
        <v>-20.518345352862106</v>
      </c>
      <c r="F374" s="3">
        <v>203</v>
      </c>
      <c r="G374">
        <v>46.036856352744302</v>
      </c>
      <c r="I374" s="3">
        <v>1910.8333333333301</v>
      </c>
      <c r="J374" s="3">
        <v>0</v>
      </c>
      <c r="K374" s="3">
        <v>256.37926782512301</v>
      </c>
    </row>
    <row r="375" spans="1:11" ht="18" x14ac:dyDescent="0.25">
      <c r="A375" s="3">
        <v>1983.9166666666599</v>
      </c>
      <c r="B375" s="3">
        <f t="shared" si="20"/>
        <v>187.27055702917772</v>
      </c>
      <c r="C375" s="3">
        <f t="shared" si="21"/>
        <v>141.47189625313067</v>
      </c>
      <c r="D375" s="3">
        <f t="shared" si="22"/>
        <v>187.27055702917772</v>
      </c>
      <c r="E375" s="3">
        <f t="shared" si="23"/>
        <v>63.027762566336605</v>
      </c>
      <c r="F375" s="3">
        <v>252</v>
      </c>
      <c r="G375">
        <v>129.58296427194301</v>
      </c>
      <c r="I375" s="3">
        <v>1910.9166666666599</v>
      </c>
      <c r="J375" s="3">
        <v>0</v>
      </c>
      <c r="K375" s="3">
        <v>262.17211183887002</v>
      </c>
    </row>
    <row r="376" spans="1:11" ht="18" x14ac:dyDescent="0.25">
      <c r="A376" s="3">
        <v>1984</v>
      </c>
      <c r="B376" s="3">
        <f t="shared" si="20"/>
        <v>190.27055702917772</v>
      </c>
      <c r="C376" s="3">
        <f t="shared" si="21"/>
        <v>199.8191328437901</v>
      </c>
      <c r="D376" s="3">
        <f t="shared" si="22"/>
        <v>190.27055702917772</v>
      </c>
      <c r="E376" s="3">
        <f t="shared" si="23"/>
        <v>131.4067296161866</v>
      </c>
      <c r="F376" s="3">
        <v>255</v>
      </c>
      <c r="G376">
        <v>197.961931321793</v>
      </c>
      <c r="I376" s="3">
        <v>1911</v>
      </c>
      <c r="J376" s="3">
        <v>0</v>
      </c>
      <c r="K376" s="3">
        <v>250.161908287503</v>
      </c>
    </row>
    <row r="377" spans="1:11" ht="18" x14ac:dyDescent="0.25">
      <c r="A377" s="3">
        <v>1984.0833333333301</v>
      </c>
      <c r="B377" s="3">
        <f t="shared" si="20"/>
        <v>210.27055702917772</v>
      </c>
      <c r="C377" s="3">
        <f t="shared" si="21"/>
        <v>217.08341155738967</v>
      </c>
      <c r="D377" s="3">
        <f t="shared" si="22"/>
        <v>210.27055702917772</v>
      </c>
      <c r="E377" s="3">
        <f t="shared" si="23"/>
        <v>166.16942531452358</v>
      </c>
      <c r="F377" s="3">
        <v>275</v>
      </c>
      <c r="G377">
        <v>232.72462702012999</v>
      </c>
      <c r="I377" s="3">
        <v>1911.0833333333301</v>
      </c>
      <c r="J377" s="3">
        <v>0</v>
      </c>
      <c r="K377" s="3">
        <v>229.957299538553</v>
      </c>
    </row>
    <row r="378" spans="1:11" ht="18" x14ac:dyDescent="0.25">
      <c r="A378" s="3">
        <v>1984.1666666666599</v>
      </c>
      <c r="B378" s="3">
        <f t="shared" si="20"/>
        <v>218.27055702917772</v>
      </c>
      <c r="C378" s="3">
        <f t="shared" si="21"/>
        <v>221.41322620009589</v>
      </c>
      <c r="D378" s="3">
        <f t="shared" si="22"/>
        <v>218.27055702917772</v>
      </c>
      <c r="E378" s="3">
        <f t="shared" si="23"/>
        <v>176.75260161150558</v>
      </c>
      <c r="F378" s="3">
        <v>283</v>
      </c>
      <c r="G378">
        <v>243.30780331711199</v>
      </c>
      <c r="I378" s="3">
        <v>1911.1666666666599</v>
      </c>
      <c r="J378" s="3">
        <v>0</v>
      </c>
      <c r="K378" s="3">
        <v>228.05584028107401</v>
      </c>
    </row>
    <row r="379" spans="1:11" ht="18" x14ac:dyDescent="0.25">
      <c r="A379" s="3">
        <v>1984.25</v>
      </c>
      <c r="B379" s="3">
        <f t="shared" si="20"/>
        <v>218.27055702917772</v>
      </c>
      <c r="C379" s="3">
        <f t="shared" si="21"/>
        <v>234.8687913210307</v>
      </c>
      <c r="D379" s="3">
        <f t="shared" si="22"/>
        <v>218.27055702917772</v>
      </c>
      <c r="E379" s="3">
        <f t="shared" si="23"/>
        <v>216.32647381479262</v>
      </c>
      <c r="F379" s="3">
        <v>283</v>
      </c>
      <c r="G379">
        <v>282.88167552039903</v>
      </c>
      <c r="I379" s="3">
        <v>1911.25</v>
      </c>
      <c r="J379" s="3">
        <v>0</v>
      </c>
      <c r="K379" s="3">
        <v>277.82116233138203</v>
      </c>
    </row>
    <row r="380" spans="1:11" ht="18" x14ac:dyDescent="0.25">
      <c r="A380" s="3">
        <v>1984.3333333333301</v>
      </c>
      <c r="B380" s="3">
        <f t="shared" si="20"/>
        <v>223.27055702917772</v>
      </c>
      <c r="C380" s="3">
        <f t="shared" si="21"/>
        <v>251.14524036865186</v>
      </c>
      <c r="D380" s="3">
        <f t="shared" si="22"/>
        <v>223.27055702917772</v>
      </c>
      <c r="E380" s="3">
        <f t="shared" si="23"/>
        <v>284.18003055286857</v>
      </c>
      <c r="F380" s="3">
        <v>288</v>
      </c>
      <c r="G380">
        <v>350.73523225847498</v>
      </c>
      <c r="I380" s="3">
        <v>1911.3333333333301</v>
      </c>
      <c r="J380" s="3">
        <v>0</v>
      </c>
      <c r="K380" s="3">
        <v>342.01265237856597</v>
      </c>
    </row>
    <row r="381" spans="1:11" ht="18" x14ac:dyDescent="0.25">
      <c r="A381" s="3">
        <v>1984.4166666666599</v>
      </c>
      <c r="B381" s="3">
        <f t="shared" si="20"/>
        <v>256.27055702917772</v>
      </c>
      <c r="C381" s="3">
        <f t="shared" si="21"/>
        <v>262.24766180553098</v>
      </c>
      <c r="D381" s="3">
        <f t="shared" si="22"/>
        <v>256.27055702917772</v>
      </c>
      <c r="E381" s="3">
        <f t="shared" si="23"/>
        <v>351.54144800440059</v>
      </c>
      <c r="F381" s="3">
        <v>321</v>
      </c>
      <c r="G381">
        <v>418.096649710007</v>
      </c>
      <c r="I381" s="3">
        <v>1911.4166666666599</v>
      </c>
      <c r="J381" s="3">
        <v>0</v>
      </c>
      <c r="K381" s="3">
        <v>378.36282561970501</v>
      </c>
    </row>
    <row r="382" spans="1:11" ht="18" x14ac:dyDescent="0.25">
      <c r="A382" s="3">
        <v>1984.5</v>
      </c>
      <c r="B382" s="3">
        <f t="shared" si="20"/>
        <v>281.27055702917772</v>
      </c>
      <c r="C382" s="3">
        <f t="shared" si="21"/>
        <v>268.00661567757686</v>
      </c>
      <c r="D382" s="3">
        <f t="shared" si="22"/>
        <v>281.27055702917772</v>
      </c>
      <c r="E382" s="3">
        <f t="shared" si="23"/>
        <v>397.32016255417761</v>
      </c>
      <c r="F382" s="3">
        <v>346</v>
      </c>
      <c r="G382">
        <v>463.87536425978402</v>
      </c>
      <c r="I382" s="3">
        <v>1911.5</v>
      </c>
      <c r="J382" s="3">
        <v>0</v>
      </c>
      <c r="K382" s="3">
        <v>375.479720644959</v>
      </c>
    </row>
    <row r="383" spans="1:11" ht="18" x14ac:dyDescent="0.25">
      <c r="A383" s="3">
        <v>1984.5833333333301</v>
      </c>
      <c r="B383" s="3">
        <f t="shared" si="20"/>
        <v>281.27055702917772</v>
      </c>
      <c r="C383" s="3">
        <f t="shared" si="21"/>
        <v>267.06909189597309</v>
      </c>
      <c r="D383" s="3">
        <f t="shared" si="22"/>
        <v>281.27055702917772</v>
      </c>
      <c r="E383" s="3">
        <f t="shared" si="23"/>
        <v>389.21789566463258</v>
      </c>
      <c r="F383" s="3">
        <v>346</v>
      </c>
      <c r="G383">
        <v>455.77309737023899</v>
      </c>
      <c r="I383" s="3">
        <v>1911.5833333333301</v>
      </c>
      <c r="J383" s="3">
        <v>0</v>
      </c>
      <c r="K383" s="3">
        <v>319.23097254223302</v>
      </c>
    </row>
    <row r="384" spans="1:11" ht="18" x14ac:dyDescent="0.25">
      <c r="A384" s="3">
        <v>1984.6666666666599</v>
      </c>
      <c r="B384" s="3">
        <f t="shared" si="20"/>
        <v>275.27055702917772</v>
      </c>
      <c r="C384" s="3">
        <f t="shared" si="21"/>
        <v>261.99313787448756</v>
      </c>
      <c r="D384" s="3">
        <f t="shared" si="22"/>
        <v>275.27055702917772</v>
      </c>
      <c r="E384" s="3">
        <f t="shared" si="23"/>
        <v>349.71971917768457</v>
      </c>
      <c r="F384" s="3">
        <v>340</v>
      </c>
      <c r="G384">
        <v>416.27492088329097</v>
      </c>
      <c r="I384" s="3">
        <v>1911.6666666666599</v>
      </c>
      <c r="J384" s="3">
        <v>0</v>
      </c>
      <c r="K384" s="3">
        <v>244.437526251984</v>
      </c>
    </row>
    <row r="385" spans="1:11" ht="18" x14ac:dyDescent="0.25">
      <c r="A385" s="3">
        <v>1984.75</v>
      </c>
      <c r="B385" s="3">
        <f t="shared" si="20"/>
        <v>270.27055702917772</v>
      </c>
      <c r="C385" s="3">
        <f t="shared" si="21"/>
        <v>257.15053311954335</v>
      </c>
      <c r="D385" s="3">
        <f t="shared" si="22"/>
        <v>270.27055702917772</v>
      </c>
      <c r="E385" s="3">
        <f t="shared" si="23"/>
        <v>317.76815234965261</v>
      </c>
      <c r="F385" s="3">
        <v>335</v>
      </c>
      <c r="G385">
        <v>384.32335405525902</v>
      </c>
      <c r="I385" s="3">
        <v>1911.75</v>
      </c>
      <c r="J385" s="3">
        <v>0</v>
      </c>
      <c r="K385" s="3">
        <v>189.124951086436</v>
      </c>
    </row>
    <row r="386" spans="1:11" ht="18" x14ac:dyDescent="0.25">
      <c r="A386" s="3">
        <v>1984.8333333333301</v>
      </c>
      <c r="B386" s="3">
        <f t="shared" si="20"/>
        <v>216.27055702917772</v>
      </c>
      <c r="C386" s="3">
        <f t="shared" si="21"/>
        <v>246.33786835281649</v>
      </c>
      <c r="D386" s="3">
        <f t="shared" si="22"/>
        <v>216.27055702917772</v>
      </c>
      <c r="E386" s="3">
        <f t="shared" si="23"/>
        <v>261.1158327441056</v>
      </c>
      <c r="F386" s="3">
        <v>281</v>
      </c>
      <c r="G386">
        <v>327.67103444971201</v>
      </c>
      <c r="I386" s="3">
        <v>1911.8333333333301</v>
      </c>
      <c r="J386" s="3">
        <v>0</v>
      </c>
      <c r="K386" s="3">
        <v>126.59644380967001</v>
      </c>
    </row>
    <row r="387" spans="1:11" ht="18" x14ac:dyDescent="0.25">
      <c r="A387" s="3">
        <v>1984.9166666666599</v>
      </c>
      <c r="B387" s="3">
        <f t="shared" si="20"/>
        <v>-42.729442970822276</v>
      </c>
      <c r="C387" s="3">
        <f t="shared" si="21"/>
        <v>216.8231670905561</v>
      </c>
      <c r="D387" s="3">
        <f t="shared" si="22"/>
        <v>-42.729442970822276</v>
      </c>
      <c r="E387" s="3">
        <f t="shared" si="23"/>
        <v>165.56098456544859</v>
      </c>
      <c r="F387" s="3">
        <v>22</v>
      </c>
      <c r="G387">
        <v>232.116186271055</v>
      </c>
      <c r="I387" s="3">
        <v>1911.9166666666599</v>
      </c>
      <c r="J387" s="3">
        <v>0</v>
      </c>
      <c r="K387" s="3">
        <v>56.490438552841198</v>
      </c>
    </row>
    <row r="388" spans="1:11" ht="18" x14ac:dyDescent="0.25">
      <c r="A388" s="3">
        <v>1985</v>
      </c>
      <c r="B388" s="3">
        <f t="shared" si="20"/>
        <v>-129.72944297082228</v>
      </c>
      <c r="C388" s="3">
        <f t="shared" si="21"/>
        <v>138.27507012658666</v>
      </c>
      <c r="D388" s="3">
        <f t="shared" si="22"/>
        <v>-129.72944297082228</v>
      </c>
      <c r="E388" s="3">
        <f t="shared" si="23"/>
        <v>60.533773292558593</v>
      </c>
      <c r="F388" s="3">
        <v>-65</v>
      </c>
      <c r="G388">
        <v>127.088974998165</v>
      </c>
      <c r="I388" s="3">
        <v>1912</v>
      </c>
      <c r="J388" s="3">
        <v>0</v>
      </c>
      <c r="K388" s="3">
        <v>2.6911448855058699</v>
      </c>
    </row>
    <row r="389" spans="1:11" ht="18" x14ac:dyDescent="0.25">
      <c r="A389" s="3">
        <v>1985.0833333333301</v>
      </c>
      <c r="B389" s="3">
        <f t="shared" si="20"/>
        <v>-151.72944297082228</v>
      </c>
      <c r="C389" s="3">
        <f t="shared" si="21"/>
        <v>-112.99398888113181</v>
      </c>
      <c r="D389" s="3">
        <f t="shared" si="22"/>
        <v>-151.72944297082228</v>
      </c>
      <c r="E389" s="3">
        <f t="shared" si="23"/>
        <v>-43.493444864393609</v>
      </c>
      <c r="F389" s="3">
        <v>-87</v>
      </c>
      <c r="G389">
        <v>23.061756841212802</v>
      </c>
      <c r="I389" s="3">
        <v>1912.0833333333301</v>
      </c>
      <c r="J389" s="3">
        <v>0</v>
      </c>
      <c r="K389" s="3">
        <v>-48.4810213957145</v>
      </c>
    </row>
    <row r="390" spans="1:11" ht="18" x14ac:dyDescent="0.25">
      <c r="A390" s="3">
        <v>1985.1666666666599</v>
      </c>
      <c r="B390" s="3">
        <f t="shared" ref="B390:B453" si="24">+$D390</f>
        <v>-174.72944297082228</v>
      </c>
      <c r="C390" s="3">
        <f t="shared" ref="C390:C453" si="25">$B$1*$E390/(1+$B$3*ABS($E390)^$B$2)</f>
        <v>-195.94871454555593</v>
      </c>
      <c r="D390" s="3">
        <f t="shared" ref="D390:D453" si="26">+F390-$F$3</f>
        <v>-174.72944297082228</v>
      </c>
      <c r="E390" s="3">
        <f t="shared" ref="E390:E453" si="27">+$G390-$G$3</f>
        <v>-124.91627611687261</v>
      </c>
      <c r="F390" s="3">
        <v>-110</v>
      </c>
      <c r="G390">
        <v>-58.361074411266202</v>
      </c>
      <c r="I390" s="3">
        <v>1912.1666666666599</v>
      </c>
      <c r="J390" s="3">
        <v>0</v>
      </c>
      <c r="K390" s="3">
        <v>-97.700521781366405</v>
      </c>
    </row>
    <row r="391" spans="1:11" ht="18" x14ac:dyDescent="0.25">
      <c r="A391" s="3">
        <v>1985.25</v>
      </c>
      <c r="B391" s="3">
        <f t="shared" si="24"/>
        <v>-201.72944297082228</v>
      </c>
      <c r="C391" s="3">
        <f t="shared" si="25"/>
        <v>-222.23907276726297</v>
      </c>
      <c r="D391" s="3">
        <f t="shared" si="26"/>
        <v>-201.72944297082228</v>
      </c>
      <c r="E391" s="3">
        <f t="shared" si="27"/>
        <v>-178.87511838890441</v>
      </c>
      <c r="F391" s="3">
        <v>-137</v>
      </c>
      <c r="G391">
        <v>-112.319916683298</v>
      </c>
      <c r="I391" s="3">
        <v>1912.25</v>
      </c>
      <c r="J391" s="3">
        <v>0</v>
      </c>
      <c r="K391" s="3">
        <v>-145.58947384982</v>
      </c>
    </row>
    <row r="392" spans="1:11" ht="18" x14ac:dyDescent="0.25">
      <c r="A392" s="3">
        <v>1985.3333333333301</v>
      </c>
      <c r="B392" s="3">
        <f t="shared" si="24"/>
        <v>-203.72944297082228</v>
      </c>
      <c r="C392" s="3">
        <f t="shared" si="25"/>
        <v>-239.61200986906618</v>
      </c>
      <c r="D392" s="3">
        <f t="shared" si="26"/>
        <v>-203.72944297082228</v>
      </c>
      <c r="E392" s="3">
        <f t="shared" si="27"/>
        <v>-233.34438522661441</v>
      </c>
      <c r="F392" s="3">
        <v>-139</v>
      </c>
      <c r="G392">
        <v>-166.789183521008</v>
      </c>
      <c r="I392" s="3">
        <v>1912.3333333333301</v>
      </c>
      <c r="J392" s="3">
        <v>0</v>
      </c>
      <c r="K392" s="3">
        <v>-200.445190865406</v>
      </c>
    </row>
    <row r="393" spans="1:11" ht="18" x14ac:dyDescent="0.25">
      <c r="A393" s="3">
        <v>1985.4166666666599</v>
      </c>
      <c r="B393" s="3">
        <f t="shared" si="24"/>
        <v>-201.72944297082228</v>
      </c>
      <c r="C393" s="3">
        <f t="shared" si="25"/>
        <v>-248.63658633277026</v>
      </c>
      <c r="D393" s="3">
        <f t="shared" si="26"/>
        <v>-201.72944297082228</v>
      </c>
      <c r="E393" s="3">
        <f t="shared" si="27"/>
        <v>-271.76909822824837</v>
      </c>
      <c r="F393" s="3">
        <v>-137</v>
      </c>
      <c r="G393">
        <v>-205.21389652264199</v>
      </c>
      <c r="I393" s="3">
        <v>1912.4166666666599</v>
      </c>
      <c r="J393" s="3">
        <v>0</v>
      </c>
      <c r="K393" s="3">
        <v>-226.746459178571</v>
      </c>
    </row>
    <row r="394" spans="1:11" ht="18" x14ac:dyDescent="0.25">
      <c r="A394" s="3">
        <v>1985.5</v>
      </c>
      <c r="B394" s="3">
        <f t="shared" si="24"/>
        <v>-179.72944297082228</v>
      </c>
      <c r="C394" s="3">
        <f t="shared" si="25"/>
        <v>-250.68785878993395</v>
      </c>
      <c r="D394" s="3">
        <f t="shared" si="26"/>
        <v>-179.72944297082228</v>
      </c>
      <c r="E394" s="3">
        <f t="shared" si="27"/>
        <v>-281.8524975281274</v>
      </c>
      <c r="F394" s="3">
        <v>-115</v>
      </c>
      <c r="G394">
        <v>-215.29729582252099</v>
      </c>
      <c r="I394" s="3">
        <v>1912.5</v>
      </c>
      <c r="J394" s="3">
        <v>0</v>
      </c>
      <c r="K394" s="3">
        <v>-220.75959866307599</v>
      </c>
    </row>
    <row r="395" spans="1:11" ht="18" x14ac:dyDescent="0.25">
      <c r="A395" s="3">
        <v>1985.5833333333301</v>
      </c>
      <c r="B395" s="3">
        <f t="shared" si="24"/>
        <v>-164.72944297082228</v>
      </c>
      <c r="C395" s="3">
        <f t="shared" si="25"/>
        <v>-252.28299654031497</v>
      </c>
      <c r="D395" s="3">
        <f t="shared" si="26"/>
        <v>-164.72944297082228</v>
      </c>
      <c r="E395" s="3">
        <f t="shared" si="27"/>
        <v>-290.10164332038744</v>
      </c>
      <c r="F395" s="3">
        <v>-100</v>
      </c>
      <c r="G395">
        <v>-223.546441614781</v>
      </c>
      <c r="I395" s="3">
        <v>1912.5833333333301</v>
      </c>
      <c r="J395" s="3">
        <v>0</v>
      </c>
      <c r="K395" s="3">
        <v>-223.820533308552</v>
      </c>
    </row>
    <row r="396" spans="1:11" ht="18" x14ac:dyDescent="0.25">
      <c r="A396" s="3">
        <v>1985.6666666666599</v>
      </c>
      <c r="B396" s="3">
        <f t="shared" si="24"/>
        <v>-157.72944297082228</v>
      </c>
      <c r="C396" s="3">
        <f t="shared" si="25"/>
        <v>-251.40857379109741</v>
      </c>
      <c r="D396" s="3">
        <f t="shared" si="26"/>
        <v>-157.72944297082228</v>
      </c>
      <c r="E396" s="3">
        <f t="shared" si="27"/>
        <v>-285.5336976241914</v>
      </c>
      <c r="F396" s="3">
        <v>-93</v>
      </c>
      <c r="G396">
        <v>-218.978495918585</v>
      </c>
      <c r="I396" s="3">
        <v>1912.6666666666599</v>
      </c>
      <c r="J396" s="3">
        <v>0</v>
      </c>
      <c r="K396" s="3">
        <v>-224.275861191817</v>
      </c>
    </row>
    <row r="397" spans="1:11" ht="18" x14ac:dyDescent="0.25">
      <c r="A397" s="3">
        <v>1985.75</v>
      </c>
      <c r="B397" s="3">
        <f t="shared" si="24"/>
        <v>-157.72944297082228</v>
      </c>
      <c r="C397" s="3">
        <f t="shared" si="25"/>
        <v>-246.76563362692229</v>
      </c>
      <c r="D397" s="3">
        <f t="shared" si="26"/>
        <v>-157.72944297082228</v>
      </c>
      <c r="E397" s="3">
        <f t="shared" si="27"/>
        <v>-263.0492246386334</v>
      </c>
      <c r="F397" s="3">
        <v>-93</v>
      </c>
      <c r="G397">
        <v>-196.494022933027</v>
      </c>
      <c r="I397" s="3">
        <v>1912.75</v>
      </c>
      <c r="J397" s="3">
        <v>0</v>
      </c>
      <c r="K397" s="3">
        <v>-204.51149860200499</v>
      </c>
    </row>
    <row r="398" spans="1:11" ht="18" x14ac:dyDescent="0.25">
      <c r="A398" s="3">
        <v>1985.8333333333301</v>
      </c>
      <c r="B398" s="3">
        <f t="shared" si="24"/>
        <v>-164.72944297082228</v>
      </c>
      <c r="C398" s="3">
        <f t="shared" si="25"/>
        <v>-242.54181430101815</v>
      </c>
      <c r="D398" s="3">
        <f t="shared" si="26"/>
        <v>-164.72944297082228</v>
      </c>
      <c r="E398" s="3">
        <f t="shared" si="27"/>
        <v>-244.86644295413541</v>
      </c>
      <c r="F398" s="3">
        <v>-100</v>
      </c>
      <c r="G398">
        <v>-178.311241248529</v>
      </c>
      <c r="I398" s="3">
        <v>1912.8333333333301</v>
      </c>
      <c r="J398" s="3">
        <v>0</v>
      </c>
      <c r="K398" s="3">
        <v>-172.51376538097401</v>
      </c>
    </row>
    <row r="399" spans="1:11" ht="18" x14ac:dyDescent="0.25">
      <c r="A399" s="3">
        <v>1985.9166666666599</v>
      </c>
      <c r="B399" s="3">
        <f t="shared" si="24"/>
        <v>-166.72944297082228</v>
      </c>
      <c r="C399" s="3">
        <f t="shared" si="25"/>
        <v>-235.08523934773353</v>
      </c>
      <c r="D399" s="3">
        <f t="shared" si="26"/>
        <v>-166.72944297082228</v>
      </c>
      <c r="E399" s="3">
        <f t="shared" si="27"/>
        <v>-217.06277920287042</v>
      </c>
      <c r="F399" s="3">
        <v>-102</v>
      </c>
      <c r="G399">
        <v>-150.50757749726401</v>
      </c>
      <c r="I399" s="3">
        <v>1912.9166666666599</v>
      </c>
      <c r="J399" s="3">
        <v>0</v>
      </c>
      <c r="K399" s="3">
        <v>-117.241106003312</v>
      </c>
    </row>
    <row r="400" spans="1:11" ht="18" x14ac:dyDescent="0.25">
      <c r="A400" s="3">
        <v>1986</v>
      </c>
      <c r="B400" s="3">
        <f t="shared" si="24"/>
        <v>-183.72944297082228</v>
      </c>
      <c r="C400" s="3">
        <f t="shared" si="25"/>
        <v>-224.28776195730944</v>
      </c>
      <c r="D400" s="3">
        <f t="shared" si="26"/>
        <v>-183.72944297082228</v>
      </c>
      <c r="E400" s="3">
        <f t="shared" si="27"/>
        <v>-184.2947911955724</v>
      </c>
      <c r="F400" s="3">
        <v>-119</v>
      </c>
      <c r="G400">
        <v>-117.73958948996599</v>
      </c>
      <c r="I400" s="3">
        <v>1913</v>
      </c>
      <c r="J400" s="3">
        <v>0</v>
      </c>
      <c r="K400" s="3">
        <v>-58.243908086036001</v>
      </c>
    </row>
    <row r="401" spans="1:11" ht="18" x14ac:dyDescent="0.25">
      <c r="A401" s="3">
        <v>1986.0833333333301</v>
      </c>
      <c r="B401" s="3">
        <f t="shared" si="24"/>
        <v>-212.72944297082228</v>
      </c>
      <c r="C401" s="3">
        <f t="shared" si="25"/>
        <v>-219.59595078038279</v>
      </c>
      <c r="D401" s="3">
        <f t="shared" si="26"/>
        <v>-212.72944297082228</v>
      </c>
      <c r="E401" s="3">
        <f t="shared" si="27"/>
        <v>-172.20212203240141</v>
      </c>
      <c r="F401" s="3">
        <v>-148</v>
      </c>
      <c r="G401">
        <v>-105.646920326795</v>
      </c>
      <c r="I401" s="3">
        <v>1913.0833333333301</v>
      </c>
      <c r="J401" s="3">
        <v>0</v>
      </c>
      <c r="K401" s="3">
        <v>-19.8768700508123</v>
      </c>
    </row>
    <row r="402" spans="1:11" ht="18" x14ac:dyDescent="0.25">
      <c r="A402" s="3">
        <v>1986.1666666666599</v>
      </c>
      <c r="B402" s="3">
        <f t="shared" si="24"/>
        <v>-212.72944297082228</v>
      </c>
      <c r="C402" s="3">
        <f t="shared" si="25"/>
        <v>-213.046639476362</v>
      </c>
      <c r="D402" s="3">
        <f t="shared" si="26"/>
        <v>-212.72944297082228</v>
      </c>
      <c r="E402" s="3">
        <f t="shared" si="27"/>
        <v>-157.05764790923001</v>
      </c>
      <c r="F402" s="3">
        <v>-148</v>
      </c>
      <c r="G402">
        <v>-90.502446203623606</v>
      </c>
      <c r="I402" s="3">
        <v>1913.1666666666599</v>
      </c>
      <c r="J402" s="3">
        <v>0</v>
      </c>
      <c r="K402" s="3">
        <v>30.0802459989246</v>
      </c>
    </row>
    <row r="403" spans="1:11" ht="18" x14ac:dyDescent="0.25">
      <c r="A403" s="3">
        <v>1986.25</v>
      </c>
      <c r="B403" s="3">
        <f t="shared" si="24"/>
        <v>-206.72944297082228</v>
      </c>
      <c r="C403" s="3">
        <f t="shared" si="25"/>
        <v>-191.16073465090057</v>
      </c>
      <c r="D403" s="3">
        <f t="shared" si="26"/>
        <v>-206.72944297082228</v>
      </c>
      <c r="E403" s="3">
        <f t="shared" si="27"/>
        <v>-117.41696973792961</v>
      </c>
      <c r="F403" s="3">
        <v>-142</v>
      </c>
      <c r="G403">
        <v>-50.861768032323198</v>
      </c>
      <c r="I403" s="3">
        <v>1913.25</v>
      </c>
      <c r="J403" s="3">
        <v>0</v>
      </c>
      <c r="K403" s="3">
        <v>105.692905876643</v>
      </c>
    </row>
    <row r="404" spans="1:11" ht="18" x14ac:dyDescent="0.25">
      <c r="A404" s="3">
        <v>1986.3333333333301</v>
      </c>
      <c r="B404" s="3">
        <f t="shared" si="24"/>
        <v>-170.72944297082228</v>
      </c>
      <c r="C404" s="3">
        <f t="shared" si="25"/>
        <v>-113.96443597483204</v>
      </c>
      <c r="D404" s="3">
        <f t="shared" si="26"/>
        <v>-170.72944297082228</v>
      </c>
      <c r="E404" s="3">
        <f t="shared" si="27"/>
        <v>-44.071256669726907</v>
      </c>
      <c r="F404" s="3">
        <v>-106</v>
      </c>
      <c r="G404">
        <v>22.483945035879501</v>
      </c>
      <c r="I404" s="3">
        <v>1913.3333333333301</v>
      </c>
      <c r="J404" s="3">
        <v>0</v>
      </c>
      <c r="K404" s="3">
        <v>198.08474575772101</v>
      </c>
    </row>
    <row r="405" spans="1:11" ht="18" x14ac:dyDescent="0.25">
      <c r="A405" s="3">
        <v>1986.4166666666599</v>
      </c>
      <c r="B405" s="3">
        <f t="shared" si="24"/>
        <v>-22.729442970822276</v>
      </c>
      <c r="C405" s="3">
        <f t="shared" si="25"/>
        <v>152.92259065449272</v>
      </c>
      <c r="D405" s="3">
        <f t="shared" si="26"/>
        <v>-22.729442970822276</v>
      </c>
      <c r="E405" s="3">
        <f t="shared" si="27"/>
        <v>72.733186216907598</v>
      </c>
      <c r="F405" s="3">
        <v>42</v>
      </c>
      <c r="G405">
        <v>139.288387922514</v>
      </c>
      <c r="I405" s="3">
        <v>1913.4166666666599</v>
      </c>
      <c r="J405" s="3">
        <v>0</v>
      </c>
      <c r="K405" s="3">
        <v>301.68076528683099</v>
      </c>
    </row>
    <row r="406" spans="1:11" ht="18" x14ac:dyDescent="0.25">
      <c r="A406" s="3">
        <v>1986.5</v>
      </c>
      <c r="B406" s="3">
        <f t="shared" si="24"/>
        <v>129.27055702917772</v>
      </c>
      <c r="C406" s="3">
        <f t="shared" si="25"/>
        <v>221.11414870908044</v>
      </c>
      <c r="D406" s="3">
        <f t="shared" si="26"/>
        <v>129.27055702917772</v>
      </c>
      <c r="E406" s="3">
        <f t="shared" si="27"/>
        <v>175.99247917678758</v>
      </c>
      <c r="F406" s="3">
        <v>194</v>
      </c>
      <c r="G406">
        <v>242.54768088239399</v>
      </c>
      <c r="I406" s="3">
        <v>1913.5</v>
      </c>
      <c r="J406" s="3">
        <v>0</v>
      </c>
      <c r="K406" s="3">
        <v>366.43766538035499</v>
      </c>
    </row>
    <row r="407" spans="1:11" ht="18" x14ac:dyDescent="0.25">
      <c r="A407" s="3">
        <v>1986.5833333333301</v>
      </c>
      <c r="B407" s="3">
        <f t="shared" si="24"/>
        <v>164.27055702917772</v>
      </c>
      <c r="C407" s="3">
        <f t="shared" si="25"/>
        <v>234.67481072770477</v>
      </c>
      <c r="D407" s="3">
        <f t="shared" si="26"/>
        <v>164.27055702917772</v>
      </c>
      <c r="E407" s="3">
        <f t="shared" si="27"/>
        <v>215.6696857346376</v>
      </c>
      <c r="F407" s="3">
        <v>229</v>
      </c>
      <c r="G407">
        <v>282.224887440244</v>
      </c>
      <c r="I407" s="3">
        <v>1913.5833333333301</v>
      </c>
      <c r="J407" s="3">
        <v>0</v>
      </c>
      <c r="K407" s="3">
        <v>374.07394350520298</v>
      </c>
    </row>
    <row r="408" spans="1:11" ht="18" x14ac:dyDescent="0.25">
      <c r="A408" s="3">
        <v>1986.6666666666599</v>
      </c>
      <c r="B408" s="3">
        <f t="shared" si="24"/>
        <v>167.27055702917772</v>
      </c>
      <c r="C408" s="3">
        <f t="shared" si="25"/>
        <v>237.7386570360774</v>
      </c>
      <c r="D408" s="3">
        <f t="shared" si="26"/>
        <v>167.27055702917772</v>
      </c>
      <c r="E408" s="3">
        <f t="shared" si="27"/>
        <v>226.39517100063762</v>
      </c>
      <c r="F408" s="3">
        <v>232</v>
      </c>
      <c r="G408">
        <v>292.95037270624402</v>
      </c>
      <c r="I408" s="3">
        <v>1913.6666666666599</v>
      </c>
      <c r="J408" s="3">
        <v>0</v>
      </c>
      <c r="K408" s="3">
        <v>378.333021708763</v>
      </c>
    </row>
    <row r="409" spans="1:11" ht="18" x14ac:dyDescent="0.25">
      <c r="A409" s="3">
        <v>1986.75</v>
      </c>
      <c r="B409" s="3">
        <f t="shared" si="24"/>
        <v>169.27055702917772</v>
      </c>
      <c r="C409" s="3">
        <f t="shared" si="25"/>
        <v>238.699413795075</v>
      </c>
      <c r="D409" s="3">
        <f t="shared" si="26"/>
        <v>169.27055702917772</v>
      </c>
      <c r="E409" s="3">
        <f t="shared" si="27"/>
        <v>229.92023194838862</v>
      </c>
      <c r="F409" s="3">
        <v>234</v>
      </c>
      <c r="G409">
        <v>296.47543365399503</v>
      </c>
      <c r="I409" s="3">
        <v>1913.75</v>
      </c>
      <c r="J409" s="3">
        <v>0</v>
      </c>
      <c r="K409" s="3">
        <v>390.96779932630398</v>
      </c>
    </row>
    <row r="410" spans="1:11" ht="18" x14ac:dyDescent="0.25">
      <c r="A410" s="3">
        <v>1986.8333333333301</v>
      </c>
      <c r="B410" s="3">
        <f t="shared" si="24"/>
        <v>176.27055702917772</v>
      </c>
      <c r="C410" s="3">
        <f t="shared" si="25"/>
        <v>236.88909447618832</v>
      </c>
      <c r="D410" s="3">
        <f t="shared" si="26"/>
        <v>176.27055702917772</v>
      </c>
      <c r="E410" s="3">
        <f t="shared" si="27"/>
        <v>223.34410129839659</v>
      </c>
      <c r="F410" s="3">
        <v>241</v>
      </c>
      <c r="G410">
        <v>289.899303004003</v>
      </c>
      <c r="I410" s="3">
        <v>1913.8333333333301</v>
      </c>
      <c r="J410" s="3">
        <v>0</v>
      </c>
      <c r="K410" s="3">
        <v>390.89083614772602</v>
      </c>
    </row>
    <row r="411" spans="1:11" ht="18" x14ac:dyDescent="0.25">
      <c r="A411" s="3">
        <v>1986.9166666666599</v>
      </c>
      <c r="B411" s="3">
        <f t="shared" si="24"/>
        <v>189.27055702917772</v>
      </c>
      <c r="C411" s="3">
        <f t="shared" si="25"/>
        <v>234.01245287464346</v>
      </c>
      <c r="D411" s="3">
        <f t="shared" si="26"/>
        <v>189.27055702917772</v>
      </c>
      <c r="E411" s="3">
        <f t="shared" si="27"/>
        <v>213.44878054220158</v>
      </c>
      <c r="F411" s="3">
        <v>254</v>
      </c>
      <c r="G411">
        <v>280.00398224780798</v>
      </c>
      <c r="I411" s="3">
        <v>1913.9166666666599</v>
      </c>
      <c r="J411" s="3">
        <v>0</v>
      </c>
      <c r="K411" s="3">
        <v>370.65178814957198</v>
      </c>
    </row>
    <row r="412" spans="1:11" ht="18" x14ac:dyDescent="0.25">
      <c r="A412" s="3">
        <v>1987</v>
      </c>
      <c r="B412" s="3">
        <f t="shared" si="24"/>
        <v>195.27055702917772</v>
      </c>
      <c r="C412" s="3">
        <f t="shared" si="25"/>
        <v>224.9080205248795</v>
      </c>
      <c r="D412" s="3">
        <f t="shared" si="26"/>
        <v>195.27055702917772</v>
      </c>
      <c r="E412" s="3">
        <f t="shared" si="27"/>
        <v>185.98057896498358</v>
      </c>
      <c r="F412" s="3">
        <v>260</v>
      </c>
      <c r="G412">
        <v>252.53578067058999</v>
      </c>
      <c r="I412" s="3">
        <v>1914</v>
      </c>
      <c r="J412" s="3">
        <v>0</v>
      </c>
      <c r="K412" s="3">
        <v>312.104128934823</v>
      </c>
    </row>
    <row r="413" spans="1:11" ht="18" x14ac:dyDescent="0.25">
      <c r="A413" s="3">
        <v>1987.0833333333301</v>
      </c>
      <c r="B413" s="3">
        <f t="shared" si="24"/>
        <v>201.27055702917772</v>
      </c>
      <c r="C413" s="3">
        <f t="shared" si="25"/>
        <v>213.74180874553525</v>
      </c>
      <c r="D413" s="3">
        <f t="shared" si="26"/>
        <v>201.27055702917772</v>
      </c>
      <c r="E413" s="3">
        <f t="shared" si="27"/>
        <v>158.57850991387159</v>
      </c>
      <c r="F413" s="3">
        <v>266</v>
      </c>
      <c r="G413">
        <v>225.13371161947799</v>
      </c>
      <c r="I413" s="3">
        <v>1914.0833333333301</v>
      </c>
      <c r="J413" s="3">
        <v>0</v>
      </c>
      <c r="K413" s="3">
        <v>234.77123027049799</v>
      </c>
    </row>
    <row r="414" spans="1:11" ht="18" x14ac:dyDescent="0.25">
      <c r="A414" s="3">
        <v>1987.1666666666599</v>
      </c>
      <c r="B414" s="3">
        <f t="shared" si="24"/>
        <v>201.27055702917772</v>
      </c>
      <c r="C414" s="3">
        <f t="shared" si="25"/>
        <v>218.27868682378514</v>
      </c>
      <c r="D414" s="3">
        <f t="shared" si="26"/>
        <v>201.27055702917772</v>
      </c>
      <c r="E414" s="3">
        <f t="shared" si="27"/>
        <v>169.0030054514686</v>
      </c>
      <c r="F414" s="3">
        <v>266</v>
      </c>
      <c r="G414">
        <v>235.558207157075</v>
      </c>
      <c r="I414" s="3">
        <v>1914.1666666666599</v>
      </c>
      <c r="J414" s="3">
        <v>0</v>
      </c>
      <c r="K414" s="3">
        <v>170.668038537526</v>
      </c>
    </row>
    <row r="415" spans="1:11" ht="18" x14ac:dyDescent="0.25">
      <c r="A415" s="3">
        <v>1987.25</v>
      </c>
      <c r="B415" s="3">
        <f t="shared" si="24"/>
        <v>205.27055702917772</v>
      </c>
      <c r="C415" s="3">
        <f t="shared" si="25"/>
        <v>226.12157026537838</v>
      </c>
      <c r="D415" s="3">
        <f t="shared" si="26"/>
        <v>205.27055702917772</v>
      </c>
      <c r="E415" s="3">
        <f t="shared" si="27"/>
        <v>189.34170277934459</v>
      </c>
      <c r="F415" s="3">
        <v>270</v>
      </c>
      <c r="G415">
        <v>255.89690448495099</v>
      </c>
      <c r="I415" s="3">
        <v>1914.25</v>
      </c>
      <c r="J415" s="3">
        <v>0</v>
      </c>
      <c r="K415" s="3">
        <v>97.591385238633904</v>
      </c>
    </row>
    <row r="416" spans="1:11" ht="18" x14ac:dyDescent="0.25">
      <c r="A416" s="3">
        <v>1987.3333333333301</v>
      </c>
      <c r="B416" s="3">
        <f t="shared" si="24"/>
        <v>205.27055702917772</v>
      </c>
      <c r="C416" s="3">
        <f t="shared" si="25"/>
        <v>226.63999453475142</v>
      </c>
      <c r="D416" s="3">
        <f t="shared" si="26"/>
        <v>205.27055702917772</v>
      </c>
      <c r="E416" s="3">
        <f t="shared" si="27"/>
        <v>190.80354156986357</v>
      </c>
      <c r="F416" s="3">
        <v>270</v>
      </c>
      <c r="G416">
        <v>257.35874327546998</v>
      </c>
      <c r="I416" s="3">
        <v>1914.3333333333301</v>
      </c>
      <c r="J416" s="3">
        <v>0</v>
      </c>
      <c r="K416" s="3">
        <v>20.1036243018345</v>
      </c>
    </row>
    <row r="417" spans="1:11" ht="18" x14ac:dyDescent="0.25">
      <c r="A417" s="3">
        <v>1987.4166666666599</v>
      </c>
      <c r="B417" s="3">
        <f t="shared" si="24"/>
        <v>203.27055702917772</v>
      </c>
      <c r="C417" s="3">
        <f t="shared" si="25"/>
        <v>218.83331050803827</v>
      </c>
      <c r="D417" s="3">
        <f t="shared" si="26"/>
        <v>203.27055702917772</v>
      </c>
      <c r="E417" s="3">
        <f t="shared" si="27"/>
        <v>170.34004677497359</v>
      </c>
      <c r="F417" s="3">
        <v>268</v>
      </c>
      <c r="G417">
        <v>236.89524848057999</v>
      </c>
      <c r="I417" s="3">
        <v>1914.4166666666599</v>
      </c>
      <c r="J417" s="3">
        <v>0</v>
      </c>
      <c r="K417" s="3">
        <v>-31.6042674334666</v>
      </c>
    </row>
    <row r="418" spans="1:11" ht="18" x14ac:dyDescent="0.25">
      <c r="A418" s="3">
        <v>1987.5</v>
      </c>
      <c r="B418" s="3">
        <f t="shared" si="24"/>
        <v>182.27055702917772</v>
      </c>
      <c r="C418" s="3">
        <f t="shared" si="25"/>
        <v>183.08099194436946</v>
      </c>
      <c r="D418" s="3">
        <f t="shared" si="26"/>
        <v>182.27055702917772</v>
      </c>
      <c r="E418" s="3">
        <f t="shared" si="27"/>
        <v>105.93095592361058</v>
      </c>
      <c r="F418" s="3">
        <v>247</v>
      </c>
      <c r="G418">
        <v>172.48615762921699</v>
      </c>
      <c r="I418" s="3">
        <v>1914.5</v>
      </c>
      <c r="J418" s="3">
        <v>0</v>
      </c>
      <c r="K418" s="3">
        <v>-72.306023122948005</v>
      </c>
    </row>
    <row r="419" spans="1:11" ht="18" x14ac:dyDescent="0.25">
      <c r="A419" s="3">
        <v>1987.5833333333301</v>
      </c>
      <c r="B419" s="3">
        <f t="shared" si="24"/>
        <v>-1.7294429708222765</v>
      </c>
      <c r="C419" s="3">
        <f t="shared" si="25"/>
        <v>66.036527352534549</v>
      </c>
      <c r="D419" s="3">
        <f t="shared" si="26"/>
        <v>-1.7294429708222765</v>
      </c>
      <c r="E419" s="3">
        <f t="shared" si="27"/>
        <v>20.762225176997489</v>
      </c>
      <c r="F419" s="3">
        <v>63</v>
      </c>
      <c r="G419">
        <v>87.317426882603897</v>
      </c>
      <c r="I419" s="3">
        <v>1914.5833333333301</v>
      </c>
      <c r="J419" s="3">
        <v>0</v>
      </c>
      <c r="K419" s="3">
        <v>-102.578120663316</v>
      </c>
    </row>
    <row r="420" spans="1:11" ht="18" x14ac:dyDescent="0.25">
      <c r="A420" s="3">
        <v>1987.6666666666599</v>
      </c>
      <c r="B420" s="3">
        <f t="shared" si="24"/>
        <v>-156.72944297082228</v>
      </c>
      <c r="C420" s="3">
        <f t="shared" si="25"/>
        <v>-107.76820389492724</v>
      </c>
      <c r="D420" s="3">
        <f t="shared" si="26"/>
        <v>-156.72944297082228</v>
      </c>
      <c r="E420" s="3">
        <f t="shared" si="27"/>
        <v>-40.47181003386801</v>
      </c>
      <c r="F420" s="3">
        <v>-92</v>
      </c>
      <c r="G420">
        <v>26.083391671738401</v>
      </c>
      <c r="I420" s="3">
        <v>1914.6666666666599</v>
      </c>
      <c r="J420" s="3">
        <v>0</v>
      </c>
      <c r="K420" s="3">
        <v>-116.83337545332</v>
      </c>
    </row>
    <row r="421" spans="1:11" ht="18" x14ac:dyDescent="0.25">
      <c r="A421" s="3">
        <v>1987.75</v>
      </c>
      <c r="B421" s="3">
        <f t="shared" si="24"/>
        <v>-181.72944297082228</v>
      </c>
      <c r="C421" s="3">
        <f t="shared" si="25"/>
        <v>-167.44109817240579</v>
      </c>
      <c r="D421" s="3">
        <f t="shared" si="26"/>
        <v>-181.72944297082228</v>
      </c>
      <c r="E421" s="3">
        <f t="shared" si="27"/>
        <v>-87.101527660964805</v>
      </c>
      <c r="F421" s="3">
        <v>-117</v>
      </c>
      <c r="G421">
        <v>-20.546325955358402</v>
      </c>
      <c r="I421" s="3">
        <v>1914.75</v>
      </c>
      <c r="J421" s="3">
        <v>0</v>
      </c>
      <c r="K421" s="3">
        <v>-140.88157287879801</v>
      </c>
    </row>
    <row r="422" spans="1:11" ht="18" x14ac:dyDescent="0.25">
      <c r="A422" s="3">
        <v>1987.8333333333301</v>
      </c>
      <c r="B422" s="3">
        <f t="shared" si="24"/>
        <v>-181.72944297082228</v>
      </c>
      <c r="C422" s="3">
        <f t="shared" si="25"/>
        <v>-192.87859524470491</v>
      </c>
      <c r="D422" s="3">
        <f t="shared" si="26"/>
        <v>-181.72944297082228</v>
      </c>
      <c r="E422" s="3">
        <f t="shared" si="27"/>
        <v>-120.0438233459565</v>
      </c>
      <c r="F422" s="3">
        <v>-117</v>
      </c>
      <c r="G422">
        <v>-53.488621640350097</v>
      </c>
      <c r="I422" s="3">
        <v>1914.8333333333301</v>
      </c>
      <c r="J422" s="3">
        <v>0</v>
      </c>
      <c r="K422" s="3">
        <v>-165.11997296659499</v>
      </c>
    </row>
    <row r="423" spans="1:11" ht="18" x14ac:dyDescent="0.25">
      <c r="A423" s="3">
        <v>1987.9166666666599</v>
      </c>
      <c r="B423" s="3">
        <f t="shared" si="24"/>
        <v>-141.72944297082228</v>
      </c>
      <c r="C423" s="3">
        <f t="shared" si="25"/>
        <v>-201.72898804068137</v>
      </c>
      <c r="D423" s="3">
        <f t="shared" si="26"/>
        <v>-141.72944297082228</v>
      </c>
      <c r="E423" s="3">
        <f t="shared" si="27"/>
        <v>-134.76289212708889</v>
      </c>
      <c r="F423" s="3">
        <v>-77</v>
      </c>
      <c r="G423">
        <v>-68.207690421482496</v>
      </c>
      <c r="I423" s="3">
        <v>1914.9166666666599</v>
      </c>
      <c r="J423" s="3">
        <v>0</v>
      </c>
      <c r="K423" s="3">
        <v>-176.96249758331101</v>
      </c>
    </row>
    <row r="424" spans="1:11" ht="18" x14ac:dyDescent="0.25">
      <c r="A424" s="3">
        <v>1988</v>
      </c>
      <c r="B424" s="3">
        <f t="shared" si="24"/>
        <v>-121.72944297082228</v>
      </c>
      <c r="C424" s="3">
        <f t="shared" si="25"/>
        <v>-212.48268311286179</v>
      </c>
      <c r="D424" s="3">
        <f t="shared" si="26"/>
        <v>-121.72944297082228</v>
      </c>
      <c r="E424" s="3">
        <f t="shared" si="27"/>
        <v>-155.83798539204389</v>
      </c>
      <c r="F424" s="3">
        <v>-57</v>
      </c>
      <c r="G424">
        <v>-89.282783686437497</v>
      </c>
      <c r="I424" s="3">
        <v>1915</v>
      </c>
      <c r="J424" s="3">
        <v>0</v>
      </c>
      <c r="K424" s="3">
        <v>-197.069876376736</v>
      </c>
    </row>
    <row r="425" spans="1:11" ht="18" x14ac:dyDescent="0.25">
      <c r="A425" s="3">
        <v>1988.0833333333301</v>
      </c>
      <c r="B425" s="3">
        <f t="shared" si="24"/>
        <v>-118.72944297082228</v>
      </c>
      <c r="C425" s="3">
        <f t="shared" si="25"/>
        <v>-222.97206531237703</v>
      </c>
      <c r="D425" s="3">
        <f t="shared" si="26"/>
        <v>-118.72944297082228</v>
      </c>
      <c r="E425" s="3">
        <f t="shared" si="27"/>
        <v>-180.78853480321442</v>
      </c>
      <c r="F425" s="3">
        <v>-54</v>
      </c>
      <c r="G425">
        <v>-114.233333097608</v>
      </c>
      <c r="I425" s="3">
        <v>1915.0833333333301</v>
      </c>
      <c r="J425" s="3">
        <v>0</v>
      </c>
      <c r="K425" s="3">
        <v>-213.334252048108</v>
      </c>
    </row>
    <row r="426" spans="1:11" ht="18" x14ac:dyDescent="0.25">
      <c r="A426" s="3">
        <v>1988.1666666666599</v>
      </c>
      <c r="B426" s="3">
        <f t="shared" si="24"/>
        <v>-118.72944297082228</v>
      </c>
      <c r="C426" s="3">
        <f t="shared" si="25"/>
        <v>-233.66355842015497</v>
      </c>
      <c r="D426" s="3">
        <f t="shared" si="26"/>
        <v>-118.72944297082228</v>
      </c>
      <c r="E426" s="3">
        <f t="shared" si="27"/>
        <v>-212.2922637340194</v>
      </c>
      <c r="F426" s="3">
        <v>-54</v>
      </c>
      <c r="G426">
        <v>-145.73706202841299</v>
      </c>
      <c r="I426" s="3">
        <v>1915.1666666666599</v>
      </c>
      <c r="J426" s="3">
        <v>0</v>
      </c>
      <c r="K426" s="3">
        <v>-214.44374627058301</v>
      </c>
    </row>
    <row r="427" spans="1:11" ht="18" x14ac:dyDescent="0.25">
      <c r="A427" s="3">
        <v>1988.25</v>
      </c>
      <c r="B427" s="3">
        <f t="shared" si="24"/>
        <v>-134.72944297082228</v>
      </c>
      <c r="C427" s="3">
        <f t="shared" si="25"/>
        <v>-246.91895461120535</v>
      </c>
      <c r="D427" s="3">
        <f t="shared" si="26"/>
        <v>-134.72944297082228</v>
      </c>
      <c r="E427" s="3">
        <f t="shared" si="27"/>
        <v>-263.74753408612639</v>
      </c>
      <c r="F427" s="3">
        <v>-70</v>
      </c>
      <c r="G427">
        <v>-197.19233238052001</v>
      </c>
      <c r="I427" s="3">
        <v>1915.25</v>
      </c>
      <c r="J427" s="3">
        <v>0</v>
      </c>
      <c r="K427" s="3">
        <v>-199.94960046629001</v>
      </c>
    </row>
    <row r="428" spans="1:11" ht="18" x14ac:dyDescent="0.25">
      <c r="A428" s="3">
        <v>1988.3333333333301</v>
      </c>
      <c r="B428" s="3">
        <f t="shared" si="24"/>
        <v>-134.72944297082228</v>
      </c>
      <c r="C428" s="3">
        <f t="shared" si="25"/>
        <v>-251.46156528853535</v>
      </c>
      <c r="D428" s="3">
        <f t="shared" si="26"/>
        <v>-134.72944297082228</v>
      </c>
      <c r="E428" s="3">
        <f t="shared" si="27"/>
        <v>-285.80731595883344</v>
      </c>
      <c r="F428" s="3">
        <v>-70</v>
      </c>
      <c r="G428">
        <v>-219.25211425322701</v>
      </c>
      <c r="I428" s="3">
        <v>1915.3333333333301</v>
      </c>
      <c r="J428" s="3">
        <v>0</v>
      </c>
      <c r="K428" s="3">
        <v>-129.387638232081</v>
      </c>
    </row>
    <row r="429" spans="1:11" ht="18" x14ac:dyDescent="0.25">
      <c r="A429" s="3">
        <v>1988.4166666666599</v>
      </c>
      <c r="B429" s="3">
        <f t="shared" si="24"/>
        <v>-114.72944297082228</v>
      </c>
      <c r="C429" s="3">
        <f t="shared" si="25"/>
        <v>-243.6286395266462</v>
      </c>
      <c r="D429" s="3">
        <f t="shared" si="26"/>
        <v>-114.72944297082228</v>
      </c>
      <c r="E429" s="3">
        <f t="shared" si="27"/>
        <v>-249.35863615126141</v>
      </c>
      <c r="F429" s="3">
        <v>-50</v>
      </c>
      <c r="G429">
        <v>-182.803434445655</v>
      </c>
      <c r="I429" s="3">
        <v>1915.4166666666599</v>
      </c>
      <c r="J429" s="3">
        <v>0</v>
      </c>
      <c r="K429" s="3">
        <v>-10.2813508924459</v>
      </c>
    </row>
    <row r="430" spans="1:11" ht="18" x14ac:dyDescent="0.25">
      <c r="A430" s="3">
        <v>1988.5</v>
      </c>
      <c r="B430" s="3">
        <f t="shared" si="24"/>
        <v>-41.729442970822276</v>
      </c>
      <c r="C430" s="3">
        <f t="shared" si="25"/>
        <v>-227.84879924490696</v>
      </c>
      <c r="D430" s="3">
        <f t="shared" si="26"/>
        <v>-41.729442970822276</v>
      </c>
      <c r="E430" s="3">
        <f t="shared" si="27"/>
        <v>-194.27438329879942</v>
      </c>
      <c r="F430" s="3">
        <v>23</v>
      </c>
      <c r="G430">
        <v>-127.719181593193</v>
      </c>
      <c r="I430" s="3">
        <v>1915.5</v>
      </c>
      <c r="J430" s="3">
        <v>0</v>
      </c>
      <c r="K430" s="3">
        <v>91.080123066559395</v>
      </c>
    </row>
    <row r="431" spans="1:11" ht="18" x14ac:dyDescent="0.25">
      <c r="A431" s="3">
        <v>1988.5833333333301</v>
      </c>
      <c r="B431" s="3">
        <f t="shared" si="24"/>
        <v>-1.7294429708222765</v>
      </c>
      <c r="C431" s="3">
        <f t="shared" si="25"/>
        <v>-203.41664603919932</v>
      </c>
      <c r="D431" s="3">
        <f t="shared" si="26"/>
        <v>-1.7294429708222765</v>
      </c>
      <c r="E431" s="3">
        <f t="shared" si="27"/>
        <v>-137.81828310710091</v>
      </c>
      <c r="F431" s="3">
        <v>63</v>
      </c>
      <c r="G431">
        <v>-71.263081401494503</v>
      </c>
      <c r="I431" s="3">
        <v>1915.5833333333301</v>
      </c>
      <c r="J431" s="3">
        <v>0</v>
      </c>
      <c r="K431" s="3">
        <v>159.73518045970101</v>
      </c>
    </row>
    <row r="432" spans="1:11" ht="18" x14ac:dyDescent="0.25">
      <c r="A432" s="3">
        <v>1988.6666666666599</v>
      </c>
      <c r="B432" s="3">
        <f t="shared" si="24"/>
        <v>-1.7294429708222765</v>
      </c>
      <c r="C432" s="3">
        <f t="shared" si="25"/>
        <v>-166.5564265209249</v>
      </c>
      <c r="D432" s="3">
        <f t="shared" si="26"/>
        <v>-1.7294429708222765</v>
      </c>
      <c r="E432" s="3">
        <f t="shared" si="27"/>
        <v>-86.149396767047307</v>
      </c>
      <c r="F432" s="3">
        <v>63</v>
      </c>
      <c r="G432">
        <v>-19.5941950614409</v>
      </c>
      <c r="I432" s="3">
        <v>1915.6666666666599</v>
      </c>
      <c r="J432" s="3">
        <v>0</v>
      </c>
      <c r="K432" s="3">
        <v>206.67409517251599</v>
      </c>
    </row>
    <row r="433" spans="1:11" ht="18" x14ac:dyDescent="0.25">
      <c r="A433" s="3">
        <v>1988.75</v>
      </c>
      <c r="B433" s="3">
        <f t="shared" si="24"/>
        <v>-1.7294429708222765</v>
      </c>
      <c r="C433" s="3">
        <f t="shared" si="25"/>
        <v>-114.35760410839119</v>
      </c>
      <c r="D433" s="3">
        <f t="shared" si="26"/>
        <v>-1.7294429708222765</v>
      </c>
      <c r="E433" s="3">
        <f t="shared" si="27"/>
        <v>-44.306886666590309</v>
      </c>
      <c r="F433" s="3">
        <v>63</v>
      </c>
      <c r="G433">
        <v>22.248315039016099</v>
      </c>
      <c r="I433" s="3">
        <v>1915.75</v>
      </c>
      <c r="J433" s="3">
        <v>0</v>
      </c>
      <c r="K433" s="3">
        <v>243.32257609697101</v>
      </c>
    </row>
    <row r="434" spans="1:11" ht="18" x14ac:dyDescent="0.25">
      <c r="A434" s="3">
        <v>1988.8333333333301</v>
      </c>
      <c r="B434" s="3">
        <f t="shared" si="24"/>
        <v>16.270557029177724</v>
      </c>
      <c r="C434" s="3">
        <f t="shared" si="25"/>
        <v>29.49121641256076</v>
      </c>
      <c r="D434" s="3">
        <f t="shared" si="26"/>
        <v>16.270557029177724</v>
      </c>
      <c r="E434" s="3">
        <f t="shared" si="27"/>
        <v>8.1152059093820981</v>
      </c>
      <c r="F434" s="3">
        <v>81</v>
      </c>
      <c r="G434">
        <v>74.670407614988505</v>
      </c>
      <c r="I434" s="3">
        <v>1915.8333333333301</v>
      </c>
      <c r="J434" s="3">
        <v>0</v>
      </c>
      <c r="K434" s="3">
        <v>288.95354574373101</v>
      </c>
    </row>
    <row r="435" spans="1:11" ht="18" x14ac:dyDescent="0.25">
      <c r="A435" s="3">
        <v>1988.9166666666599</v>
      </c>
      <c r="B435" s="3">
        <f t="shared" si="24"/>
        <v>34.270557029177724</v>
      </c>
      <c r="C435" s="3">
        <f t="shared" si="25"/>
        <v>120.04764300112934</v>
      </c>
      <c r="D435" s="3">
        <f t="shared" si="26"/>
        <v>34.270557029177724</v>
      </c>
      <c r="E435" s="3">
        <f t="shared" si="27"/>
        <v>47.819521477100594</v>
      </c>
      <c r="F435" s="3">
        <v>99</v>
      </c>
      <c r="G435">
        <v>114.374723182707</v>
      </c>
      <c r="I435" s="3">
        <v>1915.9166666666599</v>
      </c>
      <c r="J435" s="3">
        <v>0</v>
      </c>
      <c r="K435" s="3">
        <v>310.99395127621898</v>
      </c>
    </row>
    <row r="436" spans="1:11" ht="18" x14ac:dyDescent="0.25">
      <c r="A436" s="3">
        <v>1989</v>
      </c>
      <c r="B436" s="3">
        <f t="shared" si="24"/>
        <v>34.270557029177724</v>
      </c>
      <c r="C436" s="3">
        <f t="shared" si="25"/>
        <v>113.5286214676316</v>
      </c>
      <c r="D436" s="3">
        <f t="shared" si="26"/>
        <v>34.270557029177724</v>
      </c>
      <c r="E436" s="3">
        <f t="shared" si="27"/>
        <v>43.811105007169587</v>
      </c>
      <c r="F436" s="3">
        <v>99</v>
      </c>
      <c r="G436">
        <v>110.36630671277599</v>
      </c>
      <c r="I436" s="3">
        <v>1916</v>
      </c>
      <c r="J436" s="3">
        <v>0</v>
      </c>
      <c r="K436" s="3">
        <v>285.68214890996097</v>
      </c>
    </row>
    <row r="437" spans="1:11" ht="18" x14ac:dyDescent="0.25">
      <c r="A437" s="3">
        <v>1989.0833333333301</v>
      </c>
      <c r="B437" s="3">
        <f t="shared" si="24"/>
        <v>19.270557029177724</v>
      </c>
      <c r="C437" s="3">
        <f t="shared" si="25"/>
        <v>91.077641723497237</v>
      </c>
      <c r="D437" s="3">
        <f t="shared" si="26"/>
        <v>19.270557029177724</v>
      </c>
      <c r="E437" s="3">
        <f t="shared" si="27"/>
        <v>31.735524139627998</v>
      </c>
      <c r="F437" s="3">
        <v>84</v>
      </c>
      <c r="G437">
        <v>98.290725845234405</v>
      </c>
      <c r="I437" s="3">
        <v>1916.0833333333301</v>
      </c>
      <c r="J437" s="3">
        <v>0</v>
      </c>
      <c r="K437" s="3">
        <v>257.803476946773</v>
      </c>
    </row>
    <row r="438" spans="1:11" ht="18" x14ac:dyDescent="0.25">
      <c r="A438" s="3">
        <v>1989.1666666666599</v>
      </c>
      <c r="B438" s="3">
        <f t="shared" si="24"/>
        <v>-24.729442970822276</v>
      </c>
      <c r="C438" s="3">
        <f t="shared" si="25"/>
        <v>101.80359243991192</v>
      </c>
      <c r="D438" s="3">
        <f t="shared" si="26"/>
        <v>-24.729442970822276</v>
      </c>
      <c r="E438" s="3">
        <f t="shared" si="27"/>
        <v>37.197950504811587</v>
      </c>
      <c r="F438" s="3">
        <v>40</v>
      </c>
      <c r="G438">
        <v>103.75315221041799</v>
      </c>
      <c r="I438" s="3">
        <v>1916.1666666666599</v>
      </c>
      <c r="J438" s="3">
        <v>0</v>
      </c>
      <c r="K438" s="3">
        <v>244.419018619496</v>
      </c>
    </row>
    <row r="439" spans="1:11" ht="18" x14ac:dyDescent="0.25">
      <c r="A439" s="3">
        <v>1989.25</v>
      </c>
      <c r="B439" s="3">
        <f t="shared" si="24"/>
        <v>-24.729442970822276</v>
      </c>
      <c r="C439" s="3">
        <f t="shared" si="25"/>
        <v>148.96126116313349</v>
      </c>
      <c r="D439" s="3">
        <f t="shared" si="26"/>
        <v>-24.729442970822276</v>
      </c>
      <c r="E439" s="3">
        <f t="shared" si="27"/>
        <v>69.230616539420595</v>
      </c>
      <c r="F439" s="3">
        <v>40</v>
      </c>
      <c r="G439">
        <v>135.785818245027</v>
      </c>
      <c r="I439" s="3">
        <v>1916.25</v>
      </c>
      <c r="J439" s="3">
        <v>0</v>
      </c>
      <c r="K439" s="3">
        <v>239.22127154982601</v>
      </c>
    </row>
    <row r="440" spans="1:11" ht="18" x14ac:dyDescent="0.25">
      <c r="A440" s="3">
        <v>1989.3333333333301</v>
      </c>
      <c r="B440" s="3">
        <f t="shared" si="24"/>
        <v>85.270557029177724</v>
      </c>
      <c r="C440" s="3">
        <f t="shared" si="25"/>
        <v>206.53493689547949</v>
      </c>
      <c r="D440" s="3">
        <f t="shared" si="26"/>
        <v>85.270557029177724</v>
      </c>
      <c r="E440" s="3">
        <f t="shared" si="27"/>
        <v>143.69796810468259</v>
      </c>
      <c r="F440" s="3">
        <v>150</v>
      </c>
      <c r="G440">
        <v>210.25316981028899</v>
      </c>
      <c r="I440" s="3">
        <v>1916.3333333333301</v>
      </c>
      <c r="J440" s="3">
        <v>0</v>
      </c>
      <c r="K440" s="3">
        <v>249.436059950615</v>
      </c>
    </row>
    <row r="441" spans="1:11" ht="18" x14ac:dyDescent="0.25">
      <c r="A441" s="3">
        <v>1989.4166666666599</v>
      </c>
      <c r="B441" s="3">
        <f t="shared" si="24"/>
        <v>185.27055702917772</v>
      </c>
      <c r="C441" s="3">
        <f t="shared" si="25"/>
        <v>234.91532849401952</v>
      </c>
      <c r="D441" s="3">
        <f t="shared" si="26"/>
        <v>185.27055702917772</v>
      </c>
      <c r="E441" s="3">
        <f t="shared" si="27"/>
        <v>216.48447478276358</v>
      </c>
      <c r="F441" s="3">
        <v>250</v>
      </c>
      <c r="G441">
        <v>283.03967648836999</v>
      </c>
      <c r="I441" s="3">
        <v>1916.4166666666599</v>
      </c>
      <c r="J441" s="3">
        <v>0</v>
      </c>
      <c r="K441" s="3">
        <v>242.10753498554999</v>
      </c>
    </row>
    <row r="442" spans="1:11" ht="18" x14ac:dyDescent="0.25">
      <c r="A442" s="3">
        <v>1989.5</v>
      </c>
      <c r="B442" s="3">
        <f t="shared" si="24"/>
        <v>216.27055702917772</v>
      </c>
      <c r="C442" s="3">
        <f t="shared" si="25"/>
        <v>242.48113974222312</v>
      </c>
      <c r="D442" s="3">
        <f t="shared" si="26"/>
        <v>216.27055702917772</v>
      </c>
      <c r="E442" s="3">
        <f t="shared" si="27"/>
        <v>244.61925804748961</v>
      </c>
      <c r="F442" s="3">
        <v>281</v>
      </c>
      <c r="G442">
        <v>311.17445975309602</v>
      </c>
      <c r="I442" s="3">
        <v>1916.5</v>
      </c>
      <c r="J442" s="3">
        <v>0</v>
      </c>
      <c r="K442" s="3">
        <v>198.90468754634199</v>
      </c>
    </row>
    <row r="443" spans="1:11" ht="18" x14ac:dyDescent="0.25">
      <c r="A443" s="3">
        <v>1989.5833333333301</v>
      </c>
      <c r="B443" s="3">
        <f t="shared" si="24"/>
        <v>235.27055702917772</v>
      </c>
      <c r="C443" s="3">
        <f t="shared" si="25"/>
        <v>243.72694580892031</v>
      </c>
      <c r="D443" s="3">
        <f t="shared" si="26"/>
        <v>235.27055702917772</v>
      </c>
      <c r="E443" s="3">
        <f t="shared" si="27"/>
        <v>249.7710905706806</v>
      </c>
      <c r="F443" s="3">
        <v>300</v>
      </c>
      <c r="G443">
        <v>316.32629227628701</v>
      </c>
      <c r="I443" s="3">
        <v>1916.5833333333301</v>
      </c>
      <c r="J443" s="3">
        <v>0</v>
      </c>
      <c r="K443" s="3">
        <v>146.31249765042</v>
      </c>
    </row>
    <row r="444" spans="1:11" ht="18" x14ac:dyDescent="0.25">
      <c r="A444" s="3">
        <v>1989.6666666666599</v>
      </c>
      <c r="B444" s="3">
        <f t="shared" si="24"/>
        <v>241.27055702917772</v>
      </c>
      <c r="C444" s="3">
        <f t="shared" si="25"/>
        <v>242.10943642548344</v>
      </c>
      <c r="D444" s="3">
        <f t="shared" si="26"/>
        <v>241.27055702917772</v>
      </c>
      <c r="E444" s="3">
        <f t="shared" si="27"/>
        <v>243.11311652559357</v>
      </c>
      <c r="F444" s="3">
        <v>306</v>
      </c>
      <c r="G444">
        <v>309.66831823119998</v>
      </c>
      <c r="I444" s="3">
        <v>1916.6666666666599</v>
      </c>
      <c r="J444" s="3">
        <v>0</v>
      </c>
      <c r="K444" s="3">
        <v>82.298967448999406</v>
      </c>
    </row>
    <row r="445" spans="1:11" ht="18" x14ac:dyDescent="0.25">
      <c r="A445" s="3">
        <v>1989.75</v>
      </c>
      <c r="B445" s="3">
        <f t="shared" si="24"/>
        <v>242.27055702917772</v>
      </c>
      <c r="C445" s="3">
        <f t="shared" si="25"/>
        <v>238.74601913349431</v>
      </c>
      <c r="D445" s="3">
        <f t="shared" si="26"/>
        <v>242.27055702917772</v>
      </c>
      <c r="E445" s="3">
        <f t="shared" si="27"/>
        <v>230.09328900260562</v>
      </c>
      <c r="F445" s="3">
        <v>307</v>
      </c>
      <c r="G445">
        <v>296.64849070821202</v>
      </c>
      <c r="I445" s="3">
        <v>1916.75</v>
      </c>
      <c r="J445" s="3">
        <v>0</v>
      </c>
      <c r="K445" s="3">
        <v>11.785259892356599</v>
      </c>
    </row>
    <row r="446" spans="1:11" ht="18" x14ac:dyDescent="0.25">
      <c r="A446" s="3">
        <v>1989.8333333333301</v>
      </c>
      <c r="B446" s="3">
        <f t="shared" si="24"/>
        <v>242.27055702917772</v>
      </c>
      <c r="C446" s="3">
        <f t="shared" si="25"/>
        <v>234.70287958059222</v>
      </c>
      <c r="D446" s="3">
        <f t="shared" si="26"/>
        <v>242.27055702917772</v>
      </c>
      <c r="E446" s="3">
        <f t="shared" si="27"/>
        <v>215.76454263823359</v>
      </c>
      <c r="F446" s="3">
        <v>307</v>
      </c>
      <c r="G446">
        <v>282.31974434384</v>
      </c>
      <c r="I446" s="3">
        <v>1916.8333333333301</v>
      </c>
      <c r="J446" s="3">
        <v>0</v>
      </c>
      <c r="K446" s="3">
        <v>-44.666388415527699</v>
      </c>
    </row>
    <row r="447" spans="1:11" ht="18" x14ac:dyDescent="0.25">
      <c r="A447" s="3">
        <v>1989.9166666666599</v>
      </c>
      <c r="B447" s="3">
        <f t="shared" si="24"/>
        <v>241.27055702917772</v>
      </c>
      <c r="C447" s="3">
        <f t="shared" si="25"/>
        <v>218.32229234535737</v>
      </c>
      <c r="D447" s="3">
        <f t="shared" si="26"/>
        <v>241.27055702917772</v>
      </c>
      <c r="E447" s="3">
        <f t="shared" si="27"/>
        <v>169.10760977633458</v>
      </c>
      <c r="F447" s="3">
        <v>306</v>
      </c>
      <c r="G447">
        <v>235.66281148194099</v>
      </c>
      <c r="I447" s="3">
        <v>1916.9166666666599</v>
      </c>
      <c r="J447" s="3">
        <v>0</v>
      </c>
      <c r="K447" s="3">
        <v>-98.057867130675803</v>
      </c>
    </row>
    <row r="448" spans="1:11" ht="18" x14ac:dyDescent="0.25">
      <c r="A448" s="3">
        <v>1990</v>
      </c>
      <c r="B448" s="3">
        <f t="shared" si="24"/>
        <v>217.27055702917772</v>
      </c>
      <c r="C448" s="3">
        <f t="shared" si="25"/>
        <v>178.72776912965304</v>
      </c>
      <c r="D448" s="3">
        <f t="shared" si="26"/>
        <v>217.27055702917772</v>
      </c>
      <c r="E448" s="3">
        <f t="shared" si="27"/>
        <v>100.2781410551346</v>
      </c>
      <c r="F448" s="3">
        <v>282</v>
      </c>
      <c r="G448">
        <v>166.833342760741</v>
      </c>
      <c r="I448" s="3">
        <v>1917</v>
      </c>
      <c r="J448" s="3">
        <v>0</v>
      </c>
      <c r="K448" s="3">
        <v>-131.653356007366</v>
      </c>
    </row>
    <row r="449" spans="1:11" ht="18" x14ac:dyDescent="0.25">
      <c r="A449" s="3">
        <v>1990.0833333333301</v>
      </c>
      <c r="B449" s="3">
        <f t="shared" si="24"/>
        <v>-22.729442970822276</v>
      </c>
      <c r="C449" s="3">
        <f t="shared" si="25"/>
        <v>119.89763915444499</v>
      </c>
      <c r="D449" s="3">
        <f t="shared" si="26"/>
        <v>-22.729442970822276</v>
      </c>
      <c r="E449" s="3">
        <f t="shared" si="27"/>
        <v>47.724385739120592</v>
      </c>
      <c r="F449" s="3">
        <v>42</v>
      </c>
      <c r="G449">
        <v>114.279587444727</v>
      </c>
      <c r="I449" s="3">
        <v>1917.0833333333301</v>
      </c>
      <c r="J449" s="3">
        <v>0</v>
      </c>
      <c r="K449" s="3">
        <v>-126.069757452754</v>
      </c>
    </row>
    <row r="450" spans="1:11" ht="18" x14ac:dyDescent="0.25">
      <c r="A450" s="3">
        <v>1990.1666666666599</v>
      </c>
      <c r="B450" s="3">
        <f t="shared" si="24"/>
        <v>-32.729442970822276</v>
      </c>
      <c r="C450" s="3">
        <f t="shared" si="25"/>
        <v>-31.084800204337867</v>
      </c>
      <c r="D450" s="3">
        <f t="shared" si="26"/>
        <v>-32.729442970822276</v>
      </c>
      <c r="E450" s="3">
        <f t="shared" si="27"/>
        <v>-8.6005146492535047</v>
      </c>
      <c r="F450" s="3">
        <v>32</v>
      </c>
      <c r="G450">
        <v>57.954687056352903</v>
      </c>
      <c r="I450" s="3">
        <v>1917.1666666666599</v>
      </c>
      <c r="J450" s="3">
        <v>0</v>
      </c>
      <c r="K450" s="3">
        <v>-119.848176945407</v>
      </c>
    </row>
    <row r="451" spans="1:11" ht="18" x14ac:dyDescent="0.25">
      <c r="A451" s="3">
        <v>1990.25</v>
      </c>
      <c r="B451" s="3">
        <f t="shared" si="24"/>
        <v>-173.72944297082228</v>
      </c>
      <c r="C451" s="3">
        <f t="shared" si="25"/>
        <v>-154.17705264723446</v>
      </c>
      <c r="D451" s="3">
        <f t="shared" si="26"/>
        <v>-173.72944297082228</v>
      </c>
      <c r="E451" s="3">
        <f t="shared" si="27"/>
        <v>-73.876766355448893</v>
      </c>
      <c r="F451" s="3">
        <v>-109</v>
      </c>
      <c r="G451">
        <v>-7.3215646498424798</v>
      </c>
      <c r="I451" s="3">
        <v>1917.25</v>
      </c>
      <c r="J451" s="3">
        <v>0</v>
      </c>
      <c r="K451" s="3">
        <v>-117.39736689483701</v>
      </c>
    </row>
    <row r="452" spans="1:11" ht="18" x14ac:dyDescent="0.25">
      <c r="A452" s="3">
        <v>1990.3333333333301</v>
      </c>
      <c r="B452" s="3">
        <f t="shared" si="24"/>
        <v>-188.72944297082228</v>
      </c>
      <c r="C452" s="3">
        <f t="shared" si="25"/>
        <v>-193.21763929574897</v>
      </c>
      <c r="D452" s="3">
        <f t="shared" si="26"/>
        <v>-188.72944297082228</v>
      </c>
      <c r="E452" s="3">
        <f t="shared" si="27"/>
        <v>-120.57052695219821</v>
      </c>
      <c r="F452" s="3">
        <v>-124</v>
      </c>
      <c r="G452">
        <v>-54.0153252465918</v>
      </c>
      <c r="I452" s="3">
        <v>1917.3333333333301</v>
      </c>
      <c r="J452" s="3">
        <v>0</v>
      </c>
      <c r="K452" s="3">
        <v>-90.671586242675602</v>
      </c>
    </row>
    <row r="453" spans="1:11" ht="18" x14ac:dyDescent="0.25">
      <c r="A453" s="3">
        <v>1990.4166666666599</v>
      </c>
      <c r="B453" s="3">
        <f t="shared" si="24"/>
        <v>-188.72944297082228</v>
      </c>
      <c r="C453" s="3">
        <f t="shared" si="25"/>
        <v>-211.32740302866961</v>
      </c>
      <c r="D453" s="3">
        <f t="shared" si="26"/>
        <v>-188.72944297082228</v>
      </c>
      <c r="E453" s="3">
        <f t="shared" si="27"/>
        <v>-153.3781572769619</v>
      </c>
      <c r="F453" s="3">
        <v>-124</v>
      </c>
      <c r="G453">
        <v>-86.822955571355493</v>
      </c>
      <c r="I453" s="3">
        <v>1917.4166666666599</v>
      </c>
      <c r="J453" s="3">
        <v>0</v>
      </c>
      <c r="K453" s="3">
        <v>-52.9537849894934</v>
      </c>
    </row>
    <row r="454" spans="1:11" ht="18" x14ac:dyDescent="0.25">
      <c r="A454" s="3">
        <v>1990.5</v>
      </c>
      <c r="B454" s="3">
        <f t="shared" ref="B454:B517" si="28">+$D454</f>
        <v>-195.72944297082228</v>
      </c>
      <c r="C454" s="3">
        <f t="shared" ref="C454:C517" si="29">$B$1*$E454/(1+$B$3*ABS($E454)^$B$2)</f>
        <v>-219.01852059348016</v>
      </c>
      <c r="D454" s="3">
        <f t="shared" ref="D454:D517" si="30">+F454-$F$3</f>
        <v>-195.72944297082228</v>
      </c>
      <c r="E454" s="3">
        <f t="shared" ref="E454:E517" si="31">+$G454-$G$3</f>
        <v>-170.78973226225042</v>
      </c>
      <c r="F454" s="3">
        <v>-131</v>
      </c>
      <c r="G454">
        <v>-104.234530556644</v>
      </c>
      <c r="I454" s="3">
        <v>1917.5</v>
      </c>
      <c r="J454" s="3">
        <v>0</v>
      </c>
      <c r="K454" s="3">
        <v>-14.7034277427099</v>
      </c>
    </row>
    <row r="455" spans="1:11" ht="18" x14ac:dyDescent="0.25">
      <c r="A455" s="3">
        <v>1990.5833333333301</v>
      </c>
      <c r="B455" s="3">
        <f t="shared" si="28"/>
        <v>-199.72944297082228</v>
      </c>
      <c r="C455" s="3">
        <f t="shared" si="29"/>
        <v>-222.46745217734934</v>
      </c>
      <c r="D455" s="3">
        <f t="shared" si="30"/>
        <v>-199.72944297082228</v>
      </c>
      <c r="E455" s="3">
        <f t="shared" si="31"/>
        <v>-179.4682726542174</v>
      </c>
      <c r="F455" s="3">
        <v>-135</v>
      </c>
      <c r="G455">
        <v>-112.91307094861099</v>
      </c>
      <c r="I455" s="3">
        <v>1917.5833333333301</v>
      </c>
      <c r="J455" s="3">
        <v>0</v>
      </c>
      <c r="K455" s="3">
        <v>12.276633846983801</v>
      </c>
    </row>
    <row r="456" spans="1:11" ht="18" x14ac:dyDescent="0.25">
      <c r="A456" s="3">
        <v>1990.6666666666599</v>
      </c>
      <c r="B456" s="3">
        <f t="shared" si="28"/>
        <v>-195.72944297082228</v>
      </c>
      <c r="C456" s="3">
        <f t="shared" si="29"/>
        <v>-232.84020605055792</v>
      </c>
      <c r="D456" s="3">
        <f t="shared" si="30"/>
        <v>-195.72944297082228</v>
      </c>
      <c r="E456" s="3">
        <f t="shared" si="31"/>
        <v>-209.59874735495342</v>
      </c>
      <c r="F456" s="3">
        <v>-131</v>
      </c>
      <c r="G456">
        <v>-143.04354564934701</v>
      </c>
      <c r="I456" s="3">
        <v>1917.6666666666599</v>
      </c>
      <c r="J456" s="3">
        <v>0</v>
      </c>
      <c r="K456" s="3">
        <v>15.3970225521015</v>
      </c>
    </row>
    <row r="457" spans="1:11" ht="18" x14ac:dyDescent="0.25">
      <c r="A457" s="3">
        <v>1990.75</v>
      </c>
      <c r="B457" s="3">
        <f t="shared" si="28"/>
        <v>-194.72944297082228</v>
      </c>
      <c r="C457" s="3">
        <f t="shared" si="29"/>
        <v>-240.91478973839961</v>
      </c>
      <c r="D457" s="3">
        <f t="shared" si="30"/>
        <v>-194.72944297082228</v>
      </c>
      <c r="E457" s="3">
        <f t="shared" si="31"/>
        <v>-238.3654951658124</v>
      </c>
      <c r="F457" s="3">
        <v>-130</v>
      </c>
      <c r="G457">
        <v>-171.810293460206</v>
      </c>
      <c r="I457" s="3">
        <v>1917.75</v>
      </c>
      <c r="J457" s="3">
        <v>0</v>
      </c>
      <c r="K457" s="3">
        <v>38.1658233384629</v>
      </c>
    </row>
    <row r="458" spans="1:11" ht="18" x14ac:dyDescent="0.25">
      <c r="A458" s="3">
        <v>1990.8333333333301</v>
      </c>
      <c r="B458" s="3">
        <f t="shared" si="28"/>
        <v>-174.72944297082228</v>
      </c>
      <c r="C458" s="3">
        <f t="shared" si="29"/>
        <v>-241.57989935818068</v>
      </c>
      <c r="D458" s="3">
        <f t="shared" si="30"/>
        <v>-174.72944297082228</v>
      </c>
      <c r="E458" s="3">
        <f t="shared" si="31"/>
        <v>-240.99136890540441</v>
      </c>
      <c r="F458" s="3">
        <v>-110</v>
      </c>
      <c r="G458">
        <v>-174.43616719979801</v>
      </c>
      <c r="I458" s="3">
        <v>1917.8333333333301</v>
      </c>
      <c r="J458" s="3">
        <v>0</v>
      </c>
      <c r="K458" s="3">
        <v>95.731973033395207</v>
      </c>
    </row>
    <row r="459" spans="1:11" ht="18" x14ac:dyDescent="0.25">
      <c r="A459" s="3">
        <v>1990.9166666666599</v>
      </c>
      <c r="B459" s="3">
        <f t="shared" si="28"/>
        <v>-174.72944297082228</v>
      </c>
      <c r="C459" s="3">
        <f t="shared" si="29"/>
        <v>-241.13433468590182</v>
      </c>
      <c r="D459" s="3">
        <f t="shared" si="30"/>
        <v>-174.72944297082228</v>
      </c>
      <c r="E459" s="3">
        <f t="shared" si="31"/>
        <v>-239.2275113789234</v>
      </c>
      <c r="F459" s="3">
        <v>-110</v>
      </c>
      <c r="G459">
        <v>-172.67230967331699</v>
      </c>
      <c r="I459" s="3">
        <v>1917.9166666666599</v>
      </c>
      <c r="J459" s="3">
        <v>0</v>
      </c>
      <c r="K459" s="3">
        <v>138.808035103994</v>
      </c>
    </row>
    <row r="460" spans="1:11" ht="18" x14ac:dyDescent="0.25">
      <c r="A460" s="3">
        <v>1991</v>
      </c>
      <c r="B460" s="3">
        <f t="shared" si="28"/>
        <v>-178.72944297082228</v>
      </c>
      <c r="C460" s="3">
        <f t="shared" si="29"/>
        <v>-238.15384694586822</v>
      </c>
      <c r="D460" s="3">
        <f t="shared" si="30"/>
        <v>-178.72944297082228</v>
      </c>
      <c r="E460" s="3">
        <f t="shared" si="31"/>
        <v>-227.90865331222841</v>
      </c>
      <c r="F460" s="3">
        <v>-114</v>
      </c>
      <c r="G460">
        <v>-161.353451606622</v>
      </c>
      <c r="I460" s="3">
        <v>1918</v>
      </c>
      <c r="J460" s="3">
        <v>0</v>
      </c>
      <c r="K460" s="3">
        <v>153.17076542310599</v>
      </c>
    </row>
    <row r="461" spans="1:11" ht="18" x14ac:dyDescent="0.25">
      <c r="A461" s="3">
        <v>1991.0833333333301</v>
      </c>
      <c r="B461" s="3">
        <f t="shared" si="28"/>
        <v>-191.72944297082228</v>
      </c>
      <c r="C461" s="3">
        <f t="shared" si="29"/>
        <v>-231.26464839469264</v>
      </c>
      <c r="D461" s="3">
        <f t="shared" si="30"/>
        <v>-191.72944297082228</v>
      </c>
      <c r="E461" s="3">
        <f t="shared" si="31"/>
        <v>-204.58018509806942</v>
      </c>
      <c r="F461" s="3">
        <v>-127</v>
      </c>
      <c r="G461">
        <v>-138.02498339246301</v>
      </c>
      <c r="I461" s="3">
        <v>1918.0833333333301</v>
      </c>
      <c r="J461" s="3">
        <v>0</v>
      </c>
      <c r="K461" s="3">
        <v>140.422073719304</v>
      </c>
    </row>
    <row r="462" spans="1:11" ht="18" x14ac:dyDescent="0.25">
      <c r="A462" s="3">
        <v>1991.1666666666599</v>
      </c>
      <c r="B462" s="3">
        <f t="shared" si="28"/>
        <v>-178.72944297082228</v>
      </c>
      <c r="C462" s="3">
        <f t="shared" si="29"/>
        <v>-223.11487115644547</v>
      </c>
      <c r="D462" s="3">
        <f t="shared" si="30"/>
        <v>-178.72944297082228</v>
      </c>
      <c r="E462" s="3">
        <f t="shared" si="31"/>
        <v>-181.16460700996441</v>
      </c>
      <c r="F462" s="3">
        <v>-114</v>
      </c>
      <c r="G462">
        <v>-114.60940530435801</v>
      </c>
      <c r="I462" s="3">
        <v>1918.1666666666599</v>
      </c>
      <c r="J462" s="3">
        <v>0</v>
      </c>
      <c r="K462" s="3">
        <v>105.508000319638</v>
      </c>
    </row>
    <row r="463" spans="1:11" ht="18" x14ac:dyDescent="0.25">
      <c r="A463" s="3">
        <v>1991.25</v>
      </c>
      <c r="B463" s="3">
        <f t="shared" si="28"/>
        <v>-169.72944297082228</v>
      </c>
      <c r="C463" s="3">
        <f t="shared" si="29"/>
        <v>-193.54317406084107</v>
      </c>
      <c r="D463" s="3">
        <f t="shared" si="30"/>
        <v>-169.72944297082228</v>
      </c>
      <c r="E463" s="3">
        <f t="shared" si="31"/>
        <v>-121.07885279846201</v>
      </c>
      <c r="F463" s="3">
        <v>-105</v>
      </c>
      <c r="G463">
        <v>-54.523651092855602</v>
      </c>
      <c r="I463" s="3">
        <v>1918.25</v>
      </c>
      <c r="J463" s="3">
        <v>0</v>
      </c>
      <c r="K463" s="3">
        <v>96.226595155999206</v>
      </c>
    </row>
    <row r="464" spans="1:11" ht="18" x14ac:dyDescent="0.25">
      <c r="A464" s="3">
        <v>1991.3333333333301</v>
      </c>
      <c r="B464" s="3">
        <f t="shared" si="28"/>
        <v>-156.72944297082228</v>
      </c>
      <c r="C464" s="3">
        <f t="shared" si="29"/>
        <v>-50.742616935761909</v>
      </c>
      <c r="D464" s="3">
        <f t="shared" si="30"/>
        <v>-156.72944297082228</v>
      </c>
      <c r="E464" s="3">
        <f t="shared" si="31"/>
        <v>-15.055466014318206</v>
      </c>
      <c r="F464" s="3">
        <v>-92</v>
      </c>
      <c r="G464">
        <v>51.499735691288201</v>
      </c>
      <c r="I464" s="3">
        <v>1918.3333333333301</v>
      </c>
      <c r="J464" s="3">
        <v>0</v>
      </c>
      <c r="K464" s="3">
        <v>120.94799425028999</v>
      </c>
    </row>
    <row r="465" spans="1:11" ht="18" x14ac:dyDescent="0.25">
      <c r="A465" s="3">
        <v>1991.4166666666599</v>
      </c>
      <c r="B465" s="3">
        <f t="shared" si="28"/>
        <v>2.2705570291777235</v>
      </c>
      <c r="C465" s="3">
        <f t="shared" si="29"/>
        <v>168.88156346895244</v>
      </c>
      <c r="D465" s="3">
        <f t="shared" si="30"/>
        <v>2.2705570291777235</v>
      </c>
      <c r="E465" s="3">
        <f t="shared" si="31"/>
        <v>88.675318509833602</v>
      </c>
      <c r="F465" s="3">
        <v>67</v>
      </c>
      <c r="G465">
        <v>155.23052021544001</v>
      </c>
      <c r="I465" s="3">
        <v>1918.4166666666599</v>
      </c>
      <c r="J465" s="3">
        <v>0</v>
      </c>
      <c r="K465" s="3">
        <v>143.78083777202301</v>
      </c>
    </row>
    <row r="466" spans="1:11" ht="18" x14ac:dyDescent="0.25">
      <c r="A466" s="3">
        <v>1991.5</v>
      </c>
      <c r="B466" s="3">
        <f t="shared" si="28"/>
        <v>144.27055702917772</v>
      </c>
      <c r="C466" s="3">
        <f t="shared" si="29"/>
        <v>216.37085614429211</v>
      </c>
      <c r="D466" s="3">
        <f t="shared" si="30"/>
        <v>144.27055702917772</v>
      </c>
      <c r="E466" s="3">
        <f t="shared" si="31"/>
        <v>164.51060913864359</v>
      </c>
      <c r="F466" s="3">
        <v>209</v>
      </c>
      <c r="G466">
        <v>231.06581084425</v>
      </c>
      <c r="I466" s="3">
        <v>1918.5</v>
      </c>
      <c r="J466" s="3">
        <v>0</v>
      </c>
      <c r="K466" s="3">
        <v>161.13624570425699</v>
      </c>
    </row>
    <row r="467" spans="1:11" ht="18" x14ac:dyDescent="0.25">
      <c r="A467" s="3">
        <v>1991.5833333333301</v>
      </c>
      <c r="B467" s="3">
        <f t="shared" si="28"/>
        <v>166.27055702917772</v>
      </c>
      <c r="C467" s="3">
        <f t="shared" si="29"/>
        <v>228.97135188419176</v>
      </c>
      <c r="D467" s="3">
        <f t="shared" si="30"/>
        <v>166.27055702917772</v>
      </c>
      <c r="E467" s="3">
        <f t="shared" si="31"/>
        <v>197.57802541425457</v>
      </c>
      <c r="F467" s="3">
        <v>231</v>
      </c>
      <c r="G467">
        <v>264.13322711986098</v>
      </c>
      <c r="I467" s="3">
        <v>1918.5833333333301</v>
      </c>
      <c r="J467" s="3">
        <v>0</v>
      </c>
      <c r="K467" s="3">
        <v>165.81236262603099</v>
      </c>
    </row>
    <row r="468" spans="1:11" ht="18" x14ac:dyDescent="0.25">
      <c r="A468" s="3">
        <v>1991.6666666666599</v>
      </c>
      <c r="B468" s="3">
        <f t="shared" si="28"/>
        <v>166.27055702917772</v>
      </c>
      <c r="C468" s="3">
        <f t="shared" si="29"/>
        <v>230.09209232140952</v>
      </c>
      <c r="D468" s="3">
        <f t="shared" si="30"/>
        <v>166.27055702917772</v>
      </c>
      <c r="E468" s="3">
        <f t="shared" si="31"/>
        <v>200.95651767777457</v>
      </c>
      <c r="F468" s="3">
        <v>231</v>
      </c>
      <c r="G468">
        <v>267.51171938338098</v>
      </c>
      <c r="I468" s="3">
        <v>1918.6666666666599</v>
      </c>
      <c r="J468" s="3">
        <v>0</v>
      </c>
      <c r="K468" s="3">
        <v>159.26591973674499</v>
      </c>
    </row>
    <row r="469" spans="1:11" ht="18" x14ac:dyDescent="0.25">
      <c r="A469" s="3">
        <v>1991.75</v>
      </c>
      <c r="B469" s="3">
        <f t="shared" si="28"/>
        <v>157.27055702917772</v>
      </c>
      <c r="C469" s="3">
        <f t="shared" si="29"/>
        <v>237.27005870954852</v>
      </c>
      <c r="D469" s="3">
        <f t="shared" si="30"/>
        <v>157.27055702917772</v>
      </c>
      <c r="E469" s="3">
        <f t="shared" si="31"/>
        <v>224.70474028577956</v>
      </c>
      <c r="F469" s="3">
        <v>222</v>
      </c>
      <c r="G469">
        <v>291.25994199138597</v>
      </c>
      <c r="I469" s="3">
        <v>1918.75</v>
      </c>
      <c r="J469" s="3">
        <v>0</v>
      </c>
      <c r="K469" s="3">
        <v>166.275238982898</v>
      </c>
    </row>
    <row r="470" spans="1:11" ht="18" x14ac:dyDescent="0.25">
      <c r="A470" s="3">
        <v>1991.8333333333301</v>
      </c>
      <c r="B470" s="3">
        <f t="shared" si="28"/>
        <v>157.27055702917772</v>
      </c>
      <c r="C470" s="3">
        <f t="shared" si="29"/>
        <v>244.32757737407411</v>
      </c>
      <c r="D470" s="3">
        <f t="shared" si="30"/>
        <v>157.27055702917772</v>
      </c>
      <c r="E470" s="3">
        <f t="shared" si="31"/>
        <v>252.31367313459657</v>
      </c>
      <c r="F470" s="3">
        <v>222</v>
      </c>
      <c r="G470">
        <v>318.86887484020298</v>
      </c>
      <c r="I470" s="3">
        <v>1918.8333333333301</v>
      </c>
      <c r="J470" s="3">
        <v>0</v>
      </c>
      <c r="K470" s="3">
        <v>156.69386435180701</v>
      </c>
    </row>
    <row r="471" spans="1:11" ht="18" x14ac:dyDescent="0.25">
      <c r="A471" s="3">
        <v>1991.9166666666599</v>
      </c>
      <c r="B471" s="3">
        <f t="shared" si="28"/>
        <v>177.27055702917772</v>
      </c>
      <c r="C471" s="3">
        <f t="shared" si="29"/>
        <v>241.69161128690402</v>
      </c>
      <c r="D471" s="3">
        <f t="shared" si="30"/>
        <v>177.27055702917772</v>
      </c>
      <c r="E471" s="3">
        <f t="shared" si="31"/>
        <v>241.43665780352757</v>
      </c>
      <c r="F471" s="3">
        <v>242</v>
      </c>
      <c r="G471">
        <v>307.99185950913397</v>
      </c>
      <c r="I471" s="3">
        <v>1918.9166666666599</v>
      </c>
      <c r="J471" s="3">
        <v>0</v>
      </c>
      <c r="K471" s="3">
        <v>105.59963878305599</v>
      </c>
    </row>
    <row r="472" spans="1:11" ht="18" x14ac:dyDescent="0.25">
      <c r="A472" s="3">
        <v>1992</v>
      </c>
      <c r="B472" s="3">
        <f t="shared" si="28"/>
        <v>188.27055702917772</v>
      </c>
      <c r="C472" s="3">
        <f t="shared" si="29"/>
        <v>233.64441954697421</v>
      </c>
      <c r="D472" s="3">
        <f t="shared" si="30"/>
        <v>188.27055702917772</v>
      </c>
      <c r="E472" s="3">
        <f t="shared" si="31"/>
        <v>212.22908527519758</v>
      </c>
      <c r="F472" s="3">
        <v>253</v>
      </c>
      <c r="G472">
        <v>278.78428698080398</v>
      </c>
      <c r="I472" s="3">
        <v>1919</v>
      </c>
      <c r="J472" s="3">
        <v>0</v>
      </c>
      <c r="K472" s="3">
        <v>54.126263260432999</v>
      </c>
    </row>
    <row r="473" spans="1:11" ht="18" x14ac:dyDescent="0.25">
      <c r="A473" s="3">
        <v>1992.0833333333301</v>
      </c>
      <c r="B473" s="3">
        <f t="shared" si="28"/>
        <v>188.27055702917772</v>
      </c>
      <c r="C473" s="3">
        <f t="shared" si="29"/>
        <v>221.70660314938345</v>
      </c>
      <c r="D473" s="3">
        <f t="shared" si="30"/>
        <v>188.27055702917772</v>
      </c>
      <c r="E473" s="3">
        <f t="shared" si="31"/>
        <v>177.5026242712876</v>
      </c>
      <c r="F473" s="3">
        <v>253</v>
      </c>
      <c r="G473">
        <v>244.05782597689401</v>
      </c>
      <c r="I473" s="3">
        <v>1919.0833333333301</v>
      </c>
      <c r="J473" s="3">
        <v>0</v>
      </c>
      <c r="K473" s="3">
        <v>16.837143253769099</v>
      </c>
    </row>
    <row r="474" spans="1:11" ht="18" x14ac:dyDescent="0.25">
      <c r="A474" s="3">
        <v>1992.1666666666599</v>
      </c>
      <c r="B474" s="3">
        <f t="shared" si="28"/>
        <v>189.27055702917772</v>
      </c>
      <c r="C474" s="3">
        <f t="shared" si="29"/>
        <v>204.25252113450946</v>
      </c>
      <c r="D474" s="3">
        <f t="shared" si="30"/>
        <v>189.27055702917772</v>
      </c>
      <c r="E474" s="3">
        <f t="shared" si="31"/>
        <v>139.36390983465958</v>
      </c>
      <c r="F474" s="3">
        <v>254</v>
      </c>
      <c r="G474">
        <v>205.91911154026599</v>
      </c>
      <c r="I474" s="3">
        <v>1919.1666666666599</v>
      </c>
      <c r="J474" s="3">
        <v>0</v>
      </c>
      <c r="K474" s="3">
        <v>-10.695549055293601</v>
      </c>
    </row>
    <row r="475" spans="1:11" ht="18" x14ac:dyDescent="0.25">
      <c r="A475" s="3">
        <v>1992.25</v>
      </c>
      <c r="B475" s="3">
        <f t="shared" si="28"/>
        <v>195.27055702917772</v>
      </c>
      <c r="C475" s="3">
        <f t="shared" si="29"/>
        <v>188.55850169701299</v>
      </c>
      <c r="D475" s="3">
        <f t="shared" si="30"/>
        <v>195.27055702917772</v>
      </c>
      <c r="E475" s="3">
        <f t="shared" si="31"/>
        <v>113.56625345928859</v>
      </c>
      <c r="F475" s="3">
        <v>260</v>
      </c>
      <c r="G475">
        <v>180.121455164895</v>
      </c>
      <c r="I475" s="3">
        <v>1919.25</v>
      </c>
      <c r="J475" s="3">
        <v>0</v>
      </c>
      <c r="K475" s="3">
        <v>-17.445556873762399</v>
      </c>
    </row>
    <row r="476" spans="1:11" ht="18" x14ac:dyDescent="0.25">
      <c r="A476" s="3">
        <v>1992.3333333333301</v>
      </c>
      <c r="B476" s="3">
        <f t="shared" si="28"/>
        <v>197.27055702917772</v>
      </c>
      <c r="C476" s="3">
        <f t="shared" si="29"/>
        <v>160.18466705735699</v>
      </c>
      <c r="D476" s="3">
        <f t="shared" si="30"/>
        <v>197.27055702917772</v>
      </c>
      <c r="E476" s="3">
        <f t="shared" si="31"/>
        <v>79.598592045799592</v>
      </c>
      <c r="F476" s="3">
        <v>262</v>
      </c>
      <c r="G476">
        <v>146.153793751406</v>
      </c>
      <c r="I476" s="3">
        <v>1919.3333333333301</v>
      </c>
      <c r="J476" s="3">
        <v>0</v>
      </c>
      <c r="K476" s="3">
        <v>-17.9741485522791</v>
      </c>
    </row>
    <row r="477" spans="1:11" ht="18" x14ac:dyDescent="0.25">
      <c r="A477" s="3">
        <v>1992.4166666666599</v>
      </c>
      <c r="B477" s="3">
        <f t="shared" si="28"/>
        <v>203.27055702917772</v>
      </c>
      <c r="C477" s="3">
        <f t="shared" si="29"/>
        <v>92.392743628924634</v>
      </c>
      <c r="D477" s="3">
        <f t="shared" si="30"/>
        <v>203.27055702917772</v>
      </c>
      <c r="E477" s="3">
        <f t="shared" si="31"/>
        <v>32.377862120803499</v>
      </c>
      <c r="F477" s="3">
        <v>268</v>
      </c>
      <c r="G477">
        <v>98.933063826409906</v>
      </c>
      <c r="I477" s="3">
        <v>1919.4166666666599</v>
      </c>
      <c r="J477" s="3">
        <v>0</v>
      </c>
      <c r="K477" s="3">
        <v>-8.3504310273236193</v>
      </c>
    </row>
    <row r="478" spans="1:11" ht="18" x14ac:dyDescent="0.25">
      <c r="A478" s="3">
        <v>1992.5</v>
      </c>
      <c r="B478" s="3">
        <f t="shared" si="28"/>
        <v>203.27055702917772</v>
      </c>
      <c r="C478" s="3">
        <f t="shared" si="29"/>
        <v>-13.288470255623983</v>
      </c>
      <c r="D478" s="3">
        <f t="shared" si="30"/>
        <v>203.27055702917772</v>
      </c>
      <c r="E478" s="3">
        <f t="shared" si="31"/>
        <v>-3.4649472240083057</v>
      </c>
      <c r="F478" s="3">
        <v>268</v>
      </c>
      <c r="G478">
        <v>63.090254481598102</v>
      </c>
      <c r="I478" s="3">
        <v>1919.5</v>
      </c>
      <c r="J478" s="3">
        <v>0</v>
      </c>
      <c r="K478" s="3">
        <v>23.0998423335528</v>
      </c>
    </row>
    <row r="479" spans="1:11" ht="18" x14ac:dyDescent="0.25">
      <c r="A479" s="3">
        <v>1992.5833333333301</v>
      </c>
      <c r="B479" s="3">
        <f t="shared" si="28"/>
        <v>14.270557029177724</v>
      </c>
      <c r="C479" s="3">
        <f t="shared" si="29"/>
        <v>-115.05305937481346</v>
      </c>
      <c r="D479" s="3">
        <f t="shared" si="30"/>
        <v>14.270557029177724</v>
      </c>
      <c r="E479" s="3">
        <f t="shared" si="31"/>
        <v>-44.72586927538751</v>
      </c>
      <c r="F479" s="3">
        <v>79</v>
      </c>
      <c r="G479">
        <v>21.829332430218901</v>
      </c>
      <c r="I479" s="3">
        <v>1919.5833333333301</v>
      </c>
      <c r="J479" s="3">
        <v>0</v>
      </c>
      <c r="K479" s="3">
        <v>37.564751203542897</v>
      </c>
    </row>
    <row r="480" spans="1:11" ht="18" x14ac:dyDescent="0.25">
      <c r="A480" s="3">
        <v>1992.6666666666599</v>
      </c>
      <c r="B480" s="3">
        <f t="shared" si="28"/>
        <v>-72.729442970822276</v>
      </c>
      <c r="C480" s="3">
        <f t="shared" si="29"/>
        <v>-173.69337485669928</v>
      </c>
      <c r="D480" s="3">
        <f t="shared" si="30"/>
        <v>-72.729442970822276</v>
      </c>
      <c r="E480" s="3">
        <f t="shared" si="31"/>
        <v>-94.153579050020809</v>
      </c>
      <c r="F480" s="3">
        <v>-8</v>
      </c>
      <c r="G480">
        <v>-27.598377344414398</v>
      </c>
      <c r="I480" s="3">
        <v>1919.6666666666599</v>
      </c>
      <c r="J480" s="3">
        <v>0</v>
      </c>
      <c r="K480" s="3">
        <v>30.344983872999901</v>
      </c>
    </row>
    <row r="481" spans="1:11" ht="18" x14ac:dyDescent="0.25">
      <c r="A481" s="3">
        <v>1992.75</v>
      </c>
      <c r="B481" s="3">
        <f t="shared" si="28"/>
        <v>-139.72944297082228</v>
      </c>
      <c r="C481" s="3">
        <f t="shared" si="29"/>
        <v>-198.96039619975113</v>
      </c>
      <c r="D481" s="3">
        <f t="shared" si="30"/>
        <v>-139.72944297082228</v>
      </c>
      <c r="E481" s="3">
        <f t="shared" si="31"/>
        <v>-129.93153789773081</v>
      </c>
      <c r="F481" s="3">
        <v>-75</v>
      </c>
      <c r="G481">
        <v>-63.376336192124398</v>
      </c>
      <c r="I481" s="3">
        <v>1919.75</v>
      </c>
      <c r="J481" s="3">
        <v>0</v>
      </c>
      <c r="K481" s="3">
        <v>34.950830872306398</v>
      </c>
    </row>
    <row r="482" spans="1:11" ht="18" x14ac:dyDescent="0.25">
      <c r="A482" s="3">
        <v>1992.8333333333301</v>
      </c>
      <c r="B482" s="3">
        <f t="shared" si="28"/>
        <v>-176.72944297082228</v>
      </c>
      <c r="C482" s="3">
        <f t="shared" si="29"/>
        <v>-218.06836960229069</v>
      </c>
      <c r="D482" s="3">
        <f t="shared" si="30"/>
        <v>-176.72944297082228</v>
      </c>
      <c r="E482" s="3">
        <f t="shared" si="31"/>
        <v>-168.49970838442641</v>
      </c>
      <c r="F482" s="3">
        <v>-112</v>
      </c>
      <c r="G482">
        <v>-101.94450667882001</v>
      </c>
      <c r="I482" s="3">
        <v>1919.8333333333301</v>
      </c>
      <c r="J482" s="3">
        <v>0</v>
      </c>
      <c r="K482" s="3">
        <v>43.6669836934689</v>
      </c>
    </row>
    <row r="483" spans="1:11" ht="18" x14ac:dyDescent="0.25">
      <c r="A483" s="3">
        <v>1992.9166666666599</v>
      </c>
      <c r="B483" s="3">
        <f t="shared" si="28"/>
        <v>-205.72944297082228</v>
      </c>
      <c r="C483" s="3">
        <f t="shared" si="29"/>
        <v>-230.91793311021911</v>
      </c>
      <c r="D483" s="3">
        <f t="shared" si="30"/>
        <v>-205.72944297082228</v>
      </c>
      <c r="E483" s="3">
        <f t="shared" si="31"/>
        <v>-203.49902015276442</v>
      </c>
      <c r="F483" s="3">
        <v>-141</v>
      </c>
      <c r="G483">
        <v>-136.94381844715801</v>
      </c>
      <c r="I483" s="3">
        <v>1919.9166666666599</v>
      </c>
      <c r="J483" s="3">
        <v>0</v>
      </c>
      <c r="K483" s="3">
        <v>55.250688645998402</v>
      </c>
    </row>
    <row r="484" spans="1:11" ht="18" x14ac:dyDescent="0.25">
      <c r="A484" s="3">
        <v>1993</v>
      </c>
      <c r="B484" s="3">
        <f t="shared" si="28"/>
        <v>-219.72944297082228</v>
      </c>
      <c r="C484" s="3">
        <f t="shared" si="29"/>
        <v>-234.06873779770487</v>
      </c>
      <c r="D484" s="3">
        <f t="shared" si="30"/>
        <v>-219.72944297082228</v>
      </c>
      <c r="E484" s="3">
        <f t="shared" si="31"/>
        <v>-213.63621016412242</v>
      </c>
      <c r="F484" s="3">
        <v>-155</v>
      </c>
      <c r="G484">
        <v>-147.08100845851601</v>
      </c>
      <c r="I484" s="3">
        <v>1920</v>
      </c>
      <c r="J484" s="3">
        <v>0</v>
      </c>
      <c r="K484" s="3">
        <v>68.002107637809701</v>
      </c>
    </row>
    <row r="485" spans="1:11" ht="18" x14ac:dyDescent="0.25">
      <c r="A485" s="3">
        <v>1993.0833333333301</v>
      </c>
      <c r="B485" s="3">
        <f t="shared" si="28"/>
        <v>-228.72944297082228</v>
      </c>
      <c r="C485" s="3">
        <f t="shared" si="29"/>
        <v>-237.48370689113662</v>
      </c>
      <c r="D485" s="3">
        <f t="shared" si="30"/>
        <v>-228.72944297082228</v>
      </c>
      <c r="E485" s="3">
        <f t="shared" si="31"/>
        <v>-225.47314406149542</v>
      </c>
      <c r="F485" s="3">
        <v>-164</v>
      </c>
      <c r="G485">
        <v>-158.91794235588901</v>
      </c>
      <c r="I485" s="3">
        <v>1920.0833333333301</v>
      </c>
      <c r="J485" s="3">
        <v>0</v>
      </c>
      <c r="K485" s="3">
        <v>49.449056276547502</v>
      </c>
    </row>
    <row r="486" spans="1:11" ht="18" x14ac:dyDescent="0.25">
      <c r="A486" s="3">
        <v>1993.1666666666599</v>
      </c>
      <c r="B486" s="3">
        <f t="shared" si="28"/>
        <v>-228.72944297082228</v>
      </c>
      <c r="C486" s="3">
        <f t="shared" si="29"/>
        <v>-241.24046931030483</v>
      </c>
      <c r="D486" s="3">
        <f t="shared" si="30"/>
        <v>-228.72944297082228</v>
      </c>
      <c r="E486" s="3">
        <f t="shared" si="31"/>
        <v>-239.64590880333441</v>
      </c>
      <c r="F486" s="3">
        <v>-164</v>
      </c>
      <c r="G486">
        <v>-173.090707097728</v>
      </c>
      <c r="I486" s="3">
        <v>1920.1666666666599</v>
      </c>
      <c r="J486" s="3">
        <v>0</v>
      </c>
      <c r="K486" s="3">
        <v>18.221570532109698</v>
      </c>
    </row>
    <row r="487" spans="1:11" ht="18" x14ac:dyDescent="0.25">
      <c r="A487" s="3">
        <v>1993.25</v>
      </c>
      <c r="B487" s="3">
        <f t="shared" si="28"/>
        <v>-228.72944297082228</v>
      </c>
      <c r="C487" s="3">
        <f t="shared" si="29"/>
        <v>-238.28736123377402</v>
      </c>
      <c r="D487" s="3">
        <f t="shared" si="30"/>
        <v>-228.72944297082228</v>
      </c>
      <c r="E487" s="3">
        <f t="shared" si="31"/>
        <v>-228.3985260126104</v>
      </c>
      <c r="F487" s="3">
        <v>-164</v>
      </c>
      <c r="G487">
        <v>-161.843324307004</v>
      </c>
      <c r="I487" s="3">
        <v>1920.25</v>
      </c>
      <c r="J487" s="3">
        <v>0</v>
      </c>
      <c r="K487" s="3">
        <v>15.4142799898036</v>
      </c>
    </row>
    <row r="488" spans="1:11" ht="18" x14ac:dyDescent="0.25">
      <c r="A488" s="3">
        <v>1993.3333333333301</v>
      </c>
      <c r="B488" s="3">
        <f t="shared" si="28"/>
        <v>-176.72944297082228</v>
      </c>
      <c r="C488" s="3">
        <f t="shared" si="29"/>
        <v>-226.31751058180782</v>
      </c>
      <c r="D488" s="3">
        <f t="shared" si="30"/>
        <v>-176.72944297082228</v>
      </c>
      <c r="E488" s="3">
        <f t="shared" si="31"/>
        <v>-189.89235501319439</v>
      </c>
      <c r="F488" s="3">
        <v>-112</v>
      </c>
      <c r="G488">
        <v>-123.337153307588</v>
      </c>
      <c r="I488" s="3">
        <v>1920.3333333333301</v>
      </c>
      <c r="J488" s="3">
        <v>0</v>
      </c>
      <c r="K488" s="3">
        <v>40.032235443343801</v>
      </c>
    </row>
    <row r="489" spans="1:11" ht="18" x14ac:dyDescent="0.25">
      <c r="A489" s="3">
        <v>1993.4166666666599</v>
      </c>
      <c r="B489" s="3">
        <f t="shared" si="28"/>
        <v>-172.72944297082228</v>
      </c>
      <c r="C489" s="3">
        <f t="shared" si="29"/>
        <v>-190.43657720987238</v>
      </c>
      <c r="D489" s="3">
        <f t="shared" si="30"/>
        <v>-172.72944297082228</v>
      </c>
      <c r="E489" s="3">
        <f t="shared" si="31"/>
        <v>-116.33012627273611</v>
      </c>
      <c r="F489" s="3">
        <v>-108</v>
      </c>
      <c r="G489">
        <v>-49.774924567129702</v>
      </c>
      <c r="I489" s="3">
        <v>1920.4166666666599</v>
      </c>
      <c r="J489" s="3">
        <v>0</v>
      </c>
      <c r="K489" s="3">
        <v>89.130041426933701</v>
      </c>
    </row>
    <row r="490" spans="1:11" ht="18" x14ac:dyDescent="0.25">
      <c r="A490" s="3">
        <v>1993.5</v>
      </c>
      <c r="B490" s="3">
        <f t="shared" si="28"/>
        <v>-112.72944297082228</v>
      </c>
      <c r="C490" s="3">
        <f t="shared" si="29"/>
        <v>-90.839928963616629</v>
      </c>
      <c r="D490" s="3">
        <f t="shared" si="30"/>
        <v>-112.72944297082228</v>
      </c>
      <c r="E490" s="3">
        <f t="shared" si="31"/>
        <v>-31.620196299131209</v>
      </c>
      <c r="F490" s="3">
        <v>-48</v>
      </c>
      <c r="G490">
        <v>34.935005406475199</v>
      </c>
      <c r="I490" s="3">
        <v>1920.5</v>
      </c>
      <c r="J490" s="3">
        <v>0</v>
      </c>
      <c r="K490" s="3">
        <v>131.290708827934</v>
      </c>
    </row>
    <row r="491" spans="1:11" ht="18" x14ac:dyDescent="0.25">
      <c r="A491" s="3">
        <v>1993.5833333333301</v>
      </c>
      <c r="B491" s="3">
        <f t="shared" si="28"/>
        <v>-56.729442970822276</v>
      </c>
      <c r="C491" s="3">
        <f t="shared" si="29"/>
        <v>52.296970739680532</v>
      </c>
      <c r="D491" s="3">
        <f t="shared" si="30"/>
        <v>-56.729442970822276</v>
      </c>
      <c r="E491" s="3">
        <f t="shared" si="31"/>
        <v>15.605950265063086</v>
      </c>
      <c r="F491" s="3">
        <v>8</v>
      </c>
      <c r="G491">
        <v>82.161151970669493</v>
      </c>
      <c r="I491" s="3">
        <v>1920.5833333333301</v>
      </c>
      <c r="J491" s="3">
        <v>0</v>
      </c>
      <c r="K491" s="3">
        <v>127.146895287771</v>
      </c>
    </row>
    <row r="492" spans="1:11" ht="18" x14ac:dyDescent="0.25">
      <c r="A492" s="3">
        <v>1993.6666666666599</v>
      </c>
      <c r="B492" s="3">
        <f t="shared" si="28"/>
        <v>-54.729442970822276</v>
      </c>
      <c r="C492" s="3">
        <f t="shared" si="29"/>
        <v>128.85457160552346</v>
      </c>
      <c r="D492" s="3">
        <f t="shared" si="30"/>
        <v>-54.729442970822276</v>
      </c>
      <c r="E492" s="3">
        <f t="shared" si="31"/>
        <v>53.663599773435593</v>
      </c>
      <c r="F492" s="3">
        <v>10</v>
      </c>
      <c r="G492">
        <v>120.218801479042</v>
      </c>
      <c r="I492" s="3">
        <v>1920.6666666666599</v>
      </c>
      <c r="J492" s="3">
        <v>0</v>
      </c>
      <c r="K492" s="3">
        <v>114.432316167922</v>
      </c>
    </row>
    <row r="493" spans="1:11" ht="18" x14ac:dyDescent="0.25">
      <c r="A493" s="3">
        <v>1993.75</v>
      </c>
      <c r="B493" s="3">
        <f t="shared" si="28"/>
        <v>-20.729442970822276</v>
      </c>
      <c r="C493" s="3">
        <f t="shared" si="29"/>
        <v>191.75959172705248</v>
      </c>
      <c r="D493" s="3">
        <f t="shared" si="30"/>
        <v>-20.729442970822276</v>
      </c>
      <c r="E493" s="3">
        <f t="shared" si="31"/>
        <v>118.32486189399859</v>
      </c>
      <c r="F493" s="3">
        <v>44</v>
      </c>
      <c r="G493">
        <v>184.88006359960499</v>
      </c>
      <c r="I493" s="3">
        <v>1920.75</v>
      </c>
      <c r="J493" s="3">
        <v>0</v>
      </c>
      <c r="K493" s="3">
        <v>120.666741931332</v>
      </c>
    </row>
    <row r="494" spans="1:11" ht="18" x14ac:dyDescent="0.25">
      <c r="A494" s="3">
        <v>1993.8333333333301</v>
      </c>
      <c r="B494" s="3">
        <f t="shared" si="28"/>
        <v>46.270557029177724</v>
      </c>
      <c r="C494" s="3">
        <f t="shared" si="29"/>
        <v>223.38712978497492</v>
      </c>
      <c r="D494" s="3">
        <f t="shared" si="30"/>
        <v>46.270557029177724</v>
      </c>
      <c r="E494" s="3">
        <f t="shared" si="31"/>
        <v>181.8845933342146</v>
      </c>
      <c r="F494" s="3">
        <v>111</v>
      </c>
      <c r="G494">
        <v>248.43979503982101</v>
      </c>
      <c r="I494" s="3">
        <v>1920.8333333333301</v>
      </c>
      <c r="J494" s="3">
        <v>0</v>
      </c>
      <c r="K494" s="3">
        <v>114.583537609766</v>
      </c>
    </row>
    <row r="495" spans="1:11" ht="18" x14ac:dyDescent="0.25">
      <c r="A495" s="3">
        <v>1993.9166666666599</v>
      </c>
      <c r="B495" s="3">
        <f t="shared" si="28"/>
        <v>140.27055702917772</v>
      </c>
      <c r="C495" s="3">
        <f t="shared" si="29"/>
        <v>237.15866975916532</v>
      </c>
      <c r="D495" s="3">
        <f t="shared" si="30"/>
        <v>140.27055702917772</v>
      </c>
      <c r="E495" s="3">
        <f t="shared" si="31"/>
        <v>224.30564866984361</v>
      </c>
      <c r="F495" s="3">
        <v>205</v>
      </c>
      <c r="G495">
        <v>290.86085037545001</v>
      </c>
      <c r="I495" s="3">
        <v>1920.9166666666599</v>
      </c>
      <c r="J495" s="3">
        <v>0</v>
      </c>
      <c r="K495" s="3">
        <v>91.985746821601893</v>
      </c>
    </row>
    <row r="496" spans="1:11" ht="18" x14ac:dyDescent="0.25">
      <c r="A496" s="3">
        <v>1994</v>
      </c>
      <c r="B496" s="3">
        <f t="shared" si="28"/>
        <v>175.27055702917772</v>
      </c>
      <c r="C496" s="3">
        <f t="shared" si="29"/>
        <v>238.13610073567182</v>
      </c>
      <c r="D496" s="3">
        <f t="shared" si="30"/>
        <v>175.27055702917772</v>
      </c>
      <c r="E496" s="3">
        <f t="shared" si="31"/>
        <v>227.84365822466657</v>
      </c>
      <c r="F496" s="3">
        <v>240</v>
      </c>
      <c r="G496">
        <v>294.39885993027298</v>
      </c>
      <c r="I496" s="3">
        <v>1921</v>
      </c>
      <c r="J496" s="3">
        <v>0</v>
      </c>
      <c r="K496" s="3">
        <v>59.532693158828003</v>
      </c>
    </row>
    <row r="497" spans="1:11" ht="18" x14ac:dyDescent="0.25">
      <c r="A497" s="3">
        <v>1994.0833333333301</v>
      </c>
      <c r="B497" s="3">
        <f t="shared" si="28"/>
        <v>186.27055702917772</v>
      </c>
      <c r="C497" s="3">
        <f t="shared" si="29"/>
        <v>225.48979390610126</v>
      </c>
      <c r="D497" s="3">
        <f t="shared" si="30"/>
        <v>186.27055702917772</v>
      </c>
      <c r="E497" s="3">
        <f t="shared" si="31"/>
        <v>187.58138732507859</v>
      </c>
      <c r="F497" s="3">
        <v>251</v>
      </c>
      <c r="G497">
        <v>254.136589030685</v>
      </c>
      <c r="I497" s="3">
        <v>1921.0833333333301</v>
      </c>
      <c r="J497" s="3">
        <v>0</v>
      </c>
      <c r="K497" s="3">
        <v>29.447020447210601</v>
      </c>
    </row>
    <row r="498" spans="1:11" ht="18" x14ac:dyDescent="0.25">
      <c r="A498" s="3">
        <v>1994.1666666666599</v>
      </c>
      <c r="B498" s="3">
        <f t="shared" si="28"/>
        <v>200.27055702917772</v>
      </c>
      <c r="C498" s="3">
        <f t="shared" si="29"/>
        <v>210.75759053395018</v>
      </c>
      <c r="D498" s="3">
        <f t="shared" si="30"/>
        <v>200.27055702917772</v>
      </c>
      <c r="E498" s="3">
        <f t="shared" si="31"/>
        <v>152.18366192455258</v>
      </c>
      <c r="F498" s="3">
        <v>265</v>
      </c>
      <c r="G498">
        <v>218.73886363015899</v>
      </c>
      <c r="I498" s="3">
        <v>1921.1666666666599</v>
      </c>
      <c r="J498" s="3">
        <v>0</v>
      </c>
      <c r="K498" s="3">
        <v>38.456646350601901</v>
      </c>
    </row>
    <row r="499" spans="1:11" ht="18" x14ac:dyDescent="0.25">
      <c r="A499" s="3">
        <v>1994.25</v>
      </c>
      <c r="B499" s="3">
        <f t="shared" si="28"/>
        <v>226.27055702917772</v>
      </c>
      <c r="C499" s="3">
        <f t="shared" si="29"/>
        <v>203.25382426513804</v>
      </c>
      <c r="D499" s="3">
        <f t="shared" si="30"/>
        <v>226.27055702917772</v>
      </c>
      <c r="E499" s="3">
        <f t="shared" si="31"/>
        <v>137.51973170823359</v>
      </c>
      <c r="F499" s="3">
        <v>291</v>
      </c>
      <c r="G499">
        <v>204.07493341384</v>
      </c>
      <c r="I499" s="3">
        <v>1921.25</v>
      </c>
      <c r="J499" s="3">
        <v>0</v>
      </c>
      <c r="K499" s="3">
        <v>70.973853490158902</v>
      </c>
    </row>
    <row r="500" spans="1:11" ht="18" x14ac:dyDescent="0.25">
      <c r="A500" s="3">
        <v>1994.3333333333301</v>
      </c>
      <c r="B500" s="3">
        <f t="shared" si="28"/>
        <v>233.27055702917772</v>
      </c>
      <c r="C500" s="3">
        <f t="shared" si="29"/>
        <v>194.18867872539386</v>
      </c>
      <c r="D500" s="3">
        <f t="shared" si="30"/>
        <v>233.27055702917772</v>
      </c>
      <c r="E500" s="3">
        <f t="shared" si="31"/>
        <v>122.09445079029459</v>
      </c>
      <c r="F500" s="3">
        <v>298</v>
      </c>
      <c r="G500">
        <v>188.64965249590099</v>
      </c>
      <c r="I500" s="3">
        <v>1921.3333333333301</v>
      </c>
      <c r="J500" s="3">
        <v>0</v>
      </c>
      <c r="K500" s="3">
        <v>92.417003801993104</v>
      </c>
    </row>
    <row r="501" spans="1:11" ht="18" x14ac:dyDescent="0.25">
      <c r="A501" s="3">
        <v>1994.4166666666599</v>
      </c>
      <c r="B501" s="3">
        <f t="shared" si="28"/>
        <v>253.27055702917772</v>
      </c>
      <c r="C501" s="3">
        <f t="shared" si="29"/>
        <v>187.17658118927628</v>
      </c>
      <c r="D501" s="3">
        <f t="shared" si="30"/>
        <v>253.27055702917772</v>
      </c>
      <c r="E501" s="3">
        <f t="shared" si="31"/>
        <v>111.58158822814258</v>
      </c>
      <c r="F501" s="3">
        <v>318</v>
      </c>
      <c r="G501">
        <v>178.13678993374899</v>
      </c>
      <c r="I501" s="3">
        <v>1921.4166666666599</v>
      </c>
      <c r="J501" s="3">
        <v>0</v>
      </c>
      <c r="K501" s="3">
        <v>113.935099715159</v>
      </c>
    </row>
    <row r="502" spans="1:11" ht="18" x14ac:dyDescent="0.25">
      <c r="A502" s="3">
        <v>1994.5</v>
      </c>
      <c r="B502" s="3">
        <f t="shared" si="28"/>
        <v>263.27055702917772</v>
      </c>
      <c r="C502" s="3">
        <f t="shared" si="29"/>
        <v>169.58292894748587</v>
      </c>
      <c r="D502" s="3">
        <f t="shared" si="30"/>
        <v>263.27055702917772</v>
      </c>
      <c r="E502" s="3">
        <f t="shared" si="31"/>
        <v>89.452342593663587</v>
      </c>
      <c r="F502" s="3">
        <v>328</v>
      </c>
      <c r="G502">
        <v>156.00754429926999</v>
      </c>
      <c r="I502" s="3">
        <v>1921.5</v>
      </c>
      <c r="J502" s="3">
        <v>0</v>
      </c>
      <c r="K502" s="3">
        <v>122.354093400514</v>
      </c>
    </row>
    <row r="503" spans="1:11" ht="18" x14ac:dyDescent="0.25">
      <c r="A503" s="3">
        <v>1994.5833333333301</v>
      </c>
      <c r="B503" s="3">
        <f t="shared" si="28"/>
        <v>271.27055702917772</v>
      </c>
      <c r="C503" s="3">
        <f t="shared" si="29"/>
        <v>113.33508820361725</v>
      </c>
      <c r="D503" s="3">
        <f t="shared" si="30"/>
        <v>271.27055702917772</v>
      </c>
      <c r="E503" s="3">
        <f t="shared" si="31"/>
        <v>43.695926612351599</v>
      </c>
      <c r="F503" s="3">
        <v>336</v>
      </c>
      <c r="G503">
        <v>110.25112831795801</v>
      </c>
      <c r="I503" s="3">
        <v>1921.5833333333301</v>
      </c>
      <c r="J503" s="3">
        <v>0</v>
      </c>
      <c r="K503" s="3">
        <v>103.53550022533599</v>
      </c>
    </row>
    <row r="504" spans="1:11" ht="18" x14ac:dyDescent="0.25">
      <c r="A504" s="3">
        <v>1994.6666666666599</v>
      </c>
      <c r="B504" s="3">
        <f t="shared" si="28"/>
        <v>271.27055702917772</v>
      </c>
      <c r="C504" s="3">
        <f t="shared" si="29"/>
        <v>23.505514206859868</v>
      </c>
      <c r="D504" s="3">
        <f t="shared" si="30"/>
        <v>271.27055702917772</v>
      </c>
      <c r="E504" s="3">
        <f t="shared" si="31"/>
        <v>6.3385538503736996</v>
      </c>
      <c r="F504" s="3">
        <v>336</v>
      </c>
      <c r="G504">
        <v>72.893755555980107</v>
      </c>
      <c r="I504" s="3">
        <v>1921.6666666666599</v>
      </c>
      <c r="J504" s="3">
        <v>0</v>
      </c>
      <c r="K504" s="3">
        <v>84.009732623399202</v>
      </c>
    </row>
    <row r="505" spans="1:11" ht="18" x14ac:dyDescent="0.25">
      <c r="A505" s="3">
        <v>1994.75</v>
      </c>
      <c r="B505" s="3">
        <f t="shared" si="28"/>
        <v>206.27055702917772</v>
      </c>
      <c r="C505" s="3">
        <f t="shared" si="29"/>
        <v>-92.950803952780504</v>
      </c>
      <c r="D505" s="3">
        <f t="shared" si="30"/>
        <v>206.27055702917772</v>
      </c>
      <c r="E505" s="3">
        <f t="shared" si="31"/>
        <v>-32.652662222404508</v>
      </c>
      <c r="F505" s="3">
        <v>271</v>
      </c>
      <c r="G505">
        <v>33.902539483201899</v>
      </c>
      <c r="I505" s="3">
        <v>1921.75</v>
      </c>
      <c r="J505" s="3">
        <v>0</v>
      </c>
      <c r="K505" s="3">
        <v>59.453111021014003</v>
      </c>
    </row>
    <row r="506" spans="1:11" ht="18" x14ac:dyDescent="0.25">
      <c r="A506" s="3">
        <v>1994.8333333333301</v>
      </c>
      <c r="B506" s="3">
        <f t="shared" si="28"/>
        <v>-55.729442970822276</v>
      </c>
      <c r="C506" s="3">
        <f t="shared" si="29"/>
        <v>-174.51226137568995</v>
      </c>
      <c r="D506" s="3">
        <f t="shared" si="30"/>
        <v>-55.729442970822276</v>
      </c>
      <c r="E506" s="3">
        <f t="shared" si="31"/>
        <v>-95.121387755344003</v>
      </c>
      <c r="F506" s="3">
        <v>9</v>
      </c>
      <c r="G506">
        <v>-28.566186049737599</v>
      </c>
      <c r="I506" s="3">
        <v>1921.8333333333301</v>
      </c>
      <c r="J506" s="3">
        <v>0</v>
      </c>
      <c r="K506" s="3">
        <v>27.356740601939102</v>
      </c>
    </row>
    <row r="507" spans="1:11" ht="18" x14ac:dyDescent="0.25">
      <c r="A507" s="3">
        <v>1994.9166666666599</v>
      </c>
      <c r="B507" s="3">
        <f t="shared" si="28"/>
        <v>-173.72944297082228</v>
      </c>
      <c r="C507" s="3">
        <f t="shared" si="29"/>
        <v>-212.00150962256532</v>
      </c>
      <c r="D507" s="3">
        <f t="shared" si="30"/>
        <v>-173.72944297082228</v>
      </c>
      <c r="E507" s="3">
        <f t="shared" si="31"/>
        <v>-154.8072108125674</v>
      </c>
      <c r="F507" s="3">
        <v>-109</v>
      </c>
      <c r="G507">
        <v>-88.252009106960998</v>
      </c>
      <c r="I507" s="3">
        <v>1921.9166666666599</v>
      </c>
      <c r="J507" s="3">
        <v>0</v>
      </c>
      <c r="K507" s="3">
        <v>14.258668410817601</v>
      </c>
    </row>
    <row r="508" spans="1:11" ht="18" x14ac:dyDescent="0.25">
      <c r="A508" s="3">
        <v>1995</v>
      </c>
      <c r="B508" s="3">
        <f t="shared" si="28"/>
        <v>-231.72944297082228</v>
      </c>
      <c r="C508" s="3">
        <f t="shared" si="29"/>
        <v>-230.30244563578265</v>
      </c>
      <c r="D508" s="3">
        <f t="shared" si="30"/>
        <v>-231.72944297082228</v>
      </c>
      <c r="E508" s="3">
        <f t="shared" si="31"/>
        <v>-201.59979953007542</v>
      </c>
      <c r="F508" s="3">
        <v>-167</v>
      </c>
      <c r="G508">
        <v>-135.04459782446901</v>
      </c>
      <c r="I508" s="3">
        <v>1922</v>
      </c>
      <c r="J508" s="3">
        <v>0</v>
      </c>
      <c r="K508" s="3">
        <v>4.9870879331395397</v>
      </c>
    </row>
    <row r="509" spans="1:11" ht="18" x14ac:dyDescent="0.25">
      <c r="A509" s="3">
        <v>1995.0833333333301</v>
      </c>
      <c r="B509" s="3">
        <f t="shared" si="28"/>
        <v>-231.72944297082228</v>
      </c>
      <c r="C509" s="3">
        <f t="shared" si="29"/>
        <v>-238.36060942379564</v>
      </c>
      <c r="D509" s="3">
        <f t="shared" si="30"/>
        <v>-231.72944297082228</v>
      </c>
      <c r="E509" s="3">
        <f t="shared" si="31"/>
        <v>-228.6679398947054</v>
      </c>
      <c r="F509" s="3">
        <v>-167</v>
      </c>
      <c r="G509">
        <v>-162.11273818909899</v>
      </c>
      <c r="I509" s="3">
        <v>1922.0833333333301</v>
      </c>
      <c r="J509" s="3">
        <v>0</v>
      </c>
      <c r="K509" s="3">
        <v>-14.676365409329099</v>
      </c>
    </row>
    <row r="510" spans="1:11" ht="18" x14ac:dyDescent="0.25">
      <c r="A510" s="3">
        <v>1995.1666666666599</v>
      </c>
      <c r="B510" s="3">
        <f t="shared" si="28"/>
        <v>-179.72944297082228</v>
      </c>
      <c r="C510" s="3">
        <f t="shared" si="29"/>
        <v>-236.5577395706153</v>
      </c>
      <c r="D510" s="3">
        <f t="shared" si="30"/>
        <v>-179.72944297082228</v>
      </c>
      <c r="E510" s="3">
        <f t="shared" si="31"/>
        <v>-222.17046918197741</v>
      </c>
      <c r="F510" s="3">
        <v>-115</v>
      </c>
      <c r="G510">
        <v>-155.615267476371</v>
      </c>
      <c r="I510" s="3">
        <v>1922.1666666666599</v>
      </c>
      <c r="J510" s="3">
        <v>0</v>
      </c>
      <c r="K510" s="3">
        <v>-32.2933355252718</v>
      </c>
    </row>
    <row r="511" spans="1:11" ht="18" x14ac:dyDescent="0.25">
      <c r="A511" s="3">
        <v>1995.25</v>
      </c>
      <c r="B511" s="3">
        <f t="shared" si="28"/>
        <v>-174.72944297082228</v>
      </c>
      <c r="C511" s="3">
        <f t="shared" si="29"/>
        <v>-231.62703251279177</v>
      </c>
      <c r="D511" s="3">
        <f t="shared" si="30"/>
        <v>-174.72944297082228</v>
      </c>
      <c r="E511" s="3">
        <f t="shared" si="31"/>
        <v>-205.7190408283214</v>
      </c>
      <c r="F511" s="3">
        <v>-110</v>
      </c>
      <c r="G511">
        <v>-139.16383912271499</v>
      </c>
      <c r="I511" s="3">
        <v>1922.25</v>
      </c>
      <c r="J511" s="3">
        <v>0</v>
      </c>
      <c r="K511" s="3">
        <v>-52.073282065762903</v>
      </c>
    </row>
    <row r="512" spans="1:11" ht="18" x14ac:dyDescent="0.25">
      <c r="A512" s="3">
        <v>1995.3333333333301</v>
      </c>
      <c r="B512" s="3">
        <f t="shared" si="28"/>
        <v>-174.72944297082228</v>
      </c>
      <c r="C512" s="3">
        <f t="shared" si="29"/>
        <v>-220.13365675333878</v>
      </c>
      <c r="D512" s="3">
        <f t="shared" si="30"/>
        <v>-174.72944297082228</v>
      </c>
      <c r="E512" s="3">
        <f t="shared" si="31"/>
        <v>-173.53169255530841</v>
      </c>
      <c r="F512" s="3">
        <v>-110</v>
      </c>
      <c r="G512">
        <v>-106.976490849702</v>
      </c>
      <c r="I512" s="3">
        <v>1922.3333333333301</v>
      </c>
      <c r="J512" s="3">
        <v>0</v>
      </c>
      <c r="K512" s="3">
        <v>-46.411227705284901</v>
      </c>
    </row>
    <row r="513" spans="1:11" ht="18" x14ac:dyDescent="0.25">
      <c r="A513" s="3">
        <v>1995.4166666666599</v>
      </c>
      <c r="B513" s="3">
        <f t="shared" si="28"/>
        <v>-215.72944297082228</v>
      </c>
      <c r="C513" s="3">
        <f t="shared" si="29"/>
        <v>-179.67840819970579</v>
      </c>
      <c r="D513" s="3">
        <f t="shared" si="30"/>
        <v>-215.72944297082228</v>
      </c>
      <c r="E513" s="3">
        <f t="shared" si="31"/>
        <v>-101.48314345022581</v>
      </c>
      <c r="F513" s="3">
        <v>-151</v>
      </c>
      <c r="G513">
        <v>-34.927941744619403</v>
      </c>
      <c r="I513" s="3">
        <v>1922.4166666666599</v>
      </c>
      <c r="J513" s="3">
        <v>0</v>
      </c>
      <c r="K513" s="3">
        <v>6.8564692936048601</v>
      </c>
    </row>
    <row r="514" spans="1:11" ht="18" x14ac:dyDescent="0.25">
      <c r="A514" s="3">
        <v>1995.5</v>
      </c>
      <c r="B514" s="3">
        <f t="shared" si="28"/>
        <v>-215.72944297082228</v>
      </c>
      <c r="C514" s="3">
        <f t="shared" si="29"/>
        <v>-93.328821159290385</v>
      </c>
      <c r="D514" s="3">
        <f t="shared" si="30"/>
        <v>-215.72944297082228</v>
      </c>
      <c r="E514" s="3">
        <f t="shared" si="31"/>
        <v>-32.839566240028404</v>
      </c>
      <c r="F514" s="3">
        <v>-151</v>
      </c>
      <c r="G514">
        <v>33.715635465578004</v>
      </c>
      <c r="I514" s="3">
        <v>1922.5</v>
      </c>
      <c r="J514" s="3">
        <v>0</v>
      </c>
      <c r="K514" s="3">
        <v>54.150100196424603</v>
      </c>
    </row>
    <row r="515" spans="1:11" ht="18" x14ac:dyDescent="0.25">
      <c r="A515" s="3">
        <v>1995.5833333333301</v>
      </c>
      <c r="B515" s="3">
        <f t="shared" si="28"/>
        <v>-189.72944297082228</v>
      </c>
      <c r="C515" s="3">
        <f t="shared" si="29"/>
        <v>11.90043341702223</v>
      </c>
      <c r="D515" s="3">
        <f t="shared" si="30"/>
        <v>-189.72944297082228</v>
      </c>
      <c r="E515" s="3">
        <f t="shared" si="31"/>
        <v>3.089145934667286</v>
      </c>
      <c r="F515" s="3">
        <v>-125</v>
      </c>
      <c r="G515">
        <v>69.644347640273693</v>
      </c>
      <c r="I515" s="3">
        <v>1922.5833333333301</v>
      </c>
      <c r="J515" s="3">
        <v>0</v>
      </c>
      <c r="K515" s="3">
        <v>70.5929732710038</v>
      </c>
    </row>
    <row r="516" spans="1:11" ht="18" x14ac:dyDescent="0.25">
      <c r="A516" s="3">
        <v>1995.6666666666599</v>
      </c>
      <c r="B516" s="3">
        <f t="shared" si="28"/>
        <v>-136.72944297082228</v>
      </c>
      <c r="C516" s="3">
        <f t="shared" si="29"/>
        <v>80.971206874433221</v>
      </c>
      <c r="D516" s="3">
        <f t="shared" si="30"/>
        <v>-136.72944297082228</v>
      </c>
      <c r="E516" s="3">
        <f t="shared" si="31"/>
        <v>27.032774306895888</v>
      </c>
      <c r="F516" s="3">
        <v>-72</v>
      </c>
      <c r="G516">
        <v>93.587976012502295</v>
      </c>
      <c r="I516" s="3">
        <v>1922.6666666666599</v>
      </c>
      <c r="J516" s="3">
        <v>0</v>
      </c>
      <c r="K516" s="3">
        <v>84.883443790345694</v>
      </c>
    </row>
    <row r="517" spans="1:11" ht="18" x14ac:dyDescent="0.25">
      <c r="A517" s="3">
        <v>1995.75</v>
      </c>
      <c r="B517" s="3">
        <f t="shared" si="28"/>
        <v>-98.729442970822276</v>
      </c>
      <c r="C517" s="3">
        <f t="shared" si="29"/>
        <v>117.78847092348283</v>
      </c>
      <c r="D517" s="3">
        <f t="shared" si="30"/>
        <v>-98.729442970822276</v>
      </c>
      <c r="E517" s="3">
        <f t="shared" si="31"/>
        <v>46.401476812028591</v>
      </c>
      <c r="F517" s="3">
        <v>-34</v>
      </c>
      <c r="G517">
        <v>112.956678517635</v>
      </c>
      <c r="I517" s="3">
        <v>1922.75</v>
      </c>
      <c r="J517" s="3">
        <v>0</v>
      </c>
      <c r="K517" s="3">
        <v>105.23770392374701</v>
      </c>
    </row>
    <row r="518" spans="1:11" ht="18" x14ac:dyDescent="0.25">
      <c r="A518" s="3">
        <v>1995.8333333333301</v>
      </c>
      <c r="B518" s="3">
        <f t="shared" ref="B518:B581" si="32">+$D518</f>
        <v>-32.729442970822276</v>
      </c>
      <c r="C518" s="3">
        <f t="shared" ref="C518:C581" si="33">$B$1*$E518/(1+$B$3*ABS($E518)^$B$2)</f>
        <v>159.56028958637938</v>
      </c>
      <c r="D518" s="3">
        <f t="shared" ref="D518:D581" si="34">+F518-$F$3</f>
        <v>-32.729442970822276</v>
      </c>
      <c r="E518" s="3">
        <f t="shared" ref="E518:E581" si="35">+$G518-$G$3</f>
        <v>78.98425406801158</v>
      </c>
      <c r="F518" s="3">
        <v>32</v>
      </c>
      <c r="G518">
        <v>145.53945577361799</v>
      </c>
      <c r="I518" s="3">
        <v>1922.8333333333301</v>
      </c>
      <c r="J518" s="3">
        <v>0</v>
      </c>
      <c r="K518" s="3">
        <v>139.580455861818</v>
      </c>
    </row>
    <row r="519" spans="1:11" ht="18" x14ac:dyDescent="0.25">
      <c r="A519" s="3">
        <v>1995.9166666666599</v>
      </c>
      <c r="B519" s="3">
        <f t="shared" si="32"/>
        <v>66.270557029177724</v>
      </c>
      <c r="C519" s="3">
        <f t="shared" si="33"/>
        <v>194.57944028189104</v>
      </c>
      <c r="D519" s="3">
        <f t="shared" si="34"/>
        <v>66.270557029177724</v>
      </c>
      <c r="E519" s="3">
        <f t="shared" si="35"/>
        <v>122.71423690495959</v>
      </c>
      <c r="F519" s="3">
        <v>131</v>
      </c>
      <c r="G519">
        <v>189.269438610566</v>
      </c>
      <c r="I519" s="3">
        <v>1922.9166666666599</v>
      </c>
      <c r="J519" s="3">
        <v>0</v>
      </c>
      <c r="K519" s="3">
        <v>171.61571722587701</v>
      </c>
    </row>
    <row r="520" spans="1:11" ht="18" x14ac:dyDescent="0.25">
      <c r="A520" s="3">
        <v>1996</v>
      </c>
      <c r="B520" s="3">
        <f t="shared" si="32"/>
        <v>104.27055702917772</v>
      </c>
      <c r="C520" s="3">
        <f t="shared" si="33"/>
        <v>200.16908356605859</v>
      </c>
      <c r="D520" s="3">
        <f t="shared" si="34"/>
        <v>104.27055702917772</v>
      </c>
      <c r="E520" s="3">
        <f t="shared" si="35"/>
        <v>132.01384312426859</v>
      </c>
      <c r="F520" s="3">
        <v>169</v>
      </c>
      <c r="G520">
        <v>198.569044829875</v>
      </c>
      <c r="I520" s="3">
        <v>1923</v>
      </c>
      <c r="J520" s="3">
        <v>0</v>
      </c>
      <c r="K520" s="3">
        <v>162.42128746912601</v>
      </c>
    </row>
    <row r="521" spans="1:11" ht="18" x14ac:dyDescent="0.25">
      <c r="A521" s="3">
        <v>1996.0833333333301</v>
      </c>
      <c r="B521" s="3">
        <f t="shared" si="32"/>
        <v>118.27055702917772</v>
      </c>
      <c r="C521" s="3">
        <f t="shared" si="33"/>
        <v>188.05883160265878</v>
      </c>
      <c r="D521" s="3">
        <f t="shared" si="34"/>
        <v>118.27055702917772</v>
      </c>
      <c r="E521" s="3">
        <f t="shared" si="35"/>
        <v>112.8439311928706</v>
      </c>
      <c r="F521" s="3">
        <v>183</v>
      </c>
      <c r="G521">
        <v>179.39913289847701</v>
      </c>
      <c r="I521" s="3">
        <v>1923.0833333333301</v>
      </c>
      <c r="J521" s="3">
        <v>0</v>
      </c>
      <c r="K521" s="3">
        <v>138.75887632807999</v>
      </c>
    </row>
    <row r="522" spans="1:11" ht="18" x14ac:dyDescent="0.25">
      <c r="A522" s="3">
        <v>1996.1666666666599</v>
      </c>
      <c r="B522" s="3">
        <f t="shared" si="32"/>
        <v>137.27055702917772</v>
      </c>
      <c r="C522" s="3">
        <f t="shared" si="33"/>
        <v>177.02087568431358</v>
      </c>
      <c r="D522" s="3">
        <f t="shared" si="34"/>
        <v>137.27055702917772</v>
      </c>
      <c r="E522" s="3">
        <f t="shared" si="35"/>
        <v>98.154091883369603</v>
      </c>
      <c r="F522" s="3">
        <v>202</v>
      </c>
      <c r="G522">
        <v>164.70929358897601</v>
      </c>
      <c r="I522" s="3">
        <v>1923.1666666666599</v>
      </c>
      <c r="J522" s="3">
        <v>0</v>
      </c>
      <c r="K522" s="3">
        <v>134.83918438353601</v>
      </c>
    </row>
    <row r="523" spans="1:11" ht="18" x14ac:dyDescent="0.25">
      <c r="A523" s="3">
        <v>1996.25</v>
      </c>
      <c r="B523" s="3">
        <f t="shared" si="32"/>
        <v>174.27055702917772</v>
      </c>
      <c r="C523" s="3">
        <f t="shared" si="33"/>
        <v>171.62555807640933</v>
      </c>
      <c r="D523" s="3">
        <f t="shared" si="34"/>
        <v>174.27055702917772</v>
      </c>
      <c r="E523" s="3">
        <f t="shared" si="35"/>
        <v>91.756509966816594</v>
      </c>
      <c r="F523" s="3">
        <v>239</v>
      </c>
      <c r="G523">
        <v>158.311711672423</v>
      </c>
      <c r="I523" s="3">
        <v>1923.25</v>
      </c>
      <c r="J523" s="3">
        <v>0</v>
      </c>
      <c r="K523" s="3">
        <v>137.75541365790701</v>
      </c>
    </row>
    <row r="524" spans="1:11" ht="18" x14ac:dyDescent="0.25">
      <c r="A524" s="3">
        <v>1996.3333333333301</v>
      </c>
      <c r="B524" s="3">
        <f t="shared" si="32"/>
        <v>212.27055702917772</v>
      </c>
      <c r="C524" s="3">
        <f t="shared" si="33"/>
        <v>187.68028712485153</v>
      </c>
      <c r="D524" s="3">
        <f t="shared" si="34"/>
        <v>212.27055702917772</v>
      </c>
      <c r="E524" s="3">
        <f t="shared" si="35"/>
        <v>112.30027599487758</v>
      </c>
      <c r="F524" s="3">
        <v>277</v>
      </c>
      <c r="G524">
        <v>178.85547770048399</v>
      </c>
      <c r="I524" s="3">
        <v>1923.3333333333301</v>
      </c>
      <c r="J524" s="3">
        <v>0</v>
      </c>
      <c r="K524" s="3">
        <v>151.55402394551501</v>
      </c>
    </row>
    <row r="525" spans="1:11" ht="18" x14ac:dyDescent="0.25">
      <c r="A525" s="3">
        <v>1996.4166666666599</v>
      </c>
      <c r="B525" s="3">
        <f t="shared" si="32"/>
        <v>242.27055702917772</v>
      </c>
      <c r="C525" s="3">
        <f t="shared" si="33"/>
        <v>207.07630957952784</v>
      </c>
      <c r="D525" s="3">
        <f t="shared" si="34"/>
        <v>242.27055702917772</v>
      </c>
      <c r="E525" s="3">
        <f t="shared" si="35"/>
        <v>144.75115403679661</v>
      </c>
      <c r="F525" s="3">
        <v>307</v>
      </c>
      <c r="G525">
        <v>211.30635574240301</v>
      </c>
      <c r="I525" s="3">
        <v>1923.4166666666599</v>
      </c>
      <c r="J525" s="3">
        <v>0</v>
      </c>
      <c r="K525" s="3">
        <v>162.65419669502899</v>
      </c>
    </row>
    <row r="526" spans="1:11" ht="18" x14ac:dyDescent="0.25">
      <c r="A526" s="3">
        <v>1996.5</v>
      </c>
      <c r="B526" s="3">
        <f t="shared" si="32"/>
        <v>260.27055702917772</v>
      </c>
      <c r="C526" s="3">
        <f t="shared" si="33"/>
        <v>203.24641494113195</v>
      </c>
      <c r="D526" s="3">
        <f t="shared" si="34"/>
        <v>260.27055702917772</v>
      </c>
      <c r="E526" s="3">
        <f t="shared" si="35"/>
        <v>137.50616532298059</v>
      </c>
      <c r="F526" s="3">
        <v>325</v>
      </c>
      <c r="G526">
        <v>204.061367028587</v>
      </c>
      <c r="I526" s="3">
        <v>1923.5</v>
      </c>
      <c r="J526" s="3">
        <v>0</v>
      </c>
      <c r="K526" s="3">
        <v>140.97430798403099</v>
      </c>
    </row>
    <row r="527" spans="1:11" ht="18" x14ac:dyDescent="0.25">
      <c r="A527" s="3">
        <v>1996.5833333333301</v>
      </c>
      <c r="B527" s="3">
        <f t="shared" si="32"/>
        <v>265.27055702917772</v>
      </c>
      <c r="C527" s="3">
        <f t="shared" si="33"/>
        <v>181.83455846416291</v>
      </c>
      <c r="D527" s="3">
        <f t="shared" si="34"/>
        <v>265.27055702917772</v>
      </c>
      <c r="E527" s="3">
        <f t="shared" si="35"/>
        <v>104.2766366837256</v>
      </c>
      <c r="F527" s="3">
        <v>330</v>
      </c>
      <c r="G527">
        <v>170.83183838933201</v>
      </c>
      <c r="I527" s="3">
        <v>1923.5833333333301</v>
      </c>
      <c r="J527" s="3">
        <v>0</v>
      </c>
      <c r="K527" s="3">
        <v>114.185841032718</v>
      </c>
    </row>
    <row r="528" spans="1:11" ht="18" x14ac:dyDescent="0.25">
      <c r="A528" s="3">
        <v>1996.6666666666599</v>
      </c>
      <c r="B528" s="3">
        <f t="shared" si="32"/>
        <v>281.27055702917772</v>
      </c>
      <c r="C528" s="3">
        <f t="shared" si="33"/>
        <v>153.96513613984988</v>
      </c>
      <c r="D528" s="3">
        <f t="shared" si="34"/>
        <v>281.27055702917772</v>
      </c>
      <c r="E528" s="3">
        <f t="shared" si="35"/>
        <v>73.682385180319585</v>
      </c>
      <c r="F528" s="3">
        <v>346</v>
      </c>
      <c r="G528">
        <v>140.23758688592599</v>
      </c>
      <c r="I528" s="3">
        <v>1923.6666666666599</v>
      </c>
      <c r="J528" s="3">
        <v>0</v>
      </c>
      <c r="K528" s="3">
        <v>100.351401474092</v>
      </c>
    </row>
    <row r="529" spans="1:11" ht="18" x14ac:dyDescent="0.25">
      <c r="A529" s="3">
        <v>1996.75</v>
      </c>
      <c r="B529" s="3">
        <f t="shared" si="32"/>
        <v>284.27055702917772</v>
      </c>
      <c r="C529" s="3">
        <f t="shared" si="33"/>
        <v>103.0221608877077</v>
      </c>
      <c r="D529" s="3">
        <f t="shared" si="34"/>
        <v>284.27055702917772</v>
      </c>
      <c r="E529" s="3">
        <f t="shared" si="35"/>
        <v>37.852327100675595</v>
      </c>
      <c r="F529" s="3">
        <v>349</v>
      </c>
      <c r="G529">
        <v>104.407528806282</v>
      </c>
      <c r="I529" s="3">
        <v>1923.75</v>
      </c>
      <c r="J529" s="3">
        <v>0</v>
      </c>
      <c r="K529" s="3">
        <v>81.799134536183203</v>
      </c>
    </row>
    <row r="530" spans="1:11" ht="18" x14ac:dyDescent="0.25">
      <c r="A530" s="3">
        <v>1996.8333333333301</v>
      </c>
      <c r="B530" s="3">
        <f t="shared" si="32"/>
        <v>284.27055702917772</v>
      </c>
      <c r="C530" s="3">
        <f t="shared" si="33"/>
        <v>-3.3980290164769795</v>
      </c>
      <c r="D530" s="3">
        <f t="shared" si="34"/>
        <v>284.27055702917772</v>
      </c>
      <c r="E530" s="3">
        <f t="shared" si="35"/>
        <v>-0.85855713946411072</v>
      </c>
      <c r="F530" s="3">
        <v>349</v>
      </c>
      <c r="G530">
        <v>65.696644566142297</v>
      </c>
      <c r="I530" s="3">
        <v>1923.8333333333301</v>
      </c>
      <c r="J530" s="3">
        <v>0</v>
      </c>
      <c r="K530" s="3">
        <v>62.4560088974319</v>
      </c>
    </row>
    <row r="531" spans="1:11" ht="18" x14ac:dyDescent="0.25">
      <c r="A531" s="3">
        <v>1996.9166666666599</v>
      </c>
      <c r="B531" s="3">
        <f t="shared" si="32"/>
        <v>219.27055702917772</v>
      </c>
      <c r="C531" s="3">
        <f t="shared" si="33"/>
        <v>-131.30091986623515</v>
      </c>
      <c r="D531" s="3">
        <f t="shared" si="34"/>
        <v>219.27055702917772</v>
      </c>
      <c r="E531" s="3">
        <f t="shared" si="35"/>
        <v>-55.382550502003106</v>
      </c>
      <c r="F531" s="3">
        <v>284</v>
      </c>
      <c r="G531">
        <v>11.1726512036033</v>
      </c>
      <c r="I531" s="3">
        <v>1923.9166666666599</v>
      </c>
      <c r="J531" s="3">
        <v>0</v>
      </c>
      <c r="K531" s="3">
        <v>30.663211978450999</v>
      </c>
    </row>
    <row r="532" spans="1:11" ht="18" x14ac:dyDescent="0.25">
      <c r="A532" s="3">
        <v>1997</v>
      </c>
      <c r="B532" s="3">
        <f t="shared" si="32"/>
        <v>-8.7294429708222765</v>
      </c>
      <c r="C532" s="3">
        <f t="shared" si="33"/>
        <v>-196.47129190706738</v>
      </c>
      <c r="D532" s="3">
        <f t="shared" si="34"/>
        <v>-8.7294429708222765</v>
      </c>
      <c r="E532" s="3">
        <f t="shared" si="35"/>
        <v>-125.76930305613901</v>
      </c>
      <c r="F532" s="3">
        <v>56</v>
      </c>
      <c r="G532">
        <v>-59.214101350532601</v>
      </c>
      <c r="I532" s="3">
        <v>1924</v>
      </c>
      <c r="J532" s="3">
        <v>0</v>
      </c>
      <c r="K532" s="3">
        <v>-18.990132633681299</v>
      </c>
    </row>
    <row r="533" spans="1:11" ht="18" x14ac:dyDescent="0.25">
      <c r="A533" s="3">
        <v>1997.0833333333301</v>
      </c>
      <c r="B533" s="3">
        <f t="shared" si="32"/>
        <v>-86.729442970822276</v>
      </c>
      <c r="C533" s="3">
        <f t="shared" si="33"/>
        <v>-215.94694616316477</v>
      </c>
      <c r="D533" s="3">
        <f t="shared" si="34"/>
        <v>-86.729442970822276</v>
      </c>
      <c r="E533" s="3">
        <f t="shared" si="35"/>
        <v>-163.5342928141169</v>
      </c>
      <c r="F533" s="3">
        <v>-22</v>
      </c>
      <c r="G533">
        <v>-96.979091108510502</v>
      </c>
      <c r="I533" s="3">
        <v>1924.0833333333301</v>
      </c>
      <c r="J533" s="3">
        <v>0</v>
      </c>
      <c r="K533" s="3">
        <v>-55.371940201045199</v>
      </c>
    </row>
    <row r="534" spans="1:11" ht="18" x14ac:dyDescent="0.25">
      <c r="A534" s="3">
        <v>1997.1666666666599</v>
      </c>
      <c r="B534" s="3">
        <f t="shared" si="32"/>
        <v>-164.72944297082228</v>
      </c>
      <c r="C534" s="3">
        <f t="shared" si="33"/>
        <v>-218.49557120856159</v>
      </c>
      <c r="D534" s="3">
        <f t="shared" si="34"/>
        <v>-164.72944297082228</v>
      </c>
      <c r="E534" s="3">
        <f t="shared" si="35"/>
        <v>-169.52415253925241</v>
      </c>
      <c r="F534" s="3">
        <v>-100</v>
      </c>
      <c r="G534">
        <v>-102.96895083364601</v>
      </c>
      <c r="I534" s="3">
        <v>1924.1666666666599</v>
      </c>
      <c r="J534" s="3">
        <v>0</v>
      </c>
      <c r="K534" s="3">
        <v>-89.901063628155399</v>
      </c>
    </row>
    <row r="535" spans="1:11" ht="18" x14ac:dyDescent="0.25">
      <c r="A535" s="3">
        <v>1997.25</v>
      </c>
      <c r="B535" s="3">
        <f t="shared" si="32"/>
        <v>-170.72944297082228</v>
      </c>
      <c r="C535" s="3">
        <f t="shared" si="33"/>
        <v>-220.49326029905842</v>
      </c>
      <c r="D535" s="3">
        <f t="shared" si="34"/>
        <v>-170.72944297082228</v>
      </c>
      <c r="E535" s="3">
        <f t="shared" si="35"/>
        <v>-174.4287059974894</v>
      </c>
      <c r="F535" s="3">
        <v>-106</v>
      </c>
      <c r="G535">
        <v>-107.87350429188299</v>
      </c>
      <c r="I535" s="3">
        <v>1924.25</v>
      </c>
      <c r="J535" s="3">
        <v>0</v>
      </c>
      <c r="K535" s="3">
        <v>-132.38639602579499</v>
      </c>
    </row>
    <row r="536" spans="1:11" ht="18" x14ac:dyDescent="0.25">
      <c r="A536" s="3">
        <v>1997.3333333333301</v>
      </c>
      <c r="B536" s="3">
        <f t="shared" si="32"/>
        <v>-215.72944297082228</v>
      </c>
      <c r="C536" s="3">
        <f t="shared" si="33"/>
        <v>-215.38310129705644</v>
      </c>
      <c r="D536" s="3">
        <f t="shared" si="34"/>
        <v>-215.72944297082228</v>
      </c>
      <c r="E536" s="3">
        <f t="shared" si="35"/>
        <v>-162.2476788561471</v>
      </c>
      <c r="F536" s="3">
        <v>-151</v>
      </c>
      <c r="G536">
        <v>-95.692477150540697</v>
      </c>
      <c r="I536" s="3">
        <v>1924.3333333333301</v>
      </c>
      <c r="J536" s="3">
        <v>0</v>
      </c>
      <c r="K536" s="3">
        <v>-137.27354683962201</v>
      </c>
    </row>
    <row r="537" spans="1:11" ht="18" x14ac:dyDescent="0.25">
      <c r="A537" s="3">
        <v>1997.4166666666599</v>
      </c>
      <c r="B537" s="3">
        <f t="shared" si="32"/>
        <v>-215.72944297082228</v>
      </c>
      <c r="C537" s="3">
        <f t="shared" si="33"/>
        <v>-202.96706300798476</v>
      </c>
      <c r="D537" s="3">
        <f t="shared" si="34"/>
        <v>-215.72944297082228</v>
      </c>
      <c r="E537" s="3">
        <f t="shared" si="35"/>
        <v>-136.99590363256812</v>
      </c>
      <c r="F537" s="3">
        <v>-151</v>
      </c>
      <c r="G537">
        <v>-70.440701926961694</v>
      </c>
      <c r="I537" s="3">
        <v>1924.4166666666599</v>
      </c>
      <c r="J537" s="3">
        <v>0</v>
      </c>
      <c r="K537" s="3">
        <v>-100.75148800701</v>
      </c>
    </row>
    <row r="538" spans="1:11" ht="18" x14ac:dyDescent="0.25">
      <c r="A538" s="3">
        <v>1997.5</v>
      </c>
      <c r="B538" s="3">
        <f t="shared" si="32"/>
        <v>-215.72944297082228</v>
      </c>
      <c r="C538" s="3">
        <f t="shared" si="33"/>
        <v>-190.07542013218551</v>
      </c>
      <c r="D538" s="3">
        <f t="shared" si="34"/>
        <v>-215.72944297082228</v>
      </c>
      <c r="E538" s="3">
        <f t="shared" si="35"/>
        <v>-115.79253457248321</v>
      </c>
      <c r="F538" s="3">
        <v>-151</v>
      </c>
      <c r="G538">
        <v>-49.237332866876798</v>
      </c>
      <c r="I538" s="3">
        <v>1924.5</v>
      </c>
      <c r="J538" s="3">
        <v>0</v>
      </c>
      <c r="K538" s="3">
        <v>-53.388348914831496</v>
      </c>
    </row>
    <row r="539" spans="1:11" ht="18" x14ac:dyDescent="0.25">
      <c r="A539" s="3">
        <v>1997.5833333333301</v>
      </c>
      <c r="B539" s="3">
        <f t="shared" si="32"/>
        <v>-205.72944297082228</v>
      </c>
      <c r="C539" s="3">
        <f t="shared" si="33"/>
        <v>-169.311065375466</v>
      </c>
      <c r="D539" s="3">
        <f t="shared" si="34"/>
        <v>-205.72944297082228</v>
      </c>
      <c r="E539" s="3">
        <f t="shared" si="35"/>
        <v>-89.150307019800408</v>
      </c>
      <c r="F539" s="3">
        <v>-141</v>
      </c>
      <c r="G539">
        <v>-22.595105314194001</v>
      </c>
      <c r="I539" s="3">
        <v>1924.5833333333301</v>
      </c>
      <c r="J539" s="3">
        <v>0</v>
      </c>
      <c r="K539" s="3">
        <v>-8.7552484810021802</v>
      </c>
    </row>
    <row r="540" spans="1:11" ht="18" x14ac:dyDescent="0.25">
      <c r="A540" s="3">
        <v>1997.6666666666599</v>
      </c>
      <c r="B540" s="3">
        <f t="shared" si="32"/>
        <v>-178.72944297082228</v>
      </c>
      <c r="C540" s="3">
        <f t="shared" si="33"/>
        <v>-150.19655487294375</v>
      </c>
      <c r="D540" s="3">
        <f t="shared" si="34"/>
        <v>-178.72944297082228</v>
      </c>
      <c r="E540" s="3">
        <f t="shared" si="35"/>
        <v>-70.305557885274183</v>
      </c>
      <c r="F540" s="3">
        <v>-114</v>
      </c>
      <c r="G540">
        <v>-3.75035617966777</v>
      </c>
      <c r="I540" s="3">
        <v>1924.6666666666599</v>
      </c>
      <c r="J540" s="3">
        <v>0</v>
      </c>
      <c r="K540" s="3">
        <v>10.862917302841</v>
      </c>
    </row>
    <row r="541" spans="1:11" ht="18" x14ac:dyDescent="0.25">
      <c r="A541" s="3">
        <v>1997.75</v>
      </c>
      <c r="B541" s="3">
        <f t="shared" si="32"/>
        <v>-161.72944297082228</v>
      </c>
      <c r="C541" s="3">
        <f t="shared" si="33"/>
        <v>-129.92458975095337</v>
      </c>
      <c r="D541" s="3">
        <f t="shared" si="34"/>
        <v>-161.72944297082228</v>
      </c>
      <c r="E541" s="3">
        <f t="shared" si="35"/>
        <v>-54.410081405443108</v>
      </c>
      <c r="F541" s="3">
        <v>-97</v>
      </c>
      <c r="G541">
        <v>12.145120300163301</v>
      </c>
      <c r="I541" s="3">
        <v>1924.75</v>
      </c>
      <c r="J541" s="3">
        <v>0</v>
      </c>
      <c r="K541" s="3">
        <v>21.4826231388246</v>
      </c>
    </row>
    <row r="542" spans="1:11" ht="18" x14ac:dyDescent="0.25">
      <c r="A542" s="3">
        <v>1997.8333333333301</v>
      </c>
      <c r="B542" s="3">
        <f t="shared" si="32"/>
        <v>-139.72944297082228</v>
      </c>
      <c r="C542" s="3">
        <f t="shared" si="33"/>
        <v>-34.807486968196528</v>
      </c>
      <c r="D542" s="3">
        <f t="shared" si="34"/>
        <v>-139.72944297082228</v>
      </c>
      <c r="E542" s="3">
        <f t="shared" si="35"/>
        <v>-9.7551779809373045</v>
      </c>
      <c r="F542" s="3">
        <v>-75</v>
      </c>
      <c r="G542">
        <v>56.800023724669103</v>
      </c>
      <c r="I542" s="3">
        <v>1924.8333333333301</v>
      </c>
      <c r="J542" s="3">
        <v>0</v>
      </c>
      <c r="K542" s="3">
        <v>58.279833829337399</v>
      </c>
    </row>
    <row r="543" spans="1:11" ht="18" x14ac:dyDescent="0.25">
      <c r="A543" s="3">
        <v>1997.9166666666599</v>
      </c>
      <c r="B543" s="3">
        <f t="shared" si="32"/>
        <v>-79.729442970822276</v>
      </c>
      <c r="C543" s="3">
        <f t="shared" si="33"/>
        <v>109.74357760287221</v>
      </c>
      <c r="D543" s="3">
        <f t="shared" si="34"/>
        <v>-79.729442970822276</v>
      </c>
      <c r="E543" s="3">
        <f t="shared" si="35"/>
        <v>41.596542850431589</v>
      </c>
      <c r="F543" s="3">
        <v>-15</v>
      </c>
      <c r="G543">
        <v>108.151744556038</v>
      </c>
      <c r="I543" s="3">
        <v>1924.9166666666599</v>
      </c>
      <c r="J543" s="3">
        <v>0</v>
      </c>
      <c r="K543" s="3">
        <v>93.300401152348698</v>
      </c>
    </row>
    <row r="544" spans="1:11" ht="18" x14ac:dyDescent="0.25">
      <c r="A544" s="3">
        <v>1998</v>
      </c>
      <c r="B544" s="3">
        <f t="shared" si="32"/>
        <v>-15.729442970822276</v>
      </c>
      <c r="C544" s="3">
        <f t="shared" si="33"/>
        <v>156.35705765119977</v>
      </c>
      <c r="D544" s="3">
        <f t="shared" si="34"/>
        <v>-15.729442970822276</v>
      </c>
      <c r="E544" s="3">
        <f t="shared" si="35"/>
        <v>75.905194504203592</v>
      </c>
      <c r="F544" s="3">
        <v>49</v>
      </c>
      <c r="G544">
        <v>142.46039620981</v>
      </c>
      <c r="I544" s="3">
        <v>1925</v>
      </c>
      <c r="J544" s="3">
        <v>0</v>
      </c>
      <c r="K544" s="3">
        <v>109.623886086347</v>
      </c>
    </row>
    <row r="545" spans="1:11" ht="18" x14ac:dyDescent="0.25">
      <c r="A545" s="3">
        <v>1998.0833333333301</v>
      </c>
      <c r="B545" s="3">
        <f t="shared" si="32"/>
        <v>-14.729442970822276</v>
      </c>
      <c r="C545" s="3">
        <f t="shared" si="33"/>
        <v>175.22768707196741</v>
      </c>
      <c r="D545" s="3">
        <f t="shared" si="34"/>
        <v>-14.729442970822276</v>
      </c>
      <c r="E545" s="3">
        <f t="shared" si="35"/>
        <v>95.975737089502587</v>
      </c>
      <c r="F545" s="3">
        <v>50</v>
      </c>
      <c r="G545">
        <v>162.53093879510899</v>
      </c>
      <c r="I545" s="3">
        <v>1925.0833333333301</v>
      </c>
      <c r="J545" s="3">
        <v>0</v>
      </c>
      <c r="K545" s="3">
        <v>127.549274008434</v>
      </c>
    </row>
    <row r="546" spans="1:11" ht="18" x14ac:dyDescent="0.25">
      <c r="A546" s="3">
        <v>1998.1666666666599</v>
      </c>
      <c r="B546" s="3">
        <f t="shared" si="32"/>
        <v>-7.7294429708222765</v>
      </c>
      <c r="C546" s="3">
        <f t="shared" si="33"/>
        <v>165.01715958537275</v>
      </c>
      <c r="D546" s="3">
        <f t="shared" si="34"/>
        <v>-7.7294429708222765</v>
      </c>
      <c r="E546" s="3">
        <f t="shared" si="35"/>
        <v>84.518275323948586</v>
      </c>
      <c r="F546" s="3">
        <v>57</v>
      </c>
      <c r="G546">
        <v>151.07347702955499</v>
      </c>
      <c r="I546" s="3">
        <v>1925.1666666666599</v>
      </c>
      <c r="J546" s="3">
        <v>0</v>
      </c>
      <c r="K546" s="3">
        <v>145.46516168343899</v>
      </c>
    </row>
    <row r="547" spans="1:11" ht="18" x14ac:dyDescent="0.25">
      <c r="A547" s="3">
        <v>1998.25</v>
      </c>
      <c r="B547" s="3">
        <f t="shared" si="32"/>
        <v>62.270557029177724</v>
      </c>
      <c r="C547" s="3">
        <f t="shared" si="33"/>
        <v>145.64840246269333</v>
      </c>
      <c r="D547" s="3">
        <f t="shared" si="34"/>
        <v>62.270557029177724</v>
      </c>
      <c r="E547" s="3">
        <f t="shared" si="35"/>
        <v>66.421990465218585</v>
      </c>
      <c r="F547" s="3">
        <v>127</v>
      </c>
      <c r="G547">
        <v>132.97719217082499</v>
      </c>
      <c r="I547" s="3">
        <v>1925.25</v>
      </c>
      <c r="J547" s="3">
        <v>0</v>
      </c>
      <c r="K547" s="3">
        <v>184.261763193267</v>
      </c>
    </row>
    <row r="548" spans="1:11" ht="18" x14ac:dyDescent="0.25">
      <c r="A548" s="3">
        <v>1998.3333333333301</v>
      </c>
      <c r="B548" s="3">
        <f t="shared" si="32"/>
        <v>188.27055702917772</v>
      </c>
      <c r="C548" s="3">
        <f t="shared" si="33"/>
        <v>166.32747984014799</v>
      </c>
      <c r="D548" s="3">
        <f t="shared" si="34"/>
        <v>188.27055702917772</v>
      </c>
      <c r="E548" s="3">
        <f t="shared" si="35"/>
        <v>85.904750629523591</v>
      </c>
      <c r="F548" s="3">
        <v>253</v>
      </c>
      <c r="G548">
        <v>152.45995233513</v>
      </c>
      <c r="I548" s="3">
        <v>1925.3333333333301</v>
      </c>
      <c r="J548" s="3">
        <v>0</v>
      </c>
      <c r="K548" s="3">
        <v>256.81478561517201</v>
      </c>
    </row>
    <row r="549" spans="1:11" ht="18" x14ac:dyDescent="0.25">
      <c r="A549" s="3">
        <v>1998.4166666666599</v>
      </c>
      <c r="B549" s="3">
        <f t="shared" si="32"/>
        <v>215.27055702917772</v>
      </c>
      <c r="C549" s="3">
        <f t="shared" si="33"/>
        <v>189.79892638869711</v>
      </c>
      <c r="D549" s="3">
        <f t="shared" si="34"/>
        <v>215.27055702917772</v>
      </c>
      <c r="E549" s="3">
        <f t="shared" si="35"/>
        <v>115.38294605493959</v>
      </c>
      <c r="F549" s="3">
        <v>280</v>
      </c>
      <c r="G549">
        <v>181.938147760546</v>
      </c>
      <c r="I549" s="3">
        <v>1925.4166666666599</v>
      </c>
      <c r="J549" s="3">
        <v>0</v>
      </c>
      <c r="K549" s="3">
        <v>310.94161196915201</v>
      </c>
    </row>
    <row r="550" spans="1:11" ht="18" x14ac:dyDescent="0.25">
      <c r="A550" s="3">
        <v>1998.5</v>
      </c>
      <c r="B550" s="3">
        <f t="shared" si="32"/>
        <v>232.27055702917772</v>
      </c>
      <c r="C550" s="3">
        <f t="shared" si="33"/>
        <v>195.94633555396209</v>
      </c>
      <c r="D550" s="3">
        <f t="shared" si="34"/>
        <v>232.27055702917772</v>
      </c>
      <c r="E550" s="3">
        <f t="shared" si="35"/>
        <v>124.9124089051756</v>
      </c>
      <c r="F550" s="3">
        <v>297</v>
      </c>
      <c r="G550">
        <v>191.467610610782</v>
      </c>
      <c r="I550" s="3">
        <v>1925.5</v>
      </c>
      <c r="J550" s="3">
        <v>0</v>
      </c>
      <c r="K550" s="3">
        <v>321.35785176636102</v>
      </c>
    </row>
    <row r="551" spans="1:11" ht="18" x14ac:dyDescent="0.25">
      <c r="A551" s="3">
        <v>1998.5833333333301</v>
      </c>
      <c r="B551" s="3">
        <f t="shared" si="32"/>
        <v>243.27055702917772</v>
      </c>
      <c r="C551" s="3">
        <f t="shared" si="33"/>
        <v>190.05176522377027</v>
      </c>
      <c r="D551" s="3">
        <f t="shared" si="34"/>
        <v>243.27055702917772</v>
      </c>
      <c r="E551" s="3">
        <f t="shared" si="35"/>
        <v>115.7574260286506</v>
      </c>
      <c r="F551" s="3">
        <v>308</v>
      </c>
      <c r="G551">
        <v>182.31262773425701</v>
      </c>
      <c r="I551" s="3">
        <v>1925.5833333333301</v>
      </c>
      <c r="J551" s="3">
        <v>0</v>
      </c>
      <c r="K551" s="3">
        <v>302.23206589768699</v>
      </c>
    </row>
    <row r="552" spans="1:11" ht="18" x14ac:dyDescent="0.25">
      <c r="A552" s="3">
        <v>1998.6666666666599</v>
      </c>
      <c r="B552" s="3">
        <f t="shared" si="32"/>
        <v>246.27055702917772</v>
      </c>
      <c r="C552" s="3">
        <f t="shared" si="33"/>
        <v>170.39979064796731</v>
      </c>
      <c r="D552" s="3">
        <f t="shared" si="34"/>
        <v>246.27055702917772</v>
      </c>
      <c r="E552" s="3">
        <f t="shared" si="35"/>
        <v>90.366362929269599</v>
      </c>
      <c r="F552" s="3">
        <v>311</v>
      </c>
      <c r="G552">
        <v>156.92156463487601</v>
      </c>
      <c r="I552" s="3">
        <v>1925.6666666666599</v>
      </c>
      <c r="J552" s="3">
        <v>0</v>
      </c>
      <c r="K552" s="3">
        <v>262.08595513599897</v>
      </c>
    </row>
    <row r="553" spans="1:11" ht="18" x14ac:dyDescent="0.25">
      <c r="A553" s="3">
        <v>1998.75</v>
      </c>
      <c r="B553" s="3">
        <f t="shared" si="32"/>
        <v>246.27055702917772</v>
      </c>
      <c r="C553" s="3">
        <f t="shared" si="33"/>
        <v>161.51749608628873</v>
      </c>
      <c r="D553" s="3">
        <f t="shared" si="34"/>
        <v>246.27055702917772</v>
      </c>
      <c r="E553" s="3">
        <f t="shared" si="35"/>
        <v>80.925947059648593</v>
      </c>
      <c r="F553" s="3">
        <v>311</v>
      </c>
      <c r="G553">
        <v>147.481148765255</v>
      </c>
      <c r="I553" s="3">
        <v>1925.75</v>
      </c>
      <c r="J553" s="3">
        <v>0</v>
      </c>
      <c r="K553" s="3">
        <v>229.57322037024201</v>
      </c>
    </row>
    <row r="554" spans="1:11" ht="18" x14ac:dyDescent="0.25">
      <c r="A554" s="3">
        <v>1998.8333333333301</v>
      </c>
      <c r="B554" s="3">
        <f t="shared" si="32"/>
        <v>227.27055702917772</v>
      </c>
      <c r="C554" s="3">
        <f t="shared" si="33"/>
        <v>166.94477446719819</v>
      </c>
      <c r="D554" s="3">
        <f t="shared" si="34"/>
        <v>227.27055702917772</v>
      </c>
      <c r="E554" s="3">
        <f t="shared" si="35"/>
        <v>86.566022879003583</v>
      </c>
      <c r="F554" s="3">
        <v>292</v>
      </c>
      <c r="G554">
        <v>153.12122458460999</v>
      </c>
      <c r="I554" s="3">
        <v>1925.8333333333301</v>
      </c>
      <c r="J554" s="3">
        <v>0</v>
      </c>
      <c r="K554" s="3">
        <v>197.551414986086</v>
      </c>
    </row>
    <row r="555" spans="1:11" ht="18" x14ac:dyDescent="0.25">
      <c r="A555" s="3">
        <v>1998.9166666666599</v>
      </c>
      <c r="B555" s="3">
        <f t="shared" si="32"/>
        <v>3.2705570291777235</v>
      </c>
      <c r="C555" s="3">
        <f t="shared" si="33"/>
        <v>130.98035603077011</v>
      </c>
      <c r="D555" s="3">
        <f t="shared" si="34"/>
        <v>3.2705570291777235</v>
      </c>
      <c r="E555" s="3">
        <f t="shared" si="35"/>
        <v>55.154801302962596</v>
      </c>
      <c r="F555" s="3">
        <v>68</v>
      </c>
      <c r="G555">
        <v>121.710003008569</v>
      </c>
      <c r="I555" s="3">
        <v>1925.9166666666599</v>
      </c>
      <c r="J555" s="3">
        <v>0</v>
      </c>
      <c r="K555" s="3">
        <v>124.195936977619</v>
      </c>
    </row>
    <row r="556" spans="1:11" ht="18" x14ac:dyDescent="0.25">
      <c r="A556" s="3">
        <v>1999</v>
      </c>
      <c r="B556" s="3">
        <f t="shared" si="32"/>
        <v>-134.72944297082228</v>
      </c>
      <c r="C556" s="3">
        <f t="shared" si="33"/>
        <v>-10.301339834832772</v>
      </c>
      <c r="D556" s="3">
        <f t="shared" si="34"/>
        <v>-134.72944297082228</v>
      </c>
      <c r="E556" s="3">
        <f t="shared" si="35"/>
        <v>-2.660346665775009</v>
      </c>
      <c r="F556" s="3">
        <v>-70</v>
      </c>
      <c r="G556">
        <v>63.894855039831398</v>
      </c>
      <c r="I556" s="3">
        <v>1926</v>
      </c>
      <c r="J556" s="3">
        <v>0</v>
      </c>
      <c r="K556" s="3">
        <v>34.838003865697502</v>
      </c>
    </row>
    <row r="557" spans="1:11" ht="18" x14ac:dyDescent="0.25">
      <c r="A557" s="3">
        <v>1999.0833333333301</v>
      </c>
      <c r="B557" s="3">
        <f t="shared" si="32"/>
        <v>-163.72944297082228</v>
      </c>
      <c r="C557" s="3">
        <f t="shared" si="33"/>
        <v>-121.18324832886094</v>
      </c>
      <c r="D557" s="3">
        <f t="shared" si="34"/>
        <v>-163.72944297082228</v>
      </c>
      <c r="E557" s="3">
        <f t="shared" si="35"/>
        <v>-48.54434970631651</v>
      </c>
      <c r="F557" s="3">
        <v>-99</v>
      </c>
      <c r="G557">
        <v>18.010851999289901</v>
      </c>
      <c r="I557" s="3">
        <v>1926.0833333333301</v>
      </c>
      <c r="J557" s="3">
        <v>0</v>
      </c>
      <c r="K557" s="3">
        <v>-38.141658089674998</v>
      </c>
    </row>
    <row r="558" spans="1:11" ht="18" x14ac:dyDescent="0.25">
      <c r="A558" s="3">
        <v>1999.1666666666599</v>
      </c>
      <c r="B558" s="3">
        <f t="shared" si="32"/>
        <v>-163.72944297082228</v>
      </c>
      <c r="C558" s="3">
        <f t="shared" si="33"/>
        <v>-161.27357070887254</v>
      </c>
      <c r="D558" s="3">
        <f t="shared" si="34"/>
        <v>-163.72944297082228</v>
      </c>
      <c r="E558" s="3">
        <f t="shared" si="35"/>
        <v>-80.681381488791004</v>
      </c>
      <c r="F558" s="3">
        <v>-99</v>
      </c>
      <c r="G558">
        <v>-14.1261797831846</v>
      </c>
      <c r="I558" s="3">
        <v>1926.1666666666599</v>
      </c>
      <c r="J558" s="3">
        <v>0</v>
      </c>
      <c r="K558" s="3">
        <v>-105.649855464119</v>
      </c>
    </row>
    <row r="559" spans="1:11" ht="18" x14ac:dyDescent="0.25">
      <c r="A559" s="3">
        <v>1999.25</v>
      </c>
      <c r="B559" s="3">
        <f t="shared" si="32"/>
        <v>-195.72944297082228</v>
      </c>
      <c r="C559" s="3">
        <f t="shared" si="33"/>
        <v>-165.17240035633139</v>
      </c>
      <c r="D559" s="3">
        <f t="shared" si="34"/>
        <v>-195.72944297082228</v>
      </c>
      <c r="E559" s="3">
        <f t="shared" si="35"/>
        <v>-84.681331592477406</v>
      </c>
      <c r="F559" s="3">
        <v>-131</v>
      </c>
      <c r="G559">
        <v>-18.126129886870999</v>
      </c>
      <c r="I559" s="3">
        <v>1926.25</v>
      </c>
      <c r="J559" s="3">
        <v>0</v>
      </c>
      <c r="K559" s="3">
        <v>-153.72952358481601</v>
      </c>
    </row>
    <row r="560" spans="1:11" ht="18" x14ac:dyDescent="0.25">
      <c r="A560" s="3">
        <v>1999.3333333333301</v>
      </c>
      <c r="B560" s="3">
        <f t="shared" si="32"/>
        <v>-190.72944297082228</v>
      </c>
      <c r="C560" s="3">
        <f t="shared" si="33"/>
        <v>-147.25177535104032</v>
      </c>
      <c r="D560" s="3">
        <f t="shared" si="34"/>
        <v>-190.72944297082228</v>
      </c>
      <c r="E560" s="3">
        <f t="shared" si="35"/>
        <v>-67.768052746303212</v>
      </c>
      <c r="F560" s="3">
        <v>-126</v>
      </c>
      <c r="G560">
        <v>-1.2128510406968001</v>
      </c>
      <c r="I560" s="3">
        <v>1926.3333333333301</v>
      </c>
      <c r="J560" s="3">
        <v>0</v>
      </c>
      <c r="K560" s="3">
        <v>-175.364081122622</v>
      </c>
    </row>
    <row r="561" spans="1:11" ht="18" x14ac:dyDescent="0.25">
      <c r="A561" s="3">
        <v>1999.4166666666599</v>
      </c>
      <c r="B561" s="3">
        <f t="shared" si="32"/>
        <v>-201.72944297082228</v>
      </c>
      <c r="C561" s="3">
        <f t="shared" si="33"/>
        <v>-137.35713563292353</v>
      </c>
      <c r="D561" s="3">
        <f t="shared" si="34"/>
        <v>-201.72944297082228</v>
      </c>
      <c r="E561" s="3">
        <f t="shared" si="35"/>
        <v>-59.833577838379277</v>
      </c>
      <c r="F561" s="3">
        <v>-137</v>
      </c>
      <c r="G561">
        <v>6.7216238672271302</v>
      </c>
      <c r="I561" s="3">
        <v>1926.4166666666599</v>
      </c>
      <c r="J561" s="3">
        <v>0</v>
      </c>
      <c r="K561" s="3">
        <v>-179.531858143276</v>
      </c>
    </row>
    <row r="562" spans="1:11" ht="18" x14ac:dyDescent="0.25">
      <c r="A562" s="3">
        <v>1999.5</v>
      </c>
      <c r="B562" s="3">
        <f t="shared" si="32"/>
        <v>-190.72944297082228</v>
      </c>
      <c r="C562" s="3">
        <f t="shared" si="33"/>
        <v>-120.15035458521248</v>
      </c>
      <c r="D562" s="3">
        <f t="shared" si="34"/>
        <v>-190.72944297082228</v>
      </c>
      <c r="E562" s="3">
        <f t="shared" si="35"/>
        <v>-47.884744831042212</v>
      </c>
      <c r="F562" s="3">
        <v>-126</v>
      </c>
      <c r="G562">
        <v>18.670456874564199</v>
      </c>
      <c r="I562" s="3">
        <v>1926.5</v>
      </c>
      <c r="J562" s="3">
        <v>0</v>
      </c>
      <c r="K562" s="3">
        <v>-153.62720843686</v>
      </c>
    </row>
    <row r="563" spans="1:11" ht="18" x14ac:dyDescent="0.25">
      <c r="A563" s="3">
        <v>1999.5833333333301</v>
      </c>
      <c r="B563" s="3">
        <f t="shared" si="32"/>
        <v>-175.72944297082228</v>
      </c>
      <c r="C563" s="3">
        <f t="shared" si="33"/>
        <v>-93.932488225637897</v>
      </c>
      <c r="D563" s="3">
        <f t="shared" si="34"/>
        <v>-175.72944297082228</v>
      </c>
      <c r="E563" s="3">
        <f t="shared" si="35"/>
        <v>-33.139321555230708</v>
      </c>
      <c r="F563" s="3">
        <v>-111</v>
      </c>
      <c r="G563">
        <v>33.415880150375699</v>
      </c>
      <c r="I563" s="3">
        <v>1926.5833333333301</v>
      </c>
      <c r="J563" s="3">
        <v>0</v>
      </c>
      <c r="K563" s="3">
        <v>-122.96486199864</v>
      </c>
    </row>
    <row r="564" spans="1:11" ht="18" x14ac:dyDescent="0.25">
      <c r="A564" s="3">
        <v>1999.6666666666599</v>
      </c>
      <c r="B564" s="3">
        <f t="shared" si="32"/>
        <v>-174.72944297082228</v>
      </c>
      <c r="C564" s="3">
        <f t="shared" si="33"/>
        <v>-96.547358457800755</v>
      </c>
      <c r="D564" s="3">
        <f t="shared" si="34"/>
        <v>-174.72944297082228</v>
      </c>
      <c r="E564" s="3">
        <f t="shared" si="35"/>
        <v>-34.456260575830306</v>
      </c>
      <c r="F564" s="3">
        <v>-110</v>
      </c>
      <c r="G564">
        <v>32.098941129776101</v>
      </c>
      <c r="I564" s="3">
        <v>1926.6666666666599</v>
      </c>
      <c r="J564" s="3">
        <v>0</v>
      </c>
      <c r="K564" s="3">
        <v>-117.229840751628</v>
      </c>
    </row>
    <row r="565" spans="1:11" ht="18" x14ac:dyDescent="0.25">
      <c r="A565" s="3">
        <v>1999.75</v>
      </c>
      <c r="B565" s="3">
        <f t="shared" si="32"/>
        <v>-165.72944297082228</v>
      </c>
      <c r="C565" s="3">
        <f t="shared" si="33"/>
        <v>-96.606146769565754</v>
      </c>
      <c r="D565" s="3">
        <f t="shared" si="34"/>
        <v>-165.72944297082228</v>
      </c>
      <c r="E565" s="3">
        <f t="shared" si="35"/>
        <v>-34.486219040269809</v>
      </c>
      <c r="F565" s="3">
        <v>-101</v>
      </c>
      <c r="G565">
        <v>32.068982665336598</v>
      </c>
      <c r="I565" s="3">
        <v>1926.75</v>
      </c>
      <c r="J565" s="3">
        <v>0</v>
      </c>
      <c r="K565" s="3">
        <v>-107.45686784263501</v>
      </c>
    </row>
    <row r="566" spans="1:11" ht="18" x14ac:dyDescent="0.25">
      <c r="A566" s="3">
        <v>1999.8333333333301</v>
      </c>
      <c r="B566" s="3">
        <f t="shared" si="32"/>
        <v>-155.72944297082228</v>
      </c>
      <c r="C566" s="3">
        <f t="shared" si="33"/>
        <v>-108.65594237301299</v>
      </c>
      <c r="D566" s="3">
        <f t="shared" si="34"/>
        <v>-155.72944297082228</v>
      </c>
      <c r="E566" s="3">
        <f t="shared" si="35"/>
        <v>-40.974695718673402</v>
      </c>
      <c r="F566" s="3">
        <v>-91</v>
      </c>
      <c r="G566">
        <v>25.580505986933002</v>
      </c>
      <c r="I566" s="3">
        <v>1926.8333333333301</v>
      </c>
      <c r="J566" s="3">
        <v>0</v>
      </c>
      <c r="K566" s="3">
        <v>-85.948177901182106</v>
      </c>
    </row>
    <row r="567" spans="1:11" ht="18" x14ac:dyDescent="0.25">
      <c r="A567" s="3">
        <v>1999.9166666666599</v>
      </c>
      <c r="B567" s="3">
        <f t="shared" si="32"/>
        <v>-125.72944297082228</v>
      </c>
      <c r="C567" s="3">
        <f t="shared" si="33"/>
        <v>-146.4495790272185</v>
      </c>
      <c r="D567" s="3">
        <f t="shared" si="34"/>
        <v>-125.72944297082228</v>
      </c>
      <c r="E567" s="3">
        <f t="shared" si="35"/>
        <v>-67.091526466750167</v>
      </c>
      <c r="F567" s="3">
        <v>-61</v>
      </c>
      <c r="G567">
        <v>-0.53632476114376004</v>
      </c>
      <c r="I567" s="3">
        <v>1926.9166666666599</v>
      </c>
      <c r="J567" s="3">
        <v>0</v>
      </c>
      <c r="K567" s="3">
        <v>-59.945163285228404</v>
      </c>
    </row>
    <row r="568" spans="1:11" ht="18" x14ac:dyDescent="0.25">
      <c r="A568" s="3">
        <v>2000</v>
      </c>
      <c r="B568" s="3">
        <f t="shared" si="32"/>
        <v>-125.72944297082228</v>
      </c>
      <c r="C568" s="3">
        <f t="shared" si="33"/>
        <v>-163.6563744764085</v>
      </c>
      <c r="D568" s="3">
        <f t="shared" si="34"/>
        <v>-125.72944297082228</v>
      </c>
      <c r="E568" s="3">
        <f t="shared" si="35"/>
        <v>-83.102634993180715</v>
      </c>
      <c r="F568" s="3">
        <v>-61</v>
      </c>
      <c r="G568">
        <v>-16.5474332875743</v>
      </c>
      <c r="I568" s="3">
        <v>1927</v>
      </c>
      <c r="J568" s="3">
        <v>0</v>
      </c>
      <c r="K568" s="3">
        <v>-12.0009680163393</v>
      </c>
    </row>
    <row r="569" spans="1:11" ht="18" x14ac:dyDescent="0.25">
      <c r="A569" s="3">
        <v>2000.0833333333301</v>
      </c>
      <c r="B569" s="3">
        <f t="shared" si="32"/>
        <v>-138.72944297082228</v>
      </c>
      <c r="C569" s="3">
        <f t="shared" si="33"/>
        <v>-175.28805790232963</v>
      </c>
      <c r="D569" s="3">
        <f t="shared" si="34"/>
        <v>-138.72944297082228</v>
      </c>
      <c r="E569" s="3">
        <f t="shared" si="35"/>
        <v>-96.048211187676202</v>
      </c>
      <c r="F569" s="3">
        <v>-74</v>
      </c>
      <c r="G569">
        <v>-29.493009482069802</v>
      </c>
      <c r="I569" s="3">
        <v>1927.0833333333301</v>
      </c>
      <c r="J569" s="3">
        <v>0</v>
      </c>
      <c r="K569" s="3">
        <v>37.218271259376301</v>
      </c>
    </row>
    <row r="570" spans="1:11" ht="18" x14ac:dyDescent="0.25">
      <c r="A570" s="3">
        <v>2000.1666666666599</v>
      </c>
      <c r="B570" s="3">
        <f t="shared" si="32"/>
        <v>-159.72944297082228</v>
      </c>
      <c r="C570" s="3">
        <f t="shared" si="33"/>
        <v>-194.06576216777034</v>
      </c>
      <c r="D570" s="3">
        <f t="shared" si="34"/>
        <v>-159.72944297082228</v>
      </c>
      <c r="E570" s="3">
        <f t="shared" si="35"/>
        <v>-121.9002736246897</v>
      </c>
      <c r="F570" s="3">
        <v>-95</v>
      </c>
      <c r="G570">
        <v>-55.345071919083303</v>
      </c>
      <c r="I570" s="3">
        <v>1927.1666666666599</v>
      </c>
      <c r="J570" s="3">
        <v>0</v>
      </c>
      <c r="K570" s="3">
        <v>74.733851682209504</v>
      </c>
    </row>
    <row r="571" spans="1:11" ht="18" x14ac:dyDescent="0.25">
      <c r="A571" s="3">
        <v>2000.25</v>
      </c>
      <c r="B571" s="3">
        <f t="shared" si="32"/>
        <v>-159.72944297082228</v>
      </c>
      <c r="C571" s="3">
        <f t="shared" si="33"/>
        <v>-195.85324171338911</v>
      </c>
      <c r="D571" s="3">
        <f t="shared" si="34"/>
        <v>-159.72944297082228</v>
      </c>
      <c r="E571" s="3">
        <f t="shared" si="35"/>
        <v>-124.76119277130421</v>
      </c>
      <c r="F571" s="3">
        <v>-95</v>
      </c>
      <c r="G571">
        <v>-58.205991065697802</v>
      </c>
      <c r="I571" s="3">
        <v>1927.25</v>
      </c>
      <c r="J571" s="3">
        <v>0</v>
      </c>
      <c r="K571" s="3">
        <v>133.93326644035699</v>
      </c>
    </row>
    <row r="572" spans="1:11" ht="18" x14ac:dyDescent="0.25">
      <c r="A572" s="3">
        <v>2000.3333333333301</v>
      </c>
      <c r="B572" s="3">
        <f t="shared" si="32"/>
        <v>-125.72944297082228</v>
      </c>
      <c r="C572" s="3">
        <f t="shared" si="33"/>
        <v>-170.39927420850873</v>
      </c>
      <c r="D572" s="3">
        <f t="shared" si="34"/>
        <v>-125.72944297082228</v>
      </c>
      <c r="E572" s="3">
        <f t="shared" si="35"/>
        <v>-90.365781959646611</v>
      </c>
      <c r="F572" s="3">
        <v>-61</v>
      </c>
      <c r="G572">
        <v>-23.8105802540402</v>
      </c>
      <c r="I572" s="3">
        <v>1927.3333333333301</v>
      </c>
      <c r="J572" s="3">
        <v>0</v>
      </c>
      <c r="K572" s="3">
        <v>209.28120260431399</v>
      </c>
    </row>
    <row r="573" spans="1:11" ht="18" x14ac:dyDescent="0.25">
      <c r="A573" s="3">
        <v>2000.4166666666599</v>
      </c>
      <c r="B573" s="3">
        <f t="shared" si="32"/>
        <v>6.2705570291777235</v>
      </c>
      <c r="C573" s="3">
        <f t="shared" si="33"/>
        <v>-82.794977195330873</v>
      </c>
      <c r="D573" s="3">
        <f t="shared" si="34"/>
        <v>6.2705570291777235</v>
      </c>
      <c r="E573" s="3">
        <f t="shared" si="35"/>
        <v>-27.852075746773011</v>
      </c>
      <c r="F573" s="3">
        <v>71</v>
      </c>
      <c r="G573">
        <v>38.703125958833397</v>
      </c>
      <c r="I573" s="3">
        <v>1927.4166666666599</v>
      </c>
      <c r="J573" s="3">
        <v>0</v>
      </c>
      <c r="K573" s="3">
        <v>274.89608686454699</v>
      </c>
    </row>
    <row r="574" spans="1:11" ht="18" x14ac:dyDescent="0.25">
      <c r="A574" s="3">
        <v>2000.5</v>
      </c>
      <c r="B574" s="3">
        <f t="shared" si="32"/>
        <v>162.27055702917772</v>
      </c>
      <c r="C574" s="3">
        <f t="shared" si="33"/>
        <v>116.23627109009107</v>
      </c>
      <c r="D574" s="3">
        <f t="shared" si="34"/>
        <v>162.27055702917772</v>
      </c>
      <c r="E574" s="3">
        <f t="shared" si="35"/>
        <v>45.445201363702594</v>
      </c>
      <c r="F574" s="3">
        <v>227</v>
      </c>
      <c r="G574">
        <v>112.000403069309</v>
      </c>
      <c r="I574" s="3">
        <v>1927.5</v>
      </c>
      <c r="J574" s="3">
        <v>0</v>
      </c>
      <c r="K574" s="3">
        <v>314.30390886325898</v>
      </c>
    </row>
    <row r="575" spans="1:11" ht="18" x14ac:dyDescent="0.25">
      <c r="A575" s="3">
        <v>2000.5833333333301</v>
      </c>
      <c r="B575" s="3">
        <f t="shared" si="32"/>
        <v>217.27055702917772</v>
      </c>
      <c r="C575" s="3">
        <f t="shared" si="33"/>
        <v>158.19097293886409</v>
      </c>
      <c r="D575" s="3">
        <f t="shared" si="34"/>
        <v>217.27055702917772</v>
      </c>
      <c r="E575" s="3">
        <f t="shared" si="35"/>
        <v>77.653315860344605</v>
      </c>
      <c r="F575" s="3">
        <v>282</v>
      </c>
      <c r="G575">
        <v>144.20851756595101</v>
      </c>
      <c r="I575" s="3">
        <v>1927.5833333333301</v>
      </c>
      <c r="J575" s="3">
        <v>0</v>
      </c>
      <c r="K575" s="3">
        <v>301.12261223505999</v>
      </c>
    </row>
    <row r="576" spans="1:11" ht="18" x14ac:dyDescent="0.25">
      <c r="A576" s="3">
        <v>2000.6666666666599</v>
      </c>
      <c r="B576" s="3">
        <f t="shared" si="32"/>
        <v>223.27055702917772</v>
      </c>
      <c r="C576" s="3">
        <f t="shared" si="33"/>
        <v>149.9241425007252</v>
      </c>
      <c r="D576" s="3">
        <f t="shared" si="34"/>
        <v>223.27055702917772</v>
      </c>
      <c r="E576" s="3">
        <f t="shared" si="35"/>
        <v>70.067183495676602</v>
      </c>
      <c r="F576" s="3">
        <v>288</v>
      </c>
      <c r="G576">
        <v>136.62238520128301</v>
      </c>
      <c r="I576" s="3">
        <v>1927.6666666666599</v>
      </c>
      <c r="J576" s="3">
        <v>0</v>
      </c>
      <c r="K576" s="3">
        <v>269.48912735808801</v>
      </c>
    </row>
    <row r="577" spans="1:11" ht="18" x14ac:dyDescent="0.25">
      <c r="A577" s="3">
        <v>2000.75</v>
      </c>
      <c r="B577" s="3">
        <f t="shared" si="32"/>
        <v>223.27055702917772</v>
      </c>
      <c r="C577" s="3">
        <f t="shared" si="33"/>
        <v>155.39546913831899</v>
      </c>
      <c r="D577" s="3">
        <f t="shared" si="34"/>
        <v>223.27055702917772</v>
      </c>
      <c r="E577" s="3">
        <f t="shared" si="35"/>
        <v>75.003936834373604</v>
      </c>
      <c r="F577" s="3">
        <v>288</v>
      </c>
      <c r="G577">
        <v>141.55913853998001</v>
      </c>
      <c r="I577" s="3">
        <v>1927.75</v>
      </c>
      <c r="J577" s="3">
        <v>0</v>
      </c>
      <c r="K577" s="3">
        <v>275.15633798348802</v>
      </c>
    </row>
    <row r="578" spans="1:11" ht="18" x14ac:dyDescent="0.25">
      <c r="A578" s="3">
        <v>2000.8333333333301</v>
      </c>
      <c r="B578" s="3">
        <f t="shared" si="32"/>
        <v>210.27055702917772</v>
      </c>
      <c r="C578" s="3">
        <f t="shared" si="33"/>
        <v>164.87779025799912</v>
      </c>
      <c r="D578" s="3">
        <f t="shared" si="34"/>
        <v>210.27055702917772</v>
      </c>
      <c r="E578" s="3">
        <f t="shared" si="35"/>
        <v>84.372163372584595</v>
      </c>
      <c r="F578" s="3">
        <v>275</v>
      </c>
      <c r="G578">
        <v>150.927365078191</v>
      </c>
      <c r="I578" s="3">
        <v>1927.8333333333301</v>
      </c>
      <c r="J578" s="3">
        <v>0</v>
      </c>
      <c r="K578" s="3">
        <v>289.232386958191</v>
      </c>
    </row>
    <row r="579" spans="1:11" ht="18" x14ac:dyDescent="0.25">
      <c r="A579" s="3">
        <v>2000.9166666666599</v>
      </c>
      <c r="B579" s="3">
        <f t="shared" si="32"/>
        <v>194.27055702917772</v>
      </c>
      <c r="C579" s="3">
        <f t="shared" si="33"/>
        <v>159.88429611611031</v>
      </c>
      <c r="D579" s="3">
        <f t="shared" si="34"/>
        <v>194.27055702917772</v>
      </c>
      <c r="E579" s="3">
        <f t="shared" si="35"/>
        <v>79.302461499182584</v>
      </c>
      <c r="F579" s="3">
        <v>259</v>
      </c>
      <c r="G579">
        <v>145.85766320478899</v>
      </c>
      <c r="I579" s="3">
        <v>1927.9166666666599</v>
      </c>
      <c r="J579" s="3">
        <v>0</v>
      </c>
      <c r="K579" s="3">
        <v>276.54931498886998</v>
      </c>
    </row>
    <row r="580" spans="1:11" ht="18" x14ac:dyDescent="0.25">
      <c r="A580" s="3">
        <v>2001</v>
      </c>
      <c r="B580" s="3">
        <f t="shared" si="32"/>
        <v>194.27055702917772</v>
      </c>
      <c r="C580" s="3">
        <f t="shared" si="33"/>
        <v>147.70899194437121</v>
      </c>
      <c r="D580" s="3">
        <f t="shared" si="34"/>
        <v>194.27055702917772</v>
      </c>
      <c r="E580" s="3">
        <f t="shared" si="35"/>
        <v>68.156423304490602</v>
      </c>
      <c r="F580" s="3">
        <v>259</v>
      </c>
      <c r="G580">
        <v>134.71162501009701</v>
      </c>
      <c r="I580" s="3">
        <v>1928</v>
      </c>
      <c r="J580" s="3">
        <v>0</v>
      </c>
      <c r="K580" s="3">
        <v>238.13462988689199</v>
      </c>
    </row>
    <row r="581" spans="1:11" ht="18" x14ac:dyDescent="0.25">
      <c r="A581" s="3">
        <v>2001.0833333333301</v>
      </c>
      <c r="B581" s="3">
        <f t="shared" si="32"/>
        <v>207.27055702917772</v>
      </c>
      <c r="C581" s="3">
        <f t="shared" si="33"/>
        <v>117.67203420813702</v>
      </c>
      <c r="D581" s="3">
        <f t="shared" si="34"/>
        <v>207.27055702917772</v>
      </c>
      <c r="E581" s="3">
        <f t="shared" si="35"/>
        <v>46.329239618148591</v>
      </c>
      <c r="F581" s="3">
        <v>272</v>
      </c>
      <c r="G581">
        <v>112.884441323755</v>
      </c>
      <c r="I581" s="3">
        <v>1928.0833333333301</v>
      </c>
      <c r="J581" s="3">
        <v>0</v>
      </c>
      <c r="K581" s="3">
        <v>169.31334710697999</v>
      </c>
    </row>
    <row r="582" spans="1:11" ht="18" x14ac:dyDescent="0.25">
      <c r="A582" s="3">
        <v>2001.1666666666599</v>
      </c>
      <c r="B582" s="3">
        <f t="shared" ref="B582:B645" si="36">+$D582</f>
        <v>207.27055702917772</v>
      </c>
      <c r="C582" s="3">
        <f t="shared" ref="C582:C645" si="37">$B$1*$E582/(1+$B$3*ABS($E582)^$B$2)</f>
        <v>107.88238113213032</v>
      </c>
      <c r="D582" s="3">
        <f t="shared" ref="D582:D645" si="38">+F582-$F$3</f>
        <v>207.27055702917772</v>
      </c>
      <c r="E582" s="3">
        <f t="shared" ref="E582:E645" si="39">+$G582-$G$3</f>
        <v>40.536255832979592</v>
      </c>
      <c r="F582" s="3">
        <v>272</v>
      </c>
      <c r="G582">
        <v>107.091457538586</v>
      </c>
      <c r="I582" s="3">
        <v>1928.1666666666599</v>
      </c>
      <c r="J582" s="3">
        <v>0</v>
      </c>
      <c r="K582" s="3">
        <v>96.634589188967396</v>
      </c>
    </row>
    <row r="583" spans="1:11" ht="18" x14ac:dyDescent="0.25">
      <c r="A583" s="3">
        <v>2001.25</v>
      </c>
      <c r="B583" s="3">
        <f t="shared" si="36"/>
        <v>207.27055702917772</v>
      </c>
      <c r="C583" s="3">
        <f t="shared" si="37"/>
        <v>154.2208264144362</v>
      </c>
      <c r="D583" s="3">
        <f t="shared" si="38"/>
        <v>207.27055702917772</v>
      </c>
      <c r="E583" s="3">
        <f t="shared" si="39"/>
        <v>73.916979055740597</v>
      </c>
      <c r="F583" s="3">
        <v>272</v>
      </c>
      <c r="G583">
        <v>140.472180761347</v>
      </c>
      <c r="I583" s="3">
        <v>1928.25</v>
      </c>
      <c r="J583" s="3">
        <v>0</v>
      </c>
      <c r="K583" s="3">
        <v>40.289607770997897</v>
      </c>
    </row>
    <row r="584" spans="1:11" ht="18" x14ac:dyDescent="0.25">
      <c r="A584" s="3">
        <v>2001.3333333333301</v>
      </c>
      <c r="B584" s="3">
        <f t="shared" si="36"/>
        <v>244.27055702917772</v>
      </c>
      <c r="C584" s="3">
        <f t="shared" si="37"/>
        <v>184.73487039822373</v>
      </c>
      <c r="D584" s="3">
        <f t="shared" si="38"/>
        <v>244.27055702917772</v>
      </c>
      <c r="E584" s="3">
        <f t="shared" si="39"/>
        <v>108.17230984102159</v>
      </c>
      <c r="F584" s="3">
        <v>309</v>
      </c>
      <c r="G584">
        <v>174.72751154662799</v>
      </c>
      <c r="I584" s="3">
        <v>1928.3333333333301</v>
      </c>
      <c r="J584" s="3">
        <v>0</v>
      </c>
      <c r="K584" s="3">
        <v>-20.077089564916701</v>
      </c>
    </row>
    <row r="585" spans="1:11" ht="18" x14ac:dyDescent="0.25">
      <c r="A585" s="3">
        <v>2001.4166666666599</v>
      </c>
      <c r="B585" s="3">
        <f t="shared" si="36"/>
        <v>253.27055702917772</v>
      </c>
      <c r="C585" s="3">
        <f t="shared" si="37"/>
        <v>194.52515580490393</v>
      </c>
      <c r="D585" s="3">
        <f t="shared" si="38"/>
        <v>253.27055702917772</v>
      </c>
      <c r="E585" s="3">
        <f t="shared" si="39"/>
        <v>122.62790979450759</v>
      </c>
      <c r="F585" s="3">
        <v>318</v>
      </c>
      <c r="G585">
        <v>189.18311150011399</v>
      </c>
      <c r="I585" s="3">
        <v>1928.4166666666599</v>
      </c>
      <c r="J585" s="3">
        <v>0</v>
      </c>
      <c r="K585" s="3">
        <v>-68.662174564099203</v>
      </c>
    </row>
    <row r="586" spans="1:11" ht="18" x14ac:dyDescent="0.25">
      <c r="A586" s="3">
        <v>2001.5</v>
      </c>
      <c r="B586" s="3">
        <f t="shared" si="36"/>
        <v>266.27055702917772</v>
      </c>
      <c r="C586" s="3">
        <f t="shared" si="37"/>
        <v>189.43896840626095</v>
      </c>
      <c r="D586" s="3">
        <f t="shared" si="38"/>
        <v>266.27055702917772</v>
      </c>
      <c r="E586" s="3">
        <f t="shared" si="39"/>
        <v>114.8522694605156</v>
      </c>
      <c r="F586" s="3">
        <v>331</v>
      </c>
      <c r="G586">
        <v>181.40747116612201</v>
      </c>
      <c r="I586" s="3">
        <v>1928.5</v>
      </c>
      <c r="J586" s="3">
        <v>0</v>
      </c>
      <c r="K586" s="3">
        <v>-90.528823635527701</v>
      </c>
    </row>
    <row r="587" spans="1:11" ht="18" x14ac:dyDescent="0.25">
      <c r="A587" s="3">
        <v>2001.5833333333301</v>
      </c>
      <c r="B587" s="3">
        <f t="shared" si="36"/>
        <v>284.27055702917772</v>
      </c>
      <c r="C587" s="3">
        <f t="shared" si="37"/>
        <v>155.62891220837477</v>
      </c>
      <c r="D587" s="3">
        <f t="shared" si="38"/>
        <v>284.27055702917772</v>
      </c>
      <c r="E587" s="3">
        <f t="shared" si="39"/>
        <v>75.221778022806603</v>
      </c>
      <c r="F587" s="3">
        <v>349</v>
      </c>
      <c r="G587">
        <v>141.77697972841301</v>
      </c>
      <c r="I587" s="3">
        <v>1928.5833333333301</v>
      </c>
      <c r="J587" s="3">
        <v>0</v>
      </c>
      <c r="K587" s="3">
        <v>-108.122710934305</v>
      </c>
    </row>
    <row r="588" spans="1:11" ht="18" x14ac:dyDescent="0.25">
      <c r="A588" s="3">
        <v>2001.6666666666599</v>
      </c>
      <c r="B588" s="3">
        <f t="shared" si="36"/>
        <v>284.27055702917772</v>
      </c>
      <c r="C588" s="3">
        <f t="shared" si="37"/>
        <v>109.90977154104606</v>
      </c>
      <c r="D588" s="3">
        <f t="shared" si="38"/>
        <v>284.27055702917772</v>
      </c>
      <c r="E588" s="3">
        <f t="shared" si="39"/>
        <v>41.692123726436591</v>
      </c>
      <c r="F588" s="3">
        <v>349</v>
      </c>
      <c r="G588">
        <v>108.247325432043</v>
      </c>
      <c r="I588" s="3">
        <v>1928.6666666666599</v>
      </c>
      <c r="J588" s="3">
        <v>0</v>
      </c>
      <c r="K588" s="3">
        <v>-112.431628502292</v>
      </c>
    </row>
    <row r="589" spans="1:11" ht="18" x14ac:dyDescent="0.25">
      <c r="A589" s="3">
        <v>2001.75</v>
      </c>
      <c r="B589" s="3">
        <f t="shared" si="36"/>
        <v>242.27055702917772</v>
      </c>
      <c r="C589" s="3">
        <f t="shared" si="37"/>
        <v>93.540227901717216</v>
      </c>
      <c r="D589" s="3">
        <f t="shared" si="38"/>
        <v>242.27055702917772</v>
      </c>
      <c r="E589" s="3">
        <f t="shared" si="39"/>
        <v>32.94436186048199</v>
      </c>
      <c r="F589" s="3">
        <v>307</v>
      </c>
      <c r="G589">
        <v>99.499563566088398</v>
      </c>
      <c r="I589" s="3">
        <v>1928.75</v>
      </c>
      <c r="J589" s="3">
        <v>0</v>
      </c>
      <c r="K589" s="3">
        <v>-106.49326912994</v>
      </c>
    </row>
    <row r="590" spans="1:11" ht="18" x14ac:dyDescent="0.25">
      <c r="A590" s="3">
        <v>2001.8333333333301</v>
      </c>
      <c r="B590" s="3">
        <f t="shared" si="36"/>
        <v>71.270557029177724</v>
      </c>
      <c r="C590" s="3">
        <f t="shared" si="37"/>
        <v>42.122147985182231</v>
      </c>
      <c r="D590" s="3">
        <f t="shared" si="38"/>
        <v>71.270557029177724</v>
      </c>
      <c r="E590" s="3">
        <f t="shared" si="39"/>
        <v>12.11331627600029</v>
      </c>
      <c r="F590" s="3">
        <v>136</v>
      </c>
      <c r="G590">
        <v>78.668517981606698</v>
      </c>
      <c r="I590" s="3">
        <v>1928.8333333333301</v>
      </c>
      <c r="J590" s="3">
        <v>0</v>
      </c>
      <c r="K590" s="3">
        <v>-119.932175502066</v>
      </c>
    </row>
    <row r="591" spans="1:11" ht="18" x14ac:dyDescent="0.25">
      <c r="A591" s="3">
        <v>2001.9166666666599</v>
      </c>
      <c r="B591" s="3">
        <f t="shared" si="36"/>
        <v>-85.729442970822276</v>
      </c>
      <c r="C591" s="3">
        <f t="shared" si="37"/>
        <v>-56.232875043781938</v>
      </c>
      <c r="D591" s="3">
        <f t="shared" si="38"/>
        <v>-85.729442970822276</v>
      </c>
      <c r="E591" s="3">
        <f t="shared" si="39"/>
        <v>-17.028631724502411</v>
      </c>
      <c r="F591" s="3">
        <v>-21</v>
      </c>
      <c r="G591">
        <v>49.526569981103997</v>
      </c>
      <c r="I591" s="3">
        <v>1928.9166666666599</v>
      </c>
      <c r="J591" s="3">
        <v>0</v>
      </c>
      <c r="K591" s="3">
        <v>-132.19484565745501</v>
      </c>
    </row>
    <row r="592" spans="1:11" ht="18" x14ac:dyDescent="0.25">
      <c r="A592" s="3">
        <v>2002</v>
      </c>
      <c r="B592" s="3">
        <f t="shared" si="36"/>
        <v>-182.72944297082228</v>
      </c>
      <c r="C592" s="3">
        <f t="shared" si="37"/>
        <v>-107.29101193050947</v>
      </c>
      <c r="D592" s="3">
        <f t="shared" si="38"/>
        <v>-182.72944297082228</v>
      </c>
      <c r="E592" s="3">
        <f t="shared" si="39"/>
        <v>-40.203206054360109</v>
      </c>
      <c r="F592" s="3">
        <v>-118</v>
      </c>
      <c r="G592">
        <v>26.351995651246298</v>
      </c>
      <c r="I592" s="3">
        <v>1929</v>
      </c>
      <c r="J592" s="3">
        <v>0</v>
      </c>
      <c r="K592" s="3">
        <v>-128.57812744311701</v>
      </c>
    </row>
    <row r="593" spans="1:11" ht="18" x14ac:dyDescent="0.25">
      <c r="A593" s="3">
        <v>2002.0833333333301</v>
      </c>
      <c r="B593" s="3">
        <f t="shared" si="36"/>
        <v>-204.72944297082228</v>
      </c>
      <c r="C593" s="3">
        <f t="shared" si="37"/>
        <v>-150.92956763794328</v>
      </c>
      <c r="D593" s="3">
        <f t="shared" si="38"/>
        <v>-204.72944297082228</v>
      </c>
      <c r="E593" s="3">
        <f t="shared" si="39"/>
        <v>-70.95074224646558</v>
      </c>
      <c r="F593" s="3">
        <v>-140</v>
      </c>
      <c r="G593">
        <v>-4.3955405408591703</v>
      </c>
      <c r="I593" s="3">
        <v>1929.0833333333301</v>
      </c>
      <c r="J593" s="3">
        <v>0</v>
      </c>
      <c r="K593" s="3">
        <v>-124.38406219102301</v>
      </c>
    </row>
    <row r="594" spans="1:11" ht="18" x14ac:dyDescent="0.25">
      <c r="A594" s="3">
        <v>2002.1666666666599</v>
      </c>
      <c r="B594" s="3">
        <f t="shared" si="36"/>
        <v>-212.72944297082228</v>
      </c>
      <c r="C594" s="3">
        <f t="shared" si="37"/>
        <v>-179.07510228562361</v>
      </c>
      <c r="D594" s="3">
        <f t="shared" si="38"/>
        <v>-212.72944297082228</v>
      </c>
      <c r="E594" s="3">
        <f t="shared" si="39"/>
        <v>-100.71655679321591</v>
      </c>
      <c r="F594" s="3">
        <v>-148</v>
      </c>
      <c r="G594">
        <v>-34.1613550876095</v>
      </c>
      <c r="I594" s="3">
        <v>1929.1666666666599</v>
      </c>
      <c r="J594" s="3">
        <v>0</v>
      </c>
      <c r="K594" s="3">
        <v>-104.316224987079</v>
      </c>
    </row>
    <row r="595" spans="1:11" ht="18" x14ac:dyDescent="0.25">
      <c r="A595" s="3">
        <v>2002.25</v>
      </c>
      <c r="B595" s="3">
        <f t="shared" si="36"/>
        <v>-212.72944297082228</v>
      </c>
      <c r="C595" s="3">
        <f t="shared" si="37"/>
        <v>-200.42814012919135</v>
      </c>
      <c r="D595" s="3">
        <f t="shared" si="38"/>
        <v>-212.72944297082228</v>
      </c>
      <c r="E595" s="3">
        <f t="shared" si="39"/>
        <v>-132.46551307027531</v>
      </c>
      <c r="F595" s="3">
        <v>-148</v>
      </c>
      <c r="G595">
        <v>-65.9103113646689</v>
      </c>
      <c r="I595" s="3">
        <v>1929.25</v>
      </c>
      <c r="J595" s="3">
        <v>0</v>
      </c>
      <c r="K595" s="3">
        <v>-63.025596397631702</v>
      </c>
    </row>
    <row r="596" spans="1:11" ht="18" x14ac:dyDescent="0.25">
      <c r="A596" s="3">
        <v>2002.3333333333301</v>
      </c>
      <c r="B596" s="3">
        <f t="shared" si="36"/>
        <v>-197.72944297082228</v>
      </c>
      <c r="C596" s="3">
        <f t="shared" si="37"/>
        <v>-217.39087020963242</v>
      </c>
      <c r="D596" s="3">
        <f t="shared" si="38"/>
        <v>-197.72944297082228</v>
      </c>
      <c r="E596" s="3">
        <f t="shared" si="39"/>
        <v>-166.8921381499984</v>
      </c>
      <c r="F596" s="3">
        <v>-133</v>
      </c>
      <c r="G596">
        <v>-100.33693644439199</v>
      </c>
      <c r="I596" s="3">
        <v>1929.3333333333301</v>
      </c>
      <c r="J596" s="3">
        <v>0</v>
      </c>
      <c r="K596" s="3">
        <v>4.3508922569486602E-2</v>
      </c>
    </row>
    <row r="597" spans="1:11" ht="18" x14ac:dyDescent="0.25">
      <c r="A597" s="3">
        <v>2002.4166666666599</v>
      </c>
      <c r="B597" s="3">
        <f t="shared" si="36"/>
        <v>-193.72944297082228</v>
      </c>
      <c r="C597" s="3">
        <f t="shared" si="37"/>
        <v>-216.93339479150771</v>
      </c>
      <c r="D597" s="3">
        <f t="shared" si="38"/>
        <v>-193.72944297082228</v>
      </c>
      <c r="E597" s="3">
        <f t="shared" si="39"/>
        <v>-165.81832567569791</v>
      </c>
      <c r="F597" s="3">
        <v>-129</v>
      </c>
      <c r="G597">
        <v>-99.263123970091499</v>
      </c>
      <c r="I597" s="3">
        <v>1929.4166666666599</v>
      </c>
      <c r="J597" s="3">
        <v>0</v>
      </c>
      <c r="K597" s="3">
        <v>101.210651357022</v>
      </c>
    </row>
    <row r="598" spans="1:11" ht="18" x14ac:dyDescent="0.25">
      <c r="A598" s="3">
        <v>2002.5</v>
      </c>
      <c r="B598" s="3">
        <f t="shared" si="36"/>
        <v>-167.72944297082228</v>
      </c>
      <c r="C598" s="3">
        <f t="shared" si="37"/>
        <v>-206.16111417938103</v>
      </c>
      <c r="D598" s="3">
        <f t="shared" si="38"/>
        <v>-167.72944297082228</v>
      </c>
      <c r="E598" s="3">
        <f t="shared" si="39"/>
        <v>-142.9764610671759</v>
      </c>
      <c r="F598" s="3">
        <v>-103</v>
      </c>
      <c r="G598">
        <v>-76.421259361569497</v>
      </c>
      <c r="I598" s="3">
        <v>1929.5</v>
      </c>
      <c r="J598" s="3">
        <v>0</v>
      </c>
      <c r="K598" s="3">
        <v>194.39083342523199</v>
      </c>
    </row>
    <row r="599" spans="1:11" ht="18" x14ac:dyDescent="0.25">
      <c r="A599" s="3">
        <v>2002.5833333333301</v>
      </c>
      <c r="B599" s="3">
        <f t="shared" si="36"/>
        <v>-156.72944297082228</v>
      </c>
      <c r="C599" s="3">
        <f t="shared" si="37"/>
        <v>-204.79843873299018</v>
      </c>
      <c r="D599" s="3">
        <f t="shared" si="38"/>
        <v>-156.72944297082228</v>
      </c>
      <c r="E599" s="3">
        <f t="shared" si="39"/>
        <v>-140.38523675511121</v>
      </c>
      <c r="F599" s="3">
        <v>-92</v>
      </c>
      <c r="G599">
        <v>-73.830035049504801</v>
      </c>
      <c r="I599" s="3">
        <v>1929.5833333333301</v>
      </c>
      <c r="J599" s="3">
        <v>0</v>
      </c>
      <c r="K599" s="3">
        <v>230.502846332313</v>
      </c>
    </row>
    <row r="600" spans="1:11" ht="18" x14ac:dyDescent="0.25">
      <c r="A600" s="3">
        <v>2002.6666666666599</v>
      </c>
      <c r="B600" s="3">
        <f t="shared" si="36"/>
        <v>-147.72944297082228</v>
      </c>
      <c r="C600" s="3">
        <f t="shared" si="37"/>
        <v>-204.53936800119874</v>
      </c>
      <c r="D600" s="3">
        <f t="shared" si="38"/>
        <v>-147.72944297082228</v>
      </c>
      <c r="E600" s="3">
        <f t="shared" si="39"/>
        <v>-139.89937579116281</v>
      </c>
      <c r="F600" s="3">
        <v>-83</v>
      </c>
      <c r="G600">
        <v>-73.344174085556403</v>
      </c>
      <c r="I600" s="3">
        <v>1929.6666666666599</v>
      </c>
      <c r="J600" s="3">
        <v>0</v>
      </c>
      <c r="K600" s="3">
        <v>241.655948730392</v>
      </c>
    </row>
    <row r="601" spans="1:11" ht="18" x14ac:dyDescent="0.25">
      <c r="A601" s="3">
        <v>2002.75</v>
      </c>
      <c r="B601" s="3">
        <f t="shared" si="36"/>
        <v>-129.72944297082228</v>
      </c>
      <c r="C601" s="3">
        <f t="shared" si="37"/>
        <v>-197.68908073528934</v>
      </c>
      <c r="D601" s="3">
        <f t="shared" si="38"/>
        <v>-129.72944297082228</v>
      </c>
      <c r="E601" s="3">
        <f t="shared" si="39"/>
        <v>-127.78490327570201</v>
      </c>
      <c r="F601" s="3">
        <v>-65</v>
      </c>
      <c r="G601">
        <v>-61.2297015700956</v>
      </c>
      <c r="I601" s="3">
        <v>1929.75</v>
      </c>
      <c r="J601" s="3">
        <v>0</v>
      </c>
      <c r="K601" s="3">
        <v>252.05396433785401</v>
      </c>
    </row>
    <row r="602" spans="1:11" ht="18" x14ac:dyDescent="0.25">
      <c r="A602" s="3">
        <v>2002.8333333333301</v>
      </c>
      <c r="B602" s="3">
        <f t="shared" si="36"/>
        <v>-105.72944297082228</v>
      </c>
      <c r="C602" s="3">
        <f t="shared" si="37"/>
        <v>-182.048924566247</v>
      </c>
      <c r="D602" s="3">
        <f t="shared" si="38"/>
        <v>-105.72944297082228</v>
      </c>
      <c r="E602" s="3">
        <f t="shared" si="39"/>
        <v>-104.55905980133642</v>
      </c>
      <c r="F602" s="3">
        <v>-41</v>
      </c>
      <c r="G602">
        <v>-38.003858095730003</v>
      </c>
      <c r="I602" s="3">
        <v>1929.8333333333301</v>
      </c>
      <c r="J602" s="3">
        <v>0</v>
      </c>
      <c r="K602" s="3">
        <v>259.60709769847699</v>
      </c>
    </row>
    <row r="603" spans="1:11" ht="18" x14ac:dyDescent="0.25">
      <c r="A603" s="3">
        <v>2002.9166666666599</v>
      </c>
      <c r="B603" s="3">
        <f t="shared" si="36"/>
        <v>-23.729442970822276</v>
      </c>
      <c r="C603" s="3">
        <f t="shared" si="37"/>
        <v>-136.59814669998548</v>
      </c>
      <c r="D603" s="3">
        <f t="shared" si="38"/>
        <v>-23.729442970822276</v>
      </c>
      <c r="E603" s="3">
        <f t="shared" si="39"/>
        <v>-59.259851309120307</v>
      </c>
      <c r="F603" s="3">
        <v>41</v>
      </c>
      <c r="G603">
        <v>7.2953503964861</v>
      </c>
      <c r="I603" s="3">
        <v>1929.9166666666599</v>
      </c>
      <c r="J603" s="3">
        <v>0</v>
      </c>
      <c r="K603" s="3">
        <v>262.49691357319</v>
      </c>
    </row>
    <row r="604" spans="1:11" ht="18" x14ac:dyDescent="0.25">
      <c r="A604" s="3">
        <v>2003</v>
      </c>
      <c r="B604" s="3">
        <f t="shared" si="36"/>
        <v>-23.729442970822276</v>
      </c>
      <c r="C604" s="3">
        <f t="shared" si="37"/>
        <v>-70.261311060620926</v>
      </c>
      <c r="D604" s="3">
        <f t="shared" si="38"/>
        <v>-23.729442970822276</v>
      </c>
      <c r="E604" s="3">
        <f t="shared" si="39"/>
        <v>-22.460708737071606</v>
      </c>
      <c r="F604" s="3">
        <v>41</v>
      </c>
      <c r="G604">
        <v>44.094492968534801</v>
      </c>
      <c r="I604" s="3">
        <v>1930</v>
      </c>
      <c r="J604" s="3">
        <v>0</v>
      </c>
      <c r="K604" s="3">
        <v>228.57219970451499</v>
      </c>
    </row>
    <row r="605" spans="1:11" ht="18" x14ac:dyDescent="0.25">
      <c r="A605" s="3">
        <v>2003.0833333333301</v>
      </c>
      <c r="B605" s="3">
        <f t="shared" si="36"/>
        <v>-50.729442970822276</v>
      </c>
      <c r="C605" s="3">
        <f t="shared" si="37"/>
        <v>-36.961746510814322</v>
      </c>
      <c r="D605" s="3">
        <f t="shared" si="38"/>
        <v>-50.729442970822276</v>
      </c>
      <c r="E605" s="3">
        <f t="shared" si="39"/>
        <v>-10.437122161047505</v>
      </c>
      <c r="F605" s="3">
        <v>14</v>
      </c>
      <c r="G605">
        <v>56.118079544558903</v>
      </c>
      <c r="I605" s="3">
        <v>1930.0833333333301</v>
      </c>
      <c r="J605" s="3">
        <v>0</v>
      </c>
      <c r="K605" s="3">
        <v>163.15802657926901</v>
      </c>
    </row>
    <row r="606" spans="1:11" ht="18" x14ac:dyDescent="0.25">
      <c r="A606" s="3">
        <v>2003.1666666666599</v>
      </c>
      <c r="B606" s="3">
        <f t="shared" si="36"/>
        <v>-50.729442970822276</v>
      </c>
      <c r="C606" s="3">
        <f t="shared" si="37"/>
        <v>42.337643647358185</v>
      </c>
      <c r="D606" s="3">
        <f t="shared" si="38"/>
        <v>-50.729442970822276</v>
      </c>
      <c r="E606" s="3">
        <f t="shared" si="39"/>
        <v>12.184657030322199</v>
      </c>
      <c r="F606" s="3">
        <v>14</v>
      </c>
      <c r="G606">
        <v>78.739858735928607</v>
      </c>
      <c r="I606" s="3">
        <v>1930.1666666666599</v>
      </c>
      <c r="J606" s="3">
        <v>0</v>
      </c>
      <c r="K606" s="3">
        <v>116.870841512544</v>
      </c>
    </row>
    <row r="607" spans="1:11" ht="18" x14ac:dyDescent="0.25">
      <c r="A607" s="3">
        <v>2003.25</v>
      </c>
      <c r="B607" s="3">
        <f t="shared" si="36"/>
        <v>8.2705570291777235</v>
      </c>
      <c r="C607" s="3">
        <f t="shared" si="37"/>
        <v>126.41506236193695</v>
      </c>
      <c r="D607" s="3">
        <f t="shared" si="38"/>
        <v>8.2705570291777235</v>
      </c>
      <c r="E607" s="3">
        <f t="shared" si="39"/>
        <v>51.992194547624592</v>
      </c>
      <c r="F607" s="3">
        <v>73</v>
      </c>
      <c r="G607">
        <v>118.547396253231</v>
      </c>
      <c r="I607" s="3">
        <v>1930.25</v>
      </c>
      <c r="J607" s="3">
        <v>0</v>
      </c>
      <c r="K607" s="3">
        <v>92.914450771311905</v>
      </c>
    </row>
    <row r="608" spans="1:11" ht="18" x14ac:dyDescent="0.25">
      <c r="A608" s="3">
        <v>2003.3333333333301</v>
      </c>
      <c r="B608" s="3">
        <f t="shared" si="36"/>
        <v>129.27055702917772</v>
      </c>
      <c r="C608" s="3">
        <f t="shared" si="37"/>
        <v>184.54641944988444</v>
      </c>
      <c r="D608" s="3">
        <f t="shared" si="38"/>
        <v>129.27055702917772</v>
      </c>
      <c r="E608" s="3">
        <f t="shared" si="39"/>
        <v>107.91420358670359</v>
      </c>
      <c r="F608" s="3">
        <v>194</v>
      </c>
      <c r="G608">
        <v>174.46940529231</v>
      </c>
      <c r="I608" s="3">
        <v>1930.3333333333301</v>
      </c>
      <c r="J608" s="3">
        <v>0</v>
      </c>
      <c r="K608" s="3">
        <v>86.341673542143198</v>
      </c>
    </row>
    <row r="609" spans="1:11" ht="18" x14ac:dyDescent="0.25">
      <c r="A609" s="3">
        <v>2003.4166666666599</v>
      </c>
      <c r="B609" s="3">
        <f t="shared" si="36"/>
        <v>204.27055702917772</v>
      </c>
      <c r="C609" s="3">
        <f t="shared" si="37"/>
        <v>221.53481963090346</v>
      </c>
      <c r="D609" s="3">
        <f t="shared" si="38"/>
        <v>204.27055702917772</v>
      </c>
      <c r="E609" s="3">
        <f t="shared" si="39"/>
        <v>177.06292749681259</v>
      </c>
      <c r="F609" s="3">
        <v>269</v>
      </c>
      <c r="G609">
        <v>243.618129202419</v>
      </c>
      <c r="I609" s="3">
        <v>1930.4166666666599</v>
      </c>
      <c r="J609" s="3">
        <v>0</v>
      </c>
      <c r="K609" s="3">
        <v>97.540414492099998</v>
      </c>
    </row>
    <row r="610" spans="1:11" ht="18" x14ac:dyDescent="0.25">
      <c r="A610" s="3">
        <v>2003.5</v>
      </c>
      <c r="B610" s="3">
        <f t="shared" si="36"/>
        <v>223.27055702917772</v>
      </c>
      <c r="C610" s="3">
        <f t="shared" si="37"/>
        <v>233.34013245692219</v>
      </c>
      <c r="D610" s="3">
        <f t="shared" si="38"/>
        <v>223.27055702917772</v>
      </c>
      <c r="E610" s="3">
        <f t="shared" si="39"/>
        <v>211.2282661359896</v>
      </c>
      <c r="F610" s="3">
        <v>288</v>
      </c>
      <c r="G610">
        <v>277.78346784159601</v>
      </c>
      <c r="I610" s="3">
        <v>1930.5</v>
      </c>
      <c r="J610" s="3">
        <v>0</v>
      </c>
      <c r="K610" s="3">
        <v>89.667320807577397</v>
      </c>
    </row>
    <row r="611" spans="1:11" ht="18" x14ac:dyDescent="0.25">
      <c r="A611" s="3">
        <v>2003.5833333333301</v>
      </c>
      <c r="B611" s="3">
        <f t="shared" si="36"/>
        <v>248.27055702917772</v>
      </c>
      <c r="C611" s="3">
        <f t="shared" si="37"/>
        <v>232.43556287644276</v>
      </c>
      <c r="D611" s="3">
        <f t="shared" si="38"/>
        <v>248.27055702917772</v>
      </c>
      <c r="E611" s="3">
        <f t="shared" si="39"/>
        <v>208.29307211930256</v>
      </c>
      <c r="F611" s="3">
        <v>313</v>
      </c>
      <c r="G611">
        <v>274.84827382490897</v>
      </c>
      <c r="I611" s="3">
        <v>1930.5833333333301</v>
      </c>
      <c r="J611" s="3">
        <v>0</v>
      </c>
      <c r="K611" s="3">
        <v>65.802906121977202</v>
      </c>
    </row>
    <row r="612" spans="1:11" ht="18" x14ac:dyDescent="0.25">
      <c r="A612" s="3">
        <v>2003.6666666666599</v>
      </c>
      <c r="B612" s="3">
        <f t="shared" si="36"/>
        <v>248.27055702917772</v>
      </c>
      <c r="C612" s="3">
        <f t="shared" si="37"/>
        <v>235.03157885882462</v>
      </c>
      <c r="D612" s="3">
        <f t="shared" si="38"/>
        <v>248.27055702917772</v>
      </c>
      <c r="E612" s="3">
        <f t="shared" si="39"/>
        <v>216.8798985775386</v>
      </c>
      <c r="F612" s="3">
        <v>313</v>
      </c>
      <c r="G612">
        <v>283.435100283145</v>
      </c>
      <c r="I612" s="3">
        <v>1930.6666666666599</v>
      </c>
      <c r="J612" s="3">
        <v>0</v>
      </c>
      <c r="K612" s="3">
        <v>56.665992318718502</v>
      </c>
    </row>
    <row r="613" spans="1:11" ht="18" x14ac:dyDescent="0.25">
      <c r="A613" s="3">
        <v>2003.75</v>
      </c>
      <c r="B613" s="3">
        <f t="shared" si="36"/>
        <v>248.27055702917772</v>
      </c>
      <c r="C613" s="3">
        <f t="shared" si="37"/>
        <v>239.03438883634601</v>
      </c>
      <c r="D613" s="3">
        <f t="shared" si="38"/>
        <v>248.27055702917772</v>
      </c>
      <c r="E613" s="3">
        <f t="shared" si="39"/>
        <v>231.16838062991661</v>
      </c>
      <c r="F613" s="3">
        <v>313</v>
      </c>
      <c r="G613">
        <v>297.72358233552302</v>
      </c>
      <c r="I613" s="3">
        <v>1930.75</v>
      </c>
      <c r="J613" s="3">
        <v>0</v>
      </c>
      <c r="K613" s="3">
        <v>41.237213869208396</v>
      </c>
    </row>
    <row r="614" spans="1:11" ht="18" x14ac:dyDescent="0.25">
      <c r="A614" s="3">
        <v>2003.8333333333301</v>
      </c>
      <c r="B614" s="3">
        <f t="shared" si="36"/>
        <v>248.27055702917772</v>
      </c>
      <c r="C614" s="3">
        <f t="shared" si="37"/>
        <v>238.21794742803479</v>
      </c>
      <c r="D614" s="3">
        <f t="shared" si="38"/>
        <v>248.27055702917772</v>
      </c>
      <c r="E614" s="3">
        <f t="shared" si="39"/>
        <v>228.1436481949446</v>
      </c>
      <c r="F614" s="3">
        <v>313</v>
      </c>
      <c r="G614">
        <v>294.69884990055101</v>
      </c>
      <c r="I614" s="3">
        <v>1930.8333333333301</v>
      </c>
      <c r="J614" s="3">
        <v>0</v>
      </c>
      <c r="K614" s="3">
        <v>9.8347482090350198</v>
      </c>
    </row>
    <row r="615" spans="1:11" ht="18" x14ac:dyDescent="0.25">
      <c r="A615" s="3">
        <v>2003.9166666666599</v>
      </c>
      <c r="B615" s="3">
        <f t="shared" si="36"/>
        <v>247.27055702917772</v>
      </c>
      <c r="C615" s="3">
        <f t="shared" si="37"/>
        <v>227.8694608856355</v>
      </c>
      <c r="D615" s="3">
        <f t="shared" si="38"/>
        <v>247.27055702917772</v>
      </c>
      <c r="E615" s="3">
        <f t="shared" si="39"/>
        <v>194.33448092686257</v>
      </c>
      <c r="F615" s="3">
        <v>312</v>
      </c>
      <c r="G615">
        <v>260.88968263246898</v>
      </c>
      <c r="I615" s="3">
        <v>1930.9166666666599</v>
      </c>
      <c r="J615" s="3">
        <v>0</v>
      </c>
      <c r="K615" s="3">
        <v>-25.5578103317008</v>
      </c>
    </row>
    <row r="616" spans="1:11" ht="18" x14ac:dyDescent="0.25">
      <c r="A616" s="3">
        <v>2004</v>
      </c>
      <c r="B616" s="3">
        <f t="shared" si="36"/>
        <v>100.27055702917772</v>
      </c>
      <c r="C616" s="3">
        <f t="shared" si="37"/>
        <v>188.48522003946726</v>
      </c>
      <c r="D616" s="3">
        <f t="shared" si="38"/>
        <v>100.27055702917772</v>
      </c>
      <c r="E616" s="3">
        <f t="shared" si="39"/>
        <v>113.45998023476159</v>
      </c>
      <c r="F616" s="3">
        <v>165</v>
      </c>
      <c r="G616">
        <v>180.015181940368</v>
      </c>
      <c r="I616" s="3">
        <v>1931</v>
      </c>
      <c r="J616" s="3">
        <v>0</v>
      </c>
      <c r="K616" s="3">
        <v>-64.622274361469394</v>
      </c>
    </row>
    <row r="617" spans="1:11" ht="18" x14ac:dyDescent="0.25">
      <c r="A617" s="3">
        <v>2004.0833333333301</v>
      </c>
      <c r="B617" s="3">
        <f t="shared" si="36"/>
        <v>-48.729442970822276</v>
      </c>
      <c r="C617" s="3">
        <f t="shared" si="37"/>
        <v>68.799710620075743</v>
      </c>
      <c r="D617" s="3">
        <f t="shared" si="38"/>
        <v>-48.729442970822276</v>
      </c>
      <c r="E617" s="3">
        <f t="shared" si="39"/>
        <v>21.866700445373496</v>
      </c>
      <c r="F617" s="3">
        <v>16</v>
      </c>
      <c r="G617">
        <v>88.421902150979903</v>
      </c>
      <c r="I617" s="3">
        <v>1931.0833333333301</v>
      </c>
      <c r="J617" s="3">
        <v>0</v>
      </c>
      <c r="K617" s="3">
        <v>-77.923982610551306</v>
      </c>
    </row>
    <row r="618" spans="1:11" ht="18" x14ac:dyDescent="0.25">
      <c r="A618" s="3">
        <v>2004.1666666666599</v>
      </c>
      <c r="B618" s="3">
        <f t="shared" si="36"/>
        <v>-142.72944297082228</v>
      </c>
      <c r="C618" s="3">
        <f t="shared" si="37"/>
        <v>-119.19720925006871</v>
      </c>
      <c r="D618" s="3">
        <f t="shared" si="38"/>
        <v>-142.72944297082228</v>
      </c>
      <c r="E618" s="3">
        <f t="shared" si="39"/>
        <v>-47.282017136323702</v>
      </c>
      <c r="F618" s="3">
        <v>-78</v>
      </c>
      <c r="G618">
        <v>19.273184569282702</v>
      </c>
      <c r="I618" s="3">
        <v>1931.1666666666599</v>
      </c>
      <c r="J618" s="3">
        <v>0</v>
      </c>
      <c r="K618" s="3">
        <v>-59.944314885260198</v>
      </c>
    </row>
    <row r="619" spans="1:11" ht="18" x14ac:dyDescent="0.25">
      <c r="A619" s="3">
        <v>2004.25</v>
      </c>
      <c r="B619" s="3">
        <f t="shared" si="36"/>
        <v>-176.72944297082228</v>
      </c>
      <c r="C619" s="3">
        <f t="shared" si="37"/>
        <v>-187.31362966580198</v>
      </c>
      <c r="D619" s="3">
        <f t="shared" si="38"/>
        <v>-176.72944297082228</v>
      </c>
      <c r="E619" s="3">
        <f t="shared" si="39"/>
        <v>-111.7765981643694</v>
      </c>
      <c r="F619" s="3">
        <v>-112</v>
      </c>
      <c r="G619">
        <v>-45.221396458763003</v>
      </c>
      <c r="I619" s="3">
        <v>1931.25</v>
      </c>
      <c r="J619" s="3">
        <v>0</v>
      </c>
      <c r="K619" s="3">
        <v>-45.621255566574703</v>
      </c>
    </row>
    <row r="620" spans="1:11" ht="18" x14ac:dyDescent="0.25">
      <c r="A620" s="3">
        <v>2004.3333333333301</v>
      </c>
      <c r="B620" s="3">
        <f t="shared" si="36"/>
        <v>-184.72944297082228</v>
      </c>
      <c r="C620" s="3">
        <f t="shared" si="37"/>
        <v>-211.3996780095309</v>
      </c>
      <c r="D620" s="3">
        <f t="shared" si="38"/>
        <v>-184.72944297082228</v>
      </c>
      <c r="E620" s="3">
        <f t="shared" si="39"/>
        <v>-153.53054365354711</v>
      </c>
      <c r="F620" s="3">
        <v>-120</v>
      </c>
      <c r="G620">
        <v>-86.975341947940706</v>
      </c>
      <c r="I620" s="3">
        <v>1931.3333333333301</v>
      </c>
      <c r="J620" s="3">
        <v>0</v>
      </c>
      <c r="K620" s="3">
        <v>-18.874327508676199</v>
      </c>
    </row>
    <row r="621" spans="1:11" ht="18" x14ac:dyDescent="0.25">
      <c r="A621" s="3">
        <v>2004.4166666666599</v>
      </c>
      <c r="B621" s="3">
        <f t="shared" si="36"/>
        <v>-184.72944297082228</v>
      </c>
      <c r="C621" s="3">
        <f t="shared" si="37"/>
        <v>-211.22843249061845</v>
      </c>
      <c r="D621" s="3">
        <f t="shared" si="38"/>
        <v>-184.72944297082228</v>
      </c>
      <c r="E621" s="3">
        <f t="shared" si="39"/>
        <v>-153.16980684231831</v>
      </c>
      <c r="F621" s="3">
        <v>-120</v>
      </c>
      <c r="G621">
        <v>-86.614605136711901</v>
      </c>
      <c r="I621" s="3">
        <v>1931.4166666666599</v>
      </c>
      <c r="J621" s="3">
        <v>0</v>
      </c>
      <c r="K621" s="3">
        <v>30.936500275702699</v>
      </c>
    </row>
    <row r="622" spans="1:11" ht="18" x14ac:dyDescent="0.25">
      <c r="A622" s="3">
        <v>2004.5</v>
      </c>
      <c r="B622" s="3">
        <f t="shared" si="36"/>
        <v>-159.72944297082228</v>
      </c>
      <c r="C622" s="3">
        <f t="shared" si="37"/>
        <v>-204.9364562808282</v>
      </c>
      <c r="D622" s="3">
        <f t="shared" si="38"/>
        <v>-159.72944297082228</v>
      </c>
      <c r="E622" s="3">
        <f t="shared" si="39"/>
        <v>-140.64494995086642</v>
      </c>
      <c r="F622" s="3">
        <v>-95</v>
      </c>
      <c r="G622">
        <v>-74.089748245259997</v>
      </c>
      <c r="I622" s="3">
        <v>1931.5</v>
      </c>
      <c r="J622" s="3">
        <v>0</v>
      </c>
      <c r="K622" s="3">
        <v>63.304389908434601</v>
      </c>
    </row>
    <row r="623" spans="1:11" ht="18" x14ac:dyDescent="0.25">
      <c r="A623" s="3">
        <v>2004.5833333333301</v>
      </c>
      <c r="B623" s="3">
        <f t="shared" si="36"/>
        <v>-159.72944297082228</v>
      </c>
      <c r="C623" s="3">
        <f t="shared" si="37"/>
        <v>-196.41822627847827</v>
      </c>
      <c r="D623" s="3">
        <f t="shared" si="38"/>
        <v>-159.72944297082228</v>
      </c>
      <c r="E623" s="3">
        <f t="shared" si="39"/>
        <v>-125.6823587000454</v>
      </c>
      <c r="F623" s="3">
        <v>-95</v>
      </c>
      <c r="G623">
        <v>-59.127156994438998</v>
      </c>
      <c r="I623" s="3">
        <v>1931.5833333333301</v>
      </c>
      <c r="J623" s="3">
        <v>0</v>
      </c>
      <c r="K623" s="3">
        <v>69.771377248226599</v>
      </c>
    </row>
    <row r="624" spans="1:11" ht="18" x14ac:dyDescent="0.25">
      <c r="A624" s="3">
        <v>2004.6666666666599</v>
      </c>
      <c r="B624" s="3">
        <f t="shared" si="36"/>
        <v>-154.72944297082228</v>
      </c>
      <c r="C624" s="3">
        <f t="shared" si="37"/>
        <v>-192.87641238328629</v>
      </c>
      <c r="D624" s="3">
        <f t="shared" si="38"/>
        <v>-154.72944297082228</v>
      </c>
      <c r="E624" s="3">
        <f t="shared" si="39"/>
        <v>-120.04044121511561</v>
      </c>
      <c r="F624" s="3">
        <v>-90</v>
      </c>
      <c r="G624">
        <v>-53.485239509509199</v>
      </c>
      <c r="I624" s="3">
        <v>1931.6666666666599</v>
      </c>
      <c r="J624" s="3">
        <v>0</v>
      </c>
      <c r="K624" s="3">
        <v>57.680190083805201</v>
      </c>
    </row>
    <row r="625" spans="1:11" ht="18" x14ac:dyDescent="0.25">
      <c r="A625" s="3">
        <v>2004.75</v>
      </c>
      <c r="B625" s="3">
        <f t="shared" si="36"/>
        <v>-152.72944297082228</v>
      </c>
      <c r="C625" s="3">
        <f t="shared" si="37"/>
        <v>-207.36092333481386</v>
      </c>
      <c r="D625" s="3">
        <f t="shared" si="38"/>
        <v>-152.72944297082228</v>
      </c>
      <c r="E625" s="3">
        <f t="shared" si="39"/>
        <v>-145.30881795661881</v>
      </c>
      <c r="F625" s="3">
        <v>-88</v>
      </c>
      <c r="G625">
        <v>-78.753616251012403</v>
      </c>
      <c r="I625" s="3">
        <v>1931.75</v>
      </c>
      <c r="J625" s="3">
        <v>0</v>
      </c>
      <c r="K625" s="3">
        <v>38.597418001005003</v>
      </c>
    </row>
    <row r="626" spans="1:11" ht="18" x14ac:dyDescent="0.25">
      <c r="A626" s="3">
        <v>2004.8333333333301</v>
      </c>
      <c r="B626" s="3">
        <f t="shared" si="36"/>
        <v>-137.72944297082228</v>
      </c>
      <c r="C626" s="3">
        <f t="shared" si="37"/>
        <v>-219.87121198201626</v>
      </c>
      <c r="D626" s="3">
        <f t="shared" si="38"/>
        <v>-137.72944297082228</v>
      </c>
      <c r="E626" s="3">
        <f t="shared" si="39"/>
        <v>-172.88100995805343</v>
      </c>
      <c r="F626" s="3">
        <v>-73</v>
      </c>
      <c r="G626">
        <v>-106.325808252447</v>
      </c>
      <c r="I626" s="3">
        <v>1931.8333333333301</v>
      </c>
      <c r="J626" s="3">
        <v>0</v>
      </c>
      <c r="K626" s="3">
        <v>53.342460110891103</v>
      </c>
    </row>
    <row r="627" spans="1:11" ht="18" x14ac:dyDescent="0.25">
      <c r="A627" s="3">
        <v>2004.9166666666599</v>
      </c>
      <c r="B627" s="3">
        <f t="shared" si="36"/>
        <v>-112.72944297082228</v>
      </c>
      <c r="C627" s="3">
        <f t="shared" si="37"/>
        <v>-225.17458312962748</v>
      </c>
      <c r="D627" s="3">
        <f t="shared" si="38"/>
        <v>-112.72944297082228</v>
      </c>
      <c r="E627" s="3">
        <f t="shared" si="39"/>
        <v>-186.71167423274341</v>
      </c>
      <c r="F627" s="3">
        <v>-48</v>
      </c>
      <c r="G627">
        <v>-120.156472527137</v>
      </c>
      <c r="I627" s="3">
        <v>1931.9166666666599</v>
      </c>
      <c r="J627" s="3">
        <v>0</v>
      </c>
      <c r="K627" s="3">
        <v>91.511504683574998</v>
      </c>
    </row>
    <row r="628" spans="1:11" ht="18" x14ac:dyDescent="0.25">
      <c r="A628" s="3">
        <v>2005</v>
      </c>
      <c r="B628" s="3">
        <f t="shared" si="36"/>
        <v>-78.729442970822276</v>
      </c>
      <c r="C628" s="3">
        <f t="shared" si="37"/>
        <v>-228.97599595751453</v>
      </c>
      <c r="D628" s="3">
        <f t="shared" si="38"/>
        <v>-78.729442970822276</v>
      </c>
      <c r="E628" s="3">
        <f t="shared" si="39"/>
        <v>-197.59185775375042</v>
      </c>
      <c r="F628" s="3">
        <v>-14</v>
      </c>
      <c r="G628">
        <v>-131.03665604814401</v>
      </c>
      <c r="I628" s="3">
        <v>1932</v>
      </c>
      <c r="J628" s="3">
        <v>0</v>
      </c>
      <c r="K628" s="3">
        <v>110.188279667682</v>
      </c>
    </row>
    <row r="629" spans="1:11" ht="18" x14ac:dyDescent="0.25">
      <c r="A629" s="3">
        <v>2005.0833333333301</v>
      </c>
      <c r="B629" s="3">
        <f t="shared" si="36"/>
        <v>-78.729442970822276</v>
      </c>
      <c r="C629" s="3">
        <f t="shared" si="37"/>
        <v>-224.77125499409962</v>
      </c>
      <c r="D629" s="3">
        <f t="shared" si="38"/>
        <v>-78.729442970822276</v>
      </c>
      <c r="E629" s="3">
        <f t="shared" si="39"/>
        <v>-185.60702535406341</v>
      </c>
      <c r="F629" s="3">
        <v>-14</v>
      </c>
      <c r="G629">
        <v>-119.051823648457</v>
      </c>
      <c r="I629" s="3">
        <v>1932.0833333333301</v>
      </c>
      <c r="J629" s="3">
        <v>0</v>
      </c>
      <c r="K629" s="3">
        <v>115.234027833243</v>
      </c>
    </row>
    <row r="630" spans="1:11" ht="18" x14ac:dyDescent="0.25">
      <c r="A630" s="3">
        <v>2005.1666666666599</v>
      </c>
      <c r="B630" s="3">
        <f t="shared" si="36"/>
        <v>-55.729442970822276</v>
      </c>
      <c r="C630" s="3">
        <f t="shared" si="37"/>
        <v>-210.76804764376328</v>
      </c>
      <c r="D630" s="3">
        <f t="shared" si="38"/>
        <v>-55.729442970822276</v>
      </c>
      <c r="E630" s="3">
        <f t="shared" si="39"/>
        <v>-152.2054732452001</v>
      </c>
      <c r="F630" s="3">
        <v>9</v>
      </c>
      <c r="G630">
        <v>-85.650271539593703</v>
      </c>
      <c r="I630" s="3">
        <v>1932.1666666666599</v>
      </c>
      <c r="J630" s="3">
        <v>0</v>
      </c>
      <c r="K630" s="3">
        <v>108.403674816736</v>
      </c>
    </row>
    <row r="631" spans="1:11" ht="18" x14ac:dyDescent="0.25">
      <c r="A631" s="3">
        <v>2005.25</v>
      </c>
      <c r="B631" s="3">
        <f t="shared" si="36"/>
        <v>-55.729442970822276</v>
      </c>
      <c r="C631" s="3">
        <f t="shared" si="37"/>
        <v>-181.47409368605418</v>
      </c>
      <c r="D631" s="3">
        <f t="shared" si="38"/>
        <v>-55.729442970822276</v>
      </c>
      <c r="E631" s="3">
        <f t="shared" si="39"/>
        <v>-103.80366898331371</v>
      </c>
      <c r="F631" s="3">
        <v>9</v>
      </c>
      <c r="G631">
        <v>-37.248467277707299</v>
      </c>
      <c r="I631" s="3">
        <v>1932.25</v>
      </c>
      <c r="J631" s="3">
        <v>0</v>
      </c>
      <c r="K631" s="3">
        <v>95.889033140398396</v>
      </c>
    </row>
    <row r="632" spans="1:11" ht="18" x14ac:dyDescent="0.25">
      <c r="A632" s="3">
        <v>2005.3333333333301</v>
      </c>
      <c r="B632" s="3">
        <f t="shared" si="36"/>
        <v>113.27055702917772</v>
      </c>
      <c r="C632" s="3">
        <f t="shared" si="37"/>
        <v>-43.23511491836684</v>
      </c>
      <c r="D632" s="3">
        <f t="shared" si="38"/>
        <v>113.27055702917772</v>
      </c>
      <c r="E632" s="3">
        <f t="shared" si="39"/>
        <v>-12.482953355224105</v>
      </c>
      <c r="F632" s="3">
        <v>178</v>
      </c>
      <c r="G632">
        <v>54.072248350382303</v>
      </c>
      <c r="I632" s="3">
        <v>1932.3333333333301</v>
      </c>
      <c r="J632" s="3">
        <v>0</v>
      </c>
      <c r="K632" s="3">
        <v>111.04961818824199</v>
      </c>
    </row>
    <row r="633" spans="1:11" ht="18" x14ac:dyDescent="0.25">
      <c r="A633" s="3">
        <v>2005.4166666666599</v>
      </c>
      <c r="B633" s="3">
        <f t="shared" si="36"/>
        <v>201.27055702917772</v>
      </c>
      <c r="C633" s="3">
        <f t="shared" si="37"/>
        <v>171.16807856466536</v>
      </c>
      <c r="D633" s="3">
        <f t="shared" si="38"/>
        <v>201.27055702917772</v>
      </c>
      <c r="E633" s="3">
        <f t="shared" si="39"/>
        <v>91.235044591155599</v>
      </c>
      <c r="F633" s="3">
        <v>266</v>
      </c>
      <c r="G633">
        <v>157.79024629676201</v>
      </c>
      <c r="I633" s="3">
        <v>1932.4166666666599</v>
      </c>
      <c r="J633" s="3">
        <v>0</v>
      </c>
      <c r="K633" s="3">
        <v>129.621049853508</v>
      </c>
    </row>
    <row r="634" spans="1:11" ht="18" x14ac:dyDescent="0.25">
      <c r="A634" s="3">
        <v>2005.5</v>
      </c>
      <c r="B634" s="3">
        <f t="shared" si="36"/>
        <v>221.27055702917772</v>
      </c>
      <c r="C634" s="3">
        <f t="shared" si="37"/>
        <v>208.30230110941488</v>
      </c>
      <c r="D634" s="3">
        <f t="shared" si="38"/>
        <v>221.27055702917772</v>
      </c>
      <c r="E634" s="3">
        <f t="shared" si="39"/>
        <v>147.17315103260259</v>
      </c>
      <c r="F634" s="3">
        <v>286</v>
      </c>
      <c r="G634">
        <v>213.728352738209</v>
      </c>
      <c r="I634" s="3">
        <v>1932.5</v>
      </c>
      <c r="J634" s="3">
        <v>0</v>
      </c>
      <c r="K634" s="3">
        <v>116.281767549592</v>
      </c>
    </row>
    <row r="635" spans="1:11" ht="18" x14ac:dyDescent="0.25">
      <c r="A635" s="3">
        <v>2005.5833333333301</v>
      </c>
      <c r="B635" s="3">
        <f t="shared" si="36"/>
        <v>244.27055702917772</v>
      </c>
      <c r="C635" s="3">
        <f t="shared" si="37"/>
        <v>214.15126988262841</v>
      </c>
      <c r="D635" s="3">
        <f t="shared" si="38"/>
        <v>244.27055702917772</v>
      </c>
      <c r="E635" s="3">
        <f t="shared" si="39"/>
        <v>159.4834556020476</v>
      </c>
      <c r="F635" s="3">
        <v>309</v>
      </c>
      <c r="G635">
        <v>226.03865730765401</v>
      </c>
      <c r="I635" s="3">
        <v>1932.5833333333301</v>
      </c>
      <c r="J635" s="3">
        <v>0</v>
      </c>
      <c r="K635" s="3">
        <v>96.197640872323802</v>
      </c>
    </row>
    <row r="636" spans="1:11" ht="18" x14ac:dyDescent="0.25">
      <c r="A636" s="3">
        <v>2005.6666666666599</v>
      </c>
      <c r="B636" s="3">
        <f t="shared" si="36"/>
        <v>251.27055702917772</v>
      </c>
      <c r="C636" s="3">
        <f t="shared" si="37"/>
        <v>210.19831747216216</v>
      </c>
      <c r="D636" s="3">
        <f t="shared" si="38"/>
        <v>251.27055702917772</v>
      </c>
      <c r="E636" s="3">
        <f t="shared" si="39"/>
        <v>151.02306148046159</v>
      </c>
      <c r="F636" s="3">
        <v>316</v>
      </c>
      <c r="G636">
        <v>217.578263186068</v>
      </c>
      <c r="I636" s="3">
        <v>1932.6666666666599</v>
      </c>
      <c r="J636" s="3">
        <v>0</v>
      </c>
      <c r="K636" s="3">
        <v>87.114876413961198</v>
      </c>
    </row>
    <row r="637" spans="1:11" ht="18" x14ac:dyDescent="0.25">
      <c r="A637" s="3">
        <v>2005.75</v>
      </c>
      <c r="B637" s="3">
        <f t="shared" si="36"/>
        <v>253.27055702917772</v>
      </c>
      <c r="C637" s="3">
        <f t="shared" si="37"/>
        <v>210.80161531165223</v>
      </c>
      <c r="D637" s="3">
        <f t="shared" si="38"/>
        <v>253.27055702917772</v>
      </c>
      <c r="E637" s="3">
        <f t="shared" si="39"/>
        <v>152.27551593302158</v>
      </c>
      <c r="F637" s="3">
        <v>318</v>
      </c>
      <c r="G637">
        <v>218.83071763862799</v>
      </c>
      <c r="I637" s="3">
        <v>1932.75</v>
      </c>
      <c r="J637" s="3">
        <v>0</v>
      </c>
      <c r="K637" s="3">
        <v>96.938019478165103</v>
      </c>
    </row>
    <row r="638" spans="1:11" ht="18" x14ac:dyDescent="0.25">
      <c r="A638" s="3">
        <v>2005.8333333333301</v>
      </c>
      <c r="B638" s="3">
        <f t="shared" si="36"/>
        <v>255.27055702917772</v>
      </c>
      <c r="C638" s="3">
        <f t="shared" si="37"/>
        <v>224.35865367083855</v>
      </c>
      <c r="D638" s="3">
        <f t="shared" si="38"/>
        <v>255.27055702917772</v>
      </c>
      <c r="E638" s="3">
        <f t="shared" si="39"/>
        <v>184.48638631739459</v>
      </c>
      <c r="F638" s="3">
        <v>320</v>
      </c>
      <c r="G638">
        <v>251.041588023001</v>
      </c>
      <c r="I638" s="3">
        <v>1932.8333333333301</v>
      </c>
      <c r="J638" s="3">
        <v>0</v>
      </c>
      <c r="K638" s="3">
        <v>122.876661036361</v>
      </c>
    </row>
    <row r="639" spans="1:11" ht="18" x14ac:dyDescent="0.25">
      <c r="A639" s="3">
        <v>2005.9166666666599</v>
      </c>
      <c r="B639" s="3">
        <f t="shared" si="36"/>
        <v>259.27055702917772</v>
      </c>
      <c r="C639" s="3">
        <f t="shared" si="37"/>
        <v>230.36272734536396</v>
      </c>
      <c r="D639" s="3">
        <f t="shared" si="38"/>
        <v>259.27055702917772</v>
      </c>
      <c r="E639" s="3">
        <f t="shared" si="39"/>
        <v>201.7846893914006</v>
      </c>
      <c r="F639" s="3">
        <v>324</v>
      </c>
      <c r="G639">
        <v>268.33989109700701</v>
      </c>
      <c r="I639" s="3">
        <v>1932.9166666666599</v>
      </c>
      <c r="J639" s="3">
        <v>0</v>
      </c>
      <c r="K639" s="3">
        <v>117.314451969449</v>
      </c>
    </row>
    <row r="640" spans="1:11" ht="18" x14ac:dyDescent="0.25">
      <c r="A640" s="3">
        <v>2006</v>
      </c>
      <c r="B640" s="3">
        <f t="shared" si="36"/>
        <v>259.27055702917772</v>
      </c>
      <c r="C640" s="3">
        <f t="shared" si="37"/>
        <v>223.01232084681882</v>
      </c>
      <c r="D640" s="3">
        <f t="shared" si="38"/>
        <v>259.27055702917772</v>
      </c>
      <c r="E640" s="3">
        <f t="shared" si="39"/>
        <v>180.8944363660066</v>
      </c>
      <c r="F640" s="3">
        <v>324</v>
      </c>
      <c r="G640">
        <v>247.44963807161301</v>
      </c>
      <c r="I640" s="3">
        <v>1933</v>
      </c>
      <c r="J640" s="3">
        <v>0</v>
      </c>
      <c r="K640" s="3">
        <v>78.626582207603704</v>
      </c>
    </row>
    <row r="641" spans="1:11" ht="18" x14ac:dyDescent="0.25">
      <c r="A641" s="3">
        <v>2006.0833333333301</v>
      </c>
      <c r="B641" s="3">
        <f t="shared" si="36"/>
        <v>223.27055702917772</v>
      </c>
      <c r="C641" s="3">
        <f t="shared" si="37"/>
        <v>212.56713743172989</v>
      </c>
      <c r="D641" s="3">
        <f t="shared" si="38"/>
        <v>223.27055702917772</v>
      </c>
      <c r="E641" s="3">
        <f t="shared" si="39"/>
        <v>156.01983624066358</v>
      </c>
      <c r="F641" s="3">
        <v>288</v>
      </c>
      <c r="G641">
        <v>222.57503794626999</v>
      </c>
      <c r="I641" s="3">
        <v>1933.0833333333301</v>
      </c>
      <c r="J641" s="3">
        <v>0</v>
      </c>
      <c r="K641" s="3">
        <v>51.903008948667797</v>
      </c>
    </row>
    <row r="642" spans="1:11" ht="18" x14ac:dyDescent="0.25">
      <c r="A642" s="3">
        <v>2006.1666666666599</v>
      </c>
      <c r="B642" s="3">
        <f t="shared" si="36"/>
        <v>28.270557029177724</v>
      </c>
      <c r="C642" s="3">
        <f t="shared" si="37"/>
        <v>197.048890854658</v>
      </c>
      <c r="D642" s="3">
        <f t="shared" si="38"/>
        <v>28.270557029177724</v>
      </c>
      <c r="E642" s="3">
        <f t="shared" si="39"/>
        <v>126.72042138672359</v>
      </c>
      <c r="F642" s="3">
        <v>93</v>
      </c>
      <c r="G642">
        <v>193.27562309232999</v>
      </c>
      <c r="I642" s="3">
        <v>1933.1666666666599</v>
      </c>
      <c r="J642" s="3">
        <v>0</v>
      </c>
      <c r="K642" s="3">
        <v>30.8790972949995</v>
      </c>
    </row>
    <row r="643" spans="1:11" ht="18" x14ac:dyDescent="0.25">
      <c r="A643" s="3">
        <v>2006.25</v>
      </c>
      <c r="B643" s="3">
        <f t="shared" si="36"/>
        <v>-147.72944297082228</v>
      </c>
      <c r="C643" s="3">
        <f t="shared" si="37"/>
        <v>171.6143437833839</v>
      </c>
      <c r="D643" s="3">
        <f t="shared" si="38"/>
        <v>-147.72944297082228</v>
      </c>
      <c r="E643" s="3">
        <f t="shared" si="39"/>
        <v>91.743689334894583</v>
      </c>
      <c r="F643" s="3">
        <v>-83</v>
      </c>
      <c r="G643">
        <v>158.29889104050099</v>
      </c>
      <c r="I643" s="3">
        <v>1933.25</v>
      </c>
      <c r="J643" s="3">
        <v>0</v>
      </c>
      <c r="K643" s="3">
        <v>12.506705910429</v>
      </c>
    </row>
    <row r="644" spans="1:11" ht="18" x14ac:dyDescent="0.25">
      <c r="A644" s="3">
        <v>2006.3333333333301</v>
      </c>
      <c r="B644" s="3">
        <f t="shared" si="36"/>
        <v>-149.72944297082228</v>
      </c>
      <c r="C644" s="3">
        <f t="shared" si="37"/>
        <v>143.04738471047909</v>
      </c>
      <c r="D644" s="3">
        <f t="shared" si="38"/>
        <v>-149.72944297082228</v>
      </c>
      <c r="E644" s="3">
        <f t="shared" si="39"/>
        <v>64.289583187492582</v>
      </c>
      <c r="F644" s="3">
        <v>-85</v>
      </c>
      <c r="G644">
        <v>130.84478489309899</v>
      </c>
      <c r="I644" s="3">
        <v>1933.3333333333301</v>
      </c>
      <c r="J644" s="3">
        <v>0</v>
      </c>
      <c r="K644" s="3">
        <v>15.9377626196974</v>
      </c>
    </row>
    <row r="645" spans="1:11" ht="18" x14ac:dyDescent="0.25">
      <c r="A645" s="3">
        <v>2006.4166666666599</v>
      </c>
      <c r="B645" s="3">
        <f t="shared" si="36"/>
        <v>-170.72944297082228</v>
      </c>
      <c r="C645" s="3">
        <f t="shared" si="37"/>
        <v>69.265808731986866</v>
      </c>
      <c r="D645" s="3">
        <f t="shared" si="38"/>
        <v>-170.72944297082228</v>
      </c>
      <c r="E645" s="3">
        <f t="shared" si="39"/>
        <v>22.055382091119995</v>
      </c>
      <c r="F645" s="3">
        <v>-106</v>
      </c>
      <c r="G645">
        <v>88.610583796726402</v>
      </c>
      <c r="I645" s="3">
        <v>1933.4166666666599</v>
      </c>
      <c r="J645" s="3">
        <v>0</v>
      </c>
      <c r="K645" s="3">
        <v>28.549571020161899</v>
      </c>
    </row>
    <row r="646" spans="1:11" ht="18" x14ac:dyDescent="0.25">
      <c r="A646" s="3">
        <v>2006.5</v>
      </c>
      <c r="B646" s="3">
        <f t="shared" ref="B646:B709" si="40">+$D646</f>
        <v>-187.72944297082228</v>
      </c>
      <c r="C646" s="3">
        <f t="shared" ref="C646:C709" si="41">$B$1*$E646/(1+$B$3*ABS($E646)^$B$2)</f>
        <v>-87.257467024706685</v>
      </c>
      <c r="D646" s="3">
        <f t="shared" ref="D646:D709" si="42">+F646-$F$3</f>
        <v>-187.72944297082228</v>
      </c>
      <c r="E646" s="3">
        <f t="shared" ref="E646:E709" si="43">+$G646-$G$3</f>
        <v>-29.910382874301405</v>
      </c>
      <c r="F646" s="3">
        <v>-123</v>
      </c>
      <c r="G646">
        <v>36.644818831305003</v>
      </c>
      <c r="I646" s="3">
        <v>1933.5</v>
      </c>
      <c r="J646" s="3">
        <v>0</v>
      </c>
      <c r="K646" s="3">
        <v>52.427966983860003</v>
      </c>
    </row>
    <row r="647" spans="1:11" ht="18" x14ac:dyDescent="0.25">
      <c r="A647" s="3">
        <v>2006.5833333333301</v>
      </c>
      <c r="B647" s="3">
        <f t="shared" si="40"/>
        <v>-187.72944297082228</v>
      </c>
      <c r="C647" s="3">
        <f t="shared" si="41"/>
        <v>-144.86343450943215</v>
      </c>
      <c r="D647" s="3">
        <f t="shared" si="42"/>
        <v>-187.72944297082228</v>
      </c>
      <c r="E647" s="3">
        <f t="shared" si="43"/>
        <v>-65.771861619904826</v>
      </c>
      <c r="F647" s="3">
        <v>-123</v>
      </c>
      <c r="G647">
        <v>0.78334008570158797</v>
      </c>
      <c r="I647" s="3">
        <v>1933.5833333333301</v>
      </c>
      <c r="J647" s="3">
        <v>0</v>
      </c>
      <c r="K647" s="3">
        <v>86.344435683413394</v>
      </c>
    </row>
    <row r="648" spans="1:11" ht="18" x14ac:dyDescent="0.25">
      <c r="A648" s="3">
        <v>2006.6666666666599</v>
      </c>
      <c r="B648" s="3">
        <f t="shared" si="40"/>
        <v>-173.72944297082228</v>
      </c>
      <c r="C648" s="3">
        <f t="shared" si="41"/>
        <v>-178.16661228435723</v>
      </c>
      <c r="D648" s="3">
        <f t="shared" si="42"/>
        <v>-173.72944297082228</v>
      </c>
      <c r="E648" s="3">
        <f t="shared" si="43"/>
        <v>-99.574292210475605</v>
      </c>
      <c r="F648" s="3">
        <v>-109</v>
      </c>
      <c r="G648">
        <v>-33.019090504869197</v>
      </c>
      <c r="I648" s="3">
        <v>1933.6666666666599</v>
      </c>
      <c r="J648" s="3">
        <v>0</v>
      </c>
      <c r="K648" s="3">
        <v>95.278122922401096</v>
      </c>
    </row>
    <row r="649" spans="1:11" ht="18" x14ac:dyDescent="0.25">
      <c r="A649" s="3">
        <v>2006.75</v>
      </c>
      <c r="B649" s="3">
        <f t="shared" si="40"/>
        <v>-157.72944297082228</v>
      </c>
      <c r="C649" s="3">
        <f t="shared" si="41"/>
        <v>-198.13307420180578</v>
      </c>
      <c r="D649" s="3">
        <f t="shared" si="42"/>
        <v>-157.72944297082228</v>
      </c>
      <c r="E649" s="3">
        <f t="shared" si="43"/>
        <v>-128.52960029629702</v>
      </c>
      <c r="F649" s="3">
        <v>-93</v>
      </c>
      <c r="G649">
        <v>-61.974398590690598</v>
      </c>
      <c r="I649" s="3">
        <v>1933.75</v>
      </c>
      <c r="J649" s="3">
        <v>0</v>
      </c>
      <c r="K649" s="3">
        <v>87.023122854755599</v>
      </c>
    </row>
    <row r="650" spans="1:11" ht="18" x14ac:dyDescent="0.25">
      <c r="A650" s="3">
        <v>2006.8333333333301</v>
      </c>
      <c r="B650" s="3">
        <f t="shared" si="40"/>
        <v>-157.72944297082228</v>
      </c>
      <c r="C650" s="3">
        <f t="shared" si="41"/>
        <v>-207.97418949220338</v>
      </c>
      <c r="D650" s="3">
        <f t="shared" si="42"/>
        <v>-157.72944297082228</v>
      </c>
      <c r="E650" s="3">
        <f t="shared" si="43"/>
        <v>-146.51986527567863</v>
      </c>
      <c r="F650" s="3">
        <v>-93</v>
      </c>
      <c r="G650">
        <v>-79.964663570072204</v>
      </c>
      <c r="I650" s="3">
        <v>1933.8333333333301</v>
      </c>
      <c r="J650" s="3">
        <v>0</v>
      </c>
      <c r="K650" s="3">
        <v>77.7921993135934</v>
      </c>
    </row>
    <row r="651" spans="1:11" ht="18" x14ac:dyDescent="0.25">
      <c r="A651" s="3">
        <v>2006.9166666666599</v>
      </c>
      <c r="B651" s="3">
        <f t="shared" si="40"/>
        <v>-153.72944297082228</v>
      </c>
      <c r="C651" s="3">
        <f t="shared" si="41"/>
        <v>-220.02833905496723</v>
      </c>
      <c r="D651" s="3">
        <f t="shared" si="42"/>
        <v>-153.72944297082228</v>
      </c>
      <c r="E651" s="3">
        <f t="shared" si="43"/>
        <v>-173.2701761716074</v>
      </c>
      <c r="F651" s="3">
        <v>-89</v>
      </c>
      <c r="G651">
        <v>-106.714974466001</v>
      </c>
      <c r="I651" s="3">
        <v>1933.9166666666599</v>
      </c>
      <c r="J651" s="3">
        <v>0</v>
      </c>
      <c r="K651" s="3">
        <v>49.040985868775998</v>
      </c>
    </row>
    <row r="652" spans="1:11" ht="18" x14ac:dyDescent="0.25">
      <c r="A652" s="3">
        <v>2007</v>
      </c>
      <c r="B652" s="3">
        <f t="shared" si="40"/>
        <v>-137.72944297082228</v>
      </c>
      <c r="C652" s="3">
        <f t="shared" si="41"/>
        <v>-225.18256316384546</v>
      </c>
      <c r="D652" s="3">
        <f t="shared" si="42"/>
        <v>-137.72944297082228</v>
      </c>
      <c r="E652" s="3">
        <f t="shared" si="43"/>
        <v>-186.73362272113141</v>
      </c>
      <c r="F652" s="3">
        <v>-73</v>
      </c>
      <c r="G652">
        <v>-120.178421015525</v>
      </c>
      <c r="I652" s="3">
        <v>1934</v>
      </c>
      <c r="J652" s="3">
        <v>0</v>
      </c>
      <c r="K652" s="3">
        <v>14.368811187614</v>
      </c>
    </row>
    <row r="653" spans="1:11" ht="18" x14ac:dyDescent="0.25">
      <c r="A653" s="3">
        <v>2007.0833333333301</v>
      </c>
      <c r="B653" s="3">
        <f t="shared" si="40"/>
        <v>-118.72944297082228</v>
      </c>
      <c r="C653" s="3">
        <f t="shared" si="41"/>
        <v>-220.16134019230572</v>
      </c>
      <c r="D653" s="3">
        <f t="shared" si="42"/>
        <v>-118.72944297082228</v>
      </c>
      <c r="E653" s="3">
        <f t="shared" si="43"/>
        <v>-173.60052328205143</v>
      </c>
      <c r="F653" s="3">
        <v>-54</v>
      </c>
      <c r="G653">
        <v>-107.04532157644501</v>
      </c>
      <c r="I653" s="3">
        <v>1934.0833333333301</v>
      </c>
      <c r="J653" s="3">
        <v>0</v>
      </c>
      <c r="K653" s="3">
        <v>-18.450480230207599</v>
      </c>
    </row>
    <row r="654" spans="1:11" ht="18" x14ac:dyDescent="0.25">
      <c r="A654" s="3">
        <v>2007.1666666666599</v>
      </c>
      <c r="B654" s="3">
        <f t="shared" si="40"/>
        <v>-117.72944297082228</v>
      </c>
      <c r="C654" s="3">
        <f t="shared" si="41"/>
        <v>-217.0863862613447</v>
      </c>
      <c r="D654" s="3">
        <f t="shared" si="42"/>
        <v>-117.72944297082228</v>
      </c>
      <c r="E654" s="3">
        <f t="shared" si="43"/>
        <v>-166.17639743643542</v>
      </c>
      <c r="F654" s="3">
        <v>-53</v>
      </c>
      <c r="G654">
        <v>-99.621195730829001</v>
      </c>
      <c r="I654" s="3">
        <v>1934.1666666666599</v>
      </c>
      <c r="J654" s="3">
        <v>0</v>
      </c>
      <c r="K654" s="3">
        <v>-62.016668297560798</v>
      </c>
    </row>
    <row r="655" spans="1:11" ht="18" x14ac:dyDescent="0.25">
      <c r="A655" s="3">
        <v>2007.25</v>
      </c>
      <c r="B655" s="3">
        <f t="shared" si="40"/>
        <v>-78.729442970822276</v>
      </c>
      <c r="C655" s="3">
        <f t="shared" si="41"/>
        <v>-209.78834233967419</v>
      </c>
      <c r="D655" s="3">
        <f t="shared" si="42"/>
        <v>-78.729442970822276</v>
      </c>
      <c r="E655" s="3">
        <f t="shared" si="43"/>
        <v>-150.17960795933459</v>
      </c>
      <c r="F655" s="3">
        <v>-14</v>
      </c>
      <c r="G655">
        <v>-83.624406253728196</v>
      </c>
      <c r="I655" s="3">
        <v>1934.25</v>
      </c>
      <c r="J655" s="3">
        <v>0</v>
      </c>
      <c r="K655" s="3">
        <v>-74.294807264814594</v>
      </c>
    </row>
    <row r="656" spans="1:11" ht="18" x14ac:dyDescent="0.25">
      <c r="A656" s="3">
        <v>2007.3333333333301</v>
      </c>
      <c r="B656" s="3">
        <f t="shared" si="40"/>
        <v>82.270557029177724</v>
      </c>
      <c r="C656" s="3">
        <f t="shared" si="41"/>
        <v>-179.42072506537087</v>
      </c>
      <c r="D656" s="3">
        <f t="shared" si="42"/>
        <v>82.270557029177724</v>
      </c>
      <c r="E656" s="3">
        <f t="shared" si="43"/>
        <v>-101.15492843516141</v>
      </c>
      <c r="F656" s="3">
        <v>147</v>
      </c>
      <c r="G656">
        <v>-34.599726729555002</v>
      </c>
      <c r="I656" s="3">
        <v>1934.3333333333301</v>
      </c>
      <c r="J656" s="3">
        <v>0</v>
      </c>
      <c r="K656" s="3">
        <v>-28.101168980331899</v>
      </c>
    </row>
    <row r="657" spans="1:11" ht="18" x14ac:dyDescent="0.25">
      <c r="A657" s="3">
        <v>2007.4166666666599</v>
      </c>
      <c r="B657" s="3">
        <f t="shared" si="40"/>
        <v>188.27055702917772</v>
      </c>
      <c r="C657" s="3">
        <f t="shared" si="41"/>
        <v>-103.37604684831784</v>
      </c>
      <c r="D657" s="3">
        <f t="shared" si="42"/>
        <v>188.27055702917772</v>
      </c>
      <c r="E657" s="3">
        <f t="shared" si="43"/>
        <v>-38.043729961273108</v>
      </c>
      <c r="F657" s="3">
        <v>253</v>
      </c>
      <c r="G657">
        <v>28.511471744333299</v>
      </c>
      <c r="I657" s="3">
        <v>1934.4166666666599</v>
      </c>
      <c r="J657" s="3">
        <v>0</v>
      </c>
      <c r="K657" s="3">
        <v>42.216652335922603</v>
      </c>
    </row>
    <row r="658" spans="1:11" ht="18" x14ac:dyDescent="0.25">
      <c r="A658" s="3">
        <v>2007.5</v>
      </c>
      <c r="B658" s="3">
        <f t="shared" si="40"/>
        <v>232.27055702917772</v>
      </c>
      <c r="C658" s="3">
        <f t="shared" si="41"/>
        <v>78.358323924804949</v>
      </c>
      <c r="D658" s="3">
        <f t="shared" si="42"/>
        <v>232.27055702917772</v>
      </c>
      <c r="E658" s="3">
        <f t="shared" si="43"/>
        <v>25.880318117412088</v>
      </c>
      <c r="F658" s="3">
        <v>297</v>
      </c>
      <c r="G658">
        <v>92.435519823018495</v>
      </c>
      <c r="I658" s="3">
        <v>1934.5</v>
      </c>
      <c r="J658" s="3">
        <v>0</v>
      </c>
      <c r="K658" s="3">
        <v>107.385328708853</v>
      </c>
    </row>
    <row r="659" spans="1:11" ht="18" x14ac:dyDescent="0.25">
      <c r="A659" s="3">
        <v>2007.5833333333301</v>
      </c>
      <c r="B659" s="3">
        <f t="shared" si="40"/>
        <v>248.27055702917772</v>
      </c>
      <c r="C659" s="3">
        <f t="shared" si="41"/>
        <v>144.21906093031257</v>
      </c>
      <c r="D659" s="3">
        <f t="shared" si="42"/>
        <v>248.27055702917772</v>
      </c>
      <c r="E659" s="3">
        <f t="shared" si="43"/>
        <v>65.242458220140605</v>
      </c>
      <c r="F659" s="3">
        <v>313</v>
      </c>
      <c r="G659">
        <v>131.79765992574701</v>
      </c>
      <c r="I659" s="3">
        <v>1934.5833333333301</v>
      </c>
      <c r="J659" s="3">
        <v>0</v>
      </c>
      <c r="K659" s="3">
        <v>136.123555889361</v>
      </c>
    </row>
    <row r="660" spans="1:11" ht="18" x14ac:dyDescent="0.25">
      <c r="A660" s="3">
        <v>2007.6666666666599</v>
      </c>
      <c r="B660" s="3">
        <f t="shared" si="40"/>
        <v>251.27055702917772</v>
      </c>
      <c r="C660" s="3">
        <f t="shared" si="41"/>
        <v>150.9202357403133</v>
      </c>
      <c r="D660" s="3">
        <f t="shared" si="42"/>
        <v>251.27055702917772</v>
      </c>
      <c r="E660" s="3">
        <f t="shared" si="43"/>
        <v>70.942493811613588</v>
      </c>
      <c r="F660" s="3">
        <v>316</v>
      </c>
      <c r="G660">
        <v>137.49769551722</v>
      </c>
      <c r="I660" s="3">
        <v>1934.6666666666599</v>
      </c>
      <c r="J660" s="3">
        <v>0</v>
      </c>
      <c r="K660" s="3">
        <v>127.486491562103</v>
      </c>
    </row>
    <row r="661" spans="1:11" ht="18" x14ac:dyDescent="0.25">
      <c r="A661" s="3">
        <v>2007.75</v>
      </c>
      <c r="B661" s="3">
        <f t="shared" si="40"/>
        <v>251.27055702917772</v>
      </c>
      <c r="C661" s="3">
        <f t="shared" si="41"/>
        <v>173.68850549455919</v>
      </c>
      <c r="D661" s="3">
        <f t="shared" si="42"/>
        <v>251.27055702917772</v>
      </c>
      <c r="E661" s="3">
        <f t="shared" si="43"/>
        <v>94.147856033465587</v>
      </c>
      <c r="F661" s="3">
        <v>316</v>
      </c>
      <c r="G661">
        <v>160.70305773907199</v>
      </c>
      <c r="I661" s="3">
        <v>1934.75</v>
      </c>
      <c r="J661" s="3">
        <v>0</v>
      </c>
      <c r="K661" s="3">
        <v>133.976890515561</v>
      </c>
    </row>
    <row r="662" spans="1:11" ht="18" x14ac:dyDescent="0.25">
      <c r="A662" s="3">
        <v>2007.8333333333301</v>
      </c>
      <c r="B662" s="3">
        <f t="shared" si="40"/>
        <v>255.27055702917772</v>
      </c>
      <c r="C662" s="3">
        <f t="shared" si="41"/>
        <v>204.37526261957302</v>
      </c>
      <c r="D662" s="3">
        <f t="shared" si="42"/>
        <v>255.27055702917772</v>
      </c>
      <c r="E662" s="3">
        <f t="shared" si="43"/>
        <v>139.59271651054959</v>
      </c>
      <c r="F662" s="3">
        <v>320</v>
      </c>
      <c r="G662">
        <v>206.147918216156</v>
      </c>
      <c r="I662" s="3">
        <v>1934.8333333333301</v>
      </c>
      <c r="J662" s="3">
        <v>0</v>
      </c>
      <c r="K662" s="3">
        <v>151.24438083001701</v>
      </c>
    </row>
    <row r="663" spans="1:11" ht="18" x14ac:dyDescent="0.25">
      <c r="A663" s="3">
        <v>2007.9166666666599</v>
      </c>
      <c r="B663" s="3">
        <f t="shared" si="40"/>
        <v>251.27055702917772</v>
      </c>
      <c r="C663" s="3">
        <f t="shared" si="41"/>
        <v>214.8497517212158</v>
      </c>
      <c r="D663" s="3">
        <f t="shared" si="42"/>
        <v>251.27055702917772</v>
      </c>
      <c r="E663" s="3">
        <f t="shared" si="43"/>
        <v>161.04307015181658</v>
      </c>
      <c r="F663" s="3">
        <v>316</v>
      </c>
      <c r="G663">
        <v>227.59827185742299</v>
      </c>
      <c r="I663" s="3">
        <v>1934.9166666666599</v>
      </c>
      <c r="J663" s="3">
        <v>0</v>
      </c>
      <c r="K663" s="3">
        <v>140.795726318193</v>
      </c>
    </row>
    <row r="664" spans="1:11" ht="18" x14ac:dyDescent="0.25">
      <c r="A664" s="3">
        <v>2008</v>
      </c>
      <c r="B664" s="3">
        <f t="shared" si="40"/>
        <v>200.27055702917772</v>
      </c>
      <c r="C664" s="3">
        <f t="shared" si="41"/>
        <v>210.87641190907132</v>
      </c>
      <c r="D664" s="3">
        <f t="shared" si="42"/>
        <v>200.27055702917772</v>
      </c>
      <c r="E664" s="3">
        <f t="shared" si="43"/>
        <v>152.43173907904759</v>
      </c>
      <c r="F664" s="3">
        <v>265</v>
      </c>
      <c r="G664">
        <v>218.986940784654</v>
      </c>
      <c r="I664" s="3">
        <v>1935</v>
      </c>
      <c r="J664" s="3">
        <v>0</v>
      </c>
      <c r="K664" s="3">
        <v>119.80908268692301</v>
      </c>
    </row>
    <row r="665" spans="1:11" ht="18" x14ac:dyDescent="0.25">
      <c r="A665" s="3">
        <v>2008.0833333333301</v>
      </c>
      <c r="B665" s="3">
        <f t="shared" si="40"/>
        <v>61.270557029177724</v>
      </c>
      <c r="C665" s="3">
        <f t="shared" si="41"/>
        <v>187.30612582127853</v>
      </c>
      <c r="D665" s="3">
        <f t="shared" si="42"/>
        <v>61.270557029177724</v>
      </c>
      <c r="E665" s="3">
        <f t="shared" si="43"/>
        <v>111.7659105024776</v>
      </c>
      <c r="F665" s="3">
        <v>126</v>
      </c>
      <c r="G665">
        <v>178.321112208084</v>
      </c>
      <c r="I665" s="3">
        <v>1935.0833333333301</v>
      </c>
      <c r="J665" s="3">
        <v>0</v>
      </c>
      <c r="K665" s="3">
        <v>102.088052099572</v>
      </c>
    </row>
    <row r="666" spans="1:11" ht="18" x14ac:dyDescent="0.25">
      <c r="A666" s="3">
        <v>2008.1666666666599</v>
      </c>
      <c r="B666" s="3">
        <f t="shared" si="40"/>
        <v>-102.72944297082228</v>
      </c>
      <c r="C666" s="3">
        <f t="shared" si="41"/>
        <v>125.96110490141491</v>
      </c>
      <c r="D666" s="3">
        <f t="shared" si="42"/>
        <v>-102.72944297082228</v>
      </c>
      <c r="E666" s="3">
        <f t="shared" si="43"/>
        <v>51.685752148237597</v>
      </c>
      <c r="F666" s="3">
        <v>-38</v>
      </c>
      <c r="G666">
        <v>118.240953853844</v>
      </c>
      <c r="I666" s="3">
        <v>1935.1666666666599</v>
      </c>
      <c r="J666" s="3">
        <v>0</v>
      </c>
      <c r="K666" s="3">
        <v>94.633127065910699</v>
      </c>
    </row>
    <row r="667" spans="1:11" ht="18" x14ac:dyDescent="0.25">
      <c r="A667" s="3">
        <v>2008.25</v>
      </c>
      <c r="B667" s="3">
        <f t="shared" si="40"/>
        <v>-176.72944297082228</v>
      </c>
      <c r="C667" s="3">
        <f t="shared" si="41"/>
        <v>66.448157595793333</v>
      </c>
      <c r="D667" s="3">
        <f t="shared" si="42"/>
        <v>-176.72944297082228</v>
      </c>
      <c r="E667" s="3">
        <f t="shared" si="43"/>
        <v>20.925246561451289</v>
      </c>
      <c r="F667" s="3">
        <v>-112</v>
      </c>
      <c r="G667">
        <v>87.480448267057696</v>
      </c>
      <c r="I667" s="3">
        <v>1935.25</v>
      </c>
      <c r="J667" s="3">
        <v>0</v>
      </c>
      <c r="K667" s="3">
        <v>114.816875122384</v>
      </c>
    </row>
    <row r="668" spans="1:11" ht="18" x14ac:dyDescent="0.25">
      <c r="A668" s="3">
        <v>2008.3333333333301</v>
      </c>
      <c r="B668" s="3">
        <f t="shared" si="40"/>
        <v>-188.72944297082228</v>
      </c>
      <c r="C668" s="3">
        <f t="shared" si="41"/>
        <v>56.266182970800592</v>
      </c>
      <c r="D668" s="3">
        <f t="shared" si="42"/>
        <v>-188.72944297082228</v>
      </c>
      <c r="E668" s="3">
        <f t="shared" si="43"/>
        <v>17.040850871294694</v>
      </c>
      <c r="F668" s="3">
        <v>-124</v>
      </c>
      <c r="G668">
        <v>83.596052576901101</v>
      </c>
      <c r="I668" s="3">
        <v>1935.3333333333301</v>
      </c>
      <c r="J668" s="3">
        <v>0</v>
      </c>
      <c r="K668" s="3">
        <v>131.549071291324</v>
      </c>
    </row>
    <row r="669" spans="1:11" ht="18" x14ac:dyDescent="0.25">
      <c r="A669" s="3">
        <v>2008.4166666666599</v>
      </c>
      <c r="B669" s="3">
        <f t="shared" si="40"/>
        <v>-188.72944297082228</v>
      </c>
      <c r="C669" s="3">
        <f t="shared" si="41"/>
        <v>48.185867569190428</v>
      </c>
      <c r="D669" s="3">
        <f t="shared" si="42"/>
        <v>-188.72944297082228</v>
      </c>
      <c r="E669" s="3">
        <f t="shared" si="43"/>
        <v>14.163553930603797</v>
      </c>
      <c r="F669" s="3">
        <v>-124</v>
      </c>
      <c r="G669">
        <v>80.718755636210204</v>
      </c>
      <c r="I669" s="3">
        <v>1935.4166666666599</v>
      </c>
      <c r="J669" s="3">
        <v>0</v>
      </c>
      <c r="K669" s="3">
        <v>121.51675889286101</v>
      </c>
    </row>
    <row r="670" spans="1:11" ht="18" x14ac:dyDescent="0.25">
      <c r="A670" s="3">
        <v>2008.5</v>
      </c>
      <c r="B670" s="3">
        <f t="shared" si="40"/>
        <v>-199.72944297082228</v>
      </c>
      <c r="C670" s="3">
        <f t="shared" si="41"/>
        <v>56.762237185225764</v>
      </c>
      <c r="D670" s="3">
        <f t="shared" si="42"/>
        <v>-199.72944297082228</v>
      </c>
      <c r="E670" s="3">
        <f t="shared" si="43"/>
        <v>17.223193042578387</v>
      </c>
      <c r="F670" s="3">
        <v>-135</v>
      </c>
      <c r="G670">
        <v>83.778394748184795</v>
      </c>
      <c r="I670" s="3">
        <v>1935.5</v>
      </c>
      <c r="J670" s="3">
        <v>0</v>
      </c>
      <c r="K670" s="3">
        <v>103.453185243234</v>
      </c>
    </row>
    <row r="671" spans="1:11" ht="18" x14ac:dyDescent="0.25">
      <c r="A671" s="3">
        <v>2008.5833333333301</v>
      </c>
      <c r="B671" s="3">
        <f t="shared" si="40"/>
        <v>-199.72944297082228</v>
      </c>
      <c r="C671" s="3">
        <f t="shared" si="41"/>
        <v>48.669186709036865</v>
      </c>
      <c r="D671" s="3">
        <f t="shared" si="42"/>
        <v>-199.72944297082228</v>
      </c>
      <c r="E671" s="3">
        <f t="shared" si="43"/>
        <v>14.330880664373296</v>
      </c>
      <c r="F671" s="3">
        <v>-135</v>
      </c>
      <c r="G671">
        <v>80.886082369979704</v>
      </c>
      <c r="I671" s="3">
        <v>1935.5833333333301</v>
      </c>
      <c r="J671" s="3">
        <v>0</v>
      </c>
      <c r="K671" s="3">
        <v>71.261218451521003</v>
      </c>
    </row>
    <row r="672" spans="1:11" ht="18" x14ac:dyDescent="0.25">
      <c r="A672" s="3">
        <v>2008.6666666666599</v>
      </c>
      <c r="B672" s="3">
        <f t="shared" si="40"/>
        <v>-182.72944297082228</v>
      </c>
      <c r="C672" s="3">
        <f t="shared" si="41"/>
        <v>36.158707193368663</v>
      </c>
      <c r="D672" s="3">
        <f t="shared" si="42"/>
        <v>-182.72944297082228</v>
      </c>
      <c r="E672" s="3">
        <f t="shared" si="43"/>
        <v>10.181714968363693</v>
      </c>
      <c r="F672" s="3">
        <v>-118</v>
      </c>
      <c r="G672">
        <v>76.7369166739701</v>
      </c>
      <c r="I672" s="3">
        <v>1935.6666666666599</v>
      </c>
      <c r="J672" s="3">
        <v>0</v>
      </c>
      <c r="K672" s="3">
        <v>34.193410791898899</v>
      </c>
    </row>
    <row r="673" spans="1:11" ht="18" x14ac:dyDescent="0.25">
      <c r="A673" s="3">
        <v>2008.75</v>
      </c>
      <c r="B673" s="3">
        <f t="shared" si="40"/>
        <v>-169.72944297082228</v>
      </c>
      <c r="C673" s="3">
        <f t="shared" si="41"/>
        <v>65.7884966089361</v>
      </c>
      <c r="D673" s="3">
        <f t="shared" si="42"/>
        <v>-169.72944297082228</v>
      </c>
      <c r="E673" s="3">
        <f t="shared" si="43"/>
        <v>20.66424802297179</v>
      </c>
      <c r="F673" s="3">
        <v>-105</v>
      </c>
      <c r="G673">
        <v>87.219449728578198</v>
      </c>
      <c r="I673" s="3">
        <v>1935.75</v>
      </c>
      <c r="J673" s="3">
        <v>0</v>
      </c>
      <c r="K673" s="3">
        <v>16.396217680963499</v>
      </c>
    </row>
    <row r="674" spans="1:11" ht="18" x14ac:dyDescent="0.25">
      <c r="A674" s="3">
        <v>2008.8333333333301</v>
      </c>
      <c r="B674" s="3">
        <f t="shared" si="40"/>
        <v>-157.72944297082228</v>
      </c>
      <c r="C674" s="3">
        <f t="shared" si="41"/>
        <v>15.010912343179349</v>
      </c>
      <c r="D674" s="3">
        <f t="shared" si="42"/>
        <v>-157.72944297082228</v>
      </c>
      <c r="E674" s="3">
        <f t="shared" si="43"/>
        <v>3.9360057773264856</v>
      </c>
      <c r="F674" s="3">
        <v>-93</v>
      </c>
      <c r="G674">
        <v>70.491207482932893</v>
      </c>
      <c r="I674" s="3">
        <v>1935.8333333333301</v>
      </c>
      <c r="J674" s="3">
        <v>0</v>
      </c>
      <c r="K674" s="3">
        <v>-6.3393350028873598</v>
      </c>
    </row>
    <row r="675" spans="1:11" ht="18" x14ac:dyDescent="0.25">
      <c r="A675" s="3">
        <v>2008.9166666666599</v>
      </c>
      <c r="B675" s="3">
        <f t="shared" si="40"/>
        <v>-157.72944297082228</v>
      </c>
      <c r="C675" s="3">
        <f t="shared" si="41"/>
        <v>-128.94000764764846</v>
      </c>
      <c r="D675" s="3">
        <f t="shared" si="42"/>
        <v>-157.72944297082228</v>
      </c>
      <c r="E675" s="3">
        <f t="shared" si="43"/>
        <v>-53.722899519784704</v>
      </c>
      <c r="F675" s="3">
        <v>-93</v>
      </c>
      <c r="G675">
        <v>12.8323021858217</v>
      </c>
      <c r="I675" s="3">
        <v>1935.9166666666599</v>
      </c>
      <c r="J675" s="3">
        <v>0</v>
      </c>
      <c r="K675" s="3">
        <v>-34.202580877730497</v>
      </c>
    </row>
    <row r="676" spans="1:11" ht="18" x14ac:dyDescent="0.25">
      <c r="A676" s="3">
        <v>2009</v>
      </c>
      <c r="B676" s="3">
        <f t="shared" si="40"/>
        <v>-175.72944297082228</v>
      </c>
      <c r="C676" s="3">
        <f t="shared" si="41"/>
        <v>-184.84468158407756</v>
      </c>
      <c r="D676" s="3">
        <f t="shared" si="42"/>
        <v>-175.72944297082228</v>
      </c>
      <c r="E676" s="3">
        <f t="shared" si="43"/>
        <v>-108.32303566228671</v>
      </c>
      <c r="F676" s="3">
        <v>-111</v>
      </c>
      <c r="G676">
        <v>-41.767833956680299</v>
      </c>
      <c r="I676" s="3">
        <v>1936</v>
      </c>
      <c r="J676" s="3">
        <v>0</v>
      </c>
      <c r="K676" s="3">
        <v>-40.980723222930202</v>
      </c>
    </row>
    <row r="677" spans="1:11" ht="18" x14ac:dyDescent="0.25">
      <c r="A677" s="3">
        <v>2009.0833333333301</v>
      </c>
      <c r="B677" s="3">
        <f t="shared" si="40"/>
        <v>-183.72944297082228</v>
      </c>
      <c r="C677" s="3">
        <f t="shared" si="41"/>
        <v>-208.84523065861896</v>
      </c>
      <c r="D677" s="3">
        <f t="shared" si="42"/>
        <v>-183.72944297082228</v>
      </c>
      <c r="E677" s="3">
        <f t="shared" si="43"/>
        <v>-148.26244370772781</v>
      </c>
      <c r="F677" s="3">
        <v>-119</v>
      </c>
      <c r="G677">
        <v>-81.707242002121404</v>
      </c>
      <c r="I677" s="3">
        <v>1936.0833333333301</v>
      </c>
      <c r="J677" s="3">
        <v>0</v>
      </c>
      <c r="K677" s="3">
        <v>-47.393086530912299</v>
      </c>
    </row>
    <row r="678" spans="1:11" ht="18" x14ac:dyDescent="0.25">
      <c r="A678" s="3">
        <v>2009.1666666666599</v>
      </c>
      <c r="B678" s="3">
        <f t="shared" si="40"/>
        <v>-183.72944297082228</v>
      </c>
      <c r="C678" s="3">
        <f t="shared" si="41"/>
        <v>-216.84522275964463</v>
      </c>
      <c r="D678" s="3">
        <f t="shared" si="42"/>
        <v>-183.72944297082228</v>
      </c>
      <c r="E678" s="3">
        <f t="shared" si="43"/>
        <v>-165.61243340989731</v>
      </c>
      <c r="F678" s="3">
        <v>-119</v>
      </c>
      <c r="G678">
        <v>-99.057231704290899</v>
      </c>
      <c r="I678" s="3">
        <v>1936.1666666666599</v>
      </c>
      <c r="J678" s="3">
        <v>0</v>
      </c>
      <c r="K678" s="3">
        <v>-58.634197150836599</v>
      </c>
    </row>
    <row r="679" spans="1:11" ht="18" x14ac:dyDescent="0.25">
      <c r="A679" s="3">
        <v>2009.25</v>
      </c>
      <c r="B679" s="3">
        <f t="shared" si="40"/>
        <v>-182.72944297082228</v>
      </c>
      <c r="C679" s="3">
        <f t="shared" si="41"/>
        <v>-208.76648540482424</v>
      </c>
      <c r="D679" s="3">
        <f t="shared" si="42"/>
        <v>-182.72944297082228</v>
      </c>
      <c r="E679" s="3">
        <f t="shared" si="43"/>
        <v>-148.10380965462019</v>
      </c>
      <c r="F679" s="3">
        <v>-118</v>
      </c>
      <c r="G679">
        <v>-81.5486079490138</v>
      </c>
      <c r="I679" s="3">
        <v>1936.25</v>
      </c>
      <c r="J679" s="3">
        <v>0</v>
      </c>
      <c r="K679" s="3">
        <v>-54.481791649368098</v>
      </c>
    </row>
    <row r="680" spans="1:11" ht="18" x14ac:dyDescent="0.25">
      <c r="A680" s="3">
        <v>2009.3333333333301</v>
      </c>
      <c r="B680" s="3">
        <f t="shared" si="40"/>
        <v>-167.72944297082228</v>
      </c>
      <c r="C680" s="3">
        <f t="shared" si="41"/>
        <v>-188.36281712603699</v>
      </c>
      <c r="D680" s="3">
        <f t="shared" si="42"/>
        <v>-167.72944297082228</v>
      </c>
      <c r="E680" s="3">
        <f t="shared" si="43"/>
        <v>-113.28273046479771</v>
      </c>
      <c r="F680" s="3">
        <v>-103</v>
      </c>
      <c r="G680">
        <v>-46.727528759191301</v>
      </c>
      <c r="I680" s="3">
        <v>1936.3333333333301</v>
      </c>
      <c r="J680" s="3">
        <v>0</v>
      </c>
      <c r="K680" s="3">
        <v>-34.024324018898398</v>
      </c>
    </row>
    <row r="681" spans="1:11" ht="18" x14ac:dyDescent="0.25">
      <c r="A681" s="3">
        <v>2009.4166666666599</v>
      </c>
      <c r="B681" s="3">
        <f t="shared" si="40"/>
        <v>-96.729442970822276</v>
      </c>
      <c r="C681" s="3">
        <f t="shared" si="41"/>
        <v>-131.50339726014755</v>
      </c>
      <c r="D681" s="3">
        <f t="shared" si="42"/>
        <v>-96.729442970822276</v>
      </c>
      <c r="E681" s="3">
        <f t="shared" si="43"/>
        <v>-55.526797695617709</v>
      </c>
      <c r="F681" s="3">
        <v>-32</v>
      </c>
      <c r="G681">
        <v>11.0284040099887</v>
      </c>
      <c r="I681" s="3">
        <v>1936.4166666666599</v>
      </c>
      <c r="J681" s="3">
        <v>0</v>
      </c>
      <c r="K681" s="3">
        <v>17.481129676467901</v>
      </c>
    </row>
    <row r="682" spans="1:11" ht="18" x14ac:dyDescent="0.25">
      <c r="A682" s="3">
        <v>2009.5</v>
      </c>
      <c r="B682" s="3">
        <f t="shared" si="40"/>
        <v>69.270557029177724</v>
      </c>
      <c r="C682" s="3">
        <f t="shared" si="41"/>
        <v>55.655459743205938</v>
      </c>
      <c r="D682" s="3">
        <f t="shared" si="42"/>
        <v>69.270557029177724</v>
      </c>
      <c r="E682" s="3">
        <f t="shared" si="43"/>
        <v>16.817289646434588</v>
      </c>
      <c r="F682" s="3">
        <v>134</v>
      </c>
      <c r="G682">
        <v>83.372491352040996</v>
      </c>
      <c r="I682" s="3">
        <v>1936.5</v>
      </c>
      <c r="J682" s="3">
        <v>0</v>
      </c>
      <c r="K682" s="3">
        <v>81.879342862117198</v>
      </c>
    </row>
    <row r="683" spans="1:11" ht="18" x14ac:dyDescent="0.25">
      <c r="A683" s="3">
        <v>2009.5833333333301</v>
      </c>
      <c r="B683" s="3">
        <f t="shared" si="40"/>
        <v>153.27055702917772</v>
      </c>
      <c r="C683" s="3">
        <f t="shared" si="41"/>
        <v>122.93394919313008</v>
      </c>
      <c r="D683" s="3">
        <f t="shared" si="42"/>
        <v>153.27055702917772</v>
      </c>
      <c r="E683" s="3">
        <f t="shared" si="43"/>
        <v>49.677949782286589</v>
      </c>
      <c r="F683" s="3">
        <v>218</v>
      </c>
      <c r="G683">
        <v>116.233151487893</v>
      </c>
      <c r="I683" s="3">
        <v>1936.5833333333301</v>
      </c>
      <c r="J683" s="3">
        <v>0</v>
      </c>
      <c r="K683" s="3">
        <v>103.372911638459</v>
      </c>
    </row>
    <row r="684" spans="1:11" ht="18" x14ac:dyDescent="0.25">
      <c r="A684" s="3">
        <v>2009.6666666666599</v>
      </c>
      <c r="B684" s="3">
        <f t="shared" si="40"/>
        <v>155.27055702917772</v>
      </c>
      <c r="C684" s="3">
        <f t="shared" si="41"/>
        <v>117.11676537335282</v>
      </c>
      <c r="D684" s="3">
        <f t="shared" si="42"/>
        <v>155.27055702917772</v>
      </c>
      <c r="E684" s="3">
        <f t="shared" si="43"/>
        <v>45.985878888400592</v>
      </c>
      <c r="F684" s="3">
        <v>220</v>
      </c>
      <c r="G684">
        <v>112.541080594007</v>
      </c>
      <c r="I684" s="3">
        <v>1936.6666666666599</v>
      </c>
      <c r="J684" s="3">
        <v>0</v>
      </c>
      <c r="K684" s="3">
        <v>99.9776706834365</v>
      </c>
    </row>
    <row r="685" spans="1:11" ht="18" x14ac:dyDescent="0.25">
      <c r="A685" s="3">
        <v>2009.75</v>
      </c>
      <c r="B685" s="3">
        <f t="shared" si="40"/>
        <v>153.27055702917772</v>
      </c>
      <c r="C685" s="3">
        <f t="shared" si="41"/>
        <v>108.19652521215953</v>
      </c>
      <c r="D685" s="3">
        <f t="shared" si="42"/>
        <v>153.27055702917772</v>
      </c>
      <c r="E685" s="3">
        <f t="shared" si="43"/>
        <v>40.713924824434599</v>
      </c>
      <c r="F685" s="3">
        <v>218</v>
      </c>
      <c r="G685">
        <v>107.26912653004101</v>
      </c>
      <c r="I685" s="3">
        <v>1936.75</v>
      </c>
      <c r="J685" s="3">
        <v>0</v>
      </c>
      <c r="K685" s="3">
        <v>113.775901183589</v>
      </c>
    </row>
    <row r="686" spans="1:11" ht="18" x14ac:dyDescent="0.25">
      <c r="A686" s="3">
        <v>2009.8333333333301</v>
      </c>
      <c r="B686" s="3">
        <f t="shared" si="40"/>
        <v>155.27055702917772</v>
      </c>
      <c r="C686" s="3">
        <f t="shared" si="41"/>
        <v>97.513050328361189</v>
      </c>
      <c r="D686" s="3">
        <f t="shared" si="42"/>
        <v>155.27055702917772</v>
      </c>
      <c r="E686" s="3">
        <f t="shared" si="43"/>
        <v>34.950361012911586</v>
      </c>
      <c r="F686" s="3">
        <v>220</v>
      </c>
      <c r="G686">
        <v>101.50556271851799</v>
      </c>
      <c r="I686" s="3">
        <v>1936.8333333333301</v>
      </c>
      <c r="J686" s="3">
        <v>0</v>
      </c>
      <c r="K686" s="3">
        <v>137.459702984041</v>
      </c>
    </row>
    <row r="687" spans="1:11" ht="18" x14ac:dyDescent="0.25">
      <c r="A687" s="3">
        <v>2009.9166666666599</v>
      </c>
      <c r="B687" s="3">
        <f t="shared" si="40"/>
        <v>187.27055702917772</v>
      </c>
      <c r="C687" s="3">
        <f t="shared" si="41"/>
        <v>113.1270656322361</v>
      </c>
      <c r="D687" s="3">
        <f t="shared" si="42"/>
        <v>187.27055702917772</v>
      </c>
      <c r="E687" s="3">
        <f t="shared" si="43"/>
        <v>43.57236271268259</v>
      </c>
      <c r="F687" s="3">
        <v>252</v>
      </c>
      <c r="G687">
        <v>110.127564418289</v>
      </c>
      <c r="I687" s="3">
        <v>1936.9166666666599</v>
      </c>
      <c r="J687" s="3">
        <v>0</v>
      </c>
      <c r="K687" s="3">
        <v>168.33551631929299</v>
      </c>
    </row>
    <row r="688" spans="1:11" ht="18" x14ac:dyDescent="0.25">
      <c r="A688" s="3">
        <v>2010</v>
      </c>
      <c r="B688" s="3">
        <f t="shared" si="40"/>
        <v>194.27055702917772</v>
      </c>
      <c r="C688" s="3">
        <f t="shared" si="41"/>
        <v>139.74566955389753</v>
      </c>
      <c r="D688" s="3">
        <f t="shared" si="42"/>
        <v>194.27055702917772</v>
      </c>
      <c r="E688" s="3">
        <f t="shared" si="43"/>
        <v>61.670210153667597</v>
      </c>
      <c r="F688" s="3">
        <v>259</v>
      </c>
      <c r="G688">
        <v>128.225411859274</v>
      </c>
      <c r="I688" s="3">
        <v>1937</v>
      </c>
      <c r="J688" s="3">
        <v>0</v>
      </c>
      <c r="K688" s="3">
        <v>189.77981774703599</v>
      </c>
    </row>
    <row r="689" spans="1:11" ht="18" x14ac:dyDescent="0.25">
      <c r="A689" s="3">
        <v>2010.0833333333301</v>
      </c>
      <c r="B689" s="3">
        <f t="shared" si="40"/>
        <v>200.27055702917772</v>
      </c>
      <c r="C689" s="3">
        <f t="shared" si="41"/>
        <v>134.89475068506911</v>
      </c>
      <c r="D689" s="3">
        <f t="shared" si="42"/>
        <v>200.27055702917772</v>
      </c>
      <c r="E689" s="3">
        <f t="shared" si="43"/>
        <v>57.989151190016599</v>
      </c>
      <c r="F689" s="3">
        <v>265</v>
      </c>
      <c r="G689">
        <v>124.54435289562301</v>
      </c>
      <c r="I689" s="3">
        <v>1937.0833333333301</v>
      </c>
      <c r="J689" s="3">
        <v>0</v>
      </c>
      <c r="K689" s="3">
        <v>181.70871705830601</v>
      </c>
    </row>
    <row r="690" spans="1:11" ht="18" x14ac:dyDescent="0.25">
      <c r="A690" s="3">
        <v>2010.1666666666599</v>
      </c>
      <c r="B690" s="3">
        <f t="shared" si="40"/>
        <v>204.27055702917772</v>
      </c>
      <c r="C690" s="3">
        <f t="shared" si="41"/>
        <v>129.04645585225455</v>
      </c>
      <c r="D690" s="3">
        <f t="shared" si="42"/>
        <v>204.27055702917772</v>
      </c>
      <c r="E690" s="3">
        <f t="shared" si="43"/>
        <v>53.79685679548659</v>
      </c>
      <c r="F690" s="3">
        <v>269</v>
      </c>
      <c r="G690">
        <v>120.352058501093</v>
      </c>
      <c r="I690" s="3">
        <v>1937.1666666666599</v>
      </c>
      <c r="J690" s="3">
        <v>0</v>
      </c>
      <c r="K690" s="3">
        <v>178.00102583082901</v>
      </c>
    </row>
    <row r="691" spans="1:11" ht="18" x14ac:dyDescent="0.25">
      <c r="A691" s="3">
        <v>2010.25</v>
      </c>
      <c r="B691" s="3">
        <f t="shared" si="40"/>
        <v>206.27055702917772</v>
      </c>
      <c r="C691" s="3">
        <f t="shared" si="41"/>
        <v>148.90722217897851</v>
      </c>
      <c r="D691" s="3">
        <f t="shared" si="42"/>
        <v>206.27055702917772</v>
      </c>
      <c r="E691" s="3">
        <f t="shared" si="43"/>
        <v>69.183941835983603</v>
      </c>
      <c r="F691" s="3">
        <v>271</v>
      </c>
      <c r="G691">
        <v>135.73914354159001</v>
      </c>
      <c r="I691" s="3">
        <v>1937.25</v>
      </c>
      <c r="J691" s="3">
        <v>0</v>
      </c>
      <c r="K691" s="3">
        <v>189.591285430135</v>
      </c>
    </row>
    <row r="692" spans="1:11" ht="18" x14ac:dyDescent="0.25">
      <c r="A692" s="3">
        <v>2010.3333333333301</v>
      </c>
      <c r="B692" s="3">
        <f t="shared" si="40"/>
        <v>204.27055702917772</v>
      </c>
      <c r="C692" s="3">
        <f t="shared" si="41"/>
        <v>169.68772990636396</v>
      </c>
      <c r="D692" s="3">
        <f t="shared" si="42"/>
        <v>204.27055702917772</v>
      </c>
      <c r="E692" s="3">
        <f t="shared" si="43"/>
        <v>89.569061825244603</v>
      </c>
      <c r="F692" s="3">
        <v>269</v>
      </c>
      <c r="G692">
        <v>156.12426353085101</v>
      </c>
      <c r="I692" s="3">
        <v>1937.3333333333301</v>
      </c>
      <c r="J692" s="3">
        <v>0</v>
      </c>
      <c r="K692" s="3">
        <v>191.10422156268001</v>
      </c>
    </row>
    <row r="693" spans="1:11" ht="18" x14ac:dyDescent="0.25">
      <c r="A693" s="3">
        <v>2010.4166666666599</v>
      </c>
      <c r="B693" s="3">
        <f t="shared" si="40"/>
        <v>206.27055702917772</v>
      </c>
      <c r="C693" s="3">
        <f t="shared" si="41"/>
        <v>186.51259869398231</v>
      </c>
      <c r="D693" s="3">
        <f t="shared" si="42"/>
        <v>206.27055702917772</v>
      </c>
      <c r="E693" s="3">
        <f t="shared" si="43"/>
        <v>110.64236049209458</v>
      </c>
      <c r="F693" s="3">
        <v>271</v>
      </c>
      <c r="G693">
        <v>177.19756219770099</v>
      </c>
      <c r="I693" s="3">
        <v>1937.4166666666599</v>
      </c>
      <c r="J693" s="3">
        <v>0</v>
      </c>
      <c r="K693" s="3">
        <v>183.22269153214901</v>
      </c>
    </row>
    <row r="694" spans="1:11" ht="18" x14ac:dyDescent="0.25">
      <c r="A694" s="3">
        <v>2010.5</v>
      </c>
      <c r="B694" s="3">
        <f t="shared" si="40"/>
        <v>198.27055702917772</v>
      </c>
      <c r="C694" s="3">
        <f t="shared" si="41"/>
        <v>178.21806566905178</v>
      </c>
      <c r="D694" s="3">
        <f t="shared" si="42"/>
        <v>198.27055702917772</v>
      </c>
      <c r="E694" s="3">
        <f t="shared" si="43"/>
        <v>99.638601060198596</v>
      </c>
      <c r="F694" s="3">
        <v>263</v>
      </c>
      <c r="G694">
        <v>166.193802765805</v>
      </c>
      <c r="I694" s="3">
        <v>1937.5</v>
      </c>
      <c r="J694" s="3">
        <v>0</v>
      </c>
      <c r="K694" s="3">
        <v>151.18064957497199</v>
      </c>
    </row>
    <row r="695" spans="1:11" ht="18" x14ac:dyDescent="0.25">
      <c r="A695" s="3">
        <v>2010.5833333333301</v>
      </c>
      <c r="B695" s="3">
        <f t="shared" si="40"/>
        <v>-5.7294429708222765</v>
      </c>
      <c r="C695" s="3">
        <f t="shared" si="41"/>
        <v>105.70320457892839</v>
      </c>
      <c r="D695" s="3">
        <f t="shared" si="42"/>
        <v>-5.7294429708222765</v>
      </c>
      <c r="E695" s="3">
        <f t="shared" si="43"/>
        <v>39.317972022555594</v>
      </c>
      <c r="F695" s="3">
        <v>59</v>
      </c>
      <c r="G695">
        <v>105.873173728162</v>
      </c>
      <c r="I695" s="3">
        <v>1937.5833333333301</v>
      </c>
      <c r="J695" s="3">
        <v>0</v>
      </c>
      <c r="K695" s="3">
        <v>95.644209914795894</v>
      </c>
    </row>
    <row r="696" spans="1:11" ht="18" x14ac:dyDescent="0.25">
      <c r="A696" s="3">
        <v>2010.6666666666599</v>
      </c>
      <c r="B696" s="3">
        <f t="shared" si="40"/>
        <v>-181.72944297082228</v>
      </c>
      <c r="C696" s="3">
        <f t="shared" si="41"/>
        <v>-38.904244669576542</v>
      </c>
      <c r="D696" s="3">
        <f t="shared" si="42"/>
        <v>-181.72944297082228</v>
      </c>
      <c r="E696" s="3">
        <f t="shared" si="43"/>
        <v>-11.060918914790705</v>
      </c>
      <c r="F696" s="3">
        <v>-117</v>
      </c>
      <c r="G696">
        <v>55.494282790815703</v>
      </c>
      <c r="I696" s="3">
        <v>1937.6666666666599</v>
      </c>
      <c r="J696" s="3">
        <v>0</v>
      </c>
      <c r="K696" s="3">
        <v>67.989759641246593</v>
      </c>
    </row>
    <row r="697" spans="1:11" ht="18" x14ac:dyDescent="0.25">
      <c r="A697" s="3">
        <v>2010.75</v>
      </c>
      <c r="B697" s="3">
        <f t="shared" si="40"/>
        <v>-181.72944297082228</v>
      </c>
      <c r="C697" s="3">
        <f t="shared" si="41"/>
        <v>-81.098749552618926</v>
      </c>
      <c r="D697" s="3">
        <f t="shared" si="42"/>
        <v>-181.72944297082228</v>
      </c>
      <c r="E697" s="3">
        <f t="shared" si="43"/>
        <v>-27.089668121883406</v>
      </c>
      <c r="F697" s="3">
        <v>-117</v>
      </c>
      <c r="G697">
        <v>39.465533583723001</v>
      </c>
      <c r="I697" s="3">
        <v>1937.75</v>
      </c>
      <c r="J697" s="3">
        <v>0</v>
      </c>
      <c r="K697" s="3">
        <v>65.382429093166905</v>
      </c>
    </row>
    <row r="698" spans="1:11" ht="18" x14ac:dyDescent="0.25">
      <c r="A698" s="3">
        <v>2010.8333333333301</v>
      </c>
      <c r="B698" s="3">
        <f t="shared" si="40"/>
        <v>-182.72944297082228</v>
      </c>
      <c r="C698" s="3">
        <f t="shared" si="41"/>
        <v>-102.33371288634308</v>
      </c>
      <c r="D698" s="3">
        <f t="shared" si="42"/>
        <v>-182.72944297082228</v>
      </c>
      <c r="E698" s="3">
        <f t="shared" si="43"/>
        <v>-37.481736807716707</v>
      </c>
      <c r="F698" s="3">
        <v>-118</v>
      </c>
      <c r="G698">
        <v>29.0734648978897</v>
      </c>
      <c r="I698" s="3">
        <v>1937.8333333333301</v>
      </c>
      <c r="J698" s="3">
        <v>0</v>
      </c>
      <c r="K698" s="3">
        <v>46.903950883178602</v>
      </c>
    </row>
    <row r="699" spans="1:11" ht="18" x14ac:dyDescent="0.25">
      <c r="A699" s="3">
        <v>2010.9166666666599</v>
      </c>
      <c r="B699" s="3">
        <f t="shared" si="40"/>
        <v>-180.72944297082228</v>
      </c>
      <c r="C699" s="3">
        <f t="shared" si="41"/>
        <v>-121.65300436670739</v>
      </c>
      <c r="D699" s="3">
        <f t="shared" si="42"/>
        <v>-180.72944297082228</v>
      </c>
      <c r="E699" s="3">
        <f t="shared" si="43"/>
        <v>-48.846581253598004</v>
      </c>
      <c r="F699" s="3">
        <v>-116</v>
      </c>
      <c r="G699">
        <v>17.7086204520084</v>
      </c>
      <c r="I699" s="3">
        <v>1937.9166666666599</v>
      </c>
      <c r="J699" s="3">
        <v>0</v>
      </c>
      <c r="K699" s="3">
        <v>9.3046295695291992</v>
      </c>
    </row>
    <row r="700" spans="1:11" ht="18" x14ac:dyDescent="0.25">
      <c r="A700" s="3">
        <v>2011</v>
      </c>
      <c r="B700" s="3">
        <f t="shared" si="40"/>
        <v>-161.72944297082228</v>
      </c>
      <c r="C700" s="3">
        <f t="shared" si="41"/>
        <v>-151.66179093490791</v>
      </c>
      <c r="D700" s="3">
        <f t="shared" si="42"/>
        <v>-161.72944297082228</v>
      </c>
      <c r="E700" s="3">
        <f t="shared" si="43"/>
        <v>-71.600763598904038</v>
      </c>
      <c r="F700" s="3">
        <v>-97</v>
      </c>
      <c r="G700">
        <v>-5.0455618932976298</v>
      </c>
      <c r="I700" s="3">
        <v>1938</v>
      </c>
      <c r="J700" s="3">
        <v>0</v>
      </c>
      <c r="K700" s="3">
        <v>-53.317935080554797</v>
      </c>
    </row>
    <row r="701" spans="1:11" ht="18" x14ac:dyDescent="0.25">
      <c r="A701" s="3">
        <v>2011.0833333333301</v>
      </c>
      <c r="B701" s="3">
        <f t="shared" si="40"/>
        <v>-161.72944297082228</v>
      </c>
      <c r="C701" s="3">
        <f t="shared" si="41"/>
        <v>-176.84768907261707</v>
      </c>
      <c r="D701" s="3">
        <f t="shared" si="42"/>
        <v>-161.72944297082228</v>
      </c>
      <c r="E701" s="3">
        <f t="shared" si="43"/>
        <v>-97.941363720703805</v>
      </c>
      <c r="F701" s="3">
        <v>-97</v>
      </c>
      <c r="G701">
        <v>-31.386162015097401</v>
      </c>
      <c r="I701" s="3">
        <v>1938.0833333333301</v>
      </c>
      <c r="J701" s="3">
        <v>0</v>
      </c>
      <c r="K701" s="3">
        <v>-129.49250219090999</v>
      </c>
    </row>
    <row r="702" spans="1:11" ht="18" x14ac:dyDescent="0.25">
      <c r="A702" s="3">
        <v>2011.1666666666599</v>
      </c>
      <c r="B702" s="3">
        <f t="shared" si="40"/>
        <v>-161.72944297082228</v>
      </c>
      <c r="C702" s="3">
        <f t="shared" si="41"/>
        <v>-176.936818394456</v>
      </c>
      <c r="D702" s="3">
        <f t="shared" si="42"/>
        <v>-161.72944297082228</v>
      </c>
      <c r="E702" s="3">
        <f t="shared" si="43"/>
        <v>-98.050779558045804</v>
      </c>
      <c r="F702" s="3">
        <v>-97</v>
      </c>
      <c r="G702">
        <v>-31.4955778524394</v>
      </c>
      <c r="I702" s="3">
        <v>1938.1666666666599</v>
      </c>
      <c r="J702" s="3">
        <v>0</v>
      </c>
      <c r="K702" s="3">
        <v>-186.77905528138399</v>
      </c>
    </row>
    <row r="703" spans="1:11" ht="18" x14ac:dyDescent="0.25">
      <c r="A703" s="3">
        <v>2011.25</v>
      </c>
      <c r="B703" s="3">
        <f t="shared" si="40"/>
        <v>-161.72944297082228</v>
      </c>
      <c r="C703" s="3">
        <f t="shared" si="41"/>
        <v>-173.69942726084781</v>
      </c>
      <c r="D703" s="3">
        <f t="shared" si="42"/>
        <v>-161.72944297082228</v>
      </c>
      <c r="E703" s="3">
        <f t="shared" si="43"/>
        <v>-94.160693031846307</v>
      </c>
      <c r="F703" s="3">
        <v>-97</v>
      </c>
      <c r="G703">
        <v>-27.6054913262399</v>
      </c>
      <c r="I703" s="3">
        <v>1938.25</v>
      </c>
      <c r="J703" s="3">
        <v>0</v>
      </c>
      <c r="K703" s="3">
        <v>-230.265886063886</v>
      </c>
    </row>
    <row r="704" spans="1:11" ht="18" x14ac:dyDescent="0.25">
      <c r="A704" s="3">
        <v>2011.3333333333301</v>
      </c>
      <c r="B704" s="3">
        <f t="shared" si="40"/>
        <v>-160.72944297082228</v>
      </c>
      <c r="C704" s="3">
        <f t="shared" si="41"/>
        <v>-178.22528310441055</v>
      </c>
      <c r="D704" s="3">
        <f t="shared" si="42"/>
        <v>-160.72944297082228</v>
      </c>
      <c r="E704" s="3">
        <f t="shared" si="43"/>
        <v>-99.647625420590515</v>
      </c>
      <c r="F704" s="3">
        <v>-96</v>
      </c>
      <c r="G704">
        <v>-33.092423714984101</v>
      </c>
      <c r="I704" s="3">
        <v>1938.3333333333301</v>
      </c>
      <c r="J704" s="3">
        <v>0</v>
      </c>
      <c r="K704" s="3">
        <v>-240.40383398392501</v>
      </c>
    </row>
    <row r="705" spans="1:11" ht="18" x14ac:dyDescent="0.25">
      <c r="A705" s="3">
        <v>2011.4166666666599</v>
      </c>
      <c r="B705" s="3">
        <f t="shared" si="40"/>
        <v>-156.72944297082228</v>
      </c>
      <c r="C705" s="3">
        <f t="shared" si="41"/>
        <v>-167.0776309831983</v>
      </c>
      <c r="D705" s="3">
        <f t="shared" si="42"/>
        <v>-156.72944297082228</v>
      </c>
      <c r="E705" s="3">
        <f t="shared" si="43"/>
        <v>-86.709031926765903</v>
      </c>
      <c r="F705" s="3">
        <v>-92</v>
      </c>
      <c r="G705">
        <v>-20.153830221159499</v>
      </c>
      <c r="I705" s="3">
        <v>1938.4166666666599</v>
      </c>
      <c r="J705" s="3">
        <v>0</v>
      </c>
      <c r="K705" s="3">
        <v>-178.38089358913501</v>
      </c>
    </row>
    <row r="706" spans="1:11" ht="18" x14ac:dyDescent="0.25">
      <c r="A706" s="3">
        <v>2011.5</v>
      </c>
      <c r="B706" s="3">
        <f t="shared" si="40"/>
        <v>-134.72944297082228</v>
      </c>
      <c r="C706" s="3">
        <f t="shared" si="41"/>
        <v>-146.68749468043401</v>
      </c>
      <c r="D706" s="3">
        <f t="shared" si="42"/>
        <v>-134.72944297082228</v>
      </c>
      <c r="E706" s="3">
        <f t="shared" si="43"/>
        <v>-67.291526395890244</v>
      </c>
      <c r="F706" s="3">
        <v>-70</v>
      </c>
      <c r="G706">
        <v>-0.73632469028383696</v>
      </c>
      <c r="I706" s="3">
        <v>1938.5</v>
      </c>
      <c r="J706" s="3">
        <v>0</v>
      </c>
      <c r="K706" s="3">
        <v>-80.497065124851403</v>
      </c>
    </row>
    <row r="707" spans="1:11" ht="18" x14ac:dyDescent="0.25">
      <c r="A707" s="3">
        <v>2011.5833333333301</v>
      </c>
      <c r="B707" s="3">
        <f t="shared" si="40"/>
        <v>-89.729442970822276</v>
      </c>
      <c r="C707" s="3">
        <f t="shared" si="41"/>
        <v>-123.12594320410705</v>
      </c>
      <c r="D707" s="3">
        <f t="shared" si="42"/>
        <v>-89.729442970822276</v>
      </c>
      <c r="E707" s="3">
        <f t="shared" si="43"/>
        <v>-49.803480388661207</v>
      </c>
      <c r="F707" s="3">
        <v>-25</v>
      </c>
      <c r="G707">
        <v>16.751721316945201</v>
      </c>
      <c r="I707" s="3">
        <v>1938.5833333333301</v>
      </c>
      <c r="J707" s="3">
        <v>0</v>
      </c>
      <c r="K707" s="3">
        <v>9.4940580672341106</v>
      </c>
    </row>
    <row r="708" spans="1:11" ht="18" x14ac:dyDescent="0.25">
      <c r="A708" s="3">
        <v>2011.6666666666599</v>
      </c>
      <c r="B708" s="3">
        <f t="shared" si="40"/>
        <v>-73.729442970822276</v>
      </c>
      <c r="C708" s="3">
        <f t="shared" si="41"/>
        <v>-62.334831760042618</v>
      </c>
      <c r="D708" s="3">
        <f t="shared" si="42"/>
        <v>-73.729442970822276</v>
      </c>
      <c r="E708" s="3">
        <f t="shared" si="43"/>
        <v>-19.319401565025011</v>
      </c>
      <c r="F708" s="3">
        <v>-9</v>
      </c>
      <c r="G708">
        <v>47.235800140581397</v>
      </c>
      <c r="I708" s="3">
        <v>1938.6666666666599</v>
      </c>
      <c r="J708" s="3">
        <v>0</v>
      </c>
      <c r="K708" s="3">
        <v>82.936533117610594</v>
      </c>
    </row>
    <row r="709" spans="1:11" ht="18" x14ac:dyDescent="0.25">
      <c r="A709" s="3">
        <v>2011.75</v>
      </c>
      <c r="B709" s="3">
        <f t="shared" si="40"/>
        <v>-32.729442970822276</v>
      </c>
      <c r="C709" s="3">
        <f t="shared" si="41"/>
        <v>9.6124172072515233</v>
      </c>
      <c r="D709" s="3">
        <f t="shared" si="42"/>
        <v>-32.729442970822276</v>
      </c>
      <c r="E709" s="3">
        <f t="shared" si="43"/>
        <v>2.4769625219492895</v>
      </c>
      <c r="F709" s="3">
        <v>32</v>
      </c>
      <c r="G709">
        <v>69.032164227555697</v>
      </c>
      <c r="I709" s="3">
        <v>1938.75</v>
      </c>
      <c r="J709" s="3">
        <v>0</v>
      </c>
      <c r="K709" s="3">
        <v>122.60088081703699</v>
      </c>
    </row>
    <row r="710" spans="1:11" ht="18" x14ac:dyDescent="0.25">
      <c r="A710" s="3">
        <v>2011.8333333333301</v>
      </c>
      <c r="B710" s="3">
        <f t="shared" ref="B710:B758" si="44">+$D710</f>
        <v>10.270557029177724</v>
      </c>
      <c r="C710" s="3">
        <f t="shared" ref="C710:C758" si="45">$B$1*$E710/(1+$B$3*ABS($E710)^$B$2)</f>
        <v>44.48555385376077</v>
      </c>
      <c r="D710" s="3">
        <f t="shared" ref="D710:D758" si="46">+F710-$F$3</f>
        <v>10.270557029177724</v>
      </c>
      <c r="E710" s="3">
        <f t="shared" ref="E710:E758" si="47">+$G710-$G$3</f>
        <v>12.901779538280095</v>
      </c>
      <c r="F710" s="3">
        <v>75</v>
      </c>
      <c r="G710">
        <v>79.456981243886503</v>
      </c>
      <c r="I710" s="3">
        <v>1938.8333333333301</v>
      </c>
      <c r="J710" s="3">
        <v>0</v>
      </c>
      <c r="K710" s="3">
        <v>145.31980202412299</v>
      </c>
    </row>
    <row r="711" spans="1:11" ht="18" x14ac:dyDescent="0.25">
      <c r="A711" s="3">
        <v>2011.9166666666599</v>
      </c>
      <c r="B711" s="3">
        <f t="shared" si="44"/>
        <v>124.27055702917772</v>
      </c>
      <c r="C711" s="3">
        <f t="shared" si="45"/>
        <v>83.698639237081466</v>
      </c>
      <c r="D711" s="3">
        <f t="shared" si="46"/>
        <v>124.27055702917772</v>
      </c>
      <c r="E711" s="3">
        <f t="shared" si="47"/>
        <v>28.262671469708891</v>
      </c>
      <c r="F711" s="3">
        <v>189</v>
      </c>
      <c r="G711">
        <v>94.817873175315299</v>
      </c>
      <c r="I711" s="3">
        <v>1938.9166666666599</v>
      </c>
      <c r="J711" s="3">
        <v>0</v>
      </c>
      <c r="K711" s="3">
        <v>172.87199099982499</v>
      </c>
    </row>
    <row r="712" spans="1:11" ht="18" x14ac:dyDescent="0.25">
      <c r="A712" s="3">
        <v>2012</v>
      </c>
      <c r="B712" s="3">
        <f t="shared" si="44"/>
        <v>173.27055702917772</v>
      </c>
      <c r="C712" s="3">
        <f t="shared" si="45"/>
        <v>78.330765320451292</v>
      </c>
      <c r="D712" s="3">
        <f t="shared" si="46"/>
        <v>173.27055702917772</v>
      </c>
      <c r="E712" s="3">
        <f t="shared" si="47"/>
        <v>25.868294445714</v>
      </c>
      <c r="F712" s="3">
        <v>238</v>
      </c>
      <c r="G712">
        <v>92.423496151320407</v>
      </c>
      <c r="I712" s="3">
        <v>1939</v>
      </c>
      <c r="J712" s="3">
        <v>0</v>
      </c>
      <c r="K712" s="3">
        <v>183.92426011059101</v>
      </c>
    </row>
    <row r="713" spans="1:11" ht="18" x14ac:dyDescent="0.25">
      <c r="A713" s="3">
        <v>2012.0833333333301</v>
      </c>
      <c r="B713" s="3">
        <f t="shared" si="44"/>
        <v>173.27055702917772</v>
      </c>
      <c r="C713" s="3">
        <f t="shared" si="45"/>
        <v>21.64532518208815</v>
      </c>
      <c r="D713" s="3">
        <f t="shared" si="46"/>
        <v>173.27055702917772</v>
      </c>
      <c r="E713" s="3">
        <f t="shared" si="47"/>
        <v>5.8008252173345909</v>
      </c>
      <c r="F713" s="3">
        <v>238</v>
      </c>
      <c r="G713">
        <v>72.356026922940998</v>
      </c>
      <c r="I713" s="3">
        <v>1939.0833333333301</v>
      </c>
      <c r="J713" s="3">
        <v>0</v>
      </c>
      <c r="K713" s="3">
        <v>190.69354859058299</v>
      </c>
    </row>
    <row r="714" spans="1:11" ht="18" x14ac:dyDescent="0.25">
      <c r="A714" s="3">
        <v>2012.1666666666599</v>
      </c>
      <c r="B714" s="3">
        <f t="shared" si="44"/>
        <v>152.27055702917772</v>
      </c>
      <c r="C714" s="3">
        <f t="shared" si="45"/>
        <v>-44.23863383295884</v>
      </c>
      <c r="D714" s="3">
        <f t="shared" si="46"/>
        <v>152.27055702917772</v>
      </c>
      <c r="E714" s="3">
        <f t="shared" si="47"/>
        <v>-12.81877691970341</v>
      </c>
      <c r="F714" s="3">
        <v>217</v>
      </c>
      <c r="G714">
        <v>53.736424785902997</v>
      </c>
      <c r="I714" s="3">
        <v>1939.1666666666599</v>
      </c>
      <c r="J714" s="3">
        <v>0</v>
      </c>
      <c r="K714" s="3">
        <v>219.19420478358299</v>
      </c>
    </row>
    <row r="715" spans="1:11" ht="18" x14ac:dyDescent="0.25">
      <c r="A715" s="3">
        <v>2012.25</v>
      </c>
      <c r="B715" s="3">
        <f t="shared" si="44"/>
        <v>152.27055702917772</v>
      </c>
      <c r="C715" s="3">
        <f t="shared" si="45"/>
        <v>-82.512610078082304</v>
      </c>
      <c r="D715" s="3">
        <f t="shared" si="46"/>
        <v>152.27055702917772</v>
      </c>
      <c r="E715" s="3">
        <f t="shared" si="47"/>
        <v>-27.724411379440909</v>
      </c>
      <c r="F715" s="3">
        <v>217</v>
      </c>
      <c r="G715">
        <v>38.830790326165499</v>
      </c>
      <c r="I715" s="3">
        <v>1939.25</v>
      </c>
      <c r="J715" s="3">
        <v>0</v>
      </c>
      <c r="K715" s="3">
        <v>261.51806912866198</v>
      </c>
    </row>
    <row r="716" spans="1:11" ht="18" x14ac:dyDescent="0.25">
      <c r="A716" s="3">
        <v>2012.3333333333301</v>
      </c>
      <c r="B716" s="3">
        <f t="shared" si="44"/>
        <v>192.27055702917772</v>
      </c>
      <c r="C716" s="3">
        <f t="shared" si="45"/>
        <v>-10.024132355665172</v>
      </c>
      <c r="D716" s="3">
        <f t="shared" si="46"/>
        <v>192.27055702917772</v>
      </c>
      <c r="E716" s="3">
        <f t="shared" si="47"/>
        <v>-2.586459609967207</v>
      </c>
      <c r="F716" s="3">
        <v>257</v>
      </c>
      <c r="G716">
        <v>63.9687420956392</v>
      </c>
      <c r="I716" s="3">
        <v>1939.3333333333301</v>
      </c>
      <c r="J716" s="3">
        <v>0</v>
      </c>
      <c r="K716" s="3">
        <v>324.49047623428203</v>
      </c>
    </row>
    <row r="717" spans="1:11" ht="18" x14ac:dyDescent="0.25">
      <c r="A717" s="3">
        <v>2012.4166666666599</v>
      </c>
      <c r="B717" s="3">
        <f t="shared" si="44"/>
        <v>241.27055702917772</v>
      </c>
      <c r="C717" s="3">
        <f t="shared" si="45"/>
        <v>148.18759597679139</v>
      </c>
      <c r="D717" s="3">
        <f t="shared" si="46"/>
        <v>241.27055702917772</v>
      </c>
      <c r="E717" s="3">
        <f t="shared" si="47"/>
        <v>68.565145053892593</v>
      </c>
      <c r="F717" s="3">
        <v>306</v>
      </c>
      <c r="G717">
        <v>135.120346759499</v>
      </c>
      <c r="I717" s="3">
        <v>1939.4166666666599</v>
      </c>
      <c r="J717" s="3">
        <v>0</v>
      </c>
      <c r="K717" s="3">
        <v>381.07544123862402</v>
      </c>
    </row>
    <row r="718" spans="1:11" ht="18" x14ac:dyDescent="0.25">
      <c r="A718" s="3">
        <v>2012.5</v>
      </c>
      <c r="B718" s="3">
        <f t="shared" si="44"/>
        <v>260.27055702917772</v>
      </c>
      <c r="C718" s="3">
        <f t="shared" si="45"/>
        <v>193.18981072746493</v>
      </c>
      <c r="D718" s="3">
        <f t="shared" si="46"/>
        <v>260.27055702917772</v>
      </c>
      <c r="E718" s="3">
        <f t="shared" si="47"/>
        <v>120.52719122776358</v>
      </c>
      <c r="F718" s="3">
        <v>325</v>
      </c>
      <c r="G718">
        <v>187.08239293336999</v>
      </c>
      <c r="I718" s="3">
        <v>1939.5</v>
      </c>
      <c r="J718" s="3">
        <v>0</v>
      </c>
      <c r="K718" s="3">
        <v>366.40587594351899</v>
      </c>
    </row>
    <row r="719" spans="1:11" ht="18" x14ac:dyDescent="0.25">
      <c r="A719" s="3">
        <v>2012.5833333333301</v>
      </c>
      <c r="B719" s="3">
        <f t="shared" si="44"/>
        <v>261.27055702917772</v>
      </c>
      <c r="C719" s="3">
        <f t="shared" si="45"/>
        <v>201.51436870403637</v>
      </c>
      <c r="D719" s="3">
        <f t="shared" si="46"/>
        <v>261.27055702917772</v>
      </c>
      <c r="E719" s="3">
        <f t="shared" si="47"/>
        <v>134.38045421483361</v>
      </c>
      <c r="F719" s="3">
        <v>326</v>
      </c>
      <c r="G719">
        <v>200.93565592044001</v>
      </c>
      <c r="I719" s="3">
        <v>1939.5833333333301</v>
      </c>
      <c r="J719" s="3">
        <v>0</v>
      </c>
      <c r="K719" s="3">
        <v>292.91128456693599</v>
      </c>
    </row>
    <row r="720" spans="1:11" ht="18" x14ac:dyDescent="0.25">
      <c r="A720" s="3">
        <v>2012.6666666666599</v>
      </c>
      <c r="B720" s="3">
        <f t="shared" si="44"/>
        <v>266.27055702917772</v>
      </c>
      <c r="C720" s="3">
        <f t="shared" si="45"/>
        <v>200.97676488380998</v>
      </c>
      <c r="D720" s="3">
        <f t="shared" si="46"/>
        <v>266.27055702917772</v>
      </c>
      <c r="E720" s="3">
        <f t="shared" si="47"/>
        <v>133.42841486443459</v>
      </c>
      <c r="F720" s="3">
        <v>331</v>
      </c>
      <c r="G720">
        <v>199.98361657004099</v>
      </c>
      <c r="I720" s="3">
        <v>1939.6666666666599</v>
      </c>
      <c r="J720" s="3">
        <v>0</v>
      </c>
      <c r="K720" s="3">
        <v>210.450303823442</v>
      </c>
    </row>
    <row r="721" spans="1:11" ht="18" x14ac:dyDescent="0.25">
      <c r="A721" s="3">
        <v>2012.75</v>
      </c>
      <c r="B721" s="3">
        <f t="shared" si="44"/>
        <v>271.27055702917772</v>
      </c>
      <c r="C721" s="3">
        <f t="shared" si="45"/>
        <v>197.00154639836362</v>
      </c>
      <c r="D721" s="3">
        <f t="shared" si="46"/>
        <v>271.27055702917772</v>
      </c>
      <c r="E721" s="3">
        <f t="shared" si="47"/>
        <v>126.64213066224559</v>
      </c>
      <c r="F721" s="3">
        <v>336</v>
      </c>
      <c r="G721">
        <v>193.197332367852</v>
      </c>
      <c r="I721" s="3">
        <v>1939.75</v>
      </c>
      <c r="J721" s="3">
        <v>0</v>
      </c>
      <c r="K721" s="3">
        <v>139.024266818428</v>
      </c>
    </row>
    <row r="722" spans="1:11" ht="18" x14ac:dyDescent="0.25">
      <c r="A722" s="3">
        <v>2012.8333333333301</v>
      </c>
      <c r="B722" s="3">
        <f t="shared" si="44"/>
        <v>270.27055702917772</v>
      </c>
      <c r="C722" s="3">
        <f t="shared" si="45"/>
        <v>198.73226843682181</v>
      </c>
      <c r="D722" s="3">
        <f t="shared" si="46"/>
        <v>270.27055702917772</v>
      </c>
      <c r="E722" s="3">
        <f t="shared" si="47"/>
        <v>129.54309074757359</v>
      </c>
      <c r="F722" s="3">
        <v>335</v>
      </c>
      <c r="G722">
        <v>196.09829245317999</v>
      </c>
      <c r="I722" s="3">
        <v>1939.8333333333301</v>
      </c>
      <c r="J722" s="3">
        <v>0</v>
      </c>
      <c r="K722" s="3">
        <v>92.957266454125701</v>
      </c>
    </row>
    <row r="723" spans="1:11" ht="18" x14ac:dyDescent="0.25">
      <c r="A723" s="3">
        <v>2012.9166666666599</v>
      </c>
      <c r="B723" s="3">
        <f t="shared" si="44"/>
        <v>270.27055702917772</v>
      </c>
      <c r="C723" s="3">
        <f t="shared" si="45"/>
        <v>193.58146658962332</v>
      </c>
      <c r="D723" s="3">
        <f t="shared" si="46"/>
        <v>270.27055702917772</v>
      </c>
      <c r="E723" s="3">
        <f t="shared" si="47"/>
        <v>121.1388158913426</v>
      </c>
      <c r="F723" s="3">
        <v>335</v>
      </c>
      <c r="G723">
        <v>187.69401759694901</v>
      </c>
      <c r="I723" s="3">
        <v>1939.9166666666599</v>
      </c>
      <c r="J723" s="3">
        <v>0</v>
      </c>
      <c r="K723" s="3">
        <v>47.7199269138112</v>
      </c>
    </row>
    <row r="724" spans="1:11" ht="18" x14ac:dyDescent="0.25">
      <c r="A724" s="3">
        <v>2013</v>
      </c>
      <c r="B724" s="3">
        <f t="shared" si="44"/>
        <v>96.270557029177724</v>
      </c>
      <c r="C724" s="3">
        <f t="shared" si="45"/>
        <v>151.80142523794083</v>
      </c>
      <c r="D724" s="3">
        <f t="shared" si="46"/>
        <v>96.270557029177724</v>
      </c>
      <c r="E724" s="3">
        <f t="shared" si="47"/>
        <v>71.725355682351591</v>
      </c>
      <c r="F724" s="3">
        <v>161</v>
      </c>
      <c r="G724">
        <v>138.280557387958</v>
      </c>
      <c r="I724" s="3">
        <v>1940</v>
      </c>
      <c r="J724" s="3">
        <v>0</v>
      </c>
      <c r="K724" s="3">
        <v>-20.702088770515299</v>
      </c>
    </row>
    <row r="725" spans="1:11" ht="18" x14ac:dyDescent="0.25">
      <c r="A725" s="3">
        <v>2013.0833333333301</v>
      </c>
      <c r="B725" s="3">
        <f t="shared" si="44"/>
        <v>-17.729442970822276</v>
      </c>
      <c r="C725" s="3">
        <f t="shared" si="45"/>
        <v>64.056442166837101</v>
      </c>
      <c r="D725" s="3">
        <f t="shared" si="46"/>
        <v>-17.729442970822276</v>
      </c>
      <c r="E725" s="3">
        <f t="shared" si="47"/>
        <v>19.985296213648297</v>
      </c>
      <c r="F725" s="3">
        <v>47</v>
      </c>
      <c r="G725">
        <v>86.540497919254705</v>
      </c>
      <c r="I725" s="3">
        <v>1940.0833333333301</v>
      </c>
      <c r="J725" s="3">
        <v>0</v>
      </c>
      <c r="K725" s="3">
        <v>-76.874388188501399</v>
      </c>
    </row>
    <row r="726" spans="1:11" ht="18" x14ac:dyDescent="0.25">
      <c r="A726" s="3">
        <v>2013.1666666666599</v>
      </c>
      <c r="B726" s="3">
        <f t="shared" si="44"/>
        <v>-82.729442970822276</v>
      </c>
      <c r="C726" s="3">
        <f t="shared" si="45"/>
        <v>-36.273991404124779</v>
      </c>
      <c r="D726" s="3">
        <f t="shared" si="46"/>
        <v>-82.729442970822276</v>
      </c>
      <c r="E726" s="3">
        <f t="shared" si="47"/>
        <v>-10.218293045405204</v>
      </c>
      <c r="F726" s="3">
        <v>-18</v>
      </c>
      <c r="G726">
        <v>56.336908660201203</v>
      </c>
      <c r="I726" s="3">
        <v>1940.1666666666599</v>
      </c>
      <c r="J726" s="3">
        <v>0</v>
      </c>
      <c r="K726" s="3">
        <v>-117.35475129628701</v>
      </c>
    </row>
    <row r="727" spans="1:11" ht="18" x14ac:dyDescent="0.25">
      <c r="A727" s="3">
        <v>2013.25</v>
      </c>
      <c r="B727" s="3">
        <f t="shared" si="44"/>
        <v>-153.72944297082228</v>
      </c>
      <c r="C727" s="3">
        <f t="shared" si="45"/>
        <v>-94.429970349518285</v>
      </c>
      <c r="D727" s="3">
        <f t="shared" si="46"/>
        <v>-153.72944297082228</v>
      </c>
      <c r="E727" s="3">
        <f t="shared" si="47"/>
        <v>-33.387543325573304</v>
      </c>
      <c r="F727" s="3">
        <v>-89</v>
      </c>
      <c r="G727">
        <v>33.167658380033103</v>
      </c>
      <c r="I727" s="3">
        <v>1940.25</v>
      </c>
      <c r="J727" s="3">
        <v>0</v>
      </c>
      <c r="K727" s="3">
        <v>-165.374512929096</v>
      </c>
    </row>
    <row r="728" spans="1:11" ht="18" x14ac:dyDescent="0.25">
      <c r="A728" s="3">
        <v>2013.3333333333301</v>
      </c>
      <c r="B728" s="3">
        <f t="shared" si="44"/>
        <v>-166.72944297082228</v>
      </c>
      <c r="C728" s="3">
        <f t="shared" si="45"/>
        <v>-109.56301688543493</v>
      </c>
      <c r="D728" s="3">
        <f t="shared" si="46"/>
        <v>-166.72944297082228</v>
      </c>
      <c r="E728" s="3">
        <f t="shared" si="47"/>
        <v>-41.492868609364209</v>
      </c>
      <c r="F728" s="3">
        <v>-102</v>
      </c>
      <c r="G728">
        <v>25.062333096242199</v>
      </c>
      <c r="I728" s="3">
        <v>1940.3333333333301</v>
      </c>
      <c r="J728" s="3">
        <v>0</v>
      </c>
      <c r="K728" s="3">
        <v>-199.09916594055801</v>
      </c>
    </row>
    <row r="729" spans="1:11" ht="18" x14ac:dyDescent="0.25">
      <c r="A729" s="3">
        <v>2013.4166666666599</v>
      </c>
      <c r="B729" s="3">
        <f t="shared" si="44"/>
        <v>-173.72944297082228</v>
      </c>
      <c r="C729" s="3">
        <f t="shared" si="45"/>
        <v>-127.02295689499883</v>
      </c>
      <c r="D729" s="3">
        <f t="shared" si="46"/>
        <v>-173.72944297082228</v>
      </c>
      <c r="E729" s="3">
        <f t="shared" si="47"/>
        <v>-52.404782229072708</v>
      </c>
      <c r="F729" s="3">
        <v>-109</v>
      </c>
      <c r="G729">
        <v>14.150419476533701</v>
      </c>
      <c r="I729" s="3">
        <v>1940.4166666666599</v>
      </c>
      <c r="J729" s="3">
        <v>0</v>
      </c>
      <c r="K729" s="3">
        <v>-213.80895676829101</v>
      </c>
    </row>
    <row r="730" spans="1:11" ht="18" x14ac:dyDescent="0.25">
      <c r="A730" s="3">
        <v>2013.5</v>
      </c>
      <c r="B730" s="3">
        <f t="shared" si="44"/>
        <v>-211.72944297082228</v>
      </c>
      <c r="C730" s="3">
        <f t="shared" si="45"/>
        <v>-165.62408728788469</v>
      </c>
      <c r="D730" s="3">
        <f t="shared" si="46"/>
        <v>-211.72944297082228</v>
      </c>
      <c r="E730" s="3">
        <f t="shared" si="47"/>
        <v>-85.157595430123507</v>
      </c>
      <c r="F730" s="3">
        <v>-147</v>
      </c>
      <c r="G730">
        <v>-18.6023937245171</v>
      </c>
      <c r="I730" s="3">
        <v>1940.5</v>
      </c>
      <c r="J730" s="3">
        <v>0</v>
      </c>
      <c r="K730" s="3">
        <v>-215.747804896471</v>
      </c>
    </row>
    <row r="731" spans="1:11" ht="18" x14ac:dyDescent="0.25">
      <c r="A731" s="3">
        <v>2013.5833333333301</v>
      </c>
      <c r="B731" s="3">
        <f t="shared" si="44"/>
        <v>-211.72944297082228</v>
      </c>
      <c r="C731" s="3">
        <f t="shared" si="45"/>
        <v>-183.9642899461505</v>
      </c>
      <c r="D731" s="3">
        <f t="shared" si="46"/>
        <v>-211.72944297082228</v>
      </c>
      <c r="E731" s="3">
        <f t="shared" si="47"/>
        <v>-107.12134619024201</v>
      </c>
      <c r="F731" s="3">
        <v>-147</v>
      </c>
      <c r="G731">
        <v>-40.566144484635601</v>
      </c>
      <c r="I731" s="3">
        <v>1940.5833333333301</v>
      </c>
      <c r="J731" s="3">
        <v>0</v>
      </c>
      <c r="K731" s="3">
        <v>-188.246334700067</v>
      </c>
    </row>
    <row r="732" spans="1:11" ht="18" x14ac:dyDescent="0.25">
      <c r="A732" s="3">
        <v>2013.6666666666599</v>
      </c>
      <c r="B732" s="3">
        <f t="shared" si="44"/>
        <v>-203.72944297082228</v>
      </c>
      <c r="C732" s="3">
        <f t="shared" si="45"/>
        <v>-188.5772749467618</v>
      </c>
      <c r="D732" s="3">
        <f t="shared" si="46"/>
        <v>-203.72944297082228</v>
      </c>
      <c r="E732" s="3">
        <f t="shared" si="47"/>
        <v>-113.5934972003553</v>
      </c>
      <c r="F732" s="3">
        <v>-139</v>
      </c>
      <c r="G732">
        <v>-47.038295494748901</v>
      </c>
      <c r="I732" s="3">
        <v>1940.6666666666599</v>
      </c>
      <c r="J732" s="3">
        <v>0</v>
      </c>
      <c r="K732" s="3">
        <v>-151.96219976818401</v>
      </c>
    </row>
    <row r="733" spans="1:11" ht="18" x14ac:dyDescent="0.25">
      <c r="A733" s="3">
        <v>2013.75</v>
      </c>
      <c r="B733" s="3">
        <f t="shared" si="44"/>
        <v>-186.72944297082228</v>
      </c>
      <c r="C733" s="3">
        <f t="shared" si="45"/>
        <v>-193.32686718707458</v>
      </c>
      <c r="D733" s="3">
        <f t="shared" si="46"/>
        <v>-186.72944297082228</v>
      </c>
      <c r="E733" s="3">
        <f t="shared" si="47"/>
        <v>-120.74080151323541</v>
      </c>
      <c r="F733" s="3">
        <v>-122</v>
      </c>
      <c r="G733">
        <v>-54.185599807629004</v>
      </c>
      <c r="I733" s="3">
        <v>1940.75</v>
      </c>
      <c r="J733" s="3">
        <v>0</v>
      </c>
      <c r="K733" s="3">
        <v>-123.196700524511</v>
      </c>
    </row>
    <row r="734" spans="1:11" ht="18" x14ac:dyDescent="0.25">
      <c r="A734" s="3">
        <v>2013.8333333333301</v>
      </c>
      <c r="B734" s="3">
        <f t="shared" si="44"/>
        <v>-183.72944297082228</v>
      </c>
      <c r="C734" s="3">
        <f t="shared" si="45"/>
        <v>-194.95421429071402</v>
      </c>
      <c r="D734" s="3">
        <f t="shared" si="46"/>
        <v>-183.72944297082228</v>
      </c>
      <c r="E734" s="3">
        <f t="shared" si="47"/>
        <v>-123.31223665753541</v>
      </c>
      <c r="F734" s="3">
        <v>-119</v>
      </c>
      <c r="G734">
        <v>-56.757034951929</v>
      </c>
      <c r="I734" s="3">
        <v>1940.8333333333301</v>
      </c>
      <c r="J734" s="3">
        <v>0</v>
      </c>
      <c r="K734" s="3">
        <v>-82.747831411772594</v>
      </c>
    </row>
    <row r="735" spans="1:11" ht="18" x14ac:dyDescent="0.25">
      <c r="A735" s="3">
        <v>2013.9166666666599</v>
      </c>
      <c r="B735" s="3">
        <f t="shared" si="44"/>
        <v>-182.72944297082228</v>
      </c>
      <c r="C735" s="3">
        <f t="shared" si="45"/>
        <v>-204.36100108362459</v>
      </c>
      <c r="D735" s="3">
        <f t="shared" si="46"/>
        <v>-182.72944297082228</v>
      </c>
      <c r="E735" s="3">
        <f t="shared" si="47"/>
        <v>-139.56610664592441</v>
      </c>
      <c r="F735" s="3">
        <v>-118</v>
      </c>
      <c r="G735">
        <v>-73.010904940317999</v>
      </c>
      <c r="I735" s="3">
        <v>1940.9166666666599</v>
      </c>
      <c r="J735" s="3">
        <v>0</v>
      </c>
      <c r="K735" s="3">
        <v>-43.384752343180402</v>
      </c>
    </row>
    <row r="736" spans="1:11" ht="18" x14ac:dyDescent="0.25">
      <c r="A736" s="3">
        <v>2014</v>
      </c>
      <c r="B736" s="3">
        <f t="shared" si="44"/>
        <v>-182.72944297082228</v>
      </c>
      <c r="C736" s="3">
        <f t="shared" si="45"/>
        <v>-217.31582632450383</v>
      </c>
      <c r="D736" s="3">
        <f t="shared" si="46"/>
        <v>-182.72944297082228</v>
      </c>
      <c r="E736" s="3">
        <f t="shared" si="47"/>
        <v>-166.71534960930842</v>
      </c>
      <c r="F736" s="3">
        <v>-118</v>
      </c>
      <c r="G736">
        <v>-100.160147903702</v>
      </c>
      <c r="I736" s="3">
        <v>1941</v>
      </c>
      <c r="J736" s="3">
        <v>0</v>
      </c>
      <c r="K736" s="3">
        <v>-8.0857261838124899</v>
      </c>
    </row>
    <row r="737" spans="1:11" ht="18" x14ac:dyDescent="0.25">
      <c r="A737" s="3">
        <v>2014.0833333333301</v>
      </c>
      <c r="B737" s="3">
        <f t="shared" si="44"/>
        <v>-190.72944297082228</v>
      </c>
      <c r="C737" s="3">
        <f t="shared" si="45"/>
        <v>-220.05915522706897</v>
      </c>
      <c r="D737" s="3">
        <f t="shared" si="46"/>
        <v>-190.72944297082228</v>
      </c>
      <c r="E737" s="3">
        <f t="shared" si="47"/>
        <v>-173.34664067409241</v>
      </c>
      <c r="F737" s="3">
        <v>-126</v>
      </c>
      <c r="G737">
        <v>-106.79143896848601</v>
      </c>
      <c r="I737" s="3">
        <v>1941.0833333333301</v>
      </c>
      <c r="J737" s="3">
        <v>0</v>
      </c>
      <c r="K737" s="3">
        <v>41.254304555502003</v>
      </c>
    </row>
    <row r="738" spans="1:11" ht="18" x14ac:dyDescent="0.25">
      <c r="A738" s="3">
        <v>2014.1666666666599</v>
      </c>
      <c r="B738" s="3">
        <f t="shared" si="44"/>
        <v>-190.72944297082228</v>
      </c>
      <c r="C738" s="3">
        <f t="shared" si="45"/>
        <v>-221.07419618222718</v>
      </c>
      <c r="D738" s="3">
        <f t="shared" si="46"/>
        <v>-190.72944297082228</v>
      </c>
      <c r="E738" s="3">
        <f t="shared" si="47"/>
        <v>-175.89127741623841</v>
      </c>
      <c r="F738" s="3">
        <v>-126</v>
      </c>
      <c r="G738">
        <v>-109.336075710632</v>
      </c>
      <c r="I738" s="3">
        <v>1941.1666666666599</v>
      </c>
      <c r="J738" s="3">
        <v>0</v>
      </c>
      <c r="K738" s="3">
        <v>85.253423739001704</v>
      </c>
    </row>
    <row r="739" spans="1:11" ht="18" x14ac:dyDescent="0.25">
      <c r="A739" s="3">
        <v>2014.25</v>
      </c>
      <c r="B739" s="3">
        <f t="shared" si="44"/>
        <v>-177.72944297082228</v>
      </c>
      <c r="C739" s="3">
        <f t="shared" si="45"/>
        <v>-219.28309885146123</v>
      </c>
      <c r="D739" s="3">
        <f t="shared" si="46"/>
        <v>-177.72944297082228</v>
      </c>
      <c r="E739" s="3">
        <f t="shared" si="47"/>
        <v>-171.43492460053741</v>
      </c>
      <c r="F739" s="3">
        <v>-113</v>
      </c>
      <c r="G739">
        <v>-104.87972289493101</v>
      </c>
      <c r="I739" s="3">
        <v>1941.25</v>
      </c>
      <c r="J739" s="3">
        <v>0</v>
      </c>
      <c r="K739" s="3">
        <v>135.148894022517</v>
      </c>
    </row>
    <row r="740" spans="1:11" ht="18" x14ac:dyDescent="0.25">
      <c r="A740" s="3">
        <v>2014.3333333333301</v>
      </c>
      <c r="B740" s="3">
        <f t="shared" si="44"/>
        <v>-152.72944297082228</v>
      </c>
      <c r="C740" s="3">
        <f t="shared" si="45"/>
        <v>-190.96582002732018</v>
      </c>
      <c r="D740" s="3">
        <f t="shared" si="46"/>
        <v>-152.72944297082228</v>
      </c>
      <c r="E740" s="3">
        <f t="shared" si="47"/>
        <v>-117.12325611688522</v>
      </c>
      <c r="F740" s="3">
        <v>-88</v>
      </c>
      <c r="G740">
        <v>-50.568054411278801</v>
      </c>
      <c r="I740" s="3">
        <v>1941.3333333333301</v>
      </c>
      <c r="J740" s="3">
        <v>0</v>
      </c>
      <c r="K740" s="3">
        <v>225.82777935447899</v>
      </c>
    </row>
    <row r="741" spans="1:11" ht="18" x14ac:dyDescent="0.25">
      <c r="A741" s="3">
        <v>2014.4166666666599</v>
      </c>
      <c r="B741" s="3">
        <f t="shared" si="44"/>
        <v>66.270557029177724</v>
      </c>
      <c r="C741" s="3">
        <f t="shared" si="45"/>
        <v>-80.913696125555077</v>
      </c>
      <c r="D741" s="3">
        <f t="shared" si="46"/>
        <v>66.270557029177724</v>
      </c>
      <c r="E741" s="3">
        <f t="shared" si="47"/>
        <v>-27.007139764333708</v>
      </c>
      <c r="F741" s="3">
        <v>131</v>
      </c>
      <c r="G741">
        <v>39.548061941272699</v>
      </c>
      <c r="I741" s="3">
        <v>1941.4166666666599</v>
      </c>
      <c r="J741" s="3">
        <v>0</v>
      </c>
      <c r="K741" s="3">
        <v>323.13021350172102</v>
      </c>
    </row>
    <row r="742" spans="1:11" ht="18" x14ac:dyDescent="0.25">
      <c r="A742" s="3">
        <v>2014.5</v>
      </c>
      <c r="B742" s="3">
        <f t="shared" si="44"/>
        <v>193.27055702917772</v>
      </c>
      <c r="C742" s="3">
        <f t="shared" si="45"/>
        <v>140.57784286110947</v>
      </c>
      <c r="D742" s="3">
        <f t="shared" si="46"/>
        <v>193.27055702917772</v>
      </c>
      <c r="E742" s="3">
        <f t="shared" si="47"/>
        <v>62.3214356820136</v>
      </c>
      <c r="F742" s="3">
        <v>258</v>
      </c>
      <c r="G742">
        <v>128.87663738762001</v>
      </c>
      <c r="I742" s="3">
        <v>1941.5</v>
      </c>
      <c r="J742" s="3">
        <v>0</v>
      </c>
      <c r="K742" s="3">
        <v>384.91105300360198</v>
      </c>
    </row>
    <row r="743" spans="1:11" ht="18" x14ac:dyDescent="0.25">
      <c r="A743" s="3">
        <v>2014.5833333333301</v>
      </c>
      <c r="B743" s="3">
        <f t="shared" si="44"/>
        <v>230.27055702917772</v>
      </c>
      <c r="C743" s="3">
        <f t="shared" si="45"/>
        <v>196.73848904525883</v>
      </c>
      <c r="D743" s="3">
        <f t="shared" si="46"/>
        <v>230.27055702917772</v>
      </c>
      <c r="E743" s="3">
        <f t="shared" si="47"/>
        <v>126.20820307427059</v>
      </c>
      <c r="F743" s="3">
        <v>295</v>
      </c>
      <c r="G743">
        <v>192.76340477987699</v>
      </c>
      <c r="I743" s="3">
        <v>1941.5833333333301</v>
      </c>
      <c r="J743" s="3">
        <v>0</v>
      </c>
      <c r="K743" s="3">
        <v>400.81040222984899</v>
      </c>
    </row>
    <row r="744" spans="1:11" ht="18" x14ac:dyDescent="0.25">
      <c r="A744" s="3">
        <v>2014.6666666666599</v>
      </c>
      <c r="B744" s="3">
        <f t="shared" si="44"/>
        <v>242.27055702917772</v>
      </c>
      <c r="C744" s="3">
        <f t="shared" si="45"/>
        <v>204.39671167842889</v>
      </c>
      <c r="D744" s="3">
        <f t="shared" si="46"/>
        <v>242.27055702917772</v>
      </c>
      <c r="E744" s="3">
        <f t="shared" si="47"/>
        <v>139.63274931798961</v>
      </c>
      <c r="F744" s="3">
        <v>307</v>
      </c>
      <c r="G744">
        <v>206.18795102359601</v>
      </c>
      <c r="I744" s="3">
        <v>1941.6666666666599</v>
      </c>
      <c r="J744" s="3">
        <v>0</v>
      </c>
      <c r="K744" s="3">
        <v>372.967026376712</v>
      </c>
    </row>
    <row r="745" spans="1:11" ht="18" x14ac:dyDescent="0.25">
      <c r="A745" s="3">
        <v>2014.75</v>
      </c>
      <c r="B745" s="3">
        <f t="shared" si="44"/>
        <v>252.27055702917772</v>
      </c>
      <c r="C745" s="3">
        <f t="shared" si="45"/>
        <v>202.1649424767196</v>
      </c>
      <c r="D745" s="3">
        <f t="shared" si="46"/>
        <v>252.27055702917772</v>
      </c>
      <c r="E745" s="3">
        <f t="shared" si="47"/>
        <v>135.5439394760806</v>
      </c>
      <c r="F745" s="3">
        <v>317</v>
      </c>
      <c r="G745">
        <v>202.099141181687</v>
      </c>
      <c r="I745" s="3">
        <v>1941.75</v>
      </c>
      <c r="J745" s="3">
        <v>0</v>
      </c>
      <c r="K745" s="3">
        <v>348.96604166704901</v>
      </c>
    </row>
    <row r="746" spans="1:11" ht="18" x14ac:dyDescent="0.25">
      <c r="A746" s="3">
        <v>2014.8333333333301</v>
      </c>
      <c r="B746" s="3">
        <f t="shared" si="44"/>
        <v>252.27055702917772</v>
      </c>
      <c r="C746" s="3">
        <f t="shared" si="45"/>
        <v>210.44522557371633</v>
      </c>
      <c r="D746" s="3">
        <f t="shared" si="46"/>
        <v>252.27055702917772</v>
      </c>
      <c r="E746" s="3">
        <f t="shared" si="47"/>
        <v>151.53401384798158</v>
      </c>
      <c r="F746" s="3">
        <v>317</v>
      </c>
      <c r="G746">
        <v>218.08921555358799</v>
      </c>
      <c r="I746" s="3">
        <v>1941.8333333333301</v>
      </c>
      <c r="J746" s="3">
        <v>0</v>
      </c>
      <c r="K746" s="3">
        <v>348.04455166420502</v>
      </c>
    </row>
    <row r="747" spans="1:11" ht="18" x14ac:dyDescent="0.25">
      <c r="A747" s="3">
        <v>2014.9166666666599</v>
      </c>
      <c r="B747" s="3">
        <f t="shared" si="44"/>
        <v>247.27055702917772</v>
      </c>
      <c r="C747" s="3">
        <f t="shared" si="45"/>
        <v>215.12845945791958</v>
      </c>
      <c r="D747" s="3">
        <f t="shared" si="46"/>
        <v>247.27055702917772</v>
      </c>
      <c r="E747" s="3">
        <f t="shared" si="47"/>
        <v>161.67105709168058</v>
      </c>
      <c r="F747" s="3">
        <v>312</v>
      </c>
      <c r="G747">
        <v>228.22625879728699</v>
      </c>
      <c r="I747" s="3">
        <v>1941.9166666666599</v>
      </c>
      <c r="J747" s="3">
        <v>0</v>
      </c>
      <c r="K747" s="3">
        <v>320.26911963576498</v>
      </c>
    </row>
    <row r="748" spans="1:11" ht="18" x14ac:dyDescent="0.25">
      <c r="A748" s="3">
        <v>2015</v>
      </c>
      <c r="B748" s="3">
        <f t="shared" si="44"/>
        <v>222.27055702917772</v>
      </c>
      <c r="C748" s="3">
        <f t="shared" si="45"/>
        <v>215.94534593253076</v>
      </c>
      <c r="D748" s="3">
        <f t="shared" si="46"/>
        <v>222.27055702917772</v>
      </c>
      <c r="E748" s="3">
        <f t="shared" si="47"/>
        <v>163.53062202376159</v>
      </c>
      <c r="F748" s="3">
        <v>287</v>
      </c>
      <c r="G748">
        <v>230.085823729368</v>
      </c>
      <c r="I748" s="3">
        <v>1942</v>
      </c>
      <c r="J748" s="3">
        <v>0</v>
      </c>
      <c r="K748" s="3">
        <v>258.96935015006198</v>
      </c>
    </row>
    <row r="749" spans="1:11" ht="18" x14ac:dyDescent="0.25">
      <c r="A749" s="3">
        <v>2015.0833333333301</v>
      </c>
      <c r="B749" s="3">
        <f t="shared" si="44"/>
        <v>222.27055702917772</v>
      </c>
      <c r="C749" s="3">
        <f t="shared" si="45"/>
        <v>220.11925458513363</v>
      </c>
      <c r="D749" s="3">
        <f t="shared" si="46"/>
        <v>222.27055702917772</v>
      </c>
      <c r="E749" s="3">
        <f t="shared" si="47"/>
        <v>173.4958984588776</v>
      </c>
      <c r="F749" s="3">
        <v>287</v>
      </c>
      <c r="G749">
        <v>240.05110016448401</v>
      </c>
      <c r="I749" s="3">
        <v>1942.0833333333301</v>
      </c>
      <c r="J749" s="3">
        <v>0</v>
      </c>
      <c r="K749" s="3">
        <v>186.90550974943699</v>
      </c>
    </row>
    <row r="750" spans="1:11" ht="18" x14ac:dyDescent="0.25">
      <c r="A750" s="3">
        <v>2015.1666666666599</v>
      </c>
      <c r="B750" s="3">
        <f t="shared" si="44"/>
        <v>230.27055702917772</v>
      </c>
      <c r="C750" s="3">
        <f t="shared" si="45"/>
        <v>223.47536601341048</v>
      </c>
      <c r="D750" s="3">
        <f t="shared" si="46"/>
        <v>230.27055702917772</v>
      </c>
      <c r="E750" s="3">
        <f t="shared" si="47"/>
        <v>182.11878410603259</v>
      </c>
      <c r="F750" s="3">
        <v>295</v>
      </c>
      <c r="G750">
        <v>248.673985811639</v>
      </c>
      <c r="I750" s="3">
        <v>1942.1666666666599</v>
      </c>
      <c r="J750" s="3">
        <v>0</v>
      </c>
      <c r="K750" s="3">
        <v>104.266487883507</v>
      </c>
    </row>
    <row r="751" spans="1:11" ht="18" x14ac:dyDescent="0.25">
      <c r="A751" s="3">
        <v>2015.25</v>
      </c>
      <c r="B751" s="3">
        <f t="shared" si="44"/>
        <v>246.27055702917772</v>
      </c>
      <c r="C751" s="3">
        <f t="shared" si="45"/>
        <v>231.66086582491715</v>
      </c>
      <c r="D751" s="3">
        <f t="shared" si="46"/>
        <v>246.27055702917772</v>
      </c>
      <c r="E751" s="3">
        <f t="shared" si="47"/>
        <v>205.82583239538059</v>
      </c>
      <c r="F751" s="3">
        <v>311</v>
      </c>
      <c r="G751">
        <v>272.38103410098699</v>
      </c>
      <c r="I751" s="3">
        <v>1942.25</v>
      </c>
      <c r="J751" s="3">
        <v>0</v>
      </c>
      <c r="K751" s="3">
        <v>35.1905047778545</v>
      </c>
    </row>
    <row r="752" spans="1:11" ht="18" x14ac:dyDescent="0.25">
      <c r="A752" s="3">
        <v>2015.3333333333301</v>
      </c>
      <c r="B752" s="3">
        <f t="shared" si="44"/>
        <v>246.27055702917772</v>
      </c>
      <c r="C752" s="3">
        <f t="shared" si="45"/>
        <v>240.86169013304357</v>
      </c>
      <c r="D752" s="3">
        <f t="shared" si="46"/>
        <v>246.27055702917772</v>
      </c>
      <c r="E752" s="3">
        <f t="shared" si="47"/>
        <v>238.15770350425259</v>
      </c>
      <c r="F752" s="3">
        <v>311</v>
      </c>
      <c r="G752">
        <v>304.712905209859</v>
      </c>
      <c r="I752" s="3">
        <v>1942.3333333333301</v>
      </c>
      <c r="J752" s="3">
        <v>0</v>
      </c>
      <c r="K752" s="3">
        <v>-16.510889248542099</v>
      </c>
    </row>
    <row r="753" spans="1:11" ht="18" x14ac:dyDescent="0.25">
      <c r="A753" s="3">
        <v>2015.4166666666599</v>
      </c>
      <c r="B753" s="3">
        <f t="shared" si="44"/>
        <v>75.270557029177724</v>
      </c>
      <c r="C753" s="3">
        <f t="shared" si="45"/>
        <v>237.61139798754166</v>
      </c>
      <c r="D753" s="3">
        <f t="shared" si="46"/>
        <v>75.270557029177724</v>
      </c>
      <c r="E753" s="3">
        <f t="shared" si="47"/>
        <v>225.93424542072557</v>
      </c>
      <c r="F753" s="3">
        <v>140</v>
      </c>
      <c r="G753">
        <v>292.48944712633198</v>
      </c>
      <c r="I753" s="3">
        <v>1942.4166666666599</v>
      </c>
      <c r="J753" s="3">
        <v>0</v>
      </c>
      <c r="K753" s="3">
        <v>-76.069823444533</v>
      </c>
    </row>
    <row r="754" spans="1:11" ht="18" x14ac:dyDescent="0.25">
      <c r="A754" s="3">
        <v>2015.5</v>
      </c>
      <c r="B754" s="3">
        <f t="shared" si="44"/>
        <v>-139.72944297082228</v>
      </c>
      <c r="C754" s="3">
        <f t="shared" si="45"/>
        <v>216.64103972639148</v>
      </c>
      <c r="D754" s="3">
        <f t="shared" si="46"/>
        <v>-139.72944297082228</v>
      </c>
      <c r="E754" s="3">
        <f t="shared" si="47"/>
        <v>165.13695995458158</v>
      </c>
      <c r="F754" s="3">
        <v>-75</v>
      </c>
      <c r="G754">
        <v>231.69216166018799</v>
      </c>
      <c r="I754" s="3">
        <v>1942.5</v>
      </c>
      <c r="J754" s="3">
        <v>0</v>
      </c>
      <c r="K754" s="3">
        <v>-124.09672922603301</v>
      </c>
    </row>
    <row r="755" spans="1:11" ht="18" x14ac:dyDescent="0.25">
      <c r="A755" s="3">
        <v>2015.5833333333301</v>
      </c>
      <c r="B755" s="3">
        <f t="shared" si="44"/>
        <v>-193.72944297082228</v>
      </c>
      <c r="C755" s="3">
        <f t="shared" si="45"/>
        <v>161.30797355323961</v>
      </c>
      <c r="D755" s="3">
        <f t="shared" si="46"/>
        <v>-193.72944297082228</v>
      </c>
      <c r="E755" s="3">
        <f t="shared" si="47"/>
        <v>80.715829753257594</v>
      </c>
      <c r="F755" s="3">
        <v>-129</v>
      </c>
      <c r="G755">
        <v>147.271031458864</v>
      </c>
      <c r="I755" s="3">
        <v>1942.5833333333301</v>
      </c>
      <c r="J755" s="3">
        <v>0</v>
      </c>
      <c r="K755" s="3">
        <v>-148.348640319937</v>
      </c>
    </row>
    <row r="756" spans="1:11" ht="18" x14ac:dyDescent="0.25">
      <c r="A756" s="3">
        <v>2015.6666666666599</v>
      </c>
      <c r="B756" s="3">
        <f t="shared" si="44"/>
        <v>-199.72944297082228</v>
      </c>
      <c r="C756" s="3">
        <f t="shared" si="45"/>
        <v>-15.800321056625839</v>
      </c>
      <c r="D756" s="3">
        <f t="shared" si="46"/>
        <v>-199.72944297082228</v>
      </c>
      <c r="E756" s="3">
        <f t="shared" si="47"/>
        <v>-4.1536644853448053</v>
      </c>
      <c r="F756" s="3">
        <v>-135</v>
      </c>
      <c r="G756">
        <v>62.401537220261602</v>
      </c>
      <c r="I756" s="3">
        <v>1942.6666666666599</v>
      </c>
      <c r="J756" s="3">
        <v>0</v>
      </c>
      <c r="K756" s="3">
        <v>-160.25774495056399</v>
      </c>
    </row>
    <row r="757" spans="1:11" ht="18" x14ac:dyDescent="0.25">
      <c r="A757" s="3">
        <v>2015.75</v>
      </c>
      <c r="B757" s="3">
        <f t="shared" si="44"/>
        <v>-199.72944297082228</v>
      </c>
      <c r="C757" s="3">
        <f t="shared" si="45"/>
        <v>-124.07965422295385</v>
      </c>
      <c r="D757" s="3">
        <f t="shared" si="46"/>
        <v>-199.72944297082228</v>
      </c>
      <c r="E757" s="3">
        <f t="shared" si="47"/>
        <v>-50.430644002960008</v>
      </c>
      <c r="F757" s="3">
        <v>-135</v>
      </c>
      <c r="G757">
        <v>16.124557702646399</v>
      </c>
      <c r="I757" s="3">
        <v>1942.75</v>
      </c>
      <c r="J757" s="3">
        <v>0</v>
      </c>
      <c r="K757" s="3">
        <v>-150.01495442730601</v>
      </c>
    </row>
    <row r="758" spans="1:11" ht="18" x14ac:dyDescent="0.25">
      <c r="A758" s="3">
        <v>2015.8333333333301</v>
      </c>
      <c r="B758" s="3">
        <f t="shared" si="44"/>
        <v>-196.72944297082228</v>
      </c>
      <c r="C758" s="3">
        <f t="shared" si="45"/>
        <v>-157.47831161563732</v>
      </c>
      <c r="D758" s="3">
        <f t="shared" si="46"/>
        <v>-196.72944297082228</v>
      </c>
      <c r="E758" s="3">
        <f t="shared" si="47"/>
        <v>-76.969374767339303</v>
      </c>
      <c r="F758" s="3">
        <v>-132</v>
      </c>
      <c r="G758">
        <v>-10.4141730617329</v>
      </c>
      <c r="I758" s="3">
        <v>1942.8333333333301</v>
      </c>
      <c r="J758" s="3">
        <v>0</v>
      </c>
      <c r="K758" s="3">
        <v>-142.11992663756399</v>
      </c>
    </row>
    <row r="759" spans="1:11" ht="18" x14ac:dyDescent="0.25">
      <c r="I759" s="3">
        <v>1942.9166666666599</v>
      </c>
      <c r="J759" s="3">
        <v>0</v>
      </c>
      <c r="K759" s="3">
        <v>-162.32720942023701</v>
      </c>
    </row>
    <row r="760" spans="1:11" ht="18" x14ac:dyDescent="0.25">
      <c r="I760" s="3">
        <v>1943</v>
      </c>
      <c r="J760" s="3">
        <v>0</v>
      </c>
      <c r="K760" s="3">
        <v>-176.85556212357599</v>
      </c>
    </row>
    <row r="761" spans="1:11" ht="18" x14ac:dyDescent="0.25">
      <c r="I761" s="3">
        <v>1943.0833333333301</v>
      </c>
      <c r="J761" s="3">
        <v>0</v>
      </c>
      <c r="K761" s="3">
        <v>-180.135302114501</v>
      </c>
    </row>
    <row r="762" spans="1:11" ht="18" x14ac:dyDescent="0.25">
      <c r="I762" s="3">
        <v>1943.1666666666599</v>
      </c>
      <c r="J762" s="3">
        <v>0</v>
      </c>
      <c r="K762" s="3">
        <v>-186.015240985475</v>
      </c>
    </row>
    <row r="763" spans="1:11" ht="18" x14ac:dyDescent="0.25">
      <c r="I763" s="3">
        <v>1943.25</v>
      </c>
      <c r="J763" s="3">
        <v>0</v>
      </c>
      <c r="K763" s="3">
        <v>-165.69861404958601</v>
      </c>
    </row>
    <row r="764" spans="1:11" ht="18" x14ac:dyDescent="0.25">
      <c r="I764" s="3">
        <v>1943.3333333333301</v>
      </c>
      <c r="J764" s="3">
        <v>0</v>
      </c>
      <c r="K764" s="3">
        <v>-108.390955070579</v>
      </c>
    </row>
    <row r="765" spans="1:11" ht="18" x14ac:dyDescent="0.25">
      <c r="I765" s="3">
        <v>1943.4166666666599</v>
      </c>
      <c r="J765" s="3">
        <v>0</v>
      </c>
      <c r="K765" s="3">
        <v>-18.994490618062599</v>
      </c>
    </row>
    <row r="766" spans="1:11" ht="18" x14ac:dyDescent="0.25">
      <c r="I766" s="3">
        <v>1943.5</v>
      </c>
      <c r="J766" s="3">
        <v>0</v>
      </c>
      <c r="K766" s="3">
        <v>91.378129321768895</v>
      </c>
    </row>
    <row r="767" spans="1:11" ht="18" x14ac:dyDescent="0.25">
      <c r="I767" s="3">
        <v>1943.5833333333301</v>
      </c>
      <c r="J767" s="3">
        <v>0</v>
      </c>
      <c r="K767" s="3">
        <v>166.84098711821699</v>
      </c>
    </row>
    <row r="768" spans="1:11" ht="18" x14ac:dyDescent="0.25">
      <c r="I768" s="3">
        <v>1943.6666666666599</v>
      </c>
      <c r="J768" s="3">
        <v>0</v>
      </c>
      <c r="K768" s="3">
        <v>195.14052797062101</v>
      </c>
    </row>
    <row r="769" spans="9:11" ht="18" x14ac:dyDescent="0.25">
      <c r="I769" s="3">
        <v>1943.75</v>
      </c>
      <c r="J769" s="3">
        <v>0</v>
      </c>
      <c r="K769" s="3">
        <v>223.669687416301</v>
      </c>
    </row>
    <row r="770" spans="9:11" ht="18" x14ac:dyDescent="0.25">
      <c r="I770" s="3">
        <v>1943.8333333333301</v>
      </c>
      <c r="J770" s="3">
        <v>0</v>
      </c>
      <c r="K770" s="3">
        <v>252.200946764447</v>
      </c>
    </row>
    <row r="771" spans="9:11" ht="18" x14ac:dyDescent="0.25">
      <c r="I771" s="3">
        <v>1943.9166666666599</v>
      </c>
      <c r="J771" s="3">
        <v>0</v>
      </c>
      <c r="K771" s="3">
        <v>268.87863677448001</v>
      </c>
    </row>
    <row r="772" spans="9:11" ht="18" x14ac:dyDescent="0.25">
      <c r="I772" s="3">
        <v>1944</v>
      </c>
      <c r="J772" s="3">
        <v>0</v>
      </c>
      <c r="K772" s="3">
        <v>279.805056106655</v>
      </c>
    </row>
    <row r="773" spans="9:11" ht="18" x14ac:dyDescent="0.25">
      <c r="I773" s="3">
        <v>1944.0833333333301</v>
      </c>
      <c r="J773" s="3">
        <v>0</v>
      </c>
      <c r="K773" s="3">
        <v>270.89157637026602</v>
      </c>
    </row>
    <row r="774" spans="9:11" ht="18" x14ac:dyDescent="0.25">
      <c r="I774" s="3">
        <v>1944.1666666666599</v>
      </c>
      <c r="J774" s="3">
        <v>0</v>
      </c>
      <c r="K774" s="3">
        <v>264.63875330721203</v>
      </c>
    </row>
    <row r="775" spans="9:11" ht="18" x14ac:dyDescent="0.25">
      <c r="I775" s="3">
        <v>1944.25</v>
      </c>
      <c r="J775" s="3">
        <v>0</v>
      </c>
      <c r="K775" s="3">
        <v>293.53710700278702</v>
      </c>
    </row>
    <row r="776" spans="9:11" ht="18" x14ac:dyDescent="0.25">
      <c r="I776" s="3">
        <v>1944.3333333333301</v>
      </c>
      <c r="J776" s="3">
        <v>0</v>
      </c>
      <c r="K776" s="3">
        <v>328.10332470779798</v>
      </c>
    </row>
    <row r="777" spans="9:11" ht="18" x14ac:dyDescent="0.25">
      <c r="I777" s="3">
        <v>1944.4166666666599</v>
      </c>
      <c r="J777" s="3">
        <v>0</v>
      </c>
      <c r="K777" s="3">
        <v>342.32962933241998</v>
      </c>
    </row>
    <row r="778" spans="9:11" ht="18" x14ac:dyDescent="0.25">
      <c r="I778" s="3">
        <v>1944.5</v>
      </c>
      <c r="J778" s="3">
        <v>0</v>
      </c>
      <c r="K778" s="3">
        <v>321.40000910453801</v>
      </c>
    </row>
    <row r="779" spans="9:11" ht="18" x14ac:dyDescent="0.25">
      <c r="I779" s="3">
        <v>1944.5833333333301</v>
      </c>
      <c r="J779" s="3">
        <v>0</v>
      </c>
      <c r="K779" s="3">
        <v>249.006306496733</v>
      </c>
    </row>
    <row r="780" spans="9:11" ht="18" x14ac:dyDescent="0.25">
      <c r="I780" s="3">
        <v>1944.6666666666599</v>
      </c>
      <c r="J780" s="3">
        <v>0</v>
      </c>
      <c r="K780" s="3">
        <v>169.474603294959</v>
      </c>
    </row>
    <row r="781" spans="9:11" ht="18" x14ac:dyDescent="0.25">
      <c r="I781" s="3">
        <v>1944.75</v>
      </c>
      <c r="J781" s="3">
        <v>0</v>
      </c>
      <c r="K781" s="3">
        <v>114.712825595607</v>
      </c>
    </row>
    <row r="782" spans="9:11" ht="18" x14ac:dyDescent="0.25">
      <c r="I782" s="3">
        <v>1944.8333333333301</v>
      </c>
      <c r="J782" s="3">
        <v>0</v>
      </c>
      <c r="K782" s="3">
        <v>51.995400030500797</v>
      </c>
    </row>
    <row r="783" spans="9:11" ht="18" x14ac:dyDescent="0.25">
      <c r="I783" s="3">
        <v>1944.9166666666599</v>
      </c>
      <c r="J783" s="3">
        <v>0</v>
      </c>
      <c r="K783" s="3">
        <v>-18.239932339267099</v>
      </c>
    </row>
    <row r="784" spans="9:11" ht="18" x14ac:dyDescent="0.25">
      <c r="I784" s="3">
        <v>1945</v>
      </c>
      <c r="J784" s="3">
        <v>0</v>
      </c>
      <c r="K784" s="3">
        <v>-78.436430765405206</v>
      </c>
    </row>
    <row r="785" spans="9:11" ht="18" x14ac:dyDescent="0.25">
      <c r="I785" s="3">
        <v>1945.0833333333301</v>
      </c>
      <c r="J785" s="3">
        <v>0</v>
      </c>
      <c r="K785" s="3">
        <v>-133.219939373638</v>
      </c>
    </row>
    <row r="786" spans="9:11" ht="18" x14ac:dyDescent="0.25">
      <c r="I786" s="3">
        <v>1945.1666666666599</v>
      </c>
      <c r="J786" s="3">
        <v>0</v>
      </c>
      <c r="K786" s="3">
        <v>-169.96930645766</v>
      </c>
    </row>
    <row r="787" spans="9:11" ht="18" x14ac:dyDescent="0.25">
      <c r="I787" s="3">
        <v>1945.25</v>
      </c>
      <c r="J787" s="3">
        <v>0</v>
      </c>
      <c r="K787" s="3">
        <v>-198.944706191357</v>
      </c>
    </row>
    <row r="788" spans="9:11" ht="18" x14ac:dyDescent="0.25">
      <c r="I788" s="3">
        <v>1945.3333333333301</v>
      </c>
      <c r="J788" s="3">
        <v>0</v>
      </c>
      <c r="K788" s="3">
        <v>-234.506391393375</v>
      </c>
    </row>
    <row r="789" spans="9:11" ht="18" x14ac:dyDescent="0.25">
      <c r="I789" s="3">
        <v>1945.4166666666599</v>
      </c>
      <c r="J789" s="3">
        <v>0</v>
      </c>
      <c r="K789" s="3">
        <v>-240.53712384180201</v>
      </c>
    </row>
    <row r="790" spans="9:11" ht="18" x14ac:dyDescent="0.25">
      <c r="I790" s="3">
        <v>1945.5</v>
      </c>
      <c r="J790" s="3">
        <v>0</v>
      </c>
      <c r="K790" s="3">
        <v>-217.41964572121401</v>
      </c>
    </row>
    <row r="791" spans="9:11" ht="18" x14ac:dyDescent="0.25">
      <c r="I791" s="3">
        <v>1945.5833333333301</v>
      </c>
      <c r="J791" s="3">
        <v>0</v>
      </c>
      <c r="K791" s="3">
        <v>-197.403155388345</v>
      </c>
    </row>
    <row r="792" spans="9:11" ht="18" x14ac:dyDescent="0.25">
      <c r="I792" s="3">
        <v>1945.6666666666599</v>
      </c>
      <c r="J792" s="3">
        <v>0</v>
      </c>
      <c r="K792" s="3">
        <v>-166.857008570266</v>
      </c>
    </row>
    <row r="793" spans="9:11" ht="18" x14ac:dyDescent="0.25">
      <c r="I793" s="3">
        <v>1945.75</v>
      </c>
      <c r="J793" s="3">
        <v>0</v>
      </c>
      <c r="K793" s="3">
        <v>-124.762329929301</v>
      </c>
    </row>
    <row r="794" spans="9:11" ht="18" x14ac:dyDescent="0.25">
      <c r="I794" s="3">
        <v>1945.8333333333301</v>
      </c>
      <c r="J794" s="3">
        <v>0</v>
      </c>
      <c r="K794" s="3">
        <v>-81.267621609072606</v>
      </c>
    </row>
    <row r="795" spans="9:11" ht="18" x14ac:dyDescent="0.25">
      <c r="I795" s="3">
        <v>1945.9166666666599</v>
      </c>
      <c r="J795" s="3">
        <v>0</v>
      </c>
      <c r="K795" s="3">
        <v>-23.768968297018102</v>
      </c>
    </row>
    <row r="796" spans="9:11" ht="18" x14ac:dyDescent="0.25">
      <c r="I796" s="3">
        <v>1946</v>
      </c>
      <c r="J796" s="3">
        <v>0</v>
      </c>
      <c r="K796" s="3">
        <v>22.274585926942098</v>
      </c>
    </row>
    <row r="797" spans="9:11" ht="18" x14ac:dyDescent="0.25">
      <c r="I797" s="3">
        <v>1946.0833333333301</v>
      </c>
      <c r="J797" s="3">
        <v>0</v>
      </c>
      <c r="K797" s="3">
        <v>38.875875758362803</v>
      </c>
    </row>
    <row r="798" spans="9:11" ht="18" x14ac:dyDescent="0.25">
      <c r="I798" s="3">
        <v>1946.1666666666599</v>
      </c>
      <c r="J798" s="3">
        <v>0</v>
      </c>
      <c r="K798" s="3">
        <v>61.318314978560302</v>
      </c>
    </row>
    <row r="799" spans="9:11" ht="18" x14ac:dyDescent="0.25">
      <c r="I799" s="3">
        <v>1946.25</v>
      </c>
      <c r="J799" s="3">
        <v>0</v>
      </c>
      <c r="K799" s="3">
        <v>106.061976319712</v>
      </c>
    </row>
    <row r="800" spans="9:11" ht="18" x14ac:dyDescent="0.25">
      <c r="I800" s="3">
        <v>1946.3333333333301</v>
      </c>
      <c r="J800" s="3">
        <v>0</v>
      </c>
      <c r="K800" s="3">
        <v>184.847445923565</v>
      </c>
    </row>
    <row r="801" spans="9:11" ht="18" x14ac:dyDescent="0.25">
      <c r="I801" s="3">
        <v>1946.4166666666599</v>
      </c>
      <c r="J801" s="3">
        <v>0</v>
      </c>
      <c r="K801" s="3">
        <v>297.79343975380999</v>
      </c>
    </row>
    <row r="802" spans="9:11" ht="18" x14ac:dyDescent="0.25">
      <c r="I802" s="3">
        <v>1946.5</v>
      </c>
      <c r="J802" s="3">
        <v>0</v>
      </c>
      <c r="K802" s="3">
        <v>380.53011552403802</v>
      </c>
    </row>
    <row r="803" spans="9:11" ht="18" x14ac:dyDescent="0.25">
      <c r="I803" s="3">
        <v>1946.5833333333301</v>
      </c>
      <c r="J803" s="3">
        <v>0</v>
      </c>
      <c r="K803" s="3">
        <v>406.410684987791</v>
      </c>
    </row>
    <row r="804" spans="9:11" ht="18" x14ac:dyDescent="0.25">
      <c r="I804" s="3">
        <v>1946.6666666666599</v>
      </c>
      <c r="J804" s="3">
        <v>0</v>
      </c>
      <c r="K804" s="3">
        <v>416.553742980832</v>
      </c>
    </row>
    <row r="805" spans="9:11" ht="18" x14ac:dyDescent="0.25">
      <c r="I805" s="3">
        <v>1946.75</v>
      </c>
      <c r="J805" s="3">
        <v>0</v>
      </c>
      <c r="K805" s="3">
        <v>418.68577057735098</v>
      </c>
    </row>
    <row r="806" spans="9:11" ht="18" x14ac:dyDescent="0.25">
      <c r="I806" s="3">
        <v>1946.8333333333301</v>
      </c>
      <c r="J806" s="3">
        <v>0</v>
      </c>
      <c r="K806" s="3">
        <v>407.415613277462</v>
      </c>
    </row>
    <row r="807" spans="9:11" ht="18" x14ac:dyDescent="0.25">
      <c r="I807" s="3">
        <v>1946.9166666666599</v>
      </c>
      <c r="J807" s="3">
        <v>0</v>
      </c>
      <c r="K807" s="3">
        <v>378.432261520792</v>
      </c>
    </row>
    <row r="808" spans="9:11" ht="18" x14ac:dyDescent="0.25">
      <c r="I808" s="3">
        <v>1947</v>
      </c>
      <c r="J808" s="3">
        <v>0</v>
      </c>
      <c r="K808" s="3">
        <v>313.46523385574</v>
      </c>
    </row>
    <row r="809" spans="9:11" ht="18" x14ac:dyDescent="0.25">
      <c r="I809" s="3">
        <v>1947.0833333333301</v>
      </c>
      <c r="J809" s="3">
        <v>0</v>
      </c>
      <c r="K809" s="3">
        <v>242.87676518735299</v>
      </c>
    </row>
    <row r="810" spans="9:11" ht="18" x14ac:dyDescent="0.25">
      <c r="I810" s="3">
        <v>1947.1666666666599</v>
      </c>
      <c r="J810" s="3">
        <v>0</v>
      </c>
      <c r="K810" s="3">
        <v>193.986380454743</v>
      </c>
    </row>
    <row r="811" spans="9:11" ht="18" x14ac:dyDescent="0.25">
      <c r="I811" s="3">
        <v>1947.25</v>
      </c>
      <c r="J811" s="3">
        <v>0</v>
      </c>
      <c r="K811" s="3">
        <v>134.224570094211</v>
      </c>
    </row>
    <row r="812" spans="9:11" ht="18" x14ac:dyDescent="0.25">
      <c r="I812" s="3">
        <v>1947.3333333333301</v>
      </c>
      <c r="J812" s="3">
        <v>0</v>
      </c>
      <c r="K812" s="3">
        <v>60.605983340728599</v>
      </c>
    </row>
    <row r="813" spans="9:11" ht="18" x14ac:dyDescent="0.25">
      <c r="I813" s="3">
        <v>1947.4166666666599</v>
      </c>
      <c r="J813" s="3">
        <v>0</v>
      </c>
      <c r="K813" s="3">
        <v>-14.2605326551912</v>
      </c>
    </row>
    <row r="814" spans="9:11" ht="18" x14ac:dyDescent="0.25">
      <c r="I814" s="3">
        <v>1947.5</v>
      </c>
      <c r="J814" s="3">
        <v>0</v>
      </c>
      <c r="K814" s="3">
        <v>-102.193439914</v>
      </c>
    </row>
    <row r="815" spans="9:11" ht="18" x14ac:dyDescent="0.25">
      <c r="I815" s="3">
        <v>1947.5833333333301</v>
      </c>
      <c r="J815" s="3">
        <v>0</v>
      </c>
      <c r="K815" s="3">
        <v>-178.06249722630599</v>
      </c>
    </row>
    <row r="816" spans="9:11" ht="18" x14ac:dyDescent="0.25">
      <c r="I816" s="3">
        <v>1947.6666666666599</v>
      </c>
      <c r="J816" s="3">
        <v>0</v>
      </c>
      <c r="K816" s="3">
        <v>-224.35789005569899</v>
      </c>
    </row>
    <row r="817" spans="9:11" ht="18" x14ac:dyDescent="0.25">
      <c r="I817" s="3">
        <v>1947.75</v>
      </c>
      <c r="J817" s="3">
        <v>0</v>
      </c>
      <c r="K817" s="3">
        <v>-260.02862443400699</v>
      </c>
    </row>
    <row r="818" spans="9:11" ht="18" x14ac:dyDescent="0.25">
      <c r="I818" s="3">
        <v>1947.8333333333301</v>
      </c>
      <c r="J818" s="3">
        <v>0</v>
      </c>
      <c r="K818" s="3">
        <v>-274.57061574266999</v>
      </c>
    </row>
    <row r="819" spans="9:11" ht="18" x14ac:dyDescent="0.25">
      <c r="I819" s="3">
        <v>1947.9166666666599</v>
      </c>
      <c r="J819" s="3">
        <v>0</v>
      </c>
      <c r="K819" s="3">
        <v>-271.204112745911</v>
      </c>
    </row>
    <row r="820" spans="9:11" ht="18" x14ac:dyDescent="0.25">
      <c r="I820" s="3">
        <v>1948</v>
      </c>
      <c r="J820" s="3">
        <v>0</v>
      </c>
      <c r="K820" s="3">
        <v>-274.68365920339397</v>
      </c>
    </row>
    <row r="821" spans="9:11" ht="18" x14ac:dyDescent="0.25">
      <c r="I821" s="3">
        <v>1948.0833333333301</v>
      </c>
      <c r="J821" s="3">
        <v>0</v>
      </c>
      <c r="K821" s="3">
        <v>-273.029110960433</v>
      </c>
    </row>
    <row r="822" spans="9:11" ht="18" x14ac:dyDescent="0.25">
      <c r="I822" s="3">
        <v>1948.1666666666599</v>
      </c>
      <c r="J822" s="3">
        <v>0</v>
      </c>
      <c r="K822" s="3">
        <v>-267.68125067788799</v>
      </c>
    </row>
    <row r="823" spans="9:11" ht="18" x14ac:dyDescent="0.25">
      <c r="I823" s="3">
        <v>1948.25</v>
      </c>
      <c r="J823" s="3">
        <v>0</v>
      </c>
      <c r="K823" s="3">
        <v>-253.83333655116201</v>
      </c>
    </row>
    <row r="824" spans="9:11" ht="18" x14ac:dyDescent="0.25">
      <c r="I824" s="3">
        <v>1948.3333333333301</v>
      </c>
      <c r="J824" s="3">
        <v>0</v>
      </c>
      <c r="K824" s="3">
        <v>-177.18366988742599</v>
      </c>
    </row>
    <row r="825" spans="9:11" ht="18" x14ac:dyDescent="0.25">
      <c r="I825" s="3">
        <v>1948.4166666666599</v>
      </c>
      <c r="J825" s="3">
        <v>0</v>
      </c>
      <c r="K825" s="3">
        <v>-41.446197089395397</v>
      </c>
    </row>
    <row r="826" spans="9:11" ht="18" x14ac:dyDescent="0.25">
      <c r="I826" s="3">
        <v>1948.5</v>
      </c>
      <c r="J826" s="3">
        <v>0</v>
      </c>
      <c r="K826" s="3">
        <v>93.638858408492993</v>
      </c>
    </row>
    <row r="827" spans="9:11" ht="18" x14ac:dyDescent="0.25">
      <c r="I827" s="3">
        <v>1948.5833333333301</v>
      </c>
      <c r="J827" s="3">
        <v>0</v>
      </c>
      <c r="K827" s="3">
        <v>203.83073041156601</v>
      </c>
    </row>
    <row r="828" spans="9:11" ht="18" x14ac:dyDescent="0.25">
      <c r="I828" s="3">
        <v>1948.6666666666599</v>
      </c>
      <c r="J828" s="3">
        <v>0</v>
      </c>
      <c r="K828" s="3">
        <v>276.39729607037702</v>
      </c>
    </row>
    <row r="829" spans="9:11" ht="18" x14ac:dyDescent="0.25">
      <c r="I829" s="3">
        <v>1948.75</v>
      </c>
      <c r="J829" s="3">
        <v>0</v>
      </c>
      <c r="K829" s="3">
        <v>321.92311700566302</v>
      </c>
    </row>
    <row r="830" spans="9:11" ht="18" x14ac:dyDescent="0.25">
      <c r="I830" s="3">
        <v>1948.8333333333301</v>
      </c>
      <c r="J830" s="3">
        <v>0</v>
      </c>
      <c r="K830" s="3">
        <v>366.73625085634802</v>
      </c>
    </row>
    <row r="831" spans="9:11" ht="18" x14ac:dyDescent="0.25">
      <c r="I831" s="3">
        <v>1948.9166666666599</v>
      </c>
      <c r="J831" s="3">
        <v>0</v>
      </c>
      <c r="K831" s="3">
        <v>381.49299566642401</v>
      </c>
    </row>
    <row r="832" spans="9:11" ht="18" x14ac:dyDescent="0.25">
      <c r="I832" s="3">
        <v>1949</v>
      </c>
      <c r="J832" s="3">
        <v>0</v>
      </c>
      <c r="K832" s="3">
        <v>355.77948336157601</v>
      </c>
    </row>
    <row r="833" spans="9:11" ht="18" x14ac:dyDescent="0.25">
      <c r="I833" s="3">
        <v>1949.0833333333301</v>
      </c>
      <c r="J833" s="3">
        <v>0</v>
      </c>
      <c r="K833" s="3">
        <v>336.01111927905498</v>
      </c>
    </row>
    <row r="834" spans="9:11" ht="18" x14ac:dyDescent="0.25">
      <c r="I834" s="3">
        <v>1949.1666666666599</v>
      </c>
      <c r="J834" s="3">
        <v>0</v>
      </c>
      <c r="K834" s="3">
        <v>333.32286269414499</v>
      </c>
    </row>
    <row r="835" spans="9:11" ht="18" x14ac:dyDescent="0.25">
      <c r="I835" s="3">
        <v>1949.25</v>
      </c>
      <c r="J835" s="3">
        <v>0</v>
      </c>
      <c r="K835" s="3">
        <v>346.73754996604703</v>
      </c>
    </row>
    <row r="836" spans="9:11" ht="18" x14ac:dyDescent="0.25">
      <c r="I836" s="3">
        <v>1949.3333333333301</v>
      </c>
      <c r="J836" s="3">
        <v>0</v>
      </c>
      <c r="K836" s="3">
        <v>373.03975695474003</v>
      </c>
    </row>
    <row r="837" spans="9:11" ht="18" x14ac:dyDescent="0.25">
      <c r="I837" s="3">
        <v>1949.4166666666599</v>
      </c>
      <c r="J837" s="3">
        <v>0</v>
      </c>
      <c r="K837" s="3">
        <v>361.71025621130701</v>
      </c>
    </row>
    <row r="838" spans="9:11" ht="18" x14ac:dyDescent="0.25">
      <c r="I838" s="3">
        <v>1949.5</v>
      </c>
      <c r="J838" s="3">
        <v>0</v>
      </c>
      <c r="K838" s="3">
        <v>297.34784923250498</v>
      </c>
    </row>
    <row r="839" spans="9:11" ht="18" x14ac:dyDescent="0.25">
      <c r="I839" s="3">
        <v>1949.5833333333301</v>
      </c>
      <c r="J839" s="3">
        <v>0</v>
      </c>
      <c r="K839" s="3">
        <v>212.328282242689</v>
      </c>
    </row>
    <row r="840" spans="9:11" ht="18" x14ac:dyDescent="0.25">
      <c r="I840" s="3">
        <v>1949.6666666666599</v>
      </c>
      <c r="J840" s="3">
        <v>0</v>
      </c>
      <c r="K840" s="3">
        <v>116.632712225955</v>
      </c>
    </row>
    <row r="841" spans="9:11" ht="18" x14ac:dyDescent="0.25">
      <c r="I841" s="3">
        <v>1949.75</v>
      </c>
      <c r="J841" s="3">
        <v>0</v>
      </c>
      <c r="K841" s="3">
        <v>31.414628454760599</v>
      </c>
    </row>
    <row r="842" spans="9:11" ht="18" x14ac:dyDescent="0.25">
      <c r="I842" s="3">
        <v>1949.8333333333301</v>
      </c>
      <c r="J842" s="3">
        <v>0</v>
      </c>
      <c r="K842" s="3">
        <v>-33.633700961314901</v>
      </c>
    </row>
    <row r="843" spans="9:11" ht="18" x14ac:dyDescent="0.25">
      <c r="I843" s="3">
        <v>1949.9166666666599</v>
      </c>
      <c r="J843" s="3">
        <v>0</v>
      </c>
      <c r="K843" s="3">
        <v>-105.223949945703</v>
      </c>
    </row>
    <row r="844" spans="9:11" ht="18" x14ac:dyDescent="0.25">
      <c r="I844" s="3">
        <v>1950</v>
      </c>
      <c r="J844" s="3">
        <v>0</v>
      </c>
      <c r="K844" s="3">
        <v>-166.53770131955901</v>
      </c>
    </row>
    <row r="845" spans="9:11" ht="18" x14ac:dyDescent="0.25">
      <c r="I845" s="3">
        <v>1950.0833333333301</v>
      </c>
      <c r="J845" s="3">
        <v>0</v>
      </c>
      <c r="K845" s="3">
        <v>-202.67824866940501</v>
      </c>
    </row>
    <row r="846" spans="9:11" ht="18" x14ac:dyDescent="0.25">
      <c r="I846" s="3">
        <v>1950.1666666666599</v>
      </c>
      <c r="J846" s="3">
        <v>0</v>
      </c>
      <c r="K846" s="3">
        <v>-247.32952144620899</v>
      </c>
    </row>
    <row r="847" spans="9:11" ht="18" x14ac:dyDescent="0.25">
      <c r="I847" s="3">
        <v>1950.25</v>
      </c>
      <c r="J847" s="3">
        <v>0</v>
      </c>
      <c r="K847" s="3">
        <v>-289.71838219607503</v>
      </c>
    </row>
    <row r="848" spans="9:11" ht="18" x14ac:dyDescent="0.25">
      <c r="I848" s="3">
        <v>1950.3333333333301</v>
      </c>
      <c r="J848" s="3">
        <v>0</v>
      </c>
      <c r="K848" s="3">
        <v>-297.81046720425502</v>
      </c>
    </row>
    <row r="849" spans="9:11" ht="18" x14ac:dyDescent="0.25">
      <c r="I849" s="3">
        <v>1950.4166666666599</v>
      </c>
      <c r="J849" s="3">
        <v>0</v>
      </c>
      <c r="K849" s="3">
        <v>-272.18670096257</v>
      </c>
    </row>
    <row r="850" spans="9:11" ht="18" x14ac:dyDescent="0.25">
      <c r="I850" s="3">
        <v>1950.5</v>
      </c>
      <c r="J850" s="3">
        <v>0</v>
      </c>
      <c r="K850" s="3">
        <v>-210.44875695457</v>
      </c>
    </row>
    <row r="851" spans="9:11" ht="18" x14ac:dyDescent="0.25">
      <c r="I851" s="3">
        <v>1950.5833333333301</v>
      </c>
      <c r="J851" s="3">
        <v>0</v>
      </c>
      <c r="K851" s="3">
        <v>-139.783794915839</v>
      </c>
    </row>
    <row r="852" spans="9:11" ht="18" x14ac:dyDescent="0.25">
      <c r="I852" s="3">
        <v>1950.6666666666599</v>
      </c>
      <c r="J852" s="3">
        <v>0</v>
      </c>
      <c r="K852" s="3">
        <v>-90.440931462255605</v>
      </c>
    </row>
    <row r="853" spans="9:11" ht="18" x14ac:dyDescent="0.25">
      <c r="I853" s="3">
        <v>1950.75</v>
      </c>
      <c r="J853" s="3">
        <v>0</v>
      </c>
      <c r="K853" s="3">
        <v>-29.855270469408602</v>
      </c>
    </row>
    <row r="854" spans="9:11" ht="18" x14ac:dyDescent="0.25">
      <c r="I854" s="3">
        <v>1950.8333333333301</v>
      </c>
      <c r="J854" s="3">
        <v>0</v>
      </c>
      <c r="K854" s="3">
        <v>48.075495601084697</v>
      </c>
    </row>
    <row r="855" spans="9:11" ht="18" x14ac:dyDescent="0.25">
      <c r="I855" s="3">
        <v>1950.9166666666599</v>
      </c>
      <c r="J855" s="3">
        <v>0</v>
      </c>
      <c r="K855" s="3">
        <v>109.09418001786</v>
      </c>
    </row>
    <row r="856" spans="9:11" ht="18" x14ac:dyDescent="0.25">
      <c r="I856" s="3">
        <v>1951</v>
      </c>
      <c r="J856" s="3">
        <v>0</v>
      </c>
      <c r="K856" s="3">
        <v>155.16067569944801</v>
      </c>
    </row>
    <row r="857" spans="9:11" ht="18" x14ac:dyDescent="0.25">
      <c r="I857" s="3">
        <v>1951.0833333333301</v>
      </c>
      <c r="J857" s="3">
        <v>0</v>
      </c>
      <c r="K857" s="3">
        <v>182.621457676105</v>
      </c>
    </row>
    <row r="858" spans="9:11" ht="18" x14ac:dyDescent="0.25">
      <c r="I858" s="3">
        <v>1951.1666666666599</v>
      </c>
      <c r="J858" s="3">
        <v>0</v>
      </c>
      <c r="K858" s="3">
        <v>195.979798608799</v>
      </c>
    </row>
    <row r="859" spans="9:11" ht="18" x14ac:dyDescent="0.25">
      <c r="I859" s="3">
        <v>1951.25</v>
      </c>
      <c r="J859" s="3">
        <v>0</v>
      </c>
      <c r="K859" s="3">
        <v>238.38167665200399</v>
      </c>
    </row>
    <row r="860" spans="9:11" ht="18" x14ac:dyDescent="0.25">
      <c r="I860" s="3">
        <v>1951.3333333333301</v>
      </c>
      <c r="J860" s="3">
        <v>0</v>
      </c>
      <c r="K860" s="3">
        <v>300.88787626080102</v>
      </c>
    </row>
    <row r="861" spans="9:11" ht="18" x14ac:dyDescent="0.25">
      <c r="I861" s="3">
        <v>1951.4166666666599</v>
      </c>
      <c r="J861" s="3">
        <v>0</v>
      </c>
      <c r="K861" s="3">
        <v>341.386987773778</v>
      </c>
    </row>
    <row r="862" spans="9:11" ht="18" x14ac:dyDescent="0.25">
      <c r="I862" s="3">
        <v>1951.5</v>
      </c>
      <c r="J862" s="3">
        <v>0</v>
      </c>
      <c r="K862" s="3">
        <v>349.33235913020502</v>
      </c>
    </row>
    <row r="863" spans="9:11" ht="18" x14ac:dyDescent="0.25">
      <c r="I863" s="3">
        <v>1951.5833333333301</v>
      </c>
      <c r="J863" s="3">
        <v>0</v>
      </c>
      <c r="K863" s="3">
        <v>314.79347768900499</v>
      </c>
    </row>
    <row r="864" spans="9:11" ht="18" x14ac:dyDescent="0.25">
      <c r="I864" s="3">
        <v>1951.6666666666599</v>
      </c>
      <c r="J864" s="3">
        <v>0</v>
      </c>
      <c r="K864" s="3">
        <v>264.49025381868802</v>
      </c>
    </row>
    <row r="865" spans="9:11" ht="18" x14ac:dyDescent="0.25">
      <c r="I865" s="3">
        <v>1951.75</v>
      </c>
      <c r="J865" s="3">
        <v>0</v>
      </c>
      <c r="K865" s="3">
        <v>243.34413501365401</v>
      </c>
    </row>
    <row r="866" spans="9:11" ht="18" x14ac:dyDescent="0.25">
      <c r="I866" s="3">
        <v>1951.8333333333301</v>
      </c>
      <c r="J866" s="3">
        <v>0</v>
      </c>
      <c r="K866" s="3">
        <v>221.588346315085</v>
      </c>
    </row>
    <row r="867" spans="9:11" ht="18" x14ac:dyDescent="0.25">
      <c r="I867" s="3">
        <v>1951.9166666666599</v>
      </c>
      <c r="J867" s="3">
        <v>0</v>
      </c>
      <c r="K867" s="3">
        <v>172.63116911026799</v>
      </c>
    </row>
    <row r="868" spans="9:11" ht="18" x14ac:dyDescent="0.25">
      <c r="I868" s="3">
        <v>1952</v>
      </c>
      <c r="J868" s="3">
        <v>0</v>
      </c>
      <c r="K868" s="3">
        <v>121.51495348338401</v>
      </c>
    </row>
    <row r="869" spans="9:11" ht="18" x14ac:dyDescent="0.25">
      <c r="I869" s="3">
        <v>1952.0833333333301</v>
      </c>
      <c r="J869" s="3">
        <v>0</v>
      </c>
      <c r="K869" s="3">
        <v>68.731977853685706</v>
      </c>
    </row>
    <row r="870" spans="9:11" ht="18" x14ac:dyDescent="0.25">
      <c r="I870" s="3">
        <v>1952.1666666666599</v>
      </c>
      <c r="J870" s="3">
        <v>0</v>
      </c>
      <c r="K870" s="3">
        <v>17.239448210729201</v>
      </c>
    </row>
    <row r="871" spans="9:11" ht="18" x14ac:dyDescent="0.25">
      <c r="I871" s="3">
        <v>1952.25</v>
      </c>
      <c r="J871" s="3">
        <v>0</v>
      </c>
      <c r="K871" s="3">
        <v>-22.0183945525906</v>
      </c>
    </row>
    <row r="872" spans="9:11" ht="18" x14ac:dyDescent="0.25">
      <c r="I872" s="3">
        <v>1952.3333333333301</v>
      </c>
      <c r="J872" s="3">
        <v>0</v>
      </c>
      <c r="K872" s="3">
        <v>-63.634584251353097</v>
      </c>
    </row>
    <row r="873" spans="9:11" ht="18" x14ac:dyDescent="0.25">
      <c r="I873" s="3">
        <v>1952.4166666666599</v>
      </c>
      <c r="J873" s="3">
        <v>0</v>
      </c>
      <c r="K873" s="3">
        <v>-87.736618326058306</v>
      </c>
    </row>
    <row r="874" spans="9:11" ht="18" x14ac:dyDescent="0.25">
      <c r="I874" s="3">
        <v>1952.5</v>
      </c>
      <c r="J874" s="3">
        <v>0</v>
      </c>
      <c r="K874" s="3">
        <v>-76.610695636465607</v>
      </c>
    </row>
    <row r="875" spans="9:11" ht="18" x14ac:dyDescent="0.25">
      <c r="I875" s="3">
        <v>1952.5833333333301</v>
      </c>
      <c r="J875" s="3">
        <v>0</v>
      </c>
      <c r="K875" s="3">
        <v>-67.377436811620598</v>
      </c>
    </row>
    <row r="876" spans="9:11" ht="18" x14ac:dyDescent="0.25">
      <c r="I876" s="3">
        <v>1952.6666666666599</v>
      </c>
      <c r="J876" s="3">
        <v>0</v>
      </c>
      <c r="K876" s="3">
        <v>-64.768331863664002</v>
      </c>
    </row>
    <row r="877" spans="9:11" ht="18" x14ac:dyDescent="0.25">
      <c r="I877" s="3">
        <v>1952.75</v>
      </c>
      <c r="J877" s="3">
        <v>0</v>
      </c>
      <c r="K877" s="3">
        <v>-56.315493162319299</v>
      </c>
    </row>
    <row r="878" spans="9:11" ht="18" x14ac:dyDescent="0.25">
      <c r="I878" s="3">
        <v>1952.8333333333301</v>
      </c>
      <c r="J878" s="3">
        <v>0</v>
      </c>
      <c r="K878" s="3">
        <v>-60.363889660410898</v>
      </c>
    </row>
    <row r="879" spans="9:11" ht="18" x14ac:dyDescent="0.25">
      <c r="I879" s="3">
        <v>1952.9166666666599</v>
      </c>
      <c r="J879" s="3">
        <v>0</v>
      </c>
      <c r="K879" s="3">
        <v>-65.464390773288898</v>
      </c>
    </row>
    <row r="880" spans="9:11" ht="18" x14ac:dyDescent="0.25">
      <c r="I880" s="3">
        <v>1953</v>
      </c>
      <c r="J880" s="3">
        <v>0</v>
      </c>
      <c r="K880" s="3">
        <v>-66.713608520541001</v>
      </c>
    </row>
    <row r="881" spans="9:11" ht="18" x14ac:dyDescent="0.25">
      <c r="I881" s="3">
        <v>1953.0833333333301</v>
      </c>
      <c r="J881" s="3">
        <v>-210</v>
      </c>
      <c r="K881" s="3">
        <v>-87.752628540083293</v>
      </c>
    </row>
    <row r="882" spans="9:11" ht="18" x14ac:dyDescent="0.25">
      <c r="I882" s="3">
        <v>1953.1666666666599</v>
      </c>
      <c r="J882" s="3">
        <v>-210</v>
      </c>
      <c r="K882" s="3">
        <v>-102.769503602295</v>
      </c>
    </row>
    <row r="883" spans="9:11" ht="18" x14ac:dyDescent="0.25">
      <c r="I883" s="3">
        <v>1953.25</v>
      </c>
      <c r="J883" s="3">
        <v>-190</v>
      </c>
      <c r="K883" s="3">
        <v>-80.610044251400495</v>
      </c>
    </row>
    <row r="884" spans="9:11" ht="18" x14ac:dyDescent="0.25">
      <c r="I884" s="3">
        <v>1953.3333333333301</v>
      </c>
      <c r="J884" s="3">
        <v>-140</v>
      </c>
      <c r="K884" s="3">
        <v>-22.417657847496599</v>
      </c>
    </row>
    <row r="885" spans="9:11" ht="18" x14ac:dyDescent="0.25">
      <c r="I885" s="3">
        <v>1953.4166666666599</v>
      </c>
      <c r="J885" s="3">
        <v>-110</v>
      </c>
      <c r="K885" s="3">
        <v>71.2712618862206</v>
      </c>
    </row>
    <row r="886" spans="9:11" ht="18" x14ac:dyDescent="0.25">
      <c r="I886" s="3">
        <v>1953.5</v>
      </c>
      <c r="J886" s="3">
        <v>-80</v>
      </c>
      <c r="K886" s="3">
        <v>153.25051838990399</v>
      </c>
    </row>
    <row r="887" spans="9:11" ht="18" x14ac:dyDescent="0.25">
      <c r="I887" s="3">
        <v>1953.5833333333301</v>
      </c>
      <c r="J887" s="3">
        <v>-70</v>
      </c>
      <c r="K887" s="3">
        <v>178.521121376694</v>
      </c>
    </row>
    <row r="888" spans="9:11" ht="18" x14ac:dyDescent="0.25">
      <c r="I888" s="3">
        <v>1953.6666666666599</v>
      </c>
      <c r="J888" s="3">
        <v>-50</v>
      </c>
      <c r="K888" s="3">
        <v>187.84717918138199</v>
      </c>
    </row>
    <row r="889" spans="9:11" ht="18" x14ac:dyDescent="0.25">
      <c r="I889" s="3">
        <v>1953.75</v>
      </c>
      <c r="J889" s="3">
        <v>-28</v>
      </c>
      <c r="K889" s="3">
        <v>207.154798483523</v>
      </c>
    </row>
    <row r="890" spans="9:11" ht="18" x14ac:dyDescent="0.25">
      <c r="I890" s="3">
        <v>1953.8333333333301</v>
      </c>
      <c r="J890" s="3">
        <v>-10</v>
      </c>
      <c r="K890" s="3">
        <v>215.25684928944199</v>
      </c>
    </row>
    <row r="891" spans="9:11" ht="18" x14ac:dyDescent="0.25">
      <c r="I891" s="3">
        <v>1953.9166666666599</v>
      </c>
      <c r="J891" s="3">
        <v>15</v>
      </c>
      <c r="K891" s="3">
        <v>208.57145713141099</v>
      </c>
    </row>
    <row r="892" spans="9:11" ht="18" x14ac:dyDescent="0.25">
      <c r="I892" s="3">
        <v>1954</v>
      </c>
      <c r="J892" s="3">
        <v>60</v>
      </c>
      <c r="K892" s="3">
        <v>177.85483679560801</v>
      </c>
    </row>
    <row r="893" spans="9:11" ht="18" x14ac:dyDescent="0.25">
      <c r="I893" s="3">
        <v>1954.0833333333301</v>
      </c>
      <c r="J893" s="3">
        <v>110</v>
      </c>
      <c r="K893" s="3">
        <v>137.405939429737</v>
      </c>
    </row>
    <row r="894" spans="9:11" ht="18" x14ac:dyDescent="0.25">
      <c r="I894" s="3">
        <v>1954.1666666666599</v>
      </c>
      <c r="J894" s="3">
        <v>200</v>
      </c>
      <c r="K894" s="3">
        <v>131.570097968515</v>
      </c>
    </row>
    <row r="895" spans="9:11" ht="18" x14ac:dyDescent="0.25">
      <c r="I895" s="3">
        <v>1954.25</v>
      </c>
      <c r="J895" s="3">
        <v>220</v>
      </c>
      <c r="K895" s="3">
        <v>146.15015626172701</v>
      </c>
    </row>
    <row r="896" spans="9:11" ht="18" x14ac:dyDescent="0.25">
      <c r="I896" s="3">
        <v>1954.3333333333301</v>
      </c>
      <c r="J896" s="3">
        <v>220</v>
      </c>
      <c r="K896" s="3">
        <v>155.957854471129</v>
      </c>
    </row>
    <row r="897" spans="9:11" ht="18" x14ac:dyDescent="0.25">
      <c r="I897" s="3">
        <v>1954.4166666666599</v>
      </c>
      <c r="J897" s="3">
        <v>230</v>
      </c>
      <c r="K897" s="3">
        <v>169.117268363665</v>
      </c>
    </row>
    <row r="898" spans="9:11" ht="18" x14ac:dyDescent="0.25">
      <c r="I898" s="3">
        <v>1954.5</v>
      </c>
      <c r="J898" s="3">
        <v>235</v>
      </c>
      <c r="K898" s="3">
        <v>163.50062081396999</v>
      </c>
    </row>
    <row r="899" spans="9:11" ht="18" x14ac:dyDescent="0.25">
      <c r="I899" s="3">
        <v>1954.5833333333301</v>
      </c>
      <c r="J899" s="3">
        <v>245</v>
      </c>
      <c r="K899" s="3">
        <v>134.28758757996101</v>
      </c>
    </row>
    <row r="900" spans="9:11" ht="18" x14ac:dyDescent="0.25">
      <c r="I900" s="3">
        <v>1954.6666666666599</v>
      </c>
      <c r="J900" s="3">
        <v>245</v>
      </c>
      <c r="K900" s="3">
        <v>108.156297127044</v>
      </c>
    </row>
    <row r="901" spans="9:11" ht="18" x14ac:dyDescent="0.25">
      <c r="I901" s="3">
        <v>1954.75</v>
      </c>
      <c r="J901" s="3">
        <v>185</v>
      </c>
      <c r="K901" s="3">
        <v>71.678941050753807</v>
      </c>
    </row>
    <row r="902" spans="9:11" ht="18" x14ac:dyDescent="0.25">
      <c r="I902" s="3">
        <v>1954.8333333333301</v>
      </c>
      <c r="J902" s="3">
        <v>100</v>
      </c>
      <c r="K902" s="3">
        <v>26.435691110604399</v>
      </c>
    </row>
    <row r="903" spans="9:11" ht="18" x14ac:dyDescent="0.25">
      <c r="I903" s="3">
        <v>1954.9166666666599</v>
      </c>
      <c r="J903" s="3">
        <v>-60</v>
      </c>
      <c r="K903" s="3">
        <v>-0.38874969590490499</v>
      </c>
    </row>
    <row r="904" spans="9:11" ht="18" x14ac:dyDescent="0.25">
      <c r="I904" s="3">
        <v>1955</v>
      </c>
      <c r="J904" s="3">
        <v>-75</v>
      </c>
      <c r="K904" s="3">
        <v>-19.298872399027498</v>
      </c>
    </row>
    <row r="905" spans="9:11" ht="18" x14ac:dyDescent="0.25">
      <c r="I905" s="3">
        <v>1955.0833333333301</v>
      </c>
      <c r="J905" s="3">
        <v>-105</v>
      </c>
      <c r="K905" s="3">
        <v>-32.126122309456498</v>
      </c>
    </row>
    <row r="906" spans="9:11" ht="18" x14ac:dyDescent="0.25">
      <c r="I906" s="3">
        <v>1955.1666666666599</v>
      </c>
      <c r="J906" s="3">
        <v>-105</v>
      </c>
      <c r="K906" s="3">
        <v>-38.457160080895399</v>
      </c>
    </row>
    <row r="907" spans="9:11" ht="18" x14ac:dyDescent="0.25">
      <c r="I907" s="3">
        <v>1955.25</v>
      </c>
      <c r="J907" s="3">
        <v>-108</v>
      </c>
      <c r="K907" s="3">
        <v>-60.271547288925703</v>
      </c>
    </row>
    <row r="908" spans="9:11" ht="18" x14ac:dyDescent="0.25">
      <c r="I908" s="3">
        <v>1955.3333333333301</v>
      </c>
      <c r="J908" s="3">
        <v>-145</v>
      </c>
      <c r="K908" s="3">
        <v>-70.519823811419201</v>
      </c>
    </row>
    <row r="909" spans="9:11" ht="18" x14ac:dyDescent="0.25">
      <c r="I909" s="3">
        <v>1955.4166666666599</v>
      </c>
      <c r="J909" s="3">
        <v>-185</v>
      </c>
      <c r="K909" s="3">
        <v>-48.831649836089198</v>
      </c>
    </row>
    <row r="910" spans="9:11" ht="18" x14ac:dyDescent="0.25">
      <c r="I910" s="3">
        <v>1955.5</v>
      </c>
      <c r="J910" s="3">
        <v>-190</v>
      </c>
      <c r="K910" s="3">
        <v>-40.192936277080797</v>
      </c>
    </row>
    <row r="911" spans="9:11" ht="18" x14ac:dyDescent="0.25">
      <c r="I911" s="3">
        <v>1955.5833333333301</v>
      </c>
      <c r="J911" s="3">
        <v>-190</v>
      </c>
      <c r="K911" s="3">
        <v>-52.678985523185297</v>
      </c>
    </row>
    <row r="912" spans="9:11" ht="18" x14ac:dyDescent="0.25">
      <c r="I912" s="3">
        <v>1955.6666666666599</v>
      </c>
      <c r="J912" s="3">
        <v>-190</v>
      </c>
      <c r="K912" s="3">
        <v>-57.724014375572402</v>
      </c>
    </row>
    <row r="913" spans="9:11" ht="18" x14ac:dyDescent="0.25">
      <c r="I913" s="3">
        <v>1955.75</v>
      </c>
      <c r="J913" s="3">
        <v>-180</v>
      </c>
      <c r="K913" s="3">
        <v>-42.012459178202299</v>
      </c>
    </row>
    <row r="914" spans="9:11" ht="18" x14ac:dyDescent="0.25">
      <c r="I914" s="3">
        <v>1955.8333333333301</v>
      </c>
      <c r="J914" s="3">
        <v>-163</v>
      </c>
      <c r="K914" s="3">
        <v>12.185950646142</v>
      </c>
    </row>
    <row r="915" spans="9:11" ht="18" x14ac:dyDescent="0.25">
      <c r="I915" s="3">
        <v>1955.9166666666599</v>
      </c>
      <c r="J915" s="3">
        <v>-66</v>
      </c>
      <c r="K915" s="3">
        <v>76.264481747024206</v>
      </c>
    </row>
    <row r="916" spans="9:11" ht="18" x14ac:dyDescent="0.25">
      <c r="I916" s="3">
        <v>1956</v>
      </c>
      <c r="J916" s="3">
        <v>-59</v>
      </c>
      <c r="K916" s="3">
        <v>98.686298042739296</v>
      </c>
    </row>
    <row r="917" spans="9:11" ht="18" x14ac:dyDescent="0.25">
      <c r="I917" s="3">
        <v>1956.0833333333301</v>
      </c>
      <c r="J917" s="3">
        <v>22</v>
      </c>
      <c r="K917" s="3">
        <v>99.3261311701811</v>
      </c>
    </row>
    <row r="918" spans="9:11" ht="18" x14ac:dyDescent="0.25">
      <c r="I918" s="3">
        <v>1956.1666666666599</v>
      </c>
      <c r="J918" s="3">
        <v>62</v>
      </c>
      <c r="K918" s="3">
        <v>104.48536939038</v>
      </c>
    </row>
    <row r="919" spans="9:11" ht="18" x14ac:dyDescent="0.25">
      <c r="I919" s="3">
        <v>1956.25</v>
      </c>
      <c r="J919" s="3">
        <v>112</v>
      </c>
      <c r="K919" s="3">
        <v>116.24101148644</v>
      </c>
    </row>
    <row r="920" spans="9:11" ht="18" x14ac:dyDescent="0.25">
      <c r="I920" s="3">
        <v>1956.3333333333301</v>
      </c>
      <c r="J920" s="3">
        <v>222</v>
      </c>
      <c r="K920" s="3">
        <v>155.670316903794</v>
      </c>
    </row>
    <row r="921" spans="9:11" ht="18" x14ac:dyDescent="0.25">
      <c r="I921" s="3">
        <v>1956.4166666666599</v>
      </c>
      <c r="J921" s="3">
        <v>224</v>
      </c>
      <c r="K921" s="3">
        <v>202.488456877099</v>
      </c>
    </row>
    <row r="922" spans="9:11" ht="18" x14ac:dyDescent="0.25">
      <c r="I922" s="3">
        <v>1956.5</v>
      </c>
      <c r="J922" s="3">
        <v>249</v>
      </c>
      <c r="K922" s="3">
        <v>222.26171408923901</v>
      </c>
    </row>
    <row r="923" spans="9:11" ht="18" x14ac:dyDescent="0.25">
      <c r="I923" s="3">
        <v>1956.5833333333301</v>
      </c>
      <c r="J923" s="3">
        <v>252</v>
      </c>
      <c r="K923" s="3">
        <v>236.71741374677299</v>
      </c>
    </row>
    <row r="924" spans="9:11" ht="18" x14ac:dyDescent="0.25">
      <c r="I924" s="3">
        <v>1956.6666666666599</v>
      </c>
      <c r="J924" s="3">
        <v>266</v>
      </c>
      <c r="K924" s="3">
        <v>249.88446943428801</v>
      </c>
    </row>
    <row r="925" spans="9:11" ht="18" x14ac:dyDescent="0.25">
      <c r="I925" s="3">
        <v>1956.75</v>
      </c>
      <c r="J925" s="3">
        <v>276</v>
      </c>
      <c r="K925" s="3">
        <v>244.12502848628299</v>
      </c>
    </row>
    <row r="926" spans="9:11" ht="18" x14ac:dyDescent="0.25">
      <c r="I926" s="3">
        <v>1956.8333333333301</v>
      </c>
      <c r="J926" s="3">
        <v>276</v>
      </c>
      <c r="K926" s="3">
        <v>220.57514347040899</v>
      </c>
    </row>
    <row r="927" spans="9:11" ht="18" x14ac:dyDescent="0.25">
      <c r="I927" s="3">
        <v>1956.9166666666599</v>
      </c>
      <c r="J927" s="3">
        <v>246</v>
      </c>
      <c r="K927" s="3">
        <v>161.410549262595</v>
      </c>
    </row>
    <row r="928" spans="9:11" ht="18" x14ac:dyDescent="0.25">
      <c r="I928" s="3">
        <v>1957</v>
      </c>
      <c r="J928" s="3">
        <v>84</v>
      </c>
      <c r="K928" s="3">
        <v>78.902335731161898</v>
      </c>
    </row>
    <row r="929" spans="9:11" ht="18" x14ac:dyDescent="0.25">
      <c r="I929" s="3">
        <v>1957.0833333333301</v>
      </c>
      <c r="J929" s="3">
        <v>21</v>
      </c>
      <c r="K929" s="3">
        <v>19.566744976113199</v>
      </c>
    </row>
    <row r="930" spans="9:11" ht="18" x14ac:dyDescent="0.25">
      <c r="I930" s="3">
        <v>1957.1666666666599</v>
      </c>
      <c r="J930" s="3">
        <v>13</v>
      </c>
      <c r="K930" s="3">
        <v>-28.675337580161798</v>
      </c>
    </row>
    <row r="931" spans="9:11" ht="18" x14ac:dyDescent="0.25">
      <c r="I931" s="3">
        <v>1957.25</v>
      </c>
      <c r="J931" s="3">
        <v>-92</v>
      </c>
      <c r="K931" s="3">
        <v>-75.768539483007501</v>
      </c>
    </row>
    <row r="932" spans="9:11" ht="18" x14ac:dyDescent="0.25">
      <c r="I932" s="3">
        <v>1957.3333333333301</v>
      </c>
      <c r="J932" s="3">
        <v>-120</v>
      </c>
      <c r="K932" s="3">
        <v>-89.554783312991106</v>
      </c>
    </row>
    <row r="933" spans="9:11" ht="18" x14ac:dyDescent="0.25">
      <c r="I933" s="3">
        <v>1957.4166666666599</v>
      </c>
      <c r="J933" s="3">
        <v>-137</v>
      </c>
      <c r="K933" s="3">
        <v>-77.234343217033398</v>
      </c>
    </row>
    <row r="934" spans="9:11" ht="18" x14ac:dyDescent="0.25">
      <c r="I934" s="3">
        <v>1957.5</v>
      </c>
      <c r="J934" s="3">
        <v>-141</v>
      </c>
      <c r="K934" s="3">
        <v>-56.528679536774</v>
      </c>
    </row>
    <row r="935" spans="9:11" ht="18" x14ac:dyDescent="0.25">
      <c r="I935" s="3">
        <v>1957.5833333333301</v>
      </c>
      <c r="J935" s="3">
        <v>-147</v>
      </c>
      <c r="K935" s="3">
        <v>-36.070252188465197</v>
      </c>
    </row>
    <row r="936" spans="9:11" ht="18" x14ac:dyDescent="0.25">
      <c r="I936" s="3">
        <v>1957.6666666666599</v>
      </c>
      <c r="J936" s="3">
        <v>-160</v>
      </c>
      <c r="K936" s="3">
        <v>-40.588597443011203</v>
      </c>
    </row>
    <row r="937" spans="9:11" ht="18" x14ac:dyDescent="0.25">
      <c r="I937" s="3">
        <v>1957.75</v>
      </c>
      <c r="J937" s="3">
        <v>-160</v>
      </c>
      <c r="K937" s="3">
        <v>-47.522965798956598</v>
      </c>
    </row>
    <row r="938" spans="9:11" ht="18" x14ac:dyDescent="0.25">
      <c r="I938" s="3">
        <v>1957.8333333333301</v>
      </c>
      <c r="J938" s="3">
        <v>-144</v>
      </c>
      <c r="K938" s="3">
        <v>-25.666142758198401</v>
      </c>
    </row>
    <row r="939" spans="9:11" ht="18" x14ac:dyDescent="0.25">
      <c r="I939" s="3">
        <v>1957.9166666666599</v>
      </c>
      <c r="J939" s="3">
        <v>-117</v>
      </c>
      <c r="K939" s="3">
        <v>-5.2851108271559699</v>
      </c>
    </row>
    <row r="940" spans="9:11" ht="18" x14ac:dyDescent="0.25">
      <c r="I940" s="3">
        <v>1958</v>
      </c>
      <c r="J940" s="3">
        <v>-110</v>
      </c>
      <c r="K940" s="3">
        <v>2.3488813273242299</v>
      </c>
    </row>
    <row r="941" spans="9:11" ht="18" x14ac:dyDescent="0.25">
      <c r="I941" s="3">
        <v>1958.0833333333301</v>
      </c>
      <c r="J941" s="3">
        <v>-60</v>
      </c>
      <c r="K941" s="3">
        <v>6.7917158160583702</v>
      </c>
    </row>
    <row r="942" spans="9:11" ht="18" x14ac:dyDescent="0.25">
      <c r="I942" s="3">
        <v>1958.1666666666599</v>
      </c>
      <c r="J942" s="3">
        <v>-49</v>
      </c>
      <c r="K942" s="3">
        <v>3.5488642568923701</v>
      </c>
    </row>
    <row r="943" spans="9:11" ht="18" x14ac:dyDescent="0.25">
      <c r="I943" s="3">
        <v>1958.25</v>
      </c>
      <c r="J943" s="3">
        <v>-37</v>
      </c>
      <c r="K943" s="3">
        <v>30.7211930321347</v>
      </c>
    </row>
    <row r="944" spans="9:11" ht="18" x14ac:dyDescent="0.25">
      <c r="I944" s="3">
        <v>1958.3333333333301</v>
      </c>
      <c r="J944" s="3">
        <v>63</v>
      </c>
      <c r="K944" s="3">
        <v>108.49644577053699</v>
      </c>
    </row>
    <row r="945" spans="9:11" ht="18" x14ac:dyDescent="0.25">
      <c r="I945" s="3">
        <v>1958.4166666666599</v>
      </c>
      <c r="J945" s="3">
        <v>197</v>
      </c>
      <c r="K945" s="3">
        <v>188.56440755530099</v>
      </c>
    </row>
    <row r="946" spans="9:11" ht="18" x14ac:dyDescent="0.25">
      <c r="I946" s="3">
        <v>1958.5</v>
      </c>
      <c r="J946" s="3">
        <v>204</v>
      </c>
      <c r="K946" s="3">
        <v>243.22133071251</v>
      </c>
    </row>
    <row r="947" spans="9:11" ht="18" x14ac:dyDescent="0.25">
      <c r="I947" s="3">
        <v>1958.5833333333301</v>
      </c>
      <c r="J947" s="3">
        <v>233</v>
      </c>
      <c r="K947" s="3">
        <v>265.06744560321499</v>
      </c>
    </row>
    <row r="948" spans="9:11" ht="18" x14ac:dyDescent="0.25">
      <c r="I948" s="3">
        <v>1958.6666666666599</v>
      </c>
      <c r="J948" s="3">
        <v>257</v>
      </c>
      <c r="K948" s="3">
        <v>255.650141227315</v>
      </c>
    </row>
    <row r="949" spans="9:11" ht="18" x14ac:dyDescent="0.25">
      <c r="I949" s="3">
        <v>1958.75</v>
      </c>
      <c r="J949" s="3">
        <v>277</v>
      </c>
      <c r="K949" s="3">
        <v>250.942232360758</v>
      </c>
    </row>
    <row r="950" spans="9:11" ht="18" x14ac:dyDescent="0.25">
      <c r="I950" s="3">
        <v>1958.8333333333301</v>
      </c>
      <c r="J950" s="3">
        <v>304</v>
      </c>
      <c r="K950" s="3">
        <v>240.78339358620201</v>
      </c>
    </row>
    <row r="951" spans="9:11" ht="18" x14ac:dyDescent="0.25">
      <c r="I951" s="3">
        <v>1958.9166666666599</v>
      </c>
      <c r="J951" s="3">
        <v>330</v>
      </c>
      <c r="K951" s="3">
        <v>189.317887713098</v>
      </c>
    </row>
    <row r="952" spans="9:11" ht="18" x14ac:dyDescent="0.25">
      <c r="I952" s="3">
        <v>1959</v>
      </c>
      <c r="J952" s="3">
        <v>330</v>
      </c>
      <c r="K952" s="3">
        <v>130.10488036894901</v>
      </c>
    </row>
    <row r="953" spans="9:11" ht="18" x14ac:dyDescent="0.25">
      <c r="I953" s="3">
        <v>1959.0833333333301</v>
      </c>
      <c r="J953" s="3">
        <v>267</v>
      </c>
      <c r="K953" s="3">
        <v>90.792786374702999</v>
      </c>
    </row>
    <row r="954" spans="9:11" ht="18" x14ac:dyDescent="0.25">
      <c r="I954" s="3">
        <v>1959.1666666666599</v>
      </c>
      <c r="J954" s="3">
        <v>258</v>
      </c>
      <c r="K954" s="3">
        <v>62.038128112687801</v>
      </c>
    </row>
    <row r="955" spans="9:11" ht="18" x14ac:dyDescent="0.25">
      <c r="I955" s="3">
        <v>1959.25</v>
      </c>
      <c r="J955" s="3">
        <v>255</v>
      </c>
      <c r="K955" s="3">
        <v>48.330508051984701</v>
      </c>
    </row>
    <row r="956" spans="9:11" ht="18" x14ac:dyDescent="0.25">
      <c r="I956" s="3">
        <v>1959.3333333333301</v>
      </c>
      <c r="J956" s="3">
        <v>217</v>
      </c>
      <c r="K956" s="3">
        <v>29.564834366602799</v>
      </c>
    </row>
    <row r="957" spans="9:11" ht="18" x14ac:dyDescent="0.25">
      <c r="I957" s="3">
        <v>1959.4166666666599</v>
      </c>
      <c r="J957" s="3">
        <v>60</v>
      </c>
      <c r="K957" s="3">
        <v>-8.72894639347329</v>
      </c>
    </row>
    <row r="958" spans="9:11" ht="18" x14ac:dyDescent="0.25">
      <c r="I958" s="3">
        <v>1959.5</v>
      </c>
      <c r="J958" s="3">
        <v>-135</v>
      </c>
      <c r="K958" s="3">
        <v>-42.997859873208</v>
      </c>
    </row>
    <row r="959" spans="9:11" ht="18" x14ac:dyDescent="0.25">
      <c r="I959" s="3">
        <v>1959.5833333333301</v>
      </c>
      <c r="J959" s="3">
        <v>-193</v>
      </c>
      <c r="K959" s="3">
        <v>-83.345680001176703</v>
      </c>
    </row>
    <row r="960" spans="9:11" ht="18" x14ac:dyDescent="0.25">
      <c r="I960" s="3">
        <v>1959.6666666666599</v>
      </c>
      <c r="J960" s="3">
        <v>-193</v>
      </c>
      <c r="K960" s="3">
        <v>-132.40042229974401</v>
      </c>
    </row>
    <row r="961" spans="9:11" ht="18" x14ac:dyDescent="0.25">
      <c r="I961" s="3">
        <v>1959.75</v>
      </c>
      <c r="J961" s="3">
        <v>-190</v>
      </c>
      <c r="K961" s="3">
        <v>-152.48270316554999</v>
      </c>
    </row>
    <row r="962" spans="9:11" ht="18" x14ac:dyDescent="0.25">
      <c r="I962" s="3">
        <v>1959.8333333333301</v>
      </c>
      <c r="J962" s="3">
        <v>-127</v>
      </c>
      <c r="K962" s="3">
        <v>-146.02750651972801</v>
      </c>
    </row>
    <row r="963" spans="9:11" ht="18" x14ac:dyDescent="0.25">
      <c r="I963" s="3">
        <v>1959.9166666666599</v>
      </c>
      <c r="J963" s="3">
        <v>-83</v>
      </c>
      <c r="K963" s="3">
        <v>-120.58496527566901</v>
      </c>
    </row>
    <row r="964" spans="9:11" ht="18" x14ac:dyDescent="0.25">
      <c r="I964" s="3">
        <v>1960</v>
      </c>
      <c r="J964" s="3">
        <v>-40</v>
      </c>
      <c r="K964" s="3">
        <v>-68.571723906710503</v>
      </c>
    </row>
    <row r="965" spans="9:11" ht="18" x14ac:dyDescent="0.25">
      <c r="I965" s="3">
        <v>1960.0833333333301</v>
      </c>
      <c r="J965" s="3">
        <v>2</v>
      </c>
      <c r="K965" s="3">
        <v>-27.436509947216699</v>
      </c>
    </row>
    <row r="966" spans="9:11" ht="18" x14ac:dyDescent="0.25">
      <c r="I966" s="3">
        <v>1960.1666666666599</v>
      </c>
      <c r="J966" s="3">
        <v>18</v>
      </c>
      <c r="K966" s="3">
        <v>-9.43030666608405</v>
      </c>
    </row>
    <row r="967" spans="9:11" ht="18" x14ac:dyDescent="0.25">
      <c r="I967" s="3">
        <v>1960.25</v>
      </c>
      <c r="J967" s="3">
        <v>46</v>
      </c>
      <c r="K967" s="3">
        <v>21.806610018827602</v>
      </c>
    </row>
    <row r="968" spans="9:11" ht="18" x14ac:dyDescent="0.25">
      <c r="I968" s="3">
        <v>1960.3333333333301</v>
      </c>
      <c r="J968" s="3">
        <v>124</v>
      </c>
      <c r="K968" s="3">
        <v>73.391529071533697</v>
      </c>
    </row>
    <row r="969" spans="9:11" ht="18" x14ac:dyDescent="0.25">
      <c r="I969" s="3">
        <v>1960.4166666666599</v>
      </c>
      <c r="J969" s="3">
        <v>182</v>
      </c>
      <c r="K969" s="3">
        <v>145.024771922122</v>
      </c>
    </row>
    <row r="970" spans="9:11" ht="18" x14ac:dyDescent="0.25">
      <c r="I970" s="3">
        <v>1960.5</v>
      </c>
      <c r="J970" s="3">
        <v>252</v>
      </c>
      <c r="K970" s="3">
        <v>219.48078489492801</v>
      </c>
    </row>
    <row r="971" spans="9:11" ht="18" x14ac:dyDescent="0.25">
      <c r="I971" s="3">
        <v>1960.5833333333301</v>
      </c>
      <c r="J971" s="3">
        <v>256</v>
      </c>
      <c r="K971" s="3">
        <v>252.64183366988999</v>
      </c>
    </row>
    <row r="972" spans="9:11" ht="18" x14ac:dyDescent="0.25">
      <c r="I972" s="3">
        <v>1960.6666666666599</v>
      </c>
      <c r="J972" s="3">
        <v>256</v>
      </c>
      <c r="K972" s="3">
        <v>267.264966190341</v>
      </c>
    </row>
    <row r="973" spans="9:11" ht="18" x14ac:dyDescent="0.25">
      <c r="I973" s="3">
        <v>1960.75</v>
      </c>
      <c r="J973" s="3">
        <v>255</v>
      </c>
      <c r="K973" s="3">
        <v>302.105722366348</v>
      </c>
    </row>
    <row r="974" spans="9:11" ht="18" x14ac:dyDescent="0.25">
      <c r="I974" s="3">
        <v>1960.8333333333301</v>
      </c>
      <c r="J974" s="3">
        <v>249</v>
      </c>
      <c r="K974" s="3">
        <v>324.08571092588397</v>
      </c>
    </row>
    <row r="975" spans="9:11" ht="18" x14ac:dyDescent="0.25">
      <c r="I975" s="3">
        <v>1960.9166666666599</v>
      </c>
      <c r="J975" s="3">
        <v>208</v>
      </c>
      <c r="K975" s="3">
        <v>309.34575381295099</v>
      </c>
    </row>
    <row r="976" spans="9:11" ht="18" x14ac:dyDescent="0.25">
      <c r="I976" s="3">
        <v>1961</v>
      </c>
      <c r="J976" s="3">
        <v>155</v>
      </c>
      <c r="K976" s="3">
        <v>258.879753491651</v>
      </c>
    </row>
    <row r="977" spans="9:11" ht="18" x14ac:dyDescent="0.25">
      <c r="I977" s="3">
        <v>1961.0833333333301</v>
      </c>
      <c r="J977" s="3">
        <v>13</v>
      </c>
      <c r="K977" s="3">
        <v>176.54820880064699</v>
      </c>
    </row>
    <row r="978" spans="9:11" ht="18" x14ac:dyDescent="0.25">
      <c r="I978" s="3">
        <v>1961.1666666666599</v>
      </c>
      <c r="J978" s="3">
        <v>-29</v>
      </c>
      <c r="K978" s="3">
        <v>106.97835154332699</v>
      </c>
    </row>
    <row r="979" spans="9:11" ht="18" x14ac:dyDescent="0.25">
      <c r="I979" s="3">
        <v>1961.25</v>
      </c>
      <c r="J979" s="3">
        <v>-38</v>
      </c>
      <c r="K979" s="3">
        <v>67.961945552662002</v>
      </c>
    </row>
    <row r="980" spans="9:11" ht="18" x14ac:dyDescent="0.25">
      <c r="I980" s="3">
        <v>1961.3333333333301</v>
      </c>
      <c r="J980" s="3">
        <v>-114</v>
      </c>
      <c r="K980" s="3">
        <v>31.5970129185852</v>
      </c>
    </row>
    <row r="981" spans="9:11" ht="18" x14ac:dyDescent="0.25">
      <c r="I981" s="3">
        <v>1961.4166666666599</v>
      </c>
      <c r="J981" s="3">
        <v>-142</v>
      </c>
      <c r="K981" s="3">
        <v>4.2639875802623104</v>
      </c>
    </row>
    <row r="982" spans="9:11" ht="18" x14ac:dyDescent="0.25">
      <c r="I982" s="3">
        <v>1961.5</v>
      </c>
      <c r="J982" s="3">
        <v>-142</v>
      </c>
      <c r="K982" s="3">
        <v>-16.121456324617899</v>
      </c>
    </row>
    <row r="983" spans="9:11" ht="18" x14ac:dyDescent="0.25">
      <c r="I983" s="3">
        <v>1961.5833333333301</v>
      </c>
      <c r="J983" s="3">
        <v>-140</v>
      </c>
      <c r="K983" s="3">
        <v>-45.825003304450398</v>
      </c>
    </row>
    <row r="984" spans="9:11" ht="18" x14ac:dyDescent="0.25">
      <c r="I984" s="3">
        <v>1961.6666666666599</v>
      </c>
      <c r="J984" s="3">
        <v>-126</v>
      </c>
      <c r="K984" s="3">
        <v>-60.2550063867373</v>
      </c>
    </row>
    <row r="985" spans="9:11" ht="18" x14ac:dyDescent="0.25">
      <c r="I985" s="3">
        <v>1961.75</v>
      </c>
      <c r="J985" s="3">
        <v>-98</v>
      </c>
      <c r="K985" s="3">
        <v>-65.493048276913001</v>
      </c>
    </row>
    <row r="986" spans="9:11" ht="18" x14ac:dyDescent="0.25">
      <c r="I986" s="3">
        <v>1961.8333333333301</v>
      </c>
      <c r="J986" s="3">
        <v>-98</v>
      </c>
      <c r="K986" s="3">
        <v>-90.911902210694805</v>
      </c>
    </row>
    <row r="987" spans="9:11" ht="18" x14ac:dyDescent="0.25">
      <c r="I987" s="3">
        <v>1961.9166666666599</v>
      </c>
      <c r="J987" s="3">
        <v>-98</v>
      </c>
      <c r="K987" s="3">
        <v>-116.229510632688</v>
      </c>
    </row>
    <row r="988" spans="9:11" ht="18" x14ac:dyDescent="0.25">
      <c r="I988" s="3">
        <v>1962</v>
      </c>
      <c r="J988" s="3">
        <v>-69</v>
      </c>
      <c r="K988" s="3">
        <v>-133.874970560229</v>
      </c>
    </row>
    <row r="989" spans="9:11" ht="18" x14ac:dyDescent="0.25">
      <c r="I989" s="3">
        <v>1962.0833333333301</v>
      </c>
      <c r="J989" s="3">
        <v>-69</v>
      </c>
      <c r="K989" s="3">
        <v>-150.986636272053</v>
      </c>
    </row>
    <row r="990" spans="9:11" ht="18" x14ac:dyDescent="0.25">
      <c r="I990" s="3">
        <v>1962.1666666666599</v>
      </c>
      <c r="J990" s="3">
        <v>-55</v>
      </c>
      <c r="K990" s="3">
        <v>-148.77872347429999</v>
      </c>
    </row>
    <row r="991" spans="9:11" ht="18" x14ac:dyDescent="0.25">
      <c r="I991" s="3">
        <v>1962.25</v>
      </c>
      <c r="J991" s="3">
        <v>-49</v>
      </c>
      <c r="K991" s="3">
        <v>-129.51138074711801</v>
      </c>
    </row>
    <row r="992" spans="9:11" ht="18" x14ac:dyDescent="0.25">
      <c r="I992" s="3">
        <v>1962.3333333333301</v>
      </c>
      <c r="J992" s="3">
        <v>27</v>
      </c>
      <c r="K992" s="3">
        <v>-82.271018507308298</v>
      </c>
    </row>
    <row r="993" spans="9:11" ht="18" x14ac:dyDescent="0.25">
      <c r="I993" s="3">
        <v>1962.4166666666599</v>
      </c>
      <c r="J993" s="3">
        <v>161</v>
      </c>
      <c r="K993" s="3">
        <v>18.4126165669479</v>
      </c>
    </row>
    <row r="994" spans="9:11" ht="18" x14ac:dyDescent="0.25">
      <c r="I994" s="3">
        <v>1962.5</v>
      </c>
      <c r="J994" s="3">
        <v>228</v>
      </c>
      <c r="K994" s="3">
        <v>122.919828521181</v>
      </c>
    </row>
    <row r="995" spans="9:11" ht="18" x14ac:dyDescent="0.25">
      <c r="I995" s="3">
        <v>1962.5833333333301</v>
      </c>
      <c r="J995" s="3">
        <v>252</v>
      </c>
      <c r="K995" s="3">
        <v>181.76231211519101</v>
      </c>
    </row>
    <row r="996" spans="9:11" ht="18" x14ac:dyDescent="0.25">
      <c r="I996" s="3">
        <v>1962.6666666666599</v>
      </c>
      <c r="J996" s="3">
        <v>275</v>
      </c>
      <c r="K996" s="3">
        <v>213.40053988247399</v>
      </c>
    </row>
    <row r="997" spans="9:11" ht="18" x14ac:dyDescent="0.25">
      <c r="I997" s="3">
        <v>1962.75</v>
      </c>
      <c r="J997" s="3">
        <v>280</v>
      </c>
      <c r="K997" s="3">
        <v>229.285354352007</v>
      </c>
    </row>
    <row r="998" spans="9:11" ht="18" x14ac:dyDescent="0.25">
      <c r="I998" s="3">
        <v>1962.8333333333301</v>
      </c>
      <c r="J998" s="3">
        <v>302</v>
      </c>
      <c r="K998" s="3">
        <v>241.212547609745</v>
      </c>
    </row>
    <row r="999" spans="9:11" ht="18" x14ac:dyDescent="0.25">
      <c r="I999" s="3">
        <v>1962.9166666666599</v>
      </c>
      <c r="J999" s="3">
        <v>302</v>
      </c>
      <c r="K999" s="3">
        <v>257.30028462977901</v>
      </c>
    </row>
    <row r="1000" spans="9:11" ht="18" x14ac:dyDescent="0.25">
      <c r="I1000" s="3">
        <v>1963</v>
      </c>
      <c r="J1000" s="3">
        <v>292</v>
      </c>
      <c r="K1000" s="3">
        <v>245.984722956741</v>
      </c>
    </row>
    <row r="1001" spans="9:11" ht="18" x14ac:dyDescent="0.25">
      <c r="I1001" s="3">
        <v>1963.0833333333301</v>
      </c>
      <c r="J1001" s="3">
        <v>292</v>
      </c>
      <c r="K1001" s="3">
        <v>216.60936058904301</v>
      </c>
    </row>
    <row r="1002" spans="9:11" ht="18" x14ac:dyDescent="0.25">
      <c r="I1002" s="3">
        <v>1963.1666666666599</v>
      </c>
      <c r="J1002" s="3">
        <v>333</v>
      </c>
      <c r="K1002" s="3">
        <v>207.99380260927799</v>
      </c>
    </row>
    <row r="1003" spans="9:11" ht="18" x14ac:dyDescent="0.25">
      <c r="I1003" s="3">
        <v>1963.25</v>
      </c>
      <c r="J1003" s="3">
        <v>333</v>
      </c>
      <c r="K1003" s="3">
        <v>211.01309486399299</v>
      </c>
    </row>
    <row r="1004" spans="9:11" ht="18" x14ac:dyDescent="0.25">
      <c r="I1004" s="3">
        <v>1963.3333333333301</v>
      </c>
      <c r="J1004" s="3">
        <v>328</v>
      </c>
      <c r="K1004" s="3">
        <v>219.441112032142</v>
      </c>
    </row>
    <row r="1005" spans="9:11" ht="18" x14ac:dyDescent="0.25">
      <c r="I1005" s="3">
        <v>1963.4166666666599</v>
      </c>
      <c r="J1005" s="3">
        <v>317</v>
      </c>
      <c r="K1005" s="3">
        <v>219.12134329186199</v>
      </c>
    </row>
    <row r="1006" spans="9:11" ht="18" x14ac:dyDescent="0.25">
      <c r="I1006" s="3">
        <v>1963.5</v>
      </c>
      <c r="J1006" s="3">
        <v>215</v>
      </c>
      <c r="K1006" s="3">
        <v>167.88182375535899</v>
      </c>
    </row>
    <row r="1007" spans="9:11" ht="18" x14ac:dyDescent="0.25">
      <c r="I1007" s="3">
        <v>1963.5833333333301</v>
      </c>
      <c r="J1007" s="3">
        <v>15</v>
      </c>
      <c r="K1007" s="3">
        <v>88.648111336306002</v>
      </c>
    </row>
    <row r="1008" spans="9:11" ht="18" x14ac:dyDescent="0.25">
      <c r="I1008" s="3">
        <v>1963.6666666666599</v>
      </c>
      <c r="J1008" s="3">
        <v>-36</v>
      </c>
      <c r="K1008" s="3">
        <v>29.048044456720501</v>
      </c>
    </row>
    <row r="1009" spans="9:11" ht="18" x14ac:dyDescent="0.25">
      <c r="I1009" s="3">
        <v>1963.75</v>
      </c>
      <c r="J1009" s="3">
        <v>-65</v>
      </c>
      <c r="K1009" s="3">
        <v>-15.0864194598374</v>
      </c>
    </row>
    <row r="1010" spans="9:11" ht="18" x14ac:dyDescent="0.25">
      <c r="I1010" s="3">
        <v>1963.8333333333301</v>
      </c>
      <c r="J1010" s="3">
        <v>-70</v>
      </c>
      <c r="K1010" s="3">
        <v>-45.298900956536798</v>
      </c>
    </row>
    <row r="1011" spans="9:11" ht="18" x14ac:dyDescent="0.25">
      <c r="I1011" s="3">
        <v>1963.9166666666599</v>
      </c>
      <c r="J1011" s="3">
        <v>-70</v>
      </c>
      <c r="K1011" s="3">
        <v>-69.809928832106493</v>
      </c>
    </row>
    <row r="1012" spans="9:11" ht="18" x14ac:dyDescent="0.25">
      <c r="I1012" s="3">
        <v>1964</v>
      </c>
      <c r="J1012" s="3">
        <v>-70</v>
      </c>
      <c r="K1012" s="3">
        <v>-102.689663570306</v>
      </c>
    </row>
    <row r="1013" spans="9:11" ht="18" x14ac:dyDescent="0.25">
      <c r="I1013" s="3">
        <v>1964.0833333333301</v>
      </c>
      <c r="J1013" s="3">
        <v>-35</v>
      </c>
      <c r="K1013" s="3">
        <v>-115.12429874989699</v>
      </c>
    </row>
    <row r="1014" spans="9:11" ht="18" x14ac:dyDescent="0.25">
      <c r="I1014" s="3">
        <v>1964.1666666666599</v>
      </c>
      <c r="J1014" s="3">
        <v>-35</v>
      </c>
      <c r="K1014" s="3">
        <v>-108.99141971657301</v>
      </c>
    </row>
    <row r="1015" spans="9:11" ht="18" x14ac:dyDescent="0.25">
      <c r="I1015" s="3">
        <v>1964.25</v>
      </c>
      <c r="J1015" s="3">
        <v>-54</v>
      </c>
      <c r="K1015" s="3">
        <v>-113.997877531559</v>
      </c>
    </row>
    <row r="1016" spans="9:11" ht="18" x14ac:dyDescent="0.25">
      <c r="I1016" s="3">
        <v>1964.3333333333301</v>
      </c>
      <c r="J1016" s="3">
        <v>-64</v>
      </c>
      <c r="K1016" s="3">
        <v>-102.103647605425</v>
      </c>
    </row>
    <row r="1017" spans="9:11" ht="18" x14ac:dyDescent="0.25">
      <c r="I1017" s="3">
        <v>1964.4166666666599</v>
      </c>
      <c r="J1017" s="3">
        <v>-64</v>
      </c>
      <c r="K1017" s="3">
        <v>-59.531490499539501</v>
      </c>
    </row>
    <row r="1018" spans="9:11" ht="18" x14ac:dyDescent="0.25">
      <c r="I1018" s="3">
        <v>1964.5</v>
      </c>
      <c r="J1018" s="3">
        <v>-61</v>
      </c>
      <c r="K1018" s="3">
        <v>-13.088767070553899</v>
      </c>
    </row>
    <row r="1019" spans="9:11" ht="18" x14ac:dyDescent="0.25">
      <c r="I1019" s="3">
        <v>1964.5833333333301</v>
      </c>
      <c r="J1019" s="3">
        <v>-37</v>
      </c>
      <c r="K1019" s="3">
        <v>32.475048734154001</v>
      </c>
    </row>
    <row r="1020" spans="9:11" ht="18" x14ac:dyDescent="0.25">
      <c r="I1020" s="3">
        <v>1964.6666666666599</v>
      </c>
      <c r="J1020" s="3">
        <v>-27</v>
      </c>
      <c r="K1020" s="3">
        <v>61.5718152920496</v>
      </c>
    </row>
    <row r="1021" spans="9:11" ht="18" x14ac:dyDescent="0.25">
      <c r="I1021" s="3">
        <v>1964.75</v>
      </c>
      <c r="J1021" s="3">
        <v>-32</v>
      </c>
      <c r="K1021" s="3">
        <v>70.803944199096605</v>
      </c>
    </row>
    <row r="1022" spans="9:11" ht="18" x14ac:dyDescent="0.25">
      <c r="I1022" s="3">
        <v>1964.8333333333301</v>
      </c>
      <c r="J1022" s="3">
        <v>-20</v>
      </c>
      <c r="K1022" s="3">
        <v>94.482147659698398</v>
      </c>
    </row>
    <row r="1023" spans="9:11" ht="18" x14ac:dyDescent="0.25">
      <c r="I1023" s="3">
        <v>1964.9166666666599</v>
      </c>
      <c r="J1023" s="3">
        <v>-19</v>
      </c>
      <c r="K1023" s="3">
        <v>120.38380014255</v>
      </c>
    </row>
    <row r="1024" spans="9:11" ht="18" x14ac:dyDescent="0.25">
      <c r="I1024" s="3">
        <v>1965</v>
      </c>
      <c r="J1024" s="3">
        <v>-15</v>
      </c>
      <c r="K1024" s="3">
        <v>123.74735341852499</v>
      </c>
    </row>
    <row r="1025" spans="9:11" ht="18" x14ac:dyDescent="0.25">
      <c r="I1025" s="3">
        <v>1965.0833333333301</v>
      </c>
      <c r="J1025" s="3">
        <v>-7</v>
      </c>
      <c r="K1025" s="3">
        <v>119.96155365758</v>
      </c>
    </row>
    <row r="1026" spans="9:11" ht="18" x14ac:dyDescent="0.25">
      <c r="I1026" s="3">
        <v>1965.1666666666599</v>
      </c>
      <c r="J1026" s="3">
        <v>12</v>
      </c>
      <c r="K1026" s="3">
        <v>106.46518970885499</v>
      </c>
    </row>
    <row r="1027" spans="9:11" ht="18" x14ac:dyDescent="0.25">
      <c r="I1027" s="3">
        <v>1965.25</v>
      </c>
      <c r="J1027" s="3">
        <v>37</v>
      </c>
      <c r="K1027" s="3">
        <v>98.388482856559605</v>
      </c>
    </row>
    <row r="1028" spans="9:11" ht="18" x14ac:dyDescent="0.25">
      <c r="I1028" s="3">
        <v>1965.3333333333301</v>
      </c>
      <c r="J1028" s="3">
        <v>157</v>
      </c>
      <c r="K1028" s="3">
        <v>130.47710467019999</v>
      </c>
    </row>
    <row r="1029" spans="9:11" ht="18" x14ac:dyDescent="0.25">
      <c r="I1029" s="3">
        <v>1965.4166666666599</v>
      </c>
      <c r="J1029" s="3">
        <v>242</v>
      </c>
      <c r="K1029" s="3">
        <v>168.28759603158201</v>
      </c>
    </row>
    <row r="1030" spans="9:11" ht="18" x14ac:dyDescent="0.25">
      <c r="I1030" s="3">
        <v>1965.5</v>
      </c>
      <c r="J1030" s="3">
        <v>268</v>
      </c>
      <c r="K1030" s="3">
        <v>174.303303529885</v>
      </c>
    </row>
    <row r="1031" spans="9:11" ht="18" x14ac:dyDescent="0.25">
      <c r="I1031" s="3">
        <v>1965.5833333333301</v>
      </c>
      <c r="J1031" s="3">
        <v>287</v>
      </c>
      <c r="K1031" s="3">
        <v>163.96120592387501</v>
      </c>
    </row>
    <row r="1032" spans="9:11" ht="18" x14ac:dyDescent="0.25">
      <c r="I1032" s="3">
        <v>1965.6666666666599</v>
      </c>
      <c r="J1032" s="3">
        <v>291</v>
      </c>
      <c r="K1032" s="3">
        <v>150.66045692788799</v>
      </c>
    </row>
    <row r="1033" spans="9:11" ht="18" x14ac:dyDescent="0.25">
      <c r="I1033" s="3">
        <v>1965.75</v>
      </c>
      <c r="J1033" s="3">
        <v>319</v>
      </c>
      <c r="K1033" s="3">
        <v>157.73047234409199</v>
      </c>
    </row>
    <row r="1034" spans="9:11" ht="18" x14ac:dyDescent="0.25">
      <c r="I1034" s="3">
        <v>1965.8333333333301</v>
      </c>
      <c r="J1034" s="3">
        <v>321</v>
      </c>
      <c r="K1034" s="3">
        <v>183.18244502646399</v>
      </c>
    </row>
    <row r="1035" spans="9:11" ht="18" x14ac:dyDescent="0.25">
      <c r="I1035" s="3">
        <v>1965.9166666666599</v>
      </c>
      <c r="J1035" s="3">
        <v>329</v>
      </c>
      <c r="K1035" s="3">
        <v>170.67752590880099</v>
      </c>
    </row>
    <row r="1036" spans="9:11" ht="18" x14ac:dyDescent="0.25">
      <c r="I1036" s="3">
        <v>1966</v>
      </c>
      <c r="J1036" s="3">
        <v>329</v>
      </c>
      <c r="K1036" s="3">
        <v>119.858925633154</v>
      </c>
    </row>
    <row r="1037" spans="9:11" ht="18" x14ac:dyDescent="0.25">
      <c r="I1037" s="3">
        <v>1966.0833333333301</v>
      </c>
      <c r="J1037" s="3">
        <v>302</v>
      </c>
      <c r="K1037" s="3">
        <v>71.670793356680804</v>
      </c>
    </row>
    <row r="1038" spans="9:11" ht="18" x14ac:dyDescent="0.25">
      <c r="I1038" s="3">
        <v>1966.1666666666599</v>
      </c>
      <c r="J1038" s="3">
        <v>207</v>
      </c>
      <c r="K1038" s="3">
        <v>25.102668774381101</v>
      </c>
    </row>
    <row r="1039" spans="9:11" ht="18" x14ac:dyDescent="0.25">
      <c r="I1039" s="3">
        <v>1966.25</v>
      </c>
      <c r="J1039" s="3">
        <v>70</v>
      </c>
      <c r="K1039" s="3">
        <v>-7.7354821248818801</v>
      </c>
    </row>
    <row r="1040" spans="9:11" ht="18" x14ac:dyDescent="0.25">
      <c r="I1040" s="3">
        <v>1966.3333333333301</v>
      </c>
      <c r="J1040" s="3">
        <v>-57</v>
      </c>
      <c r="K1040" s="3">
        <v>-13.3090536499649</v>
      </c>
    </row>
    <row r="1041" spans="9:11" ht="18" x14ac:dyDescent="0.25">
      <c r="I1041" s="3">
        <v>1966.4166666666599</v>
      </c>
      <c r="J1041" s="3">
        <v>-136</v>
      </c>
      <c r="K1041" s="3">
        <v>-9.7547647107847908</v>
      </c>
    </row>
    <row r="1042" spans="9:11" ht="18" x14ac:dyDescent="0.25">
      <c r="I1042" s="3">
        <v>1966.5</v>
      </c>
      <c r="J1042" s="3">
        <v>-148</v>
      </c>
      <c r="K1042" s="3">
        <v>10.746924215468299</v>
      </c>
    </row>
    <row r="1043" spans="9:11" ht="18" x14ac:dyDescent="0.25">
      <c r="I1043" s="3">
        <v>1966.5833333333301</v>
      </c>
      <c r="J1043" s="3">
        <v>-153</v>
      </c>
      <c r="K1043" s="3">
        <v>41.530744036351301</v>
      </c>
    </row>
    <row r="1044" spans="9:11" ht="18" x14ac:dyDescent="0.25">
      <c r="I1044" s="3">
        <v>1966.6666666666599</v>
      </c>
      <c r="J1044" s="3">
        <v>-153</v>
      </c>
      <c r="K1044" s="3">
        <v>46.318775993009403</v>
      </c>
    </row>
    <row r="1045" spans="9:11" ht="18" x14ac:dyDescent="0.25">
      <c r="I1045" s="3">
        <v>1966.75</v>
      </c>
      <c r="J1045" s="3">
        <v>-160</v>
      </c>
      <c r="K1045" s="3">
        <v>34.5866664133505</v>
      </c>
    </row>
    <row r="1046" spans="9:11" ht="18" x14ac:dyDescent="0.25">
      <c r="I1046" s="3">
        <v>1966.8333333333301</v>
      </c>
      <c r="J1046" s="3">
        <v>-160</v>
      </c>
      <c r="K1046" s="3">
        <v>14.156988542852901</v>
      </c>
    </row>
    <row r="1047" spans="9:11" ht="18" x14ac:dyDescent="0.25">
      <c r="I1047" s="3">
        <v>1966.9166666666599</v>
      </c>
      <c r="J1047" s="3">
        <v>-148</v>
      </c>
      <c r="K1047" s="3">
        <v>-23.264830459384601</v>
      </c>
    </row>
    <row r="1048" spans="9:11" ht="18" x14ac:dyDescent="0.25">
      <c r="I1048" s="3">
        <v>1967</v>
      </c>
      <c r="J1048" s="3">
        <v>-148</v>
      </c>
      <c r="K1048" s="3">
        <v>-46.378538754344703</v>
      </c>
    </row>
    <row r="1049" spans="9:11" ht="18" x14ac:dyDescent="0.25">
      <c r="I1049" s="3">
        <v>1967.0833333333301</v>
      </c>
      <c r="J1049" s="3">
        <v>-148</v>
      </c>
      <c r="K1049" s="3">
        <v>-52.494468436428697</v>
      </c>
    </row>
    <row r="1050" spans="9:11" ht="18" x14ac:dyDescent="0.25">
      <c r="I1050" s="3">
        <v>1967.1666666666599</v>
      </c>
      <c r="J1050" s="3">
        <v>-145</v>
      </c>
      <c r="K1050" s="3">
        <v>-62.578296945103197</v>
      </c>
    </row>
    <row r="1051" spans="9:11" ht="18" x14ac:dyDescent="0.25">
      <c r="I1051" s="3">
        <v>1967.25</v>
      </c>
      <c r="J1051" s="3">
        <v>-105</v>
      </c>
      <c r="K1051" s="3">
        <v>-46.975141276356901</v>
      </c>
    </row>
    <row r="1052" spans="9:11" ht="18" x14ac:dyDescent="0.25">
      <c r="I1052" s="3">
        <v>1967.3333333333301</v>
      </c>
      <c r="J1052" s="3">
        <v>-101</v>
      </c>
      <c r="K1052" s="3">
        <v>3.8942978599592801</v>
      </c>
    </row>
    <row r="1053" spans="9:11" ht="18" x14ac:dyDescent="0.25">
      <c r="I1053" s="3">
        <v>1967.4166666666599</v>
      </c>
      <c r="J1053" s="3">
        <v>-53</v>
      </c>
      <c r="K1053" s="3">
        <v>61.175509393499098</v>
      </c>
    </row>
    <row r="1054" spans="9:11" ht="18" x14ac:dyDescent="0.25">
      <c r="I1054" s="3">
        <v>1967.5</v>
      </c>
      <c r="J1054" s="3">
        <v>60</v>
      </c>
      <c r="K1054" s="3">
        <v>105.21599515368401</v>
      </c>
    </row>
    <row r="1055" spans="9:11" ht="18" x14ac:dyDescent="0.25">
      <c r="I1055" s="3">
        <v>1967.5833333333301</v>
      </c>
      <c r="J1055" s="3">
        <v>150</v>
      </c>
      <c r="K1055" s="3">
        <v>104.677561639006</v>
      </c>
    </row>
    <row r="1056" spans="9:11" ht="18" x14ac:dyDescent="0.25">
      <c r="I1056" s="3">
        <v>1967.6666666666599</v>
      </c>
      <c r="J1056" s="3">
        <v>165</v>
      </c>
      <c r="K1056" s="3">
        <v>73.705653538500698</v>
      </c>
    </row>
    <row r="1057" spans="9:11" ht="18" x14ac:dyDescent="0.25">
      <c r="I1057" s="3">
        <v>1967.75</v>
      </c>
      <c r="J1057" s="3">
        <v>159</v>
      </c>
      <c r="K1057" s="3">
        <v>77.209893862427194</v>
      </c>
    </row>
    <row r="1058" spans="9:11" ht="18" x14ac:dyDescent="0.25">
      <c r="I1058" s="3">
        <v>1967.8333333333301</v>
      </c>
      <c r="J1058" s="3">
        <v>166</v>
      </c>
      <c r="K1058" s="3">
        <v>109.25764350649099</v>
      </c>
    </row>
    <row r="1059" spans="9:11" ht="18" x14ac:dyDescent="0.25">
      <c r="I1059" s="3">
        <v>1967.9166666666599</v>
      </c>
      <c r="J1059" s="3">
        <v>197</v>
      </c>
      <c r="K1059" s="3">
        <v>131.36487312520501</v>
      </c>
    </row>
    <row r="1060" spans="9:11" ht="18" x14ac:dyDescent="0.25">
      <c r="I1060" s="3">
        <v>1968</v>
      </c>
      <c r="J1060" s="3">
        <v>197</v>
      </c>
      <c r="K1060" s="3">
        <v>144.16107114942699</v>
      </c>
    </row>
    <row r="1061" spans="9:11" ht="18" x14ac:dyDescent="0.25">
      <c r="I1061" s="3">
        <v>1968.0833333333301</v>
      </c>
      <c r="J1061" s="3">
        <v>208</v>
      </c>
      <c r="K1061" s="3">
        <v>141.240104215141</v>
      </c>
    </row>
    <row r="1062" spans="9:11" ht="18" x14ac:dyDescent="0.25">
      <c r="I1062" s="3">
        <v>1968.1666666666599</v>
      </c>
      <c r="J1062" s="3">
        <v>208</v>
      </c>
      <c r="K1062" s="3">
        <v>137.28863009307301</v>
      </c>
    </row>
    <row r="1063" spans="9:11" ht="18" x14ac:dyDescent="0.25">
      <c r="I1063" s="3">
        <v>1968.25</v>
      </c>
      <c r="J1063" s="3">
        <v>253</v>
      </c>
      <c r="K1063" s="3">
        <v>159.66385149550601</v>
      </c>
    </row>
    <row r="1064" spans="9:11" ht="18" x14ac:dyDescent="0.25">
      <c r="I1064" s="3">
        <v>1968.3333333333301</v>
      </c>
      <c r="J1064" s="3">
        <v>253</v>
      </c>
      <c r="K1064" s="3">
        <v>181.80319115520001</v>
      </c>
    </row>
    <row r="1065" spans="9:11" ht="18" x14ac:dyDescent="0.25">
      <c r="I1065" s="3">
        <v>1968.4166666666599</v>
      </c>
      <c r="J1065" s="3">
        <v>258</v>
      </c>
      <c r="K1065" s="3">
        <v>189.382236871949</v>
      </c>
    </row>
    <row r="1066" spans="9:11" ht="18" x14ac:dyDescent="0.25">
      <c r="I1066" s="3">
        <v>1968.5</v>
      </c>
      <c r="J1066" s="3">
        <v>265</v>
      </c>
      <c r="K1066" s="3">
        <v>193.56258488818801</v>
      </c>
    </row>
    <row r="1067" spans="9:11" ht="18" x14ac:dyDescent="0.25">
      <c r="I1067" s="3">
        <v>1968.5833333333301</v>
      </c>
      <c r="J1067" s="3">
        <v>308</v>
      </c>
      <c r="K1067" s="3">
        <v>179.27730292357899</v>
      </c>
    </row>
    <row r="1068" spans="9:11" ht="18" x14ac:dyDescent="0.25">
      <c r="I1068" s="3">
        <v>1968.6666666666599</v>
      </c>
      <c r="J1068" s="3">
        <v>314</v>
      </c>
      <c r="K1068" s="3">
        <v>159.055319985317</v>
      </c>
    </row>
    <row r="1069" spans="9:11" ht="18" x14ac:dyDescent="0.25">
      <c r="I1069" s="3">
        <v>1968.75</v>
      </c>
      <c r="J1069" s="3">
        <v>313</v>
      </c>
      <c r="K1069" s="3">
        <v>144.73077657686699</v>
      </c>
    </row>
    <row r="1070" spans="9:11" ht="18" x14ac:dyDescent="0.25">
      <c r="I1070" s="3">
        <v>1968.8333333333301</v>
      </c>
      <c r="J1070" s="3">
        <v>313</v>
      </c>
      <c r="K1070" s="3">
        <v>100.991222539836</v>
      </c>
    </row>
    <row r="1071" spans="9:11" ht="18" x14ac:dyDescent="0.25">
      <c r="I1071" s="3">
        <v>1968.9166666666599</v>
      </c>
      <c r="J1071" s="3">
        <v>207</v>
      </c>
      <c r="K1071" s="3">
        <v>36.302470591418199</v>
      </c>
    </row>
    <row r="1072" spans="9:11" ht="18" x14ac:dyDescent="0.25">
      <c r="I1072" s="3">
        <v>1969</v>
      </c>
      <c r="J1072" s="3">
        <v>138</v>
      </c>
      <c r="K1072" s="3">
        <v>-16.298420799593998</v>
      </c>
    </row>
    <row r="1073" spans="9:11" ht="18" x14ac:dyDescent="0.25">
      <c r="I1073" s="3">
        <v>1969.0833333333301</v>
      </c>
      <c r="J1073" s="3">
        <v>-4</v>
      </c>
      <c r="K1073" s="3">
        <v>-64.490193496427693</v>
      </c>
    </row>
    <row r="1074" spans="9:11" ht="18" x14ac:dyDescent="0.25">
      <c r="I1074" s="3">
        <v>1969.1666666666599</v>
      </c>
      <c r="J1074" s="3">
        <v>-61</v>
      </c>
      <c r="K1074" s="3">
        <v>-101.019856440566</v>
      </c>
    </row>
    <row r="1075" spans="9:11" ht="18" x14ac:dyDescent="0.25">
      <c r="I1075" s="3">
        <v>1969.25</v>
      </c>
      <c r="J1075" s="3">
        <v>-104</v>
      </c>
      <c r="K1075" s="3">
        <v>-118.39683017151501</v>
      </c>
    </row>
    <row r="1076" spans="9:11" ht="18" x14ac:dyDescent="0.25">
      <c r="I1076" s="3">
        <v>1969.3333333333301</v>
      </c>
      <c r="J1076" s="3">
        <v>-151</v>
      </c>
      <c r="K1076" s="3">
        <v>-123.349465241833</v>
      </c>
    </row>
    <row r="1077" spans="9:11" ht="18" x14ac:dyDescent="0.25">
      <c r="I1077" s="3">
        <v>1969.4166666666599</v>
      </c>
      <c r="J1077" s="3">
        <v>-151</v>
      </c>
      <c r="K1077" s="3">
        <v>-93.9836595989225</v>
      </c>
    </row>
    <row r="1078" spans="9:11" ht="18" x14ac:dyDescent="0.25">
      <c r="I1078" s="3">
        <v>1969.5</v>
      </c>
      <c r="J1078" s="3">
        <v>-151</v>
      </c>
      <c r="K1078" s="3">
        <v>-48.860909860060197</v>
      </c>
    </row>
    <row r="1079" spans="9:11" ht="18" x14ac:dyDescent="0.25">
      <c r="I1079" s="3">
        <v>1969.5833333333301</v>
      </c>
      <c r="J1079" s="3">
        <v>-140</v>
      </c>
      <c r="K1079" s="3">
        <v>-37.294877934632297</v>
      </c>
    </row>
    <row r="1080" spans="9:11" ht="18" x14ac:dyDescent="0.25">
      <c r="I1080" s="3">
        <v>1969.6666666666599</v>
      </c>
      <c r="J1080" s="3">
        <v>-138</v>
      </c>
      <c r="K1080" s="3">
        <v>-36.002719595828196</v>
      </c>
    </row>
    <row r="1081" spans="9:11" ht="18" x14ac:dyDescent="0.25">
      <c r="I1081" s="3">
        <v>1969.75</v>
      </c>
      <c r="J1081" s="3">
        <v>-104</v>
      </c>
      <c r="K1081" s="3">
        <v>-13.0461207196948</v>
      </c>
    </row>
    <row r="1082" spans="9:11" ht="18" x14ac:dyDescent="0.25">
      <c r="I1082" s="3">
        <v>1969.8333333333301</v>
      </c>
      <c r="J1082" s="3">
        <v>-88</v>
      </c>
      <c r="K1082" s="3">
        <v>26.415941925635401</v>
      </c>
    </row>
    <row r="1083" spans="9:11" ht="18" x14ac:dyDescent="0.25">
      <c r="I1083" s="3">
        <v>1969.9166666666599</v>
      </c>
      <c r="J1083" s="3">
        <v>-3</v>
      </c>
      <c r="K1083" s="3">
        <v>82.444499341468202</v>
      </c>
    </row>
    <row r="1084" spans="9:11" ht="18" x14ac:dyDescent="0.25">
      <c r="I1084" s="3">
        <v>1970</v>
      </c>
      <c r="J1084" s="3">
        <v>54</v>
      </c>
      <c r="K1084" s="3">
        <v>123.584946520203</v>
      </c>
    </row>
    <row r="1085" spans="9:11" ht="18" x14ac:dyDescent="0.25">
      <c r="I1085" s="3">
        <v>1970.0833333333301</v>
      </c>
      <c r="J1085" s="3">
        <v>96</v>
      </c>
      <c r="K1085" s="3">
        <v>126.13115254526301</v>
      </c>
    </row>
    <row r="1086" spans="9:11" ht="18" x14ac:dyDescent="0.25">
      <c r="I1086" s="3">
        <v>1970.1666666666599</v>
      </c>
      <c r="J1086" s="3">
        <v>147</v>
      </c>
      <c r="K1086" s="3">
        <v>128.09765445121201</v>
      </c>
    </row>
    <row r="1087" spans="9:11" ht="18" x14ac:dyDescent="0.25">
      <c r="I1087" s="3">
        <v>1970.25</v>
      </c>
      <c r="J1087" s="3">
        <v>166</v>
      </c>
      <c r="K1087" s="3">
        <v>144.748678550558</v>
      </c>
    </row>
    <row r="1088" spans="9:11" ht="18" x14ac:dyDescent="0.25">
      <c r="I1088" s="3">
        <v>1970.3333333333301</v>
      </c>
      <c r="J1088" s="3">
        <v>229</v>
      </c>
      <c r="K1088" s="3">
        <v>169.29217816758299</v>
      </c>
    </row>
    <row r="1089" spans="9:11" ht="18" x14ac:dyDescent="0.25">
      <c r="I1089" s="3">
        <v>1970.4166666666599</v>
      </c>
      <c r="J1089" s="3">
        <v>258</v>
      </c>
      <c r="K1089" s="3">
        <v>205.45866572084199</v>
      </c>
    </row>
    <row r="1090" spans="9:11" ht="18" x14ac:dyDescent="0.25">
      <c r="I1090" s="3">
        <v>1970.5</v>
      </c>
      <c r="J1090" s="3">
        <v>290</v>
      </c>
      <c r="K1090" s="3">
        <v>219.22265228817099</v>
      </c>
    </row>
    <row r="1091" spans="9:11" ht="18" x14ac:dyDescent="0.25">
      <c r="I1091" s="3">
        <v>1970.5833333333301</v>
      </c>
      <c r="J1091" s="3">
        <v>294</v>
      </c>
      <c r="K1091" s="3">
        <v>203.586248038473</v>
      </c>
    </row>
    <row r="1092" spans="9:11" ht="18" x14ac:dyDescent="0.25">
      <c r="I1092" s="3">
        <v>1970.6666666666599</v>
      </c>
      <c r="J1092" s="3">
        <v>306</v>
      </c>
      <c r="K1092" s="3">
        <v>203.36477094952301</v>
      </c>
    </row>
    <row r="1093" spans="9:11" ht="18" x14ac:dyDescent="0.25">
      <c r="I1093" s="3">
        <v>1970.75</v>
      </c>
      <c r="J1093" s="3">
        <v>327</v>
      </c>
      <c r="K1093" s="3">
        <v>209.33090270259399</v>
      </c>
    </row>
    <row r="1094" spans="9:11" ht="18" x14ac:dyDescent="0.25">
      <c r="I1094" s="3">
        <v>1970.8333333333301</v>
      </c>
      <c r="J1094" s="3">
        <v>327</v>
      </c>
      <c r="K1094" s="3">
        <v>190.86807675924999</v>
      </c>
    </row>
    <row r="1095" spans="9:11" ht="18" x14ac:dyDescent="0.25">
      <c r="I1095" s="3">
        <v>1970.9166666666599</v>
      </c>
      <c r="J1095" s="3">
        <v>312</v>
      </c>
      <c r="K1095" s="3">
        <v>148.42194411832</v>
      </c>
    </row>
    <row r="1096" spans="9:11" ht="18" x14ac:dyDescent="0.25">
      <c r="I1096" s="3">
        <v>1971</v>
      </c>
      <c r="J1096" s="3">
        <v>189</v>
      </c>
      <c r="K1096" s="3">
        <v>78.762587700835795</v>
      </c>
    </row>
    <row r="1097" spans="9:11" ht="18" x14ac:dyDescent="0.25">
      <c r="I1097" s="3">
        <v>1971.0833333333301</v>
      </c>
      <c r="J1097" s="3">
        <v>32</v>
      </c>
      <c r="K1097" s="3">
        <v>9.7595215386013905</v>
      </c>
    </row>
    <row r="1098" spans="9:11" ht="18" x14ac:dyDescent="0.25">
      <c r="I1098" s="3">
        <v>1971.1666666666599</v>
      </c>
      <c r="J1098" s="3">
        <v>-45</v>
      </c>
      <c r="K1098" s="3">
        <v>-29.4993968430392</v>
      </c>
    </row>
    <row r="1099" spans="9:11" ht="18" x14ac:dyDescent="0.25">
      <c r="I1099" s="3">
        <v>1971.25</v>
      </c>
      <c r="J1099" s="3">
        <v>-102</v>
      </c>
      <c r="K1099" s="3">
        <v>-63.710113780183697</v>
      </c>
    </row>
    <row r="1100" spans="9:11" ht="18" x14ac:dyDescent="0.25">
      <c r="I1100" s="3">
        <v>1971.3333333333301</v>
      </c>
      <c r="J1100" s="3">
        <v>-118</v>
      </c>
      <c r="K1100" s="3">
        <v>-86.0336823451551</v>
      </c>
    </row>
    <row r="1101" spans="9:11" ht="18" x14ac:dyDescent="0.25">
      <c r="I1101" s="3">
        <v>1971.4166666666599</v>
      </c>
      <c r="J1101" s="3">
        <v>-132</v>
      </c>
      <c r="K1101" s="3">
        <v>-71.806737033247899</v>
      </c>
    </row>
    <row r="1102" spans="9:11" ht="18" x14ac:dyDescent="0.25">
      <c r="I1102" s="3">
        <v>1971.5</v>
      </c>
      <c r="J1102" s="3">
        <v>-135</v>
      </c>
      <c r="K1102" s="3">
        <v>-51.588538706984203</v>
      </c>
    </row>
    <row r="1103" spans="9:11" ht="18" x14ac:dyDescent="0.25">
      <c r="I1103" s="3">
        <v>1971.5833333333301</v>
      </c>
      <c r="J1103" s="3">
        <v>-160</v>
      </c>
      <c r="K1103" s="3">
        <v>-40.266383244845599</v>
      </c>
    </row>
    <row r="1104" spans="9:11" ht="18" x14ac:dyDescent="0.25">
      <c r="I1104" s="3">
        <v>1971.6666666666599</v>
      </c>
      <c r="J1104" s="3">
        <v>-160</v>
      </c>
      <c r="K1104" s="3">
        <v>-33.351363125885598</v>
      </c>
    </row>
    <row r="1105" spans="9:11" ht="18" x14ac:dyDescent="0.25">
      <c r="I1105" s="3">
        <v>1971.75</v>
      </c>
      <c r="J1105" s="3">
        <v>-134</v>
      </c>
      <c r="K1105" s="3">
        <v>-41.287755002914302</v>
      </c>
    </row>
    <row r="1106" spans="9:11" ht="18" x14ac:dyDescent="0.25">
      <c r="I1106" s="3">
        <v>1971.8333333333301</v>
      </c>
      <c r="J1106" s="3">
        <v>-125</v>
      </c>
      <c r="K1106" s="3">
        <v>-38.438232611085901</v>
      </c>
    </row>
    <row r="1107" spans="9:11" ht="18" x14ac:dyDescent="0.25">
      <c r="I1107" s="3">
        <v>1971.9166666666599</v>
      </c>
      <c r="J1107" s="3">
        <v>-125</v>
      </c>
      <c r="K1107" s="3">
        <v>-12.5872051196323</v>
      </c>
    </row>
    <row r="1108" spans="9:11" ht="18" x14ac:dyDescent="0.25">
      <c r="I1108" s="3">
        <v>1972</v>
      </c>
      <c r="J1108" s="3">
        <v>-112</v>
      </c>
      <c r="K1108" s="3">
        <v>5.6862980511021197</v>
      </c>
    </row>
    <row r="1109" spans="9:11" ht="18" x14ac:dyDescent="0.25">
      <c r="I1109" s="3">
        <v>1972.0833333333301</v>
      </c>
      <c r="J1109" s="3">
        <v>-95</v>
      </c>
      <c r="K1109" s="3">
        <v>22.176700016548899</v>
      </c>
    </row>
    <row r="1110" spans="9:11" ht="18" x14ac:dyDescent="0.25">
      <c r="I1110" s="3">
        <v>1972.1666666666599</v>
      </c>
      <c r="J1110" s="3">
        <v>-83</v>
      </c>
      <c r="K1110" s="3">
        <v>47.024247936747898</v>
      </c>
    </row>
    <row r="1111" spans="9:11" ht="18" x14ac:dyDescent="0.25">
      <c r="I1111" s="3">
        <v>1972.25</v>
      </c>
      <c r="J1111" s="3">
        <v>-74</v>
      </c>
      <c r="K1111" s="3">
        <v>78.970233099085405</v>
      </c>
    </row>
    <row r="1112" spans="9:11" ht="18" x14ac:dyDescent="0.25">
      <c r="I1112" s="3">
        <v>1972.3333333333301</v>
      </c>
      <c r="J1112" s="3">
        <v>-40</v>
      </c>
      <c r="K1112" s="3">
        <v>148.26695780308299</v>
      </c>
    </row>
    <row r="1113" spans="9:11" ht="18" x14ac:dyDescent="0.25">
      <c r="I1113" s="3">
        <v>1972.4166666666599</v>
      </c>
      <c r="J1113" s="3">
        <v>187</v>
      </c>
      <c r="K1113" s="3">
        <v>234.86875744220501</v>
      </c>
    </row>
    <row r="1114" spans="9:11" ht="18" x14ac:dyDescent="0.25">
      <c r="I1114" s="3">
        <v>1972.5</v>
      </c>
      <c r="J1114" s="3">
        <v>231</v>
      </c>
      <c r="K1114" s="3">
        <v>275.66824843552899</v>
      </c>
    </row>
    <row r="1115" spans="9:11" ht="18" x14ac:dyDescent="0.25">
      <c r="I1115" s="3">
        <v>1972.5833333333301</v>
      </c>
      <c r="J1115" s="3">
        <v>246</v>
      </c>
      <c r="K1115" s="3">
        <v>272.99490567883498</v>
      </c>
    </row>
    <row r="1116" spans="9:11" ht="18" x14ac:dyDescent="0.25">
      <c r="I1116" s="3">
        <v>1972.6666666666599</v>
      </c>
      <c r="J1116" s="3">
        <v>250</v>
      </c>
      <c r="K1116" s="3">
        <v>251.62305888508399</v>
      </c>
    </row>
    <row r="1117" spans="9:11" ht="18" x14ac:dyDescent="0.25">
      <c r="I1117" s="3">
        <v>1972.75</v>
      </c>
      <c r="J1117" s="3">
        <v>269</v>
      </c>
      <c r="K1117" s="3">
        <v>225.26454672625999</v>
      </c>
    </row>
    <row r="1118" spans="9:11" ht="18" x14ac:dyDescent="0.25">
      <c r="I1118" s="3">
        <v>1972.8333333333301</v>
      </c>
      <c r="J1118" s="3">
        <v>273</v>
      </c>
      <c r="K1118" s="3">
        <v>208.43293020684399</v>
      </c>
    </row>
    <row r="1119" spans="9:11" ht="18" x14ac:dyDescent="0.25">
      <c r="I1119" s="3">
        <v>1972.9166666666599</v>
      </c>
      <c r="J1119" s="3">
        <v>269</v>
      </c>
      <c r="K1119" s="3">
        <v>169.32283172512001</v>
      </c>
    </row>
    <row r="1120" spans="9:11" ht="18" x14ac:dyDescent="0.25">
      <c r="I1120" s="3">
        <v>1973</v>
      </c>
      <c r="J1120" s="3">
        <v>172</v>
      </c>
      <c r="K1120" s="3">
        <v>94.355175659418904</v>
      </c>
    </row>
    <row r="1121" spans="9:11" ht="18" x14ac:dyDescent="0.25">
      <c r="I1121" s="3">
        <v>1973.0833333333301</v>
      </c>
      <c r="J1121" s="3">
        <v>-58</v>
      </c>
      <c r="K1121" s="3">
        <v>32.254796290546999</v>
      </c>
    </row>
    <row r="1122" spans="9:11" ht="18" x14ac:dyDescent="0.25">
      <c r="I1122" s="3">
        <v>1973.1666666666599</v>
      </c>
      <c r="J1122" s="3">
        <v>-106</v>
      </c>
      <c r="K1122" s="3">
        <v>-8.9119438445561592</v>
      </c>
    </row>
    <row r="1123" spans="9:11" ht="18" x14ac:dyDescent="0.25">
      <c r="I1123" s="3">
        <v>1973.25</v>
      </c>
      <c r="J1123" s="3">
        <v>-106</v>
      </c>
      <c r="K1123" s="3">
        <v>-43.2121142526968</v>
      </c>
    </row>
    <row r="1124" spans="9:11" ht="18" x14ac:dyDescent="0.25">
      <c r="I1124" s="3">
        <v>1973.3333333333301</v>
      </c>
      <c r="J1124" s="3">
        <v>-106</v>
      </c>
      <c r="K1124" s="3">
        <v>-58.838749316652603</v>
      </c>
    </row>
    <row r="1125" spans="9:11" ht="18" x14ac:dyDescent="0.25">
      <c r="I1125" s="3">
        <v>1973.4166666666599</v>
      </c>
      <c r="J1125" s="3">
        <v>-132</v>
      </c>
      <c r="K1125" s="3">
        <v>-72.971465984151394</v>
      </c>
    </row>
    <row r="1126" spans="9:11" ht="18" x14ac:dyDescent="0.25">
      <c r="I1126" s="3">
        <v>1973.5</v>
      </c>
      <c r="J1126" s="3">
        <v>-132</v>
      </c>
      <c r="K1126" s="3">
        <v>-90.150715172241803</v>
      </c>
    </row>
    <row r="1127" spans="9:11" ht="18" x14ac:dyDescent="0.25">
      <c r="I1127" s="3">
        <v>1973.5833333333301</v>
      </c>
      <c r="J1127" s="3">
        <v>-103</v>
      </c>
      <c r="K1127" s="3">
        <v>-86.882303014571093</v>
      </c>
    </row>
    <row r="1128" spans="9:11" ht="18" x14ac:dyDescent="0.25">
      <c r="I1128" s="3">
        <v>1973.6666666666599</v>
      </c>
      <c r="J1128" s="3">
        <v>-98</v>
      </c>
      <c r="K1128" s="3">
        <v>-78.561571500846796</v>
      </c>
    </row>
    <row r="1129" spans="9:11" ht="18" x14ac:dyDescent="0.25">
      <c r="I1129" s="3">
        <v>1973.75</v>
      </c>
      <c r="J1129" s="3">
        <v>-85</v>
      </c>
      <c r="K1129" s="3">
        <v>-69.421858174397201</v>
      </c>
    </row>
    <row r="1130" spans="9:11" ht="18" x14ac:dyDescent="0.25">
      <c r="I1130" s="3">
        <v>1973.8333333333301</v>
      </c>
      <c r="J1130" s="3">
        <v>-85</v>
      </c>
      <c r="K1130" s="3">
        <v>-45.123825614384401</v>
      </c>
    </row>
    <row r="1131" spans="9:11" ht="18" x14ac:dyDescent="0.25">
      <c r="I1131" s="3">
        <v>1973.9166666666599</v>
      </c>
      <c r="J1131" s="3">
        <v>-45</v>
      </c>
      <c r="K1131" s="3">
        <v>-25.8119839060167</v>
      </c>
    </row>
    <row r="1132" spans="9:11" ht="18" x14ac:dyDescent="0.25">
      <c r="I1132" s="3">
        <v>1974</v>
      </c>
      <c r="J1132" s="3">
        <v>-10</v>
      </c>
      <c r="K1132" s="3">
        <v>-6.75865503116641</v>
      </c>
    </row>
    <row r="1133" spans="9:11" ht="18" x14ac:dyDescent="0.25">
      <c r="I1133" s="3">
        <v>1974.0833333333301</v>
      </c>
      <c r="J1133" s="3">
        <v>14</v>
      </c>
      <c r="K1133" s="3">
        <v>24.324546493698001</v>
      </c>
    </row>
    <row r="1134" spans="9:11" ht="18" x14ac:dyDescent="0.25">
      <c r="I1134" s="3">
        <v>1974.1666666666599</v>
      </c>
      <c r="J1134" s="3">
        <v>29</v>
      </c>
      <c r="K1134" s="3">
        <v>39.5832576575906</v>
      </c>
    </row>
    <row r="1135" spans="9:11" ht="18" x14ac:dyDescent="0.25">
      <c r="I1135" s="3">
        <v>1974.25</v>
      </c>
      <c r="J1135" s="3">
        <v>31</v>
      </c>
      <c r="K1135" s="3">
        <v>56.642708340100803</v>
      </c>
    </row>
    <row r="1136" spans="9:11" ht="18" x14ac:dyDescent="0.25">
      <c r="I1136" s="3">
        <v>1974.3333333333301</v>
      </c>
      <c r="J1136" s="3">
        <v>129</v>
      </c>
      <c r="K1136" s="3">
        <v>112.823502129492</v>
      </c>
    </row>
    <row r="1137" spans="9:11" ht="18" x14ac:dyDescent="0.25">
      <c r="I1137" s="3">
        <v>1974.4166666666599</v>
      </c>
      <c r="J1137" s="3">
        <v>225</v>
      </c>
      <c r="K1137" s="3">
        <v>184.29438585330601</v>
      </c>
    </row>
    <row r="1138" spans="9:11" ht="18" x14ac:dyDescent="0.25">
      <c r="I1138" s="3">
        <v>1974.5</v>
      </c>
      <c r="J1138" s="3">
        <v>282</v>
      </c>
      <c r="K1138" s="3">
        <v>242.80282663198801</v>
      </c>
    </row>
    <row r="1139" spans="9:11" ht="18" x14ac:dyDescent="0.25">
      <c r="I1139" s="3">
        <v>1974.5833333333301</v>
      </c>
      <c r="J1139" s="3">
        <v>289</v>
      </c>
      <c r="K1139" s="3">
        <v>266.26868178673197</v>
      </c>
    </row>
    <row r="1140" spans="9:11" ht="18" x14ac:dyDescent="0.25">
      <c r="I1140" s="3">
        <v>1974.6666666666599</v>
      </c>
      <c r="J1140" s="3">
        <v>298</v>
      </c>
      <c r="K1140" s="3">
        <v>245.58295539360699</v>
      </c>
    </row>
    <row r="1141" spans="9:11" ht="18" x14ac:dyDescent="0.25">
      <c r="I1141" s="3">
        <v>1974.75</v>
      </c>
      <c r="J1141" s="3">
        <v>298</v>
      </c>
      <c r="K1141" s="3">
        <v>230.88399987557699</v>
      </c>
    </row>
    <row r="1142" spans="9:11" ht="18" x14ac:dyDescent="0.25">
      <c r="I1142" s="3">
        <v>1974.8333333333301</v>
      </c>
      <c r="J1142" s="3">
        <v>292</v>
      </c>
      <c r="K1142" s="3">
        <v>238.82030448715901</v>
      </c>
    </row>
    <row r="1143" spans="9:11" ht="18" x14ac:dyDescent="0.25">
      <c r="I1143" s="3">
        <v>1974.9166666666599</v>
      </c>
      <c r="J1143" s="3">
        <v>292</v>
      </c>
      <c r="K1143" s="3">
        <v>226.382952065061</v>
      </c>
    </row>
    <row r="1144" spans="9:11" ht="18" x14ac:dyDescent="0.25">
      <c r="I1144" s="3">
        <v>1975</v>
      </c>
      <c r="J1144" s="3">
        <v>300</v>
      </c>
      <c r="K1144" s="3">
        <v>193.783422516195</v>
      </c>
    </row>
    <row r="1145" spans="9:11" ht="18" x14ac:dyDescent="0.25">
      <c r="I1145" s="3">
        <v>1975.0833333333301</v>
      </c>
      <c r="J1145" s="3">
        <v>300</v>
      </c>
      <c r="K1145" s="3">
        <v>152.84023254546699</v>
      </c>
    </row>
    <row r="1146" spans="9:11" ht="18" x14ac:dyDescent="0.25">
      <c r="I1146" s="3">
        <v>1975.1666666666599</v>
      </c>
      <c r="J1146" s="3">
        <v>240</v>
      </c>
      <c r="K1146" s="3">
        <v>103.62234309218699</v>
      </c>
    </row>
    <row r="1147" spans="9:11" ht="18" x14ac:dyDescent="0.25">
      <c r="I1147" s="3">
        <v>1975.25</v>
      </c>
      <c r="J1147" s="3">
        <v>85</v>
      </c>
      <c r="K1147" s="3">
        <v>73.262414090141505</v>
      </c>
    </row>
    <row r="1148" spans="9:11" ht="18" x14ac:dyDescent="0.25">
      <c r="I1148" s="3">
        <v>1975.3333333333301</v>
      </c>
      <c r="J1148" s="3">
        <v>-50</v>
      </c>
      <c r="K1148" s="3">
        <v>51.2025750967561</v>
      </c>
    </row>
    <row r="1149" spans="9:11" ht="18" x14ac:dyDescent="0.25">
      <c r="I1149" s="3">
        <v>1975.4166666666599</v>
      </c>
      <c r="J1149" s="3">
        <v>-93</v>
      </c>
      <c r="K1149" s="3">
        <v>5.8638399748556997</v>
      </c>
    </row>
    <row r="1150" spans="9:11" ht="18" x14ac:dyDescent="0.25">
      <c r="I1150" s="3">
        <v>1975.5</v>
      </c>
      <c r="J1150" s="3">
        <v>-170</v>
      </c>
      <c r="K1150" s="3">
        <v>-44.049972886082799</v>
      </c>
    </row>
    <row r="1151" spans="9:11" ht="18" x14ac:dyDescent="0.25">
      <c r="I1151" s="3">
        <v>1975.5833333333301</v>
      </c>
      <c r="J1151" s="3">
        <v>-170</v>
      </c>
      <c r="K1151" s="3">
        <v>-85.852078906887797</v>
      </c>
    </row>
    <row r="1152" spans="9:11" ht="18" x14ac:dyDescent="0.25">
      <c r="I1152" s="3">
        <v>1975.6666666666599</v>
      </c>
      <c r="J1152" s="3">
        <v>-153</v>
      </c>
      <c r="K1152" s="3">
        <v>-110.419837336551</v>
      </c>
    </row>
    <row r="1153" spans="9:11" ht="18" x14ac:dyDescent="0.25">
      <c r="I1153" s="3">
        <v>1975.75</v>
      </c>
      <c r="J1153" s="3">
        <v>-152</v>
      </c>
      <c r="K1153" s="3">
        <v>-96.609373065938996</v>
      </c>
    </row>
    <row r="1154" spans="9:11" ht="18" x14ac:dyDescent="0.25">
      <c r="I1154" s="3">
        <v>1975.8333333333301</v>
      </c>
      <c r="J1154" s="3">
        <v>-150</v>
      </c>
      <c r="K1154" s="3">
        <v>-80.661966551968206</v>
      </c>
    </row>
    <row r="1155" spans="9:11" ht="18" x14ac:dyDescent="0.25">
      <c r="I1155" s="3">
        <v>1975.9166666666599</v>
      </c>
      <c r="J1155" s="3">
        <v>-150</v>
      </c>
      <c r="K1155" s="3">
        <v>-92.570322160340396</v>
      </c>
    </row>
    <row r="1156" spans="9:11" ht="18" x14ac:dyDescent="0.25">
      <c r="I1156" s="3">
        <v>1976</v>
      </c>
      <c r="J1156" s="3">
        <v>-150</v>
      </c>
      <c r="K1156" s="3">
        <v>-103.678873596985</v>
      </c>
    </row>
    <row r="1157" spans="9:11" ht="18" x14ac:dyDescent="0.25">
      <c r="I1157" s="3">
        <v>1976.0833333333301</v>
      </c>
      <c r="J1157" s="3">
        <v>-129</v>
      </c>
      <c r="K1157" s="3">
        <v>-114.481663106016</v>
      </c>
    </row>
    <row r="1158" spans="9:11" ht="18" x14ac:dyDescent="0.25">
      <c r="I1158" s="3">
        <v>1976.1666666666599</v>
      </c>
      <c r="J1158" s="3">
        <v>-124</v>
      </c>
      <c r="K1158" s="3">
        <v>-128.93899859892099</v>
      </c>
    </row>
    <row r="1159" spans="9:11" ht="18" x14ac:dyDescent="0.25">
      <c r="I1159" s="3">
        <v>1976.25</v>
      </c>
      <c r="J1159" s="3">
        <v>-123</v>
      </c>
      <c r="K1159" s="3">
        <v>-117.300662437597</v>
      </c>
    </row>
    <row r="1160" spans="9:11" ht="18" x14ac:dyDescent="0.25">
      <c r="I1160" s="3">
        <v>1976.3333333333301</v>
      </c>
      <c r="J1160" s="3">
        <v>-99</v>
      </c>
      <c r="K1160" s="3">
        <v>-71.946490073682497</v>
      </c>
    </row>
    <row r="1161" spans="9:11" ht="18" x14ac:dyDescent="0.25">
      <c r="I1161" s="3">
        <v>1976.4166666666599</v>
      </c>
      <c r="J1161" s="3">
        <v>-30</v>
      </c>
      <c r="K1161" s="3">
        <v>16.0396336593226</v>
      </c>
    </row>
    <row r="1162" spans="9:11" ht="18" x14ac:dyDescent="0.25">
      <c r="I1162" s="3">
        <v>1976.5</v>
      </c>
      <c r="J1162" s="3">
        <v>146</v>
      </c>
      <c r="K1162" s="3">
        <v>137.31809170282099</v>
      </c>
    </row>
    <row r="1163" spans="9:11" ht="18" x14ac:dyDescent="0.25">
      <c r="I1163" s="3">
        <v>1976.5833333333301</v>
      </c>
      <c r="J1163" s="3">
        <v>220</v>
      </c>
      <c r="K1163" s="3">
        <v>224.838483320309</v>
      </c>
    </row>
    <row r="1164" spans="9:11" ht="18" x14ac:dyDescent="0.25">
      <c r="I1164" s="3">
        <v>1976.6666666666599</v>
      </c>
      <c r="J1164" s="3">
        <v>220</v>
      </c>
      <c r="K1164" s="3">
        <v>259.34616245714898</v>
      </c>
    </row>
    <row r="1165" spans="9:11" ht="18" x14ac:dyDescent="0.25">
      <c r="I1165" s="3">
        <v>1976.75</v>
      </c>
      <c r="J1165" s="3">
        <v>248</v>
      </c>
      <c r="K1165" s="3">
        <v>272.71618061891797</v>
      </c>
    </row>
    <row r="1166" spans="9:11" ht="18" x14ac:dyDescent="0.25">
      <c r="I1166" s="3">
        <v>1976.8333333333301</v>
      </c>
      <c r="J1166" s="3">
        <v>230</v>
      </c>
      <c r="K1166" s="3">
        <v>262.73049152803202</v>
      </c>
    </row>
    <row r="1167" spans="9:11" ht="18" x14ac:dyDescent="0.25">
      <c r="I1167" s="3">
        <v>1976.9166666666599</v>
      </c>
      <c r="J1167" s="3">
        <v>257</v>
      </c>
      <c r="K1167" s="3">
        <v>238.80458523389299</v>
      </c>
    </row>
    <row r="1168" spans="9:11" ht="18" x14ac:dyDescent="0.25">
      <c r="I1168" s="3">
        <v>1977</v>
      </c>
      <c r="J1168" s="3">
        <v>257</v>
      </c>
      <c r="K1168" s="3">
        <v>214.763285557139</v>
      </c>
    </row>
    <row r="1169" spans="9:11" ht="18" x14ac:dyDescent="0.25">
      <c r="I1169" s="3">
        <v>1977.0833333333301</v>
      </c>
      <c r="J1169" s="3">
        <v>268</v>
      </c>
      <c r="K1169" s="3">
        <v>178.17840744613599</v>
      </c>
    </row>
    <row r="1170" spans="9:11" ht="18" x14ac:dyDescent="0.25">
      <c r="I1170" s="3">
        <v>1977.1666666666599</v>
      </c>
      <c r="J1170" s="3">
        <v>270</v>
      </c>
      <c r="K1170" s="3">
        <v>157.85310128183099</v>
      </c>
    </row>
    <row r="1171" spans="9:11" ht="18" x14ac:dyDescent="0.25">
      <c r="I1171" s="3">
        <v>1977.25</v>
      </c>
      <c r="J1171" s="3">
        <v>275</v>
      </c>
      <c r="K1171" s="3">
        <v>179.26316593726401</v>
      </c>
    </row>
    <row r="1172" spans="9:11" ht="18" x14ac:dyDescent="0.25">
      <c r="I1172" s="3">
        <v>1977.3333333333301</v>
      </c>
      <c r="J1172" s="3">
        <v>280</v>
      </c>
      <c r="K1172" s="3">
        <v>211.04752212019201</v>
      </c>
    </row>
    <row r="1173" spans="9:11" ht="18" x14ac:dyDescent="0.25">
      <c r="I1173" s="3">
        <v>1977.4166666666599</v>
      </c>
      <c r="J1173" s="3">
        <v>280</v>
      </c>
      <c r="K1173" s="3">
        <v>229.99388764794401</v>
      </c>
    </row>
    <row r="1174" spans="9:11" ht="18" x14ac:dyDescent="0.25">
      <c r="I1174" s="3">
        <v>1977.5</v>
      </c>
      <c r="J1174" s="3">
        <v>266</v>
      </c>
      <c r="K1174" s="3">
        <v>208.899807524501</v>
      </c>
    </row>
    <row r="1175" spans="9:11" ht="18" x14ac:dyDescent="0.25">
      <c r="I1175" s="3">
        <v>1977.5833333333301</v>
      </c>
      <c r="J1175" s="3">
        <v>140</v>
      </c>
      <c r="K1175" s="3">
        <v>133.01097283447399</v>
      </c>
    </row>
    <row r="1176" spans="9:11" ht="18" x14ac:dyDescent="0.25">
      <c r="I1176" s="3">
        <v>1977.6666666666599</v>
      </c>
      <c r="J1176" s="3">
        <v>91</v>
      </c>
      <c r="K1176" s="3">
        <v>62.598968479985501</v>
      </c>
    </row>
    <row r="1177" spans="9:11" ht="18" x14ac:dyDescent="0.25">
      <c r="I1177" s="3">
        <v>1977.75</v>
      </c>
      <c r="J1177" s="3">
        <v>-44</v>
      </c>
      <c r="K1177" s="3">
        <v>31.475734191632501</v>
      </c>
    </row>
    <row r="1178" spans="9:11" ht="18" x14ac:dyDescent="0.25">
      <c r="I1178" s="3">
        <v>1977.8333333333301</v>
      </c>
      <c r="J1178" s="3">
        <v>-88</v>
      </c>
      <c r="K1178" s="3">
        <v>7.26426813186466</v>
      </c>
    </row>
    <row r="1179" spans="9:11" ht="18" x14ac:dyDescent="0.25">
      <c r="I1179" s="3">
        <v>1977.9166666666599</v>
      </c>
      <c r="J1179" s="3">
        <v>-120</v>
      </c>
      <c r="K1179" s="3">
        <v>-17.435857727480801</v>
      </c>
    </row>
    <row r="1180" spans="9:11" ht="18" x14ac:dyDescent="0.25">
      <c r="I1180" s="3">
        <v>1978</v>
      </c>
      <c r="J1180" s="3">
        <v>-170</v>
      </c>
      <c r="K1180" s="3">
        <v>-46.225148003576798</v>
      </c>
    </row>
    <row r="1181" spans="9:11" ht="18" x14ac:dyDescent="0.25">
      <c r="I1181" s="3">
        <v>1978.0833333333301</v>
      </c>
      <c r="J1181" s="3">
        <v>-170</v>
      </c>
      <c r="K1181" s="3">
        <v>-83.6048443629129</v>
      </c>
    </row>
    <row r="1182" spans="9:11" ht="18" x14ac:dyDescent="0.25">
      <c r="I1182" s="3">
        <v>1978.1666666666599</v>
      </c>
      <c r="J1182" s="3">
        <v>-149</v>
      </c>
      <c r="K1182" s="3">
        <v>-107.609468498916</v>
      </c>
    </row>
    <row r="1183" spans="9:11" ht="18" x14ac:dyDescent="0.25">
      <c r="I1183" s="3">
        <v>1978.25</v>
      </c>
      <c r="J1183" s="3">
        <v>-128</v>
      </c>
      <c r="K1183" s="3">
        <v>-130.77808347386801</v>
      </c>
    </row>
    <row r="1184" spans="9:11" ht="18" x14ac:dyDescent="0.25">
      <c r="I1184" s="3">
        <v>1978.3333333333301</v>
      </c>
      <c r="J1184" s="3">
        <v>-115</v>
      </c>
      <c r="K1184" s="3">
        <v>-161.03204319890801</v>
      </c>
    </row>
    <row r="1185" spans="9:11" ht="18" x14ac:dyDescent="0.25">
      <c r="I1185" s="3">
        <v>1978.4166666666599</v>
      </c>
      <c r="J1185" s="3">
        <v>-114</v>
      </c>
      <c r="K1185" s="3">
        <v>-159.03958488776701</v>
      </c>
    </row>
    <row r="1186" spans="9:11" ht="18" x14ac:dyDescent="0.25">
      <c r="I1186" s="3">
        <v>1978.5</v>
      </c>
      <c r="J1186" s="3">
        <v>-100</v>
      </c>
      <c r="K1186" s="3">
        <v>-130.58518748631201</v>
      </c>
    </row>
    <row r="1187" spans="9:11" ht="18" x14ac:dyDescent="0.25">
      <c r="I1187" s="3">
        <v>1978.5833333333301</v>
      </c>
      <c r="J1187" s="3">
        <v>-85</v>
      </c>
      <c r="K1187" s="3">
        <v>-101.704301325274</v>
      </c>
    </row>
    <row r="1188" spans="9:11" ht="18" x14ac:dyDescent="0.25">
      <c r="I1188" s="3">
        <v>1978.6666666666599</v>
      </c>
      <c r="J1188" s="3">
        <v>-85</v>
      </c>
      <c r="K1188" s="3">
        <v>-63.929464412028402</v>
      </c>
    </row>
    <row r="1189" spans="9:11" ht="18" x14ac:dyDescent="0.25">
      <c r="I1189" s="3">
        <v>1978.75</v>
      </c>
      <c r="J1189" s="3">
        <v>-75</v>
      </c>
      <c r="K1189" s="3">
        <v>-32.083768354678398</v>
      </c>
    </row>
    <row r="1190" spans="9:11" ht="18" x14ac:dyDescent="0.25">
      <c r="I1190" s="3">
        <v>1978.8333333333301</v>
      </c>
      <c r="J1190" s="3">
        <v>-55</v>
      </c>
      <c r="K1190" s="3">
        <v>-9.8548565498412994</v>
      </c>
    </row>
    <row r="1191" spans="9:11" ht="18" x14ac:dyDescent="0.25">
      <c r="I1191" s="3">
        <v>1978.9166666666599</v>
      </c>
      <c r="J1191" s="3">
        <v>-48</v>
      </c>
      <c r="K1191" s="3">
        <v>26.659424603558101</v>
      </c>
    </row>
    <row r="1192" spans="9:11" ht="18" x14ac:dyDescent="0.25">
      <c r="I1192" s="3">
        <v>1979</v>
      </c>
      <c r="J1192" s="3">
        <v>-37</v>
      </c>
      <c r="K1192" s="3">
        <v>59.612831860314898</v>
      </c>
    </row>
    <row r="1193" spans="9:11" ht="18" x14ac:dyDescent="0.25">
      <c r="I1193" s="3">
        <v>1979.0833333333301</v>
      </c>
      <c r="J1193" s="3">
        <v>-37</v>
      </c>
      <c r="K1193" s="3">
        <v>81.379356345771498</v>
      </c>
    </row>
    <row r="1194" spans="9:11" ht="18" x14ac:dyDescent="0.25">
      <c r="I1194" s="3">
        <v>1979.1666666666599</v>
      </c>
      <c r="J1194" s="3">
        <v>-37</v>
      </c>
      <c r="K1194" s="3">
        <v>114.852119147677</v>
      </c>
    </row>
    <row r="1195" spans="9:11" ht="18" x14ac:dyDescent="0.25">
      <c r="I1195" s="3">
        <v>1979.25</v>
      </c>
      <c r="J1195" s="3">
        <v>75</v>
      </c>
      <c r="K1195" s="3">
        <v>157.511188229086</v>
      </c>
    </row>
    <row r="1196" spans="9:11" ht="18" x14ac:dyDescent="0.25">
      <c r="I1196" s="3">
        <v>1979.3333333333301</v>
      </c>
      <c r="J1196" s="3">
        <v>147</v>
      </c>
      <c r="K1196" s="3">
        <v>222.096262891762</v>
      </c>
    </row>
    <row r="1197" spans="9:11" ht="18" x14ac:dyDescent="0.25">
      <c r="I1197" s="3">
        <v>1979.4166666666599</v>
      </c>
      <c r="J1197" s="3">
        <v>236</v>
      </c>
      <c r="K1197" s="3">
        <v>306.05532782499802</v>
      </c>
    </row>
    <row r="1198" spans="9:11" ht="18" x14ac:dyDescent="0.25">
      <c r="I1198" s="3">
        <v>1979.5</v>
      </c>
      <c r="J1198" s="3">
        <v>256</v>
      </c>
      <c r="K1198" s="3">
        <v>345.25943130340198</v>
      </c>
    </row>
    <row r="1199" spans="9:11" ht="18" x14ac:dyDescent="0.25">
      <c r="I1199" s="3">
        <v>1979.5833333333301</v>
      </c>
      <c r="J1199" s="3">
        <v>264</v>
      </c>
      <c r="K1199" s="3">
        <v>328.32408539484999</v>
      </c>
    </row>
    <row r="1200" spans="9:11" ht="18" x14ac:dyDescent="0.25">
      <c r="I1200" s="3">
        <v>1979.6666666666599</v>
      </c>
      <c r="J1200" s="3">
        <v>274</v>
      </c>
      <c r="K1200" s="3">
        <v>303.49467723723399</v>
      </c>
    </row>
    <row r="1201" spans="9:11" ht="18" x14ac:dyDescent="0.25">
      <c r="I1201" s="3">
        <v>1979.75</v>
      </c>
      <c r="J1201" s="3">
        <v>280</v>
      </c>
      <c r="K1201" s="3">
        <v>288.42500749069399</v>
      </c>
    </row>
    <row r="1202" spans="9:11" ht="18" x14ac:dyDescent="0.25">
      <c r="I1202" s="3">
        <v>1979.8333333333301</v>
      </c>
      <c r="J1202" s="3">
        <v>274</v>
      </c>
      <c r="K1202" s="3">
        <v>289.08414793743202</v>
      </c>
    </row>
    <row r="1203" spans="9:11" ht="18" x14ac:dyDescent="0.25">
      <c r="I1203" s="3">
        <v>1979.9166666666599</v>
      </c>
      <c r="J1203" s="3">
        <v>271</v>
      </c>
      <c r="K1203" s="3">
        <v>284.00781634392098</v>
      </c>
    </row>
    <row r="1204" spans="9:11" ht="18" x14ac:dyDescent="0.25">
      <c r="I1204" s="3">
        <v>1980</v>
      </c>
      <c r="J1204" s="3">
        <v>155</v>
      </c>
      <c r="K1204" s="3">
        <v>234.75203202172</v>
      </c>
    </row>
    <row r="1205" spans="9:11" ht="18" x14ac:dyDescent="0.25">
      <c r="I1205" s="3">
        <v>1980.0833333333301</v>
      </c>
      <c r="J1205" s="3">
        <v>-27</v>
      </c>
      <c r="K1205" s="3">
        <v>167.888215840871</v>
      </c>
    </row>
    <row r="1206" spans="9:11" ht="18" x14ac:dyDescent="0.25">
      <c r="I1206" s="3">
        <v>1980.1666666666599</v>
      </c>
      <c r="J1206" s="3">
        <v>-34</v>
      </c>
      <c r="K1206" s="3">
        <v>109.35246504270999</v>
      </c>
    </row>
    <row r="1207" spans="9:11" ht="18" x14ac:dyDescent="0.25">
      <c r="I1207" s="3">
        <v>1980.25</v>
      </c>
      <c r="J1207" s="3">
        <v>-94</v>
      </c>
      <c r="K1207" s="3">
        <v>42.189124804112303</v>
      </c>
    </row>
    <row r="1208" spans="9:11" ht="18" x14ac:dyDescent="0.25">
      <c r="I1208" s="3">
        <v>1980.3333333333301</v>
      </c>
      <c r="J1208" s="3">
        <v>-117</v>
      </c>
      <c r="K1208" s="3">
        <v>-17.9951590524857</v>
      </c>
    </row>
    <row r="1209" spans="9:11" ht="18" x14ac:dyDescent="0.25">
      <c r="I1209" s="3">
        <v>1980.4166666666599</v>
      </c>
      <c r="J1209" s="3">
        <v>-124</v>
      </c>
      <c r="K1209" s="3">
        <v>-63.336990510985203</v>
      </c>
    </row>
    <row r="1210" spans="9:11" ht="18" x14ac:dyDescent="0.25">
      <c r="I1210" s="3">
        <v>1980.5</v>
      </c>
      <c r="J1210" s="3">
        <v>-153</v>
      </c>
      <c r="K1210" s="3">
        <v>-107.761430875142</v>
      </c>
    </row>
    <row r="1211" spans="9:11" ht="18" x14ac:dyDescent="0.25">
      <c r="I1211" s="3">
        <v>1980.5833333333301</v>
      </c>
      <c r="J1211" s="3">
        <v>-153</v>
      </c>
      <c r="K1211" s="3">
        <v>-128.339448279403</v>
      </c>
    </row>
    <row r="1212" spans="9:11" ht="18" x14ac:dyDescent="0.25">
      <c r="I1212" s="3">
        <v>1980.6666666666599</v>
      </c>
      <c r="J1212" s="3">
        <v>-151</v>
      </c>
      <c r="K1212" s="3">
        <v>-128.21048649913001</v>
      </c>
    </row>
    <row r="1213" spans="9:11" ht="18" x14ac:dyDescent="0.25">
      <c r="I1213" s="3">
        <v>1980.75</v>
      </c>
      <c r="J1213" s="3">
        <v>-131</v>
      </c>
      <c r="K1213" s="3">
        <v>-139.776525840191</v>
      </c>
    </row>
    <row r="1214" spans="9:11" ht="18" x14ac:dyDescent="0.25">
      <c r="I1214" s="3">
        <v>1980.8333333333301</v>
      </c>
      <c r="J1214" s="3">
        <v>-125</v>
      </c>
      <c r="K1214" s="3">
        <v>-159.16937113257299</v>
      </c>
    </row>
    <row r="1215" spans="9:11" ht="18" x14ac:dyDescent="0.25">
      <c r="I1215" s="3">
        <v>1980.9166666666599</v>
      </c>
      <c r="J1215" s="3">
        <v>-111</v>
      </c>
      <c r="K1215" s="3">
        <v>-191.795341058237</v>
      </c>
    </row>
    <row r="1216" spans="9:11" ht="18" x14ac:dyDescent="0.25">
      <c r="I1216" s="3">
        <v>1981</v>
      </c>
      <c r="J1216" s="3">
        <v>-107</v>
      </c>
      <c r="K1216" s="3">
        <v>-236.96571530942899</v>
      </c>
    </row>
    <row r="1217" spans="9:11" ht="18" x14ac:dyDescent="0.25">
      <c r="I1217" s="3">
        <v>1981.0833333333301</v>
      </c>
      <c r="J1217" s="3">
        <v>-101</v>
      </c>
      <c r="K1217" s="3">
        <v>-258.98274305183901</v>
      </c>
    </row>
    <row r="1218" spans="9:11" ht="18" x14ac:dyDescent="0.25">
      <c r="I1218" s="3">
        <v>1981.1666666666599</v>
      </c>
      <c r="J1218" s="3">
        <v>-91</v>
      </c>
      <c r="K1218" s="3">
        <v>-260.391631243147</v>
      </c>
    </row>
    <row r="1219" spans="9:11" ht="18" x14ac:dyDescent="0.25">
      <c r="I1219" s="3">
        <v>1981.25</v>
      </c>
      <c r="J1219" s="3">
        <v>-79</v>
      </c>
      <c r="K1219" s="3">
        <v>-238.49616592385499</v>
      </c>
    </row>
    <row r="1220" spans="9:11" ht="18" x14ac:dyDescent="0.25">
      <c r="I1220" s="3">
        <v>1981.3333333333301</v>
      </c>
      <c r="J1220" s="3">
        <v>-60</v>
      </c>
      <c r="K1220" s="3">
        <v>-149.42100125524601</v>
      </c>
    </row>
    <row r="1221" spans="9:11" ht="18" x14ac:dyDescent="0.25">
      <c r="I1221" s="3">
        <v>1981.4166666666599</v>
      </c>
      <c r="J1221" s="3">
        <v>136</v>
      </c>
      <c r="K1221" s="3">
        <v>-11.3693733052687</v>
      </c>
    </row>
    <row r="1222" spans="9:11" ht="18" x14ac:dyDescent="0.25">
      <c r="I1222" s="3">
        <v>1981.5</v>
      </c>
      <c r="J1222" s="3">
        <v>241</v>
      </c>
      <c r="K1222" s="3">
        <v>120.134712270676</v>
      </c>
    </row>
    <row r="1223" spans="9:11" ht="18" x14ac:dyDescent="0.25">
      <c r="I1223" s="3">
        <v>1981.5833333333301</v>
      </c>
      <c r="J1223" s="3">
        <v>269</v>
      </c>
      <c r="K1223" s="3">
        <v>220.241631720783</v>
      </c>
    </row>
    <row r="1224" spans="9:11" ht="18" x14ac:dyDescent="0.25">
      <c r="I1224" s="3">
        <v>1981.6666666666599</v>
      </c>
      <c r="J1224" s="3">
        <v>278</v>
      </c>
      <c r="K1224" s="3">
        <v>272.64228623105498</v>
      </c>
    </row>
    <row r="1225" spans="9:11" ht="18" x14ac:dyDescent="0.25">
      <c r="I1225" s="3">
        <v>1981.75</v>
      </c>
      <c r="J1225" s="3">
        <v>281</v>
      </c>
      <c r="K1225" s="3">
        <v>304.36865863441102</v>
      </c>
    </row>
    <row r="1226" spans="9:11" ht="18" x14ac:dyDescent="0.25">
      <c r="I1226" s="3">
        <v>1981.8333333333301</v>
      </c>
      <c r="J1226" s="3">
        <v>289</v>
      </c>
      <c r="K1226" s="3">
        <v>351.24739333585802</v>
      </c>
    </row>
    <row r="1227" spans="9:11" ht="18" x14ac:dyDescent="0.25">
      <c r="I1227" s="3">
        <v>1981.9166666666599</v>
      </c>
      <c r="J1227" s="3">
        <v>295</v>
      </c>
      <c r="K1227" s="3">
        <v>381.57037915470897</v>
      </c>
    </row>
    <row r="1228" spans="9:11" ht="18" x14ac:dyDescent="0.25">
      <c r="I1228" s="3">
        <v>1982</v>
      </c>
      <c r="J1228" s="3">
        <v>302</v>
      </c>
      <c r="K1228" s="3">
        <v>382.713678136851</v>
      </c>
    </row>
    <row r="1229" spans="9:11" ht="18" x14ac:dyDescent="0.25">
      <c r="I1229" s="3">
        <v>1982.0833333333301</v>
      </c>
      <c r="J1229" s="3">
        <v>302</v>
      </c>
      <c r="K1229" s="3">
        <v>382.23327002134602</v>
      </c>
    </row>
    <row r="1230" spans="9:11" ht="18" x14ac:dyDescent="0.25">
      <c r="I1230" s="3">
        <v>1982.1666666666599</v>
      </c>
      <c r="J1230" s="3">
        <v>310</v>
      </c>
      <c r="K1230" s="3">
        <v>378.69071194473702</v>
      </c>
    </row>
    <row r="1231" spans="9:11" ht="18" x14ac:dyDescent="0.25">
      <c r="I1231" s="3">
        <v>1982.25</v>
      </c>
      <c r="J1231" s="3">
        <v>310</v>
      </c>
      <c r="K1231" s="3">
        <v>382.71258480830801</v>
      </c>
    </row>
    <row r="1232" spans="9:11" ht="18" x14ac:dyDescent="0.25">
      <c r="I1232" s="3">
        <v>1982.3333333333301</v>
      </c>
      <c r="J1232" s="3">
        <v>310</v>
      </c>
      <c r="K1232" s="3">
        <v>394.26979295916999</v>
      </c>
    </row>
    <row r="1233" spans="9:11" ht="18" x14ac:dyDescent="0.25">
      <c r="I1233" s="3">
        <v>1982.4166666666599</v>
      </c>
      <c r="J1233" s="3">
        <v>291</v>
      </c>
      <c r="K1233" s="3">
        <v>363.01477993164599</v>
      </c>
    </row>
    <row r="1234" spans="9:11" ht="18" x14ac:dyDescent="0.25">
      <c r="I1234" s="3">
        <v>1982.5</v>
      </c>
      <c r="J1234" s="3">
        <v>283</v>
      </c>
      <c r="K1234" s="3">
        <v>280.96855299445201</v>
      </c>
    </row>
    <row r="1235" spans="9:11" ht="18" x14ac:dyDescent="0.25">
      <c r="I1235" s="3">
        <v>1982.5833333333301</v>
      </c>
      <c r="J1235" s="3">
        <v>145</v>
      </c>
      <c r="K1235" s="3">
        <v>177.11242353403199</v>
      </c>
    </row>
    <row r="1236" spans="9:11" ht="18" x14ac:dyDescent="0.25">
      <c r="I1236" s="3">
        <v>1982.6666666666599</v>
      </c>
      <c r="J1236" s="3">
        <v>-72</v>
      </c>
      <c r="K1236" s="3">
        <v>65.318191158728794</v>
      </c>
    </row>
    <row r="1237" spans="9:11" ht="18" x14ac:dyDescent="0.25">
      <c r="I1237" s="3">
        <v>1982.75</v>
      </c>
      <c r="J1237" s="3">
        <v>-119</v>
      </c>
      <c r="K1237" s="3">
        <v>-23.551538998834602</v>
      </c>
    </row>
    <row r="1238" spans="9:11" ht="18" x14ac:dyDescent="0.25">
      <c r="I1238" s="3">
        <v>1982.8333333333301</v>
      </c>
      <c r="J1238" s="3">
        <v>-119</v>
      </c>
      <c r="K1238" s="3">
        <v>-90.137085942410806</v>
      </c>
    </row>
    <row r="1239" spans="9:11" ht="18" x14ac:dyDescent="0.25">
      <c r="I1239" s="3">
        <v>1982.9166666666599</v>
      </c>
      <c r="J1239" s="3">
        <v>-137</v>
      </c>
      <c r="K1239" s="3">
        <v>-165.36882520362599</v>
      </c>
    </row>
    <row r="1240" spans="9:11" ht="18" x14ac:dyDescent="0.25">
      <c r="I1240" s="3">
        <v>1983</v>
      </c>
      <c r="J1240" s="3">
        <v>-157</v>
      </c>
      <c r="K1240" s="3">
        <v>-224.010751425043</v>
      </c>
    </row>
    <row r="1241" spans="9:11" ht="18" x14ac:dyDescent="0.25">
      <c r="I1241" s="3">
        <v>1983.0833333333301</v>
      </c>
      <c r="J1241" s="3">
        <v>-157</v>
      </c>
      <c r="K1241" s="3">
        <v>-252.98072888329099</v>
      </c>
    </row>
    <row r="1242" spans="9:11" ht="18" x14ac:dyDescent="0.25">
      <c r="I1242" s="3">
        <v>1983.1666666666599</v>
      </c>
      <c r="J1242" s="3">
        <v>-151</v>
      </c>
      <c r="K1242" s="3">
        <v>-284.19983809171902</v>
      </c>
    </row>
    <row r="1243" spans="9:11" ht="18" x14ac:dyDescent="0.25">
      <c r="I1243" s="3">
        <v>1983.25</v>
      </c>
      <c r="J1243" s="3">
        <v>-134</v>
      </c>
      <c r="K1243" s="3">
        <v>-310.13645814618201</v>
      </c>
    </row>
    <row r="1244" spans="9:11" ht="18" x14ac:dyDescent="0.25">
      <c r="I1244" s="3">
        <v>1983.3333333333301</v>
      </c>
      <c r="J1244" s="3">
        <v>-128</v>
      </c>
      <c r="K1244" s="3">
        <v>-316.86402844476402</v>
      </c>
    </row>
    <row r="1245" spans="9:11" ht="18" x14ac:dyDescent="0.25">
      <c r="I1245" s="3">
        <v>1983.4166666666599</v>
      </c>
      <c r="J1245" s="3">
        <v>-108</v>
      </c>
      <c r="K1245" s="3">
        <v>-302.80544976124202</v>
      </c>
    </row>
    <row r="1246" spans="9:11" ht="18" x14ac:dyDescent="0.25">
      <c r="I1246" s="3">
        <v>1983.5</v>
      </c>
      <c r="J1246" s="3">
        <v>60</v>
      </c>
      <c r="K1246" s="3">
        <v>-251.23267647827601</v>
      </c>
    </row>
    <row r="1247" spans="9:11" ht="18" x14ac:dyDescent="0.25">
      <c r="I1247" s="3">
        <v>1983.5833333333301</v>
      </c>
      <c r="J1247" s="3">
        <v>152</v>
      </c>
      <c r="K1247" s="3">
        <v>-186.240880251595</v>
      </c>
    </row>
    <row r="1248" spans="9:11" ht="18" x14ac:dyDescent="0.25">
      <c r="I1248" s="3">
        <v>1983.6666666666599</v>
      </c>
      <c r="J1248" s="3">
        <v>177</v>
      </c>
      <c r="K1248" s="3">
        <v>-130.30202129307301</v>
      </c>
    </row>
    <row r="1249" spans="9:11" ht="18" x14ac:dyDescent="0.25">
      <c r="I1249" s="3">
        <v>1983.75</v>
      </c>
      <c r="J1249" s="3">
        <v>199</v>
      </c>
      <c r="K1249" s="3">
        <v>-51.0474688266737</v>
      </c>
    </row>
    <row r="1250" spans="9:11" ht="18" x14ac:dyDescent="0.25">
      <c r="I1250" s="3">
        <v>1983.8333333333301</v>
      </c>
      <c r="J1250" s="3">
        <v>203</v>
      </c>
      <c r="K1250" s="3">
        <v>46.036856352744302</v>
      </c>
    </row>
    <row r="1251" spans="9:11" ht="18" x14ac:dyDescent="0.25">
      <c r="I1251" s="3">
        <v>1983.9166666666599</v>
      </c>
      <c r="J1251" s="3">
        <v>252</v>
      </c>
      <c r="K1251" s="3">
        <v>129.58296427194301</v>
      </c>
    </row>
    <row r="1252" spans="9:11" ht="18" x14ac:dyDescent="0.25">
      <c r="I1252" s="3">
        <v>1984</v>
      </c>
      <c r="J1252" s="3">
        <v>255</v>
      </c>
      <c r="K1252" s="3">
        <v>197.961931321793</v>
      </c>
    </row>
    <row r="1253" spans="9:11" ht="18" x14ac:dyDescent="0.25">
      <c r="I1253" s="3">
        <v>1984.0833333333301</v>
      </c>
      <c r="J1253" s="3">
        <v>275</v>
      </c>
      <c r="K1253" s="3">
        <v>232.72462702012999</v>
      </c>
    </row>
    <row r="1254" spans="9:11" ht="18" x14ac:dyDescent="0.25">
      <c r="I1254" s="3">
        <v>1984.1666666666599</v>
      </c>
      <c r="J1254" s="3">
        <v>283</v>
      </c>
      <c r="K1254" s="3">
        <v>243.30780331711199</v>
      </c>
    </row>
    <row r="1255" spans="9:11" ht="18" x14ac:dyDescent="0.25">
      <c r="I1255" s="3">
        <v>1984.25</v>
      </c>
      <c r="J1255" s="3">
        <v>283</v>
      </c>
      <c r="K1255" s="3">
        <v>282.88167552039903</v>
      </c>
    </row>
    <row r="1256" spans="9:11" ht="18" x14ac:dyDescent="0.25">
      <c r="I1256" s="3">
        <v>1984.3333333333301</v>
      </c>
      <c r="J1256" s="3">
        <v>288</v>
      </c>
      <c r="K1256" s="3">
        <v>350.73523225847498</v>
      </c>
    </row>
    <row r="1257" spans="9:11" ht="18" x14ac:dyDescent="0.25">
      <c r="I1257" s="3">
        <v>1984.4166666666599</v>
      </c>
      <c r="J1257" s="3">
        <v>321</v>
      </c>
      <c r="K1257" s="3">
        <v>418.096649710007</v>
      </c>
    </row>
    <row r="1258" spans="9:11" ht="18" x14ac:dyDescent="0.25">
      <c r="I1258" s="3">
        <v>1984.5</v>
      </c>
      <c r="J1258" s="3">
        <v>346</v>
      </c>
      <c r="K1258" s="3">
        <v>463.87536425978402</v>
      </c>
    </row>
    <row r="1259" spans="9:11" ht="18" x14ac:dyDescent="0.25">
      <c r="I1259" s="3">
        <v>1984.5833333333301</v>
      </c>
      <c r="J1259" s="3">
        <v>346</v>
      </c>
      <c r="K1259" s="3">
        <v>455.77309737023899</v>
      </c>
    </row>
    <row r="1260" spans="9:11" ht="18" x14ac:dyDescent="0.25">
      <c r="I1260" s="3">
        <v>1984.6666666666599</v>
      </c>
      <c r="J1260" s="3">
        <v>340</v>
      </c>
      <c r="K1260" s="3">
        <v>416.27492088329097</v>
      </c>
    </row>
    <row r="1261" spans="9:11" ht="18" x14ac:dyDescent="0.25">
      <c r="I1261" s="3">
        <v>1984.75</v>
      </c>
      <c r="J1261" s="3">
        <v>335</v>
      </c>
      <c r="K1261" s="3">
        <v>384.32335405525902</v>
      </c>
    </row>
    <row r="1262" spans="9:11" ht="18" x14ac:dyDescent="0.25">
      <c r="I1262" s="3">
        <v>1984.8333333333301</v>
      </c>
      <c r="J1262" s="3">
        <v>281</v>
      </c>
      <c r="K1262" s="3">
        <v>327.67103444971201</v>
      </c>
    </row>
    <row r="1263" spans="9:11" ht="18" x14ac:dyDescent="0.25">
      <c r="I1263" s="3">
        <v>1984.9166666666599</v>
      </c>
      <c r="J1263" s="3">
        <v>22</v>
      </c>
      <c r="K1263" s="3">
        <v>232.116186271055</v>
      </c>
    </row>
    <row r="1264" spans="9:11" ht="18" x14ac:dyDescent="0.25">
      <c r="I1264" s="3">
        <v>1985</v>
      </c>
      <c r="J1264" s="3">
        <v>-65</v>
      </c>
      <c r="K1264" s="3">
        <v>127.088974998165</v>
      </c>
    </row>
    <row r="1265" spans="9:11" ht="18" x14ac:dyDescent="0.25">
      <c r="I1265" s="3">
        <v>1985.0833333333301</v>
      </c>
      <c r="J1265" s="3">
        <v>-87</v>
      </c>
      <c r="K1265" s="3">
        <v>23.061756841212802</v>
      </c>
    </row>
    <row r="1266" spans="9:11" ht="18" x14ac:dyDescent="0.25">
      <c r="I1266" s="3">
        <v>1985.1666666666599</v>
      </c>
      <c r="J1266" s="3">
        <v>-110</v>
      </c>
      <c r="K1266" s="3">
        <v>-58.361074411266202</v>
      </c>
    </row>
    <row r="1267" spans="9:11" ht="18" x14ac:dyDescent="0.25">
      <c r="I1267" s="3">
        <v>1985.25</v>
      </c>
      <c r="J1267" s="3">
        <v>-137</v>
      </c>
      <c r="K1267" s="3">
        <v>-112.319916683298</v>
      </c>
    </row>
    <row r="1268" spans="9:11" ht="18" x14ac:dyDescent="0.25">
      <c r="I1268" s="3">
        <v>1985.3333333333301</v>
      </c>
      <c r="J1268" s="3">
        <v>-139</v>
      </c>
      <c r="K1268" s="3">
        <v>-166.789183521008</v>
      </c>
    </row>
    <row r="1269" spans="9:11" ht="18" x14ac:dyDescent="0.25">
      <c r="I1269" s="3">
        <v>1985.4166666666599</v>
      </c>
      <c r="J1269" s="3">
        <v>-137</v>
      </c>
      <c r="K1269" s="3">
        <v>-205.21389652264199</v>
      </c>
    </row>
    <row r="1270" spans="9:11" ht="18" x14ac:dyDescent="0.25">
      <c r="I1270" s="3">
        <v>1985.5</v>
      </c>
      <c r="J1270" s="3">
        <v>-115</v>
      </c>
      <c r="K1270" s="3">
        <v>-215.29729582252099</v>
      </c>
    </row>
    <row r="1271" spans="9:11" ht="18" x14ac:dyDescent="0.25">
      <c r="I1271" s="3">
        <v>1985.5833333333301</v>
      </c>
      <c r="J1271" s="3">
        <v>-100</v>
      </c>
      <c r="K1271" s="3">
        <v>-223.546441614781</v>
      </c>
    </row>
    <row r="1272" spans="9:11" ht="18" x14ac:dyDescent="0.25">
      <c r="I1272" s="3">
        <v>1985.6666666666599</v>
      </c>
      <c r="J1272" s="3">
        <v>-93</v>
      </c>
      <c r="K1272" s="3">
        <v>-218.978495918585</v>
      </c>
    </row>
    <row r="1273" spans="9:11" ht="18" x14ac:dyDescent="0.25">
      <c r="I1273" s="3">
        <v>1985.75</v>
      </c>
      <c r="J1273" s="3">
        <v>-93</v>
      </c>
      <c r="K1273" s="3">
        <v>-196.494022933027</v>
      </c>
    </row>
    <row r="1274" spans="9:11" ht="18" x14ac:dyDescent="0.25">
      <c r="I1274" s="3">
        <v>1985.8333333333301</v>
      </c>
      <c r="J1274" s="3">
        <v>-100</v>
      </c>
      <c r="K1274" s="3">
        <v>-178.311241248529</v>
      </c>
    </row>
    <row r="1275" spans="9:11" ht="18" x14ac:dyDescent="0.25">
      <c r="I1275" s="3">
        <v>1985.9166666666599</v>
      </c>
      <c r="J1275" s="3">
        <v>-102</v>
      </c>
      <c r="K1275" s="3">
        <v>-150.50757749726401</v>
      </c>
    </row>
    <row r="1276" spans="9:11" ht="18" x14ac:dyDescent="0.25">
      <c r="I1276" s="3">
        <v>1986</v>
      </c>
      <c r="J1276" s="3">
        <v>-119</v>
      </c>
      <c r="K1276" s="3">
        <v>-117.73958948996599</v>
      </c>
    </row>
    <row r="1277" spans="9:11" ht="18" x14ac:dyDescent="0.25">
      <c r="I1277" s="3">
        <v>1986.0833333333301</v>
      </c>
      <c r="J1277" s="3">
        <v>-148</v>
      </c>
      <c r="K1277" s="3">
        <v>-105.646920326795</v>
      </c>
    </row>
    <row r="1278" spans="9:11" ht="18" x14ac:dyDescent="0.25">
      <c r="I1278" s="3">
        <v>1986.1666666666599</v>
      </c>
      <c r="J1278" s="3">
        <v>-148</v>
      </c>
      <c r="K1278" s="3">
        <v>-90.502446203623606</v>
      </c>
    </row>
    <row r="1279" spans="9:11" ht="18" x14ac:dyDescent="0.25">
      <c r="I1279" s="3">
        <v>1986.25</v>
      </c>
      <c r="J1279" s="3">
        <v>-142</v>
      </c>
      <c r="K1279" s="3">
        <v>-50.861768032323198</v>
      </c>
    </row>
    <row r="1280" spans="9:11" ht="18" x14ac:dyDescent="0.25">
      <c r="I1280" s="3">
        <v>1986.3333333333301</v>
      </c>
      <c r="J1280" s="3">
        <v>-106</v>
      </c>
      <c r="K1280" s="3">
        <v>22.483945035879501</v>
      </c>
    </row>
    <row r="1281" spans="9:11" ht="18" x14ac:dyDescent="0.25">
      <c r="I1281" s="3">
        <v>1986.4166666666599</v>
      </c>
      <c r="J1281" s="3">
        <v>42</v>
      </c>
      <c r="K1281" s="3">
        <v>139.288387922514</v>
      </c>
    </row>
    <row r="1282" spans="9:11" ht="18" x14ac:dyDescent="0.25">
      <c r="I1282" s="3">
        <v>1986.5</v>
      </c>
      <c r="J1282" s="3">
        <v>194</v>
      </c>
      <c r="K1282" s="3">
        <v>242.54768088239399</v>
      </c>
    </row>
    <row r="1283" spans="9:11" ht="18" x14ac:dyDescent="0.25">
      <c r="I1283" s="3">
        <v>1986.5833333333301</v>
      </c>
      <c r="J1283" s="3">
        <v>229</v>
      </c>
      <c r="K1283" s="3">
        <v>282.224887440244</v>
      </c>
    </row>
    <row r="1284" spans="9:11" ht="18" x14ac:dyDescent="0.25">
      <c r="I1284" s="3">
        <v>1986.6666666666599</v>
      </c>
      <c r="J1284" s="3">
        <v>232</v>
      </c>
      <c r="K1284" s="3">
        <v>292.95037270624402</v>
      </c>
    </row>
    <row r="1285" spans="9:11" ht="18" x14ac:dyDescent="0.25">
      <c r="I1285" s="3">
        <v>1986.75</v>
      </c>
      <c r="J1285" s="3">
        <v>234</v>
      </c>
      <c r="K1285" s="3">
        <v>296.47543365399503</v>
      </c>
    </row>
    <row r="1286" spans="9:11" ht="18" x14ac:dyDescent="0.25">
      <c r="I1286" s="3">
        <v>1986.8333333333301</v>
      </c>
      <c r="J1286" s="3">
        <v>241</v>
      </c>
      <c r="K1286" s="3">
        <v>289.899303004003</v>
      </c>
    </row>
    <row r="1287" spans="9:11" ht="18" x14ac:dyDescent="0.25">
      <c r="I1287" s="3">
        <v>1986.9166666666599</v>
      </c>
      <c r="J1287" s="3">
        <v>254</v>
      </c>
      <c r="K1287" s="3">
        <v>280.00398224780798</v>
      </c>
    </row>
    <row r="1288" spans="9:11" ht="18" x14ac:dyDescent="0.25">
      <c r="I1288" s="3">
        <v>1987</v>
      </c>
      <c r="J1288" s="3">
        <v>260</v>
      </c>
      <c r="K1288" s="3">
        <v>252.53578067058999</v>
      </c>
    </row>
    <row r="1289" spans="9:11" ht="18" x14ac:dyDescent="0.25">
      <c r="I1289" s="3">
        <v>1987.0833333333301</v>
      </c>
      <c r="J1289" s="3">
        <v>266</v>
      </c>
      <c r="K1289" s="3">
        <v>225.13371161947799</v>
      </c>
    </row>
    <row r="1290" spans="9:11" ht="18" x14ac:dyDescent="0.25">
      <c r="I1290" s="3">
        <v>1987.1666666666599</v>
      </c>
      <c r="J1290" s="3">
        <v>266</v>
      </c>
      <c r="K1290" s="3">
        <v>235.558207157075</v>
      </c>
    </row>
    <row r="1291" spans="9:11" ht="18" x14ac:dyDescent="0.25">
      <c r="I1291" s="3">
        <v>1987.25</v>
      </c>
      <c r="J1291" s="3">
        <v>270</v>
      </c>
      <c r="K1291" s="3">
        <v>255.89690448495099</v>
      </c>
    </row>
    <row r="1292" spans="9:11" ht="18" x14ac:dyDescent="0.25">
      <c r="I1292" s="3">
        <v>1987.3333333333301</v>
      </c>
      <c r="J1292" s="3">
        <v>270</v>
      </c>
      <c r="K1292" s="3">
        <v>257.35874327546998</v>
      </c>
    </row>
    <row r="1293" spans="9:11" ht="18" x14ac:dyDescent="0.25">
      <c r="I1293" s="3">
        <v>1987.4166666666599</v>
      </c>
      <c r="J1293" s="3">
        <v>268</v>
      </c>
      <c r="K1293" s="3">
        <v>236.89524848057999</v>
      </c>
    </row>
    <row r="1294" spans="9:11" ht="18" x14ac:dyDescent="0.25">
      <c r="I1294" s="3">
        <v>1987.5</v>
      </c>
      <c r="J1294" s="3">
        <v>247</v>
      </c>
      <c r="K1294" s="3">
        <v>172.48615762921699</v>
      </c>
    </row>
    <row r="1295" spans="9:11" ht="18" x14ac:dyDescent="0.25">
      <c r="I1295" s="3">
        <v>1987.5833333333301</v>
      </c>
      <c r="J1295" s="3">
        <v>63</v>
      </c>
      <c r="K1295" s="3">
        <v>87.317426882603897</v>
      </c>
    </row>
    <row r="1296" spans="9:11" ht="18" x14ac:dyDescent="0.25">
      <c r="I1296" s="3">
        <v>1987.6666666666599</v>
      </c>
      <c r="J1296" s="3">
        <v>-92</v>
      </c>
      <c r="K1296" s="3">
        <v>26.083391671738401</v>
      </c>
    </row>
    <row r="1297" spans="9:11" ht="18" x14ac:dyDescent="0.25">
      <c r="I1297" s="3">
        <v>1987.75</v>
      </c>
      <c r="J1297" s="3">
        <v>-117</v>
      </c>
      <c r="K1297" s="3">
        <v>-20.546325955358402</v>
      </c>
    </row>
    <row r="1298" spans="9:11" ht="18" x14ac:dyDescent="0.25">
      <c r="I1298" s="3">
        <v>1987.8333333333301</v>
      </c>
      <c r="J1298" s="3">
        <v>-117</v>
      </c>
      <c r="K1298" s="3">
        <v>-53.488621640350097</v>
      </c>
    </row>
    <row r="1299" spans="9:11" ht="18" x14ac:dyDescent="0.25">
      <c r="I1299" s="3">
        <v>1987.9166666666599</v>
      </c>
      <c r="J1299" s="3">
        <v>-77</v>
      </c>
      <c r="K1299" s="3">
        <v>-68.207690421482496</v>
      </c>
    </row>
    <row r="1300" spans="9:11" ht="18" x14ac:dyDescent="0.25">
      <c r="I1300" s="3">
        <v>1988</v>
      </c>
      <c r="J1300" s="3">
        <v>-57</v>
      </c>
      <c r="K1300" s="3">
        <v>-89.282783686437497</v>
      </c>
    </row>
    <row r="1301" spans="9:11" ht="18" x14ac:dyDescent="0.25">
      <c r="I1301" s="3">
        <v>1988.0833333333301</v>
      </c>
      <c r="J1301" s="3">
        <v>-54</v>
      </c>
      <c r="K1301" s="3">
        <v>-114.233333097608</v>
      </c>
    </row>
    <row r="1302" spans="9:11" ht="18" x14ac:dyDescent="0.25">
      <c r="I1302" s="3">
        <v>1988.1666666666599</v>
      </c>
      <c r="J1302" s="3">
        <v>-54</v>
      </c>
      <c r="K1302" s="3">
        <v>-145.73706202841299</v>
      </c>
    </row>
    <row r="1303" spans="9:11" ht="18" x14ac:dyDescent="0.25">
      <c r="I1303" s="3">
        <v>1988.25</v>
      </c>
      <c r="J1303" s="3">
        <v>-70</v>
      </c>
      <c r="K1303" s="3">
        <v>-197.19233238052001</v>
      </c>
    </row>
    <row r="1304" spans="9:11" ht="18" x14ac:dyDescent="0.25">
      <c r="I1304" s="3">
        <v>1988.3333333333301</v>
      </c>
      <c r="J1304" s="3">
        <v>-70</v>
      </c>
      <c r="K1304" s="3">
        <v>-219.25211425322701</v>
      </c>
    </row>
    <row r="1305" spans="9:11" ht="18" x14ac:dyDescent="0.25">
      <c r="I1305" s="3">
        <v>1988.4166666666599</v>
      </c>
      <c r="J1305" s="3">
        <v>-50</v>
      </c>
      <c r="K1305" s="3">
        <v>-182.803434445655</v>
      </c>
    </row>
    <row r="1306" spans="9:11" ht="18" x14ac:dyDescent="0.25">
      <c r="I1306" s="3">
        <v>1988.5</v>
      </c>
      <c r="J1306" s="3">
        <v>23</v>
      </c>
      <c r="K1306" s="3">
        <v>-127.719181593193</v>
      </c>
    </row>
    <row r="1307" spans="9:11" ht="18" x14ac:dyDescent="0.25">
      <c r="I1307" s="3">
        <v>1988.5833333333301</v>
      </c>
      <c r="J1307" s="3">
        <v>63</v>
      </c>
      <c r="K1307" s="3">
        <v>-71.263081401494503</v>
      </c>
    </row>
    <row r="1308" spans="9:11" ht="18" x14ac:dyDescent="0.25">
      <c r="I1308" s="3">
        <v>1988.6666666666599</v>
      </c>
      <c r="J1308" s="3">
        <v>63</v>
      </c>
      <c r="K1308" s="3">
        <v>-19.5941950614409</v>
      </c>
    </row>
    <row r="1309" spans="9:11" ht="18" x14ac:dyDescent="0.25">
      <c r="I1309" s="3">
        <v>1988.75</v>
      </c>
      <c r="J1309" s="3">
        <v>63</v>
      </c>
      <c r="K1309" s="3">
        <v>22.248315039016099</v>
      </c>
    </row>
    <row r="1310" spans="9:11" ht="18" x14ac:dyDescent="0.25">
      <c r="I1310" s="3">
        <v>1988.8333333333301</v>
      </c>
      <c r="J1310" s="3">
        <v>81</v>
      </c>
      <c r="K1310" s="3">
        <v>74.670407614988505</v>
      </c>
    </row>
    <row r="1311" spans="9:11" ht="18" x14ac:dyDescent="0.25">
      <c r="I1311" s="3">
        <v>1988.9166666666599</v>
      </c>
      <c r="J1311" s="3">
        <v>99</v>
      </c>
      <c r="K1311" s="3">
        <v>114.374723182707</v>
      </c>
    </row>
    <row r="1312" spans="9:11" ht="18" x14ac:dyDescent="0.25">
      <c r="I1312" s="3">
        <v>1989</v>
      </c>
      <c r="J1312" s="3">
        <v>99</v>
      </c>
      <c r="K1312" s="3">
        <v>110.36630671277599</v>
      </c>
    </row>
    <row r="1313" spans="9:11" ht="18" x14ac:dyDescent="0.25">
      <c r="I1313" s="3">
        <v>1989.0833333333301</v>
      </c>
      <c r="J1313" s="3">
        <v>84</v>
      </c>
      <c r="K1313" s="3">
        <v>98.290725845234405</v>
      </c>
    </row>
    <row r="1314" spans="9:11" ht="18" x14ac:dyDescent="0.25">
      <c r="I1314" s="3">
        <v>1989.1666666666599</v>
      </c>
      <c r="J1314" s="3">
        <v>40</v>
      </c>
      <c r="K1314" s="3">
        <v>103.75315221041799</v>
      </c>
    </row>
    <row r="1315" spans="9:11" ht="18" x14ac:dyDescent="0.25">
      <c r="I1315" s="3">
        <v>1989.25</v>
      </c>
      <c r="J1315" s="3">
        <v>40</v>
      </c>
      <c r="K1315" s="3">
        <v>135.785818245027</v>
      </c>
    </row>
    <row r="1316" spans="9:11" ht="18" x14ac:dyDescent="0.25">
      <c r="I1316" s="3">
        <v>1989.3333333333301</v>
      </c>
      <c r="J1316" s="3">
        <v>150</v>
      </c>
      <c r="K1316" s="3">
        <v>210.25316981028899</v>
      </c>
    </row>
    <row r="1317" spans="9:11" ht="18" x14ac:dyDescent="0.25">
      <c r="I1317" s="3">
        <v>1989.4166666666599</v>
      </c>
      <c r="J1317" s="3">
        <v>250</v>
      </c>
      <c r="K1317" s="3">
        <v>283.03967648836999</v>
      </c>
    </row>
    <row r="1318" spans="9:11" ht="18" x14ac:dyDescent="0.25">
      <c r="I1318" s="3">
        <v>1989.5</v>
      </c>
      <c r="J1318" s="3">
        <v>281</v>
      </c>
      <c r="K1318" s="3">
        <v>311.17445975309602</v>
      </c>
    </row>
    <row r="1319" spans="9:11" ht="18" x14ac:dyDescent="0.25">
      <c r="I1319" s="3">
        <v>1989.5833333333301</v>
      </c>
      <c r="J1319" s="3">
        <v>300</v>
      </c>
      <c r="K1319" s="3">
        <v>316.32629227628701</v>
      </c>
    </row>
    <row r="1320" spans="9:11" ht="18" x14ac:dyDescent="0.25">
      <c r="I1320" s="3">
        <v>1989.6666666666599</v>
      </c>
      <c r="J1320" s="3">
        <v>306</v>
      </c>
      <c r="K1320" s="3">
        <v>309.66831823119998</v>
      </c>
    </row>
    <row r="1321" spans="9:11" ht="18" x14ac:dyDescent="0.25">
      <c r="I1321" s="3">
        <v>1989.75</v>
      </c>
      <c r="J1321" s="3">
        <v>307</v>
      </c>
      <c r="K1321" s="3">
        <v>296.64849070821202</v>
      </c>
    </row>
    <row r="1322" spans="9:11" ht="18" x14ac:dyDescent="0.25">
      <c r="I1322" s="3">
        <v>1989.8333333333301</v>
      </c>
      <c r="J1322" s="3">
        <v>307</v>
      </c>
      <c r="K1322" s="3">
        <v>282.31974434384</v>
      </c>
    </row>
    <row r="1323" spans="9:11" ht="18" x14ac:dyDescent="0.25">
      <c r="I1323" s="3">
        <v>1989.9166666666599</v>
      </c>
      <c r="J1323" s="3">
        <v>306</v>
      </c>
      <c r="K1323" s="3">
        <v>235.66281148194099</v>
      </c>
    </row>
    <row r="1324" spans="9:11" ht="18" x14ac:dyDescent="0.25">
      <c r="I1324" s="3">
        <v>1990</v>
      </c>
      <c r="J1324" s="3">
        <v>282</v>
      </c>
      <c r="K1324" s="3">
        <v>166.833342760741</v>
      </c>
    </row>
    <row r="1325" spans="9:11" ht="18" x14ac:dyDescent="0.25">
      <c r="I1325" s="3">
        <v>1990.0833333333301</v>
      </c>
      <c r="J1325" s="3">
        <v>42</v>
      </c>
      <c r="K1325" s="3">
        <v>114.279587444727</v>
      </c>
    </row>
    <row r="1326" spans="9:11" ht="18" x14ac:dyDescent="0.25">
      <c r="I1326" s="3">
        <v>1990.1666666666599</v>
      </c>
      <c r="J1326" s="3">
        <v>32</v>
      </c>
      <c r="K1326" s="3">
        <v>57.954687056352903</v>
      </c>
    </row>
    <row r="1327" spans="9:11" ht="18" x14ac:dyDescent="0.25">
      <c r="I1327" s="3">
        <v>1990.25</v>
      </c>
      <c r="J1327" s="3">
        <v>-109</v>
      </c>
      <c r="K1327" s="3">
        <v>-7.3215646498424798</v>
      </c>
    </row>
    <row r="1328" spans="9:11" ht="18" x14ac:dyDescent="0.25">
      <c r="I1328" s="3">
        <v>1990.3333333333301</v>
      </c>
      <c r="J1328" s="3">
        <v>-124</v>
      </c>
      <c r="K1328" s="3">
        <v>-54.0153252465918</v>
      </c>
    </row>
    <row r="1329" spans="9:11" ht="18" x14ac:dyDescent="0.25">
      <c r="I1329" s="3">
        <v>1990.4166666666599</v>
      </c>
      <c r="J1329" s="3">
        <v>-124</v>
      </c>
      <c r="K1329" s="3">
        <v>-86.822955571355493</v>
      </c>
    </row>
    <row r="1330" spans="9:11" ht="18" x14ac:dyDescent="0.25">
      <c r="I1330" s="3">
        <v>1990.5</v>
      </c>
      <c r="J1330" s="3">
        <v>-131</v>
      </c>
      <c r="K1330" s="3">
        <v>-104.234530556644</v>
      </c>
    </row>
    <row r="1331" spans="9:11" ht="18" x14ac:dyDescent="0.25">
      <c r="I1331" s="3">
        <v>1990.5833333333301</v>
      </c>
      <c r="J1331" s="3">
        <v>-135</v>
      </c>
      <c r="K1331" s="3">
        <v>-112.91307094861099</v>
      </c>
    </row>
    <row r="1332" spans="9:11" ht="18" x14ac:dyDescent="0.25">
      <c r="I1332" s="3">
        <v>1990.6666666666599</v>
      </c>
      <c r="J1332" s="3">
        <v>-131</v>
      </c>
      <c r="K1332" s="3">
        <v>-143.04354564934701</v>
      </c>
    </row>
    <row r="1333" spans="9:11" ht="18" x14ac:dyDescent="0.25">
      <c r="I1333" s="3">
        <v>1990.75</v>
      </c>
      <c r="J1333" s="3">
        <v>-130</v>
      </c>
      <c r="K1333" s="3">
        <v>-171.810293460206</v>
      </c>
    </row>
    <row r="1334" spans="9:11" ht="18" x14ac:dyDescent="0.25">
      <c r="I1334" s="3">
        <v>1990.8333333333301</v>
      </c>
      <c r="J1334" s="3">
        <v>-110</v>
      </c>
      <c r="K1334" s="3">
        <v>-174.43616719979801</v>
      </c>
    </row>
    <row r="1335" spans="9:11" ht="18" x14ac:dyDescent="0.25">
      <c r="I1335" s="3">
        <v>1990.9166666666599</v>
      </c>
      <c r="J1335" s="3">
        <v>-110</v>
      </c>
      <c r="K1335" s="3">
        <v>-172.67230967331699</v>
      </c>
    </row>
    <row r="1336" spans="9:11" ht="18" x14ac:dyDescent="0.25">
      <c r="I1336" s="3">
        <v>1991</v>
      </c>
      <c r="J1336" s="3">
        <v>-114</v>
      </c>
      <c r="K1336" s="3">
        <v>-161.353451606622</v>
      </c>
    </row>
    <row r="1337" spans="9:11" ht="18" x14ac:dyDescent="0.25">
      <c r="I1337" s="3">
        <v>1991.0833333333301</v>
      </c>
      <c r="J1337" s="3">
        <v>-127</v>
      </c>
      <c r="K1337" s="3">
        <v>-138.02498339246301</v>
      </c>
    </row>
    <row r="1338" spans="9:11" ht="18" x14ac:dyDescent="0.25">
      <c r="I1338" s="3">
        <v>1991.1666666666599</v>
      </c>
      <c r="J1338" s="3">
        <v>-114</v>
      </c>
      <c r="K1338" s="3">
        <v>-114.60940530435801</v>
      </c>
    </row>
    <row r="1339" spans="9:11" ht="18" x14ac:dyDescent="0.25">
      <c r="I1339" s="3">
        <v>1991.25</v>
      </c>
      <c r="J1339" s="3">
        <v>-105</v>
      </c>
      <c r="K1339" s="3">
        <v>-54.523651092855602</v>
      </c>
    </row>
    <row r="1340" spans="9:11" ht="18" x14ac:dyDescent="0.25">
      <c r="I1340" s="3">
        <v>1991.3333333333301</v>
      </c>
      <c r="J1340" s="3">
        <v>-92</v>
      </c>
      <c r="K1340" s="3">
        <v>51.499735691288201</v>
      </c>
    </row>
    <row r="1341" spans="9:11" ht="18" x14ac:dyDescent="0.25">
      <c r="I1341" s="3">
        <v>1991.4166666666599</v>
      </c>
      <c r="J1341" s="3">
        <v>67</v>
      </c>
      <c r="K1341" s="3">
        <v>155.23052021544001</v>
      </c>
    </row>
    <row r="1342" spans="9:11" ht="18" x14ac:dyDescent="0.25">
      <c r="I1342" s="3">
        <v>1991.5</v>
      </c>
      <c r="J1342" s="3">
        <v>209</v>
      </c>
      <c r="K1342" s="3">
        <v>231.06581084425</v>
      </c>
    </row>
    <row r="1343" spans="9:11" ht="18" x14ac:dyDescent="0.25">
      <c r="I1343" s="3">
        <v>1991.5833333333301</v>
      </c>
      <c r="J1343" s="3">
        <v>231</v>
      </c>
      <c r="K1343" s="3">
        <v>264.13322711986098</v>
      </c>
    </row>
    <row r="1344" spans="9:11" ht="18" x14ac:dyDescent="0.25">
      <c r="I1344" s="3">
        <v>1991.6666666666599</v>
      </c>
      <c r="J1344" s="3">
        <v>231</v>
      </c>
      <c r="K1344" s="3">
        <v>267.51171938338098</v>
      </c>
    </row>
    <row r="1345" spans="9:11" ht="18" x14ac:dyDescent="0.25">
      <c r="I1345" s="3">
        <v>1991.75</v>
      </c>
      <c r="J1345" s="3">
        <v>222</v>
      </c>
      <c r="K1345" s="3">
        <v>291.25994199138597</v>
      </c>
    </row>
    <row r="1346" spans="9:11" ht="18" x14ac:dyDescent="0.25">
      <c r="I1346" s="3">
        <v>1991.8333333333301</v>
      </c>
      <c r="J1346" s="3">
        <v>222</v>
      </c>
      <c r="K1346" s="3">
        <v>318.86887484020298</v>
      </c>
    </row>
    <row r="1347" spans="9:11" ht="18" x14ac:dyDescent="0.25">
      <c r="I1347" s="3">
        <v>1991.9166666666599</v>
      </c>
      <c r="J1347" s="3">
        <v>242</v>
      </c>
      <c r="K1347" s="3">
        <v>307.99185950913397</v>
      </c>
    </row>
    <row r="1348" spans="9:11" ht="18" x14ac:dyDescent="0.25">
      <c r="I1348" s="3">
        <v>1992</v>
      </c>
      <c r="J1348" s="3">
        <v>253</v>
      </c>
      <c r="K1348" s="3">
        <v>278.78428698080398</v>
      </c>
    </row>
    <row r="1349" spans="9:11" ht="18" x14ac:dyDescent="0.25">
      <c r="I1349" s="3">
        <v>1992.0833333333301</v>
      </c>
      <c r="J1349" s="3">
        <v>253</v>
      </c>
      <c r="K1349" s="3">
        <v>244.05782597689401</v>
      </c>
    </row>
    <row r="1350" spans="9:11" ht="18" x14ac:dyDescent="0.25">
      <c r="I1350" s="3">
        <v>1992.1666666666599</v>
      </c>
      <c r="J1350" s="3">
        <v>254</v>
      </c>
      <c r="K1350" s="3">
        <v>205.91911154026599</v>
      </c>
    </row>
    <row r="1351" spans="9:11" ht="18" x14ac:dyDescent="0.25">
      <c r="I1351" s="3">
        <v>1992.25</v>
      </c>
      <c r="J1351" s="3">
        <v>260</v>
      </c>
      <c r="K1351" s="3">
        <v>180.121455164895</v>
      </c>
    </row>
    <row r="1352" spans="9:11" ht="18" x14ac:dyDescent="0.25">
      <c r="I1352" s="3">
        <v>1992.3333333333301</v>
      </c>
      <c r="J1352" s="3">
        <v>262</v>
      </c>
      <c r="K1352" s="3">
        <v>146.153793751406</v>
      </c>
    </row>
    <row r="1353" spans="9:11" ht="18" x14ac:dyDescent="0.25">
      <c r="I1353" s="3">
        <v>1992.4166666666599</v>
      </c>
      <c r="J1353" s="3">
        <v>268</v>
      </c>
      <c r="K1353" s="3">
        <v>98.933063826409906</v>
      </c>
    </row>
    <row r="1354" spans="9:11" ht="18" x14ac:dyDescent="0.25">
      <c r="I1354" s="3">
        <v>1992.5</v>
      </c>
      <c r="J1354" s="3">
        <v>268</v>
      </c>
      <c r="K1354" s="3">
        <v>63.090254481598102</v>
      </c>
    </row>
    <row r="1355" spans="9:11" ht="18" x14ac:dyDescent="0.25">
      <c r="I1355" s="3">
        <v>1992.5833333333301</v>
      </c>
      <c r="J1355" s="3">
        <v>79</v>
      </c>
      <c r="K1355" s="3">
        <v>21.829332430218901</v>
      </c>
    </row>
    <row r="1356" spans="9:11" ht="18" x14ac:dyDescent="0.25">
      <c r="I1356" s="3">
        <v>1992.6666666666599</v>
      </c>
      <c r="J1356" s="3">
        <v>-8</v>
      </c>
      <c r="K1356" s="3">
        <v>-27.598377344414398</v>
      </c>
    </row>
    <row r="1357" spans="9:11" ht="18" x14ac:dyDescent="0.25">
      <c r="I1357" s="3">
        <v>1992.75</v>
      </c>
      <c r="J1357" s="3">
        <v>-75</v>
      </c>
      <c r="K1357" s="3">
        <v>-63.376336192124398</v>
      </c>
    </row>
    <row r="1358" spans="9:11" ht="18" x14ac:dyDescent="0.25">
      <c r="I1358" s="3">
        <v>1992.8333333333301</v>
      </c>
      <c r="J1358" s="3">
        <v>-112</v>
      </c>
      <c r="K1358" s="3">
        <v>-101.94450667882001</v>
      </c>
    </row>
    <row r="1359" spans="9:11" ht="18" x14ac:dyDescent="0.25">
      <c r="I1359" s="3">
        <v>1992.9166666666599</v>
      </c>
      <c r="J1359" s="3">
        <v>-141</v>
      </c>
      <c r="K1359" s="3">
        <v>-136.94381844715801</v>
      </c>
    </row>
    <row r="1360" spans="9:11" ht="18" x14ac:dyDescent="0.25">
      <c r="I1360" s="3">
        <v>1993</v>
      </c>
      <c r="J1360" s="3">
        <v>-155</v>
      </c>
      <c r="K1360" s="3">
        <v>-147.08100845851601</v>
      </c>
    </row>
    <row r="1361" spans="9:11" ht="18" x14ac:dyDescent="0.25">
      <c r="I1361" s="3">
        <v>1993.0833333333301</v>
      </c>
      <c r="J1361" s="3">
        <v>-164</v>
      </c>
      <c r="K1361" s="3">
        <v>-158.91794235588901</v>
      </c>
    </row>
    <row r="1362" spans="9:11" ht="18" x14ac:dyDescent="0.25">
      <c r="I1362" s="3">
        <v>1993.1666666666599</v>
      </c>
      <c r="J1362" s="3">
        <v>-164</v>
      </c>
      <c r="K1362" s="3">
        <v>-173.090707097728</v>
      </c>
    </row>
    <row r="1363" spans="9:11" ht="18" x14ac:dyDescent="0.25">
      <c r="I1363" s="3">
        <v>1993.25</v>
      </c>
      <c r="J1363" s="3">
        <v>-164</v>
      </c>
      <c r="K1363" s="3">
        <v>-161.843324307004</v>
      </c>
    </row>
    <row r="1364" spans="9:11" ht="18" x14ac:dyDescent="0.25">
      <c r="I1364" s="3">
        <v>1993.3333333333301</v>
      </c>
      <c r="J1364" s="3">
        <v>-112</v>
      </c>
      <c r="K1364" s="3">
        <v>-123.337153307588</v>
      </c>
    </row>
    <row r="1365" spans="9:11" ht="18" x14ac:dyDescent="0.25">
      <c r="I1365" s="3">
        <v>1993.4166666666599</v>
      </c>
      <c r="J1365" s="3">
        <v>-108</v>
      </c>
      <c r="K1365" s="3">
        <v>-49.774924567129702</v>
      </c>
    </row>
    <row r="1366" spans="9:11" ht="18" x14ac:dyDescent="0.25">
      <c r="I1366" s="3">
        <v>1993.5</v>
      </c>
      <c r="J1366" s="3">
        <v>-48</v>
      </c>
      <c r="K1366" s="3">
        <v>34.935005406475199</v>
      </c>
    </row>
    <row r="1367" spans="9:11" ht="18" x14ac:dyDescent="0.25">
      <c r="I1367" s="3">
        <v>1993.5833333333301</v>
      </c>
      <c r="J1367" s="3">
        <v>8</v>
      </c>
      <c r="K1367" s="3">
        <v>82.161151970669493</v>
      </c>
    </row>
    <row r="1368" spans="9:11" ht="18" x14ac:dyDescent="0.25">
      <c r="I1368" s="3">
        <v>1993.6666666666599</v>
      </c>
      <c r="J1368" s="3">
        <v>10</v>
      </c>
      <c r="K1368" s="3">
        <v>120.218801479042</v>
      </c>
    </row>
    <row r="1369" spans="9:11" ht="18" x14ac:dyDescent="0.25">
      <c r="I1369" s="3">
        <v>1993.75</v>
      </c>
      <c r="J1369" s="3">
        <v>44</v>
      </c>
      <c r="K1369" s="3">
        <v>184.88006359960499</v>
      </c>
    </row>
    <row r="1370" spans="9:11" ht="18" x14ac:dyDescent="0.25">
      <c r="I1370" s="3">
        <v>1993.8333333333301</v>
      </c>
      <c r="J1370" s="3">
        <v>111</v>
      </c>
      <c r="K1370" s="3">
        <v>248.43979503982101</v>
      </c>
    </row>
    <row r="1371" spans="9:11" ht="18" x14ac:dyDescent="0.25">
      <c r="I1371" s="3">
        <v>1993.9166666666599</v>
      </c>
      <c r="J1371" s="3">
        <v>205</v>
      </c>
      <c r="K1371" s="3">
        <v>290.86085037545001</v>
      </c>
    </row>
    <row r="1372" spans="9:11" ht="18" x14ac:dyDescent="0.25">
      <c r="I1372" s="3">
        <v>1994</v>
      </c>
      <c r="J1372" s="3">
        <v>240</v>
      </c>
      <c r="K1372" s="3">
        <v>294.39885993027298</v>
      </c>
    </row>
    <row r="1373" spans="9:11" ht="18" x14ac:dyDescent="0.25">
      <c r="I1373" s="3">
        <v>1994.0833333333301</v>
      </c>
      <c r="J1373" s="3">
        <v>251</v>
      </c>
      <c r="K1373" s="3">
        <v>254.136589030685</v>
      </c>
    </row>
    <row r="1374" spans="9:11" ht="18" x14ac:dyDescent="0.25">
      <c r="I1374" s="3">
        <v>1994.1666666666599</v>
      </c>
      <c r="J1374" s="3">
        <v>265</v>
      </c>
      <c r="K1374" s="3">
        <v>218.73886363015899</v>
      </c>
    </row>
    <row r="1375" spans="9:11" ht="18" x14ac:dyDescent="0.25">
      <c r="I1375" s="3">
        <v>1994.25</v>
      </c>
      <c r="J1375" s="3">
        <v>291</v>
      </c>
      <c r="K1375" s="3">
        <v>204.07493341384</v>
      </c>
    </row>
    <row r="1376" spans="9:11" ht="18" x14ac:dyDescent="0.25">
      <c r="I1376" s="3">
        <v>1994.3333333333301</v>
      </c>
      <c r="J1376" s="3">
        <v>298</v>
      </c>
      <c r="K1376" s="3">
        <v>188.64965249590099</v>
      </c>
    </row>
    <row r="1377" spans="9:11" ht="18" x14ac:dyDescent="0.25">
      <c r="I1377" s="3">
        <v>1994.4166666666599</v>
      </c>
      <c r="J1377" s="3">
        <v>318</v>
      </c>
      <c r="K1377" s="3">
        <v>178.13678993374899</v>
      </c>
    </row>
    <row r="1378" spans="9:11" ht="18" x14ac:dyDescent="0.25">
      <c r="I1378" s="3">
        <v>1994.5</v>
      </c>
      <c r="J1378" s="3">
        <v>328</v>
      </c>
      <c r="K1378" s="3">
        <v>156.00754429926999</v>
      </c>
    </row>
    <row r="1379" spans="9:11" ht="18" x14ac:dyDescent="0.25">
      <c r="I1379" s="3">
        <v>1994.5833333333301</v>
      </c>
      <c r="J1379" s="3">
        <v>336</v>
      </c>
      <c r="K1379" s="3">
        <v>110.25112831795801</v>
      </c>
    </row>
    <row r="1380" spans="9:11" ht="18" x14ac:dyDescent="0.25">
      <c r="I1380" s="3">
        <v>1994.6666666666599</v>
      </c>
      <c r="J1380" s="3">
        <v>336</v>
      </c>
      <c r="K1380" s="3">
        <v>72.893755555980107</v>
      </c>
    </row>
    <row r="1381" spans="9:11" ht="18" x14ac:dyDescent="0.25">
      <c r="I1381" s="3">
        <v>1994.75</v>
      </c>
      <c r="J1381" s="3">
        <v>271</v>
      </c>
      <c r="K1381" s="3">
        <v>33.902539483201899</v>
      </c>
    </row>
    <row r="1382" spans="9:11" ht="18" x14ac:dyDescent="0.25">
      <c r="I1382" s="3">
        <v>1994.8333333333301</v>
      </c>
      <c r="J1382" s="3">
        <v>9</v>
      </c>
      <c r="K1382" s="3">
        <v>-28.566186049737599</v>
      </c>
    </row>
    <row r="1383" spans="9:11" ht="18" x14ac:dyDescent="0.25">
      <c r="I1383" s="3">
        <v>1994.9166666666599</v>
      </c>
      <c r="J1383" s="3">
        <v>-109</v>
      </c>
      <c r="K1383" s="3">
        <v>-88.252009106960998</v>
      </c>
    </row>
    <row r="1384" spans="9:11" ht="18" x14ac:dyDescent="0.25">
      <c r="I1384" s="3">
        <v>1995</v>
      </c>
      <c r="J1384" s="3">
        <v>-167</v>
      </c>
      <c r="K1384" s="3">
        <v>-135.04459782446901</v>
      </c>
    </row>
    <row r="1385" spans="9:11" ht="18" x14ac:dyDescent="0.25">
      <c r="I1385" s="3">
        <v>1995.0833333333301</v>
      </c>
      <c r="J1385" s="3">
        <v>-167</v>
      </c>
      <c r="K1385" s="3">
        <v>-162.11273818909899</v>
      </c>
    </row>
    <row r="1386" spans="9:11" ht="18" x14ac:dyDescent="0.25">
      <c r="I1386" s="3">
        <v>1995.1666666666599</v>
      </c>
      <c r="J1386" s="3">
        <v>-115</v>
      </c>
      <c r="K1386" s="3">
        <v>-155.615267476371</v>
      </c>
    </row>
    <row r="1387" spans="9:11" ht="18" x14ac:dyDescent="0.25">
      <c r="I1387" s="3">
        <v>1995.25</v>
      </c>
      <c r="J1387" s="3">
        <v>-110</v>
      </c>
      <c r="K1387" s="3">
        <v>-139.16383912271499</v>
      </c>
    </row>
    <row r="1388" spans="9:11" ht="18" x14ac:dyDescent="0.25">
      <c r="I1388" s="3">
        <v>1995.3333333333301</v>
      </c>
      <c r="J1388" s="3">
        <v>-110</v>
      </c>
      <c r="K1388" s="3">
        <v>-106.976490849702</v>
      </c>
    </row>
    <row r="1389" spans="9:11" ht="18" x14ac:dyDescent="0.25">
      <c r="I1389" s="3">
        <v>1995.4166666666599</v>
      </c>
      <c r="J1389" s="3">
        <v>-151</v>
      </c>
      <c r="K1389" s="3">
        <v>-34.927941744619403</v>
      </c>
    </row>
    <row r="1390" spans="9:11" ht="18" x14ac:dyDescent="0.25">
      <c r="I1390" s="3">
        <v>1995.5</v>
      </c>
      <c r="J1390" s="3">
        <v>-151</v>
      </c>
      <c r="K1390" s="3">
        <v>33.715635465578004</v>
      </c>
    </row>
    <row r="1391" spans="9:11" ht="18" x14ac:dyDescent="0.25">
      <c r="I1391" s="3">
        <v>1995.5833333333301</v>
      </c>
      <c r="J1391" s="3">
        <v>-125</v>
      </c>
      <c r="K1391" s="3">
        <v>69.644347640273693</v>
      </c>
    </row>
    <row r="1392" spans="9:11" ht="18" x14ac:dyDescent="0.25">
      <c r="I1392" s="3">
        <v>1995.6666666666599</v>
      </c>
      <c r="J1392" s="3">
        <v>-72</v>
      </c>
      <c r="K1392" s="3">
        <v>93.587976012502295</v>
      </c>
    </row>
    <row r="1393" spans="9:11" ht="18" x14ac:dyDescent="0.25">
      <c r="I1393" s="3">
        <v>1995.75</v>
      </c>
      <c r="J1393" s="3">
        <v>-34</v>
      </c>
      <c r="K1393" s="3">
        <v>112.956678517635</v>
      </c>
    </row>
    <row r="1394" spans="9:11" ht="18" x14ac:dyDescent="0.25">
      <c r="I1394" s="3">
        <v>1995.8333333333301</v>
      </c>
      <c r="J1394" s="3">
        <v>32</v>
      </c>
      <c r="K1394" s="3">
        <v>145.53945577361799</v>
      </c>
    </row>
    <row r="1395" spans="9:11" ht="18" x14ac:dyDescent="0.25">
      <c r="I1395" s="3">
        <v>1995.9166666666599</v>
      </c>
      <c r="J1395" s="3">
        <v>131</v>
      </c>
      <c r="K1395" s="3">
        <v>189.269438610566</v>
      </c>
    </row>
    <row r="1396" spans="9:11" ht="18" x14ac:dyDescent="0.25">
      <c r="I1396" s="3">
        <v>1996</v>
      </c>
      <c r="J1396" s="3">
        <v>169</v>
      </c>
      <c r="K1396" s="3">
        <v>198.569044829875</v>
      </c>
    </row>
    <row r="1397" spans="9:11" ht="18" x14ac:dyDescent="0.25">
      <c r="I1397" s="3">
        <v>1996.0833333333301</v>
      </c>
      <c r="J1397" s="3">
        <v>183</v>
      </c>
      <c r="K1397" s="3">
        <v>179.39913289847701</v>
      </c>
    </row>
    <row r="1398" spans="9:11" ht="18" x14ac:dyDescent="0.25">
      <c r="I1398" s="3">
        <v>1996.1666666666599</v>
      </c>
      <c r="J1398" s="3">
        <v>202</v>
      </c>
      <c r="K1398" s="3">
        <v>164.70929358897601</v>
      </c>
    </row>
    <row r="1399" spans="9:11" ht="18" x14ac:dyDescent="0.25">
      <c r="I1399" s="3">
        <v>1996.25</v>
      </c>
      <c r="J1399" s="3">
        <v>239</v>
      </c>
      <c r="K1399" s="3">
        <v>158.311711672423</v>
      </c>
    </row>
    <row r="1400" spans="9:11" ht="18" x14ac:dyDescent="0.25">
      <c r="I1400" s="3">
        <v>1996.3333333333301</v>
      </c>
      <c r="J1400" s="3">
        <v>277</v>
      </c>
      <c r="K1400" s="3">
        <v>178.85547770048399</v>
      </c>
    </row>
    <row r="1401" spans="9:11" ht="18" x14ac:dyDescent="0.25">
      <c r="I1401" s="3">
        <v>1996.4166666666599</v>
      </c>
      <c r="J1401" s="3">
        <v>307</v>
      </c>
      <c r="K1401" s="3">
        <v>211.30635574240301</v>
      </c>
    </row>
    <row r="1402" spans="9:11" ht="18" x14ac:dyDescent="0.25">
      <c r="I1402" s="3">
        <v>1996.5</v>
      </c>
      <c r="J1402" s="3">
        <v>325</v>
      </c>
      <c r="K1402" s="3">
        <v>204.061367028587</v>
      </c>
    </row>
    <row r="1403" spans="9:11" ht="18" x14ac:dyDescent="0.25">
      <c r="I1403" s="3">
        <v>1996.5833333333301</v>
      </c>
      <c r="J1403" s="3">
        <v>330</v>
      </c>
      <c r="K1403" s="3">
        <v>170.83183838933201</v>
      </c>
    </row>
    <row r="1404" spans="9:11" ht="18" x14ac:dyDescent="0.25">
      <c r="I1404" s="3">
        <v>1996.6666666666599</v>
      </c>
      <c r="J1404" s="3">
        <v>346</v>
      </c>
      <c r="K1404" s="3">
        <v>140.23758688592599</v>
      </c>
    </row>
    <row r="1405" spans="9:11" ht="18" x14ac:dyDescent="0.25">
      <c r="I1405" s="3">
        <v>1996.75</v>
      </c>
      <c r="J1405" s="3">
        <v>349</v>
      </c>
      <c r="K1405" s="3">
        <v>104.407528806282</v>
      </c>
    </row>
    <row r="1406" spans="9:11" ht="18" x14ac:dyDescent="0.25">
      <c r="I1406" s="3">
        <v>1996.8333333333301</v>
      </c>
      <c r="J1406" s="3">
        <v>349</v>
      </c>
      <c r="K1406" s="3">
        <v>65.696644566142297</v>
      </c>
    </row>
    <row r="1407" spans="9:11" ht="18" x14ac:dyDescent="0.25">
      <c r="I1407" s="3">
        <v>1996.9166666666599</v>
      </c>
      <c r="J1407" s="3">
        <v>284</v>
      </c>
      <c r="K1407" s="3">
        <v>11.1726512036033</v>
      </c>
    </row>
    <row r="1408" spans="9:11" ht="18" x14ac:dyDescent="0.25">
      <c r="I1408" s="3">
        <v>1997</v>
      </c>
      <c r="J1408" s="3">
        <v>56</v>
      </c>
      <c r="K1408" s="3">
        <v>-59.214101350532601</v>
      </c>
    </row>
    <row r="1409" spans="9:11" ht="18" x14ac:dyDescent="0.25">
      <c r="I1409" s="3">
        <v>1997.0833333333301</v>
      </c>
      <c r="J1409" s="3">
        <v>-22</v>
      </c>
      <c r="K1409" s="3">
        <v>-96.979091108510502</v>
      </c>
    </row>
    <row r="1410" spans="9:11" ht="18" x14ac:dyDescent="0.25">
      <c r="I1410" s="3">
        <v>1997.1666666666599</v>
      </c>
      <c r="J1410" s="3">
        <v>-100</v>
      </c>
      <c r="K1410" s="3">
        <v>-102.96895083364601</v>
      </c>
    </row>
    <row r="1411" spans="9:11" ht="18" x14ac:dyDescent="0.25">
      <c r="I1411" s="3">
        <v>1997.25</v>
      </c>
      <c r="J1411" s="3">
        <v>-106</v>
      </c>
      <c r="K1411" s="3">
        <v>-107.87350429188299</v>
      </c>
    </row>
    <row r="1412" spans="9:11" ht="18" x14ac:dyDescent="0.25">
      <c r="I1412" s="3">
        <v>1997.3333333333301</v>
      </c>
      <c r="J1412" s="3">
        <v>-151</v>
      </c>
      <c r="K1412" s="3">
        <v>-95.692477150540697</v>
      </c>
    </row>
    <row r="1413" spans="9:11" ht="18" x14ac:dyDescent="0.25">
      <c r="I1413" s="3">
        <v>1997.4166666666599</v>
      </c>
      <c r="J1413" s="3">
        <v>-151</v>
      </c>
      <c r="K1413" s="3">
        <v>-70.440701926961694</v>
      </c>
    </row>
    <row r="1414" spans="9:11" ht="18" x14ac:dyDescent="0.25">
      <c r="I1414" s="3">
        <v>1997.5</v>
      </c>
      <c r="J1414" s="3">
        <v>-151</v>
      </c>
      <c r="K1414" s="3">
        <v>-49.237332866876798</v>
      </c>
    </row>
    <row r="1415" spans="9:11" ht="18" x14ac:dyDescent="0.25">
      <c r="I1415" s="3">
        <v>1997.5833333333301</v>
      </c>
      <c r="J1415" s="3">
        <v>-141</v>
      </c>
      <c r="K1415" s="3">
        <v>-22.595105314194001</v>
      </c>
    </row>
    <row r="1416" spans="9:11" ht="18" x14ac:dyDescent="0.25">
      <c r="I1416" s="3">
        <v>1997.6666666666599</v>
      </c>
      <c r="J1416" s="3">
        <v>-114</v>
      </c>
      <c r="K1416" s="3">
        <v>-3.75035617966777</v>
      </c>
    </row>
    <row r="1417" spans="9:11" ht="18" x14ac:dyDescent="0.25">
      <c r="I1417" s="3">
        <v>1997.75</v>
      </c>
      <c r="J1417" s="3">
        <v>-97</v>
      </c>
      <c r="K1417" s="3">
        <v>12.145120300163301</v>
      </c>
    </row>
    <row r="1418" spans="9:11" ht="18" x14ac:dyDescent="0.25">
      <c r="I1418" s="3">
        <v>1997.8333333333301</v>
      </c>
      <c r="J1418" s="3">
        <v>-75</v>
      </c>
      <c r="K1418" s="3">
        <v>56.800023724669103</v>
      </c>
    </row>
    <row r="1419" spans="9:11" ht="18" x14ac:dyDescent="0.25">
      <c r="I1419" s="3">
        <v>1997.9166666666599</v>
      </c>
      <c r="J1419" s="3">
        <v>-15</v>
      </c>
      <c r="K1419" s="3">
        <v>108.151744556038</v>
      </c>
    </row>
    <row r="1420" spans="9:11" ht="18" x14ac:dyDescent="0.25">
      <c r="I1420" s="3">
        <v>1998</v>
      </c>
      <c r="J1420" s="3">
        <v>49</v>
      </c>
      <c r="K1420" s="3">
        <v>142.46039620981</v>
      </c>
    </row>
    <row r="1421" spans="9:11" ht="18" x14ac:dyDescent="0.25">
      <c r="I1421" s="3">
        <v>1998.0833333333301</v>
      </c>
      <c r="J1421" s="3">
        <v>50</v>
      </c>
      <c r="K1421" s="3">
        <v>162.53093879510899</v>
      </c>
    </row>
    <row r="1422" spans="9:11" ht="18" x14ac:dyDescent="0.25">
      <c r="I1422" s="3">
        <v>1998.1666666666599</v>
      </c>
      <c r="J1422" s="3">
        <v>57</v>
      </c>
      <c r="K1422" s="3">
        <v>151.07347702955499</v>
      </c>
    </row>
    <row r="1423" spans="9:11" ht="18" x14ac:dyDescent="0.25">
      <c r="I1423" s="3">
        <v>1998.25</v>
      </c>
      <c r="J1423" s="3">
        <v>127</v>
      </c>
      <c r="K1423" s="3">
        <v>132.97719217082499</v>
      </c>
    </row>
    <row r="1424" spans="9:11" ht="18" x14ac:dyDescent="0.25">
      <c r="I1424" s="3">
        <v>1998.3333333333301</v>
      </c>
      <c r="J1424" s="3">
        <v>253</v>
      </c>
      <c r="K1424" s="3">
        <v>152.45995233513</v>
      </c>
    </row>
    <row r="1425" spans="9:11" ht="18" x14ac:dyDescent="0.25">
      <c r="I1425" s="3">
        <v>1998.4166666666599</v>
      </c>
      <c r="J1425" s="3">
        <v>280</v>
      </c>
      <c r="K1425" s="3">
        <v>181.938147760546</v>
      </c>
    </row>
    <row r="1426" spans="9:11" ht="18" x14ac:dyDescent="0.25">
      <c r="I1426" s="3">
        <v>1998.5</v>
      </c>
      <c r="J1426" s="3">
        <v>297</v>
      </c>
      <c r="K1426" s="3">
        <v>191.467610610782</v>
      </c>
    </row>
    <row r="1427" spans="9:11" ht="18" x14ac:dyDescent="0.25">
      <c r="I1427" s="3">
        <v>1998.5833333333301</v>
      </c>
      <c r="J1427" s="3">
        <v>308</v>
      </c>
      <c r="K1427" s="3">
        <v>182.31262773425701</v>
      </c>
    </row>
    <row r="1428" spans="9:11" ht="18" x14ac:dyDescent="0.25">
      <c r="I1428" s="3">
        <v>1998.6666666666599</v>
      </c>
      <c r="J1428" s="3">
        <v>311</v>
      </c>
      <c r="K1428" s="3">
        <v>156.92156463487601</v>
      </c>
    </row>
    <row r="1429" spans="9:11" ht="18" x14ac:dyDescent="0.25">
      <c r="I1429" s="3">
        <v>1998.75</v>
      </c>
      <c r="J1429" s="3">
        <v>311</v>
      </c>
      <c r="K1429" s="3">
        <v>147.481148765255</v>
      </c>
    </row>
    <row r="1430" spans="9:11" ht="18" x14ac:dyDescent="0.25">
      <c r="I1430" s="3">
        <v>1998.8333333333301</v>
      </c>
      <c r="J1430" s="3">
        <v>292</v>
      </c>
      <c r="K1430" s="3">
        <v>153.12122458460999</v>
      </c>
    </row>
    <row r="1431" spans="9:11" ht="18" x14ac:dyDescent="0.25">
      <c r="I1431" s="3">
        <v>1998.9166666666599</v>
      </c>
      <c r="J1431" s="3">
        <v>68</v>
      </c>
      <c r="K1431" s="3">
        <v>121.710003008569</v>
      </c>
    </row>
    <row r="1432" spans="9:11" ht="18" x14ac:dyDescent="0.25">
      <c r="I1432" s="3">
        <v>1999</v>
      </c>
      <c r="J1432" s="3">
        <v>-70</v>
      </c>
      <c r="K1432" s="3">
        <v>63.894855039831398</v>
      </c>
    </row>
    <row r="1433" spans="9:11" ht="18" x14ac:dyDescent="0.25">
      <c r="I1433" s="3">
        <v>1999.0833333333301</v>
      </c>
      <c r="J1433" s="3">
        <v>-99</v>
      </c>
      <c r="K1433" s="3">
        <v>18.010851999289901</v>
      </c>
    </row>
    <row r="1434" spans="9:11" ht="18" x14ac:dyDescent="0.25">
      <c r="I1434" s="3">
        <v>1999.1666666666599</v>
      </c>
      <c r="J1434" s="3">
        <v>-99</v>
      </c>
      <c r="K1434" s="3">
        <v>-14.1261797831846</v>
      </c>
    </row>
    <row r="1435" spans="9:11" ht="18" x14ac:dyDescent="0.25">
      <c r="I1435" s="3">
        <v>1999.25</v>
      </c>
      <c r="J1435" s="3">
        <v>-131</v>
      </c>
      <c r="K1435" s="3">
        <v>-18.126129886870999</v>
      </c>
    </row>
    <row r="1436" spans="9:11" ht="18" x14ac:dyDescent="0.25">
      <c r="I1436" s="3">
        <v>1999.3333333333301</v>
      </c>
      <c r="J1436" s="3">
        <v>-126</v>
      </c>
      <c r="K1436" s="3">
        <v>-1.2128510406968001</v>
      </c>
    </row>
    <row r="1437" spans="9:11" ht="18" x14ac:dyDescent="0.25">
      <c r="I1437" s="3">
        <v>1999.4166666666599</v>
      </c>
      <c r="J1437" s="3">
        <v>-137</v>
      </c>
      <c r="K1437" s="3">
        <v>6.7216238672271302</v>
      </c>
    </row>
    <row r="1438" spans="9:11" ht="18" x14ac:dyDescent="0.25">
      <c r="I1438" s="3">
        <v>1999.5</v>
      </c>
      <c r="J1438" s="3">
        <v>-126</v>
      </c>
      <c r="K1438" s="3">
        <v>18.670456874564199</v>
      </c>
    </row>
    <row r="1439" spans="9:11" ht="18" x14ac:dyDescent="0.25">
      <c r="I1439" s="3">
        <v>1999.5833333333301</v>
      </c>
      <c r="J1439" s="3">
        <v>-111</v>
      </c>
      <c r="K1439" s="3">
        <v>33.415880150375699</v>
      </c>
    </row>
    <row r="1440" spans="9:11" ht="18" x14ac:dyDescent="0.25">
      <c r="I1440" s="3">
        <v>1999.6666666666599</v>
      </c>
      <c r="J1440" s="3">
        <v>-110</v>
      </c>
      <c r="K1440" s="3">
        <v>32.098941129776101</v>
      </c>
    </row>
    <row r="1441" spans="9:11" ht="18" x14ac:dyDescent="0.25">
      <c r="I1441" s="3">
        <v>1999.75</v>
      </c>
      <c r="J1441" s="3">
        <v>-101</v>
      </c>
      <c r="K1441" s="3">
        <v>32.068982665336598</v>
      </c>
    </row>
    <row r="1442" spans="9:11" ht="18" x14ac:dyDescent="0.25">
      <c r="I1442" s="3">
        <v>1999.8333333333301</v>
      </c>
      <c r="J1442" s="3">
        <v>-91</v>
      </c>
      <c r="K1442" s="3">
        <v>25.580505986933002</v>
      </c>
    </row>
    <row r="1443" spans="9:11" ht="18" x14ac:dyDescent="0.25">
      <c r="I1443" s="3">
        <v>1999.9166666666599</v>
      </c>
      <c r="J1443" s="3">
        <v>-61</v>
      </c>
      <c r="K1443" s="3">
        <v>-0.53632476114376004</v>
      </c>
    </row>
    <row r="1444" spans="9:11" ht="18" x14ac:dyDescent="0.25">
      <c r="I1444" s="3">
        <v>2000</v>
      </c>
      <c r="J1444" s="3">
        <v>-61</v>
      </c>
      <c r="K1444" s="3">
        <v>-16.5474332875743</v>
      </c>
    </row>
    <row r="1445" spans="9:11" ht="18" x14ac:dyDescent="0.25">
      <c r="I1445" s="3">
        <v>2000.0833333333301</v>
      </c>
      <c r="J1445" s="3">
        <v>-74</v>
      </c>
      <c r="K1445" s="3">
        <v>-29.493009482069802</v>
      </c>
    </row>
    <row r="1446" spans="9:11" ht="18" x14ac:dyDescent="0.25">
      <c r="I1446" s="3">
        <v>2000.1666666666599</v>
      </c>
      <c r="J1446" s="3">
        <v>-95</v>
      </c>
      <c r="K1446" s="3">
        <v>-55.345071919083303</v>
      </c>
    </row>
    <row r="1447" spans="9:11" ht="18" x14ac:dyDescent="0.25">
      <c r="I1447" s="3">
        <v>2000.25</v>
      </c>
      <c r="J1447" s="3">
        <v>-95</v>
      </c>
      <c r="K1447" s="3">
        <v>-58.205991065697802</v>
      </c>
    </row>
    <row r="1448" spans="9:11" ht="18" x14ac:dyDescent="0.25">
      <c r="I1448" s="3">
        <v>2000.3333333333301</v>
      </c>
      <c r="J1448" s="3">
        <v>-61</v>
      </c>
      <c r="K1448" s="3">
        <v>-23.8105802540402</v>
      </c>
    </row>
    <row r="1449" spans="9:11" ht="18" x14ac:dyDescent="0.25">
      <c r="I1449" s="3">
        <v>2000.4166666666599</v>
      </c>
      <c r="J1449" s="3">
        <v>71</v>
      </c>
      <c r="K1449" s="3">
        <v>38.703125958833397</v>
      </c>
    </row>
    <row r="1450" spans="9:11" ht="18" x14ac:dyDescent="0.25">
      <c r="I1450" s="3">
        <v>2000.5</v>
      </c>
      <c r="J1450" s="3">
        <v>227</v>
      </c>
      <c r="K1450" s="3">
        <v>112.000403069309</v>
      </c>
    </row>
    <row r="1451" spans="9:11" ht="18" x14ac:dyDescent="0.25">
      <c r="I1451" s="3">
        <v>2000.5833333333301</v>
      </c>
      <c r="J1451" s="3">
        <v>282</v>
      </c>
      <c r="K1451" s="3">
        <v>144.20851756595101</v>
      </c>
    </row>
    <row r="1452" spans="9:11" ht="18" x14ac:dyDescent="0.25">
      <c r="I1452" s="3">
        <v>2000.6666666666599</v>
      </c>
      <c r="J1452" s="3">
        <v>288</v>
      </c>
      <c r="K1452" s="3">
        <v>136.62238520128301</v>
      </c>
    </row>
    <row r="1453" spans="9:11" ht="18" x14ac:dyDescent="0.25">
      <c r="I1453" s="3">
        <v>2000.75</v>
      </c>
      <c r="J1453" s="3">
        <v>288</v>
      </c>
      <c r="K1453" s="3">
        <v>141.55913853998001</v>
      </c>
    </row>
    <row r="1454" spans="9:11" ht="18" x14ac:dyDescent="0.25">
      <c r="I1454" s="3">
        <v>2000.8333333333301</v>
      </c>
      <c r="J1454" s="3">
        <v>275</v>
      </c>
      <c r="K1454" s="3">
        <v>150.927365078191</v>
      </c>
    </row>
    <row r="1455" spans="9:11" ht="18" x14ac:dyDescent="0.25">
      <c r="I1455" s="3">
        <v>2000.9166666666599</v>
      </c>
      <c r="J1455" s="3">
        <v>259</v>
      </c>
      <c r="K1455" s="3">
        <v>145.85766320478899</v>
      </c>
    </row>
    <row r="1456" spans="9:11" ht="18" x14ac:dyDescent="0.25">
      <c r="I1456" s="3">
        <v>2001</v>
      </c>
      <c r="J1456" s="3">
        <v>259</v>
      </c>
      <c r="K1456" s="3">
        <v>134.71162501009701</v>
      </c>
    </row>
    <row r="1457" spans="9:11" ht="18" x14ac:dyDescent="0.25">
      <c r="I1457" s="3">
        <v>2001.0833333333301</v>
      </c>
      <c r="J1457" s="3">
        <v>272</v>
      </c>
      <c r="K1457" s="3">
        <v>112.884441323755</v>
      </c>
    </row>
    <row r="1458" spans="9:11" ht="18" x14ac:dyDescent="0.25">
      <c r="I1458" s="3">
        <v>2001.1666666666599</v>
      </c>
      <c r="J1458" s="3">
        <v>272</v>
      </c>
      <c r="K1458" s="3">
        <v>107.091457538586</v>
      </c>
    </row>
    <row r="1459" spans="9:11" ht="18" x14ac:dyDescent="0.25">
      <c r="I1459" s="3">
        <v>2001.25</v>
      </c>
      <c r="J1459" s="3">
        <v>272</v>
      </c>
      <c r="K1459" s="3">
        <v>140.472180761347</v>
      </c>
    </row>
    <row r="1460" spans="9:11" ht="18" x14ac:dyDescent="0.25">
      <c r="I1460" s="3">
        <v>2001.3333333333301</v>
      </c>
      <c r="J1460" s="3">
        <v>309</v>
      </c>
      <c r="K1460" s="3">
        <v>174.72751154662799</v>
      </c>
    </row>
    <row r="1461" spans="9:11" ht="18" x14ac:dyDescent="0.25">
      <c r="I1461" s="3">
        <v>2001.4166666666599</v>
      </c>
      <c r="J1461" s="3">
        <v>318</v>
      </c>
      <c r="K1461" s="3">
        <v>189.18311150011399</v>
      </c>
    </row>
    <row r="1462" spans="9:11" ht="18" x14ac:dyDescent="0.25">
      <c r="I1462" s="3">
        <v>2001.5</v>
      </c>
      <c r="J1462" s="3">
        <v>331</v>
      </c>
      <c r="K1462" s="3">
        <v>181.40747116612201</v>
      </c>
    </row>
    <row r="1463" spans="9:11" ht="18" x14ac:dyDescent="0.25">
      <c r="I1463" s="3">
        <v>2001.5833333333301</v>
      </c>
      <c r="J1463" s="3">
        <v>349</v>
      </c>
      <c r="K1463" s="3">
        <v>141.77697972841301</v>
      </c>
    </row>
    <row r="1464" spans="9:11" ht="18" x14ac:dyDescent="0.25">
      <c r="I1464" s="3">
        <v>2001.6666666666599</v>
      </c>
      <c r="J1464" s="3">
        <v>349</v>
      </c>
      <c r="K1464" s="3">
        <v>108.247325432043</v>
      </c>
    </row>
    <row r="1465" spans="9:11" ht="18" x14ac:dyDescent="0.25">
      <c r="I1465" s="3">
        <v>2001.75</v>
      </c>
      <c r="J1465" s="3">
        <v>307</v>
      </c>
      <c r="K1465" s="3">
        <v>99.499563566088398</v>
      </c>
    </row>
    <row r="1466" spans="9:11" ht="18" x14ac:dyDescent="0.25">
      <c r="I1466" s="3">
        <v>2001.8333333333301</v>
      </c>
      <c r="J1466" s="3">
        <v>136</v>
      </c>
      <c r="K1466" s="3">
        <v>78.668517981606698</v>
      </c>
    </row>
    <row r="1467" spans="9:11" ht="18" x14ac:dyDescent="0.25">
      <c r="I1467" s="3">
        <v>2001.9166666666599</v>
      </c>
      <c r="J1467" s="3">
        <v>-21</v>
      </c>
      <c r="K1467" s="3">
        <v>49.526569981103997</v>
      </c>
    </row>
    <row r="1468" spans="9:11" ht="18" x14ac:dyDescent="0.25">
      <c r="I1468" s="3">
        <v>2002</v>
      </c>
      <c r="J1468" s="3">
        <v>-118</v>
      </c>
      <c r="K1468" s="3">
        <v>26.351995651246298</v>
      </c>
    </row>
    <row r="1469" spans="9:11" ht="18" x14ac:dyDescent="0.25">
      <c r="I1469" s="3">
        <v>2002.0833333333301</v>
      </c>
      <c r="J1469" s="3">
        <v>-140</v>
      </c>
      <c r="K1469" s="3">
        <v>-4.3955405408591703</v>
      </c>
    </row>
    <row r="1470" spans="9:11" ht="18" x14ac:dyDescent="0.25">
      <c r="I1470" s="3">
        <v>2002.1666666666599</v>
      </c>
      <c r="J1470" s="3">
        <v>-148</v>
      </c>
      <c r="K1470" s="3">
        <v>-34.1613550876095</v>
      </c>
    </row>
    <row r="1471" spans="9:11" ht="18" x14ac:dyDescent="0.25">
      <c r="I1471" s="3">
        <v>2002.25</v>
      </c>
      <c r="J1471" s="3">
        <v>-148</v>
      </c>
      <c r="K1471" s="3">
        <v>-65.9103113646689</v>
      </c>
    </row>
    <row r="1472" spans="9:11" ht="18" x14ac:dyDescent="0.25">
      <c r="I1472" s="3">
        <v>2002.3333333333301</v>
      </c>
      <c r="J1472" s="3">
        <v>-133</v>
      </c>
      <c r="K1472" s="3">
        <v>-100.33693644439199</v>
      </c>
    </row>
    <row r="1473" spans="9:11" ht="18" x14ac:dyDescent="0.25">
      <c r="I1473" s="3">
        <v>2002.4166666666599</v>
      </c>
      <c r="J1473" s="3">
        <v>-129</v>
      </c>
      <c r="K1473" s="3">
        <v>-99.263123970091499</v>
      </c>
    </row>
    <row r="1474" spans="9:11" ht="18" x14ac:dyDescent="0.25">
      <c r="I1474" s="3">
        <v>2002.5</v>
      </c>
      <c r="J1474" s="3">
        <v>-103</v>
      </c>
      <c r="K1474" s="3">
        <v>-76.421259361569497</v>
      </c>
    </row>
    <row r="1475" spans="9:11" ht="18" x14ac:dyDescent="0.25">
      <c r="I1475" s="3">
        <v>2002.5833333333301</v>
      </c>
      <c r="J1475" s="3">
        <v>-92</v>
      </c>
      <c r="K1475" s="3">
        <v>-73.830035049504801</v>
      </c>
    </row>
    <row r="1476" spans="9:11" ht="18" x14ac:dyDescent="0.25">
      <c r="I1476" s="3">
        <v>2002.6666666666599</v>
      </c>
      <c r="J1476" s="3">
        <v>-83</v>
      </c>
      <c r="K1476" s="3">
        <v>-73.344174085556403</v>
      </c>
    </row>
    <row r="1477" spans="9:11" ht="18" x14ac:dyDescent="0.25">
      <c r="I1477" s="3">
        <v>2002.75</v>
      </c>
      <c r="J1477" s="3">
        <v>-65</v>
      </c>
      <c r="K1477" s="3">
        <v>-61.2297015700956</v>
      </c>
    </row>
    <row r="1478" spans="9:11" ht="18" x14ac:dyDescent="0.25">
      <c r="I1478" s="3">
        <v>2002.8333333333301</v>
      </c>
      <c r="J1478" s="3">
        <v>-41</v>
      </c>
      <c r="K1478" s="3">
        <v>-38.003858095730003</v>
      </c>
    </row>
    <row r="1479" spans="9:11" ht="18" x14ac:dyDescent="0.25">
      <c r="I1479" s="3">
        <v>2002.9166666666599</v>
      </c>
      <c r="J1479" s="3">
        <v>41</v>
      </c>
      <c r="K1479" s="3">
        <v>7.2953503964861</v>
      </c>
    </row>
    <row r="1480" spans="9:11" ht="18" x14ac:dyDescent="0.25">
      <c r="I1480" s="3">
        <v>2003</v>
      </c>
      <c r="J1480" s="3">
        <v>41</v>
      </c>
      <c r="K1480" s="3">
        <v>44.094492968534801</v>
      </c>
    </row>
    <row r="1481" spans="9:11" ht="18" x14ac:dyDescent="0.25">
      <c r="I1481" s="3">
        <v>2003.0833333333301</v>
      </c>
      <c r="J1481" s="3">
        <v>14</v>
      </c>
      <c r="K1481" s="3">
        <v>56.118079544558903</v>
      </c>
    </row>
    <row r="1482" spans="9:11" ht="18" x14ac:dyDescent="0.25">
      <c r="I1482" s="3">
        <v>2003.1666666666599</v>
      </c>
      <c r="J1482" s="3">
        <v>14</v>
      </c>
      <c r="K1482" s="3">
        <v>78.739858735928607</v>
      </c>
    </row>
    <row r="1483" spans="9:11" ht="18" x14ac:dyDescent="0.25">
      <c r="I1483" s="3">
        <v>2003.25</v>
      </c>
      <c r="J1483" s="3">
        <v>73</v>
      </c>
      <c r="K1483" s="3">
        <v>118.547396253231</v>
      </c>
    </row>
    <row r="1484" spans="9:11" ht="18" x14ac:dyDescent="0.25">
      <c r="I1484" s="3">
        <v>2003.3333333333301</v>
      </c>
      <c r="J1484" s="3">
        <v>194</v>
      </c>
      <c r="K1484" s="3">
        <v>174.46940529231</v>
      </c>
    </row>
    <row r="1485" spans="9:11" ht="18" x14ac:dyDescent="0.25">
      <c r="I1485" s="3">
        <v>2003.4166666666599</v>
      </c>
      <c r="J1485" s="3">
        <v>269</v>
      </c>
      <c r="K1485" s="3">
        <v>243.618129202419</v>
      </c>
    </row>
    <row r="1486" spans="9:11" ht="18" x14ac:dyDescent="0.25">
      <c r="I1486" s="3">
        <v>2003.5</v>
      </c>
      <c r="J1486" s="3">
        <v>288</v>
      </c>
      <c r="K1486" s="3">
        <v>277.78346784159601</v>
      </c>
    </row>
    <row r="1487" spans="9:11" ht="18" x14ac:dyDescent="0.25">
      <c r="I1487" s="3">
        <v>2003.5833333333301</v>
      </c>
      <c r="J1487" s="3">
        <v>313</v>
      </c>
      <c r="K1487" s="3">
        <v>274.84827382490897</v>
      </c>
    </row>
    <row r="1488" spans="9:11" ht="18" x14ac:dyDescent="0.25">
      <c r="I1488" s="3">
        <v>2003.6666666666599</v>
      </c>
      <c r="J1488" s="3">
        <v>313</v>
      </c>
      <c r="K1488" s="3">
        <v>283.435100283145</v>
      </c>
    </row>
    <row r="1489" spans="9:11" ht="18" x14ac:dyDescent="0.25">
      <c r="I1489" s="3">
        <v>2003.75</v>
      </c>
      <c r="J1489" s="3">
        <v>313</v>
      </c>
      <c r="K1489" s="3">
        <v>297.72358233552302</v>
      </c>
    </row>
    <row r="1490" spans="9:11" ht="18" x14ac:dyDescent="0.25">
      <c r="I1490" s="3">
        <v>2003.8333333333301</v>
      </c>
      <c r="J1490" s="3">
        <v>313</v>
      </c>
      <c r="K1490" s="3">
        <v>294.69884990055101</v>
      </c>
    </row>
    <row r="1491" spans="9:11" ht="18" x14ac:dyDescent="0.25">
      <c r="I1491" s="3">
        <v>2003.9166666666599</v>
      </c>
      <c r="J1491" s="3">
        <v>312</v>
      </c>
      <c r="K1491" s="3">
        <v>260.88968263246898</v>
      </c>
    </row>
    <row r="1492" spans="9:11" ht="18" x14ac:dyDescent="0.25">
      <c r="I1492" s="3">
        <v>2004</v>
      </c>
      <c r="J1492" s="3">
        <v>165</v>
      </c>
      <c r="K1492" s="3">
        <v>180.015181940368</v>
      </c>
    </row>
    <row r="1493" spans="9:11" ht="18" x14ac:dyDescent="0.25">
      <c r="I1493" s="3">
        <v>2004.0833333333301</v>
      </c>
      <c r="J1493" s="3">
        <v>16</v>
      </c>
      <c r="K1493" s="3">
        <v>88.421902150979903</v>
      </c>
    </row>
    <row r="1494" spans="9:11" ht="18" x14ac:dyDescent="0.25">
      <c r="I1494" s="3">
        <v>2004.1666666666599</v>
      </c>
      <c r="J1494" s="3">
        <v>-78</v>
      </c>
      <c r="K1494" s="3">
        <v>19.273184569282702</v>
      </c>
    </row>
    <row r="1495" spans="9:11" ht="18" x14ac:dyDescent="0.25">
      <c r="I1495" s="3">
        <v>2004.25</v>
      </c>
      <c r="J1495" s="3">
        <v>-112</v>
      </c>
      <c r="K1495" s="3">
        <v>-45.221396458763003</v>
      </c>
    </row>
    <row r="1496" spans="9:11" ht="18" x14ac:dyDescent="0.25">
      <c r="I1496" s="3">
        <v>2004.3333333333301</v>
      </c>
      <c r="J1496" s="3">
        <v>-120</v>
      </c>
      <c r="K1496" s="3">
        <v>-86.975341947940706</v>
      </c>
    </row>
    <row r="1497" spans="9:11" ht="18" x14ac:dyDescent="0.25">
      <c r="I1497" s="3">
        <v>2004.4166666666599</v>
      </c>
      <c r="J1497" s="3">
        <v>-120</v>
      </c>
      <c r="K1497" s="3">
        <v>-86.614605136711901</v>
      </c>
    </row>
    <row r="1498" spans="9:11" ht="18" x14ac:dyDescent="0.25">
      <c r="I1498" s="3">
        <v>2004.5</v>
      </c>
      <c r="J1498" s="3">
        <v>-95</v>
      </c>
      <c r="K1498" s="3">
        <v>-74.089748245259997</v>
      </c>
    </row>
    <row r="1499" spans="9:11" ht="18" x14ac:dyDescent="0.25">
      <c r="I1499" s="3">
        <v>2004.5833333333301</v>
      </c>
      <c r="J1499" s="3">
        <v>-95</v>
      </c>
      <c r="K1499" s="3">
        <v>-59.127156994438998</v>
      </c>
    </row>
    <row r="1500" spans="9:11" ht="18" x14ac:dyDescent="0.25">
      <c r="I1500" s="3">
        <v>2004.6666666666599</v>
      </c>
      <c r="J1500" s="3">
        <v>-90</v>
      </c>
      <c r="K1500" s="3">
        <v>-53.485239509509199</v>
      </c>
    </row>
    <row r="1501" spans="9:11" ht="18" x14ac:dyDescent="0.25">
      <c r="I1501" s="3">
        <v>2004.75</v>
      </c>
      <c r="J1501" s="3">
        <v>-88</v>
      </c>
      <c r="K1501" s="3">
        <v>-78.753616251012403</v>
      </c>
    </row>
    <row r="1502" spans="9:11" ht="18" x14ac:dyDescent="0.25">
      <c r="I1502" s="3">
        <v>2004.8333333333301</v>
      </c>
      <c r="J1502" s="3">
        <v>-73</v>
      </c>
      <c r="K1502" s="3">
        <v>-106.325808252447</v>
      </c>
    </row>
    <row r="1503" spans="9:11" ht="18" x14ac:dyDescent="0.25">
      <c r="I1503" s="3">
        <v>2004.9166666666599</v>
      </c>
      <c r="J1503" s="3">
        <v>-48</v>
      </c>
      <c r="K1503" s="3">
        <v>-120.156472527137</v>
      </c>
    </row>
    <row r="1504" spans="9:11" ht="18" x14ac:dyDescent="0.25">
      <c r="I1504" s="3">
        <v>2005</v>
      </c>
      <c r="J1504" s="3">
        <v>-14</v>
      </c>
      <c r="K1504" s="3">
        <v>-131.03665604814401</v>
      </c>
    </row>
    <row r="1505" spans="9:11" ht="18" x14ac:dyDescent="0.25">
      <c r="I1505" s="3">
        <v>2005.0833333333301</v>
      </c>
      <c r="J1505" s="3">
        <v>-14</v>
      </c>
      <c r="K1505" s="3">
        <v>-119.051823648457</v>
      </c>
    </row>
    <row r="1506" spans="9:11" ht="18" x14ac:dyDescent="0.25">
      <c r="I1506" s="3">
        <v>2005.1666666666599</v>
      </c>
      <c r="J1506" s="3">
        <v>9</v>
      </c>
      <c r="K1506" s="3">
        <v>-85.650271539593703</v>
      </c>
    </row>
    <row r="1507" spans="9:11" ht="18" x14ac:dyDescent="0.25">
      <c r="I1507" s="3">
        <v>2005.25</v>
      </c>
      <c r="J1507" s="3">
        <v>9</v>
      </c>
      <c r="K1507" s="3">
        <v>-37.248467277707299</v>
      </c>
    </row>
    <row r="1508" spans="9:11" ht="18" x14ac:dyDescent="0.25">
      <c r="I1508" s="3">
        <v>2005.3333333333301</v>
      </c>
      <c r="J1508" s="3">
        <v>178</v>
      </c>
      <c r="K1508" s="3">
        <v>54.072248350382303</v>
      </c>
    </row>
    <row r="1509" spans="9:11" ht="18" x14ac:dyDescent="0.25">
      <c r="I1509" s="3">
        <v>2005.4166666666599</v>
      </c>
      <c r="J1509" s="3">
        <v>266</v>
      </c>
      <c r="K1509" s="3">
        <v>157.79024629676201</v>
      </c>
    </row>
    <row r="1510" spans="9:11" ht="18" x14ac:dyDescent="0.25">
      <c r="I1510" s="3">
        <v>2005.5</v>
      </c>
      <c r="J1510" s="3">
        <v>286</v>
      </c>
      <c r="K1510" s="3">
        <v>213.728352738209</v>
      </c>
    </row>
    <row r="1511" spans="9:11" ht="18" x14ac:dyDescent="0.25">
      <c r="I1511" s="3">
        <v>2005.5833333333301</v>
      </c>
      <c r="J1511" s="3">
        <v>309</v>
      </c>
      <c r="K1511" s="3">
        <v>226.03865730765401</v>
      </c>
    </row>
    <row r="1512" spans="9:11" ht="18" x14ac:dyDescent="0.25">
      <c r="I1512" s="3">
        <v>2005.6666666666599</v>
      </c>
      <c r="J1512" s="3">
        <v>316</v>
      </c>
      <c r="K1512" s="3">
        <v>217.578263186068</v>
      </c>
    </row>
    <row r="1513" spans="9:11" ht="18" x14ac:dyDescent="0.25">
      <c r="I1513" s="3">
        <v>2005.75</v>
      </c>
      <c r="J1513" s="3">
        <v>318</v>
      </c>
      <c r="K1513" s="3">
        <v>218.83071763862799</v>
      </c>
    </row>
    <row r="1514" spans="9:11" ht="18" x14ac:dyDescent="0.25">
      <c r="I1514" s="3">
        <v>2005.8333333333301</v>
      </c>
      <c r="J1514" s="3">
        <v>320</v>
      </c>
      <c r="K1514" s="3">
        <v>251.041588023001</v>
      </c>
    </row>
    <row r="1515" spans="9:11" ht="18" x14ac:dyDescent="0.25">
      <c r="I1515" s="3">
        <v>2005.9166666666599</v>
      </c>
      <c r="J1515" s="3">
        <v>324</v>
      </c>
      <c r="K1515" s="3">
        <v>268.33989109700701</v>
      </c>
    </row>
    <row r="1516" spans="9:11" ht="18" x14ac:dyDescent="0.25">
      <c r="I1516" s="3">
        <v>2006</v>
      </c>
      <c r="J1516" s="3">
        <v>324</v>
      </c>
      <c r="K1516" s="3">
        <v>247.44963807161301</v>
      </c>
    </row>
    <row r="1517" spans="9:11" ht="18" x14ac:dyDescent="0.25">
      <c r="I1517" s="3">
        <v>2006.0833333333301</v>
      </c>
      <c r="J1517" s="3">
        <v>288</v>
      </c>
      <c r="K1517" s="3">
        <v>222.57503794626999</v>
      </c>
    </row>
    <row r="1518" spans="9:11" ht="18" x14ac:dyDescent="0.25">
      <c r="I1518" s="3">
        <v>2006.1666666666599</v>
      </c>
      <c r="J1518" s="3">
        <v>93</v>
      </c>
      <c r="K1518" s="3">
        <v>193.27562309232999</v>
      </c>
    </row>
    <row r="1519" spans="9:11" ht="18" x14ac:dyDescent="0.25">
      <c r="I1519" s="3">
        <v>2006.25</v>
      </c>
      <c r="J1519" s="3">
        <v>-83</v>
      </c>
      <c r="K1519" s="3">
        <v>158.29889104050099</v>
      </c>
    </row>
    <row r="1520" spans="9:11" ht="18" x14ac:dyDescent="0.25">
      <c r="I1520" s="3">
        <v>2006.3333333333301</v>
      </c>
      <c r="J1520" s="3">
        <v>-85</v>
      </c>
      <c r="K1520" s="3">
        <v>130.84478489309899</v>
      </c>
    </row>
    <row r="1521" spans="9:11" ht="18" x14ac:dyDescent="0.25">
      <c r="I1521" s="3">
        <v>2006.4166666666599</v>
      </c>
      <c r="J1521" s="3">
        <v>-106</v>
      </c>
      <c r="K1521" s="3">
        <v>88.610583796726402</v>
      </c>
    </row>
    <row r="1522" spans="9:11" ht="18" x14ac:dyDescent="0.25">
      <c r="I1522" s="3">
        <v>2006.5</v>
      </c>
      <c r="J1522" s="3">
        <v>-123</v>
      </c>
      <c r="K1522" s="3">
        <v>36.644818831305003</v>
      </c>
    </row>
    <row r="1523" spans="9:11" ht="18" x14ac:dyDescent="0.25">
      <c r="I1523" s="3">
        <v>2006.5833333333301</v>
      </c>
      <c r="J1523" s="3">
        <v>-123</v>
      </c>
      <c r="K1523" s="3">
        <v>0.78334008570158797</v>
      </c>
    </row>
    <row r="1524" spans="9:11" ht="18" x14ac:dyDescent="0.25">
      <c r="I1524" s="3">
        <v>2006.6666666666599</v>
      </c>
      <c r="J1524" s="3">
        <v>-109</v>
      </c>
      <c r="K1524" s="3">
        <v>-33.019090504869197</v>
      </c>
    </row>
    <row r="1525" spans="9:11" ht="18" x14ac:dyDescent="0.25">
      <c r="I1525" s="3">
        <v>2006.75</v>
      </c>
      <c r="J1525" s="3">
        <v>-93</v>
      </c>
      <c r="K1525" s="3">
        <v>-61.974398590690598</v>
      </c>
    </row>
    <row r="1526" spans="9:11" ht="18" x14ac:dyDescent="0.25">
      <c r="I1526" s="3">
        <v>2006.8333333333301</v>
      </c>
      <c r="J1526" s="3">
        <v>-93</v>
      </c>
      <c r="K1526" s="3">
        <v>-79.964663570072204</v>
      </c>
    </row>
    <row r="1527" spans="9:11" ht="18" x14ac:dyDescent="0.25">
      <c r="I1527" s="3">
        <v>2006.9166666666599</v>
      </c>
      <c r="J1527" s="3">
        <v>-89</v>
      </c>
      <c r="K1527" s="3">
        <v>-106.714974466001</v>
      </c>
    </row>
    <row r="1528" spans="9:11" ht="18" x14ac:dyDescent="0.25">
      <c r="I1528" s="3">
        <v>2007</v>
      </c>
      <c r="J1528" s="3">
        <v>-73</v>
      </c>
      <c r="K1528" s="3">
        <v>-120.178421015525</v>
      </c>
    </row>
    <row r="1529" spans="9:11" ht="18" x14ac:dyDescent="0.25">
      <c r="I1529" s="3">
        <v>2007.0833333333301</v>
      </c>
      <c r="J1529" s="3">
        <v>-54</v>
      </c>
      <c r="K1529" s="3">
        <v>-107.04532157644501</v>
      </c>
    </row>
    <row r="1530" spans="9:11" ht="18" x14ac:dyDescent="0.25">
      <c r="I1530" s="3">
        <v>2007.1666666666599</v>
      </c>
      <c r="J1530" s="3">
        <v>-53</v>
      </c>
      <c r="K1530" s="3">
        <v>-99.621195730829001</v>
      </c>
    </row>
    <row r="1531" spans="9:11" ht="18" x14ac:dyDescent="0.25">
      <c r="I1531" s="3">
        <v>2007.25</v>
      </c>
      <c r="J1531" s="3">
        <v>-14</v>
      </c>
      <c r="K1531" s="3">
        <v>-83.624406253728196</v>
      </c>
    </row>
    <row r="1532" spans="9:11" ht="18" x14ac:dyDescent="0.25">
      <c r="I1532" s="3">
        <v>2007.3333333333301</v>
      </c>
      <c r="J1532" s="3">
        <v>147</v>
      </c>
      <c r="K1532" s="3">
        <v>-34.599726729555002</v>
      </c>
    </row>
    <row r="1533" spans="9:11" ht="18" x14ac:dyDescent="0.25">
      <c r="I1533" s="3">
        <v>2007.4166666666599</v>
      </c>
      <c r="J1533" s="3">
        <v>253</v>
      </c>
      <c r="K1533" s="3">
        <v>28.511471744333299</v>
      </c>
    </row>
    <row r="1534" spans="9:11" ht="18" x14ac:dyDescent="0.25">
      <c r="I1534" s="3">
        <v>2007.5</v>
      </c>
      <c r="J1534" s="3">
        <v>297</v>
      </c>
      <c r="K1534" s="3">
        <v>92.435519823018495</v>
      </c>
    </row>
    <row r="1535" spans="9:11" ht="18" x14ac:dyDescent="0.25">
      <c r="I1535" s="3">
        <v>2007.5833333333301</v>
      </c>
      <c r="J1535" s="3">
        <v>313</v>
      </c>
      <c r="K1535" s="3">
        <v>131.79765992574701</v>
      </c>
    </row>
    <row r="1536" spans="9:11" ht="18" x14ac:dyDescent="0.25">
      <c r="I1536" s="3">
        <v>2007.6666666666599</v>
      </c>
      <c r="J1536" s="3">
        <v>316</v>
      </c>
      <c r="K1536" s="3">
        <v>137.49769551722</v>
      </c>
    </row>
    <row r="1537" spans="9:11" ht="18" x14ac:dyDescent="0.25">
      <c r="I1537" s="3">
        <v>2007.75</v>
      </c>
      <c r="J1537" s="3">
        <v>316</v>
      </c>
      <c r="K1537" s="3">
        <v>160.70305773907199</v>
      </c>
    </row>
    <row r="1538" spans="9:11" ht="18" x14ac:dyDescent="0.25">
      <c r="I1538" s="3">
        <v>2007.8333333333301</v>
      </c>
      <c r="J1538" s="3">
        <v>320</v>
      </c>
      <c r="K1538" s="3">
        <v>206.147918216156</v>
      </c>
    </row>
    <row r="1539" spans="9:11" ht="18" x14ac:dyDescent="0.25">
      <c r="I1539" s="3">
        <v>2007.9166666666599</v>
      </c>
      <c r="J1539" s="3">
        <v>316</v>
      </c>
      <c r="K1539" s="3">
        <v>227.59827185742299</v>
      </c>
    </row>
    <row r="1540" spans="9:11" ht="18" x14ac:dyDescent="0.25">
      <c r="I1540" s="3">
        <v>2008</v>
      </c>
      <c r="J1540" s="3">
        <v>265</v>
      </c>
      <c r="K1540" s="3">
        <v>218.986940784654</v>
      </c>
    </row>
    <row r="1541" spans="9:11" ht="18" x14ac:dyDescent="0.25">
      <c r="I1541" s="3">
        <v>2008.0833333333301</v>
      </c>
      <c r="J1541" s="3">
        <v>126</v>
      </c>
      <c r="K1541" s="3">
        <v>178.321112208084</v>
      </c>
    </row>
    <row r="1542" spans="9:11" ht="18" x14ac:dyDescent="0.25">
      <c r="I1542" s="3">
        <v>2008.1666666666599</v>
      </c>
      <c r="J1542" s="3">
        <v>-38</v>
      </c>
      <c r="K1542" s="3">
        <v>118.240953853844</v>
      </c>
    </row>
    <row r="1543" spans="9:11" ht="18" x14ac:dyDescent="0.25">
      <c r="I1543" s="3">
        <v>2008.25</v>
      </c>
      <c r="J1543" s="3">
        <v>-112</v>
      </c>
      <c r="K1543" s="3">
        <v>87.480448267057696</v>
      </c>
    </row>
    <row r="1544" spans="9:11" ht="18" x14ac:dyDescent="0.25">
      <c r="I1544" s="3">
        <v>2008.3333333333301</v>
      </c>
      <c r="J1544" s="3">
        <v>-124</v>
      </c>
      <c r="K1544" s="3">
        <v>83.596052576901101</v>
      </c>
    </row>
    <row r="1545" spans="9:11" ht="18" x14ac:dyDescent="0.25">
      <c r="I1545" s="3">
        <v>2008.4166666666599</v>
      </c>
      <c r="J1545" s="3">
        <v>-124</v>
      </c>
      <c r="K1545" s="3">
        <v>80.718755636210204</v>
      </c>
    </row>
    <row r="1546" spans="9:11" ht="18" x14ac:dyDescent="0.25">
      <c r="I1546" s="3">
        <v>2008.5</v>
      </c>
      <c r="J1546" s="3">
        <v>-135</v>
      </c>
      <c r="K1546" s="3">
        <v>83.778394748184795</v>
      </c>
    </row>
    <row r="1547" spans="9:11" ht="18" x14ac:dyDescent="0.25">
      <c r="I1547" s="3">
        <v>2008.5833333333301</v>
      </c>
      <c r="J1547" s="3">
        <v>-135</v>
      </c>
      <c r="K1547" s="3">
        <v>80.886082369979704</v>
      </c>
    </row>
    <row r="1548" spans="9:11" ht="18" x14ac:dyDescent="0.25">
      <c r="I1548" s="3">
        <v>2008.6666666666599</v>
      </c>
      <c r="J1548" s="3">
        <v>-118</v>
      </c>
      <c r="K1548" s="3">
        <v>76.7369166739701</v>
      </c>
    </row>
    <row r="1549" spans="9:11" ht="18" x14ac:dyDescent="0.25">
      <c r="I1549" s="3">
        <v>2008.75</v>
      </c>
      <c r="J1549" s="3">
        <v>-105</v>
      </c>
      <c r="K1549" s="3">
        <v>87.219449728578198</v>
      </c>
    </row>
    <row r="1550" spans="9:11" ht="18" x14ac:dyDescent="0.25">
      <c r="I1550" s="3">
        <v>2008.8333333333301</v>
      </c>
      <c r="J1550" s="3">
        <v>-93</v>
      </c>
      <c r="K1550" s="3">
        <v>70.491207482932893</v>
      </c>
    </row>
    <row r="1551" spans="9:11" ht="18" x14ac:dyDescent="0.25">
      <c r="I1551" s="3">
        <v>2008.9166666666599</v>
      </c>
      <c r="J1551" s="3">
        <v>-93</v>
      </c>
      <c r="K1551" s="3">
        <v>12.8323021858217</v>
      </c>
    </row>
    <row r="1552" spans="9:11" ht="18" x14ac:dyDescent="0.25">
      <c r="I1552" s="3">
        <v>2009</v>
      </c>
      <c r="J1552" s="3">
        <v>-111</v>
      </c>
      <c r="K1552" s="3">
        <v>-41.767833956680299</v>
      </c>
    </row>
    <row r="1553" spans="9:11" ht="18" x14ac:dyDescent="0.25">
      <c r="I1553" s="3">
        <v>2009.0833333333301</v>
      </c>
      <c r="J1553" s="3">
        <v>-119</v>
      </c>
      <c r="K1553" s="3">
        <v>-81.707242002121404</v>
      </c>
    </row>
    <row r="1554" spans="9:11" ht="18" x14ac:dyDescent="0.25">
      <c r="I1554" s="3">
        <v>2009.1666666666599</v>
      </c>
      <c r="J1554" s="3">
        <v>-119</v>
      </c>
      <c r="K1554" s="3">
        <v>-99.057231704290899</v>
      </c>
    </row>
    <row r="1555" spans="9:11" ht="18" x14ac:dyDescent="0.25">
      <c r="I1555" s="3">
        <v>2009.25</v>
      </c>
      <c r="J1555" s="3">
        <v>-118</v>
      </c>
      <c r="K1555" s="3">
        <v>-81.5486079490138</v>
      </c>
    </row>
    <row r="1556" spans="9:11" ht="18" x14ac:dyDescent="0.25">
      <c r="I1556" s="3">
        <v>2009.3333333333301</v>
      </c>
      <c r="J1556" s="3">
        <v>-103</v>
      </c>
      <c r="K1556" s="3">
        <v>-46.727528759191301</v>
      </c>
    </row>
    <row r="1557" spans="9:11" ht="18" x14ac:dyDescent="0.25">
      <c r="I1557" s="3">
        <v>2009.4166666666599</v>
      </c>
      <c r="J1557" s="3">
        <v>-32</v>
      </c>
      <c r="K1557" s="3">
        <v>11.0284040099887</v>
      </c>
    </row>
    <row r="1558" spans="9:11" ht="18" x14ac:dyDescent="0.25">
      <c r="I1558" s="3">
        <v>2009.5</v>
      </c>
      <c r="J1558" s="3">
        <v>134</v>
      </c>
      <c r="K1558" s="3">
        <v>83.372491352040996</v>
      </c>
    </row>
    <row r="1559" spans="9:11" ht="18" x14ac:dyDescent="0.25">
      <c r="I1559" s="3">
        <v>2009.5833333333301</v>
      </c>
      <c r="J1559" s="3">
        <v>218</v>
      </c>
      <c r="K1559" s="3">
        <v>116.233151487893</v>
      </c>
    </row>
    <row r="1560" spans="9:11" ht="18" x14ac:dyDescent="0.25">
      <c r="I1560" s="3">
        <v>2009.6666666666599</v>
      </c>
      <c r="J1560" s="3">
        <v>220</v>
      </c>
      <c r="K1560" s="3">
        <v>112.541080594007</v>
      </c>
    </row>
    <row r="1561" spans="9:11" ht="18" x14ac:dyDescent="0.25">
      <c r="I1561" s="3">
        <v>2009.75</v>
      </c>
      <c r="J1561" s="3">
        <v>218</v>
      </c>
      <c r="K1561" s="3">
        <v>107.26912653004101</v>
      </c>
    </row>
    <row r="1562" spans="9:11" ht="18" x14ac:dyDescent="0.25">
      <c r="I1562" s="3">
        <v>2009.8333333333301</v>
      </c>
      <c r="J1562" s="3">
        <v>220</v>
      </c>
      <c r="K1562" s="3">
        <v>101.50556271851799</v>
      </c>
    </row>
    <row r="1563" spans="9:11" ht="18" x14ac:dyDescent="0.25">
      <c r="I1563" s="3">
        <v>2009.9166666666599</v>
      </c>
      <c r="J1563" s="3">
        <v>252</v>
      </c>
      <c r="K1563" s="3">
        <v>110.127564418289</v>
      </c>
    </row>
    <row r="1564" spans="9:11" ht="18" x14ac:dyDescent="0.25">
      <c r="I1564" s="3">
        <v>2010</v>
      </c>
      <c r="J1564" s="3">
        <v>259</v>
      </c>
      <c r="K1564" s="3">
        <v>128.225411859274</v>
      </c>
    </row>
    <row r="1565" spans="9:11" ht="18" x14ac:dyDescent="0.25">
      <c r="I1565" s="3">
        <v>2010.0833333333301</v>
      </c>
      <c r="J1565" s="3">
        <v>265</v>
      </c>
      <c r="K1565" s="3">
        <v>124.54435289562301</v>
      </c>
    </row>
    <row r="1566" spans="9:11" ht="18" x14ac:dyDescent="0.25">
      <c r="I1566" s="3">
        <v>2010.1666666666599</v>
      </c>
      <c r="J1566" s="3">
        <v>269</v>
      </c>
      <c r="K1566" s="3">
        <v>120.352058501093</v>
      </c>
    </row>
    <row r="1567" spans="9:11" ht="18" x14ac:dyDescent="0.25">
      <c r="I1567" s="3">
        <v>2010.25</v>
      </c>
      <c r="J1567" s="3">
        <v>271</v>
      </c>
      <c r="K1567" s="3">
        <v>135.73914354159001</v>
      </c>
    </row>
    <row r="1568" spans="9:11" ht="18" x14ac:dyDescent="0.25">
      <c r="I1568" s="3">
        <v>2010.3333333333301</v>
      </c>
      <c r="J1568" s="3">
        <v>269</v>
      </c>
      <c r="K1568" s="3">
        <v>156.12426353085101</v>
      </c>
    </row>
    <row r="1569" spans="9:11" ht="18" x14ac:dyDescent="0.25">
      <c r="I1569" s="3">
        <v>2010.4166666666599</v>
      </c>
      <c r="J1569" s="3">
        <v>271</v>
      </c>
      <c r="K1569" s="3">
        <v>177.19756219770099</v>
      </c>
    </row>
    <row r="1570" spans="9:11" ht="18" x14ac:dyDescent="0.25">
      <c r="I1570" s="3">
        <v>2010.5</v>
      </c>
      <c r="J1570" s="3">
        <v>263</v>
      </c>
      <c r="K1570" s="3">
        <v>166.193802765805</v>
      </c>
    </row>
    <row r="1571" spans="9:11" ht="18" x14ac:dyDescent="0.25">
      <c r="I1571" s="3">
        <v>2010.5833333333301</v>
      </c>
      <c r="J1571" s="3">
        <v>59</v>
      </c>
      <c r="K1571" s="3">
        <v>105.873173728162</v>
      </c>
    </row>
    <row r="1572" spans="9:11" ht="18" x14ac:dyDescent="0.25">
      <c r="I1572" s="3">
        <v>2010.6666666666599</v>
      </c>
      <c r="J1572" s="3">
        <v>-117</v>
      </c>
      <c r="K1572" s="3">
        <v>55.494282790815703</v>
      </c>
    </row>
    <row r="1573" spans="9:11" ht="18" x14ac:dyDescent="0.25">
      <c r="I1573" s="3">
        <v>2010.75</v>
      </c>
      <c r="J1573" s="3">
        <v>-117</v>
      </c>
      <c r="K1573" s="3">
        <v>39.465533583723001</v>
      </c>
    </row>
    <row r="1574" spans="9:11" ht="18" x14ac:dyDescent="0.25">
      <c r="I1574" s="3">
        <v>2010.8333333333301</v>
      </c>
      <c r="J1574" s="3">
        <v>-118</v>
      </c>
      <c r="K1574" s="3">
        <v>29.0734648978897</v>
      </c>
    </row>
    <row r="1575" spans="9:11" ht="18" x14ac:dyDescent="0.25">
      <c r="I1575" s="3">
        <v>2010.9166666666599</v>
      </c>
      <c r="J1575" s="3">
        <v>-116</v>
      </c>
      <c r="K1575" s="3">
        <v>17.7086204520084</v>
      </c>
    </row>
    <row r="1576" spans="9:11" ht="18" x14ac:dyDescent="0.25">
      <c r="I1576" s="3">
        <v>2011</v>
      </c>
      <c r="J1576" s="3">
        <v>-97</v>
      </c>
      <c r="K1576" s="3">
        <v>-5.0455618932976298</v>
      </c>
    </row>
    <row r="1577" spans="9:11" ht="18" x14ac:dyDescent="0.25">
      <c r="I1577" s="3">
        <v>2011.0833333333301</v>
      </c>
      <c r="J1577" s="3">
        <v>-97</v>
      </c>
      <c r="K1577" s="3">
        <v>-31.386162015097401</v>
      </c>
    </row>
    <row r="1578" spans="9:11" ht="18" x14ac:dyDescent="0.25">
      <c r="I1578" s="3">
        <v>2011.1666666666599</v>
      </c>
      <c r="J1578" s="3">
        <v>-97</v>
      </c>
      <c r="K1578" s="3">
        <v>-31.4955778524394</v>
      </c>
    </row>
    <row r="1579" spans="9:11" ht="18" x14ac:dyDescent="0.25">
      <c r="I1579" s="3">
        <v>2011.25</v>
      </c>
      <c r="J1579" s="3">
        <v>-97</v>
      </c>
      <c r="K1579" s="3">
        <v>-27.6054913262399</v>
      </c>
    </row>
    <row r="1580" spans="9:11" ht="18" x14ac:dyDescent="0.25">
      <c r="I1580" s="3">
        <v>2011.3333333333301</v>
      </c>
      <c r="J1580" s="3">
        <v>-96</v>
      </c>
      <c r="K1580" s="3">
        <v>-33.092423714984101</v>
      </c>
    </row>
    <row r="1581" spans="9:11" ht="18" x14ac:dyDescent="0.25">
      <c r="I1581" s="3">
        <v>2011.4166666666599</v>
      </c>
      <c r="J1581" s="3">
        <v>-92</v>
      </c>
      <c r="K1581" s="3">
        <v>-20.153830221159499</v>
      </c>
    </row>
    <row r="1582" spans="9:11" ht="18" x14ac:dyDescent="0.25">
      <c r="I1582" s="3">
        <v>2011.5</v>
      </c>
      <c r="J1582" s="3">
        <v>-70</v>
      </c>
      <c r="K1582" s="3">
        <v>-0.73632469028383696</v>
      </c>
    </row>
    <row r="1583" spans="9:11" ht="18" x14ac:dyDescent="0.25">
      <c r="I1583" s="3">
        <v>2011.5833333333301</v>
      </c>
      <c r="J1583" s="3">
        <v>-25</v>
      </c>
      <c r="K1583" s="3">
        <v>16.751721316945201</v>
      </c>
    </row>
    <row r="1584" spans="9:11" ht="18" x14ac:dyDescent="0.25">
      <c r="I1584" s="3">
        <v>2011.6666666666599</v>
      </c>
      <c r="J1584" s="3">
        <v>-9</v>
      </c>
      <c r="K1584" s="3">
        <v>47.235800140581397</v>
      </c>
    </row>
    <row r="1585" spans="9:11" ht="18" x14ac:dyDescent="0.25">
      <c r="I1585" s="3">
        <v>2011.75</v>
      </c>
      <c r="J1585" s="3">
        <v>32</v>
      </c>
      <c r="K1585" s="3">
        <v>69.032164227555697</v>
      </c>
    </row>
    <row r="1586" spans="9:11" ht="18" x14ac:dyDescent="0.25">
      <c r="I1586" s="3">
        <v>2011.8333333333301</v>
      </c>
      <c r="J1586" s="3">
        <v>75</v>
      </c>
      <c r="K1586" s="3">
        <v>79.456981243886503</v>
      </c>
    </row>
    <row r="1587" spans="9:11" ht="18" x14ac:dyDescent="0.25">
      <c r="I1587" s="3">
        <v>2011.9166666666599</v>
      </c>
      <c r="J1587" s="3">
        <v>189</v>
      </c>
      <c r="K1587" s="3">
        <v>94.817873175315299</v>
      </c>
    </row>
    <row r="1588" spans="9:11" ht="18" x14ac:dyDescent="0.25">
      <c r="I1588" s="3">
        <v>2012</v>
      </c>
      <c r="J1588" s="3">
        <v>238</v>
      </c>
      <c r="K1588" s="3">
        <v>92.423496151320407</v>
      </c>
    </row>
    <row r="1589" spans="9:11" ht="18" x14ac:dyDescent="0.25">
      <c r="I1589" s="3">
        <v>2012.0833333333301</v>
      </c>
      <c r="J1589" s="3">
        <v>238</v>
      </c>
      <c r="K1589" s="3">
        <v>72.356026922940998</v>
      </c>
    </row>
    <row r="1590" spans="9:11" ht="18" x14ac:dyDescent="0.25">
      <c r="I1590" s="3">
        <v>2012.1666666666599</v>
      </c>
      <c r="J1590" s="3">
        <v>217</v>
      </c>
      <c r="K1590" s="3">
        <v>53.736424785902997</v>
      </c>
    </row>
    <row r="1591" spans="9:11" ht="18" x14ac:dyDescent="0.25">
      <c r="I1591" s="3">
        <v>2012.25</v>
      </c>
      <c r="J1591" s="3">
        <v>217</v>
      </c>
      <c r="K1591" s="3">
        <v>38.830790326165499</v>
      </c>
    </row>
    <row r="1592" spans="9:11" ht="18" x14ac:dyDescent="0.25">
      <c r="I1592" s="3">
        <v>2012.3333333333301</v>
      </c>
      <c r="J1592" s="3">
        <v>257</v>
      </c>
      <c r="K1592" s="3">
        <v>63.9687420956392</v>
      </c>
    </row>
    <row r="1593" spans="9:11" ht="18" x14ac:dyDescent="0.25">
      <c r="I1593" s="3">
        <v>2012.4166666666599</v>
      </c>
      <c r="J1593" s="3">
        <v>306</v>
      </c>
      <c r="K1593" s="3">
        <v>135.120346759499</v>
      </c>
    </row>
    <row r="1594" spans="9:11" ht="18" x14ac:dyDescent="0.25">
      <c r="I1594" s="3">
        <v>2012.5</v>
      </c>
      <c r="J1594" s="3">
        <v>325</v>
      </c>
      <c r="K1594" s="3">
        <v>187.08239293336999</v>
      </c>
    </row>
    <row r="1595" spans="9:11" ht="18" x14ac:dyDescent="0.25">
      <c r="I1595" s="3">
        <v>2012.5833333333301</v>
      </c>
      <c r="J1595" s="3">
        <v>326</v>
      </c>
      <c r="K1595" s="3">
        <v>200.93565592044001</v>
      </c>
    </row>
    <row r="1596" spans="9:11" ht="18" x14ac:dyDescent="0.25">
      <c r="I1596" s="3">
        <v>2012.6666666666599</v>
      </c>
      <c r="J1596" s="3">
        <v>331</v>
      </c>
      <c r="K1596" s="3">
        <v>199.98361657004099</v>
      </c>
    </row>
    <row r="1597" spans="9:11" ht="18" x14ac:dyDescent="0.25">
      <c r="I1597" s="3">
        <v>2012.75</v>
      </c>
      <c r="J1597" s="3">
        <v>336</v>
      </c>
      <c r="K1597" s="3">
        <v>193.197332367852</v>
      </c>
    </row>
    <row r="1598" spans="9:11" ht="18" x14ac:dyDescent="0.25">
      <c r="I1598" s="3">
        <v>2012.8333333333301</v>
      </c>
      <c r="J1598" s="3">
        <v>335</v>
      </c>
      <c r="K1598" s="3">
        <v>196.09829245317999</v>
      </c>
    </row>
    <row r="1599" spans="9:11" ht="18" x14ac:dyDescent="0.25">
      <c r="I1599" s="3">
        <v>2012.9166666666599</v>
      </c>
      <c r="J1599" s="3">
        <v>335</v>
      </c>
      <c r="K1599" s="3">
        <v>187.69401759694901</v>
      </c>
    </row>
    <row r="1600" spans="9:11" ht="18" x14ac:dyDescent="0.25">
      <c r="I1600" s="3">
        <v>2013</v>
      </c>
      <c r="J1600" s="3">
        <v>161</v>
      </c>
      <c r="K1600" s="3">
        <v>138.280557387958</v>
      </c>
    </row>
    <row r="1601" spans="9:11" ht="18" x14ac:dyDescent="0.25">
      <c r="I1601" s="3">
        <v>2013.0833333333301</v>
      </c>
      <c r="J1601" s="3">
        <v>47</v>
      </c>
      <c r="K1601" s="3">
        <v>86.540497919254705</v>
      </c>
    </row>
    <row r="1602" spans="9:11" ht="18" x14ac:dyDescent="0.25">
      <c r="I1602" s="3">
        <v>2013.1666666666599</v>
      </c>
      <c r="J1602" s="3">
        <v>-18</v>
      </c>
      <c r="K1602" s="3">
        <v>56.336908660201203</v>
      </c>
    </row>
    <row r="1603" spans="9:11" ht="18" x14ac:dyDescent="0.25">
      <c r="I1603" s="3">
        <v>2013.25</v>
      </c>
      <c r="J1603" s="3">
        <v>-89</v>
      </c>
      <c r="K1603" s="3">
        <v>33.167658380033103</v>
      </c>
    </row>
    <row r="1604" spans="9:11" ht="18" x14ac:dyDescent="0.25">
      <c r="I1604" s="3">
        <v>2013.3333333333301</v>
      </c>
      <c r="J1604" s="3">
        <v>-102</v>
      </c>
      <c r="K1604" s="3">
        <v>25.062333096242199</v>
      </c>
    </row>
    <row r="1605" spans="9:11" ht="18" x14ac:dyDescent="0.25">
      <c r="I1605" s="3">
        <v>2013.4166666666599</v>
      </c>
      <c r="J1605" s="3">
        <v>-109</v>
      </c>
      <c r="K1605" s="3">
        <v>14.150419476533701</v>
      </c>
    </row>
    <row r="1606" spans="9:11" ht="18" x14ac:dyDescent="0.25">
      <c r="I1606" s="3">
        <v>2013.5</v>
      </c>
      <c r="J1606" s="3">
        <v>-147</v>
      </c>
      <c r="K1606" s="3">
        <v>-18.6023937245171</v>
      </c>
    </row>
    <row r="1607" spans="9:11" ht="18" x14ac:dyDescent="0.25">
      <c r="I1607" s="3">
        <v>2013.5833333333301</v>
      </c>
      <c r="J1607" s="3">
        <v>-147</v>
      </c>
      <c r="K1607" s="3">
        <v>-40.566144484635601</v>
      </c>
    </row>
    <row r="1608" spans="9:11" ht="18" x14ac:dyDescent="0.25">
      <c r="I1608" s="3">
        <v>2013.6666666666599</v>
      </c>
      <c r="J1608" s="3">
        <v>-139</v>
      </c>
      <c r="K1608" s="3">
        <v>-47.038295494748901</v>
      </c>
    </row>
    <row r="1609" spans="9:11" ht="18" x14ac:dyDescent="0.25">
      <c r="I1609" s="3">
        <v>2013.75</v>
      </c>
      <c r="J1609" s="3">
        <v>-122</v>
      </c>
      <c r="K1609" s="3">
        <v>-54.185599807629004</v>
      </c>
    </row>
    <row r="1610" spans="9:11" ht="18" x14ac:dyDescent="0.25">
      <c r="I1610" s="3">
        <v>2013.8333333333301</v>
      </c>
      <c r="J1610" s="3">
        <v>-119</v>
      </c>
      <c r="K1610" s="3">
        <v>-56.757034951929</v>
      </c>
    </row>
    <row r="1611" spans="9:11" ht="18" x14ac:dyDescent="0.25">
      <c r="I1611" s="3">
        <v>2013.9166666666599</v>
      </c>
      <c r="J1611" s="3">
        <v>-118</v>
      </c>
      <c r="K1611" s="3">
        <v>-73.010904940317999</v>
      </c>
    </row>
    <row r="1612" spans="9:11" ht="18" x14ac:dyDescent="0.25">
      <c r="I1612" s="3">
        <v>2014</v>
      </c>
      <c r="J1612" s="3">
        <v>-118</v>
      </c>
      <c r="K1612" s="3">
        <v>-100.160147903702</v>
      </c>
    </row>
    <row r="1613" spans="9:11" ht="18" x14ac:dyDescent="0.25">
      <c r="I1613" s="3">
        <v>2014.0833333333301</v>
      </c>
      <c r="J1613" s="3">
        <v>-126</v>
      </c>
      <c r="K1613" s="3">
        <v>-106.79143896848601</v>
      </c>
    </row>
    <row r="1614" spans="9:11" ht="18" x14ac:dyDescent="0.25">
      <c r="I1614" s="3">
        <v>2014.1666666666599</v>
      </c>
      <c r="J1614" s="3">
        <v>-126</v>
      </c>
      <c r="K1614" s="3">
        <v>-109.336075710632</v>
      </c>
    </row>
    <row r="1615" spans="9:11" ht="18" x14ac:dyDescent="0.25">
      <c r="I1615" s="3">
        <v>2014.25</v>
      </c>
      <c r="J1615" s="3">
        <v>-113</v>
      </c>
      <c r="K1615" s="3">
        <v>-104.87972289493101</v>
      </c>
    </row>
    <row r="1616" spans="9:11" ht="18" x14ac:dyDescent="0.25">
      <c r="I1616" s="3">
        <v>2014.3333333333301</v>
      </c>
      <c r="J1616" s="3">
        <v>-88</v>
      </c>
      <c r="K1616" s="3">
        <v>-50.568054411278801</v>
      </c>
    </row>
    <row r="1617" spans="9:11" ht="18" x14ac:dyDescent="0.25">
      <c r="I1617" s="3">
        <v>2014.4166666666599</v>
      </c>
      <c r="J1617" s="3">
        <v>131</v>
      </c>
      <c r="K1617" s="3">
        <v>39.548061941272699</v>
      </c>
    </row>
    <row r="1618" spans="9:11" ht="18" x14ac:dyDescent="0.25">
      <c r="I1618" s="3">
        <v>2014.5</v>
      </c>
      <c r="J1618" s="3">
        <v>258</v>
      </c>
      <c r="K1618" s="3">
        <v>128.87663738762001</v>
      </c>
    </row>
    <row r="1619" spans="9:11" ht="18" x14ac:dyDescent="0.25">
      <c r="I1619" s="3">
        <v>2014.5833333333301</v>
      </c>
      <c r="J1619" s="3">
        <v>295</v>
      </c>
      <c r="K1619" s="3">
        <v>192.76340477987699</v>
      </c>
    </row>
    <row r="1620" spans="9:11" ht="18" x14ac:dyDescent="0.25">
      <c r="I1620" s="3">
        <v>2014.6666666666599</v>
      </c>
      <c r="J1620" s="3">
        <v>307</v>
      </c>
      <c r="K1620" s="3">
        <v>206.18795102359601</v>
      </c>
    </row>
    <row r="1621" spans="9:11" ht="18" x14ac:dyDescent="0.25">
      <c r="I1621" s="3">
        <v>2014.75</v>
      </c>
      <c r="J1621" s="3">
        <v>317</v>
      </c>
      <c r="K1621" s="3">
        <v>202.099141181687</v>
      </c>
    </row>
    <row r="1622" spans="9:11" ht="18" x14ac:dyDescent="0.25">
      <c r="I1622" s="3">
        <v>2014.8333333333301</v>
      </c>
      <c r="J1622" s="3">
        <v>317</v>
      </c>
      <c r="K1622" s="3">
        <v>218.08921555358799</v>
      </c>
    </row>
    <row r="1623" spans="9:11" ht="18" x14ac:dyDescent="0.25">
      <c r="I1623" s="3">
        <v>2014.9166666666599</v>
      </c>
      <c r="J1623" s="3">
        <v>312</v>
      </c>
      <c r="K1623" s="3">
        <v>228.22625879728699</v>
      </c>
    </row>
    <row r="1624" spans="9:11" ht="18" x14ac:dyDescent="0.25">
      <c r="I1624" s="3">
        <v>2015</v>
      </c>
      <c r="J1624" s="3">
        <v>287</v>
      </c>
      <c r="K1624" s="3">
        <v>230.085823729368</v>
      </c>
    </row>
    <row r="1625" spans="9:11" ht="18" x14ac:dyDescent="0.25">
      <c r="I1625" s="3">
        <v>2015.0833333333301</v>
      </c>
      <c r="J1625" s="3">
        <v>287</v>
      </c>
      <c r="K1625" s="3">
        <v>240.05110016448401</v>
      </c>
    </row>
    <row r="1626" spans="9:11" ht="18" x14ac:dyDescent="0.25">
      <c r="I1626" s="3">
        <v>2015.1666666666599</v>
      </c>
      <c r="J1626" s="3">
        <v>295</v>
      </c>
      <c r="K1626" s="3">
        <v>248.673985811639</v>
      </c>
    </row>
    <row r="1627" spans="9:11" ht="18" x14ac:dyDescent="0.25">
      <c r="I1627" s="3">
        <v>2015.25</v>
      </c>
      <c r="J1627" s="3">
        <v>311</v>
      </c>
      <c r="K1627" s="3">
        <v>272.38103410098699</v>
      </c>
    </row>
    <row r="1628" spans="9:11" ht="18" x14ac:dyDescent="0.25">
      <c r="I1628" s="3">
        <v>2015.3333333333301</v>
      </c>
      <c r="J1628" s="3">
        <v>311</v>
      </c>
      <c r="K1628" s="3">
        <v>304.712905209859</v>
      </c>
    </row>
    <row r="1629" spans="9:11" ht="18" x14ac:dyDescent="0.25">
      <c r="I1629" s="3">
        <v>2015.4166666666599</v>
      </c>
      <c r="J1629" s="3">
        <v>140</v>
      </c>
      <c r="K1629" s="3">
        <v>292.48944712633198</v>
      </c>
    </row>
    <row r="1630" spans="9:11" ht="18" x14ac:dyDescent="0.25">
      <c r="I1630" s="3">
        <v>2015.5</v>
      </c>
      <c r="J1630" s="3">
        <v>-75</v>
      </c>
      <c r="K1630" s="3">
        <v>231.69216166018799</v>
      </c>
    </row>
    <row r="1631" spans="9:11" ht="18" x14ac:dyDescent="0.25">
      <c r="I1631" s="3">
        <v>2015.5833333333301</v>
      </c>
      <c r="J1631" s="3">
        <v>-129</v>
      </c>
      <c r="K1631" s="3">
        <v>147.271031458864</v>
      </c>
    </row>
    <row r="1632" spans="9:11" ht="18" x14ac:dyDescent="0.25">
      <c r="I1632" s="3">
        <v>2015.6666666666599</v>
      </c>
      <c r="J1632" s="3">
        <v>-135</v>
      </c>
      <c r="K1632" s="3">
        <v>62.401537220261602</v>
      </c>
    </row>
    <row r="1633" spans="9:11" ht="18" x14ac:dyDescent="0.25">
      <c r="I1633" s="3">
        <v>2015.75</v>
      </c>
      <c r="J1633" s="3">
        <v>-135</v>
      </c>
      <c r="K1633" s="3">
        <v>16.124557702646399</v>
      </c>
    </row>
    <row r="1634" spans="9:11" ht="18" x14ac:dyDescent="0.25">
      <c r="I1634" s="3">
        <v>2015.8333333333301</v>
      </c>
      <c r="J1634" s="3">
        <v>-132</v>
      </c>
      <c r="K1634" s="3">
        <v>-10.4141730617329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4"/>
  <sheetViews>
    <sheetView workbookViewId="0">
      <selection activeCell="A36" sqref="A36"/>
    </sheetView>
  </sheetViews>
  <sheetFormatPr defaultRowHeight="15" x14ac:dyDescent="0.25"/>
  <cols>
    <col min="1" max="1" width="14" customWidth="1"/>
    <col min="2" max="2" width="14.5703125" customWidth="1"/>
    <col min="3" max="3" width="18.85546875" bestFit="1" customWidth="1"/>
    <col min="4" max="4" width="17.140625" bestFit="1" customWidth="1"/>
    <col min="5" max="5" width="18.85546875" bestFit="1" customWidth="1"/>
    <col min="6" max="6" width="18.85546875" customWidth="1"/>
  </cols>
  <sheetData>
    <row r="1" spans="1:11" x14ac:dyDescent="0.25">
      <c r="B1">
        <v>2.3195499150626238</v>
      </c>
    </row>
    <row r="2" spans="1:11" x14ac:dyDescent="0.25">
      <c r="B2">
        <v>1</v>
      </c>
      <c r="C2">
        <f>+SUMXMY2(B5:B758,C5:C758)/1000000</f>
        <v>5.1927683116893393</v>
      </c>
    </row>
    <row r="3" spans="1:11" x14ac:dyDescent="0.25">
      <c r="B3">
        <v>7.3014165011530945E-3</v>
      </c>
      <c r="C3">
        <f>+CORREL(B5:B758,C5:C758)</f>
        <v>0.88571360029736401</v>
      </c>
      <c r="E3">
        <v>0.8666236403554517</v>
      </c>
      <c r="F3">
        <f>+AVERAGE(F5:F758)</f>
        <v>64.729442970822276</v>
      </c>
      <c r="G3">
        <f>+AVERAGE(G5:G758)</f>
        <v>65.629149233061312</v>
      </c>
      <c r="H3">
        <f>+SUM(H5:H758)</f>
        <v>5192768.3116893396</v>
      </c>
    </row>
    <row r="4" spans="1:11" ht="36" x14ac:dyDescent="0.25">
      <c r="A4" s="2" t="s">
        <v>0</v>
      </c>
      <c r="B4" s="2" t="s">
        <v>1</v>
      </c>
      <c r="C4" s="2" t="s">
        <v>2</v>
      </c>
      <c r="D4" t="s">
        <v>1</v>
      </c>
      <c r="E4" t="s">
        <v>2</v>
      </c>
      <c r="G4" t="s">
        <v>2</v>
      </c>
      <c r="I4" s="2" t="s">
        <v>0</v>
      </c>
      <c r="J4" s="2" t="s">
        <v>1</v>
      </c>
      <c r="K4" s="2" t="s">
        <v>2</v>
      </c>
    </row>
    <row r="5" spans="1:11" ht="18" x14ac:dyDescent="0.25">
      <c r="A5" s="3">
        <v>1953.0833333333301</v>
      </c>
      <c r="B5" s="3">
        <f>+$D5</f>
        <v>-274.72944297082228</v>
      </c>
      <c r="C5" s="3">
        <f>$B$1*$E5/(1+$B$3*ABS($E5)^$B$2)</f>
        <v>-173.02047972838614</v>
      </c>
      <c r="D5" s="3">
        <f>+F5-$F$3</f>
        <v>-274.72944297082228</v>
      </c>
      <c r="E5" s="3">
        <f>+$G5-$G$3</f>
        <v>-163.8055448554224</v>
      </c>
      <c r="F5" s="3">
        <v>-210</v>
      </c>
      <c r="G5" s="3">
        <v>-98.176395622361099</v>
      </c>
      <c r="H5">
        <f>+(B5-C5)^2</f>
        <v>10344.713203851226</v>
      </c>
      <c r="I5" s="3">
        <v>1880.0833333333301</v>
      </c>
      <c r="J5" s="3">
        <v>0</v>
      </c>
      <c r="K5" s="3">
        <v>45.522847394195402</v>
      </c>
    </row>
    <row r="6" spans="1:11" ht="18" x14ac:dyDescent="0.25">
      <c r="A6" s="3">
        <v>1953.1666666666599</v>
      </c>
      <c r="B6" s="3">
        <f t="shared" ref="B6:B69" si="0">+$D6</f>
        <v>-274.72944297082228</v>
      </c>
      <c r="C6" s="3">
        <f t="shared" ref="C6:C69" si="1">$B$1*$E6/(1+$B$3*ABS($E6)^$B$2)</f>
        <v>-189.51154861020981</v>
      </c>
      <c r="D6" s="3">
        <f t="shared" ref="D6:D69" si="2">+F6-$F$3</f>
        <v>-274.72944297082228</v>
      </c>
      <c r="E6" s="3">
        <f t="shared" ref="E6:E69" si="3">+$G6-$G$3</f>
        <v>-202.50266850924334</v>
      </c>
      <c r="F6" s="3">
        <v>-210</v>
      </c>
      <c r="G6" s="3">
        <v>-136.87351927618201</v>
      </c>
      <c r="H6">
        <f t="shared" ref="H6:H69" si="4">+(B6-C6)^2</f>
        <v>7262.0895192565049</v>
      </c>
      <c r="I6" s="3">
        <v>1880.1666666666599</v>
      </c>
      <c r="J6" s="3">
        <v>0</v>
      </c>
      <c r="K6" s="3">
        <v>40.865177915576297</v>
      </c>
    </row>
    <row r="7" spans="1:11" ht="18" x14ac:dyDescent="0.25">
      <c r="A7" s="3">
        <v>1953.25</v>
      </c>
      <c r="B7" s="3">
        <f t="shared" si="0"/>
        <v>-254.72944297082228</v>
      </c>
      <c r="C7" s="3">
        <f t="shared" si="1"/>
        <v>-186.03345806604588</v>
      </c>
      <c r="D7" s="3">
        <f t="shared" si="2"/>
        <v>-254.72944297082228</v>
      </c>
      <c r="E7" s="3">
        <f t="shared" si="3"/>
        <v>-193.53443581420731</v>
      </c>
      <c r="F7" s="3">
        <v>-190</v>
      </c>
      <c r="G7" s="3">
        <v>-127.905286581146</v>
      </c>
      <c r="H7">
        <f t="shared" si="4"/>
        <v>4719.1383420372667</v>
      </c>
      <c r="I7" s="3">
        <v>1880.25</v>
      </c>
      <c r="J7" s="3">
        <v>0</v>
      </c>
      <c r="K7" s="3">
        <v>61.6917876115185</v>
      </c>
    </row>
    <row r="8" spans="1:11" ht="18" x14ac:dyDescent="0.25">
      <c r="A8" s="3">
        <v>1953.3333333333301</v>
      </c>
      <c r="B8" s="3">
        <f t="shared" si="0"/>
        <v>-204.72944297082228</v>
      </c>
      <c r="C8" s="3">
        <f t="shared" si="1"/>
        <v>-162.29303156668925</v>
      </c>
      <c r="D8" s="3">
        <f t="shared" si="2"/>
        <v>-204.72944297082228</v>
      </c>
      <c r="E8" s="3">
        <f t="shared" si="3"/>
        <v>-143.04227410089791</v>
      </c>
      <c r="F8" s="3">
        <v>-140</v>
      </c>
      <c r="G8" s="3">
        <v>-77.413124867836601</v>
      </c>
      <c r="H8">
        <f t="shared" si="4"/>
        <v>1800.8490128608314</v>
      </c>
      <c r="I8" s="3">
        <v>1880.3333333333301</v>
      </c>
      <c r="J8" s="3">
        <v>0</v>
      </c>
      <c r="K8" s="3">
        <v>92.807534129086093</v>
      </c>
    </row>
    <row r="9" spans="1:11" ht="18" x14ac:dyDescent="0.25">
      <c r="A9" s="3">
        <v>1953.4166666666599</v>
      </c>
      <c r="B9" s="3">
        <f t="shared" si="0"/>
        <v>-174.72944297082228</v>
      </c>
      <c r="C9" s="3">
        <f t="shared" si="1"/>
        <v>-95.53071627687585</v>
      </c>
      <c r="D9" s="3">
        <f t="shared" si="2"/>
        <v>-174.72944297082228</v>
      </c>
      <c r="E9" s="3">
        <f t="shared" si="3"/>
        <v>-58.895400033181801</v>
      </c>
      <c r="F9" s="3">
        <v>-110</v>
      </c>
      <c r="G9" s="3">
        <v>6.7337491998795098</v>
      </c>
      <c r="H9">
        <f t="shared" si="4"/>
        <v>6272.4383099424222</v>
      </c>
      <c r="I9" s="3">
        <v>1880.4166666666599</v>
      </c>
      <c r="J9" s="3">
        <v>0</v>
      </c>
      <c r="K9" s="3">
        <v>133.95977138951301</v>
      </c>
    </row>
    <row r="10" spans="1:11" ht="18" x14ac:dyDescent="0.25">
      <c r="A10" s="3">
        <v>1953.5</v>
      </c>
      <c r="B10" s="3">
        <f t="shared" si="0"/>
        <v>-144.72944297082228</v>
      </c>
      <c r="C10" s="3">
        <f t="shared" si="1"/>
        <v>21.713247118016508</v>
      </c>
      <c r="D10" s="3">
        <f t="shared" si="2"/>
        <v>-144.72944297082228</v>
      </c>
      <c r="E10" s="3">
        <f t="shared" si="3"/>
        <v>10.047719565520282</v>
      </c>
      <c r="F10" s="3">
        <v>-80</v>
      </c>
      <c r="G10" s="3">
        <v>75.676868798581594</v>
      </c>
      <c r="H10">
        <f t="shared" si="4"/>
        <v>27703.169084009234</v>
      </c>
      <c r="I10" s="3">
        <v>1880.5</v>
      </c>
      <c r="J10" s="3">
        <v>0</v>
      </c>
      <c r="K10" s="3">
        <v>158.277803598106</v>
      </c>
    </row>
    <row r="11" spans="1:11" ht="18" x14ac:dyDescent="0.25">
      <c r="A11" s="3">
        <v>1953.5833333333301</v>
      </c>
      <c r="B11" s="3">
        <f t="shared" si="0"/>
        <v>-134.72944297082228</v>
      </c>
      <c r="C11" s="3">
        <f t="shared" si="1"/>
        <v>45.844888818958097</v>
      </c>
      <c r="D11" s="3">
        <f t="shared" si="2"/>
        <v>-134.72944297082228</v>
      </c>
      <c r="E11" s="3">
        <f t="shared" si="3"/>
        <v>23.097787948154888</v>
      </c>
      <c r="F11" s="3">
        <v>-70</v>
      </c>
      <c r="G11" s="3">
        <v>88.726937181216201</v>
      </c>
      <c r="H11">
        <f t="shared" si="4"/>
        <v>32607.089301325694</v>
      </c>
      <c r="I11" s="3">
        <v>1880.5833333333301</v>
      </c>
      <c r="J11" s="3">
        <v>0</v>
      </c>
      <c r="K11" s="3">
        <v>149.350531980683</v>
      </c>
    </row>
    <row r="12" spans="1:11" ht="18" x14ac:dyDescent="0.25">
      <c r="A12" s="3">
        <v>1953.6666666666599</v>
      </c>
      <c r="B12" s="3">
        <f t="shared" si="0"/>
        <v>-114.72944297082228</v>
      </c>
      <c r="C12" s="3">
        <f t="shared" si="1"/>
        <v>54.41448052521131</v>
      </c>
      <c r="D12" s="3">
        <f t="shared" si="2"/>
        <v>-114.72944297082228</v>
      </c>
      <c r="E12" s="3">
        <f t="shared" si="3"/>
        <v>28.307744463629689</v>
      </c>
      <c r="F12" s="3">
        <v>-50</v>
      </c>
      <c r="G12" s="3">
        <v>93.936893696691001</v>
      </c>
      <c r="H12">
        <f t="shared" si="4"/>
        <v>28609.666855632062</v>
      </c>
      <c r="I12" s="3">
        <v>1880.6666666666599</v>
      </c>
      <c r="J12" s="3">
        <v>0</v>
      </c>
      <c r="K12" s="3">
        <v>152.09858232019499</v>
      </c>
    </row>
    <row r="13" spans="1:11" ht="18" x14ac:dyDescent="0.25">
      <c r="A13" s="3">
        <v>1953.75</v>
      </c>
      <c r="B13" s="3">
        <f t="shared" si="0"/>
        <v>-92.729442970822276</v>
      </c>
      <c r="C13" s="3">
        <f t="shared" si="1"/>
        <v>92.770658471419495</v>
      </c>
      <c r="D13" s="3">
        <f t="shared" si="2"/>
        <v>-92.729442970822276</v>
      </c>
      <c r="E13" s="3">
        <f t="shared" si="3"/>
        <v>56.491944311700692</v>
      </c>
      <c r="F13" s="3">
        <v>-28</v>
      </c>
      <c r="G13" s="3">
        <v>122.121093544762</v>
      </c>
      <c r="H13">
        <f t="shared" si="4"/>
        <v>34410.287635081986</v>
      </c>
      <c r="I13" s="3">
        <v>1880.75</v>
      </c>
      <c r="J13" s="3">
        <v>0</v>
      </c>
      <c r="K13" s="3">
        <v>169.13985605889599</v>
      </c>
    </row>
    <row r="14" spans="1:11" ht="18" x14ac:dyDescent="0.25">
      <c r="A14" s="3">
        <v>1953.8333333333301</v>
      </c>
      <c r="B14" s="3">
        <f t="shared" si="0"/>
        <v>-74.729442970822276</v>
      </c>
      <c r="C14" s="3">
        <f t="shared" si="1"/>
        <v>119.91184275880424</v>
      </c>
      <c r="D14" s="3">
        <f t="shared" si="2"/>
        <v>-74.729442970822276</v>
      </c>
      <c r="E14" s="3">
        <f t="shared" si="3"/>
        <v>83.040084748429692</v>
      </c>
      <c r="F14" s="3">
        <v>-10</v>
      </c>
      <c r="G14" s="3">
        <v>148.669233981491</v>
      </c>
      <c r="H14">
        <f t="shared" si="4"/>
        <v>37885.230110482116</v>
      </c>
      <c r="I14" s="3">
        <v>1880.8333333333301</v>
      </c>
      <c r="J14" s="3">
        <v>0</v>
      </c>
      <c r="K14" s="3">
        <v>163.754728386632</v>
      </c>
    </row>
    <row r="15" spans="1:11" ht="18" x14ac:dyDescent="0.25">
      <c r="A15" s="3">
        <v>1953.9166666666599</v>
      </c>
      <c r="B15" s="3">
        <f t="shared" si="0"/>
        <v>-49.729442970822276</v>
      </c>
      <c r="C15" s="3">
        <f t="shared" si="1"/>
        <v>130.64900996221675</v>
      </c>
      <c r="D15" s="3">
        <f t="shared" si="2"/>
        <v>-49.729442970822276</v>
      </c>
      <c r="E15" s="3">
        <f t="shared" si="3"/>
        <v>95.669610012752699</v>
      </c>
      <c r="F15" s="3">
        <v>15</v>
      </c>
      <c r="G15" s="3">
        <v>161.29875924581401</v>
      </c>
      <c r="H15">
        <f t="shared" si="4"/>
        <v>32536.386282516574</v>
      </c>
      <c r="I15" s="3">
        <v>1880.9166666666599</v>
      </c>
      <c r="J15" s="3">
        <v>0</v>
      </c>
      <c r="K15" s="3">
        <v>138.25452425777601</v>
      </c>
    </row>
    <row r="16" spans="1:11" ht="18" x14ac:dyDescent="0.25">
      <c r="A16" s="3">
        <v>1954</v>
      </c>
      <c r="B16" s="3">
        <f t="shared" si="0"/>
        <v>-4.7294429708222765</v>
      </c>
      <c r="C16" s="3">
        <f t="shared" si="1"/>
        <v>116.35292572104991</v>
      </c>
      <c r="D16" s="3">
        <f t="shared" si="2"/>
        <v>-4.7294429708222765</v>
      </c>
      <c r="E16" s="3">
        <f t="shared" si="3"/>
        <v>79.151179376092685</v>
      </c>
      <c r="F16" s="3">
        <v>60</v>
      </c>
      <c r="G16" s="3">
        <v>144.780328609154</v>
      </c>
      <c r="H16">
        <f t="shared" si="4"/>
        <v>14660.940008034471</v>
      </c>
      <c r="I16" s="3">
        <v>1881</v>
      </c>
      <c r="J16" s="3">
        <v>0</v>
      </c>
      <c r="K16" s="3">
        <v>99.079116713705901</v>
      </c>
    </row>
    <row r="17" spans="1:11" ht="18" x14ac:dyDescent="0.25">
      <c r="A17" s="3">
        <v>1954.0833333333301</v>
      </c>
      <c r="B17" s="3">
        <f t="shared" si="0"/>
        <v>45.270557029177724</v>
      </c>
      <c r="C17" s="3">
        <f t="shared" si="1"/>
        <v>83.246456948887285</v>
      </c>
      <c r="D17" s="3">
        <f t="shared" si="2"/>
        <v>45.270557029177724</v>
      </c>
      <c r="E17" s="3">
        <f t="shared" si="3"/>
        <v>48.632855548545692</v>
      </c>
      <c r="F17" s="3">
        <v>110</v>
      </c>
      <c r="G17" s="3">
        <v>114.262004781607</v>
      </c>
      <c r="H17">
        <f t="shared" si="4"/>
        <v>1442.1689747117966</v>
      </c>
      <c r="I17" s="3">
        <v>1881.0833333333301</v>
      </c>
      <c r="J17" s="3">
        <v>0</v>
      </c>
      <c r="K17" s="3">
        <v>67.859036791272601</v>
      </c>
    </row>
    <row r="18" spans="1:11" ht="18" x14ac:dyDescent="0.25">
      <c r="A18" s="3">
        <v>1954.1666666666599</v>
      </c>
      <c r="B18" s="3">
        <f t="shared" si="0"/>
        <v>135.27055702917772</v>
      </c>
      <c r="C18" s="3">
        <f t="shared" si="1"/>
        <v>91.465211139169782</v>
      </c>
      <c r="D18" s="3">
        <f t="shared" si="2"/>
        <v>135.27055702917772</v>
      </c>
      <c r="E18" s="3">
        <f t="shared" si="3"/>
        <v>55.375591683123687</v>
      </c>
      <c r="F18" s="3">
        <v>200</v>
      </c>
      <c r="G18" s="3">
        <v>121.004740916185</v>
      </c>
      <c r="H18">
        <f t="shared" si="4"/>
        <v>1918.9083285432357</v>
      </c>
      <c r="I18" s="3">
        <v>1881.1666666666599</v>
      </c>
      <c r="J18" s="3">
        <v>0</v>
      </c>
      <c r="K18" s="3">
        <v>72.317756880886506</v>
      </c>
    </row>
    <row r="19" spans="1:11" ht="18" x14ac:dyDescent="0.25">
      <c r="A19" s="3">
        <v>1954.25</v>
      </c>
      <c r="B19" s="3">
        <f t="shared" si="0"/>
        <v>155.27055702917772</v>
      </c>
      <c r="C19" s="3">
        <f t="shared" si="1"/>
        <v>126.46666726062635</v>
      </c>
      <c r="D19" s="3">
        <f t="shared" si="2"/>
        <v>155.27055702917772</v>
      </c>
      <c r="E19" s="3">
        <f t="shared" si="3"/>
        <v>90.581520402340701</v>
      </c>
      <c r="F19" s="3">
        <v>220</v>
      </c>
      <c r="G19" s="3">
        <v>156.21066963540201</v>
      </c>
      <c r="H19">
        <f t="shared" si="4"/>
        <v>829.66406579885836</v>
      </c>
      <c r="I19" s="3">
        <v>1881.25</v>
      </c>
      <c r="J19" s="3">
        <v>0</v>
      </c>
      <c r="K19" s="3">
        <v>77.474818754350807</v>
      </c>
    </row>
    <row r="20" spans="1:11" ht="18" x14ac:dyDescent="0.25">
      <c r="A20" s="3">
        <v>1954.3333333333301</v>
      </c>
      <c r="B20" s="3">
        <f t="shared" si="0"/>
        <v>155.27055702917772</v>
      </c>
      <c r="C20" s="3">
        <f t="shared" si="1"/>
        <v>152.21556477904866</v>
      </c>
      <c r="D20" s="3">
        <f t="shared" si="2"/>
        <v>155.27055702917772</v>
      </c>
      <c r="E20" s="3">
        <f t="shared" si="3"/>
        <v>125.98950410206568</v>
      </c>
      <c r="F20" s="3">
        <v>220</v>
      </c>
      <c r="G20" s="3">
        <v>191.61865333512699</v>
      </c>
      <c r="H20">
        <f t="shared" si="4"/>
        <v>9.3329776483486224</v>
      </c>
      <c r="I20" s="3">
        <v>1881.3333333333301</v>
      </c>
      <c r="J20" s="3">
        <v>0</v>
      </c>
      <c r="K20" s="3">
        <v>61.708317279201196</v>
      </c>
    </row>
    <row r="21" spans="1:11" ht="18" x14ac:dyDescent="0.25">
      <c r="A21" s="3">
        <v>1954.4166666666599</v>
      </c>
      <c r="B21" s="3">
        <f t="shared" si="0"/>
        <v>165.27055702917772</v>
      </c>
      <c r="C21" s="3">
        <f t="shared" si="1"/>
        <v>172.01917941284236</v>
      </c>
      <c r="D21" s="3">
        <f t="shared" si="2"/>
        <v>165.27055702917772</v>
      </c>
      <c r="E21" s="3">
        <f t="shared" si="3"/>
        <v>161.73809674102768</v>
      </c>
      <c r="F21" s="3">
        <v>230</v>
      </c>
      <c r="G21" s="3">
        <v>227.367245974089</v>
      </c>
      <c r="H21">
        <f t="shared" si="4"/>
        <v>45.543904077299395</v>
      </c>
      <c r="I21" s="3">
        <v>1881.4166666666599</v>
      </c>
      <c r="J21" s="3">
        <v>0</v>
      </c>
      <c r="K21" s="3">
        <v>50.112503273789997</v>
      </c>
    </row>
    <row r="22" spans="1:11" ht="18" x14ac:dyDescent="0.25">
      <c r="A22" s="3">
        <v>1954.5</v>
      </c>
      <c r="B22" s="3">
        <f t="shared" si="0"/>
        <v>170.27055702917772</v>
      </c>
      <c r="C22" s="3">
        <f t="shared" si="1"/>
        <v>175.60022730709684</v>
      </c>
      <c r="D22" s="3">
        <f t="shared" si="2"/>
        <v>170.27055702917772</v>
      </c>
      <c r="E22" s="3">
        <f t="shared" si="3"/>
        <v>169.26636167410868</v>
      </c>
      <c r="F22" s="3">
        <v>235</v>
      </c>
      <c r="G22" s="3">
        <v>234.89551090717001</v>
      </c>
      <c r="H22">
        <f t="shared" si="4"/>
        <v>28.405385271334477</v>
      </c>
      <c r="I22" s="3">
        <v>1881.5</v>
      </c>
      <c r="J22" s="3">
        <v>0</v>
      </c>
      <c r="K22" s="3">
        <v>32.821975836166402</v>
      </c>
    </row>
    <row r="23" spans="1:11" ht="18" x14ac:dyDescent="0.25">
      <c r="A23" s="3">
        <v>1954.5833333333301</v>
      </c>
      <c r="B23" s="3">
        <f t="shared" si="0"/>
        <v>180.27055702917772</v>
      </c>
      <c r="C23" s="3">
        <f t="shared" si="1"/>
        <v>161.95315003150986</v>
      </c>
      <c r="D23" s="3">
        <f t="shared" si="2"/>
        <v>180.27055702917772</v>
      </c>
      <c r="E23" s="3">
        <f t="shared" si="3"/>
        <v>142.43117522444567</v>
      </c>
      <c r="F23" s="3">
        <v>245</v>
      </c>
      <c r="G23" s="3">
        <v>208.06032445750699</v>
      </c>
      <c r="H23">
        <f t="shared" si="4"/>
        <v>335.52739911821146</v>
      </c>
      <c r="I23" s="3">
        <v>1881.5833333333301</v>
      </c>
      <c r="J23" s="3">
        <v>0</v>
      </c>
      <c r="K23" s="3">
        <v>9.2449561868143402</v>
      </c>
    </row>
    <row r="24" spans="1:11" ht="18" x14ac:dyDescent="0.25">
      <c r="A24" s="3">
        <v>1954.6666666666599</v>
      </c>
      <c r="B24" s="3">
        <f t="shared" si="0"/>
        <v>180.27055702917772</v>
      </c>
      <c r="C24" s="3">
        <f t="shared" si="1"/>
        <v>143.88690956068504</v>
      </c>
      <c r="D24" s="3">
        <f t="shared" si="2"/>
        <v>180.27055702917772</v>
      </c>
      <c r="E24" s="3">
        <f t="shared" si="3"/>
        <v>113.38859186222869</v>
      </c>
      <c r="F24" s="3">
        <v>245</v>
      </c>
      <c r="G24" s="3">
        <v>179.01774109529001</v>
      </c>
      <c r="H24">
        <f t="shared" si="4"/>
        <v>1323.769803111554</v>
      </c>
      <c r="I24" s="3">
        <v>1881.6666666666599</v>
      </c>
      <c r="J24" s="3">
        <v>0</v>
      </c>
      <c r="K24" s="3">
        <v>3.8990084763164199</v>
      </c>
    </row>
    <row r="25" spans="1:11" ht="18" x14ac:dyDescent="0.25">
      <c r="A25" s="3">
        <v>1954.75</v>
      </c>
      <c r="B25" s="3">
        <f t="shared" si="0"/>
        <v>120.27055702917772</v>
      </c>
      <c r="C25" s="3">
        <f t="shared" si="1"/>
        <v>113.18966437531593</v>
      </c>
      <c r="D25" s="3">
        <f t="shared" si="2"/>
        <v>120.27055702917772</v>
      </c>
      <c r="E25" s="3">
        <f t="shared" si="3"/>
        <v>75.808239850602675</v>
      </c>
      <c r="F25" s="3">
        <v>185</v>
      </c>
      <c r="G25" s="3">
        <v>141.43738908366399</v>
      </c>
      <c r="H25">
        <f t="shared" si="4"/>
        <v>50.139040775513941</v>
      </c>
      <c r="I25" s="3">
        <v>1881.75</v>
      </c>
      <c r="J25" s="3">
        <v>0</v>
      </c>
      <c r="K25" s="3">
        <v>5.9178632920205896</v>
      </c>
    </row>
    <row r="26" spans="1:11" ht="18" x14ac:dyDescent="0.25">
      <c r="A26" s="3">
        <v>1954.8333333333301</v>
      </c>
      <c r="B26" s="3">
        <f t="shared" si="0"/>
        <v>35.270557029177724</v>
      </c>
      <c r="C26" s="3">
        <f t="shared" si="1"/>
        <v>61.024807038956354</v>
      </c>
      <c r="D26" s="3">
        <f t="shared" si="2"/>
        <v>35.270557029177724</v>
      </c>
      <c r="E26" s="3">
        <f t="shared" si="3"/>
        <v>32.564237330154086</v>
      </c>
      <c r="F26" s="3">
        <v>100</v>
      </c>
      <c r="G26" s="3">
        <v>98.193386563215398</v>
      </c>
      <c r="H26">
        <f t="shared" si="4"/>
        <v>663.2813935661826</v>
      </c>
      <c r="I26" s="3">
        <v>1881.8333333333301</v>
      </c>
      <c r="J26" s="3">
        <v>0</v>
      </c>
      <c r="K26" s="3">
        <v>17.491569136457699</v>
      </c>
    </row>
    <row r="27" spans="1:11" ht="18" x14ac:dyDescent="0.25">
      <c r="A27" s="3">
        <v>1954.9166666666599</v>
      </c>
      <c r="B27" s="3">
        <f t="shared" si="0"/>
        <v>-124.72944297082228</v>
      </c>
      <c r="C27" s="3">
        <f t="shared" si="1"/>
        <v>13.33242322894194</v>
      </c>
      <c r="D27" s="3">
        <f t="shared" si="2"/>
        <v>-124.72944297082228</v>
      </c>
      <c r="E27" s="3">
        <f t="shared" si="3"/>
        <v>5.9996387318508937</v>
      </c>
      <c r="F27" s="3">
        <v>-60</v>
      </c>
      <c r="G27" s="3">
        <v>71.628787964912206</v>
      </c>
      <c r="H27">
        <f t="shared" si="4"/>
        <v>19061.078898561595</v>
      </c>
      <c r="I27" s="3">
        <v>1881.9166666666599</v>
      </c>
      <c r="J27" s="3">
        <v>0</v>
      </c>
      <c r="K27" s="3">
        <v>43.977941407762103</v>
      </c>
    </row>
    <row r="28" spans="1:11" ht="18" x14ac:dyDescent="0.25">
      <c r="A28" s="3">
        <v>1955</v>
      </c>
      <c r="B28" s="3">
        <f t="shared" si="0"/>
        <v>-139.72944297082228</v>
      </c>
      <c r="C28" s="3">
        <f t="shared" si="1"/>
        <v>-42.814050021089763</v>
      </c>
      <c r="D28" s="3">
        <f t="shared" si="2"/>
        <v>-139.72944297082228</v>
      </c>
      <c r="E28" s="3">
        <f t="shared" si="3"/>
        <v>-21.332928244149414</v>
      </c>
      <c r="F28" s="3">
        <v>-75</v>
      </c>
      <c r="G28" s="3">
        <v>44.296220988911898</v>
      </c>
      <c r="H28">
        <f t="shared" si="4"/>
        <v>9392.5933906010614</v>
      </c>
      <c r="I28" s="3">
        <v>1882</v>
      </c>
      <c r="J28" s="3">
        <v>0</v>
      </c>
      <c r="K28" s="3">
        <v>48.342449298087999</v>
      </c>
    </row>
    <row r="29" spans="1:11" ht="18" x14ac:dyDescent="0.25">
      <c r="A29" s="3">
        <v>1955.0833333333301</v>
      </c>
      <c r="B29" s="3">
        <f t="shared" si="0"/>
        <v>-169.72944297082228</v>
      </c>
      <c r="C29" s="3">
        <f t="shared" si="1"/>
        <v>-89.848080561357392</v>
      </c>
      <c r="D29" s="3">
        <f t="shared" si="2"/>
        <v>-169.72944297082228</v>
      </c>
      <c r="E29" s="3">
        <f t="shared" si="3"/>
        <v>-54.010442290240711</v>
      </c>
      <c r="F29" s="3">
        <v>-105</v>
      </c>
      <c r="G29" s="3">
        <v>11.6187069428206</v>
      </c>
      <c r="H29">
        <f t="shared" si="4"/>
        <v>6381.0320603922692</v>
      </c>
      <c r="I29" s="3">
        <v>1882.0833333333301</v>
      </c>
      <c r="J29" s="3">
        <v>0</v>
      </c>
      <c r="K29" s="3">
        <v>27.979694095053102</v>
      </c>
    </row>
    <row r="30" spans="1:11" ht="18" x14ac:dyDescent="0.25">
      <c r="A30" s="3">
        <v>1955.1666666666599</v>
      </c>
      <c r="B30" s="3">
        <f t="shared" si="0"/>
        <v>-169.72944297082228</v>
      </c>
      <c r="C30" s="3">
        <f t="shared" si="1"/>
        <v>-122.48507791848157</v>
      </c>
      <c r="D30" s="3">
        <f t="shared" si="2"/>
        <v>-169.72944297082228</v>
      </c>
      <c r="E30" s="3">
        <f t="shared" si="3"/>
        <v>-85.940247175270514</v>
      </c>
      <c r="F30" s="3">
        <v>-105</v>
      </c>
      <c r="G30" s="3">
        <v>-20.311097942209202</v>
      </c>
      <c r="H30">
        <f t="shared" si="4"/>
        <v>2232.0300291988324</v>
      </c>
      <c r="I30" s="3">
        <v>1882.1666666666599</v>
      </c>
      <c r="J30" s="3">
        <v>0</v>
      </c>
      <c r="K30" s="3">
        <v>6.7674283408588902</v>
      </c>
    </row>
    <row r="31" spans="1:11" ht="18" x14ac:dyDescent="0.25">
      <c r="A31" s="3">
        <v>1955.25</v>
      </c>
      <c r="B31" s="3">
        <f t="shared" si="0"/>
        <v>-172.72944297082228</v>
      </c>
      <c r="C31" s="3">
        <f t="shared" si="1"/>
        <v>-154.95924468138705</v>
      </c>
      <c r="D31" s="3">
        <f t="shared" si="2"/>
        <v>-172.72944297082228</v>
      </c>
      <c r="E31" s="3">
        <f t="shared" si="3"/>
        <v>-130.42303013588059</v>
      </c>
      <c r="F31" s="3">
        <v>-108</v>
      </c>
      <c r="G31" s="3">
        <v>-64.793880902819296</v>
      </c>
      <c r="H31">
        <f t="shared" si="4"/>
        <v>315.7799472458467</v>
      </c>
      <c r="I31" s="3">
        <v>1882.25</v>
      </c>
      <c r="J31" s="3">
        <v>0</v>
      </c>
      <c r="K31" s="3">
        <v>-8.5932890926251204</v>
      </c>
    </row>
    <row r="32" spans="1:11" ht="18" x14ac:dyDescent="0.25">
      <c r="A32" s="3">
        <v>1955.3333333333301</v>
      </c>
      <c r="B32" s="3">
        <f t="shared" si="0"/>
        <v>-209.72944297082228</v>
      </c>
      <c r="C32" s="3">
        <f t="shared" si="1"/>
        <v>-169.13669146052101</v>
      </c>
      <c r="D32" s="3">
        <f t="shared" si="2"/>
        <v>-209.72944297082228</v>
      </c>
      <c r="E32" s="3">
        <f t="shared" si="3"/>
        <v>-155.94204730888873</v>
      </c>
      <c r="F32" s="3">
        <v>-145</v>
      </c>
      <c r="G32" s="3">
        <v>-90.312898075827405</v>
      </c>
      <c r="H32">
        <f t="shared" si="4"/>
        <v>1647.7714751770659</v>
      </c>
      <c r="I32" s="3">
        <v>1882.3333333333301</v>
      </c>
      <c r="J32" s="3">
        <v>0</v>
      </c>
      <c r="K32" s="3">
        <v>16.281055075954001</v>
      </c>
    </row>
    <row r="33" spans="1:11" ht="18" x14ac:dyDescent="0.25">
      <c r="A33" s="3">
        <v>1955.4166666666599</v>
      </c>
      <c r="B33" s="3">
        <f t="shared" si="0"/>
        <v>-249.72944297082228</v>
      </c>
      <c r="C33" s="3">
        <f t="shared" si="1"/>
        <v>-162.40762994313357</v>
      </c>
      <c r="D33" s="3">
        <f t="shared" si="2"/>
        <v>-249.72944297082228</v>
      </c>
      <c r="E33" s="3">
        <f t="shared" si="3"/>
        <v>-143.24892231457972</v>
      </c>
      <c r="F33" s="3">
        <v>-185</v>
      </c>
      <c r="G33" s="3">
        <v>-77.619773081518403</v>
      </c>
      <c r="H33">
        <f t="shared" si="4"/>
        <v>7625.099030442625</v>
      </c>
      <c r="I33" s="3">
        <v>1882.4166666666599</v>
      </c>
      <c r="J33" s="3">
        <v>0</v>
      </c>
      <c r="K33" s="3">
        <v>81.256430011594404</v>
      </c>
    </row>
    <row r="34" spans="1:11" ht="18" x14ac:dyDescent="0.25">
      <c r="A34" s="3">
        <v>1955.5</v>
      </c>
      <c r="B34" s="3">
        <f t="shared" si="0"/>
        <v>-254.72944297082228</v>
      </c>
      <c r="C34" s="3">
        <f t="shared" si="1"/>
        <v>-162.36826692630493</v>
      </c>
      <c r="D34" s="3">
        <f t="shared" si="2"/>
        <v>-254.72944297082228</v>
      </c>
      <c r="E34" s="3">
        <f t="shared" si="3"/>
        <v>-143.17790702084363</v>
      </c>
      <c r="F34" s="3">
        <v>-190</v>
      </c>
      <c r="G34" s="3">
        <v>-77.548757787782307</v>
      </c>
      <c r="H34">
        <f t="shared" si="4"/>
        <v>8530.5868403263248</v>
      </c>
      <c r="I34" s="3">
        <v>1882.5</v>
      </c>
      <c r="J34" s="3">
        <v>0</v>
      </c>
      <c r="K34" s="3">
        <v>124.413776842026</v>
      </c>
    </row>
    <row r="35" spans="1:11" ht="18" x14ac:dyDescent="0.25">
      <c r="A35" s="3">
        <v>1955.5833333333301</v>
      </c>
      <c r="B35" s="3">
        <f t="shared" si="0"/>
        <v>-254.72944297082228</v>
      </c>
      <c r="C35" s="3">
        <f t="shared" si="1"/>
        <v>-175.5109335210997</v>
      </c>
      <c r="D35" s="3">
        <f t="shared" si="2"/>
        <v>-254.72944297082228</v>
      </c>
      <c r="E35" s="3">
        <f t="shared" si="3"/>
        <v>-169.07403333453331</v>
      </c>
      <c r="F35" s="3">
        <v>-190</v>
      </c>
      <c r="G35" s="3">
        <v>-103.444884101472</v>
      </c>
      <c r="H35">
        <f t="shared" si="4"/>
        <v>6275.5722394357845</v>
      </c>
      <c r="I35" s="3">
        <v>1882.5833333333301</v>
      </c>
      <c r="J35" s="3">
        <v>0</v>
      </c>
      <c r="K35" s="3">
        <v>137.52351830369699</v>
      </c>
    </row>
    <row r="36" spans="1:11" ht="18" x14ac:dyDescent="0.25">
      <c r="A36" s="3">
        <v>1955.6666666666599</v>
      </c>
      <c r="B36" s="3">
        <f t="shared" si="0"/>
        <v>-254.72944297082228</v>
      </c>
      <c r="C36" s="3">
        <f t="shared" si="1"/>
        <v>-184.76192506578042</v>
      </c>
      <c r="D36" s="3">
        <f t="shared" si="2"/>
        <v>-254.72944297082228</v>
      </c>
      <c r="E36" s="3">
        <f t="shared" si="3"/>
        <v>-190.3729494692833</v>
      </c>
      <c r="F36" s="3">
        <v>-190</v>
      </c>
      <c r="G36" s="3">
        <v>-124.743800236222</v>
      </c>
      <c r="H36">
        <f t="shared" si="4"/>
        <v>4895.453561792353</v>
      </c>
      <c r="I36" s="3">
        <v>1882.6666666666599</v>
      </c>
      <c r="J36" s="3">
        <v>0</v>
      </c>
      <c r="K36" s="3">
        <v>147.05753203656499</v>
      </c>
    </row>
    <row r="37" spans="1:11" ht="18" x14ac:dyDescent="0.25">
      <c r="A37" s="3">
        <v>1955.75</v>
      </c>
      <c r="B37" s="3">
        <f t="shared" si="0"/>
        <v>-244.72944297082228</v>
      </c>
      <c r="C37" s="3">
        <f t="shared" si="1"/>
        <v>-183.07209903743524</v>
      </c>
      <c r="D37" s="3">
        <f t="shared" si="2"/>
        <v>-244.72944297082228</v>
      </c>
      <c r="E37" s="3">
        <f t="shared" si="3"/>
        <v>-186.2638663127683</v>
      </c>
      <c r="F37" s="3">
        <v>-180</v>
      </c>
      <c r="G37" s="3">
        <v>-120.634717079707</v>
      </c>
      <c r="H37">
        <f t="shared" si="4"/>
        <v>3801.6280609199794</v>
      </c>
      <c r="I37" s="3">
        <v>1882.75</v>
      </c>
      <c r="J37" s="3">
        <v>0</v>
      </c>
      <c r="K37" s="3">
        <v>154.70177075763701</v>
      </c>
    </row>
    <row r="38" spans="1:11" ht="18" x14ac:dyDescent="0.25">
      <c r="A38" s="3">
        <v>1955.8333333333301</v>
      </c>
      <c r="B38" s="3">
        <f t="shared" si="0"/>
        <v>-227.72944297082228</v>
      </c>
      <c r="C38" s="3">
        <f t="shared" si="1"/>
        <v>-156.21543578709208</v>
      </c>
      <c r="D38" s="3">
        <f t="shared" si="2"/>
        <v>-227.72944297082228</v>
      </c>
      <c r="E38" s="3">
        <f t="shared" si="3"/>
        <v>-132.5031992879355</v>
      </c>
      <c r="F38" s="3">
        <v>-163</v>
      </c>
      <c r="G38" s="3">
        <v>-66.874050054874203</v>
      </c>
      <c r="H38">
        <f t="shared" si="4"/>
        <v>5114.253223474615</v>
      </c>
      <c r="I38" s="3">
        <v>1882.8333333333301</v>
      </c>
      <c r="J38" s="3">
        <v>0</v>
      </c>
      <c r="K38" s="3">
        <v>161.800294367162</v>
      </c>
    </row>
    <row r="39" spans="1:11" ht="18" x14ac:dyDescent="0.25">
      <c r="A39" s="3">
        <v>1955.9166666666599</v>
      </c>
      <c r="B39" s="3">
        <f t="shared" si="0"/>
        <v>-130.72944297082228</v>
      </c>
      <c r="C39" s="3">
        <f t="shared" si="1"/>
        <v>-93.821290678717602</v>
      </c>
      <c r="D39" s="3">
        <f t="shared" si="2"/>
        <v>-130.72944297082228</v>
      </c>
      <c r="E39" s="3">
        <f t="shared" si="3"/>
        <v>-57.399847733790523</v>
      </c>
      <c r="F39" s="3">
        <v>-66</v>
      </c>
      <c r="G39" s="3">
        <v>8.2293014992707896</v>
      </c>
      <c r="H39">
        <f t="shared" si="4"/>
        <v>1362.2117056171915</v>
      </c>
      <c r="I39" s="3">
        <v>1882.9166666666599</v>
      </c>
      <c r="J39" s="3">
        <v>0</v>
      </c>
      <c r="K39" s="3">
        <v>137.112856154497</v>
      </c>
    </row>
    <row r="40" spans="1:11" ht="18" x14ac:dyDescent="0.25">
      <c r="A40" s="3">
        <v>1956</v>
      </c>
      <c r="B40" s="3">
        <f t="shared" si="0"/>
        <v>-123.72944297082228</v>
      </c>
      <c r="C40" s="3">
        <f t="shared" si="1"/>
        <v>-40.13703753302476</v>
      </c>
      <c r="D40" s="3">
        <f t="shared" si="2"/>
        <v>-123.72944297082228</v>
      </c>
      <c r="E40" s="3">
        <f t="shared" si="3"/>
        <v>-19.80615957425151</v>
      </c>
      <c r="F40" s="3">
        <v>-59</v>
      </c>
      <c r="G40" s="3">
        <v>45.822989658809803</v>
      </c>
      <c r="H40">
        <f t="shared" si="4"/>
        <v>6987.6902468771186</v>
      </c>
      <c r="I40" s="3">
        <v>1883</v>
      </c>
      <c r="J40" s="3">
        <v>0</v>
      </c>
      <c r="K40" s="3">
        <v>59.4504126422909</v>
      </c>
    </row>
    <row r="41" spans="1:11" ht="18" x14ac:dyDescent="0.25">
      <c r="A41" s="3">
        <v>1956.0833333333301</v>
      </c>
      <c r="B41" s="3">
        <f t="shared" si="0"/>
        <v>-42.729442970822276</v>
      </c>
      <c r="C41" s="3">
        <f t="shared" si="1"/>
        <v>-16.621387844242378</v>
      </c>
      <c r="D41" s="3">
        <f t="shared" si="2"/>
        <v>-42.729442970822276</v>
      </c>
      <c r="E41" s="3">
        <f t="shared" si="3"/>
        <v>-7.5613964364537125</v>
      </c>
      <c r="F41" s="3">
        <v>22</v>
      </c>
      <c r="G41" s="3">
        <v>58.0677527966076</v>
      </c>
      <c r="H41">
        <f t="shared" si="4"/>
        <v>681.63054249253491</v>
      </c>
      <c r="I41" s="3">
        <v>1883.0833333333301</v>
      </c>
      <c r="J41" s="3">
        <v>0</v>
      </c>
      <c r="K41" s="3">
        <v>-12.280911625479</v>
      </c>
    </row>
    <row r="42" spans="1:11" ht="18" x14ac:dyDescent="0.25">
      <c r="A42" s="3">
        <v>1956.1666666666599</v>
      </c>
      <c r="B42" s="3">
        <f t="shared" si="0"/>
        <v>-2.7294429708222765</v>
      </c>
      <c r="C42" s="3">
        <f t="shared" si="1"/>
        <v>11.079634081930502</v>
      </c>
      <c r="D42" s="3">
        <f t="shared" si="2"/>
        <v>-2.7294429708222765</v>
      </c>
      <c r="E42" s="3">
        <f t="shared" si="3"/>
        <v>4.9492416273069892</v>
      </c>
      <c r="F42" s="3">
        <v>62</v>
      </c>
      <c r="G42" s="3">
        <v>70.578390860368302</v>
      </c>
      <c r="H42">
        <f t="shared" si="4"/>
        <v>190.69060904886337</v>
      </c>
      <c r="I42" s="3">
        <v>1883.1666666666599</v>
      </c>
      <c r="J42" s="3">
        <v>0</v>
      </c>
      <c r="K42" s="3">
        <v>-39.5582549188806</v>
      </c>
    </row>
    <row r="43" spans="1:11" ht="18" x14ac:dyDescent="0.25">
      <c r="A43" s="3">
        <v>1956.25</v>
      </c>
      <c r="B43" s="3">
        <f t="shared" si="0"/>
        <v>47.270557029177724</v>
      </c>
      <c r="C43" s="3">
        <f t="shared" si="1"/>
        <v>47.97528378256839</v>
      </c>
      <c r="D43" s="3">
        <f t="shared" si="2"/>
        <v>47.270557029177724</v>
      </c>
      <c r="E43" s="3">
        <f t="shared" si="3"/>
        <v>24.362057648472188</v>
      </c>
      <c r="F43" s="3">
        <v>112</v>
      </c>
      <c r="G43" s="3">
        <v>89.9912068815335</v>
      </c>
      <c r="H43">
        <f t="shared" si="4"/>
        <v>0.49663979694454896</v>
      </c>
      <c r="I43" s="3">
        <v>1883.25</v>
      </c>
      <c r="J43" s="3">
        <v>0</v>
      </c>
      <c r="K43" s="3">
        <v>-32.508275048305599</v>
      </c>
    </row>
    <row r="44" spans="1:11" ht="18" x14ac:dyDescent="0.25">
      <c r="A44" s="3">
        <v>1956.3333333333301</v>
      </c>
      <c r="B44" s="3">
        <f t="shared" si="0"/>
        <v>157.27055702917772</v>
      </c>
      <c r="C44" s="3">
        <f t="shared" si="1"/>
        <v>114.47840965149592</v>
      </c>
      <c r="D44" s="3">
        <f t="shared" si="2"/>
        <v>157.27055702917772</v>
      </c>
      <c r="E44" s="3">
        <f t="shared" si="3"/>
        <v>77.157624327549698</v>
      </c>
      <c r="F44" s="3">
        <v>222</v>
      </c>
      <c r="G44" s="3">
        <v>142.78677356061101</v>
      </c>
      <c r="H44">
        <f t="shared" si="4"/>
        <v>1831.1678771932393</v>
      </c>
      <c r="I44" s="3">
        <v>1883.3333333333301</v>
      </c>
      <c r="J44" s="3">
        <v>0</v>
      </c>
      <c r="K44" s="3">
        <v>10.0229335707162</v>
      </c>
    </row>
    <row r="45" spans="1:11" ht="18" x14ac:dyDescent="0.25">
      <c r="A45" s="3">
        <v>1956.4166666666599</v>
      </c>
      <c r="B45" s="3">
        <f t="shared" si="0"/>
        <v>159.27055702917772</v>
      </c>
      <c r="C45" s="3">
        <f t="shared" si="1"/>
        <v>163.31743902640002</v>
      </c>
      <c r="D45" s="3">
        <f t="shared" si="2"/>
        <v>159.27055702917772</v>
      </c>
      <c r="E45" s="3">
        <f t="shared" si="3"/>
        <v>144.90041245916467</v>
      </c>
      <c r="F45" s="3">
        <v>224</v>
      </c>
      <c r="G45" s="3">
        <v>210.529561692226</v>
      </c>
      <c r="H45">
        <f t="shared" si="4"/>
        <v>16.377253899441953</v>
      </c>
      <c r="I45" s="3">
        <v>1883.4166666666599</v>
      </c>
      <c r="J45" s="3">
        <v>0</v>
      </c>
      <c r="K45" s="3">
        <v>56.311580315765703</v>
      </c>
    </row>
    <row r="46" spans="1:11" ht="18" x14ac:dyDescent="0.25">
      <c r="A46" s="3">
        <v>1956.5</v>
      </c>
      <c r="B46" s="3">
        <f t="shared" si="0"/>
        <v>184.27055702917772</v>
      </c>
      <c r="C46" s="3">
        <f t="shared" si="1"/>
        <v>183.74513667700083</v>
      </c>
      <c r="D46" s="3">
        <f t="shared" si="2"/>
        <v>184.27055702917772</v>
      </c>
      <c r="E46" s="3">
        <f t="shared" si="3"/>
        <v>187.88804128419167</v>
      </c>
      <c r="F46" s="3">
        <v>249</v>
      </c>
      <c r="G46" s="3">
        <v>253.517190517253</v>
      </c>
      <c r="H46">
        <f t="shared" si="4"/>
        <v>0.27606654648169165</v>
      </c>
      <c r="I46" s="3">
        <v>1883.5</v>
      </c>
      <c r="J46" s="3">
        <v>0</v>
      </c>
      <c r="K46" s="3">
        <v>73.767226649895804</v>
      </c>
    </row>
    <row r="47" spans="1:11" ht="18" x14ac:dyDescent="0.25">
      <c r="A47" s="3">
        <v>1956.5833333333301</v>
      </c>
      <c r="B47" s="3">
        <f t="shared" si="0"/>
        <v>187.27055702917772</v>
      </c>
      <c r="C47" s="3">
        <f t="shared" si="1"/>
        <v>195.70646089306121</v>
      </c>
      <c r="D47" s="3">
        <f t="shared" si="2"/>
        <v>187.27055702917772</v>
      </c>
      <c r="E47" s="3">
        <f t="shared" si="3"/>
        <v>219.7429236700367</v>
      </c>
      <c r="F47" s="3">
        <v>252</v>
      </c>
      <c r="G47" s="3">
        <v>285.372072903098</v>
      </c>
      <c r="H47">
        <f t="shared" si="4"/>
        <v>71.164474000684251</v>
      </c>
      <c r="I47" s="3">
        <v>1883.5833333333301</v>
      </c>
      <c r="J47" s="3">
        <v>0</v>
      </c>
      <c r="K47" s="3">
        <v>81.774739598503899</v>
      </c>
    </row>
    <row r="48" spans="1:11" ht="18" x14ac:dyDescent="0.25">
      <c r="A48" s="3">
        <v>1956.6666666666599</v>
      </c>
      <c r="B48" s="3">
        <f t="shared" si="0"/>
        <v>201.27055702917772</v>
      </c>
      <c r="C48" s="3">
        <f t="shared" si="1"/>
        <v>202.43102910227677</v>
      </c>
      <c r="D48" s="3">
        <f t="shared" si="2"/>
        <v>201.27055702917772</v>
      </c>
      <c r="E48" s="3">
        <f t="shared" si="3"/>
        <v>240.55498721054471</v>
      </c>
      <c r="F48" s="3">
        <v>266</v>
      </c>
      <c r="G48" s="3">
        <v>306.18413644360601</v>
      </c>
      <c r="H48">
        <f t="shared" si="4"/>
        <v>1.3466954324427922</v>
      </c>
      <c r="I48" s="3">
        <v>1883.6666666666599</v>
      </c>
      <c r="J48" s="3">
        <v>0</v>
      </c>
      <c r="K48" s="3">
        <v>80.660539241805907</v>
      </c>
    </row>
    <row r="49" spans="1:11" ht="18" x14ac:dyDescent="0.25">
      <c r="A49" s="3">
        <v>1956.75</v>
      </c>
      <c r="B49" s="3">
        <f t="shared" si="0"/>
        <v>211.27055702917772</v>
      </c>
      <c r="C49" s="3">
        <f t="shared" si="1"/>
        <v>200.68379582493651</v>
      </c>
      <c r="D49" s="3">
        <f t="shared" si="2"/>
        <v>211.27055702917772</v>
      </c>
      <c r="E49" s="3">
        <f t="shared" si="3"/>
        <v>234.91738094837871</v>
      </c>
      <c r="F49" s="3">
        <v>276</v>
      </c>
      <c r="G49" s="3">
        <v>300.54653018144</v>
      </c>
      <c r="H49">
        <f t="shared" si="4"/>
        <v>112.07951279562687</v>
      </c>
      <c r="I49" s="3">
        <v>1883.75</v>
      </c>
      <c r="J49" s="3">
        <v>0</v>
      </c>
      <c r="K49" s="3">
        <v>68.148838202858698</v>
      </c>
    </row>
    <row r="50" spans="1:11" ht="18" x14ac:dyDescent="0.25">
      <c r="A50" s="3">
        <v>1956.8333333333301</v>
      </c>
      <c r="B50" s="3">
        <f t="shared" si="0"/>
        <v>211.27055702917772</v>
      </c>
      <c r="C50" s="3">
        <f t="shared" si="1"/>
        <v>192.52813838178346</v>
      </c>
      <c r="D50" s="3">
        <f t="shared" si="2"/>
        <v>211.27055702917772</v>
      </c>
      <c r="E50" s="3">
        <f t="shared" si="3"/>
        <v>210.6845566554137</v>
      </c>
      <c r="F50" s="3">
        <v>276</v>
      </c>
      <c r="G50" s="3">
        <v>276.313705888475</v>
      </c>
      <c r="H50">
        <f t="shared" si="4"/>
        <v>351.27825675419206</v>
      </c>
      <c r="I50" s="3">
        <v>1883.8333333333301</v>
      </c>
      <c r="J50" s="3">
        <v>0</v>
      </c>
      <c r="K50" s="3">
        <v>67.275921213813604</v>
      </c>
    </row>
    <row r="51" spans="1:11" ht="18" x14ac:dyDescent="0.25">
      <c r="A51" s="3">
        <v>1956.9166666666599</v>
      </c>
      <c r="B51" s="3">
        <f t="shared" si="0"/>
        <v>181.27055702917772</v>
      </c>
      <c r="C51" s="3">
        <f t="shared" si="1"/>
        <v>168.53815029947148</v>
      </c>
      <c r="D51" s="3">
        <f t="shared" si="2"/>
        <v>181.27055702917772</v>
      </c>
      <c r="E51" s="3">
        <f t="shared" si="3"/>
        <v>154.76660269240068</v>
      </c>
      <c r="F51" s="3">
        <v>246</v>
      </c>
      <c r="G51" s="3">
        <v>220.39575192546201</v>
      </c>
      <c r="H51">
        <f t="shared" si="4"/>
        <v>162.11418113066878</v>
      </c>
      <c r="I51" s="3">
        <v>1883.9166666666599</v>
      </c>
      <c r="J51" s="3">
        <v>0</v>
      </c>
      <c r="K51" s="3">
        <v>65.054199683066301</v>
      </c>
    </row>
    <row r="52" spans="1:11" ht="18" x14ac:dyDescent="0.25">
      <c r="A52" s="3">
        <v>1957</v>
      </c>
      <c r="B52" s="3">
        <f t="shared" si="0"/>
        <v>19.270557029177724</v>
      </c>
      <c r="C52" s="3">
        <f t="shared" si="1"/>
        <v>114.08741432136128</v>
      </c>
      <c r="D52" s="3">
        <f t="shared" si="2"/>
        <v>19.270557029177724</v>
      </c>
      <c r="E52" s="3">
        <f t="shared" si="3"/>
        <v>76.74642634293069</v>
      </c>
      <c r="F52" s="3">
        <v>84</v>
      </c>
      <c r="G52" s="3">
        <v>142.375575575992</v>
      </c>
      <c r="H52">
        <f t="shared" si="4"/>
        <v>8990.2364267663015</v>
      </c>
      <c r="I52" s="3">
        <v>1884</v>
      </c>
      <c r="J52" s="3">
        <v>0</v>
      </c>
      <c r="K52" s="3">
        <v>56.644342805331497</v>
      </c>
    </row>
    <row r="53" spans="1:11" ht="18" x14ac:dyDescent="0.25">
      <c r="A53" s="3">
        <v>1957.0833333333301</v>
      </c>
      <c r="B53" s="3">
        <f t="shared" si="0"/>
        <v>-43.729442970822276</v>
      </c>
      <c r="C53" s="3">
        <f t="shared" si="1"/>
        <v>34.936114215760064</v>
      </c>
      <c r="D53" s="3">
        <f t="shared" si="2"/>
        <v>-43.729442970822276</v>
      </c>
      <c r="E53" s="3">
        <f t="shared" si="3"/>
        <v>16.922584714468982</v>
      </c>
      <c r="F53" s="3">
        <v>21</v>
      </c>
      <c r="G53" s="3">
        <v>82.551733947530295</v>
      </c>
      <c r="H53">
        <f t="shared" si="4"/>
        <v>6188.2698874754551</v>
      </c>
      <c r="I53" s="3">
        <v>1884.0833333333301</v>
      </c>
      <c r="J53" s="3">
        <v>0</v>
      </c>
      <c r="K53" s="3">
        <v>59.939731793392703</v>
      </c>
    </row>
    <row r="54" spans="1:11" ht="18" x14ac:dyDescent="0.25">
      <c r="A54" s="3">
        <v>1957.1666666666599</v>
      </c>
      <c r="B54" s="3">
        <f t="shared" si="0"/>
        <v>-51.729442970822276</v>
      </c>
      <c r="C54" s="3">
        <f t="shared" si="1"/>
        <v>-73.054111360150088</v>
      </c>
      <c r="D54" s="3">
        <f t="shared" si="2"/>
        <v>-51.729442970822276</v>
      </c>
      <c r="E54" s="3">
        <f t="shared" si="3"/>
        <v>-40.90029014635131</v>
      </c>
      <c r="F54" s="3">
        <v>13</v>
      </c>
      <c r="G54" s="3">
        <v>24.728859086709999</v>
      </c>
      <c r="H54">
        <f t="shared" si="4"/>
        <v>454.74148191479679</v>
      </c>
      <c r="I54" s="3">
        <v>1884.1666666666599</v>
      </c>
      <c r="J54" s="3">
        <v>0</v>
      </c>
      <c r="K54" s="3">
        <v>52.364647195135802</v>
      </c>
    </row>
    <row r="55" spans="1:11" ht="18" x14ac:dyDescent="0.25">
      <c r="A55" s="3">
        <v>1957.25</v>
      </c>
      <c r="B55" s="3">
        <f t="shared" si="0"/>
        <v>-156.72944297082228</v>
      </c>
      <c r="C55" s="3">
        <f t="shared" si="1"/>
        <v>-138.71431137210499</v>
      </c>
      <c r="D55" s="3">
        <f t="shared" si="2"/>
        <v>-156.72944297082228</v>
      </c>
      <c r="E55" s="3">
        <f t="shared" si="3"/>
        <v>-106.15303924844801</v>
      </c>
      <c r="F55" s="3">
        <v>-92</v>
      </c>
      <c r="G55" s="3">
        <v>-40.523890015386698</v>
      </c>
      <c r="H55">
        <f t="shared" si="4"/>
        <v>324.54496651910216</v>
      </c>
      <c r="I55" s="3">
        <v>1884.25</v>
      </c>
      <c r="J55" s="3">
        <v>0</v>
      </c>
      <c r="K55" s="3">
        <v>40.564927529470701</v>
      </c>
    </row>
    <row r="56" spans="1:11" ht="18" x14ac:dyDescent="0.25">
      <c r="A56" s="3">
        <v>1957.3333333333301</v>
      </c>
      <c r="B56" s="3">
        <f t="shared" si="0"/>
        <v>-184.72944297082228</v>
      </c>
      <c r="C56" s="3">
        <f t="shared" si="1"/>
        <v>-160.67526099553288</v>
      </c>
      <c r="D56" s="3">
        <f t="shared" si="2"/>
        <v>-184.72944297082228</v>
      </c>
      <c r="E56" s="3">
        <f t="shared" si="3"/>
        <v>-140.15723506233013</v>
      </c>
      <c r="F56" s="3">
        <v>-120</v>
      </c>
      <c r="G56" s="3">
        <v>-74.528085829268804</v>
      </c>
      <c r="H56">
        <f t="shared" si="4"/>
        <v>578.60367050033722</v>
      </c>
      <c r="I56" s="3">
        <v>1884.3333333333301</v>
      </c>
      <c r="J56" s="3">
        <v>0</v>
      </c>
      <c r="K56" s="3">
        <v>67.343744009093797</v>
      </c>
    </row>
    <row r="57" spans="1:11" ht="18" x14ac:dyDescent="0.25">
      <c r="A57" s="3">
        <v>1957.4166666666599</v>
      </c>
      <c r="B57" s="3">
        <f t="shared" si="0"/>
        <v>-201.72944297082228</v>
      </c>
      <c r="C57" s="3">
        <f t="shared" si="1"/>
        <v>-161.99983302340206</v>
      </c>
      <c r="D57" s="3">
        <f t="shared" si="2"/>
        <v>-201.72944297082228</v>
      </c>
      <c r="E57" s="3">
        <f t="shared" si="3"/>
        <v>-142.51495205516829</v>
      </c>
      <c r="F57" s="3">
        <v>-137</v>
      </c>
      <c r="G57" s="3">
        <v>-76.885802822106996</v>
      </c>
      <c r="H57">
        <f t="shared" si="4"/>
        <v>1578.4419065741513</v>
      </c>
      <c r="I57" s="3">
        <v>1884.4166666666599</v>
      </c>
      <c r="J57" s="3">
        <v>0</v>
      </c>
      <c r="K57" s="3">
        <v>113.798259046846</v>
      </c>
    </row>
    <row r="58" spans="1:11" ht="18" x14ac:dyDescent="0.25">
      <c r="A58" s="3">
        <v>1957.5</v>
      </c>
      <c r="B58" s="3">
        <f t="shared" si="0"/>
        <v>-205.72944297082228</v>
      </c>
      <c r="C58" s="3">
        <f t="shared" si="1"/>
        <v>-154.41265008078815</v>
      </c>
      <c r="D58" s="3">
        <f t="shared" si="2"/>
        <v>-205.72944297082228</v>
      </c>
      <c r="E58" s="3">
        <f t="shared" si="3"/>
        <v>-129.5278997450402</v>
      </c>
      <c r="F58" s="3">
        <v>-141</v>
      </c>
      <c r="G58" s="3">
        <v>-63.898750511978903</v>
      </c>
      <c r="H58">
        <f t="shared" si="4"/>
        <v>2633.4132325186565</v>
      </c>
      <c r="I58" s="3">
        <v>1884.5</v>
      </c>
      <c r="J58" s="3">
        <v>0</v>
      </c>
      <c r="K58" s="3">
        <v>143.16196918564299</v>
      </c>
    </row>
    <row r="59" spans="1:11" ht="18" x14ac:dyDescent="0.25">
      <c r="A59" s="3">
        <v>1957.5833333333301</v>
      </c>
      <c r="B59" s="3">
        <f t="shared" si="0"/>
        <v>-211.72944297082228</v>
      </c>
      <c r="C59" s="3">
        <f t="shared" si="1"/>
        <v>-144.78606893026307</v>
      </c>
      <c r="D59" s="3">
        <f t="shared" si="2"/>
        <v>-211.72944297082228</v>
      </c>
      <c r="E59" s="3">
        <f t="shared" si="3"/>
        <v>-114.6905266883229</v>
      </c>
      <c r="F59" s="3">
        <v>-147</v>
      </c>
      <c r="G59" s="3">
        <v>-49.061377455261599</v>
      </c>
      <c r="H59">
        <f t="shared" si="4"/>
        <v>4481.4153279342163</v>
      </c>
      <c r="I59" s="3">
        <v>1884.5833333333301</v>
      </c>
      <c r="J59" s="3">
        <v>0</v>
      </c>
      <c r="K59" s="3">
        <v>138.98903913954899</v>
      </c>
    </row>
    <row r="60" spans="1:11" ht="18" x14ac:dyDescent="0.25">
      <c r="A60" s="3">
        <v>1957.6666666666599</v>
      </c>
      <c r="B60" s="3">
        <f t="shared" si="0"/>
        <v>-224.72944297082228</v>
      </c>
      <c r="C60" s="3">
        <f t="shared" si="1"/>
        <v>-154.33021326647244</v>
      </c>
      <c r="D60" s="3">
        <f t="shared" si="2"/>
        <v>-224.72944297082228</v>
      </c>
      <c r="E60" s="3">
        <f t="shared" si="3"/>
        <v>-129.3934169905578</v>
      </c>
      <c r="F60" s="3">
        <v>-160</v>
      </c>
      <c r="G60" s="3">
        <v>-63.764267757496498</v>
      </c>
      <c r="H60">
        <f t="shared" si="4"/>
        <v>4956.0515429658126</v>
      </c>
      <c r="I60" s="3">
        <v>1884.6666666666599</v>
      </c>
      <c r="J60" s="3">
        <v>0</v>
      </c>
      <c r="K60" s="3">
        <v>94.604602412799906</v>
      </c>
    </row>
    <row r="61" spans="1:11" ht="18" x14ac:dyDescent="0.25">
      <c r="A61" s="3">
        <v>1957.75</v>
      </c>
      <c r="B61" s="3">
        <f t="shared" si="0"/>
        <v>-224.72944297082228</v>
      </c>
      <c r="C61" s="3">
        <f t="shared" si="1"/>
        <v>-167.69610557162804</v>
      </c>
      <c r="D61" s="3">
        <f t="shared" si="2"/>
        <v>-224.72944297082228</v>
      </c>
      <c r="E61" s="3">
        <f t="shared" si="3"/>
        <v>-153.12883644937421</v>
      </c>
      <c r="F61" s="3">
        <v>-160</v>
      </c>
      <c r="G61" s="3">
        <v>-87.499687216312907</v>
      </c>
      <c r="H61">
        <f t="shared" si="4"/>
        <v>3252.8015748903281</v>
      </c>
      <c r="I61" s="3">
        <v>1884.75</v>
      </c>
      <c r="J61" s="3">
        <v>0</v>
      </c>
      <c r="K61" s="3">
        <v>59.756780482593399</v>
      </c>
    </row>
    <row r="62" spans="1:11" ht="18" x14ac:dyDescent="0.25">
      <c r="A62" s="3">
        <v>1957.8333333333301</v>
      </c>
      <c r="B62" s="3">
        <f t="shared" si="0"/>
        <v>-208.72944297082228</v>
      </c>
      <c r="C62" s="3">
        <f t="shared" si="1"/>
        <v>-165.24999315348802</v>
      </c>
      <c r="D62" s="3">
        <f t="shared" si="2"/>
        <v>-208.72944297082228</v>
      </c>
      <c r="E62" s="3">
        <f t="shared" si="3"/>
        <v>-148.47380594045092</v>
      </c>
      <c r="F62" s="3">
        <v>-144</v>
      </c>
      <c r="G62" s="3">
        <v>-82.844656707389603</v>
      </c>
      <c r="H62">
        <f t="shared" si="4"/>
        <v>1890.4625564180878</v>
      </c>
      <c r="I62" s="3">
        <v>1884.8333333333301</v>
      </c>
      <c r="J62" s="3">
        <v>0</v>
      </c>
      <c r="K62" s="3">
        <v>69.078031182812097</v>
      </c>
    </row>
    <row r="63" spans="1:11" ht="18" x14ac:dyDescent="0.25">
      <c r="A63" s="3">
        <v>1957.9166666666599</v>
      </c>
      <c r="B63" s="3">
        <f t="shared" si="0"/>
        <v>-181.72944297082228</v>
      </c>
      <c r="C63" s="3">
        <f t="shared" si="1"/>
        <v>-159.16984476949784</v>
      </c>
      <c r="D63" s="3">
        <f t="shared" si="2"/>
        <v>-181.72944297082228</v>
      </c>
      <c r="E63" s="3">
        <f t="shared" si="3"/>
        <v>-137.52545780643561</v>
      </c>
      <c r="F63" s="3">
        <v>-117</v>
      </c>
      <c r="G63" s="3">
        <v>-71.896308573374299</v>
      </c>
      <c r="H63">
        <f t="shared" si="4"/>
        <v>508.93547100520061</v>
      </c>
      <c r="I63" s="3">
        <v>1884.9166666666599</v>
      </c>
      <c r="J63" s="3">
        <v>0</v>
      </c>
      <c r="K63" s="3">
        <v>79.106272235572504</v>
      </c>
    </row>
    <row r="64" spans="1:11" ht="18" x14ac:dyDescent="0.25">
      <c r="A64" s="3">
        <v>1958</v>
      </c>
      <c r="B64" s="3">
        <f t="shared" si="0"/>
        <v>-174.72944297082228</v>
      </c>
      <c r="C64" s="3">
        <f t="shared" si="1"/>
        <v>-154.02607048458964</v>
      </c>
      <c r="D64" s="3">
        <f t="shared" si="2"/>
        <v>-174.72944297082228</v>
      </c>
      <c r="E64" s="3">
        <f t="shared" si="3"/>
        <v>-128.89842765081042</v>
      </c>
      <c r="F64" s="3">
        <v>-110</v>
      </c>
      <c r="G64" s="3">
        <v>-63.269278417749099</v>
      </c>
      <c r="H64">
        <f t="shared" si="4"/>
        <v>428.62963230369462</v>
      </c>
      <c r="I64" s="3">
        <v>1885</v>
      </c>
      <c r="J64" s="3">
        <v>0</v>
      </c>
      <c r="K64" s="3">
        <v>71.5912162045298</v>
      </c>
    </row>
    <row r="65" spans="1:11" ht="18" x14ac:dyDescent="0.25">
      <c r="A65" s="3">
        <v>1958.0833333333301</v>
      </c>
      <c r="B65" s="3">
        <f t="shared" si="0"/>
        <v>-124.72944297082228</v>
      </c>
      <c r="C65" s="3">
        <f t="shared" si="1"/>
        <v>-145.82179960231113</v>
      </c>
      <c r="D65" s="3">
        <f t="shared" si="2"/>
        <v>-124.72944297082228</v>
      </c>
      <c r="E65" s="3">
        <f t="shared" si="3"/>
        <v>-116.20709338782811</v>
      </c>
      <c r="F65" s="3">
        <v>-60</v>
      </c>
      <c r="G65" s="3">
        <v>-50.577944154766797</v>
      </c>
      <c r="H65">
        <f t="shared" si="4"/>
        <v>444.88750826991185</v>
      </c>
      <c r="I65" s="3">
        <v>1885.0833333333301</v>
      </c>
      <c r="J65" s="3">
        <v>0</v>
      </c>
      <c r="K65" s="3">
        <v>57.193246468227599</v>
      </c>
    </row>
    <row r="66" spans="1:11" ht="18" x14ac:dyDescent="0.25">
      <c r="A66" s="3">
        <v>1958.1666666666599</v>
      </c>
      <c r="B66" s="3">
        <f t="shared" si="0"/>
        <v>-113.72944297082228</v>
      </c>
      <c r="C66" s="3">
        <f t="shared" si="1"/>
        <v>-142.00542209769219</v>
      </c>
      <c r="D66" s="3">
        <f t="shared" si="2"/>
        <v>-113.72944297082228</v>
      </c>
      <c r="E66" s="3">
        <f t="shared" si="3"/>
        <v>-110.70741832225082</v>
      </c>
      <c r="F66" s="3">
        <v>-49</v>
      </c>
      <c r="G66" s="3">
        <v>-45.078269089189497</v>
      </c>
      <c r="H66">
        <f t="shared" si="4"/>
        <v>799.53099558318297</v>
      </c>
      <c r="I66" s="3">
        <v>1885.1666666666599</v>
      </c>
      <c r="J66" s="3">
        <v>0</v>
      </c>
      <c r="K66" s="3">
        <v>34.285551616191597</v>
      </c>
    </row>
    <row r="67" spans="1:11" ht="18" x14ac:dyDescent="0.25">
      <c r="A67" s="3">
        <v>1958.25</v>
      </c>
      <c r="B67" s="3">
        <f t="shared" si="0"/>
        <v>-101.72944297082228</v>
      </c>
      <c r="C67" s="3">
        <f t="shared" si="1"/>
        <v>-116.47207273859107</v>
      </c>
      <c r="D67" s="3">
        <f t="shared" si="2"/>
        <v>-101.72944297082228</v>
      </c>
      <c r="E67" s="3">
        <f t="shared" si="3"/>
        <v>-79.279148192017814</v>
      </c>
      <c r="F67" s="3">
        <v>-37</v>
      </c>
      <c r="G67" s="3">
        <v>-13.6499989589565</v>
      </c>
      <c r="H67">
        <f t="shared" si="4"/>
        <v>217.34513246950243</v>
      </c>
      <c r="I67" s="3">
        <v>1885.25</v>
      </c>
      <c r="J67" s="3">
        <v>0</v>
      </c>
      <c r="K67" s="3">
        <v>32.747400028633201</v>
      </c>
    </row>
    <row r="68" spans="1:11" ht="18" x14ac:dyDescent="0.25">
      <c r="A68" s="3">
        <v>1958.3333333333301</v>
      </c>
      <c r="B68" s="3">
        <f t="shared" si="0"/>
        <v>-1.7294429708222765</v>
      </c>
      <c r="C68" s="3">
        <f t="shared" si="1"/>
        <v>1.2003257858377288</v>
      </c>
      <c r="D68" s="3">
        <f t="shared" si="2"/>
        <v>-1.7294429708222765</v>
      </c>
      <c r="E68" s="3">
        <f t="shared" si="3"/>
        <v>0.51944484289508353</v>
      </c>
      <c r="F68" s="3">
        <v>63</v>
      </c>
      <c r="G68" s="3">
        <v>66.148594075956396</v>
      </c>
      <c r="H68">
        <f t="shared" si="4"/>
        <v>8.583544967501112</v>
      </c>
      <c r="I68" s="3">
        <v>1885.3333333333301</v>
      </c>
      <c r="J68" s="3">
        <v>0</v>
      </c>
      <c r="K68" s="3">
        <v>57.1623918223762</v>
      </c>
    </row>
    <row r="69" spans="1:11" ht="18" x14ac:dyDescent="0.25">
      <c r="A69" s="3">
        <v>1958.4166666666599</v>
      </c>
      <c r="B69" s="3">
        <f t="shared" si="0"/>
        <v>132.27055702917772</v>
      </c>
      <c r="C69" s="3">
        <f t="shared" si="1"/>
        <v>123.33591326496</v>
      </c>
      <c r="D69" s="3">
        <f t="shared" si="2"/>
        <v>132.27055702917772</v>
      </c>
      <c r="E69" s="3">
        <f t="shared" si="3"/>
        <v>86.916075037535691</v>
      </c>
      <c r="F69" s="3">
        <v>197</v>
      </c>
      <c r="G69" s="3">
        <v>152.545224270597</v>
      </c>
      <c r="H69">
        <f t="shared" si="4"/>
        <v>79.82785919347468</v>
      </c>
      <c r="I69" s="3">
        <v>1885.4166666666599</v>
      </c>
      <c r="J69" s="3">
        <v>0</v>
      </c>
      <c r="K69" s="3">
        <v>65.228856959244297</v>
      </c>
    </row>
    <row r="70" spans="1:11" ht="18" x14ac:dyDescent="0.25">
      <c r="A70" s="3">
        <v>1958.5</v>
      </c>
      <c r="B70" s="3">
        <f t="shared" ref="B70:B133" si="5">+$D70</f>
        <v>139.27055702917772</v>
      </c>
      <c r="C70" s="3">
        <f t="shared" ref="C70:C133" si="6">$B$1*$E70/(1+$B$3*ABS($E70)^$B$2)</f>
        <v>169.51211329044122</v>
      </c>
      <c r="D70" s="3">
        <f t="shared" ref="D70:D133" si="7">+F70-$F$3</f>
        <v>139.27055702917772</v>
      </c>
      <c r="E70" s="3">
        <f t="shared" ref="E70:E133" si="8">+$G70-$G$3</f>
        <v>156.6841653951397</v>
      </c>
      <c r="F70" s="3">
        <v>204</v>
      </c>
      <c r="G70" s="3">
        <v>222.313314628201</v>
      </c>
      <c r="H70">
        <f t="shared" ref="H70:H133" si="9">+(B70-C70)^2</f>
        <v>914.55172510316538</v>
      </c>
      <c r="I70" s="3">
        <v>1885.5</v>
      </c>
      <c r="J70" s="3">
        <v>0</v>
      </c>
      <c r="K70" s="3">
        <v>55.612356280310301</v>
      </c>
    </row>
    <row r="71" spans="1:11" ht="18" x14ac:dyDescent="0.25">
      <c r="A71" s="3">
        <v>1958.5833333333301</v>
      </c>
      <c r="B71" s="3">
        <f t="shared" si="5"/>
        <v>168.27055702917772</v>
      </c>
      <c r="C71" s="3">
        <f t="shared" si="6"/>
        <v>188.92073576301797</v>
      </c>
      <c r="D71" s="3">
        <f t="shared" si="7"/>
        <v>168.27055702917772</v>
      </c>
      <c r="E71" s="3">
        <f t="shared" si="8"/>
        <v>200.94510228729871</v>
      </c>
      <c r="F71" s="3">
        <v>233</v>
      </c>
      <c r="G71" s="3">
        <v>266.57425152036001</v>
      </c>
      <c r="H71">
        <f t="shared" si="9"/>
        <v>426.42988173954808</v>
      </c>
      <c r="I71" s="3">
        <v>1885.5833333333301</v>
      </c>
      <c r="J71" s="3">
        <v>0</v>
      </c>
      <c r="K71" s="3">
        <v>39.415696822648997</v>
      </c>
    </row>
    <row r="72" spans="1:11" ht="18" x14ac:dyDescent="0.25">
      <c r="A72" s="3">
        <v>1958.6666666666599</v>
      </c>
      <c r="B72" s="3">
        <f t="shared" si="5"/>
        <v>192.27055702917772</v>
      </c>
      <c r="C72" s="3">
        <f t="shared" si="6"/>
        <v>193.48857041064099</v>
      </c>
      <c r="D72" s="3">
        <f t="shared" si="7"/>
        <v>192.27055702917772</v>
      </c>
      <c r="E72" s="3">
        <f t="shared" si="8"/>
        <v>213.37295051804068</v>
      </c>
      <c r="F72" s="3">
        <v>257</v>
      </c>
      <c r="G72" s="3">
        <v>279.00209975110198</v>
      </c>
      <c r="H72">
        <f t="shared" si="9"/>
        <v>1.4835565974235783</v>
      </c>
      <c r="I72" s="3">
        <v>1885.6666666666599</v>
      </c>
      <c r="J72" s="3">
        <v>0</v>
      </c>
      <c r="K72" s="3">
        <v>22.015625638813699</v>
      </c>
    </row>
    <row r="73" spans="1:11" ht="18" x14ac:dyDescent="0.25">
      <c r="A73" s="3">
        <v>1958.75</v>
      </c>
      <c r="B73" s="3">
        <f t="shared" si="5"/>
        <v>212.27055702917772</v>
      </c>
      <c r="C73" s="3">
        <f t="shared" si="6"/>
        <v>196.66361781469493</v>
      </c>
      <c r="D73" s="3">
        <f t="shared" si="7"/>
        <v>212.27055702917772</v>
      </c>
      <c r="E73" s="3">
        <f t="shared" si="8"/>
        <v>222.56408328619273</v>
      </c>
      <c r="F73" s="3">
        <v>277</v>
      </c>
      <c r="G73" s="3">
        <v>288.19323251925402</v>
      </c>
      <c r="H73">
        <f t="shared" si="9"/>
        <v>243.57655164456077</v>
      </c>
      <c r="I73" s="3">
        <v>1885.75</v>
      </c>
      <c r="J73" s="3">
        <v>0</v>
      </c>
      <c r="K73" s="3">
        <v>33.908804487466099</v>
      </c>
    </row>
    <row r="74" spans="1:11" ht="18" x14ac:dyDescent="0.25">
      <c r="A74" s="3">
        <v>1958.8333333333301</v>
      </c>
      <c r="B74" s="3">
        <f t="shared" si="5"/>
        <v>239.27055702917772</v>
      </c>
      <c r="C74" s="3">
        <f t="shared" si="6"/>
        <v>195.14979847542998</v>
      </c>
      <c r="D74" s="3">
        <f t="shared" si="7"/>
        <v>239.27055702917772</v>
      </c>
      <c r="E74" s="3">
        <f t="shared" si="8"/>
        <v>218.12246614689872</v>
      </c>
      <c r="F74" s="3">
        <v>304</v>
      </c>
      <c r="G74" s="3">
        <v>283.75161537996001</v>
      </c>
      <c r="H74">
        <f t="shared" si="9"/>
        <v>1946.6413353581052</v>
      </c>
      <c r="I74" s="3">
        <v>1885.8333333333301</v>
      </c>
      <c r="J74" s="3">
        <v>0</v>
      </c>
      <c r="K74" s="3">
        <v>59.908095041242902</v>
      </c>
    </row>
    <row r="75" spans="1:11" ht="18" x14ac:dyDescent="0.25">
      <c r="A75" s="3">
        <v>1958.9166666666599</v>
      </c>
      <c r="B75" s="3">
        <f t="shared" si="5"/>
        <v>265.27055702917772</v>
      </c>
      <c r="C75" s="3">
        <f t="shared" si="6"/>
        <v>175.46631016325057</v>
      </c>
      <c r="D75" s="3">
        <f t="shared" si="7"/>
        <v>265.27055702917772</v>
      </c>
      <c r="E75" s="3">
        <f t="shared" si="8"/>
        <v>168.9780103599187</v>
      </c>
      <c r="F75" s="3">
        <v>330</v>
      </c>
      <c r="G75" s="3">
        <v>234.60715959298</v>
      </c>
      <c r="H75">
        <f t="shared" si="9"/>
        <v>8064.8027551563873</v>
      </c>
      <c r="I75" s="3">
        <v>1885.9166666666599</v>
      </c>
      <c r="J75" s="3">
        <v>0</v>
      </c>
      <c r="K75" s="3">
        <v>65.028400579156695</v>
      </c>
    </row>
    <row r="76" spans="1:11" ht="18" x14ac:dyDescent="0.25">
      <c r="A76" s="3">
        <v>1959</v>
      </c>
      <c r="B76" s="3">
        <f t="shared" si="5"/>
        <v>265.27055702917772</v>
      </c>
      <c r="C76" s="3">
        <f t="shared" si="6"/>
        <v>144.49509673348598</v>
      </c>
      <c r="D76" s="3">
        <f t="shared" si="7"/>
        <v>265.27055702917772</v>
      </c>
      <c r="E76" s="3">
        <f t="shared" si="8"/>
        <v>114.26773494777667</v>
      </c>
      <c r="F76" s="3">
        <v>330</v>
      </c>
      <c r="G76" s="3">
        <v>179.89688418083799</v>
      </c>
      <c r="H76">
        <f t="shared" si="9"/>
        <v>14586.711809636214</v>
      </c>
      <c r="I76" s="3">
        <v>1886</v>
      </c>
      <c r="J76" s="3">
        <v>0</v>
      </c>
      <c r="K76" s="3">
        <v>69.939934100022995</v>
      </c>
    </row>
    <row r="77" spans="1:11" ht="18" x14ac:dyDescent="0.25">
      <c r="A77" s="3">
        <v>1959.0833333333301</v>
      </c>
      <c r="B77" s="3">
        <f t="shared" si="5"/>
        <v>202.27055702917772</v>
      </c>
      <c r="C77" s="3">
        <f t="shared" si="6"/>
        <v>120.61937155006856</v>
      </c>
      <c r="D77" s="3">
        <f t="shared" si="7"/>
        <v>202.27055702917772</v>
      </c>
      <c r="E77" s="3">
        <f t="shared" si="8"/>
        <v>83.829954927599701</v>
      </c>
      <c r="F77" s="3">
        <v>267</v>
      </c>
      <c r="G77" s="3">
        <v>149.45910416066101</v>
      </c>
      <c r="H77">
        <f t="shared" si="9"/>
        <v>6666.9160901438863</v>
      </c>
      <c r="I77" s="3">
        <v>1886.0833333333301</v>
      </c>
      <c r="J77" s="3">
        <v>0</v>
      </c>
      <c r="K77" s="3">
        <v>72.798170872306301</v>
      </c>
    </row>
    <row r="78" spans="1:11" ht="18" x14ac:dyDescent="0.25">
      <c r="A78" s="3">
        <v>1959.1666666666599</v>
      </c>
      <c r="B78" s="3">
        <f t="shared" si="5"/>
        <v>193.27055702917772</v>
      </c>
      <c r="C78" s="3">
        <f t="shared" si="6"/>
        <v>100.56822800318693</v>
      </c>
      <c r="D78" s="3">
        <f t="shared" si="7"/>
        <v>193.27055702917772</v>
      </c>
      <c r="E78" s="3">
        <f t="shared" si="8"/>
        <v>63.439603815323679</v>
      </c>
      <c r="F78" s="3">
        <v>258</v>
      </c>
      <c r="G78" s="3">
        <v>129.06875304838499</v>
      </c>
      <c r="H78">
        <f t="shared" si="9"/>
        <v>8593.7218068430557</v>
      </c>
      <c r="I78" s="3">
        <v>1886.1666666666599</v>
      </c>
      <c r="J78" s="3">
        <v>0</v>
      </c>
      <c r="K78" s="3">
        <v>50.844299237547403</v>
      </c>
    </row>
    <row r="79" spans="1:11" ht="18" x14ac:dyDescent="0.25">
      <c r="A79" s="3">
        <v>1959.25</v>
      </c>
      <c r="B79" s="3">
        <f t="shared" si="5"/>
        <v>190.27055702917772</v>
      </c>
      <c r="C79" s="3">
        <f t="shared" si="6"/>
        <v>84.872622460699489</v>
      </c>
      <c r="D79" s="3">
        <f t="shared" si="7"/>
        <v>190.27055702917772</v>
      </c>
      <c r="E79" s="3">
        <f t="shared" si="8"/>
        <v>49.929197099858683</v>
      </c>
      <c r="F79" s="3">
        <v>255</v>
      </c>
      <c r="G79" s="3">
        <v>115.55834633292</v>
      </c>
      <c r="H79">
        <f t="shared" si="9"/>
        <v>11108.724611301219</v>
      </c>
      <c r="I79" s="3">
        <v>1886.25</v>
      </c>
      <c r="J79" s="3">
        <v>0</v>
      </c>
      <c r="K79" s="3">
        <v>26.675824755050201</v>
      </c>
    </row>
    <row r="80" spans="1:11" ht="18" x14ac:dyDescent="0.25">
      <c r="A80" s="3">
        <v>1959.3333333333301</v>
      </c>
      <c r="B80" s="3">
        <f t="shared" si="5"/>
        <v>152.27055702917772</v>
      </c>
      <c r="C80" s="3">
        <f t="shared" si="6"/>
        <v>40.977024570209913</v>
      </c>
      <c r="D80" s="3">
        <f t="shared" si="7"/>
        <v>152.27055702917772</v>
      </c>
      <c r="E80" s="3">
        <f t="shared" si="8"/>
        <v>20.282045205517292</v>
      </c>
      <c r="F80" s="3">
        <v>217</v>
      </c>
      <c r="G80" s="3">
        <v>85.911194438578605</v>
      </c>
      <c r="H80">
        <f t="shared" si="9"/>
        <v>12386.25036719532</v>
      </c>
      <c r="I80" s="3">
        <v>1886.3333333333301</v>
      </c>
      <c r="J80" s="3">
        <v>0</v>
      </c>
      <c r="K80" s="3">
        <v>17.323060034420099</v>
      </c>
    </row>
    <row r="81" spans="1:11" ht="18" x14ac:dyDescent="0.25">
      <c r="A81" s="3">
        <v>1959.4166666666599</v>
      </c>
      <c r="B81" s="3">
        <f t="shared" si="5"/>
        <v>-4.7294429708222765</v>
      </c>
      <c r="C81" s="3">
        <f t="shared" si="6"/>
        <v>-66.048150046053181</v>
      </c>
      <c r="D81" s="3">
        <f t="shared" si="7"/>
        <v>-4.7294429708222765</v>
      </c>
      <c r="E81" s="3">
        <f t="shared" si="8"/>
        <v>-35.94838907579711</v>
      </c>
      <c r="F81" s="3">
        <v>60</v>
      </c>
      <c r="G81" s="3">
        <v>29.680760157264199</v>
      </c>
      <c r="H81">
        <f t="shared" si="9"/>
        <v>3759.9838373779726</v>
      </c>
      <c r="I81" s="3">
        <v>1886.4166666666599</v>
      </c>
      <c r="J81" s="3">
        <v>0</v>
      </c>
      <c r="K81" s="3">
        <v>35.710381435398901</v>
      </c>
    </row>
    <row r="82" spans="1:11" ht="18" x14ac:dyDescent="0.25">
      <c r="A82" s="3">
        <v>1959.5</v>
      </c>
      <c r="B82" s="3">
        <f t="shared" si="5"/>
        <v>-199.72944297082228</v>
      </c>
      <c r="C82" s="3">
        <f t="shared" si="6"/>
        <v>-123.16047549121669</v>
      </c>
      <c r="D82" s="3">
        <f t="shared" si="7"/>
        <v>-199.72944297082228</v>
      </c>
      <c r="E82" s="3">
        <f t="shared" si="8"/>
        <v>-86.714165852284509</v>
      </c>
      <c r="F82" s="3">
        <v>-135</v>
      </c>
      <c r="G82" s="3">
        <v>-21.0850166192232</v>
      </c>
      <c r="H82">
        <f t="shared" si="9"/>
        <v>5862.8067808928981</v>
      </c>
      <c r="I82" s="3">
        <v>1886.5</v>
      </c>
      <c r="J82" s="3">
        <v>0</v>
      </c>
      <c r="K82" s="3">
        <v>91.372151317563706</v>
      </c>
    </row>
    <row r="83" spans="1:11" ht="18" x14ac:dyDescent="0.25">
      <c r="A83" s="3">
        <v>1959.5833333333301</v>
      </c>
      <c r="B83" s="3">
        <f t="shared" si="5"/>
        <v>-257.72944297082228</v>
      </c>
      <c r="C83" s="3">
        <f t="shared" si="6"/>
        <v>-158.69019880197831</v>
      </c>
      <c r="D83" s="3">
        <f t="shared" si="7"/>
        <v>-257.72944297082228</v>
      </c>
      <c r="E83" s="3">
        <f t="shared" si="8"/>
        <v>-136.6974069720016</v>
      </c>
      <c r="F83" s="3">
        <v>-193</v>
      </c>
      <c r="G83" s="3">
        <v>-71.068257738940304</v>
      </c>
      <c r="H83">
        <f t="shared" si="9"/>
        <v>9808.7718855358926</v>
      </c>
      <c r="I83" s="3">
        <v>1886.5833333333301</v>
      </c>
      <c r="J83" s="3">
        <v>0</v>
      </c>
      <c r="K83" s="3">
        <v>132.70866401289899</v>
      </c>
    </row>
    <row r="84" spans="1:11" ht="18" x14ac:dyDescent="0.25">
      <c r="A84" s="3">
        <v>1959.6666666666599</v>
      </c>
      <c r="B84" s="3">
        <f t="shared" si="5"/>
        <v>-257.72944297082228</v>
      </c>
      <c r="C84" s="3">
        <f t="shared" si="6"/>
        <v>-185.3379016920149</v>
      </c>
      <c r="D84" s="3">
        <f t="shared" si="7"/>
        <v>-257.72944297082228</v>
      </c>
      <c r="E84" s="3">
        <f t="shared" si="8"/>
        <v>-191.79750721605632</v>
      </c>
      <c r="F84" s="3">
        <v>-193</v>
      </c>
      <c r="G84" s="3">
        <v>-126.168357982995</v>
      </c>
      <c r="H84">
        <f t="shared" si="9"/>
        <v>5240.5352487212731</v>
      </c>
      <c r="I84" s="3">
        <v>1886.6666666666599</v>
      </c>
      <c r="J84" s="3">
        <v>0</v>
      </c>
      <c r="K84" s="3">
        <v>130.150646696156</v>
      </c>
    </row>
    <row r="85" spans="1:11" ht="18" x14ac:dyDescent="0.25">
      <c r="A85" s="3">
        <v>1959.75</v>
      </c>
      <c r="B85" s="3">
        <f t="shared" si="5"/>
        <v>-254.72944297082228</v>
      </c>
      <c r="C85" s="3">
        <f t="shared" si="6"/>
        <v>-196.19829259127525</v>
      </c>
      <c r="D85" s="3">
        <f t="shared" si="7"/>
        <v>-254.72944297082228</v>
      </c>
      <c r="E85" s="3">
        <f t="shared" si="8"/>
        <v>-221.1870140514323</v>
      </c>
      <c r="F85" s="3">
        <v>-190</v>
      </c>
      <c r="G85" s="3">
        <v>-155.557864818371</v>
      </c>
      <c r="H85">
        <f t="shared" si="9"/>
        <v>3425.8955647531484</v>
      </c>
      <c r="I85" s="3">
        <v>1886.75</v>
      </c>
      <c r="J85" s="3">
        <v>0</v>
      </c>
      <c r="K85" s="3">
        <v>117.000092123976</v>
      </c>
    </row>
    <row r="86" spans="1:11" ht="18" x14ac:dyDescent="0.25">
      <c r="A86" s="3">
        <v>1959.8333333333301</v>
      </c>
      <c r="B86" s="3">
        <f t="shared" si="5"/>
        <v>-191.72944297082228</v>
      </c>
      <c r="C86" s="3">
        <f t="shared" si="6"/>
        <v>-199.33953820900538</v>
      </c>
      <c r="D86" s="3">
        <f t="shared" si="7"/>
        <v>-191.72944297082228</v>
      </c>
      <c r="E86" s="3">
        <f t="shared" si="8"/>
        <v>-230.69331553775032</v>
      </c>
      <c r="F86" s="3">
        <v>-127</v>
      </c>
      <c r="G86" s="3">
        <v>-165.064166304689</v>
      </c>
      <c r="H86">
        <f t="shared" si="9"/>
        <v>57.913549534217189</v>
      </c>
      <c r="I86" s="3">
        <v>1886.8333333333301</v>
      </c>
      <c r="J86" s="3">
        <v>0</v>
      </c>
      <c r="K86" s="3">
        <v>96.864553343973398</v>
      </c>
    </row>
    <row r="87" spans="1:11" ht="18" x14ac:dyDescent="0.25">
      <c r="A87" s="3">
        <v>1959.9166666666599</v>
      </c>
      <c r="B87" s="3">
        <f t="shared" si="5"/>
        <v>-147.72944297082228</v>
      </c>
      <c r="C87" s="3">
        <f t="shared" si="6"/>
        <v>-197.64892898430708</v>
      </c>
      <c r="D87" s="3">
        <f t="shared" si="7"/>
        <v>-147.72944297082228</v>
      </c>
      <c r="E87" s="3">
        <f t="shared" si="8"/>
        <v>-225.51522171041933</v>
      </c>
      <c r="F87" s="3">
        <v>-83</v>
      </c>
      <c r="G87" s="3">
        <v>-159.886072477358</v>
      </c>
      <c r="H87">
        <f t="shared" si="9"/>
        <v>2491.9550838505047</v>
      </c>
      <c r="I87" s="3">
        <v>1886.9166666666599</v>
      </c>
      <c r="J87" s="3">
        <v>0</v>
      </c>
      <c r="K87" s="3">
        <v>69.149583136170094</v>
      </c>
    </row>
    <row r="88" spans="1:11" ht="18" x14ac:dyDescent="0.25">
      <c r="A88" s="3">
        <v>1960</v>
      </c>
      <c r="B88" s="3">
        <f t="shared" si="5"/>
        <v>-104.72944297082228</v>
      </c>
      <c r="C88" s="3">
        <f t="shared" si="6"/>
        <v>-184.74322033714273</v>
      </c>
      <c r="D88" s="3">
        <f t="shared" si="7"/>
        <v>-104.72944297082228</v>
      </c>
      <c r="E88" s="3">
        <f t="shared" si="8"/>
        <v>-190.32689417671332</v>
      </c>
      <c r="F88" s="3">
        <v>-40</v>
      </c>
      <c r="G88" s="3">
        <v>-124.697744943652</v>
      </c>
      <c r="H88">
        <f t="shared" si="9"/>
        <v>6402.2045684270952</v>
      </c>
      <c r="I88" s="3">
        <v>1887</v>
      </c>
      <c r="J88" s="3">
        <v>0</v>
      </c>
      <c r="K88" s="3">
        <v>45.843441182419902</v>
      </c>
    </row>
    <row r="89" spans="1:11" ht="18" x14ac:dyDescent="0.25">
      <c r="A89" s="3">
        <v>1960.0833333333301</v>
      </c>
      <c r="B89" s="3">
        <f t="shared" si="5"/>
        <v>-62.729442970822276</v>
      </c>
      <c r="C89" s="3">
        <f t="shared" si="6"/>
        <v>-168.99036511727829</v>
      </c>
      <c r="D89" s="3">
        <f t="shared" si="7"/>
        <v>-62.729442970822276</v>
      </c>
      <c r="E89" s="3">
        <f t="shared" si="8"/>
        <v>-155.65381049038692</v>
      </c>
      <c r="F89" s="3">
        <v>2</v>
      </c>
      <c r="G89" s="3">
        <v>-90.024661257325604</v>
      </c>
      <c r="H89">
        <f t="shared" si="9"/>
        <v>11291.383575415186</v>
      </c>
      <c r="I89" s="3">
        <v>1887.0833333333301</v>
      </c>
      <c r="J89" s="3">
        <v>0</v>
      </c>
      <c r="K89" s="3">
        <v>6.24151301155689</v>
      </c>
    </row>
    <row r="90" spans="1:11" ht="18" x14ac:dyDescent="0.25">
      <c r="A90" s="3">
        <v>1960.1666666666599</v>
      </c>
      <c r="B90" s="3">
        <f t="shared" si="5"/>
        <v>-46.729442970822276</v>
      </c>
      <c r="C90" s="3">
        <f t="shared" si="6"/>
        <v>-157.35194559408828</v>
      </c>
      <c r="D90" s="3">
        <f t="shared" si="7"/>
        <v>-46.729442970822276</v>
      </c>
      <c r="E90" s="3">
        <f t="shared" si="8"/>
        <v>-134.41326961711741</v>
      </c>
      <c r="F90" s="3">
        <v>18</v>
      </c>
      <c r="G90" s="3">
        <v>-68.784120384056095</v>
      </c>
      <c r="H90">
        <f t="shared" si="9"/>
        <v>12237.338086634494</v>
      </c>
      <c r="I90" s="3">
        <v>1887.1666666666599</v>
      </c>
      <c r="J90" s="3">
        <v>0</v>
      </c>
      <c r="K90" s="3">
        <v>-35.111917992592502</v>
      </c>
    </row>
    <row r="91" spans="1:11" ht="18" x14ac:dyDescent="0.25">
      <c r="A91" s="3">
        <v>1960.25</v>
      </c>
      <c r="B91" s="3">
        <f t="shared" si="5"/>
        <v>-18.729442970822276</v>
      </c>
      <c r="C91" s="3">
        <f t="shared" si="6"/>
        <v>-131.56281989638305</v>
      </c>
      <c r="D91" s="3">
        <f t="shared" si="7"/>
        <v>-18.729442970822276</v>
      </c>
      <c r="E91" s="3">
        <f t="shared" si="8"/>
        <v>-96.811758086482811</v>
      </c>
      <c r="F91" s="3">
        <v>46</v>
      </c>
      <c r="G91" s="3">
        <v>-31.182608853421499</v>
      </c>
      <c r="H91">
        <f t="shared" si="9"/>
        <v>12731.370948425671</v>
      </c>
      <c r="I91" s="3">
        <v>1887.25</v>
      </c>
      <c r="J91" s="3">
        <v>0</v>
      </c>
      <c r="K91" s="3">
        <v>-35.172849794066899</v>
      </c>
    </row>
    <row r="92" spans="1:11" ht="18" x14ac:dyDescent="0.25">
      <c r="A92" s="3">
        <v>1960.3333333333301</v>
      </c>
      <c r="B92" s="3">
        <f t="shared" si="5"/>
        <v>59.270557029177724</v>
      </c>
      <c r="C92" s="3">
        <f t="shared" si="6"/>
        <v>-75.252687521973399</v>
      </c>
      <c r="D92" s="3">
        <f t="shared" si="7"/>
        <v>59.270557029177724</v>
      </c>
      <c r="E92" s="3">
        <f t="shared" si="8"/>
        <v>-42.513271997227214</v>
      </c>
      <c r="F92" s="3">
        <v>124</v>
      </c>
      <c r="G92" s="3">
        <v>23.115877235834098</v>
      </c>
      <c r="H92">
        <f t="shared" si="9"/>
        <v>18096.50332456881</v>
      </c>
      <c r="I92" s="3">
        <v>1887.3333333333301</v>
      </c>
      <c r="J92" s="3">
        <v>0</v>
      </c>
      <c r="K92" s="3">
        <v>-1.6868960360246299</v>
      </c>
    </row>
    <row r="93" spans="1:11" ht="18" x14ac:dyDescent="0.25">
      <c r="A93" s="3">
        <v>1960.4166666666599</v>
      </c>
      <c r="B93" s="3">
        <f t="shared" si="5"/>
        <v>117.27055702917772</v>
      </c>
      <c r="C93" s="3">
        <f t="shared" si="6"/>
        <v>52.260939480315443</v>
      </c>
      <c r="D93" s="3">
        <f t="shared" si="7"/>
        <v>117.27055702917772</v>
      </c>
      <c r="E93" s="3">
        <f t="shared" si="8"/>
        <v>26.966832162891194</v>
      </c>
      <c r="F93" s="3">
        <v>182</v>
      </c>
      <c r="G93" s="3">
        <v>92.595981395952506</v>
      </c>
      <c r="H93">
        <f t="shared" si="9"/>
        <v>4226.2503738493424</v>
      </c>
      <c r="I93" s="3">
        <v>1887.4166666666599</v>
      </c>
      <c r="J93" s="3">
        <v>0</v>
      </c>
      <c r="K93" s="3">
        <v>51.226553045282699</v>
      </c>
    </row>
    <row r="94" spans="1:11" ht="18" x14ac:dyDescent="0.25">
      <c r="A94" s="3">
        <v>1960.5</v>
      </c>
      <c r="B94" s="3">
        <f t="shared" si="5"/>
        <v>187.27055702917772</v>
      </c>
      <c r="C94" s="3">
        <f t="shared" si="6"/>
        <v>134.79140550478189</v>
      </c>
      <c r="D94" s="3">
        <f t="shared" si="7"/>
        <v>187.27055702917772</v>
      </c>
      <c r="E94" s="3">
        <f t="shared" si="8"/>
        <v>100.93848314219268</v>
      </c>
      <c r="F94" s="3">
        <v>252</v>
      </c>
      <c r="G94" s="3">
        <v>166.56763237525399</v>
      </c>
      <c r="H94">
        <f t="shared" si="9"/>
        <v>2754.0613447204973</v>
      </c>
      <c r="I94" s="3">
        <v>1887.5</v>
      </c>
      <c r="J94" s="3">
        <v>0</v>
      </c>
      <c r="K94" s="3">
        <v>103.848391784969</v>
      </c>
    </row>
    <row r="95" spans="1:11" ht="18" x14ac:dyDescent="0.25">
      <c r="A95" s="3">
        <v>1960.5833333333301</v>
      </c>
      <c r="B95" s="3">
        <f t="shared" si="5"/>
        <v>191.27055702917772</v>
      </c>
      <c r="C95" s="3">
        <f t="shared" si="6"/>
        <v>161.97409327236068</v>
      </c>
      <c r="D95" s="3">
        <f t="shared" si="7"/>
        <v>191.27055702917772</v>
      </c>
      <c r="E95" s="3">
        <f t="shared" si="8"/>
        <v>142.46875354227569</v>
      </c>
      <c r="F95" s="3">
        <v>256</v>
      </c>
      <c r="G95" s="3">
        <v>208.09790277533699</v>
      </c>
      <c r="H95">
        <f t="shared" si="9"/>
        <v>858.28278865449488</v>
      </c>
      <c r="I95" s="3">
        <v>1887.5833333333301</v>
      </c>
      <c r="J95" s="3">
        <v>0</v>
      </c>
      <c r="K95" s="3">
        <v>121.600898608168</v>
      </c>
    </row>
    <row r="96" spans="1:11" ht="18" x14ac:dyDescent="0.25">
      <c r="A96" s="3">
        <v>1960.6666666666599</v>
      </c>
      <c r="B96" s="3">
        <f t="shared" si="5"/>
        <v>191.27055702917772</v>
      </c>
      <c r="C96" s="3">
        <f t="shared" si="6"/>
        <v>178.20838744755599</v>
      </c>
      <c r="D96" s="3">
        <f t="shared" si="7"/>
        <v>191.27055702917772</v>
      </c>
      <c r="E96" s="3">
        <f t="shared" si="8"/>
        <v>174.99267750351169</v>
      </c>
      <c r="F96" s="3">
        <v>256</v>
      </c>
      <c r="G96" s="3">
        <v>240.62182673657301</v>
      </c>
      <c r="H96">
        <f t="shared" si="9"/>
        <v>170.62027417904403</v>
      </c>
      <c r="I96" s="3">
        <v>1887.6666666666599</v>
      </c>
      <c r="J96" s="3">
        <v>0</v>
      </c>
      <c r="K96" s="3">
        <v>132.03134251525501</v>
      </c>
    </row>
    <row r="97" spans="1:11" ht="18" x14ac:dyDescent="0.25">
      <c r="A97" s="3">
        <v>1960.75</v>
      </c>
      <c r="B97" s="3">
        <f t="shared" si="5"/>
        <v>190.27055702917772</v>
      </c>
      <c r="C97" s="3">
        <f t="shared" si="6"/>
        <v>199.78982935842708</v>
      </c>
      <c r="D97" s="3">
        <f t="shared" si="7"/>
        <v>190.27055702917772</v>
      </c>
      <c r="E97" s="3">
        <f t="shared" si="8"/>
        <v>232.09753779954673</v>
      </c>
      <c r="F97" s="3">
        <v>255</v>
      </c>
      <c r="G97" s="3">
        <v>297.72668703260803</v>
      </c>
      <c r="H97">
        <f t="shared" si="9"/>
        <v>90.61654567841255</v>
      </c>
      <c r="I97" s="3">
        <v>1887.75</v>
      </c>
      <c r="J97" s="3">
        <v>0</v>
      </c>
      <c r="K97" s="3">
        <v>161.866970946571</v>
      </c>
    </row>
    <row r="98" spans="1:11" ht="18" x14ac:dyDescent="0.25">
      <c r="A98" s="3">
        <v>1960.8333333333301</v>
      </c>
      <c r="B98" s="3">
        <f t="shared" si="5"/>
        <v>184.27055702917772</v>
      </c>
      <c r="C98" s="3">
        <f t="shared" si="6"/>
        <v>211.48868207111403</v>
      </c>
      <c r="D98" s="3">
        <f t="shared" si="7"/>
        <v>184.27055702917772</v>
      </c>
      <c r="E98" s="3">
        <f t="shared" si="8"/>
        <v>272.7538422183797</v>
      </c>
      <c r="F98" s="3">
        <v>249</v>
      </c>
      <c r="G98" s="3">
        <v>338.382991451441</v>
      </c>
      <c r="H98">
        <f t="shared" si="9"/>
        <v>740.82633079848017</v>
      </c>
      <c r="I98" s="3">
        <v>1887.8333333333301</v>
      </c>
      <c r="J98" s="3">
        <v>0</v>
      </c>
      <c r="K98" s="3">
        <v>172.93255324925099</v>
      </c>
    </row>
    <row r="99" spans="1:11" ht="18" x14ac:dyDescent="0.25">
      <c r="A99" s="3">
        <v>1960.9166666666599</v>
      </c>
      <c r="B99" s="3">
        <f t="shared" si="5"/>
        <v>143.27055702917772</v>
      </c>
      <c r="C99" s="3">
        <f t="shared" si="6"/>
        <v>210.2373614005914</v>
      </c>
      <c r="D99" s="3">
        <f t="shared" si="7"/>
        <v>143.27055702917772</v>
      </c>
      <c r="E99" s="3">
        <f t="shared" si="8"/>
        <v>267.98236984333369</v>
      </c>
      <c r="F99" s="3">
        <v>208</v>
      </c>
      <c r="G99" s="3">
        <v>333.61151907639498</v>
      </c>
      <c r="H99">
        <f t="shared" si="9"/>
        <v>4484.5528877191891</v>
      </c>
      <c r="I99" s="3">
        <v>1887.9166666666599</v>
      </c>
      <c r="J99" s="3">
        <v>0</v>
      </c>
      <c r="K99" s="3">
        <v>156.50884352366799</v>
      </c>
    </row>
    <row r="100" spans="1:11" ht="18" x14ac:dyDescent="0.25">
      <c r="A100" s="3">
        <v>1961</v>
      </c>
      <c r="B100" s="3">
        <f t="shared" si="5"/>
        <v>90.270557029177724</v>
      </c>
      <c r="C100" s="3">
        <f t="shared" si="6"/>
        <v>196.3812888686283</v>
      </c>
      <c r="D100" s="3">
        <f t="shared" si="7"/>
        <v>90.270557029177724</v>
      </c>
      <c r="E100" s="3">
        <f t="shared" si="8"/>
        <v>221.72730719539072</v>
      </c>
      <c r="F100" s="3">
        <v>155</v>
      </c>
      <c r="G100" s="3">
        <v>287.35645642845202</v>
      </c>
      <c r="H100">
        <f t="shared" si="9"/>
        <v>11259.487411503791</v>
      </c>
      <c r="I100" s="3">
        <v>1888</v>
      </c>
      <c r="J100" s="3">
        <v>0</v>
      </c>
      <c r="K100" s="3">
        <v>129.99565602761101</v>
      </c>
    </row>
    <row r="101" spans="1:11" ht="18" x14ac:dyDescent="0.25">
      <c r="A101" s="3">
        <v>1961.0833333333301</v>
      </c>
      <c r="B101" s="3">
        <f t="shared" si="5"/>
        <v>-51.729442970822276</v>
      </c>
      <c r="C101" s="3">
        <f t="shared" si="6"/>
        <v>163.4701188973749</v>
      </c>
      <c r="D101" s="3">
        <f t="shared" si="7"/>
        <v>-51.729442970822276</v>
      </c>
      <c r="E101" s="3">
        <f t="shared" si="8"/>
        <v>145.1794671884777</v>
      </c>
      <c r="F101" s="3">
        <v>13</v>
      </c>
      <c r="G101" s="3">
        <v>210.808616421539</v>
      </c>
      <c r="H101">
        <f t="shared" si="9"/>
        <v>46310.851428264024</v>
      </c>
      <c r="I101" s="3">
        <v>1888.0833333333301</v>
      </c>
      <c r="J101" s="3">
        <v>0</v>
      </c>
      <c r="K101" s="3">
        <v>98.724827920921001</v>
      </c>
    </row>
    <row r="102" spans="1:11" ht="18" x14ac:dyDescent="0.25">
      <c r="A102" s="3">
        <v>1961.1666666666599</v>
      </c>
      <c r="B102" s="3">
        <f t="shared" si="5"/>
        <v>-93.729442970822276</v>
      </c>
      <c r="C102" s="3">
        <f t="shared" si="6"/>
        <v>123.7284283330072</v>
      </c>
      <c r="D102" s="3">
        <f t="shared" si="7"/>
        <v>-93.729442970822276</v>
      </c>
      <c r="E102" s="3">
        <f t="shared" si="8"/>
        <v>87.369138631661698</v>
      </c>
      <c r="F102" s="3">
        <v>-29</v>
      </c>
      <c r="G102" s="3">
        <v>152.99828786472301</v>
      </c>
      <c r="H102">
        <f t="shared" si="9"/>
        <v>47287.925791992864</v>
      </c>
      <c r="I102" s="3">
        <v>1888.1666666666599</v>
      </c>
      <c r="J102" s="3">
        <v>0</v>
      </c>
      <c r="K102" s="3">
        <v>87.141869708636307</v>
      </c>
    </row>
    <row r="103" spans="1:11" ht="18" x14ac:dyDescent="0.25">
      <c r="A103" s="3">
        <v>1961.25</v>
      </c>
      <c r="B103" s="3">
        <f t="shared" si="5"/>
        <v>-102.72944297082228</v>
      </c>
      <c r="C103" s="3">
        <f t="shared" si="6"/>
        <v>100.72814878811722</v>
      </c>
      <c r="D103" s="3">
        <f t="shared" si="7"/>
        <v>-102.72944297082228</v>
      </c>
      <c r="E103" s="3">
        <f t="shared" si="8"/>
        <v>63.587319961310683</v>
      </c>
      <c r="F103" s="3">
        <v>-38</v>
      </c>
      <c r="G103" s="3">
        <v>129.216469194372</v>
      </c>
      <c r="H103">
        <f t="shared" si="9"/>
        <v>41394.991644347283</v>
      </c>
      <c r="I103" s="3">
        <v>1888.25</v>
      </c>
      <c r="J103" s="3">
        <v>0</v>
      </c>
      <c r="K103" s="3">
        <v>87.708680284892495</v>
      </c>
    </row>
    <row r="104" spans="1:11" ht="18" x14ac:dyDescent="0.25">
      <c r="A104" s="3">
        <v>1961.3333333333301</v>
      </c>
      <c r="B104" s="3">
        <f t="shared" si="5"/>
        <v>-178.72944297082228</v>
      </c>
      <c r="C104" s="3">
        <f t="shared" si="6"/>
        <v>67.954792256449451</v>
      </c>
      <c r="D104" s="3">
        <f t="shared" si="7"/>
        <v>-178.72944297082228</v>
      </c>
      <c r="E104" s="3">
        <f t="shared" si="8"/>
        <v>37.268509772375694</v>
      </c>
      <c r="F104" s="3">
        <v>-114</v>
      </c>
      <c r="G104" s="3">
        <v>102.89765900543701</v>
      </c>
      <c r="H104">
        <f t="shared" si="9"/>
        <v>60853.11190966393</v>
      </c>
      <c r="I104" s="3">
        <v>1888.3333333333301</v>
      </c>
      <c r="J104" s="3">
        <v>0</v>
      </c>
      <c r="K104" s="3">
        <v>74.066271600559105</v>
      </c>
    </row>
    <row r="105" spans="1:11" ht="18" x14ac:dyDescent="0.25">
      <c r="A105" s="3">
        <v>1961.4166666666599</v>
      </c>
      <c r="B105" s="3">
        <f t="shared" si="5"/>
        <v>-206.72944297082228</v>
      </c>
      <c r="C105" s="3">
        <f t="shared" si="6"/>
        <v>18.09868259947665</v>
      </c>
      <c r="D105" s="3">
        <f t="shared" si="7"/>
        <v>-206.72944297082228</v>
      </c>
      <c r="E105" s="3">
        <f t="shared" si="8"/>
        <v>8.2740469825971843</v>
      </c>
      <c r="F105" s="3">
        <v>-142</v>
      </c>
      <c r="G105" s="3">
        <v>73.903196215658497</v>
      </c>
      <c r="H105">
        <f t="shared" si="9"/>
        <v>50547.68604745411</v>
      </c>
      <c r="I105" s="3">
        <v>1888.4166666666599</v>
      </c>
      <c r="J105" s="3">
        <v>0</v>
      </c>
      <c r="K105" s="3">
        <v>71.750301575870594</v>
      </c>
    </row>
    <row r="106" spans="1:11" ht="18" x14ac:dyDescent="0.25">
      <c r="A106" s="3">
        <v>1961.5</v>
      </c>
      <c r="B106" s="3">
        <f t="shared" si="5"/>
        <v>-206.72944297082228</v>
      </c>
      <c r="C106" s="3">
        <f t="shared" si="6"/>
        <v>-45.850680756893489</v>
      </c>
      <c r="D106" s="3">
        <f t="shared" si="7"/>
        <v>-206.72944297082228</v>
      </c>
      <c r="E106" s="3">
        <f t="shared" si="8"/>
        <v>-23.10119827346081</v>
      </c>
      <c r="F106" s="3">
        <v>-142</v>
      </c>
      <c r="G106" s="3">
        <v>42.527950959600503</v>
      </c>
      <c r="H106">
        <f t="shared" si="9"/>
        <v>25881.976131485837</v>
      </c>
      <c r="I106" s="3">
        <v>1888.5</v>
      </c>
      <c r="J106" s="3">
        <v>0</v>
      </c>
      <c r="K106" s="3">
        <v>82.203667108801596</v>
      </c>
    </row>
    <row r="107" spans="1:11" ht="18" x14ac:dyDescent="0.25">
      <c r="A107" s="3">
        <v>1961.5833333333301</v>
      </c>
      <c r="B107" s="3">
        <f t="shared" si="5"/>
        <v>-204.72944297082228</v>
      </c>
      <c r="C107" s="3">
        <f t="shared" si="6"/>
        <v>-103.08040668815788</v>
      </c>
      <c r="D107" s="3">
        <f t="shared" si="7"/>
        <v>-204.72944297082228</v>
      </c>
      <c r="E107" s="3">
        <f t="shared" si="8"/>
        <v>-65.785495411648427</v>
      </c>
      <c r="F107" s="3">
        <v>-140</v>
      </c>
      <c r="G107" s="3">
        <v>-0.156346178587114</v>
      </c>
      <c r="H107">
        <f t="shared" si="9"/>
        <v>10332.526577194423</v>
      </c>
      <c r="I107" s="3">
        <v>1888.5833333333301</v>
      </c>
      <c r="J107" s="3">
        <v>0</v>
      </c>
      <c r="K107" s="3">
        <v>73.678229101667299</v>
      </c>
    </row>
    <row r="108" spans="1:11" ht="18" x14ac:dyDescent="0.25">
      <c r="A108" s="3">
        <v>1961.6666666666599</v>
      </c>
      <c r="B108" s="3">
        <f t="shared" si="5"/>
        <v>-190.72944297082228</v>
      </c>
      <c r="C108" s="3">
        <f t="shared" si="6"/>
        <v>-125.30294431601887</v>
      </c>
      <c r="D108" s="3">
        <f t="shared" si="7"/>
        <v>-190.72944297082228</v>
      </c>
      <c r="E108" s="3">
        <f t="shared" si="8"/>
        <v>-89.205118230703917</v>
      </c>
      <c r="F108" s="3">
        <v>-126</v>
      </c>
      <c r="G108" s="3">
        <v>-23.575968997642601</v>
      </c>
      <c r="H108">
        <f t="shared" si="9"/>
        <v>4280.6267262269921</v>
      </c>
      <c r="I108" s="3">
        <v>1888.6666666666599</v>
      </c>
      <c r="J108" s="3">
        <v>0</v>
      </c>
      <c r="K108" s="3">
        <v>52.477867342668702</v>
      </c>
    </row>
    <row r="109" spans="1:11" ht="18" x14ac:dyDescent="0.25">
      <c r="A109" s="3">
        <v>1961.75</v>
      </c>
      <c r="B109" s="3">
        <f t="shared" si="5"/>
        <v>-162.72944297082228</v>
      </c>
      <c r="C109" s="3">
        <f t="shared" si="6"/>
        <v>-133.20618519784892</v>
      </c>
      <c r="D109" s="3">
        <f t="shared" si="7"/>
        <v>-162.72944297082228</v>
      </c>
      <c r="E109" s="3">
        <f t="shared" si="8"/>
        <v>-98.89423087464921</v>
      </c>
      <c r="F109" s="3">
        <v>-98</v>
      </c>
      <c r="G109" s="3">
        <v>-33.265081641587898</v>
      </c>
      <c r="H109">
        <f t="shared" si="9"/>
        <v>871.62274952943142</v>
      </c>
      <c r="I109" s="3">
        <v>1888.75</v>
      </c>
      <c r="J109" s="3">
        <v>0</v>
      </c>
      <c r="K109" s="3">
        <v>13.5071323385468</v>
      </c>
    </row>
    <row r="110" spans="1:11" ht="18" x14ac:dyDescent="0.25">
      <c r="A110" s="3">
        <v>1961.8333333333301</v>
      </c>
      <c r="B110" s="3">
        <f t="shared" si="5"/>
        <v>-162.72944297082228</v>
      </c>
      <c r="C110" s="3">
        <f t="shared" si="6"/>
        <v>-154.99832953642158</v>
      </c>
      <c r="D110" s="3">
        <f t="shared" si="7"/>
        <v>-162.72944297082228</v>
      </c>
      <c r="E110" s="3">
        <f t="shared" si="8"/>
        <v>-130.48726785966471</v>
      </c>
      <c r="F110" s="3">
        <v>-98</v>
      </c>
      <c r="G110" s="3">
        <v>-64.8581186266034</v>
      </c>
      <c r="H110">
        <f t="shared" si="9"/>
        <v>59.770114935570945</v>
      </c>
      <c r="I110" s="3">
        <v>1888.8333333333301</v>
      </c>
      <c r="J110" s="3">
        <v>0</v>
      </c>
      <c r="K110" s="3">
        <v>-46.4463356524451</v>
      </c>
    </row>
    <row r="111" spans="1:11" ht="18" x14ac:dyDescent="0.25">
      <c r="A111" s="3">
        <v>1961.9166666666599</v>
      </c>
      <c r="B111" s="3">
        <f t="shared" si="5"/>
        <v>-162.72944297082228</v>
      </c>
      <c r="C111" s="3">
        <f t="shared" si="6"/>
        <v>-176.09819685542371</v>
      </c>
      <c r="D111" s="3">
        <f t="shared" si="7"/>
        <v>-162.72944297082228</v>
      </c>
      <c r="E111" s="3">
        <f t="shared" si="8"/>
        <v>-170.34337838330032</v>
      </c>
      <c r="F111" s="3">
        <v>-98</v>
      </c>
      <c r="G111" s="3">
        <v>-104.71422915023901</v>
      </c>
      <c r="H111">
        <f t="shared" si="9"/>
        <v>178.72358042704587</v>
      </c>
      <c r="I111" s="3">
        <v>1888.9166666666599</v>
      </c>
      <c r="J111" s="3">
        <v>0</v>
      </c>
      <c r="K111" s="3">
        <v>-86.744262675432793</v>
      </c>
    </row>
    <row r="112" spans="1:11" ht="18" x14ac:dyDescent="0.25">
      <c r="A112" s="3">
        <v>1962</v>
      </c>
      <c r="B112" s="3">
        <f t="shared" si="5"/>
        <v>-133.72944297082228</v>
      </c>
      <c r="C112" s="3">
        <f t="shared" si="6"/>
        <v>-192.51553235945582</v>
      </c>
      <c r="D112" s="3">
        <f t="shared" si="7"/>
        <v>-133.72944297082228</v>
      </c>
      <c r="E112" s="3">
        <f t="shared" si="8"/>
        <v>-210.64954480726533</v>
      </c>
      <c r="F112" s="3">
        <v>-69</v>
      </c>
      <c r="G112" s="3">
        <v>-145.020395574204</v>
      </c>
      <c r="H112">
        <f t="shared" si="9"/>
        <v>3455.804305608413</v>
      </c>
      <c r="I112" s="3">
        <v>1889</v>
      </c>
      <c r="J112" s="3">
        <v>0</v>
      </c>
      <c r="K112" s="3">
        <v>-101.570521132656</v>
      </c>
    </row>
    <row r="113" spans="1:11" ht="18" x14ac:dyDescent="0.25">
      <c r="A113" s="3">
        <v>1962.0833333333301</v>
      </c>
      <c r="B113" s="3">
        <f t="shared" si="5"/>
        <v>-133.72944297082228</v>
      </c>
      <c r="C113" s="3">
        <f t="shared" si="6"/>
        <v>-205.75219015792442</v>
      </c>
      <c r="D113" s="3">
        <f t="shared" si="7"/>
        <v>-133.72944297082228</v>
      </c>
      <c r="E113" s="3">
        <f t="shared" si="8"/>
        <v>-251.75624323926934</v>
      </c>
      <c r="F113" s="3">
        <v>-69</v>
      </c>
      <c r="G113" s="3">
        <v>-186.12709400620801</v>
      </c>
      <c r="H113">
        <f t="shared" si="9"/>
        <v>5187.2761123772298</v>
      </c>
      <c r="I113" s="3">
        <v>1889.0833333333301</v>
      </c>
      <c r="J113" s="3">
        <v>0</v>
      </c>
      <c r="K113" s="3">
        <v>-104.511754157266</v>
      </c>
    </row>
    <row r="114" spans="1:11" ht="18" x14ac:dyDescent="0.25">
      <c r="A114" s="3">
        <v>1962.1666666666599</v>
      </c>
      <c r="B114" s="3">
        <f t="shared" si="5"/>
        <v>-119.72944297082228</v>
      </c>
      <c r="C114" s="3">
        <f t="shared" si="6"/>
        <v>-209.74891748225542</v>
      </c>
      <c r="D114" s="3">
        <f t="shared" si="7"/>
        <v>-119.72944297082228</v>
      </c>
      <c r="E114" s="3">
        <f t="shared" si="8"/>
        <v>-266.14988114955929</v>
      </c>
      <c r="F114" s="3">
        <v>-55</v>
      </c>
      <c r="G114" s="3">
        <v>-200.52073191649799</v>
      </c>
      <c r="H114">
        <f t="shared" si="9"/>
        <v>8103.505791314562</v>
      </c>
      <c r="I114" s="3">
        <v>1889.1666666666599</v>
      </c>
      <c r="J114" s="3">
        <v>0</v>
      </c>
      <c r="K114" s="3">
        <v>-83.259608563214201</v>
      </c>
    </row>
    <row r="115" spans="1:11" ht="18" x14ac:dyDescent="0.25">
      <c r="A115" s="3">
        <v>1962.25</v>
      </c>
      <c r="B115" s="3">
        <f t="shared" si="5"/>
        <v>-113.72944297082228</v>
      </c>
      <c r="C115" s="3">
        <f t="shared" si="6"/>
        <v>-205.97983590304051</v>
      </c>
      <c r="D115" s="3">
        <f t="shared" si="7"/>
        <v>-113.72944297082228</v>
      </c>
      <c r="E115" s="3">
        <f t="shared" si="8"/>
        <v>-252.54841431439331</v>
      </c>
      <c r="F115" s="3">
        <v>-49</v>
      </c>
      <c r="G115" s="3">
        <v>-186.91926508133199</v>
      </c>
      <c r="H115">
        <f t="shared" si="9"/>
        <v>8510.1349961486594</v>
      </c>
      <c r="I115" s="3">
        <v>1889.25</v>
      </c>
      <c r="J115" s="3">
        <v>0</v>
      </c>
      <c r="K115" s="3">
        <v>-50.811569252102302</v>
      </c>
    </row>
    <row r="116" spans="1:11" ht="18" x14ac:dyDescent="0.25">
      <c r="A116" s="3">
        <v>1962.3333333333301</v>
      </c>
      <c r="B116" s="3">
        <f t="shared" si="5"/>
        <v>-37.729442970822276</v>
      </c>
      <c r="C116" s="3">
        <f t="shared" si="6"/>
        <v>-190.50520596234435</v>
      </c>
      <c r="D116" s="3">
        <f t="shared" si="7"/>
        <v>-37.729442970822276</v>
      </c>
      <c r="E116" s="3">
        <f t="shared" si="8"/>
        <v>-205.15489419546634</v>
      </c>
      <c r="F116" s="3">
        <v>27</v>
      </c>
      <c r="G116" s="3">
        <v>-139.52574496240501</v>
      </c>
      <c r="H116">
        <f t="shared" si="9"/>
        <v>23340.433757641724</v>
      </c>
      <c r="I116" s="3">
        <v>1889.3333333333301</v>
      </c>
      <c r="J116" s="3">
        <v>0</v>
      </c>
      <c r="K116" s="3">
        <v>-10.7363713004668</v>
      </c>
    </row>
    <row r="117" spans="1:11" ht="18" x14ac:dyDescent="0.25">
      <c r="A117" s="3">
        <v>1962.4166666666599</v>
      </c>
      <c r="B117" s="3">
        <f t="shared" si="5"/>
        <v>96.270557029177724</v>
      </c>
      <c r="C117" s="3">
        <f t="shared" si="6"/>
        <v>-138.29069673944031</v>
      </c>
      <c r="D117" s="3">
        <f t="shared" si="7"/>
        <v>96.270557029177724</v>
      </c>
      <c r="E117" s="3">
        <f t="shared" si="8"/>
        <v>-105.57896209683261</v>
      </c>
      <c r="F117" s="3">
        <v>161</v>
      </c>
      <c r="G117" s="3">
        <v>-39.949812863771299</v>
      </c>
      <c r="H117">
        <f t="shared" si="9"/>
        <v>55018.981769506026</v>
      </c>
      <c r="I117" s="3">
        <v>1889.4166666666599</v>
      </c>
      <c r="J117" s="3">
        <v>0</v>
      </c>
      <c r="K117" s="3">
        <v>46.569893297972698</v>
      </c>
    </row>
    <row r="118" spans="1:11" ht="18" x14ac:dyDescent="0.25">
      <c r="A118" s="3">
        <v>1962.5</v>
      </c>
      <c r="B118" s="3">
        <f t="shared" si="5"/>
        <v>163.27055702917772</v>
      </c>
      <c r="C118" s="3">
        <f t="shared" si="6"/>
        <v>-12.770670492173229</v>
      </c>
      <c r="D118" s="3">
        <f t="shared" si="7"/>
        <v>163.27055702917772</v>
      </c>
      <c r="E118" s="3">
        <f t="shared" si="8"/>
        <v>-5.7362603744143144</v>
      </c>
      <c r="F118" s="3">
        <v>228</v>
      </c>
      <c r="G118" s="3">
        <v>59.892888858646998</v>
      </c>
      <c r="H118">
        <f t="shared" si="9"/>
        <v>30990.513787224048</v>
      </c>
      <c r="I118" s="3">
        <v>1889.5</v>
      </c>
      <c r="J118" s="3">
        <v>0</v>
      </c>
      <c r="K118" s="3">
        <v>76.646590209928604</v>
      </c>
    </row>
    <row r="119" spans="1:11" ht="18" x14ac:dyDescent="0.25">
      <c r="A119" s="3">
        <v>1962.5833333333301</v>
      </c>
      <c r="B119" s="3">
        <f t="shared" si="5"/>
        <v>187.27055702917772</v>
      </c>
      <c r="C119" s="3">
        <f t="shared" si="6"/>
        <v>82.455504481605502</v>
      </c>
      <c r="D119" s="3">
        <f t="shared" si="7"/>
        <v>187.27055702917772</v>
      </c>
      <c r="E119" s="3">
        <f t="shared" si="8"/>
        <v>48.008805576893693</v>
      </c>
      <c r="F119" s="3">
        <v>252</v>
      </c>
      <c r="G119" s="3">
        <v>113.637954809955</v>
      </c>
      <c r="H119">
        <f t="shared" si="9"/>
        <v>10986.195240550325</v>
      </c>
      <c r="I119" s="3">
        <v>1889.5833333333301</v>
      </c>
      <c r="J119" s="3">
        <v>0</v>
      </c>
      <c r="K119" s="3">
        <v>66.902182064374102</v>
      </c>
    </row>
    <row r="120" spans="1:11" ht="18" x14ac:dyDescent="0.25">
      <c r="A120" s="3">
        <v>1962.6666666666599</v>
      </c>
      <c r="B120" s="3">
        <f t="shared" si="5"/>
        <v>210.27055702917772</v>
      </c>
      <c r="C120" s="3">
        <f t="shared" si="6"/>
        <v>118.13248380171392</v>
      </c>
      <c r="D120" s="3">
        <f t="shared" si="7"/>
        <v>210.27055702917772</v>
      </c>
      <c r="E120" s="3">
        <f t="shared" si="8"/>
        <v>81.078401689201698</v>
      </c>
      <c r="F120" s="3">
        <v>275</v>
      </c>
      <c r="G120" s="3">
        <v>146.70755092226301</v>
      </c>
      <c r="H120">
        <f t="shared" si="9"/>
        <v>8489.4245380694829</v>
      </c>
      <c r="I120" s="3">
        <v>1889.6666666666599</v>
      </c>
      <c r="J120" s="3">
        <v>0</v>
      </c>
      <c r="K120" s="3">
        <v>71.211638600279898</v>
      </c>
    </row>
    <row r="121" spans="1:11" ht="18" x14ac:dyDescent="0.25">
      <c r="A121" s="3">
        <v>1962.75</v>
      </c>
      <c r="B121" s="3">
        <f t="shared" si="5"/>
        <v>215.27055702917772</v>
      </c>
      <c r="C121" s="3">
        <f t="shared" si="6"/>
        <v>141.28125366318201</v>
      </c>
      <c r="D121" s="3">
        <f t="shared" si="7"/>
        <v>215.27055702917772</v>
      </c>
      <c r="E121" s="3">
        <f t="shared" si="8"/>
        <v>109.69070063237969</v>
      </c>
      <c r="F121" s="3">
        <v>280</v>
      </c>
      <c r="G121" s="3">
        <v>175.319849865441</v>
      </c>
      <c r="H121">
        <f t="shared" si="9"/>
        <v>5474.4170125853443</v>
      </c>
      <c r="I121" s="3">
        <v>1889.75</v>
      </c>
      <c r="J121" s="3">
        <v>0</v>
      </c>
      <c r="K121" s="3">
        <v>107.211089150159</v>
      </c>
    </row>
    <row r="122" spans="1:11" ht="18" x14ac:dyDescent="0.25">
      <c r="A122" s="3">
        <v>1962.8333333333301</v>
      </c>
      <c r="B122" s="3">
        <f t="shared" si="5"/>
        <v>237.27055702917772</v>
      </c>
      <c r="C122" s="3">
        <f t="shared" si="6"/>
        <v>162.00018821366021</v>
      </c>
      <c r="D122" s="3">
        <f t="shared" si="7"/>
        <v>237.27055702917772</v>
      </c>
      <c r="E122" s="3">
        <f t="shared" si="8"/>
        <v>142.51558966864468</v>
      </c>
      <c r="F122" s="3">
        <v>302</v>
      </c>
      <c r="G122" s="3">
        <v>208.14473890170601</v>
      </c>
      <c r="H122">
        <f t="shared" si="9"/>
        <v>5665.6284216240319</v>
      </c>
      <c r="I122" s="3">
        <v>1889.8333333333301</v>
      </c>
      <c r="J122" s="3">
        <v>0</v>
      </c>
      <c r="K122" s="3">
        <v>165.55589085666699</v>
      </c>
    </row>
    <row r="123" spans="1:11" ht="18" x14ac:dyDescent="0.25">
      <c r="A123" s="3">
        <v>1962.9166666666599</v>
      </c>
      <c r="B123" s="3">
        <f t="shared" si="5"/>
        <v>237.27055702917772</v>
      </c>
      <c r="C123" s="3">
        <f t="shared" si="6"/>
        <v>180.22231873344805</v>
      </c>
      <c r="D123" s="3">
        <f t="shared" si="7"/>
        <v>237.27055702917772</v>
      </c>
      <c r="E123" s="3">
        <f t="shared" si="8"/>
        <v>179.56301663316071</v>
      </c>
      <c r="F123" s="3">
        <v>302</v>
      </c>
      <c r="G123" s="3">
        <v>245.19216586622201</v>
      </c>
      <c r="H123">
        <f t="shared" si="9"/>
        <v>3254.5014926463577</v>
      </c>
      <c r="I123" s="3">
        <v>1889.9166666666599</v>
      </c>
      <c r="J123" s="3">
        <v>0</v>
      </c>
      <c r="K123" s="3">
        <v>223.79954539862999</v>
      </c>
    </row>
    <row r="124" spans="1:11" ht="18" x14ac:dyDescent="0.25">
      <c r="A124" s="3">
        <v>1963</v>
      </c>
      <c r="B124" s="3">
        <f t="shared" si="5"/>
        <v>227.27055702917772</v>
      </c>
      <c r="C124" s="3">
        <f t="shared" si="6"/>
        <v>181.49302135523797</v>
      </c>
      <c r="D124" s="3">
        <f t="shared" si="7"/>
        <v>227.27055702917772</v>
      </c>
      <c r="E124" s="3">
        <f t="shared" si="8"/>
        <v>182.51624867658671</v>
      </c>
      <c r="F124" s="3">
        <v>292</v>
      </c>
      <c r="G124" s="3">
        <v>248.14539790964801</v>
      </c>
      <c r="H124">
        <f t="shared" si="9"/>
        <v>2095.5827723788266</v>
      </c>
      <c r="I124" s="3">
        <v>1890</v>
      </c>
      <c r="J124" s="3">
        <v>0</v>
      </c>
      <c r="K124" s="3">
        <v>239.408887819645</v>
      </c>
    </row>
    <row r="125" spans="1:11" ht="18" x14ac:dyDescent="0.25">
      <c r="A125" s="3">
        <v>1963.0833333333301</v>
      </c>
      <c r="B125" s="3">
        <f t="shared" si="5"/>
        <v>227.27055702917772</v>
      </c>
      <c r="C125" s="3">
        <f t="shared" si="6"/>
        <v>171.44301047052386</v>
      </c>
      <c r="D125" s="3">
        <f t="shared" si="7"/>
        <v>227.27055702917772</v>
      </c>
      <c r="E125" s="3">
        <f t="shared" si="8"/>
        <v>160.5612767090177</v>
      </c>
      <c r="F125" s="3">
        <v>292</v>
      </c>
      <c r="G125" s="3">
        <v>226.190425942079</v>
      </c>
      <c r="H125">
        <f t="shared" si="9"/>
        <v>3116.714954758665</v>
      </c>
      <c r="I125" s="3">
        <v>1890.0833333333301</v>
      </c>
      <c r="J125" s="3">
        <v>0</v>
      </c>
      <c r="K125" s="3">
        <v>230.13282238472101</v>
      </c>
    </row>
    <row r="126" spans="1:11" ht="18" x14ac:dyDescent="0.25">
      <c r="A126" s="3">
        <v>1963.1666666666599</v>
      </c>
      <c r="B126" s="3">
        <f t="shared" si="5"/>
        <v>268.27055702917772</v>
      </c>
      <c r="C126" s="3">
        <f t="shared" si="6"/>
        <v>171.03092584357009</v>
      </c>
      <c r="D126" s="3">
        <f t="shared" si="7"/>
        <v>268.27055702917772</v>
      </c>
      <c r="E126" s="3">
        <f t="shared" si="8"/>
        <v>159.72526926064768</v>
      </c>
      <c r="F126" s="3">
        <v>333</v>
      </c>
      <c r="G126" s="3">
        <v>225.35441849370901</v>
      </c>
      <c r="H126">
        <f t="shared" si="9"/>
        <v>9455.5458731129966</v>
      </c>
      <c r="I126" s="3">
        <v>1890.1666666666599</v>
      </c>
      <c r="J126" s="3">
        <v>0</v>
      </c>
      <c r="K126" s="3">
        <v>233.43017133463201</v>
      </c>
    </row>
    <row r="127" spans="1:11" ht="18" x14ac:dyDescent="0.25">
      <c r="A127" s="3">
        <v>1963.25</v>
      </c>
      <c r="B127" s="3">
        <f t="shared" si="5"/>
        <v>268.27055702917772</v>
      </c>
      <c r="C127" s="3">
        <f t="shared" si="6"/>
        <v>179.16008688176555</v>
      </c>
      <c r="D127" s="3">
        <f t="shared" si="7"/>
        <v>268.27055702917772</v>
      </c>
      <c r="E127" s="3">
        <f t="shared" si="8"/>
        <v>177.13586670195468</v>
      </c>
      <c r="F127" s="3">
        <v>333</v>
      </c>
      <c r="G127" s="3">
        <v>242.76501593501601</v>
      </c>
      <c r="H127">
        <f t="shared" si="9"/>
        <v>7940.6758898928356</v>
      </c>
      <c r="I127" s="3">
        <v>1890.25</v>
      </c>
      <c r="J127" s="3">
        <v>0</v>
      </c>
      <c r="K127" s="3">
        <v>230.83801036973199</v>
      </c>
    </row>
    <row r="128" spans="1:11" ht="18" x14ac:dyDescent="0.25">
      <c r="A128" s="3">
        <v>1963.3333333333301</v>
      </c>
      <c r="B128" s="3">
        <f t="shared" si="5"/>
        <v>263.27055702917772</v>
      </c>
      <c r="C128" s="3">
        <f t="shared" si="6"/>
        <v>190.40094608617818</v>
      </c>
      <c r="D128" s="3">
        <f t="shared" si="7"/>
        <v>263.27055702917772</v>
      </c>
      <c r="E128" s="3">
        <f t="shared" si="8"/>
        <v>204.87466388156872</v>
      </c>
      <c r="F128" s="3">
        <v>328</v>
      </c>
      <c r="G128" s="3">
        <v>270.50381311463002</v>
      </c>
      <c r="H128">
        <f t="shared" si="9"/>
        <v>5309.9801989841189</v>
      </c>
      <c r="I128" s="3">
        <v>1890.3333333333301</v>
      </c>
      <c r="J128" s="3">
        <v>0</v>
      </c>
      <c r="K128" s="3">
        <v>220.006251612157</v>
      </c>
    </row>
    <row r="129" spans="1:11" ht="18" x14ac:dyDescent="0.25">
      <c r="A129" s="3">
        <v>1963.4166666666599</v>
      </c>
      <c r="B129" s="3">
        <f t="shared" si="5"/>
        <v>252.27055702917772</v>
      </c>
      <c r="C129" s="3">
        <f t="shared" si="6"/>
        <v>196.3772698601467</v>
      </c>
      <c r="D129" s="3">
        <f t="shared" si="7"/>
        <v>252.27055702917772</v>
      </c>
      <c r="E129" s="3">
        <f t="shared" si="8"/>
        <v>221.71542363958571</v>
      </c>
      <c r="F129" s="3">
        <v>317</v>
      </c>
      <c r="G129" s="3">
        <v>287.34457287264701</v>
      </c>
      <c r="H129">
        <f t="shared" si="9"/>
        <v>3124.0595505597685</v>
      </c>
      <c r="I129" s="3">
        <v>1890.4166666666599</v>
      </c>
      <c r="J129" s="3">
        <v>0</v>
      </c>
      <c r="K129" s="3">
        <v>206.99060934786201</v>
      </c>
    </row>
    <row r="130" spans="1:11" ht="18" x14ac:dyDescent="0.25">
      <c r="A130" s="3">
        <v>1963.5</v>
      </c>
      <c r="B130" s="3">
        <f t="shared" si="5"/>
        <v>150.27055702917772</v>
      </c>
      <c r="C130" s="3">
        <f t="shared" si="6"/>
        <v>179.57130413393602</v>
      </c>
      <c r="D130" s="3">
        <f t="shared" si="7"/>
        <v>150.27055702917772</v>
      </c>
      <c r="E130" s="3">
        <f t="shared" si="8"/>
        <v>178.07104985390566</v>
      </c>
      <c r="F130" s="3">
        <v>215</v>
      </c>
      <c r="G130" s="3">
        <v>243.70019908696699</v>
      </c>
      <c r="H130">
        <f t="shared" si="9"/>
        <v>858.53378089700198</v>
      </c>
      <c r="I130" s="3">
        <v>1890.5</v>
      </c>
      <c r="J130" s="3">
        <v>0</v>
      </c>
      <c r="K130" s="3">
        <v>174.15392489676199</v>
      </c>
    </row>
    <row r="131" spans="1:11" ht="18" x14ac:dyDescent="0.25">
      <c r="A131" s="3">
        <v>1963.5833333333301</v>
      </c>
      <c r="B131" s="3">
        <f t="shared" si="5"/>
        <v>-49.729442970822276</v>
      </c>
      <c r="C131" s="3">
        <f t="shared" si="6"/>
        <v>129.73154822960382</v>
      </c>
      <c r="D131" s="3">
        <f t="shared" si="7"/>
        <v>-49.729442970822276</v>
      </c>
      <c r="E131" s="3">
        <f t="shared" si="8"/>
        <v>94.534070322530695</v>
      </c>
      <c r="F131" s="3">
        <v>15</v>
      </c>
      <c r="G131" s="3">
        <v>160.16321955559201</v>
      </c>
      <c r="H131">
        <f t="shared" si="9"/>
        <v>32206.247362639413</v>
      </c>
      <c r="I131" s="3">
        <v>1890.5833333333301</v>
      </c>
      <c r="J131" s="3">
        <v>0</v>
      </c>
      <c r="K131" s="3">
        <v>145.20738119575199</v>
      </c>
    </row>
    <row r="132" spans="1:11" ht="18" x14ac:dyDescent="0.25">
      <c r="A132" s="3">
        <v>1963.6666666666599</v>
      </c>
      <c r="B132" s="3">
        <f t="shared" si="5"/>
        <v>-100.72944297082228</v>
      </c>
      <c r="C132" s="3">
        <f t="shared" si="6"/>
        <v>48.080552899892993</v>
      </c>
      <c r="D132" s="3">
        <f t="shared" si="7"/>
        <v>-100.72944297082228</v>
      </c>
      <c r="E132" s="3">
        <f t="shared" si="8"/>
        <v>24.425046990672385</v>
      </c>
      <c r="F132" s="3">
        <v>-36</v>
      </c>
      <c r="G132" s="3">
        <v>90.054196223733697</v>
      </c>
      <c r="H132">
        <f t="shared" si="9"/>
        <v>22144.4148710423</v>
      </c>
      <c r="I132" s="3">
        <v>1890.6666666666599</v>
      </c>
      <c r="J132" s="3">
        <v>0</v>
      </c>
      <c r="K132" s="3">
        <v>135.54103871454899</v>
      </c>
    </row>
    <row r="133" spans="1:11" ht="18" x14ac:dyDescent="0.25">
      <c r="A133" s="3">
        <v>1963.75</v>
      </c>
      <c r="B133" s="3">
        <f t="shared" si="5"/>
        <v>-129.72944297082228</v>
      </c>
      <c r="C133" s="3">
        <f t="shared" si="6"/>
        <v>-54.83244703931058</v>
      </c>
      <c r="D133" s="3">
        <f t="shared" si="7"/>
        <v>-129.72944297082228</v>
      </c>
      <c r="E133" s="3">
        <f t="shared" si="8"/>
        <v>-28.570539283941514</v>
      </c>
      <c r="F133" s="3">
        <v>-65</v>
      </c>
      <c r="G133" s="3">
        <v>37.058609949119798</v>
      </c>
      <c r="H133">
        <f t="shared" si="9"/>
        <v>5609.5599995648799</v>
      </c>
      <c r="I133" s="3">
        <v>1890.75</v>
      </c>
      <c r="J133" s="3">
        <v>0</v>
      </c>
      <c r="K133" s="3">
        <v>110.998599518036</v>
      </c>
    </row>
    <row r="134" spans="1:11" ht="18" x14ac:dyDescent="0.25">
      <c r="A134" s="3">
        <v>1963.8333333333301</v>
      </c>
      <c r="B134" s="3">
        <f t="shared" ref="B134:B197" si="10">+$D134</f>
        <v>-134.72944297082228</v>
      </c>
      <c r="C134" s="3">
        <f t="shared" ref="C134:C197" si="11">$B$1*$E134/(1+$B$3*ABS($E134)^$B$2)</f>
        <v>-100.19743818617926</v>
      </c>
      <c r="D134" s="3">
        <f t="shared" ref="D134:D197" si="12">+F134-$F$3</f>
        <v>-134.72944297082228</v>
      </c>
      <c r="E134" s="3">
        <f t="shared" ref="E134:E197" si="13">+$G134-$G$3</f>
        <v>-63.097947228328081</v>
      </c>
      <c r="F134" s="3">
        <v>-70</v>
      </c>
      <c r="G134" s="3">
        <v>2.5312020047332302</v>
      </c>
      <c r="H134">
        <f t="shared" ref="H134:H197" si="14">+(B134-C134)^2</f>
        <v>1192.4593544466086</v>
      </c>
      <c r="I134" s="3">
        <v>1890.8333333333301</v>
      </c>
      <c r="J134" s="3">
        <v>0</v>
      </c>
      <c r="K134" s="3">
        <v>64.244230996073895</v>
      </c>
    </row>
    <row r="135" spans="1:11" ht="18" x14ac:dyDescent="0.25">
      <c r="A135" s="3">
        <v>1963.9166666666599</v>
      </c>
      <c r="B135" s="3">
        <f t="shared" si="10"/>
        <v>-134.72944297082228</v>
      </c>
      <c r="C135" s="3">
        <f t="shared" si="11"/>
        <v>-126.74938181543345</v>
      </c>
      <c r="D135" s="3">
        <f t="shared" si="12"/>
        <v>-134.72944297082228</v>
      </c>
      <c r="E135" s="3">
        <f t="shared" si="13"/>
        <v>-90.918436320395912</v>
      </c>
      <c r="F135" s="3">
        <v>-70</v>
      </c>
      <c r="G135" s="3">
        <v>-25.2892870873346</v>
      </c>
      <c r="H135">
        <f t="shared" si="14"/>
        <v>63.681376043745622</v>
      </c>
      <c r="I135" s="3">
        <v>1890.9166666666599</v>
      </c>
      <c r="J135" s="3">
        <v>0</v>
      </c>
      <c r="K135" s="3">
        <v>-5.2752977099234002</v>
      </c>
    </row>
    <row r="136" spans="1:11" ht="18" x14ac:dyDescent="0.25">
      <c r="A136" s="3">
        <v>1964</v>
      </c>
      <c r="B136" s="3">
        <f t="shared" si="10"/>
        <v>-134.72944297082228</v>
      </c>
      <c r="C136" s="3">
        <f t="shared" si="11"/>
        <v>-156.70524491367334</v>
      </c>
      <c r="D136" s="3">
        <f t="shared" si="12"/>
        <v>-134.72944297082228</v>
      </c>
      <c r="E136" s="3">
        <f t="shared" si="13"/>
        <v>-133.32308788570771</v>
      </c>
      <c r="F136" s="3">
        <v>-70</v>
      </c>
      <c r="G136" s="3">
        <v>-67.693938652646395</v>
      </c>
      <c r="H136">
        <f t="shared" si="14"/>
        <v>482.93587103141658</v>
      </c>
      <c r="I136" s="3">
        <v>1891</v>
      </c>
      <c r="J136" s="3">
        <v>0</v>
      </c>
      <c r="K136" s="3">
        <v>-98.657131340973393</v>
      </c>
    </row>
    <row r="137" spans="1:11" ht="18" x14ac:dyDescent="0.25">
      <c r="A137" s="3">
        <v>1964.0833333333301</v>
      </c>
      <c r="B137" s="3">
        <f t="shared" si="10"/>
        <v>-99.729442970822276</v>
      </c>
      <c r="C137" s="3">
        <f t="shared" si="11"/>
        <v>-173.48470270706358</v>
      </c>
      <c r="D137" s="3">
        <f t="shared" si="12"/>
        <v>-99.729442970822276</v>
      </c>
      <c r="E137" s="3">
        <f t="shared" si="13"/>
        <v>-164.77379686355272</v>
      </c>
      <c r="F137" s="3">
        <v>-35</v>
      </c>
      <c r="G137" s="3">
        <v>-99.144647630491406</v>
      </c>
      <c r="H137">
        <f t="shared" si="14"/>
        <v>5439.8383387604172</v>
      </c>
      <c r="I137" s="3">
        <v>1891.0833333333301</v>
      </c>
      <c r="J137" s="3">
        <v>0</v>
      </c>
      <c r="K137" s="3">
        <v>-175.56539167128801</v>
      </c>
    </row>
    <row r="138" spans="1:11" ht="18" x14ac:dyDescent="0.25">
      <c r="A138" s="3">
        <v>1964.1666666666599</v>
      </c>
      <c r="B138" s="3">
        <f t="shared" si="10"/>
        <v>-99.729442970822276</v>
      </c>
      <c r="C138" s="3">
        <f t="shared" si="11"/>
        <v>-181.34580846400655</v>
      </c>
      <c r="D138" s="3">
        <f t="shared" si="12"/>
        <v>-99.729442970822276</v>
      </c>
      <c r="E138" s="3">
        <f t="shared" si="13"/>
        <v>-182.1712927691683</v>
      </c>
      <c r="F138" s="3">
        <v>-35</v>
      </c>
      <c r="G138" s="3">
        <v>-116.54214353610701</v>
      </c>
      <c r="H138">
        <f t="shared" si="14"/>
        <v>6661.2311163170407</v>
      </c>
      <c r="I138" s="3">
        <v>1891.1666666666599</v>
      </c>
      <c r="J138" s="3">
        <v>0</v>
      </c>
      <c r="K138" s="3">
        <v>-225.764248362106</v>
      </c>
    </row>
    <row r="139" spans="1:11" ht="18" x14ac:dyDescent="0.25">
      <c r="A139" s="3">
        <v>1964.25</v>
      </c>
      <c r="B139" s="3">
        <f t="shared" si="10"/>
        <v>-118.72944297082228</v>
      </c>
      <c r="C139" s="3">
        <f t="shared" si="11"/>
        <v>-191.4091659751852</v>
      </c>
      <c r="D139" s="3">
        <f t="shared" si="12"/>
        <v>-118.72944297082228</v>
      </c>
      <c r="E139" s="3">
        <f t="shared" si="13"/>
        <v>-207.6039624200003</v>
      </c>
      <c r="F139" s="3">
        <v>-54</v>
      </c>
      <c r="G139" s="3">
        <v>-141.974813186939</v>
      </c>
      <c r="H139">
        <f t="shared" si="14"/>
        <v>5282.3421359909216</v>
      </c>
      <c r="I139" s="3">
        <v>1891.25</v>
      </c>
      <c r="J139" s="3">
        <v>0</v>
      </c>
      <c r="K139" s="3">
        <v>-259.087174469258</v>
      </c>
    </row>
    <row r="140" spans="1:11" ht="18" x14ac:dyDescent="0.25">
      <c r="A140" s="3">
        <v>1964.3333333333301</v>
      </c>
      <c r="B140" s="3">
        <f t="shared" si="10"/>
        <v>-128.72944297082228</v>
      </c>
      <c r="C140" s="3">
        <f t="shared" si="11"/>
        <v>-191.72370482570048</v>
      </c>
      <c r="D140" s="3">
        <f t="shared" si="12"/>
        <v>-128.72944297082228</v>
      </c>
      <c r="E140" s="3">
        <f t="shared" si="13"/>
        <v>-208.46437541635731</v>
      </c>
      <c r="F140" s="3">
        <v>-64</v>
      </c>
      <c r="G140" s="3">
        <v>-142.83522618329599</v>
      </c>
      <c r="H140">
        <f t="shared" si="14"/>
        <v>3968.277026640963</v>
      </c>
      <c r="I140" s="3">
        <v>1891.3333333333301</v>
      </c>
      <c r="J140" s="3">
        <v>0</v>
      </c>
      <c r="K140" s="3">
        <v>-239.99068960702601</v>
      </c>
    </row>
    <row r="141" spans="1:11" ht="18" x14ac:dyDescent="0.25">
      <c r="A141" s="3">
        <v>1964.4166666666599</v>
      </c>
      <c r="B141" s="3">
        <f t="shared" si="10"/>
        <v>-128.72944297082228</v>
      </c>
      <c r="C141" s="3">
        <f t="shared" si="11"/>
        <v>-176.61936961299202</v>
      </c>
      <c r="D141" s="3">
        <f t="shared" si="12"/>
        <v>-128.72944297082228</v>
      </c>
      <c r="E141" s="3">
        <f t="shared" si="13"/>
        <v>-171.4787229514663</v>
      </c>
      <c r="F141" s="3">
        <v>-64</v>
      </c>
      <c r="G141" s="3">
        <v>-105.849573718405</v>
      </c>
      <c r="H141">
        <f t="shared" si="14"/>
        <v>2293.4450737923989</v>
      </c>
      <c r="I141" s="3">
        <v>1891.4166666666599</v>
      </c>
      <c r="J141" s="3">
        <v>0</v>
      </c>
      <c r="K141" s="3">
        <v>-173.62686317179299</v>
      </c>
    </row>
    <row r="142" spans="1:11" ht="18" x14ac:dyDescent="0.25">
      <c r="A142" s="3">
        <v>1964.5</v>
      </c>
      <c r="B142" s="3">
        <f t="shared" si="10"/>
        <v>-125.72944297082228</v>
      </c>
      <c r="C142" s="3">
        <f t="shared" si="11"/>
        <v>-154.22386916167949</v>
      </c>
      <c r="D142" s="3">
        <f t="shared" si="12"/>
        <v>-125.72944297082228</v>
      </c>
      <c r="E142" s="3">
        <f t="shared" si="13"/>
        <v>-129.22013359122511</v>
      </c>
      <c r="F142" s="3">
        <v>-61</v>
      </c>
      <c r="G142" s="3">
        <v>-63.590984358163801</v>
      </c>
      <c r="H142">
        <f t="shared" si="14"/>
        <v>811.93232394620941</v>
      </c>
      <c r="I142" s="3">
        <v>1891.5</v>
      </c>
      <c r="J142" s="3">
        <v>0</v>
      </c>
      <c r="K142" s="3">
        <v>-109.538708868627</v>
      </c>
    </row>
    <row r="143" spans="1:11" ht="18" x14ac:dyDescent="0.25">
      <c r="A143" s="3">
        <v>1964.5833333333301</v>
      </c>
      <c r="B143" s="3">
        <f t="shared" si="10"/>
        <v>-101.72944297082228</v>
      </c>
      <c r="C143" s="3">
        <f t="shared" si="11"/>
        <v>-127.38135125798914</v>
      </c>
      <c r="D143" s="3">
        <f t="shared" si="12"/>
        <v>-101.72944297082228</v>
      </c>
      <c r="E143" s="3">
        <f t="shared" si="13"/>
        <v>-91.675185319248811</v>
      </c>
      <c r="F143" s="3">
        <v>-37</v>
      </c>
      <c r="G143" s="3">
        <v>-26.046036086187499</v>
      </c>
      <c r="H143">
        <f t="shared" si="14"/>
        <v>658.02039877321988</v>
      </c>
      <c r="I143" s="3">
        <v>1891.5833333333301</v>
      </c>
      <c r="J143" s="3">
        <v>0</v>
      </c>
      <c r="K143" s="3">
        <v>-58.413599503324001</v>
      </c>
    </row>
    <row r="144" spans="1:11" ht="18" x14ac:dyDescent="0.25">
      <c r="A144" s="3">
        <v>1964.6666666666599</v>
      </c>
      <c r="B144" s="3">
        <f t="shared" si="10"/>
        <v>-91.729442970822276</v>
      </c>
      <c r="C144" s="3">
        <f t="shared" si="11"/>
        <v>-110.72609100938962</v>
      </c>
      <c r="D144" s="3">
        <f t="shared" si="12"/>
        <v>-91.729442970822276</v>
      </c>
      <c r="E144" s="3">
        <f t="shared" si="13"/>
        <v>-73.275516333132288</v>
      </c>
      <c r="F144" s="3">
        <v>-27</v>
      </c>
      <c r="G144" s="3">
        <v>-7.6463671000709796</v>
      </c>
      <c r="H144">
        <f t="shared" si="14"/>
        <v>360.8726367012045</v>
      </c>
      <c r="I144" s="3">
        <v>1891.6666666666599</v>
      </c>
      <c r="J144" s="3">
        <v>0</v>
      </c>
      <c r="K144" s="3">
        <v>-20.414786828890399</v>
      </c>
    </row>
    <row r="145" spans="1:11" ht="18" x14ac:dyDescent="0.25">
      <c r="A145" s="3">
        <v>1964.75</v>
      </c>
      <c r="B145" s="3">
        <f t="shared" si="10"/>
        <v>-96.729442970822276</v>
      </c>
      <c r="C145" s="3">
        <f t="shared" si="11"/>
        <v>-108.62541899186279</v>
      </c>
      <c r="D145" s="3">
        <f t="shared" si="12"/>
        <v>-96.729442970822276</v>
      </c>
      <c r="E145" s="3">
        <f t="shared" si="13"/>
        <v>-71.163030231648889</v>
      </c>
      <c r="F145" s="3">
        <v>-32</v>
      </c>
      <c r="G145" s="3">
        <v>-5.5338809985875699</v>
      </c>
      <c r="H145">
        <f t="shared" si="14"/>
        <v>141.51424549317082</v>
      </c>
      <c r="I145" s="3">
        <v>1891.75</v>
      </c>
      <c r="J145" s="3">
        <v>0</v>
      </c>
      <c r="K145" s="3">
        <v>22.714578190339299</v>
      </c>
    </row>
    <row r="146" spans="1:11" ht="18" x14ac:dyDescent="0.25">
      <c r="A146" s="3">
        <v>1964.8333333333301</v>
      </c>
      <c r="B146" s="3">
        <f t="shared" si="10"/>
        <v>-84.729442970822276</v>
      </c>
      <c r="C146" s="3">
        <f t="shared" si="11"/>
        <v>-77.567439564286971</v>
      </c>
      <c r="D146" s="3">
        <f t="shared" si="12"/>
        <v>-84.729442970822276</v>
      </c>
      <c r="E146" s="3">
        <f t="shared" si="13"/>
        <v>-44.243406293537511</v>
      </c>
      <c r="F146" s="3">
        <v>-20</v>
      </c>
      <c r="G146" s="3">
        <v>21.385742939523801</v>
      </c>
      <c r="H146">
        <f t="shared" si="14"/>
        <v>51.294292795223321</v>
      </c>
      <c r="I146" s="3">
        <v>1891.8333333333301</v>
      </c>
      <c r="J146" s="3">
        <v>0</v>
      </c>
      <c r="K146" s="3">
        <v>100.06513839773901</v>
      </c>
    </row>
    <row r="147" spans="1:11" ht="18" x14ac:dyDescent="0.25">
      <c r="A147" s="3">
        <v>1964.9166666666599</v>
      </c>
      <c r="B147" s="3">
        <f t="shared" si="10"/>
        <v>-83.729442970822276</v>
      </c>
      <c r="C147" s="3">
        <f t="shared" si="11"/>
        <v>-8.312444154238765</v>
      </c>
      <c r="D147" s="3">
        <f t="shared" si="12"/>
        <v>-83.729442970822276</v>
      </c>
      <c r="E147" s="3">
        <f t="shared" si="13"/>
        <v>-3.6799332835442158</v>
      </c>
      <c r="F147" s="3">
        <v>-19</v>
      </c>
      <c r="G147" s="3">
        <v>61.949215949517097</v>
      </c>
      <c r="H147">
        <f t="shared" si="14"/>
        <v>5687.7237105005597</v>
      </c>
      <c r="I147" s="3">
        <v>1891.9166666666599</v>
      </c>
      <c r="J147" s="3">
        <v>0</v>
      </c>
      <c r="K147" s="3">
        <v>171.04244564218101</v>
      </c>
    </row>
    <row r="148" spans="1:11" ht="18" x14ac:dyDescent="0.25">
      <c r="A148" s="3">
        <v>1965</v>
      </c>
      <c r="B148" s="3">
        <f t="shared" si="10"/>
        <v>-79.729442970822276</v>
      </c>
      <c r="C148" s="3">
        <f t="shared" si="11"/>
        <v>38.092415817545543</v>
      </c>
      <c r="D148" s="3">
        <f t="shared" si="12"/>
        <v>-79.729442970822276</v>
      </c>
      <c r="E148" s="3">
        <f t="shared" si="13"/>
        <v>18.659752111766991</v>
      </c>
      <c r="F148" s="3">
        <v>-15</v>
      </c>
      <c r="G148" s="3">
        <v>84.288901344828304</v>
      </c>
      <c r="H148">
        <f t="shared" si="14"/>
        <v>13881.990408346088</v>
      </c>
      <c r="I148" s="3">
        <v>1892</v>
      </c>
      <c r="J148" s="3">
        <v>0</v>
      </c>
      <c r="K148" s="3">
        <v>197.364196340501</v>
      </c>
    </row>
    <row r="149" spans="1:11" ht="18" x14ac:dyDescent="0.25">
      <c r="A149" s="3">
        <v>1965.0833333333301</v>
      </c>
      <c r="B149" s="3">
        <f t="shared" si="10"/>
        <v>-71.729442970822276</v>
      </c>
      <c r="C149" s="3">
        <f t="shared" si="11"/>
        <v>57.581480693057387</v>
      </c>
      <c r="D149" s="3">
        <f t="shared" si="12"/>
        <v>-71.729442970822276</v>
      </c>
      <c r="E149" s="3">
        <f t="shared" si="13"/>
        <v>30.320028911550381</v>
      </c>
      <c r="F149" s="3">
        <v>-7</v>
      </c>
      <c r="G149" s="3">
        <v>95.949178144611693</v>
      </c>
      <c r="H149">
        <f t="shared" si="14"/>
        <v>16721.314978805713</v>
      </c>
      <c r="I149" s="3">
        <v>1892.0833333333301</v>
      </c>
      <c r="J149" s="3">
        <v>0</v>
      </c>
      <c r="K149" s="3">
        <v>205.22122632919601</v>
      </c>
    </row>
    <row r="150" spans="1:11" ht="18" x14ac:dyDescent="0.25">
      <c r="A150" s="3">
        <v>1965.1666666666599</v>
      </c>
      <c r="B150" s="3">
        <f t="shared" si="10"/>
        <v>-52.729442970822276</v>
      </c>
      <c r="C150" s="3">
        <f t="shared" si="11"/>
        <v>52.128136632321734</v>
      </c>
      <c r="D150" s="3">
        <f t="shared" si="12"/>
        <v>-52.729442970822276</v>
      </c>
      <c r="E150" s="3">
        <f t="shared" si="13"/>
        <v>26.884853787230384</v>
      </c>
      <c r="F150" s="3">
        <v>12</v>
      </c>
      <c r="G150" s="3">
        <v>92.514003020291696</v>
      </c>
      <c r="H150">
        <f t="shared" si="14"/>
        <v>10995.112000229685</v>
      </c>
      <c r="I150" s="3">
        <v>1892.1666666666599</v>
      </c>
      <c r="J150" s="3">
        <v>0</v>
      </c>
      <c r="K150" s="3">
        <v>210.59588891960399</v>
      </c>
    </row>
    <row r="151" spans="1:11" ht="18" x14ac:dyDescent="0.25">
      <c r="A151" s="3">
        <v>1965.25</v>
      </c>
      <c r="B151" s="3">
        <f t="shared" si="10"/>
        <v>-27.729442970822276</v>
      </c>
      <c r="C151" s="3">
        <f t="shared" si="11"/>
        <v>52.534776531557924</v>
      </c>
      <c r="D151" s="3">
        <f t="shared" si="12"/>
        <v>-27.729442970822276</v>
      </c>
      <c r="E151" s="3">
        <f t="shared" si="13"/>
        <v>27.136129318980892</v>
      </c>
      <c r="F151" s="3">
        <v>37</v>
      </c>
      <c r="G151" s="3">
        <v>92.765278552042204</v>
      </c>
      <c r="H151">
        <f t="shared" si="14"/>
        <v>6442.3449323262703</v>
      </c>
      <c r="I151" s="3">
        <v>1892.25</v>
      </c>
      <c r="J151" s="3">
        <v>0</v>
      </c>
      <c r="K151" s="3">
        <v>234.305064251185</v>
      </c>
    </row>
    <row r="152" spans="1:11" ht="18" x14ac:dyDescent="0.25">
      <c r="A152" s="3">
        <v>1965.3333333333301</v>
      </c>
      <c r="B152" s="3">
        <f t="shared" si="10"/>
        <v>92.270557029177724</v>
      </c>
      <c r="C152" s="3">
        <f t="shared" si="11"/>
        <v>109.5585997258256</v>
      </c>
      <c r="D152" s="3">
        <f t="shared" si="12"/>
        <v>92.270557029177724</v>
      </c>
      <c r="E152" s="3">
        <f t="shared" si="13"/>
        <v>72.0961949845627</v>
      </c>
      <c r="F152" s="3">
        <v>157</v>
      </c>
      <c r="G152" s="3">
        <v>137.72534421762401</v>
      </c>
      <c r="H152">
        <f t="shared" si="14"/>
        <v>298.87642028112003</v>
      </c>
      <c r="I152" s="3">
        <v>1892.3333333333301</v>
      </c>
      <c r="J152" s="3">
        <v>0</v>
      </c>
      <c r="K152" s="3">
        <v>294.16264509777102</v>
      </c>
    </row>
    <row r="153" spans="1:11" ht="18" x14ac:dyDescent="0.25">
      <c r="A153" s="3">
        <v>1965.4166666666599</v>
      </c>
      <c r="B153" s="3">
        <f t="shared" si="10"/>
        <v>177.27055702917772</v>
      </c>
      <c r="C153" s="3">
        <f t="shared" si="11"/>
        <v>154.79150899974641</v>
      </c>
      <c r="D153" s="3">
        <f t="shared" si="12"/>
        <v>177.27055702917772</v>
      </c>
      <c r="E153" s="3">
        <f t="shared" si="13"/>
        <v>130.14769899399568</v>
      </c>
      <c r="F153" s="3">
        <v>242</v>
      </c>
      <c r="G153" s="3">
        <v>195.776848227057</v>
      </c>
      <c r="H153">
        <f t="shared" si="14"/>
        <v>505.30760030947971</v>
      </c>
      <c r="I153" s="3">
        <v>1892.4166666666599</v>
      </c>
      <c r="J153" s="3">
        <v>0</v>
      </c>
      <c r="K153" s="3">
        <v>340.66554895838698</v>
      </c>
    </row>
    <row r="154" spans="1:11" ht="18" x14ac:dyDescent="0.25">
      <c r="A154" s="3">
        <v>1965.5</v>
      </c>
      <c r="B154" s="3">
        <f t="shared" si="10"/>
        <v>203.27055702917772</v>
      </c>
      <c r="C154" s="3">
        <f t="shared" si="11"/>
        <v>170.59260909443941</v>
      </c>
      <c r="D154" s="3">
        <f t="shared" si="12"/>
        <v>203.27055702917772</v>
      </c>
      <c r="E154" s="3">
        <f t="shared" si="13"/>
        <v>158.84118496096869</v>
      </c>
      <c r="F154" s="3">
        <v>268</v>
      </c>
      <c r="G154" s="3">
        <v>224.47033419402999</v>
      </c>
      <c r="H154">
        <f t="shared" si="14"/>
        <v>1067.8482812254679</v>
      </c>
      <c r="I154" s="3">
        <v>1892.5</v>
      </c>
      <c r="J154" s="3">
        <v>0</v>
      </c>
      <c r="K154" s="3">
        <v>340.88337926199802</v>
      </c>
    </row>
    <row r="155" spans="1:11" ht="18" x14ac:dyDescent="0.25">
      <c r="A155" s="3">
        <v>1965.5833333333301</v>
      </c>
      <c r="B155" s="3">
        <f t="shared" si="10"/>
        <v>222.27055702917772</v>
      </c>
      <c r="C155" s="3">
        <f t="shared" si="11"/>
        <v>173.78886465011303</v>
      </c>
      <c r="D155" s="3">
        <f t="shared" si="12"/>
        <v>222.27055702917772</v>
      </c>
      <c r="E155" s="3">
        <f t="shared" si="13"/>
        <v>165.41158957028267</v>
      </c>
      <c r="F155" s="3">
        <v>287</v>
      </c>
      <c r="G155" s="3">
        <v>231.040738803344</v>
      </c>
      <c r="H155">
        <f t="shared" si="14"/>
        <v>2350.4744959382597</v>
      </c>
      <c r="I155" s="3">
        <v>1892.5833333333301</v>
      </c>
      <c r="J155" s="3">
        <v>0</v>
      </c>
      <c r="K155" s="3">
        <v>314.22598789449899</v>
      </c>
    </row>
    <row r="156" spans="1:11" ht="18" x14ac:dyDescent="0.25">
      <c r="A156" s="3">
        <v>1965.6666666666599</v>
      </c>
      <c r="B156" s="3">
        <f t="shared" si="10"/>
        <v>226.27055702917772</v>
      </c>
      <c r="C156" s="3">
        <f t="shared" si="11"/>
        <v>170.25633364501519</v>
      </c>
      <c r="D156" s="3">
        <f t="shared" si="12"/>
        <v>226.27055702917772</v>
      </c>
      <c r="E156" s="3">
        <f t="shared" si="13"/>
        <v>158.1664814535967</v>
      </c>
      <c r="F156" s="3">
        <v>291</v>
      </c>
      <c r="G156" s="3">
        <v>223.795630686658</v>
      </c>
      <c r="H156">
        <f t="shared" si="14"/>
        <v>3137.5932213308611</v>
      </c>
      <c r="I156" s="3">
        <v>1892.6666666666599</v>
      </c>
      <c r="J156" s="3">
        <v>0</v>
      </c>
      <c r="K156" s="3">
        <v>268.05106736894902</v>
      </c>
    </row>
    <row r="157" spans="1:11" ht="18" x14ac:dyDescent="0.25">
      <c r="A157" s="3">
        <v>1965.75</v>
      </c>
      <c r="B157" s="3">
        <f t="shared" si="10"/>
        <v>254.27055702917772</v>
      </c>
      <c r="C157" s="3">
        <f t="shared" si="11"/>
        <v>172.11152397609627</v>
      </c>
      <c r="D157" s="3">
        <f t="shared" si="12"/>
        <v>254.27055702917772</v>
      </c>
      <c r="E157" s="3">
        <f t="shared" si="13"/>
        <v>161.92757586803771</v>
      </c>
      <c r="F157" s="3">
        <v>319</v>
      </c>
      <c r="G157" s="3">
        <v>227.556725101099</v>
      </c>
      <c r="H157">
        <f t="shared" si="14"/>
        <v>6750.1067122173317</v>
      </c>
      <c r="I157" s="3">
        <v>1892.75</v>
      </c>
      <c r="J157" s="3">
        <v>0</v>
      </c>
      <c r="K157" s="3">
        <v>220.70678004048699</v>
      </c>
    </row>
    <row r="158" spans="1:11" ht="18" x14ac:dyDescent="0.25">
      <c r="A158" s="3">
        <v>1965.8333333333301</v>
      </c>
      <c r="B158" s="3">
        <f t="shared" si="10"/>
        <v>256.27055702917772</v>
      </c>
      <c r="C158" s="3">
        <f t="shared" si="11"/>
        <v>181.27524062753338</v>
      </c>
      <c r="D158" s="3">
        <f t="shared" si="12"/>
        <v>256.27055702917772</v>
      </c>
      <c r="E158" s="3">
        <f t="shared" si="13"/>
        <v>182.0061990187707</v>
      </c>
      <c r="F158" s="3">
        <v>321</v>
      </c>
      <c r="G158" s="3">
        <v>247.635348251832</v>
      </c>
      <c r="H158">
        <f t="shared" si="14"/>
        <v>5624.2974821827456</v>
      </c>
      <c r="I158" s="3">
        <v>1892.8333333333301</v>
      </c>
      <c r="J158" s="3">
        <v>0</v>
      </c>
      <c r="K158" s="3">
        <v>174.99900524710699</v>
      </c>
    </row>
    <row r="159" spans="1:11" ht="18" x14ac:dyDescent="0.25">
      <c r="A159" s="3">
        <v>1965.9166666666599</v>
      </c>
      <c r="B159" s="3">
        <f t="shared" si="10"/>
        <v>264.27055702917772</v>
      </c>
      <c r="C159" s="3">
        <f t="shared" si="11"/>
        <v>174.68019540074943</v>
      </c>
      <c r="D159" s="3">
        <f t="shared" si="12"/>
        <v>264.27055702917772</v>
      </c>
      <c r="E159" s="3">
        <f t="shared" si="13"/>
        <v>167.2962325604467</v>
      </c>
      <c r="F159" s="3">
        <v>329</v>
      </c>
      <c r="G159" s="3">
        <v>232.925381793508</v>
      </c>
      <c r="H159">
        <f t="shared" si="14"/>
        <v>8026.4328967125575</v>
      </c>
      <c r="I159" s="3">
        <v>1892.9166666666599</v>
      </c>
      <c r="J159" s="3">
        <v>0</v>
      </c>
      <c r="K159" s="3">
        <v>96.059819361951995</v>
      </c>
    </row>
    <row r="160" spans="1:11" ht="18" x14ac:dyDescent="0.25">
      <c r="A160" s="3">
        <v>1966</v>
      </c>
      <c r="B160" s="3">
        <f t="shared" si="10"/>
        <v>264.27055702917772</v>
      </c>
      <c r="C160" s="3">
        <f t="shared" si="11"/>
        <v>145.30032113439441</v>
      </c>
      <c r="D160" s="3">
        <f t="shared" si="12"/>
        <v>264.27055702917772</v>
      </c>
      <c r="E160" s="3">
        <f t="shared" si="13"/>
        <v>115.44124164738268</v>
      </c>
      <c r="F160" s="3">
        <v>329</v>
      </c>
      <c r="G160" s="3">
        <v>181.07039088044399</v>
      </c>
      <c r="H160">
        <f t="shared" si="14"/>
        <v>14153.917028860389</v>
      </c>
      <c r="I160" s="3">
        <v>1893</v>
      </c>
      <c r="J160" s="3">
        <v>0</v>
      </c>
      <c r="K160" s="3">
        <v>5.2526323520284697</v>
      </c>
    </row>
    <row r="161" spans="1:11" ht="18" x14ac:dyDescent="0.25">
      <c r="A161" s="3">
        <v>1966.0833333333301</v>
      </c>
      <c r="B161" s="3">
        <f t="shared" si="10"/>
        <v>237.27055702917772</v>
      </c>
      <c r="C161" s="3">
        <f t="shared" si="11"/>
        <v>98.967776996008638</v>
      </c>
      <c r="D161" s="3">
        <f t="shared" si="12"/>
        <v>237.27055702917772</v>
      </c>
      <c r="E161" s="3">
        <f t="shared" si="13"/>
        <v>61.973192428961681</v>
      </c>
      <c r="F161" s="3">
        <v>302</v>
      </c>
      <c r="G161" s="3">
        <v>127.60234166202299</v>
      </c>
      <c r="H161">
        <f t="shared" si="14"/>
        <v>19127.658964903152</v>
      </c>
      <c r="I161" s="3">
        <v>1893.0833333333301</v>
      </c>
      <c r="J161" s="3">
        <v>0</v>
      </c>
      <c r="K161" s="3">
        <v>-58.846246390428</v>
      </c>
    </row>
    <row r="162" spans="1:11" ht="18" x14ac:dyDescent="0.25">
      <c r="A162" s="3">
        <v>1966.1666666666599</v>
      </c>
      <c r="B162" s="3">
        <f t="shared" si="10"/>
        <v>142.27055702917772</v>
      </c>
      <c r="C162" s="3">
        <f t="shared" si="11"/>
        <v>3.2826501411374003</v>
      </c>
      <c r="D162" s="3">
        <f t="shared" si="12"/>
        <v>142.27055702917772</v>
      </c>
      <c r="E162" s="3">
        <f t="shared" si="13"/>
        <v>1.4299860587620827</v>
      </c>
      <c r="F162" s="3">
        <v>207</v>
      </c>
      <c r="G162" s="3">
        <v>67.059135291823395</v>
      </c>
      <c r="H162">
        <f t="shared" si="14"/>
        <v>19317.638261118569</v>
      </c>
      <c r="I162" s="3">
        <v>1893.1666666666599</v>
      </c>
      <c r="J162" s="3">
        <v>0</v>
      </c>
      <c r="K162" s="3">
        <v>-110.897042690463</v>
      </c>
    </row>
    <row r="163" spans="1:11" ht="18" x14ac:dyDescent="0.25">
      <c r="A163" s="3">
        <v>1966.25</v>
      </c>
      <c r="B163" s="3">
        <f t="shared" si="10"/>
        <v>5.2705570291777235</v>
      </c>
      <c r="C163" s="3">
        <f t="shared" si="11"/>
        <v>-89.808980554492962</v>
      </c>
      <c r="D163" s="3">
        <f t="shared" si="12"/>
        <v>5.2705570291777235</v>
      </c>
      <c r="E163" s="3">
        <f t="shared" si="13"/>
        <v>-53.977674746199412</v>
      </c>
      <c r="F163" s="3">
        <v>70</v>
      </c>
      <c r="G163" s="3">
        <v>11.6514744868619</v>
      </c>
      <c r="H163">
        <f t="shared" si="14"/>
        <v>9040.1184671246465</v>
      </c>
      <c r="I163" s="3">
        <v>1893.25</v>
      </c>
      <c r="J163" s="3">
        <v>0</v>
      </c>
      <c r="K163" s="3">
        <v>-144.71370835282599</v>
      </c>
    </row>
    <row r="164" spans="1:11" ht="18" x14ac:dyDescent="0.25">
      <c r="A164" s="3">
        <v>1966.3333333333301</v>
      </c>
      <c r="B164" s="3">
        <f t="shared" si="10"/>
        <v>-121.72944297082228</v>
      </c>
      <c r="C164" s="3">
        <f t="shared" si="11"/>
        <v>-120.85929318902944</v>
      </c>
      <c r="D164" s="3">
        <f t="shared" si="12"/>
        <v>-121.72944297082228</v>
      </c>
      <c r="E164" s="3">
        <f t="shared" si="13"/>
        <v>-84.099087676894015</v>
      </c>
      <c r="F164" s="3">
        <v>-57</v>
      </c>
      <c r="G164" s="3">
        <v>-18.469938443832699</v>
      </c>
      <c r="H164">
        <f t="shared" si="14"/>
        <v>0.75716064275411443</v>
      </c>
      <c r="I164" s="3">
        <v>1893.3333333333301</v>
      </c>
      <c r="J164" s="3">
        <v>0</v>
      </c>
      <c r="K164" s="3">
        <v>-147.621088798817</v>
      </c>
    </row>
    <row r="165" spans="1:11" ht="18" x14ac:dyDescent="0.25">
      <c r="A165" s="3">
        <v>1966.4166666666599</v>
      </c>
      <c r="B165" s="3">
        <f t="shared" si="10"/>
        <v>-200.72944297082228</v>
      </c>
      <c r="C165" s="3">
        <f t="shared" si="11"/>
        <v>-133.53001591275714</v>
      </c>
      <c r="D165" s="3">
        <f t="shared" si="12"/>
        <v>-200.72944297082228</v>
      </c>
      <c r="E165" s="3">
        <f t="shared" si="13"/>
        <v>-99.308972777989609</v>
      </c>
      <c r="F165" s="3">
        <v>-136</v>
      </c>
      <c r="G165" s="3">
        <v>-33.679823544928297</v>
      </c>
      <c r="H165">
        <f t="shared" si="14"/>
        <v>4515.762996932217</v>
      </c>
      <c r="I165" s="3">
        <v>1893.4166666666599</v>
      </c>
      <c r="J165" s="3">
        <v>0</v>
      </c>
      <c r="K165" s="3">
        <v>-139.135926703205</v>
      </c>
    </row>
    <row r="166" spans="1:11" ht="18" x14ac:dyDescent="0.25">
      <c r="A166" s="3">
        <v>1966.5</v>
      </c>
      <c r="B166" s="3">
        <f t="shared" si="10"/>
        <v>-212.72944297082228</v>
      </c>
      <c r="C166" s="3">
        <f t="shared" si="11"/>
        <v>-125.20460261809218</v>
      </c>
      <c r="D166" s="3">
        <f t="shared" si="12"/>
        <v>-212.72944297082228</v>
      </c>
      <c r="E166" s="3">
        <f t="shared" si="13"/>
        <v>-89.089566494915516</v>
      </c>
      <c r="F166" s="3">
        <v>-148</v>
      </c>
      <c r="G166" s="3">
        <v>-23.4604172618542</v>
      </c>
      <c r="H166">
        <f t="shared" si="14"/>
        <v>7660.5976787708905</v>
      </c>
      <c r="I166" s="3">
        <v>1893.5</v>
      </c>
      <c r="J166" s="3">
        <v>0</v>
      </c>
      <c r="K166" s="3">
        <v>-122.520380031757</v>
      </c>
    </row>
    <row r="167" spans="1:11" ht="18" x14ac:dyDescent="0.25">
      <c r="A167" s="3">
        <v>1966.5833333333301</v>
      </c>
      <c r="B167" s="3">
        <f t="shared" si="10"/>
        <v>-217.72944297082228</v>
      </c>
      <c r="C167" s="3">
        <f t="shared" si="11"/>
        <v>-100.67902153599712</v>
      </c>
      <c r="D167" s="3">
        <f t="shared" si="12"/>
        <v>-217.72944297082228</v>
      </c>
      <c r="E167" s="3">
        <f t="shared" si="13"/>
        <v>-63.541918774761982</v>
      </c>
      <c r="F167" s="3">
        <v>-153</v>
      </c>
      <c r="G167" s="3">
        <v>2.08723045829933</v>
      </c>
      <c r="H167">
        <f t="shared" si="14"/>
        <v>13700.801158070175</v>
      </c>
      <c r="I167" s="3">
        <v>1893.5833333333301</v>
      </c>
      <c r="J167" s="3">
        <v>0</v>
      </c>
      <c r="K167" s="3">
        <v>-116.952142631073</v>
      </c>
    </row>
    <row r="168" spans="1:11" ht="18" x14ac:dyDescent="0.25">
      <c r="A168" s="3">
        <v>1966.6666666666599</v>
      </c>
      <c r="B168" s="3">
        <f t="shared" si="10"/>
        <v>-217.72944297082228</v>
      </c>
      <c r="C168" s="3">
        <f t="shared" si="11"/>
        <v>-103.23379712179452</v>
      </c>
      <c r="D168" s="3">
        <f t="shared" si="12"/>
        <v>-217.72944297082228</v>
      </c>
      <c r="E168" s="3">
        <f t="shared" si="13"/>
        <v>-65.930512966141251</v>
      </c>
      <c r="F168" s="3">
        <v>-153</v>
      </c>
      <c r="G168" s="3">
        <v>-0.30136373307993802</v>
      </c>
      <c r="H168">
        <f t="shared" si="14"/>
        <v>13109.252918385986</v>
      </c>
      <c r="I168" s="3">
        <v>1893.6666666666599</v>
      </c>
      <c r="J168" s="3">
        <v>0</v>
      </c>
      <c r="K168" s="3">
        <v>-142.43055552051001</v>
      </c>
    </row>
    <row r="169" spans="1:11" ht="18" x14ac:dyDescent="0.25">
      <c r="A169" s="3">
        <v>1966.75</v>
      </c>
      <c r="B169" s="3">
        <f t="shared" si="10"/>
        <v>-224.72944297082228</v>
      </c>
      <c r="C169" s="3">
        <f t="shared" si="11"/>
        <v>-125.91930556568342</v>
      </c>
      <c r="D169" s="3">
        <f t="shared" si="12"/>
        <v>-224.72944297082228</v>
      </c>
      <c r="E169" s="3">
        <f t="shared" si="13"/>
        <v>-89.932043369718016</v>
      </c>
      <c r="F169" s="3">
        <v>-160</v>
      </c>
      <c r="G169" s="3">
        <v>-24.3028941366567</v>
      </c>
      <c r="H169">
        <f t="shared" si="14"/>
        <v>9763.4432540224225</v>
      </c>
      <c r="I169" s="3">
        <v>1893.75</v>
      </c>
      <c r="J169" s="3">
        <v>0</v>
      </c>
      <c r="K169" s="3">
        <v>-151.640896967858</v>
      </c>
    </row>
    <row r="170" spans="1:11" ht="18" x14ac:dyDescent="0.25">
      <c r="A170" s="3">
        <v>1966.8333333333301</v>
      </c>
      <c r="B170" s="3">
        <f t="shared" si="10"/>
        <v>-224.72944297082228</v>
      </c>
      <c r="C170" s="3">
        <f t="shared" si="11"/>
        <v>-150.12707687976695</v>
      </c>
      <c r="D170" s="3">
        <f t="shared" si="12"/>
        <v>-224.72944297082228</v>
      </c>
      <c r="E170" s="3">
        <f t="shared" si="13"/>
        <v>-122.71203123128652</v>
      </c>
      <c r="F170" s="3">
        <v>-160</v>
      </c>
      <c r="G170" s="3">
        <v>-57.082881998225197</v>
      </c>
      <c r="H170">
        <f t="shared" si="14"/>
        <v>5565.5130263838419</v>
      </c>
      <c r="I170" s="3">
        <v>1893.8333333333301</v>
      </c>
      <c r="J170" s="3">
        <v>0</v>
      </c>
      <c r="K170" s="3">
        <v>-117.17100819420899</v>
      </c>
    </row>
    <row r="171" spans="1:11" ht="18" x14ac:dyDescent="0.25">
      <c r="A171" s="3">
        <v>1966.9166666666599</v>
      </c>
      <c r="B171" s="3">
        <f t="shared" si="10"/>
        <v>-212.72944297082228</v>
      </c>
      <c r="C171" s="3">
        <f t="shared" si="11"/>
        <v>-173.69138764529308</v>
      </c>
      <c r="D171" s="3">
        <f t="shared" si="12"/>
        <v>-212.72944297082228</v>
      </c>
      <c r="E171" s="3">
        <f t="shared" si="13"/>
        <v>-165.20689808370253</v>
      </c>
      <c r="F171" s="3">
        <v>-148</v>
      </c>
      <c r="G171" s="3">
        <v>-99.5777488506412</v>
      </c>
      <c r="H171">
        <f t="shared" si="14"/>
        <v>1523.9697635990788</v>
      </c>
      <c r="I171" s="3">
        <v>1893.9166666666599</v>
      </c>
      <c r="J171" s="3">
        <v>0</v>
      </c>
      <c r="K171" s="3">
        <v>-62.494712562826301</v>
      </c>
    </row>
    <row r="172" spans="1:11" ht="18" x14ac:dyDescent="0.25">
      <c r="A172" s="3">
        <v>1967</v>
      </c>
      <c r="B172" s="3">
        <f t="shared" si="10"/>
        <v>-212.72944297082228</v>
      </c>
      <c r="C172" s="3">
        <f t="shared" si="11"/>
        <v>-181.52247320372169</v>
      </c>
      <c r="D172" s="3">
        <f t="shared" si="12"/>
        <v>-212.72944297082228</v>
      </c>
      <c r="E172" s="3">
        <f t="shared" si="13"/>
        <v>-182.58535112169432</v>
      </c>
      <c r="F172" s="3">
        <v>-148</v>
      </c>
      <c r="G172" s="3">
        <v>-116.956201888633</v>
      </c>
      <c r="H172">
        <f t="shared" si="14"/>
        <v>973.87496204473018</v>
      </c>
      <c r="I172" s="3">
        <v>1894</v>
      </c>
      <c r="J172" s="3">
        <v>0</v>
      </c>
      <c r="K172" s="3">
        <v>4.9113068801080599</v>
      </c>
    </row>
    <row r="173" spans="1:11" ht="18" x14ac:dyDescent="0.25">
      <c r="A173" s="3">
        <v>1967.0833333333301</v>
      </c>
      <c r="B173" s="3">
        <f t="shared" si="10"/>
        <v>-212.72944297082228</v>
      </c>
      <c r="C173" s="3">
        <f t="shared" si="11"/>
        <v>-177.93981302016411</v>
      </c>
      <c r="D173" s="3">
        <f t="shared" si="12"/>
        <v>-212.72944297082228</v>
      </c>
      <c r="E173" s="3">
        <f t="shared" si="13"/>
        <v>-174.39313995981232</v>
      </c>
      <c r="F173" s="3">
        <v>-148</v>
      </c>
      <c r="G173" s="3">
        <v>-108.763990726751</v>
      </c>
      <c r="H173">
        <f t="shared" si="14"/>
        <v>1210.3183521037317</v>
      </c>
      <c r="I173" s="3">
        <v>1894.0833333333301</v>
      </c>
      <c r="J173" s="3">
        <v>0</v>
      </c>
      <c r="K173" s="3">
        <v>58.4413728919275</v>
      </c>
    </row>
    <row r="174" spans="1:11" ht="18" x14ac:dyDescent="0.25">
      <c r="A174" s="3">
        <v>1967.1666666666599</v>
      </c>
      <c r="B174" s="3">
        <f t="shared" si="10"/>
        <v>-209.72944297082228</v>
      </c>
      <c r="C174" s="3">
        <f t="shared" si="11"/>
        <v>-175.46220804596737</v>
      </c>
      <c r="D174" s="3">
        <f t="shared" si="12"/>
        <v>-209.72944297082228</v>
      </c>
      <c r="E174" s="3">
        <f t="shared" si="13"/>
        <v>-168.96918622445432</v>
      </c>
      <c r="F174" s="3">
        <v>-145</v>
      </c>
      <c r="G174" s="3">
        <v>-103.34003699139301</v>
      </c>
      <c r="H174">
        <f t="shared" si="14"/>
        <v>1174.2433893951957</v>
      </c>
      <c r="I174" s="3">
        <v>1894.1666666666599</v>
      </c>
      <c r="J174" s="3">
        <v>0</v>
      </c>
      <c r="K174" s="3">
        <v>81.9935034263993</v>
      </c>
    </row>
    <row r="175" spans="1:11" ht="18" x14ac:dyDescent="0.25">
      <c r="A175" s="3">
        <v>1967.25</v>
      </c>
      <c r="B175" s="3">
        <f t="shared" si="10"/>
        <v>-169.72944297082228</v>
      </c>
      <c r="C175" s="3">
        <f t="shared" si="11"/>
        <v>-162.05270078021678</v>
      </c>
      <c r="D175" s="3">
        <f t="shared" si="12"/>
        <v>-169.72944297082228</v>
      </c>
      <c r="E175" s="3">
        <f t="shared" si="13"/>
        <v>-142.60988869097923</v>
      </c>
      <c r="F175" s="3">
        <v>-105</v>
      </c>
      <c r="G175" s="3">
        <v>-76.980739457917906</v>
      </c>
      <c r="H175">
        <f t="shared" si="14"/>
        <v>58.932370661022453</v>
      </c>
      <c r="I175" s="3">
        <v>1894.25</v>
      </c>
      <c r="J175" s="3">
        <v>0</v>
      </c>
      <c r="K175" s="3">
        <v>121.422011187424</v>
      </c>
    </row>
    <row r="176" spans="1:11" ht="18" x14ac:dyDescent="0.25">
      <c r="A176" s="3">
        <v>1967.3333333333301</v>
      </c>
      <c r="B176" s="3">
        <f t="shared" si="10"/>
        <v>-165.72944297082228</v>
      </c>
      <c r="C176" s="3">
        <f t="shared" si="11"/>
        <v>-121.2837446792433</v>
      </c>
      <c r="D176" s="3">
        <f t="shared" si="12"/>
        <v>-165.72944297082228</v>
      </c>
      <c r="E176" s="3">
        <f t="shared" si="13"/>
        <v>-84.576827907669113</v>
      </c>
      <c r="F176" s="3">
        <v>-101</v>
      </c>
      <c r="G176" s="3">
        <v>-18.947678674607801</v>
      </c>
      <c r="H176">
        <f t="shared" si="14"/>
        <v>1975.4200966260664</v>
      </c>
      <c r="I176" s="3">
        <v>1894.3333333333301</v>
      </c>
      <c r="J176" s="3">
        <v>0</v>
      </c>
      <c r="K176" s="3">
        <v>189.71139584963601</v>
      </c>
    </row>
    <row r="177" spans="1:11" ht="18" x14ac:dyDescent="0.25">
      <c r="A177" s="3">
        <v>1967.4166666666599</v>
      </c>
      <c r="B177" s="3">
        <f t="shared" si="10"/>
        <v>-117.72944297082228</v>
      </c>
      <c r="C177" s="3">
        <f t="shared" si="11"/>
        <v>-36.757575226290314</v>
      </c>
      <c r="D177" s="3">
        <f t="shared" si="12"/>
        <v>-117.72944297082228</v>
      </c>
      <c r="E177" s="3">
        <f t="shared" si="13"/>
        <v>-17.920318234586709</v>
      </c>
      <c r="F177" s="3">
        <v>-53</v>
      </c>
      <c r="G177" s="3">
        <v>47.708830998474603</v>
      </c>
      <c r="H177">
        <f t="shared" si="14"/>
        <v>6556.4433660379755</v>
      </c>
      <c r="I177" s="3">
        <v>1894.4166666666599</v>
      </c>
      <c r="J177" s="3">
        <v>0</v>
      </c>
      <c r="K177" s="3">
        <v>257.66762518345797</v>
      </c>
    </row>
    <row r="178" spans="1:11" ht="18" x14ac:dyDescent="0.25">
      <c r="A178" s="3">
        <v>1967.5</v>
      </c>
      <c r="B178" s="3">
        <f t="shared" si="10"/>
        <v>-4.7294429708222765</v>
      </c>
      <c r="C178" s="3">
        <f t="shared" si="11"/>
        <v>75.656246328853229</v>
      </c>
      <c r="D178" s="3">
        <f t="shared" si="12"/>
        <v>-4.7294429708222765</v>
      </c>
      <c r="E178" s="3">
        <f t="shared" si="13"/>
        <v>42.812525419284682</v>
      </c>
      <c r="F178" s="3">
        <v>60</v>
      </c>
      <c r="G178" s="3">
        <v>108.44167465234599</v>
      </c>
      <c r="H178">
        <f t="shared" si="14"/>
        <v>6461.8590441839651</v>
      </c>
      <c r="I178" s="3">
        <v>1894.5</v>
      </c>
      <c r="J178" s="3">
        <v>0</v>
      </c>
      <c r="K178" s="3">
        <v>307.88670126764703</v>
      </c>
    </row>
    <row r="179" spans="1:11" ht="18" x14ac:dyDescent="0.25">
      <c r="A179" s="3">
        <v>1967.5833333333301</v>
      </c>
      <c r="B179" s="3">
        <f t="shared" si="10"/>
        <v>85.270557029177724</v>
      </c>
      <c r="C179" s="3">
        <f t="shared" si="11"/>
        <v>102.48087027504144</v>
      </c>
      <c r="D179" s="3">
        <f t="shared" si="12"/>
        <v>85.270557029177724</v>
      </c>
      <c r="E179" s="3">
        <f t="shared" si="13"/>
        <v>65.220668017130677</v>
      </c>
      <c r="F179" s="3">
        <v>150</v>
      </c>
      <c r="G179" s="3">
        <v>130.84981725019199</v>
      </c>
      <c r="H179">
        <f t="shared" si="14"/>
        <v>296.19488202075206</v>
      </c>
      <c r="I179" s="3">
        <v>1894.5833333333301</v>
      </c>
      <c r="J179" s="3">
        <v>0</v>
      </c>
      <c r="K179" s="3">
        <v>313.44918990714399</v>
      </c>
    </row>
    <row r="180" spans="1:11" ht="18" x14ac:dyDescent="0.25">
      <c r="A180" s="3">
        <v>1967.6666666666599</v>
      </c>
      <c r="B180" s="3">
        <f t="shared" si="10"/>
        <v>100.27055702917772</v>
      </c>
      <c r="C180" s="3">
        <f t="shared" si="11"/>
        <v>91.322938339267992</v>
      </c>
      <c r="D180" s="3">
        <f t="shared" si="12"/>
        <v>100.27055702917772</v>
      </c>
      <c r="E180" s="3">
        <f t="shared" si="13"/>
        <v>55.254705287216694</v>
      </c>
      <c r="F180" s="3">
        <v>165</v>
      </c>
      <c r="G180" s="3">
        <v>120.88385452027801</v>
      </c>
      <c r="H180">
        <f t="shared" si="14"/>
        <v>80.059880220021938</v>
      </c>
      <c r="I180" s="3">
        <v>1894.6666666666599</v>
      </c>
      <c r="J180" s="3">
        <v>0</v>
      </c>
      <c r="K180" s="3">
        <v>289.725378898212</v>
      </c>
    </row>
    <row r="181" spans="1:11" ht="18" x14ac:dyDescent="0.25">
      <c r="A181" s="3">
        <v>1967.75</v>
      </c>
      <c r="B181" s="3">
        <f t="shared" si="10"/>
        <v>94.270557029177724</v>
      </c>
      <c r="C181" s="3">
        <f t="shared" si="11"/>
        <v>107.99100945595313</v>
      </c>
      <c r="D181" s="3">
        <f t="shared" si="12"/>
        <v>94.270557029177724</v>
      </c>
      <c r="E181" s="3">
        <f t="shared" si="13"/>
        <v>70.533374078419698</v>
      </c>
      <c r="F181" s="3">
        <v>159</v>
      </c>
      <c r="G181" s="3">
        <v>136.16252331148101</v>
      </c>
      <c r="H181">
        <f t="shared" si="14"/>
        <v>188.25081479540722</v>
      </c>
      <c r="I181" s="3">
        <v>1894.75</v>
      </c>
      <c r="J181" s="3">
        <v>0</v>
      </c>
      <c r="K181" s="3">
        <v>286.742888449443</v>
      </c>
    </row>
    <row r="182" spans="1:11" ht="18" x14ac:dyDescent="0.25">
      <c r="A182" s="3">
        <v>1967.8333333333301</v>
      </c>
      <c r="B182" s="3">
        <f t="shared" si="10"/>
        <v>101.27055702917772</v>
      </c>
      <c r="C182" s="3">
        <f t="shared" si="11"/>
        <v>137.64444188677527</v>
      </c>
      <c r="D182" s="3">
        <f t="shared" si="12"/>
        <v>101.27055702917772</v>
      </c>
      <c r="E182" s="3">
        <f t="shared" si="13"/>
        <v>104.70837007374969</v>
      </c>
      <c r="F182" s="3">
        <v>166</v>
      </c>
      <c r="G182" s="3">
        <v>170.337519306811</v>
      </c>
      <c r="H182">
        <f t="shared" si="14"/>
        <v>1323.0594996337641</v>
      </c>
      <c r="I182" s="3">
        <v>1894.8333333333301</v>
      </c>
      <c r="J182" s="3">
        <v>0</v>
      </c>
      <c r="K182" s="3">
        <v>282.01246152128903</v>
      </c>
    </row>
    <row r="183" spans="1:11" ht="18" x14ac:dyDescent="0.25">
      <c r="A183" s="3">
        <v>1967.9166666666599</v>
      </c>
      <c r="B183" s="3">
        <f t="shared" si="10"/>
        <v>132.27055702917772</v>
      </c>
      <c r="C183" s="3">
        <f t="shared" si="11"/>
        <v>150.94615032203416</v>
      </c>
      <c r="D183" s="3">
        <f t="shared" si="12"/>
        <v>132.27055702917772</v>
      </c>
      <c r="E183" s="3">
        <f t="shared" si="13"/>
        <v>123.98762082830369</v>
      </c>
      <c r="F183" s="3">
        <v>197</v>
      </c>
      <c r="G183" s="3">
        <v>189.616770061365</v>
      </c>
      <c r="H183">
        <f t="shared" si="14"/>
        <v>348.77778484018421</v>
      </c>
      <c r="I183" s="3">
        <v>1894.9166666666599</v>
      </c>
      <c r="J183" s="3">
        <v>0</v>
      </c>
      <c r="K183" s="3">
        <v>242.411242042954</v>
      </c>
    </row>
    <row r="184" spans="1:11" ht="18" x14ac:dyDescent="0.25">
      <c r="A184" s="3">
        <v>1968</v>
      </c>
      <c r="B184" s="3">
        <f t="shared" si="10"/>
        <v>132.27055702917772</v>
      </c>
      <c r="C184" s="3">
        <f t="shared" si="11"/>
        <v>157.99646254652183</v>
      </c>
      <c r="D184" s="3">
        <f t="shared" si="12"/>
        <v>132.27055702917772</v>
      </c>
      <c r="E184" s="3">
        <f t="shared" si="13"/>
        <v>135.5085553935287</v>
      </c>
      <c r="F184" s="3">
        <v>197</v>
      </c>
      <c r="G184" s="3">
        <v>201.13770462658999</v>
      </c>
      <c r="H184">
        <f t="shared" si="14"/>
        <v>661.82221468731575</v>
      </c>
      <c r="I184" s="3">
        <v>1895</v>
      </c>
      <c r="J184" s="3">
        <v>0</v>
      </c>
      <c r="K184" s="3">
        <v>184.840165407565</v>
      </c>
    </row>
    <row r="185" spans="1:11" ht="18" x14ac:dyDescent="0.25">
      <c r="A185" s="3">
        <v>1968.0833333333301</v>
      </c>
      <c r="B185" s="3">
        <f t="shared" si="10"/>
        <v>143.27055702917772</v>
      </c>
      <c r="C185" s="3">
        <f t="shared" si="11"/>
        <v>158.15226410106951</v>
      </c>
      <c r="D185" s="3">
        <f t="shared" si="12"/>
        <v>143.27055702917772</v>
      </c>
      <c r="E185" s="3">
        <f t="shared" si="13"/>
        <v>135.77465126942769</v>
      </c>
      <c r="F185" s="3">
        <v>208</v>
      </c>
      <c r="G185" s="3">
        <v>201.40380050248899</v>
      </c>
      <c r="H185">
        <f t="shared" si="14"/>
        <v>221.46520537359388</v>
      </c>
      <c r="I185" s="3">
        <v>1895.0833333333301</v>
      </c>
      <c r="J185" s="3">
        <v>0</v>
      </c>
      <c r="K185" s="3">
        <v>112.727643864659</v>
      </c>
    </row>
    <row r="186" spans="1:11" ht="18" x14ac:dyDescent="0.25">
      <c r="A186" s="3">
        <v>1968.1666666666599</v>
      </c>
      <c r="B186" s="3">
        <f t="shared" si="10"/>
        <v>143.27055702917772</v>
      </c>
      <c r="C186" s="3">
        <f t="shared" si="11"/>
        <v>157.74866206997427</v>
      </c>
      <c r="D186" s="3">
        <f t="shared" si="12"/>
        <v>143.27055702917772</v>
      </c>
      <c r="E186" s="3">
        <f t="shared" si="13"/>
        <v>135.08640115003971</v>
      </c>
      <c r="F186" s="3">
        <v>208</v>
      </c>
      <c r="G186" s="3">
        <v>200.715550383101</v>
      </c>
      <c r="H186">
        <f t="shared" si="14"/>
        <v>209.61552557233844</v>
      </c>
      <c r="I186" s="3">
        <v>1895.1666666666599</v>
      </c>
      <c r="J186" s="3">
        <v>0</v>
      </c>
      <c r="K186" s="3">
        <v>39.692267846131799</v>
      </c>
    </row>
    <row r="187" spans="1:11" ht="18" x14ac:dyDescent="0.25">
      <c r="A187" s="3">
        <v>1968.25</v>
      </c>
      <c r="B187" s="3">
        <f t="shared" si="10"/>
        <v>188.27055702917772</v>
      </c>
      <c r="C187" s="3">
        <f t="shared" si="11"/>
        <v>167.97194414418698</v>
      </c>
      <c r="D187" s="3">
        <f t="shared" si="12"/>
        <v>188.27055702917772</v>
      </c>
      <c r="E187" s="3">
        <f t="shared" si="13"/>
        <v>153.6633099279847</v>
      </c>
      <c r="F187" s="3">
        <v>253</v>
      </c>
      <c r="G187" s="3">
        <v>219.292459161046</v>
      </c>
      <c r="H187">
        <f t="shared" si="14"/>
        <v>412.03368505471235</v>
      </c>
      <c r="I187" s="3">
        <v>1895.25</v>
      </c>
      <c r="J187" s="3">
        <v>0</v>
      </c>
      <c r="K187" s="3">
        <v>-13.379515645292701</v>
      </c>
    </row>
    <row r="188" spans="1:11" ht="18" x14ac:dyDescent="0.25">
      <c r="A188" s="3">
        <v>1968.3333333333301</v>
      </c>
      <c r="B188" s="3">
        <f t="shared" si="10"/>
        <v>188.27055702917772</v>
      </c>
      <c r="C188" s="3">
        <f t="shared" si="11"/>
        <v>171.79010600970761</v>
      </c>
      <c r="D188" s="3">
        <f t="shared" si="12"/>
        <v>188.27055702917772</v>
      </c>
      <c r="E188" s="3">
        <f t="shared" si="13"/>
        <v>161.26910319071669</v>
      </c>
      <c r="F188" s="3">
        <v>253</v>
      </c>
      <c r="G188" s="3">
        <v>226.89825242377799</v>
      </c>
      <c r="H188">
        <f t="shared" si="14"/>
        <v>271.60526580515335</v>
      </c>
      <c r="I188" s="3">
        <v>1895.3333333333301</v>
      </c>
      <c r="J188" s="3">
        <v>0</v>
      </c>
      <c r="K188" s="3">
        <v>-62.107941606583999</v>
      </c>
    </row>
    <row r="189" spans="1:11" ht="18" x14ac:dyDescent="0.25">
      <c r="A189" s="3">
        <v>1968.4166666666599</v>
      </c>
      <c r="B189" s="3">
        <f t="shared" si="10"/>
        <v>193.27055702917772</v>
      </c>
      <c r="C189" s="3">
        <f t="shared" si="11"/>
        <v>164.2871535659597</v>
      </c>
      <c r="D189" s="3">
        <f t="shared" si="12"/>
        <v>193.27055702917772</v>
      </c>
      <c r="E189" s="3">
        <f t="shared" si="13"/>
        <v>146.6822107263327</v>
      </c>
      <c r="F189" s="3">
        <v>258</v>
      </c>
      <c r="G189" s="3">
        <v>212.311359959394</v>
      </c>
      <c r="H189">
        <f t="shared" si="14"/>
        <v>840.03767631167864</v>
      </c>
      <c r="I189" s="3">
        <v>1895.4166666666599</v>
      </c>
      <c r="J189" s="3">
        <v>0</v>
      </c>
      <c r="K189" s="3">
        <v>-93.497659912310297</v>
      </c>
    </row>
    <row r="190" spans="1:11" ht="18" x14ac:dyDescent="0.25">
      <c r="A190" s="3">
        <v>1968.5</v>
      </c>
      <c r="B190" s="3">
        <f t="shared" si="10"/>
        <v>200.27055702917772</v>
      </c>
      <c r="C190" s="3">
        <f t="shared" si="11"/>
        <v>154.68181154344828</v>
      </c>
      <c r="D190" s="3">
        <f t="shared" si="12"/>
        <v>200.27055702917772</v>
      </c>
      <c r="E190" s="3">
        <f t="shared" si="13"/>
        <v>129.96794165466969</v>
      </c>
      <c r="F190" s="3">
        <v>265</v>
      </c>
      <c r="G190" s="3">
        <v>195.59709088773101</v>
      </c>
      <c r="H190">
        <f t="shared" si="14"/>
        <v>2078.3337149626173</v>
      </c>
      <c r="I190" s="3">
        <v>1895.5</v>
      </c>
      <c r="J190" s="3">
        <v>0</v>
      </c>
      <c r="K190" s="3">
        <v>-87.757954373564104</v>
      </c>
    </row>
    <row r="191" spans="1:11" ht="18" x14ac:dyDescent="0.25">
      <c r="A191" s="3">
        <v>1968.5833333333301</v>
      </c>
      <c r="B191" s="3">
        <f t="shared" si="10"/>
        <v>243.27055702917772</v>
      </c>
      <c r="C191" s="3">
        <f t="shared" si="11"/>
        <v>135.89957590064463</v>
      </c>
      <c r="D191" s="3">
        <f t="shared" si="12"/>
        <v>243.27055702917772</v>
      </c>
      <c r="E191" s="3">
        <f t="shared" si="13"/>
        <v>102.38871970435669</v>
      </c>
      <c r="F191" s="3">
        <v>308</v>
      </c>
      <c r="G191" s="3">
        <v>168.017868937418</v>
      </c>
      <c r="H191">
        <f t="shared" si="14"/>
        <v>11528.527588503808</v>
      </c>
      <c r="I191" s="3">
        <v>1895.5833333333301</v>
      </c>
      <c r="J191" s="3">
        <v>0</v>
      </c>
      <c r="K191" s="3">
        <v>-77.071450690220104</v>
      </c>
    </row>
    <row r="192" spans="1:11" ht="18" x14ac:dyDescent="0.25">
      <c r="A192" s="3">
        <v>1968.6666666666599</v>
      </c>
      <c r="B192" s="3">
        <f t="shared" si="10"/>
        <v>249.27055702917772</v>
      </c>
      <c r="C192" s="3">
        <f t="shared" si="11"/>
        <v>111.94568675390423</v>
      </c>
      <c r="D192" s="3">
        <f t="shared" si="12"/>
        <v>249.27055702917772</v>
      </c>
      <c r="E192" s="3">
        <f t="shared" si="13"/>
        <v>74.521763840822686</v>
      </c>
      <c r="F192" s="3">
        <v>314</v>
      </c>
      <c r="G192" s="3">
        <v>140.150913073884</v>
      </c>
      <c r="H192">
        <f t="shared" si="14"/>
        <v>18858.119996120695</v>
      </c>
      <c r="I192" s="3">
        <v>1895.6666666666599</v>
      </c>
      <c r="J192" s="3">
        <v>0</v>
      </c>
      <c r="K192" s="3">
        <v>-68.600356709954596</v>
      </c>
    </row>
    <row r="193" spans="1:11" ht="18" x14ac:dyDescent="0.25">
      <c r="A193" s="3">
        <v>1968.75</v>
      </c>
      <c r="B193" s="3">
        <f t="shared" si="10"/>
        <v>248.27055702917772</v>
      </c>
      <c r="C193" s="3">
        <f t="shared" si="11"/>
        <v>87.617150280563237</v>
      </c>
      <c r="D193" s="3">
        <f t="shared" si="12"/>
        <v>248.27055702917772</v>
      </c>
      <c r="E193" s="3">
        <f t="shared" si="13"/>
        <v>52.158635185098689</v>
      </c>
      <c r="F193" s="3">
        <v>313</v>
      </c>
      <c r="G193" s="3">
        <v>117.78778441816</v>
      </c>
      <c r="H193">
        <f t="shared" si="14"/>
        <v>25809.517099935769</v>
      </c>
      <c r="I193" s="3">
        <v>1895.75</v>
      </c>
      <c r="J193" s="3">
        <v>0</v>
      </c>
      <c r="K193" s="3">
        <v>-54.4530424326854</v>
      </c>
    </row>
    <row r="194" spans="1:11" ht="18" x14ac:dyDescent="0.25">
      <c r="A194" s="3">
        <v>1968.8333333333301</v>
      </c>
      <c r="B194" s="3">
        <f t="shared" si="10"/>
        <v>248.27055702917772</v>
      </c>
      <c r="C194" s="3">
        <f t="shared" si="11"/>
        <v>-10.339582561411468</v>
      </c>
      <c r="D194" s="3">
        <f t="shared" si="12"/>
        <v>248.27055702917772</v>
      </c>
      <c r="E194" s="3">
        <f t="shared" si="13"/>
        <v>-4.6075414801996146</v>
      </c>
      <c r="F194" s="3">
        <v>313</v>
      </c>
      <c r="G194" s="3">
        <v>61.021607752861698</v>
      </c>
      <c r="H194">
        <f t="shared" si="14"/>
        <v>66879.204299064033</v>
      </c>
      <c r="I194" s="3">
        <v>1895.8333333333301</v>
      </c>
      <c r="J194" s="3">
        <v>0</v>
      </c>
      <c r="K194" s="3">
        <v>-54.394684610378498</v>
      </c>
    </row>
    <row r="195" spans="1:11" ht="18" x14ac:dyDescent="0.25">
      <c r="A195" s="3">
        <v>1968.9166666666599</v>
      </c>
      <c r="B195" s="3">
        <f t="shared" si="10"/>
        <v>142.27055702917772</v>
      </c>
      <c r="C195" s="3">
        <f t="shared" si="11"/>
        <v>-122.83415125977949</v>
      </c>
      <c r="D195" s="3">
        <f t="shared" si="12"/>
        <v>142.27055702917772</v>
      </c>
      <c r="E195" s="3">
        <f t="shared" si="13"/>
        <v>-86.339570405353413</v>
      </c>
      <c r="F195" s="3">
        <v>207</v>
      </c>
      <c r="G195" s="3">
        <v>-20.710421172292101</v>
      </c>
      <c r="H195">
        <f t="shared" si="14"/>
        <v>70280.506356973114</v>
      </c>
      <c r="I195" s="3">
        <v>1895.9166666666599</v>
      </c>
      <c r="J195" s="3">
        <v>0</v>
      </c>
      <c r="K195" s="3">
        <v>-51.154754307827503</v>
      </c>
    </row>
    <row r="196" spans="1:11" ht="18" x14ac:dyDescent="0.25">
      <c r="A196" s="3">
        <v>1969</v>
      </c>
      <c r="B196" s="3">
        <f t="shared" si="10"/>
        <v>73.270557029177724</v>
      </c>
      <c r="C196" s="3">
        <f t="shared" si="11"/>
        <v>-167.32600153440762</v>
      </c>
      <c r="D196" s="3">
        <f t="shared" si="12"/>
        <v>73.270557029177724</v>
      </c>
      <c r="E196" s="3">
        <f t="shared" si="13"/>
        <v>-152.4147920200071</v>
      </c>
      <c r="F196" s="3">
        <v>138</v>
      </c>
      <c r="G196" s="3">
        <v>-86.7856427869458</v>
      </c>
      <c r="H196">
        <f t="shared" si="14"/>
        <v>57886.703992640752</v>
      </c>
      <c r="I196" s="3">
        <v>1896</v>
      </c>
      <c r="J196" s="3">
        <v>0</v>
      </c>
      <c r="K196" s="3">
        <v>-31.2690689737517</v>
      </c>
    </row>
    <row r="197" spans="1:11" ht="18" x14ac:dyDescent="0.25">
      <c r="A197" s="3">
        <v>1969.0833333333301</v>
      </c>
      <c r="B197" s="3">
        <f t="shared" si="10"/>
        <v>-68.729442970822276</v>
      </c>
      <c r="C197" s="3">
        <f t="shared" si="11"/>
        <v>-189.80071176284949</v>
      </c>
      <c r="D197" s="3">
        <f t="shared" si="12"/>
        <v>-68.729442970822276</v>
      </c>
      <c r="E197" s="3">
        <f t="shared" si="13"/>
        <v>-203.27023799750532</v>
      </c>
      <c r="F197" s="3">
        <v>-4</v>
      </c>
      <c r="G197" s="3">
        <v>-137.64108876444399</v>
      </c>
      <c r="H197">
        <f t="shared" si="14"/>
        <v>14658.252126911302</v>
      </c>
      <c r="I197" s="3">
        <v>1896.0833333333301</v>
      </c>
      <c r="J197" s="3">
        <v>0</v>
      </c>
      <c r="K197" s="3">
        <v>-24.836426247700501</v>
      </c>
    </row>
    <row r="198" spans="1:11" ht="18" x14ac:dyDescent="0.25">
      <c r="A198" s="3">
        <v>1969.1666666666599</v>
      </c>
      <c r="B198" s="3">
        <f t="shared" ref="B198:B261" si="15">+$D198</f>
        <v>-125.72944297082228</v>
      </c>
      <c r="C198" s="3">
        <f t="shared" ref="C198:C261" si="16">$B$1*$E198/(1+$B$3*ABS($E198)^$B$2)</f>
        <v>-199.5736178070371</v>
      </c>
      <c r="D198" s="3">
        <f t="shared" ref="D198:D261" si="17">+F198-$F$3</f>
        <v>-125.72944297082228</v>
      </c>
      <c r="E198" s="3">
        <f t="shared" ref="E198:E261" si="18">+$G198-$G$3</f>
        <v>-231.42195094071332</v>
      </c>
      <c r="F198" s="3">
        <v>-61</v>
      </c>
      <c r="G198" s="3">
        <v>-165.79280170765199</v>
      </c>
      <c r="H198">
        <f t="shared" ref="H198:H261" si="19">+(B198-C198)^2</f>
        <v>5452.9621572414617</v>
      </c>
      <c r="I198" s="3">
        <v>1896.1666666666599</v>
      </c>
      <c r="J198" s="3">
        <v>0</v>
      </c>
      <c r="K198" s="3">
        <v>-25.477033955359101</v>
      </c>
    </row>
    <row r="199" spans="1:11" ht="18" x14ac:dyDescent="0.25">
      <c r="A199" s="3">
        <v>1969.25</v>
      </c>
      <c r="B199" s="3">
        <f t="shared" si="15"/>
        <v>-168.72944297082228</v>
      </c>
      <c r="C199" s="3">
        <f t="shared" si="16"/>
        <v>-200.9044987202023</v>
      </c>
      <c r="D199" s="3">
        <f t="shared" si="17"/>
        <v>-168.72944297082228</v>
      </c>
      <c r="E199" s="3">
        <f t="shared" si="18"/>
        <v>-235.62019014683733</v>
      </c>
      <c r="F199" s="3">
        <v>-104</v>
      </c>
      <c r="G199" s="3">
        <v>-169.991040913776</v>
      </c>
      <c r="H199">
        <f t="shared" si="19"/>
        <v>1035.2342124757124</v>
      </c>
      <c r="I199" s="3">
        <v>1896.25</v>
      </c>
      <c r="J199" s="3">
        <v>0</v>
      </c>
      <c r="K199" s="3">
        <v>-12.1202160108173</v>
      </c>
    </row>
    <row r="200" spans="1:11" ht="18" x14ac:dyDescent="0.25">
      <c r="A200" s="3">
        <v>1969.3333333333301</v>
      </c>
      <c r="B200" s="3">
        <f t="shared" si="15"/>
        <v>-215.72944297082228</v>
      </c>
      <c r="C200" s="3">
        <f t="shared" si="16"/>
        <v>-199.33080462402623</v>
      </c>
      <c r="D200" s="3">
        <f t="shared" si="17"/>
        <v>-215.72944297082228</v>
      </c>
      <c r="E200" s="3">
        <f t="shared" si="18"/>
        <v>-230.66618569039133</v>
      </c>
      <c r="F200" s="3">
        <v>-151</v>
      </c>
      <c r="G200" s="3">
        <v>-165.03703645733</v>
      </c>
      <c r="H200">
        <f t="shared" si="19"/>
        <v>268.91533962900979</v>
      </c>
      <c r="I200" s="3">
        <v>1896.3333333333301</v>
      </c>
      <c r="J200" s="3">
        <v>0</v>
      </c>
      <c r="K200" s="3">
        <v>22.5065285363398</v>
      </c>
    </row>
    <row r="201" spans="1:11" ht="18" x14ac:dyDescent="0.25">
      <c r="A201" s="3">
        <v>1969.4166666666599</v>
      </c>
      <c r="B201" s="3">
        <f t="shared" si="15"/>
        <v>-215.72944297082228</v>
      </c>
      <c r="C201" s="3">
        <f t="shared" si="16"/>
        <v>-187.3853515636132</v>
      </c>
      <c r="D201" s="3">
        <f t="shared" si="17"/>
        <v>-215.72944297082228</v>
      </c>
      <c r="E201" s="3">
        <f t="shared" si="18"/>
        <v>-196.96340272489431</v>
      </c>
      <c r="F201" s="3">
        <v>-151</v>
      </c>
      <c r="G201" s="3">
        <v>-131.33425349183301</v>
      </c>
      <c r="H201">
        <f t="shared" si="19"/>
        <v>803.3875177002235</v>
      </c>
      <c r="I201" s="3">
        <v>1896.4166666666599</v>
      </c>
      <c r="J201" s="3">
        <v>0</v>
      </c>
      <c r="K201" s="3">
        <v>97.702613911342098</v>
      </c>
    </row>
    <row r="202" spans="1:11" ht="18" x14ac:dyDescent="0.25">
      <c r="A202" s="3">
        <v>1969.5</v>
      </c>
      <c r="B202" s="3">
        <f t="shared" si="15"/>
        <v>-215.72944297082228</v>
      </c>
      <c r="C202" s="3">
        <f t="shared" si="16"/>
        <v>-164.46016843743115</v>
      </c>
      <c r="D202" s="3">
        <f t="shared" si="17"/>
        <v>-215.72944297082228</v>
      </c>
      <c r="E202" s="3">
        <f t="shared" si="18"/>
        <v>-147.00248713554711</v>
      </c>
      <c r="F202" s="3">
        <v>-151</v>
      </c>
      <c r="G202" s="3">
        <v>-81.373337902485801</v>
      </c>
      <c r="H202">
        <f t="shared" si="19"/>
        <v>2628.5385111802279</v>
      </c>
      <c r="I202" s="3">
        <v>1896.5</v>
      </c>
      <c r="J202" s="3">
        <v>0</v>
      </c>
      <c r="K202" s="3">
        <v>177.79301775079401</v>
      </c>
    </row>
    <row r="203" spans="1:11" ht="18" x14ac:dyDescent="0.25">
      <c r="A203" s="3">
        <v>1969.5833333333301</v>
      </c>
      <c r="B203" s="3">
        <f t="shared" si="15"/>
        <v>-204.72944297082228</v>
      </c>
      <c r="C203" s="3">
        <f t="shared" si="16"/>
        <v>-150.54778220106755</v>
      </c>
      <c r="D203" s="3">
        <f t="shared" si="17"/>
        <v>-204.72944297082228</v>
      </c>
      <c r="E203" s="3">
        <f t="shared" si="18"/>
        <v>-123.36565789666611</v>
      </c>
      <c r="F203" s="3">
        <v>-140</v>
      </c>
      <c r="G203" s="3">
        <v>-57.736508663604802</v>
      </c>
      <c r="H203">
        <f t="shared" si="19"/>
        <v>2935.6523637687787</v>
      </c>
      <c r="I203" s="3">
        <v>1896.5833333333301</v>
      </c>
      <c r="J203" s="3">
        <v>0</v>
      </c>
      <c r="K203" s="3">
        <v>205.99216549953101</v>
      </c>
    </row>
    <row r="204" spans="1:11" ht="18" x14ac:dyDescent="0.25">
      <c r="A204" s="3">
        <v>1969.6666666666599</v>
      </c>
      <c r="B204" s="3">
        <f t="shared" si="15"/>
        <v>-202.72944297082228</v>
      </c>
      <c r="C204" s="3">
        <f t="shared" si="16"/>
        <v>-135.37670319955888</v>
      </c>
      <c r="D204" s="3">
        <f t="shared" si="17"/>
        <v>-202.72944297082228</v>
      </c>
      <c r="E204" s="3">
        <f t="shared" si="18"/>
        <v>-101.70225164249041</v>
      </c>
      <c r="F204" s="3">
        <v>-138</v>
      </c>
      <c r="G204" s="3">
        <v>-36.073102409429097</v>
      </c>
      <c r="H204">
        <f t="shared" si="19"/>
        <v>4536.3915546955268</v>
      </c>
      <c r="I204" s="3">
        <v>1896.6666666666599</v>
      </c>
      <c r="J204" s="3">
        <v>0</v>
      </c>
      <c r="K204" s="3">
        <v>206.17286807559199</v>
      </c>
    </row>
    <row r="205" spans="1:11" ht="18" x14ac:dyDescent="0.25">
      <c r="A205" s="3">
        <v>1969.75</v>
      </c>
      <c r="B205" s="3">
        <f t="shared" si="15"/>
        <v>-168.72944297082228</v>
      </c>
      <c r="C205" s="3">
        <f t="shared" si="16"/>
        <v>-90.92786129243099</v>
      </c>
      <c r="D205" s="3">
        <f t="shared" si="17"/>
        <v>-168.72944297082228</v>
      </c>
      <c r="E205" s="3">
        <f t="shared" si="18"/>
        <v>-54.919811589917316</v>
      </c>
      <c r="F205" s="3">
        <v>-104</v>
      </c>
      <c r="G205" s="3">
        <v>10.709337643144</v>
      </c>
      <c r="H205">
        <f t="shared" si="19"/>
        <v>6053.0861116593906</v>
      </c>
      <c r="I205" s="3">
        <v>1896.75</v>
      </c>
      <c r="J205" s="3">
        <v>0</v>
      </c>
      <c r="K205" s="3">
        <v>205.022195892951</v>
      </c>
    </row>
    <row r="206" spans="1:11" ht="18" x14ac:dyDescent="0.25">
      <c r="A206" s="3">
        <v>1969.8333333333301</v>
      </c>
      <c r="B206" s="3">
        <f t="shared" si="15"/>
        <v>-152.72944297082228</v>
      </c>
      <c r="C206" s="3">
        <f t="shared" si="16"/>
        <v>7.5318699742876403</v>
      </c>
      <c r="D206" s="3">
        <f t="shared" si="17"/>
        <v>-152.72944297082228</v>
      </c>
      <c r="E206" s="3">
        <f t="shared" si="18"/>
        <v>3.3259800129352897</v>
      </c>
      <c r="F206" s="3">
        <v>-88</v>
      </c>
      <c r="G206" s="3">
        <v>68.955129245996602</v>
      </c>
      <c r="H206">
        <f t="shared" si="19"/>
        <v>25683.688426890458</v>
      </c>
      <c r="I206" s="3">
        <v>1896.8333333333301</v>
      </c>
      <c r="J206" s="3">
        <v>0</v>
      </c>
      <c r="K206" s="3">
        <v>193.73951135124599</v>
      </c>
    </row>
    <row r="207" spans="1:11" ht="18" x14ac:dyDescent="0.25">
      <c r="A207" s="3">
        <v>1969.9166666666599</v>
      </c>
      <c r="B207" s="3">
        <f t="shared" si="15"/>
        <v>-67.729442970822276</v>
      </c>
      <c r="C207" s="3">
        <f t="shared" si="16"/>
        <v>105.06753893250421</v>
      </c>
      <c r="D207" s="3">
        <f t="shared" si="17"/>
        <v>-67.729442970822276</v>
      </c>
      <c r="E207" s="3">
        <f t="shared" si="18"/>
        <v>67.680361976275677</v>
      </c>
      <c r="F207" s="3">
        <v>-3</v>
      </c>
      <c r="G207" s="3">
        <v>133.30951120933699</v>
      </c>
      <c r="H207">
        <f t="shared" si="19"/>
        <v>29858.796954898535</v>
      </c>
      <c r="I207" s="3">
        <v>1896.9166666666599</v>
      </c>
      <c r="J207" s="3">
        <v>0</v>
      </c>
      <c r="K207" s="3">
        <v>178.58874221485101</v>
      </c>
    </row>
    <row r="208" spans="1:11" ht="18" x14ac:dyDescent="0.25">
      <c r="A208" s="3">
        <v>1970</v>
      </c>
      <c r="B208" s="3">
        <f t="shared" si="15"/>
        <v>-10.729442970822276</v>
      </c>
      <c r="C208" s="3">
        <f t="shared" si="16"/>
        <v>140.88572782456589</v>
      </c>
      <c r="D208" s="3">
        <f t="shared" si="17"/>
        <v>-10.729442970822276</v>
      </c>
      <c r="E208" s="3">
        <f t="shared" si="18"/>
        <v>109.13890729212569</v>
      </c>
      <c r="F208" s="3">
        <v>54</v>
      </c>
      <c r="G208" s="3">
        <v>174.76805652518701</v>
      </c>
      <c r="H208">
        <f t="shared" si="19"/>
        <v>22987.160015314726</v>
      </c>
      <c r="I208" s="3">
        <v>1897</v>
      </c>
      <c r="J208" s="3">
        <v>0</v>
      </c>
      <c r="K208" s="3">
        <v>149.18066061305501</v>
      </c>
    </row>
    <row r="209" spans="1:11" ht="18" x14ac:dyDescent="0.25">
      <c r="A209" s="3">
        <v>1970.0833333333301</v>
      </c>
      <c r="B209" s="3">
        <f t="shared" si="15"/>
        <v>31.270557029177724</v>
      </c>
      <c r="C209" s="3">
        <f t="shared" si="16"/>
        <v>142.08875763374056</v>
      </c>
      <c r="D209" s="3">
        <f t="shared" si="17"/>
        <v>31.270557029177724</v>
      </c>
      <c r="E209" s="3">
        <f t="shared" si="18"/>
        <v>110.82495776017869</v>
      </c>
      <c r="F209" s="3">
        <v>96</v>
      </c>
      <c r="G209" s="3">
        <v>176.45410699324</v>
      </c>
      <c r="H209">
        <f t="shared" si="19"/>
        <v>12280.673585233129</v>
      </c>
      <c r="I209" s="3">
        <v>1897.0833333333301</v>
      </c>
      <c r="J209" s="3">
        <v>0</v>
      </c>
      <c r="K209" s="3">
        <v>109.739329009515</v>
      </c>
    </row>
    <row r="210" spans="1:11" ht="18" x14ac:dyDescent="0.25">
      <c r="A210" s="3">
        <v>1970.1666666666599</v>
      </c>
      <c r="B210" s="3">
        <f t="shared" si="15"/>
        <v>82.270557029177724</v>
      </c>
      <c r="C210" s="3">
        <f t="shared" si="16"/>
        <v>145.82835695049303</v>
      </c>
      <c r="D210" s="3">
        <f t="shared" si="17"/>
        <v>82.270557029177724</v>
      </c>
      <c r="E210" s="3">
        <f t="shared" si="18"/>
        <v>116.21675320502068</v>
      </c>
      <c r="F210" s="3">
        <v>147</v>
      </c>
      <c r="G210" s="3">
        <v>181.84590243808199</v>
      </c>
      <c r="H210">
        <f t="shared" si="19"/>
        <v>4039.5939308379479</v>
      </c>
      <c r="I210" s="3">
        <v>1897.1666666666599</v>
      </c>
      <c r="J210" s="3">
        <v>0</v>
      </c>
      <c r="K210" s="3">
        <v>100.005204831445</v>
      </c>
    </row>
    <row r="211" spans="1:11" ht="18" x14ac:dyDescent="0.25">
      <c r="A211" s="3">
        <v>1970.25</v>
      </c>
      <c r="B211" s="3">
        <f t="shared" si="15"/>
        <v>101.27055702917772</v>
      </c>
      <c r="C211" s="3">
        <f t="shared" si="16"/>
        <v>160.34225357131737</v>
      </c>
      <c r="D211" s="3">
        <f t="shared" si="17"/>
        <v>101.27055702917772</v>
      </c>
      <c r="E211" s="3">
        <f t="shared" si="18"/>
        <v>139.57073168400967</v>
      </c>
      <c r="F211" s="3">
        <v>166</v>
      </c>
      <c r="G211" s="3">
        <v>205.199880917071</v>
      </c>
      <c r="H211">
        <f t="shared" si="19"/>
        <v>3489.4653323666334</v>
      </c>
      <c r="I211" s="3">
        <v>1897.25</v>
      </c>
      <c r="J211" s="3">
        <v>0</v>
      </c>
      <c r="K211" s="3">
        <v>106.875060999919</v>
      </c>
    </row>
    <row r="212" spans="1:11" ht="18" x14ac:dyDescent="0.25">
      <c r="A212" s="3">
        <v>1970.3333333333301</v>
      </c>
      <c r="B212" s="3">
        <f t="shared" si="15"/>
        <v>164.27055702917772</v>
      </c>
      <c r="C212" s="3">
        <f t="shared" si="16"/>
        <v>174.20860169922994</v>
      </c>
      <c r="D212" s="3">
        <f t="shared" si="17"/>
        <v>164.27055702917772</v>
      </c>
      <c r="E212" s="3">
        <f t="shared" si="18"/>
        <v>166.29617070035067</v>
      </c>
      <c r="F212" s="3">
        <v>229</v>
      </c>
      <c r="G212" s="3">
        <v>231.925319933412</v>
      </c>
      <c r="H212">
        <f t="shared" si="19"/>
        <v>98.764731863953372</v>
      </c>
      <c r="I212" s="3">
        <v>1897.3333333333301</v>
      </c>
      <c r="J212" s="3">
        <v>0</v>
      </c>
      <c r="K212" s="3">
        <v>101.968047612962</v>
      </c>
    </row>
    <row r="213" spans="1:11" ht="18" x14ac:dyDescent="0.25">
      <c r="A213" s="3">
        <v>1970.4166666666599</v>
      </c>
      <c r="B213" s="3">
        <f t="shared" si="15"/>
        <v>193.27055702917772</v>
      </c>
      <c r="C213" s="3">
        <f t="shared" si="16"/>
        <v>186.27516726418932</v>
      </c>
      <c r="D213" s="3">
        <f t="shared" si="17"/>
        <v>193.27055702917772</v>
      </c>
      <c r="E213" s="3">
        <f t="shared" si="18"/>
        <v>194.14233193480072</v>
      </c>
      <c r="F213" s="3">
        <v>258</v>
      </c>
      <c r="G213" s="3">
        <v>259.77148116786202</v>
      </c>
      <c r="H213">
        <f t="shared" si="19"/>
        <v>48.9354779641045</v>
      </c>
      <c r="I213" s="3">
        <v>1897.4166666666599</v>
      </c>
      <c r="J213" s="3">
        <v>0</v>
      </c>
      <c r="K213" s="3">
        <v>92.899574530112204</v>
      </c>
    </row>
    <row r="214" spans="1:11" ht="18" x14ac:dyDescent="0.25">
      <c r="A214" s="3">
        <v>1970.5</v>
      </c>
      <c r="B214" s="3">
        <f t="shared" si="15"/>
        <v>225.27055702917772</v>
      </c>
      <c r="C214" s="3">
        <f t="shared" si="16"/>
        <v>184.99307936108994</v>
      </c>
      <c r="D214" s="3">
        <f t="shared" si="17"/>
        <v>225.27055702917772</v>
      </c>
      <c r="E214" s="3">
        <f t="shared" si="18"/>
        <v>190.94317559331068</v>
      </c>
      <c r="F214" s="3">
        <v>290</v>
      </c>
      <c r="G214" s="3">
        <v>256.57232482637198</v>
      </c>
      <c r="H214">
        <f t="shared" si="19"/>
        <v>1622.27520730331</v>
      </c>
      <c r="I214" s="3">
        <v>1897.5</v>
      </c>
      <c r="J214" s="3">
        <v>0</v>
      </c>
      <c r="K214" s="3">
        <v>66.502844428266002</v>
      </c>
    </row>
    <row r="215" spans="1:11" ht="18" x14ac:dyDescent="0.25">
      <c r="A215" s="3">
        <v>1970.5833333333301</v>
      </c>
      <c r="B215" s="3">
        <f t="shared" si="15"/>
        <v>229.27055702917772</v>
      </c>
      <c r="C215" s="3">
        <f t="shared" si="16"/>
        <v>169.46753792950386</v>
      </c>
      <c r="D215" s="3">
        <f t="shared" si="17"/>
        <v>229.27055702917772</v>
      </c>
      <c r="E215" s="3">
        <f t="shared" si="18"/>
        <v>156.59585400907667</v>
      </c>
      <c r="F215" s="3">
        <v>294</v>
      </c>
      <c r="G215" s="3">
        <v>222.225003242138</v>
      </c>
      <c r="H215">
        <f t="shared" si="19"/>
        <v>3576.4010934359567</v>
      </c>
      <c r="I215" s="3">
        <v>1897.5833333333301</v>
      </c>
      <c r="J215" s="3">
        <v>0</v>
      </c>
      <c r="K215" s="3">
        <v>30.8603065634179</v>
      </c>
    </row>
    <row r="216" spans="1:11" ht="18" x14ac:dyDescent="0.25">
      <c r="A216" s="3">
        <v>1970.6666666666599</v>
      </c>
      <c r="B216" s="3">
        <f t="shared" si="15"/>
        <v>241.27055702917772</v>
      </c>
      <c r="C216" s="3">
        <f t="shared" si="16"/>
        <v>162.3204326722751</v>
      </c>
      <c r="D216" s="3">
        <f t="shared" si="17"/>
        <v>241.27055702917772</v>
      </c>
      <c r="E216" s="3">
        <f t="shared" si="18"/>
        <v>143.09165710020267</v>
      </c>
      <c r="F216" s="3">
        <v>306</v>
      </c>
      <c r="G216" s="3">
        <v>208.72080633326399</v>
      </c>
      <c r="H216">
        <f t="shared" si="19"/>
        <v>6233.1221359703886</v>
      </c>
      <c r="I216" s="3">
        <v>1897.6666666666599</v>
      </c>
      <c r="J216" s="3">
        <v>0</v>
      </c>
      <c r="K216" s="3">
        <v>21.294019848662501</v>
      </c>
    </row>
    <row r="217" spans="1:11" ht="18" x14ac:dyDescent="0.25">
      <c r="A217" s="3">
        <v>1970.75</v>
      </c>
      <c r="B217" s="3">
        <f t="shared" si="15"/>
        <v>262.27055702917772</v>
      </c>
      <c r="C217" s="3">
        <f t="shared" si="16"/>
        <v>162.2263643100838</v>
      </c>
      <c r="D217" s="3">
        <f t="shared" si="17"/>
        <v>262.27055702917772</v>
      </c>
      <c r="E217" s="3">
        <f t="shared" si="18"/>
        <v>142.92219730544866</v>
      </c>
      <c r="F217" s="3">
        <v>327</v>
      </c>
      <c r="G217" s="3">
        <v>208.55134653850999</v>
      </c>
      <c r="H217">
        <f t="shared" si="19"/>
        <v>10008.840496815206</v>
      </c>
      <c r="I217" s="3">
        <v>1897.75</v>
      </c>
      <c r="J217" s="3">
        <v>0</v>
      </c>
      <c r="K217" s="3">
        <v>15.936518548599301</v>
      </c>
    </row>
    <row r="218" spans="1:11" ht="18" x14ac:dyDescent="0.25">
      <c r="A218" s="3">
        <v>1970.8333333333301</v>
      </c>
      <c r="B218" s="3">
        <f t="shared" si="15"/>
        <v>262.27055702917772</v>
      </c>
      <c r="C218" s="3">
        <f t="shared" si="16"/>
        <v>148.02216634195381</v>
      </c>
      <c r="D218" s="3">
        <f t="shared" si="17"/>
        <v>262.27055702917772</v>
      </c>
      <c r="E218" s="3">
        <f t="shared" si="18"/>
        <v>119.4904295168257</v>
      </c>
      <c r="F218" s="3">
        <v>327</v>
      </c>
      <c r="G218" s="3">
        <v>185.11957874988701</v>
      </c>
      <c r="H218">
        <f t="shared" si="19"/>
        <v>13052.694774620553</v>
      </c>
      <c r="I218" s="3">
        <v>1897.8333333333301</v>
      </c>
      <c r="J218" s="3">
        <v>0</v>
      </c>
      <c r="K218" s="3">
        <v>-6.4813800759001703</v>
      </c>
    </row>
    <row r="219" spans="1:11" ht="18" x14ac:dyDescent="0.25">
      <c r="A219" s="3">
        <v>1970.9166666666599</v>
      </c>
      <c r="B219" s="3">
        <f t="shared" si="15"/>
        <v>247.27055702917772</v>
      </c>
      <c r="C219" s="3">
        <f t="shared" si="16"/>
        <v>103.59975203535357</v>
      </c>
      <c r="D219" s="3">
        <f t="shared" si="17"/>
        <v>247.27055702917772</v>
      </c>
      <c r="E219" s="3">
        <f t="shared" si="18"/>
        <v>66.277331386550699</v>
      </c>
      <c r="F219" s="3">
        <v>312</v>
      </c>
      <c r="G219" s="3">
        <v>131.90648061961201</v>
      </c>
      <c r="H219">
        <f t="shared" si="19"/>
        <v>20641.300207573451</v>
      </c>
      <c r="I219" s="3">
        <v>1897.9166666666599</v>
      </c>
      <c r="J219" s="3">
        <v>0</v>
      </c>
      <c r="K219" s="3">
        <v>-30.517390530160899</v>
      </c>
    </row>
    <row r="220" spans="1:11" ht="18" x14ac:dyDescent="0.25">
      <c r="A220" s="3">
        <v>1971</v>
      </c>
      <c r="B220" s="3">
        <f t="shared" si="15"/>
        <v>124.27055702917772</v>
      </c>
      <c r="C220" s="3">
        <f t="shared" si="16"/>
        <v>-42.350446546742454</v>
      </c>
      <c r="D220" s="3">
        <f t="shared" si="17"/>
        <v>124.27055702917772</v>
      </c>
      <c r="E220" s="3">
        <f t="shared" si="18"/>
        <v>-21.06639778246371</v>
      </c>
      <c r="F220" s="3">
        <v>189</v>
      </c>
      <c r="G220" s="3">
        <v>44.562751450597602</v>
      </c>
      <c r="H220">
        <f t="shared" si="19"/>
        <v>27762.558832646806</v>
      </c>
      <c r="I220" s="3">
        <v>1898</v>
      </c>
      <c r="J220" s="3">
        <v>0</v>
      </c>
      <c r="K220" s="3">
        <v>-57.438669930927297</v>
      </c>
    </row>
    <row r="221" spans="1:11" ht="18" x14ac:dyDescent="0.25">
      <c r="A221" s="3">
        <v>1971.0833333333301</v>
      </c>
      <c r="B221" s="3">
        <f t="shared" si="15"/>
        <v>-32.729442970822276</v>
      </c>
      <c r="C221" s="3">
        <f t="shared" si="16"/>
        <v>-140.56471045995249</v>
      </c>
      <c r="D221" s="3">
        <f t="shared" si="17"/>
        <v>-32.729442970822276</v>
      </c>
      <c r="E221" s="3">
        <f t="shared" si="18"/>
        <v>-108.69287160330521</v>
      </c>
      <c r="F221" s="3">
        <v>32</v>
      </c>
      <c r="G221" s="3">
        <v>-43.063722370243902</v>
      </c>
      <c r="H221">
        <f t="shared" si="19"/>
        <v>11628.444914452264</v>
      </c>
      <c r="I221" s="3">
        <v>1898.0833333333301</v>
      </c>
      <c r="J221" s="3">
        <v>0</v>
      </c>
      <c r="K221" s="3">
        <v>-71.562434600038898</v>
      </c>
    </row>
    <row r="222" spans="1:11" ht="18" x14ac:dyDescent="0.25">
      <c r="A222" s="3">
        <v>1971.1666666666599</v>
      </c>
      <c r="B222" s="3">
        <f t="shared" si="15"/>
        <v>-109.72944297082228</v>
      </c>
      <c r="C222" s="3">
        <f t="shared" si="16"/>
        <v>-170.25894389663407</v>
      </c>
      <c r="D222" s="3">
        <f t="shared" si="17"/>
        <v>-109.72944297082228</v>
      </c>
      <c r="E222" s="3">
        <f t="shared" si="18"/>
        <v>-158.1717068126639</v>
      </c>
      <c r="F222" s="3">
        <v>-45</v>
      </c>
      <c r="G222" s="3">
        <v>-92.542557579602601</v>
      </c>
      <c r="H222">
        <f t="shared" si="19"/>
        <v>3663.8204823278502</v>
      </c>
      <c r="I222" s="3">
        <v>1898.1666666666599</v>
      </c>
      <c r="J222" s="3">
        <v>0</v>
      </c>
      <c r="K222" s="3">
        <v>-61.419151587635703</v>
      </c>
    </row>
    <row r="223" spans="1:11" ht="18" x14ac:dyDescent="0.25">
      <c r="A223" s="3">
        <v>1971.25</v>
      </c>
      <c r="B223" s="3">
        <f t="shared" si="15"/>
        <v>-166.72944297082228</v>
      </c>
      <c r="C223" s="3">
        <f t="shared" si="16"/>
        <v>-184.79505074572933</v>
      </c>
      <c r="D223" s="3">
        <f t="shared" si="17"/>
        <v>-166.72944297082228</v>
      </c>
      <c r="E223" s="3">
        <f t="shared" si="18"/>
        <v>-190.45454423276732</v>
      </c>
      <c r="F223" s="3">
        <v>-102</v>
      </c>
      <c r="G223" s="3">
        <v>-124.82539499970601</v>
      </c>
      <c r="H223">
        <f t="shared" si="19"/>
        <v>326.36618427678206</v>
      </c>
      <c r="I223" s="3">
        <v>1898.25</v>
      </c>
      <c r="J223" s="3">
        <v>0</v>
      </c>
      <c r="K223" s="3">
        <v>-53.391755399633098</v>
      </c>
    </row>
    <row r="224" spans="1:11" ht="18" x14ac:dyDescent="0.25">
      <c r="A224" s="3">
        <v>1971.3333333333301</v>
      </c>
      <c r="B224" s="3">
        <f t="shared" si="15"/>
        <v>-182.72944297082228</v>
      </c>
      <c r="C224" s="3">
        <f t="shared" si="16"/>
        <v>-190.12826382690176</v>
      </c>
      <c r="D224" s="3">
        <f t="shared" si="17"/>
        <v>-182.72944297082228</v>
      </c>
      <c r="E224" s="3">
        <f t="shared" si="18"/>
        <v>-204.14391272674931</v>
      </c>
      <c r="F224" s="3">
        <v>-118</v>
      </c>
      <c r="G224" s="3">
        <v>-138.51476349368801</v>
      </c>
      <c r="H224">
        <f t="shared" si="19"/>
        <v>54.742550060356713</v>
      </c>
      <c r="I224" s="3">
        <v>1898.3333333333301</v>
      </c>
      <c r="J224" s="3">
        <v>0</v>
      </c>
      <c r="K224" s="3">
        <v>-28.7762339296292</v>
      </c>
    </row>
    <row r="225" spans="1:11" ht="18" x14ac:dyDescent="0.25">
      <c r="A225" s="3">
        <v>1971.4166666666599</v>
      </c>
      <c r="B225" s="3">
        <f t="shared" si="15"/>
        <v>-196.72944297082228</v>
      </c>
      <c r="C225" s="3">
        <f t="shared" si="16"/>
        <v>-181.39726687578454</v>
      </c>
      <c r="D225" s="3">
        <f t="shared" si="17"/>
        <v>-196.72944297082228</v>
      </c>
      <c r="E225" s="3">
        <f t="shared" si="18"/>
        <v>-182.29178772969732</v>
      </c>
      <c r="F225" s="3">
        <v>-132</v>
      </c>
      <c r="G225" s="3">
        <v>-116.66263849663601</v>
      </c>
      <c r="H225">
        <f t="shared" si="19"/>
        <v>235.07562380924668</v>
      </c>
      <c r="I225" s="3">
        <v>1898.4166666666599</v>
      </c>
      <c r="J225" s="3">
        <v>0</v>
      </c>
      <c r="K225" s="3">
        <v>36.115815276002202</v>
      </c>
    </row>
    <row r="226" spans="1:11" ht="18" x14ac:dyDescent="0.25">
      <c r="A226" s="3">
        <v>1971.5</v>
      </c>
      <c r="B226" s="3">
        <f t="shared" si="15"/>
        <v>-199.72944297082228</v>
      </c>
      <c r="C226" s="3">
        <f t="shared" si="16"/>
        <v>-170.83276972652615</v>
      </c>
      <c r="D226" s="3">
        <f t="shared" si="17"/>
        <v>-199.72944297082228</v>
      </c>
      <c r="E226" s="3">
        <f t="shared" si="18"/>
        <v>-159.32493500232533</v>
      </c>
      <c r="F226" s="3">
        <v>-135</v>
      </c>
      <c r="G226" s="3">
        <v>-93.695785769264006</v>
      </c>
      <c r="H226">
        <f t="shared" si="19"/>
        <v>835.01772458761945</v>
      </c>
      <c r="I226" s="3">
        <v>1898.5</v>
      </c>
      <c r="J226" s="3">
        <v>0</v>
      </c>
      <c r="K226" s="3">
        <v>98.155380807048203</v>
      </c>
    </row>
    <row r="227" spans="1:11" ht="18" x14ac:dyDescent="0.25">
      <c r="A227" s="3">
        <v>1971.5833333333301</v>
      </c>
      <c r="B227" s="3">
        <f t="shared" si="15"/>
        <v>-224.72944297082228</v>
      </c>
      <c r="C227" s="3">
        <f t="shared" si="16"/>
        <v>-165.00215324986641</v>
      </c>
      <c r="D227" s="3">
        <f t="shared" si="17"/>
        <v>-224.72944297082228</v>
      </c>
      <c r="E227" s="3">
        <f t="shared" si="18"/>
        <v>-148.01048044168661</v>
      </c>
      <c r="F227" s="3">
        <v>-160</v>
      </c>
      <c r="G227" s="3">
        <v>-82.381331208625298</v>
      </c>
      <c r="H227">
        <f t="shared" si="19"/>
        <v>3567.3491374110004</v>
      </c>
      <c r="I227" s="3">
        <v>1898.5833333333301</v>
      </c>
      <c r="J227" s="3">
        <v>0</v>
      </c>
      <c r="K227" s="3">
        <v>134.16832254870999</v>
      </c>
    </row>
    <row r="228" spans="1:11" ht="18" x14ac:dyDescent="0.25">
      <c r="A228" s="3">
        <v>1971.6666666666599</v>
      </c>
      <c r="B228" s="3">
        <f t="shared" si="15"/>
        <v>-224.72944297082228</v>
      </c>
      <c r="C228" s="3">
        <f t="shared" si="16"/>
        <v>-158.74814804074055</v>
      </c>
      <c r="D228" s="3">
        <f t="shared" si="17"/>
        <v>-224.72944297082228</v>
      </c>
      <c r="E228" s="3">
        <f t="shared" si="18"/>
        <v>-136.7971838980223</v>
      </c>
      <c r="F228" s="3">
        <v>-160</v>
      </c>
      <c r="G228" s="3">
        <v>-71.168034664960999</v>
      </c>
      <c r="H228">
        <f t="shared" si="19"/>
        <v>4353.5312806504289</v>
      </c>
      <c r="I228" s="3">
        <v>1898.6666666666599</v>
      </c>
      <c r="J228" s="3">
        <v>0</v>
      </c>
      <c r="K228" s="3">
        <v>149.44540096059299</v>
      </c>
    </row>
    <row r="229" spans="1:11" ht="18" x14ac:dyDescent="0.25">
      <c r="A229" s="3">
        <v>1971.75</v>
      </c>
      <c r="B229" s="3">
        <f t="shared" si="15"/>
        <v>-198.72944297082228</v>
      </c>
      <c r="C229" s="3">
        <f t="shared" si="16"/>
        <v>-155.42008665853655</v>
      </c>
      <c r="D229" s="3">
        <f t="shared" si="17"/>
        <v>-198.72944297082228</v>
      </c>
      <c r="E229" s="3">
        <f t="shared" si="18"/>
        <v>-131.18241339501282</v>
      </c>
      <c r="F229" s="3">
        <v>-134</v>
      </c>
      <c r="G229" s="3">
        <v>-65.553264161951503</v>
      </c>
      <c r="H229">
        <f t="shared" si="19"/>
        <v>1875.7003441845238</v>
      </c>
      <c r="I229" s="3">
        <v>1898.75</v>
      </c>
      <c r="J229" s="3">
        <v>0</v>
      </c>
      <c r="K229" s="3">
        <v>143.044149650138</v>
      </c>
    </row>
    <row r="230" spans="1:11" ht="18" x14ac:dyDescent="0.25">
      <c r="A230" s="3">
        <v>1971.8333333333301</v>
      </c>
      <c r="B230" s="3">
        <f t="shared" si="15"/>
        <v>-189.72944297082228</v>
      </c>
      <c r="C230" s="3">
        <f t="shared" si="16"/>
        <v>-139.87689119660104</v>
      </c>
      <c r="D230" s="3">
        <f t="shared" si="17"/>
        <v>-189.72944297082228</v>
      </c>
      <c r="E230" s="3">
        <f t="shared" si="18"/>
        <v>-107.74260749094131</v>
      </c>
      <c r="F230" s="3">
        <v>-125</v>
      </c>
      <c r="G230" s="3">
        <v>-42.113458257879998</v>
      </c>
      <c r="H230">
        <f t="shared" si="19"/>
        <v>2485.2769184014091</v>
      </c>
      <c r="I230" s="3">
        <v>1898.8333333333301</v>
      </c>
      <c r="J230" s="3">
        <v>0</v>
      </c>
      <c r="K230" s="3">
        <v>142.05423260179199</v>
      </c>
    </row>
    <row r="231" spans="1:11" ht="18" x14ac:dyDescent="0.25">
      <c r="A231" s="3">
        <v>1971.9166666666599</v>
      </c>
      <c r="B231" s="3">
        <f t="shared" si="15"/>
        <v>-189.72944297082228</v>
      </c>
      <c r="C231" s="3">
        <f t="shared" si="16"/>
        <v>-98.387596362780087</v>
      </c>
      <c r="D231" s="3">
        <f t="shared" si="17"/>
        <v>-189.72944297082228</v>
      </c>
      <c r="E231" s="3">
        <f t="shared" si="18"/>
        <v>-61.446888575624399</v>
      </c>
      <c r="F231" s="3">
        <v>-125</v>
      </c>
      <c r="G231" s="3">
        <v>4.1822606574369097</v>
      </c>
      <c r="H231">
        <f t="shared" si="19"/>
        <v>8343.3329417671084</v>
      </c>
      <c r="I231" s="3">
        <v>1898.9166666666599</v>
      </c>
      <c r="J231" s="3">
        <v>0</v>
      </c>
      <c r="K231" s="3">
        <v>145.899630495389</v>
      </c>
    </row>
    <row r="232" spans="1:11" ht="18" x14ac:dyDescent="0.25">
      <c r="A232" s="3">
        <v>1972</v>
      </c>
      <c r="B232" s="3">
        <f t="shared" si="15"/>
        <v>-176.72944297082228</v>
      </c>
      <c r="C232" s="3">
        <f t="shared" si="16"/>
        <v>-57.414287426529725</v>
      </c>
      <c r="D232" s="3">
        <f t="shared" si="17"/>
        <v>-176.72944297082228</v>
      </c>
      <c r="E232" s="3">
        <f t="shared" si="18"/>
        <v>-30.212571345853014</v>
      </c>
      <c r="F232" s="3">
        <v>-112</v>
      </c>
      <c r="G232" s="3">
        <v>35.416577887208298</v>
      </c>
      <c r="H232">
        <f t="shared" si="19"/>
        <v>14236.106342558725</v>
      </c>
      <c r="I232" s="3">
        <v>1899</v>
      </c>
      <c r="J232" s="3">
        <v>0</v>
      </c>
      <c r="K232" s="3">
        <v>124.25095963152999</v>
      </c>
    </row>
    <row r="233" spans="1:11" ht="18" x14ac:dyDescent="0.25">
      <c r="A233" s="3">
        <v>1972.0833333333301</v>
      </c>
      <c r="B233" s="3">
        <f t="shared" si="15"/>
        <v>-159.72944297082228</v>
      </c>
      <c r="C233" s="3">
        <f t="shared" si="16"/>
        <v>-20.227605360488038</v>
      </c>
      <c r="D233" s="3">
        <f t="shared" si="17"/>
        <v>-159.72944297082228</v>
      </c>
      <c r="E233" s="3">
        <f t="shared" si="18"/>
        <v>-9.3134952295983098</v>
      </c>
      <c r="F233" s="3">
        <v>-95</v>
      </c>
      <c r="G233" s="3">
        <v>56.315654003463003</v>
      </c>
      <c r="H233">
        <f t="shared" si="19"/>
        <v>19460.762696660062</v>
      </c>
      <c r="I233" s="3">
        <v>1899.0833333333301</v>
      </c>
      <c r="J233" s="3">
        <v>0</v>
      </c>
      <c r="K233" s="3">
        <v>102.303401739129</v>
      </c>
    </row>
    <row r="234" spans="1:11" ht="18" x14ac:dyDescent="0.25">
      <c r="A234" s="3">
        <v>1972.1666666666599</v>
      </c>
      <c r="B234" s="3">
        <f t="shared" si="15"/>
        <v>-147.72944297082228</v>
      </c>
      <c r="C234" s="3">
        <f t="shared" si="16"/>
        <v>36.900023227626868</v>
      </c>
      <c r="D234" s="3">
        <f t="shared" si="17"/>
        <v>-147.72944297082228</v>
      </c>
      <c r="E234" s="3">
        <f t="shared" si="18"/>
        <v>17.998892092926894</v>
      </c>
      <c r="F234" s="3">
        <v>-83</v>
      </c>
      <c r="G234" s="3">
        <v>83.628041325988207</v>
      </c>
      <c r="H234">
        <f t="shared" si="19"/>
        <v>34088.039788724273</v>
      </c>
      <c r="I234" s="3">
        <v>1899.1666666666599</v>
      </c>
      <c r="J234" s="3">
        <v>0</v>
      </c>
      <c r="K234" s="3">
        <v>102.723948977113</v>
      </c>
    </row>
    <row r="235" spans="1:11" ht="18" x14ac:dyDescent="0.25">
      <c r="A235" s="3">
        <v>1972.25</v>
      </c>
      <c r="B235" s="3">
        <f t="shared" si="15"/>
        <v>-138.72944297082228</v>
      </c>
      <c r="C235" s="3">
        <f t="shared" si="16"/>
        <v>92.945712739817012</v>
      </c>
      <c r="D235" s="3">
        <f t="shared" si="17"/>
        <v>-138.72944297082228</v>
      </c>
      <c r="E235" s="3">
        <f t="shared" si="18"/>
        <v>56.642628035243689</v>
      </c>
      <c r="F235" s="3">
        <v>-74</v>
      </c>
      <c r="G235" s="3">
        <v>122.271777268305</v>
      </c>
      <c r="H235">
        <f t="shared" si="19"/>
        <v>53673.377773548957</v>
      </c>
      <c r="I235" s="3">
        <v>1899.25</v>
      </c>
      <c r="J235" s="3">
        <v>0</v>
      </c>
      <c r="K235" s="3">
        <v>115.519167836292</v>
      </c>
    </row>
    <row r="236" spans="1:11" ht="18" x14ac:dyDescent="0.25">
      <c r="A236" s="3">
        <v>1972.3333333333301</v>
      </c>
      <c r="B236" s="3">
        <f t="shared" si="15"/>
        <v>-104.72944297082228</v>
      </c>
      <c r="C236" s="3">
        <f t="shared" si="16"/>
        <v>158.74181221801163</v>
      </c>
      <c r="D236" s="3">
        <f t="shared" si="17"/>
        <v>-104.72944297082228</v>
      </c>
      <c r="E236" s="3">
        <f t="shared" si="18"/>
        <v>136.78627134398869</v>
      </c>
      <c r="F236" s="3">
        <v>-40</v>
      </c>
      <c r="G236" s="3">
        <v>202.41542057705001</v>
      </c>
      <c r="H236">
        <f t="shared" si="19"/>
        <v>69417.102310779621</v>
      </c>
      <c r="I236" s="3">
        <v>1899.3333333333301</v>
      </c>
      <c r="J236" s="3">
        <v>0</v>
      </c>
      <c r="K236" s="3">
        <v>145.98276954362001</v>
      </c>
    </row>
    <row r="237" spans="1:11" ht="18" x14ac:dyDescent="0.25">
      <c r="A237" s="3">
        <v>1972.4166666666599</v>
      </c>
      <c r="B237" s="3">
        <f t="shared" si="15"/>
        <v>122.27055702917772</v>
      </c>
      <c r="C237" s="3">
        <f t="shared" si="16"/>
        <v>200.0818455255642</v>
      </c>
      <c r="D237" s="3">
        <f t="shared" si="17"/>
        <v>122.27055702917772</v>
      </c>
      <c r="E237" s="3">
        <f t="shared" si="18"/>
        <v>233.01393125460072</v>
      </c>
      <c r="F237" s="3">
        <v>187</v>
      </c>
      <c r="G237" s="3">
        <v>298.64308048766202</v>
      </c>
      <c r="H237">
        <f t="shared" si="19"/>
        <v>6054.596617467887</v>
      </c>
      <c r="I237" s="3">
        <v>1899.4166666666599</v>
      </c>
      <c r="J237" s="3">
        <v>0</v>
      </c>
      <c r="K237" s="3">
        <v>161.707946275415</v>
      </c>
    </row>
    <row r="238" spans="1:11" ht="18" x14ac:dyDescent="0.25">
      <c r="A238" s="3">
        <v>1972.5</v>
      </c>
      <c r="B238" s="3">
        <f t="shared" si="15"/>
        <v>166.27055702917772</v>
      </c>
      <c r="C238" s="3">
        <f t="shared" si="16"/>
        <v>212.03603857335389</v>
      </c>
      <c r="D238" s="3">
        <f t="shared" si="17"/>
        <v>166.27055702917772</v>
      </c>
      <c r="E238" s="3">
        <f t="shared" si="18"/>
        <v>274.8765280709477</v>
      </c>
      <c r="F238" s="3">
        <v>231</v>
      </c>
      <c r="G238" s="3">
        <v>340.505677304009</v>
      </c>
      <c r="H238">
        <f t="shared" si="19"/>
        <v>2094.4793009703294</v>
      </c>
      <c r="I238" s="3">
        <v>1899.5</v>
      </c>
      <c r="J238" s="3">
        <v>0</v>
      </c>
      <c r="K238" s="3">
        <v>125.612558495771</v>
      </c>
    </row>
    <row r="239" spans="1:11" ht="18" x14ac:dyDescent="0.25">
      <c r="A239" s="3">
        <v>1972.5833333333301</v>
      </c>
      <c r="B239" s="3">
        <f t="shared" si="15"/>
        <v>181.27055702917772</v>
      </c>
      <c r="C239" s="3">
        <f t="shared" si="16"/>
        <v>208.62689664658558</v>
      </c>
      <c r="D239" s="3">
        <f t="shared" si="17"/>
        <v>181.27055702917772</v>
      </c>
      <c r="E239" s="3">
        <f t="shared" si="18"/>
        <v>262.00257162586871</v>
      </c>
      <c r="F239" s="3">
        <v>246</v>
      </c>
      <c r="G239" s="3">
        <v>327.63172085893001</v>
      </c>
      <c r="H239">
        <f t="shared" si="19"/>
        <v>748.36931726295859</v>
      </c>
      <c r="I239" s="3">
        <v>1899.5833333333301</v>
      </c>
      <c r="J239" s="3">
        <v>0</v>
      </c>
      <c r="K239" s="3">
        <v>78.329777401136596</v>
      </c>
    </row>
    <row r="240" spans="1:11" ht="18" x14ac:dyDescent="0.25">
      <c r="A240" s="3">
        <v>1972.6666666666599</v>
      </c>
      <c r="B240" s="3">
        <f t="shared" si="15"/>
        <v>185.27055702917772</v>
      </c>
      <c r="C240" s="3">
        <f t="shared" si="16"/>
        <v>197.28798245983509</v>
      </c>
      <c r="D240" s="3">
        <f t="shared" si="17"/>
        <v>185.27055702917772</v>
      </c>
      <c r="E240" s="3">
        <f t="shared" si="18"/>
        <v>224.42853233620968</v>
      </c>
      <c r="F240" s="3">
        <v>250</v>
      </c>
      <c r="G240" s="3">
        <v>290.05768156927098</v>
      </c>
      <c r="H240">
        <f t="shared" si="19"/>
        <v>144.41851398141046</v>
      </c>
      <c r="I240" s="3">
        <v>1899.6666666666599</v>
      </c>
      <c r="J240" s="3">
        <v>0</v>
      </c>
      <c r="K240" s="3">
        <v>57.974643779121998</v>
      </c>
    </row>
    <row r="241" spans="1:11" ht="18" x14ac:dyDescent="0.25">
      <c r="A241" s="3">
        <v>1972.75</v>
      </c>
      <c r="B241" s="3">
        <f t="shared" si="15"/>
        <v>204.27055702917772</v>
      </c>
      <c r="C241" s="3">
        <f t="shared" si="16"/>
        <v>181.99755102035186</v>
      </c>
      <c r="D241" s="3">
        <f t="shared" si="17"/>
        <v>204.27055702917772</v>
      </c>
      <c r="E241" s="3">
        <f t="shared" si="18"/>
        <v>183.7041640132627</v>
      </c>
      <c r="F241" s="3">
        <v>269</v>
      </c>
      <c r="G241" s="3">
        <v>249.333313246324</v>
      </c>
      <c r="H241">
        <f t="shared" si="19"/>
        <v>496.08679666919284</v>
      </c>
      <c r="I241" s="3">
        <v>1899.75</v>
      </c>
      <c r="J241" s="3">
        <v>0</v>
      </c>
      <c r="K241" s="3">
        <v>66.280883558455599</v>
      </c>
    </row>
    <row r="242" spans="1:11" ht="18" x14ac:dyDescent="0.25">
      <c r="A242" s="3">
        <v>1972.8333333333301</v>
      </c>
      <c r="B242" s="3">
        <f t="shared" si="15"/>
        <v>208.27055702917772</v>
      </c>
      <c r="C242" s="3">
        <f t="shared" si="16"/>
        <v>170.44113857349512</v>
      </c>
      <c r="D242" s="3">
        <f t="shared" si="17"/>
        <v>208.27055702917772</v>
      </c>
      <c r="E242" s="3">
        <f t="shared" si="18"/>
        <v>158.53689287027868</v>
      </c>
      <c r="F242" s="3">
        <v>273</v>
      </c>
      <c r="G242" s="3">
        <v>224.16604210334</v>
      </c>
      <c r="H242">
        <f t="shared" si="19"/>
        <v>1431.0649006951394</v>
      </c>
      <c r="I242" s="3">
        <v>1899.8333333333301</v>
      </c>
      <c r="J242" s="3">
        <v>0</v>
      </c>
      <c r="K242" s="3">
        <v>94.312628520712707</v>
      </c>
    </row>
    <row r="243" spans="1:11" ht="18" x14ac:dyDescent="0.25">
      <c r="A243" s="3">
        <v>1972.9166666666599</v>
      </c>
      <c r="B243" s="3">
        <f t="shared" si="15"/>
        <v>204.27055702917772</v>
      </c>
      <c r="C243" s="3">
        <f t="shared" si="16"/>
        <v>144.5785987817201</v>
      </c>
      <c r="D243" s="3">
        <f t="shared" si="17"/>
        <v>204.27055702917772</v>
      </c>
      <c r="E243" s="3">
        <f t="shared" si="18"/>
        <v>114.38892062954868</v>
      </c>
      <c r="F243" s="3">
        <v>269</v>
      </c>
      <c r="G243" s="3">
        <v>180.01806986260999</v>
      </c>
      <c r="H243">
        <f t="shared" si="19"/>
        <v>3563.129879416224</v>
      </c>
      <c r="I243" s="3">
        <v>1899.9166666666599</v>
      </c>
      <c r="J243" s="3">
        <v>0</v>
      </c>
      <c r="K243" s="3">
        <v>93.948120871414801</v>
      </c>
    </row>
    <row r="244" spans="1:11" ht="18" x14ac:dyDescent="0.25">
      <c r="A244" s="3">
        <v>1973</v>
      </c>
      <c r="B244" s="3">
        <f t="shared" si="15"/>
        <v>107.27055702917772</v>
      </c>
      <c r="C244" s="3">
        <f t="shared" si="16"/>
        <v>57.177007545205342</v>
      </c>
      <c r="D244" s="3">
        <f t="shared" si="17"/>
        <v>107.27055702917772</v>
      </c>
      <c r="E244" s="3">
        <f t="shared" si="18"/>
        <v>30.060304865990986</v>
      </c>
      <c r="F244" s="3">
        <v>172</v>
      </c>
      <c r="G244" s="3">
        <v>95.689454099052298</v>
      </c>
      <c r="H244">
        <f t="shared" si="19"/>
        <v>2509.3636999031896</v>
      </c>
      <c r="I244" s="3">
        <v>1900</v>
      </c>
      <c r="J244" s="3">
        <v>0</v>
      </c>
      <c r="K244" s="3">
        <v>50.113979594385498</v>
      </c>
    </row>
    <row r="245" spans="1:11" ht="18" x14ac:dyDescent="0.25">
      <c r="A245" s="3">
        <v>1973.0833333333301</v>
      </c>
      <c r="B245" s="3">
        <f t="shared" si="15"/>
        <v>-122.72944297082228</v>
      </c>
      <c r="C245" s="3">
        <f t="shared" si="16"/>
        <v>-83.949285370744704</v>
      </c>
      <c r="D245" s="3">
        <f t="shared" si="17"/>
        <v>-122.72944297082228</v>
      </c>
      <c r="E245" s="3">
        <f t="shared" si="18"/>
        <v>-49.190920822714112</v>
      </c>
      <c r="F245" s="3">
        <v>-58</v>
      </c>
      <c r="G245" s="3">
        <v>16.4382284103472</v>
      </c>
      <c r="H245">
        <f t="shared" si="19"/>
        <v>1503.9006234868543</v>
      </c>
      <c r="I245" s="3">
        <v>1900.0833333333301</v>
      </c>
      <c r="J245" s="3">
        <v>0</v>
      </c>
      <c r="K245" s="3">
        <v>6.9937614179484102</v>
      </c>
    </row>
    <row r="246" spans="1:11" ht="18" x14ac:dyDescent="0.25">
      <c r="A246" s="3">
        <v>1973.1666666666599</v>
      </c>
      <c r="B246" s="3">
        <f t="shared" si="15"/>
        <v>-170.72944297082228</v>
      </c>
      <c r="C246" s="3">
        <f t="shared" si="16"/>
        <v>-141.92325191697225</v>
      </c>
      <c r="D246" s="3">
        <f t="shared" si="17"/>
        <v>-170.72944297082228</v>
      </c>
      <c r="E246" s="3">
        <f t="shared" si="18"/>
        <v>-110.59163167649041</v>
      </c>
      <c r="F246" s="3">
        <v>-106</v>
      </c>
      <c r="G246" s="3">
        <v>-44.962482443429103</v>
      </c>
      <c r="H246">
        <f t="shared" si="19"/>
        <v>829.79664303090942</v>
      </c>
      <c r="I246" s="3">
        <v>1900.1666666666599</v>
      </c>
      <c r="J246" s="3">
        <v>0</v>
      </c>
      <c r="K246" s="3">
        <v>-34.5346558492936</v>
      </c>
    </row>
    <row r="247" spans="1:11" ht="18" x14ac:dyDescent="0.25">
      <c r="A247" s="3">
        <v>1973.25</v>
      </c>
      <c r="B247" s="3">
        <f t="shared" si="15"/>
        <v>-170.72944297082228</v>
      </c>
      <c r="C247" s="3">
        <f t="shared" si="16"/>
        <v>-171.49354923400634</v>
      </c>
      <c r="D247" s="3">
        <f t="shared" si="17"/>
        <v>-170.72944297082228</v>
      </c>
      <c r="E247" s="3">
        <f t="shared" si="18"/>
        <v>-160.66413054719351</v>
      </c>
      <c r="F247" s="3">
        <v>-106</v>
      </c>
      <c r="G247" s="3">
        <v>-95.034981314132196</v>
      </c>
      <c r="H247">
        <f t="shared" si="19"/>
        <v>0.58385838143710977</v>
      </c>
      <c r="I247" s="3">
        <v>1900.25</v>
      </c>
      <c r="J247" s="3">
        <v>0</v>
      </c>
      <c r="K247" s="3">
        <v>-79.363553741942994</v>
      </c>
    </row>
    <row r="248" spans="1:11" ht="18" x14ac:dyDescent="0.25">
      <c r="A248" s="3">
        <v>1973.3333333333301</v>
      </c>
      <c r="B248" s="3">
        <f t="shared" si="15"/>
        <v>-170.72944297082228</v>
      </c>
      <c r="C248" s="3">
        <f t="shared" si="16"/>
        <v>-181.42108418250078</v>
      </c>
      <c r="D248" s="3">
        <f t="shared" si="17"/>
        <v>-170.72944297082228</v>
      </c>
      <c r="E248" s="3">
        <f t="shared" si="18"/>
        <v>-182.34758911808933</v>
      </c>
      <c r="F248" s="3">
        <v>-106</v>
      </c>
      <c r="G248" s="3">
        <v>-116.718439885028</v>
      </c>
      <c r="H248">
        <f t="shared" si="19"/>
        <v>114.31119179926213</v>
      </c>
      <c r="I248" s="3">
        <v>1900.3333333333301</v>
      </c>
      <c r="J248" s="3">
        <v>0</v>
      </c>
      <c r="K248" s="3">
        <v>-95.872113832143</v>
      </c>
    </row>
    <row r="249" spans="1:11" ht="18" x14ac:dyDescent="0.25">
      <c r="A249" s="3">
        <v>1973.4166666666599</v>
      </c>
      <c r="B249" s="3">
        <f t="shared" si="15"/>
        <v>-196.72944297082228</v>
      </c>
      <c r="C249" s="3">
        <f t="shared" si="16"/>
        <v>-186.00815977642392</v>
      </c>
      <c r="D249" s="3">
        <f t="shared" si="17"/>
        <v>-196.72944297082228</v>
      </c>
      <c r="E249" s="3">
        <f t="shared" si="18"/>
        <v>-193.47093989423431</v>
      </c>
      <c r="F249" s="3">
        <v>-132</v>
      </c>
      <c r="G249" s="3">
        <v>-127.84179066117299</v>
      </c>
      <c r="H249">
        <f t="shared" si="19"/>
        <v>114.94591333448855</v>
      </c>
      <c r="I249" s="3">
        <v>1900.4166666666599</v>
      </c>
      <c r="J249" s="3">
        <v>0</v>
      </c>
      <c r="K249" s="3">
        <v>-86.987170356866201</v>
      </c>
    </row>
    <row r="250" spans="1:11" ht="18" x14ac:dyDescent="0.25">
      <c r="A250" s="3">
        <v>1973.5</v>
      </c>
      <c r="B250" s="3">
        <f t="shared" si="15"/>
        <v>-196.72944297082228</v>
      </c>
      <c r="C250" s="3">
        <f t="shared" si="16"/>
        <v>-190.54210569855692</v>
      </c>
      <c r="D250" s="3">
        <f t="shared" si="17"/>
        <v>-196.72944297082228</v>
      </c>
      <c r="E250" s="3">
        <f t="shared" si="18"/>
        <v>-205.25418363875031</v>
      </c>
      <c r="F250" s="3">
        <v>-132</v>
      </c>
      <c r="G250" s="3">
        <v>-139.62503440568901</v>
      </c>
      <c r="H250">
        <f t="shared" si="19"/>
        <v>38.283142520764059</v>
      </c>
      <c r="I250" s="3">
        <v>1900.5</v>
      </c>
      <c r="J250" s="3">
        <v>0</v>
      </c>
      <c r="K250" s="3">
        <v>-61.255932180732202</v>
      </c>
    </row>
    <row r="251" spans="1:11" ht="18" x14ac:dyDescent="0.25">
      <c r="A251" s="3">
        <v>1973.5833333333301</v>
      </c>
      <c r="B251" s="3">
        <f t="shared" si="15"/>
        <v>-167.72944297082228</v>
      </c>
      <c r="C251" s="3">
        <f t="shared" si="16"/>
        <v>-188.63326213987284</v>
      </c>
      <c r="D251" s="3">
        <f t="shared" si="17"/>
        <v>-167.72944297082228</v>
      </c>
      <c r="E251" s="3">
        <f t="shared" si="18"/>
        <v>-200.1923903349853</v>
      </c>
      <c r="F251" s="3">
        <v>-103</v>
      </c>
      <c r="G251" s="3">
        <v>-134.56324110192401</v>
      </c>
      <c r="H251">
        <f t="shared" si="19"/>
        <v>436.9696558523658</v>
      </c>
      <c r="I251" s="3">
        <v>1900.5833333333301</v>
      </c>
      <c r="J251" s="3">
        <v>0</v>
      </c>
      <c r="K251" s="3">
        <v>-20.035424135088899</v>
      </c>
    </row>
    <row r="252" spans="1:11" ht="18" x14ac:dyDescent="0.25">
      <c r="A252" s="3">
        <v>1973.6666666666599</v>
      </c>
      <c r="B252" s="3">
        <f t="shared" si="15"/>
        <v>-162.72944297082228</v>
      </c>
      <c r="C252" s="3">
        <f t="shared" si="16"/>
        <v>-186.18515872957806</v>
      </c>
      <c r="D252" s="3">
        <f t="shared" si="17"/>
        <v>-162.72944297082228</v>
      </c>
      <c r="E252" s="3">
        <f t="shared" si="18"/>
        <v>-193.91570026054234</v>
      </c>
      <c r="F252" s="3">
        <v>-98</v>
      </c>
      <c r="G252" s="3">
        <v>-128.28655102748101</v>
      </c>
      <c r="H252">
        <f t="shared" si="19"/>
        <v>550.17060175554457</v>
      </c>
      <c r="I252" s="3">
        <v>1900.6666666666599</v>
      </c>
      <c r="J252" s="3">
        <v>0</v>
      </c>
      <c r="K252" s="3">
        <v>4.3073196381353398</v>
      </c>
    </row>
    <row r="253" spans="1:11" ht="18" x14ac:dyDescent="0.25">
      <c r="A253" s="3">
        <v>1973.75</v>
      </c>
      <c r="B253" s="3">
        <f t="shared" si="15"/>
        <v>-149.72944297082228</v>
      </c>
      <c r="C253" s="3">
        <f t="shared" si="16"/>
        <v>-182.73891525298936</v>
      </c>
      <c r="D253" s="3">
        <f t="shared" si="17"/>
        <v>-149.72944297082228</v>
      </c>
      <c r="E253" s="3">
        <f t="shared" si="18"/>
        <v>-185.46582223600529</v>
      </c>
      <c r="F253" s="3">
        <v>-85</v>
      </c>
      <c r="G253" s="3">
        <v>-119.836673002944</v>
      </c>
      <c r="H253">
        <f t="shared" si="19"/>
        <v>1089.6252603471569</v>
      </c>
      <c r="I253" s="3">
        <v>1900.75</v>
      </c>
      <c r="J253" s="3">
        <v>0</v>
      </c>
      <c r="K253" s="3">
        <v>15.8110539443625</v>
      </c>
    </row>
    <row r="254" spans="1:11" ht="18" x14ac:dyDescent="0.25">
      <c r="A254" s="3">
        <v>1973.8333333333301</v>
      </c>
      <c r="B254" s="3">
        <f t="shared" si="15"/>
        <v>-149.72944297082228</v>
      </c>
      <c r="C254" s="3">
        <f t="shared" si="16"/>
        <v>-167.83608080019516</v>
      </c>
      <c r="D254" s="3">
        <f t="shared" si="17"/>
        <v>-149.72944297082228</v>
      </c>
      <c r="E254" s="3">
        <f t="shared" si="18"/>
        <v>-153.39981093979389</v>
      </c>
      <c r="F254" s="3">
        <v>-85</v>
      </c>
      <c r="G254" s="3">
        <v>-87.770661706732596</v>
      </c>
      <c r="H254">
        <f t="shared" si="19"/>
        <v>327.85033348407728</v>
      </c>
      <c r="I254" s="3">
        <v>1900.8333333333301</v>
      </c>
      <c r="J254" s="3">
        <v>0</v>
      </c>
      <c r="K254" s="3">
        <v>38.443974061593501</v>
      </c>
    </row>
    <row r="255" spans="1:11" ht="18" x14ac:dyDescent="0.25">
      <c r="A255" s="3">
        <v>1973.9166666666599</v>
      </c>
      <c r="B255" s="3">
        <f t="shared" si="15"/>
        <v>-109.72944297082228</v>
      </c>
      <c r="C255" s="3">
        <f t="shared" si="16"/>
        <v>-145.89269670676916</v>
      </c>
      <c r="D255" s="3">
        <f t="shared" si="17"/>
        <v>-109.72944297082228</v>
      </c>
      <c r="E255" s="3">
        <f t="shared" si="18"/>
        <v>-116.31157305571281</v>
      </c>
      <c r="F255" s="3">
        <v>-45</v>
      </c>
      <c r="G255" s="3">
        <v>-50.682423822651501</v>
      </c>
      <c r="H255">
        <f t="shared" si="19"/>
        <v>1307.7809207704761</v>
      </c>
      <c r="I255" s="3">
        <v>1900.9166666666599</v>
      </c>
      <c r="J255" s="3">
        <v>0</v>
      </c>
      <c r="K255" s="3">
        <v>49.508256219411003</v>
      </c>
    </row>
    <row r="256" spans="1:11" ht="18" x14ac:dyDescent="0.25">
      <c r="A256" s="3">
        <v>1974</v>
      </c>
      <c r="B256" s="3">
        <f t="shared" si="15"/>
        <v>-74.729442970822276</v>
      </c>
      <c r="C256" s="3">
        <f t="shared" si="16"/>
        <v>-113.38761664724323</v>
      </c>
      <c r="D256" s="3">
        <f t="shared" si="17"/>
        <v>-74.729442970822276</v>
      </c>
      <c r="E256" s="3">
        <f t="shared" si="18"/>
        <v>-76.014399704433814</v>
      </c>
      <c r="F256" s="3">
        <v>-10</v>
      </c>
      <c r="G256" s="3">
        <v>-10.385250471372499</v>
      </c>
      <c r="H256">
        <f t="shared" si="19"/>
        <v>1494.4543919963262</v>
      </c>
      <c r="I256" s="3">
        <v>1901</v>
      </c>
      <c r="J256" s="3">
        <v>0</v>
      </c>
      <c r="K256" s="3">
        <v>48.990117570889097</v>
      </c>
    </row>
    <row r="257" spans="1:11" ht="18" x14ac:dyDescent="0.25">
      <c r="A257" s="3">
        <v>1974.0833333333301</v>
      </c>
      <c r="B257" s="3">
        <f t="shared" si="15"/>
        <v>-50.729442970822276</v>
      </c>
      <c r="C257" s="3">
        <f t="shared" si="16"/>
        <v>-53.831997573648501</v>
      </c>
      <c r="D257" s="3">
        <f t="shared" si="17"/>
        <v>-50.729442970822276</v>
      </c>
      <c r="E257" s="3">
        <f t="shared" si="18"/>
        <v>-27.942899219789716</v>
      </c>
      <c r="F257" s="3">
        <v>14</v>
      </c>
      <c r="G257" s="3">
        <v>37.686250013271597</v>
      </c>
      <c r="H257">
        <f t="shared" si="19"/>
        <v>9.6258450635181898</v>
      </c>
      <c r="I257" s="3">
        <v>1901.0833333333301</v>
      </c>
      <c r="J257" s="3">
        <v>0</v>
      </c>
      <c r="K257" s="3">
        <v>54.517856243837898</v>
      </c>
    </row>
    <row r="258" spans="1:11" ht="18" x14ac:dyDescent="0.25">
      <c r="A258" s="3">
        <v>1974.1666666666599</v>
      </c>
      <c r="B258" s="3">
        <f t="shared" si="15"/>
        <v>-35.729442970822276</v>
      </c>
      <c r="C258" s="3">
        <f t="shared" si="16"/>
        <v>-7.5921157758154001</v>
      </c>
      <c r="D258" s="3">
        <f t="shared" si="17"/>
        <v>-35.729442970822276</v>
      </c>
      <c r="E258" s="3">
        <f t="shared" si="18"/>
        <v>-3.3532351593489125</v>
      </c>
      <c r="F258" s="3">
        <v>29</v>
      </c>
      <c r="G258" s="3">
        <v>62.2759140737124</v>
      </c>
      <c r="H258">
        <f t="shared" si="19"/>
        <v>791.70918167887351</v>
      </c>
      <c r="I258" s="3">
        <v>1901.1666666666599</v>
      </c>
      <c r="J258" s="3">
        <v>0</v>
      </c>
      <c r="K258" s="3">
        <v>60.437996223245598</v>
      </c>
    </row>
    <row r="259" spans="1:11" ht="18" x14ac:dyDescent="0.25">
      <c r="A259" s="3">
        <v>1974.25</v>
      </c>
      <c r="B259" s="3">
        <f t="shared" si="15"/>
        <v>-33.729442970822276</v>
      </c>
      <c r="C259" s="3">
        <f t="shared" si="16"/>
        <v>36.424865982321201</v>
      </c>
      <c r="D259" s="3">
        <f t="shared" si="17"/>
        <v>-33.729442970822276</v>
      </c>
      <c r="E259" s="3">
        <f t="shared" si="18"/>
        <v>17.737106926824595</v>
      </c>
      <c r="F259" s="3">
        <v>31</v>
      </c>
      <c r="G259" s="3">
        <v>83.366256159885907</v>
      </c>
      <c r="H259">
        <f t="shared" si="19"/>
        <v>4921.6270646931061</v>
      </c>
      <c r="I259" s="3">
        <v>1901.25</v>
      </c>
      <c r="J259" s="3">
        <v>0</v>
      </c>
      <c r="K259" s="3">
        <v>99.359281816186098</v>
      </c>
    </row>
    <row r="260" spans="1:11" ht="18" x14ac:dyDescent="0.25">
      <c r="A260" s="3">
        <v>1974.3333333333301</v>
      </c>
      <c r="B260" s="3">
        <f t="shared" si="15"/>
        <v>64.270557029177724</v>
      </c>
      <c r="C260" s="3">
        <f t="shared" si="16"/>
        <v>116.56929867501728</v>
      </c>
      <c r="D260" s="3">
        <f t="shared" si="17"/>
        <v>64.270557029177724</v>
      </c>
      <c r="E260" s="3">
        <f t="shared" si="18"/>
        <v>79.383685208484692</v>
      </c>
      <c r="F260" s="3">
        <v>129</v>
      </c>
      <c r="G260" s="3">
        <v>145.012834441546</v>
      </c>
      <c r="H260">
        <f t="shared" si="19"/>
        <v>2735.1583777382725</v>
      </c>
      <c r="I260" s="3">
        <v>1901.3333333333301</v>
      </c>
      <c r="J260" s="3">
        <v>0</v>
      </c>
      <c r="K260" s="3">
        <v>189.00961533639401</v>
      </c>
    </row>
    <row r="261" spans="1:11" ht="18" x14ac:dyDescent="0.25">
      <c r="A261" s="3">
        <v>1974.4166666666599</v>
      </c>
      <c r="B261" s="3">
        <f t="shared" si="15"/>
        <v>160.27055702917772</v>
      </c>
      <c r="C261" s="3">
        <f t="shared" si="16"/>
        <v>172.09952368880215</v>
      </c>
      <c r="D261" s="3">
        <f t="shared" si="17"/>
        <v>160.27055702917772</v>
      </c>
      <c r="E261" s="3">
        <f t="shared" si="18"/>
        <v>161.90293923838271</v>
      </c>
      <c r="F261" s="3">
        <v>225</v>
      </c>
      <c r="G261" s="3">
        <v>227.53208847144401</v>
      </c>
      <c r="H261">
        <f t="shared" si="19"/>
        <v>139.92445223450628</v>
      </c>
      <c r="I261" s="3">
        <v>1901.4166666666599</v>
      </c>
      <c r="J261" s="3">
        <v>0</v>
      </c>
      <c r="K261" s="3">
        <v>273.30699292439499</v>
      </c>
    </row>
    <row r="262" spans="1:11" ht="18" x14ac:dyDescent="0.25">
      <c r="A262" s="3">
        <v>1974.5</v>
      </c>
      <c r="B262" s="3">
        <f t="shared" ref="B262:B325" si="20">+$D262</f>
        <v>217.27055702917772</v>
      </c>
      <c r="C262" s="3">
        <f t="shared" ref="C262:C325" si="21">$B$1*$E262/(1+$B$3*ABS($E262)^$B$2)</f>
        <v>200.42123705827041</v>
      </c>
      <c r="D262" s="3">
        <f t="shared" ref="D262:D325" si="22">+F262-$F$3</f>
        <v>217.27055702917772</v>
      </c>
      <c r="E262" s="3">
        <f t="shared" ref="E262:E325" si="23">+$G262-$G$3</f>
        <v>234.08473104171571</v>
      </c>
      <c r="F262" s="3">
        <v>282</v>
      </c>
      <c r="G262" s="3">
        <v>299.71388027477701</v>
      </c>
      <c r="H262">
        <f t="shared" ref="H262:H325" si="24">+(B262-C262)^2</f>
        <v>283.89958348201611</v>
      </c>
      <c r="I262" s="3">
        <v>1901.5</v>
      </c>
      <c r="J262" s="3">
        <v>0</v>
      </c>
      <c r="K262" s="3">
        <v>312.175739105086</v>
      </c>
    </row>
    <row r="263" spans="1:11" ht="18" x14ac:dyDescent="0.25">
      <c r="A263" s="3">
        <v>1974.5833333333301</v>
      </c>
      <c r="B263" s="3">
        <f t="shared" si="20"/>
        <v>224.27055702917772</v>
      </c>
      <c r="C263" s="3">
        <f t="shared" si="21"/>
        <v>209.94625765802888</v>
      </c>
      <c r="D263" s="3">
        <f t="shared" si="22"/>
        <v>224.27055702917772</v>
      </c>
      <c r="E263" s="3">
        <f t="shared" si="23"/>
        <v>266.88823931283173</v>
      </c>
      <c r="F263" s="3">
        <v>289</v>
      </c>
      <c r="G263" s="3">
        <v>332.51738854589303</v>
      </c>
      <c r="H263">
        <f t="shared" si="24"/>
        <v>205.18555247429504</v>
      </c>
      <c r="I263" s="3">
        <v>1901.5833333333301</v>
      </c>
      <c r="J263" s="3">
        <v>0</v>
      </c>
      <c r="K263" s="3">
        <v>297.47159116769001</v>
      </c>
    </row>
    <row r="264" spans="1:11" ht="18" x14ac:dyDescent="0.25">
      <c r="A264" s="3">
        <v>1974.6666666666599</v>
      </c>
      <c r="B264" s="3">
        <f t="shared" si="20"/>
        <v>233.27055702917772</v>
      </c>
      <c r="C264" s="3">
        <f t="shared" si="21"/>
        <v>203.90011249488822</v>
      </c>
      <c r="D264" s="3">
        <f t="shared" si="22"/>
        <v>233.27055702917772</v>
      </c>
      <c r="E264" s="3">
        <f t="shared" si="23"/>
        <v>245.42910536786968</v>
      </c>
      <c r="F264" s="3">
        <v>298</v>
      </c>
      <c r="G264" s="3">
        <v>311.05825460093098</v>
      </c>
      <c r="H264">
        <f t="shared" si="24"/>
        <v>862.62301214177626</v>
      </c>
      <c r="I264" s="3">
        <v>1901.6666666666599</v>
      </c>
      <c r="J264" s="3">
        <v>0</v>
      </c>
      <c r="K264" s="3">
        <v>247.255618559167</v>
      </c>
    </row>
    <row r="265" spans="1:11" ht="18" x14ac:dyDescent="0.25">
      <c r="A265" s="3">
        <v>1974.75</v>
      </c>
      <c r="B265" s="3">
        <f t="shared" si="20"/>
        <v>233.27055702917772</v>
      </c>
      <c r="C265" s="3">
        <f t="shared" si="21"/>
        <v>196.04437603170558</v>
      </c>
      <c r="D265" s="3">
        <f t="shared" si="22"/>
        <v>233.27055702917772</v>
      </c>
      <c r="E265" s="3">
        <f t="shared" si="23"/>
        <v>220.7338369091467</v>
      </c>
      <c r="F265" s="3">
        <v>298</v>
      </c>
      <c r="G265" s="3">
        <v>286.362986142208</v>
      </c>
      <c r="H265">
        <f t="shared" si="24"/>
        <v>1385.7885516565559</v>
      </c>
      <c r="I265" s="3">
        <v>1901.75</v>
      </c>
      <c r="J265" s="3">
        <v>0</v>
      </c>
      <c r="K265" s="3">
        <v>223.08230935975101</v>
      </c>
    </row>
    <row r="266" spans="1:11" ht="18" x14ac:dyDescent="0.25">
      <c r="A266" s="3">
        <v>1974.8333333333301</v>
      </c>
      <c r="B266" s="3">
        <f t="shared" si="20"/>
        <v>227.27055702917772</v>
      </c>
      <c r="C266" s="3">
        <f t="shared" si="21"/>
        <v>194.74475751366535</v>
      </c>
      <c r="D266" s="3">
        <f t="shared" si="22"/>
        <v>227.27055702917772</v>
      </c>
      <c r="E266" s="3">
        <f t="shared" si="23"/>
        <v>216.95260570557372</v>
      </c>
      <c r="F266" s="3">
        <v>292</v>
      </c>
      <c r="G266" s="3">
        <v>282.58175493863502</v>
      </c>
      <c r="H266">
        <f t="shared" si="24"/>
        <v>1057.9276341233051</v>
      </c>
      <c r="I266" s="3">
        <v>1901.8333333333301</v>
      </c>
      <c r="J266" s="3">
        <v>0</v>
      </c>
      <c r="K266" s="3">
        <v>227.165751393882</v>
      </c>
    </row>
    <row r="267" spans="1:11" ht="18" x14ac:dyDescent="0.25">
      <c r="A267" s="3">
        <v>1974.9166666666599</v>
      </c>
      <c r="B267" s="3">
        <f t="shared" si="20"/>
        <v>227.27055702917772</v>
      </c>
      <c r="C267" s="3">
        <f t="shared" si="21"/>
        <v>187.24339602417081</v>
      </c>
      <c r="D267" s="3">
        <f t="shared" si="22"/>
        <v>227.27055702917772</v>
      </c>
      <c r="E267" s="3">
        <f t="shared" si="23"/>
        <v>196.6000043494497</v>
      </c>
      <c r="F267" s="3">
        <v>292</v>
      </c>
      <c r="G267" s="3">
        <v>262.229153582511</v>
      </c>
      <c r="H267">
        <f t="shared" si="24"/>
        <v>1602.1736181207464</v>
      </c>
      <c r="I267" s="3">
        <v>1901.9166666666599</v>
      </c>
      <c r="J267" s="3">
        <v>0</v>
      </c>
      <c r="K267" s="3">
        <v>203.49883557419099</v>
      </c>
    </row>
    <row r="268" spans="1:11" ht="18" x14ac:dyDescent="0.25">
      <c r="A268" s="3">
        <v>1975</v>
      </c>
      <c r="B268" s="3">
        <f t="shared" si="20"/>
        <v>235.27055702917772</v>
      </c>
      <c r="C268" s="3">
        <f t="shared" si="21"/>
        <v>170.56619279079158</v>
      </c>
      <c r="D268" s="3">
        <f t="shared" si="22"/>
        <v>235.27055702917772</v>
      </c>
      <c r="E268" s="3">
        <f t="shared" si="23"/>
        <v>158.7880716229617</v>
      </c>
      <c r="F268" s="3">
        <v>300</v>
      </c>
      <c r="G268" s="3">
        <v>224.41722085602299</v>
      </c>
      <c r="H268">
        <f t="shared" si="24"/>
        <v>4186.6547514937447</v>
      </c>
      <c r="I268" s="3">
        <v>1902</v>
      </c>
      <c r="J268" s="3">
        <v>0</v>
      </c>
      <c r="K268" s="3">
        <v>152.39810040475101</v>
      </c>
    </row>
    <row r="269" spans="1:11" ht="18" x14ac:dyDescent="0.25">
      <c r="A269" s="3">
        <v>1975.0833333333301</v>
      </c>
      <c r="B269" s="3">
        <f t="shared" si="20"/>
        <v>235.27055702917772</v>
      </c>
      <c r="C269" s="3">
        <f t="shared" si="21"/>
        <v>141.81850003077113</v>
      </c>
      <c r="D269" s="3">
        <f t="shared" si="22"/>
        <v>235.27055702917772</v>
      </c>
      <c r="E269" s="3">
        <f t="shared" si="23"/>
        <v>110.44418185836069</v>
      </c>
      <c r="F269" s="3">
        <v>300</v>
      </c>
      <c r="G269" s="3">
        <v>176.07333109142201</v>
      </c>
      <c r="H269">
        <f t="shared" si="24"/>
        <v>8733.2869572334348</v>
      </c>
      <c r="I269" s="3">
        <v>1902.0833333333301</v>
      </c>
      <c r="J269" s="3">
        <v>0</v>
      </c>
      <c r="K269" s="3">
        <v>88.936133996357796</v>
      </c>
    </row>
    <row r="270" spans="1:11" ht="18" x14ac:dyDescent="0.25">
      <c r="A270" s="3">
        <v>1975.1666666666599</v>
      </c>
      <c r="B270" s="3">
        <f t="shared" si="20"/>
        <v>175.27055702917772</v>
      </c>
      <c r="C270" s="3">
        <f t="shared" si="21"/>
        <v>80.770801255898093</v>
      </c>
      <c r="D270" s="3">
        <f t="shared" si="22"/>
        <v>175.27055702917772</v>
      </c>
      <c r="E270" s="3">
        <f t="shared" si="23"/>
        <v>46.693488942215694</v>
      </c>
      <c r="F270" s="3">
        <v>240</v>
      </c>
      <c r="G270" s="3">
        <v>112.32263817527701</v>
      </c>
      <c r="H270">
        <f t="shared" si="24"/>
        <v>8930.2038412094971</v>
      </c>
      <c r="I270" s="3">
        <v>1902.1666666666599</v>
      </c>
      <c r="J270" s="3">
        <v>0</v>
      </c>
      <c r="K270" s="3">
        <v>17.123786958548099</v>
      </c>
    </row>
    <row r="271" spans="1:11" ht="18" x14ac:dyDescent="0.25">
      <c r="A271" s="3">
        <v>1975.25</v>
      </c>
      <c r="B271" s="3">
        <f t="shared" si="20"/>
        <v>20.270557029177724</v>
      </c>
      <c r="C271" s="3">
        <f t="shared" si="21"/>
        <v>-11.798128202956619</v>
      </c>
      <c r="D271" s="3">
        <f t="shared" si="22"/>
        <v>20.270557029177724</v>
      </c>
      <c r="E271" s="3">
        <f t="shared" si="23"/>
        <v>-5.2825700398139119</v>
      </c>
      <c r="F271" s="3">
        <v>85</v>
      </c>
      <c r="G271" s="3">
        <v>60.3465791932474</v>
      </c>
      <c r="H271">
        <f t="shared" si="24"/>
        <v>1028.4005725177112</v>
      </c>
      <c r="I271" s="3">
        <v>1902.25</v>
      </c>
      <c r="J271" s="3">
        <v>0</v>
      </c>
      <c r="K271" s="3">
        <v>-33.506251298793103</v>
      </c>
    </row>
    <row r="272" spans="1:11" ht="18" x14ac:dyDescent="0.25">
      <c r="A272" s="3">
        <v>1975.3333333333301</v>
      </c>
      <c r="B272" s="3">
        <f t="shared" si="20"/>
        <v>-114.72944297082228</v>
      </c>
      <c r="C272" s="3">
        <f t="shared" si="21"/>
        <v>-84.324718503008455</v>
      </c>
      <c r="D272" s="3">
        <f t="shared" si="22"/>
        <v>-114.72944297082228</v>
      </c>
      <c r="E272" s="3">
        <f t="shared" si="23"/>
        <v>-49.490402567534616</v>
      </c>
      <c r="F272" s="3">
        <v>-50</v>
      </c>
      <c r="G272" s="3">
        <v>16.1387466655267</v>
      </c>
      <c r="H272">
        <f t="shared" si="24"/>
        <v>924.44726996367649</v>
      </c>
      <c r="I272" s="3">
        <v>1902.3333333333301</v>
      </c>
      <c r="J272" s="3">
        <v>0</v>
      </c>
      <c r="K272" s="3">
        <v>-65.855744173103901</v>
      </c>
    </row>
    <row r="273" spans="1:11" ht="18" x14ac:dyDescent="0.25">
      <c r="A273" s="3">
        <v>1975.4166666666599</v>
      </c>
      <c r="B273" s="3">
        <f t="shared" si="20"/>
        <v>-157.72944297082228</v>
      </c>
      <c r="C273" s="3">
        <f t="shared" si="21"/>
        <v>-141.65467373142633</v>
      </c>
      <c r="D273" s="3">
        <f t="shared" si="22"/>
        <v>-157.72944297082228</v>
      </c>
      <c r="E273" s="3">
        <f t="shared" si="23"/>
        <v>-110.21393014018511</v>
      </c>
      <c r="F273" s="3">
        <v>-93</v>
      </c>
      <c r="G273" s="3">
        <v>-44.5847809071238</v>
      </c>
      <c r="H273">
        <f t="shared" si="24"/>
        <v>258.39820609983019</v>
      </c>
      <c r="I273" s="3">
        <v>1902.4166666666599</v>
      </c>
      <c r="J273" s="3">
        <v>0</v>
      </c>
      <c r="K273" s="3">
        <v>-94.619552768034097</v>
      </c>
    </row>
    <row r="274" spans="1:11" ht="18" x14ac:dyDescent="0.25">
      <c r="A274" s="3">
        <v>1975.5</v>
      </c>
      <c r="B274" s="3">
        <f t="shared" si="20"/>
        <v>-234.72944297082228</v>
      </c>
      <c r="C274" s="3">
        <f t="shared" si="21"/>
        <v>-173.97240662323645</v>
      </c>
      <c r="D274" s="3">
        <f t="shared" si="22"/>
        <v>-234.72944297082228</v>
      </c>
      <c r="E274" s="3">
        <f t="shared" si="23"/>
        <v>-165.79776212124131</v>
      </c>
      <c r="F274" s="3">
        <v>-170</v>
      </c>
      <c r="G274" s="3">
        <v>-100.16861288817999</v>
      </c>
      <c r="H274">
        <f t="shared" si="24"/>
        <v>3691.4174657418648</v>
      </c>
      <c r="I274" s="3">
        <v>1902.5</v>
      </c>
      <c r="J274" s="3">
        <v>0</v>
      </c>
      <c r="K274" s="3">
        <v>-101.96460192177</v>
      </c>
    </row>
    <row r="275" spans="1:11" ht="18" x14ac:dyDescent="0.25">
      <c r="A275" s="3">
        <v>1975.5833333333301</v>
      </c>
      <c r="B275" s="3">
        <f t="shared" si="20"/>
        <v>-234.72944297082228</v>
      </c>
      <c r="C275" s="3">
        <f t="shared" si="21"/>
        <v>-191.17330624674571</v>
      </c>
      <c r="D275" s="3">
        <f t="shared" si="22"/>
        <v>-234.72944297082228</v>
      </c>
      <c r="E275" s="3">
        <f t="shared" si="23"/>
        <v>-206.9615810951953</v>
      </c>
      <c r="F275" s="3">
        <v>-170</v>
      </c>
      <c r="G275" s="3">
        <v>-141.332431862134</v>
      </c>
      <c r="H275">
        <f t="shared" si="24"/>
        <v>1897.1370463264514</v>
      </c>
      <c r="I275" s="3">
        <v>1902.5833333333301</v>
      </c>
      <c r="J275" s="3">
        <v>0</v>
      </c>
      <c r="K275" s="3">
        <v>-104.435152918613</v>
      </c>
    </row>
    <row r="276" spans="1:11" ht="18" x14ac:dyDescent="0.25">
      <c r="A276" s="3">
        <v>1975.6666666666599</v>
      </c>
      <c r="B276" s="3">
        <f t="shared" si="20"/>
        <v>-217.72944297082228</v>
      </c>
      <c r="C276" s="3">
        <f t="shared" si="21"/>
        <v>-199.83589934771416</v>
      </c>
      <c r="D276" s="3">
        <f t="shared" si="22"/>
        <v>-217.72944297082228</v>
      </c>
      <c r="E276" s="3">
        <f t="shared" si="23"/>
        <v>-232.24181107490631</v>
      </c>
      <c r="F276" s="3">
        <v>-153</v>
      </c>
      <c r="G276" s="3">
        <v>-166.61266184184501</v>
      </c>
      <c r="H276">
        <f t="shared" si="24"/>
        <v>320.1789033920731</v>
      </c>
      <c r="I276" s="3">
        <v>1902.6666666666599</v>
      </c>
      <c r="J276" s="3">
        <v>0</v>
      </c>
      <c r="K276" s="3">
        <v>-119.93513619930501</v>
      </c>
    </row>
    <row r="277" spans="1:11" ht="18" x14ac:dyDescent="0.25">
      <c r="A277" s="3">
        <v>1975.75</v>
      </c>
      <c r="B277" s="3">
        <f t="shared" si="20"/>
        <v>-216.72944297082228</v>
      </c>
      <c r="C277" s="3">
        <f t="shared" si="21"/>
        <v>-197.16817220501034</v>
      </c>
      <c r="D277" s="3">
        <f t="shared" si="22"/>
        <v>-216.72944297082228</v>
      </c>
      <c r="E277" s="3">
        <f t="shared" si="23"/>
        <v>-224.06926260684634</v>
      </c>
      <c r="F277" s="3">
        <v>-152</v>
      </c>
      <c r="G277" s="3">
        <v>-158.44011337378501</v>
      </c>
      <c r="H277">
        <f t="shared" si="24"/>
        <v>382.64331397340885</v>
      </c>
      <c r="I277" s="3">
        <v>1902.75</v>
      </c>
      <c r="J277" s="3">
        <v>0</v>
      </c>
      <c r="K277" s="3">
        <v>-128.850855333445</v>
      </c>
    </row>
    <row r="278" spans="1:11" ht="18" x14ac:dyDescent="0.25">
      <c r="A278" s="3">
        <v>1975.8333333333301</v>
      </c>
      <c r="B278" s="3">
        <f t="shared" si="20"/>
        <v>-214.72944297082228</v>
      </c>
      <c r="C278" s="3">
        <f t="shared" si="21"/>
        <v>-193.8616647479422</v>
      </c>
      <c r="D278" s="3">
        <f t="shared" si="22"/>
        <v>-214.72944297082228</v>
      </c>
      <c r="E278" s="3">
        <f t="shared" si="23"/>
        <v>-214.4285449427573</v>
      </c>
      <c r="F278" s="3">
        <v>-150</v>
      </c>
      <c r="G278" s="3">
        <v>-148.799395709696</v>
      </c>
      <c r="H278">
        <f t="shared" si="24"/>
        <v>435.46416795930799</v>
      </c>
      <c r="I278" s="3">
        <v>1902.8333333333301</v>
      </c>
      <c r="J278" s="3">
        <v>0</v>
      </c>
      <c r="K278" s="3">
        <v>-142.952396795227</v>
      </c>
    </row>
    <row r="279" spans="1:11" ht="18" x14ac:dyDescent="0.25">
      <c r="A279" s="3">
        <v>1975.9166666666599</v>
      </c>
      <c r="B279" s="3">
        <f t="shared" si="20"/>
        <v>-214.72944297082228</v>
      </c>
      <c r="C279" s="3">
        <f t="shared" si="21"/>
        <v>-197.92124217032443</v>
      </c>
      <c r="D279" s="3">
        <f t="shared" si="22"/>
        <v>-214.72944297082228</v>
      </c>
      <c r="E279" s="3">
        <f t="shared" si="23"/>
        <v>-226.33940070816732</v>
      </c>
      <c r="F279" s="3">
        <v>-150</v>
      </c>
      <c r="G279" s="3">
        <v>-160.71025147510599</v>
      </c>
      <c r="H279">
        <f t="shared" si="24"/>
        <v>282.51561414985633</v>
      </c>
      <c r="I279" s="3">
        <v>1902.9166666666599</v>
      </c>
      <c r="J279" s="3">
        <v>0</v>
      </c>
      <c r="K279" s="3">
        <v>-163.83063575793699</v>
      </c>
    </row>
    <row r="280" spans="1:11" ht="18" x14ac:dyDescent="0.25">
      <c r="A280" s="3">
        <v>1976</v>
      </c>
      <c r="B280" s="3">
        <f t="shared" si="20"/>
        <v>-214.72944297082228</v>
      </c>
      <c r="C280" s="3">
        <f t="shared" si="21"/>
        <v>-197.95957927380917</v>
      </c>
      <c r="D280" s="3">
        <f t="shared" si="22"/>
        <v>-214.72944297082228</v>
      </c>
      <c r="E280" s="3">
        <f t="shared" si="23"/>
        <v>-226.45573227294631</v>
      </c>
      <c r="F280" s="3">
        <v>-150</v>
      </c>
      <c r="G280" s="3">
        <v>-160.82658303988501</v>
      </c>
      <c r="H280">
        <f t="shared" si="24"/>
        <v>281.22832841639814</v>
      </c>
      <c r="I280" s="3">
        <v>1903</v>
      </c>
      <c r="J280" s="3">
        <v>0</v>
      </c>
      <c r="K280" s="3">
        <v>-160.84137826843201</v>
      </c>
    </row>
    <row r="281" spans="1:11" ht="18" x14ac:dyDescent="0.25">
      <c r="A281" s="3">
        <v>1976.0833333333301</v>
      </c>
      <c r="B281" s="3">
        <f t="shared" si="20"/>
        <v>-193.72944297082228</v>
      </c>
      <c r="C281" s="3">
        <f t="shared" si="21"/>
        <v>-194.64657055321152</v>
      </c>
      <c r="D281" s="3">
        <f t="shared" si="22"/>
        <v>-193.72944297082228</v>
      </c>
      <c r="E281" s="3">
        <f t="shared" si="23"/>
        <v>-216.67017688313933</v>
      </c>
      <c r="F281" s="3">
        <v>-129</v>
      </c>
      <c r="G281" s="3">
        <v>-151.04102765007801</v>
      </c>
      <c r="H281">
        <f t="shared" si="24"/>
        <v>0.84112300237913495</v>
      </c>
      <c r="I281" s="3">
        <v>1903.0833333333301</v>
      </c>
      <c r="J281" s="3">
        <v>0</v>
      </c>
      <c r="K281" s="3">
        <v>-148.543812731423</v>
      </c>
    </row>
    <row r="282" spans="1:11" ht="18" x14ac:dyDescent="0.25">
      <c r="A282" s="3">
        <v>1976.1666666666599</v>
      </c>
      <c r="B282" s="3">
        <f t="shared" si="20"/>
        <v>-188.72944297082228</v>
      </c>
      <c r="C282" s="3">
        <f t="shared" si="21"/>
        <v>-191.83059636369083</v>
      </c>
      <c r="D282" s="3">
        <f t="shared" si="22"/>
        <v>-188.72944297082228</v>
      </c>
      <c r="E282" s="3">
        <f t="shared" si="23"/>
        <v>-208.75775360490633</v>
      </c>
      <c r="F282" s="3">
        <v>-124</v>
      </c>
      <c r="G282" s="3">
        <v>-143.128604371845</v>
      </c>
      <c r="H282">
        <f t="shared" si="24"/>
        <v>9.617152366100143</v>
      </c>
      <c r="I282" s="3">
        <v>1903.1666666666599</v>
      </c>
      <c r="J282" s="3">
        <v>0</v>
      </c>
      <c r="K282" s="3">
        <v>-132.97554363895301</v>
      </c>
    </row>
    <row r="283" spans="1:11" ht="18" x14ac:dyDescent="0.25">
      <c r="A283" s="3">
        <v>1976.25</v>
      </c>
      <c r="B283" s="3">
        <f t="shared" si="20"/>
        <v>-187.72944297082228</v>
      </c>
      <c r="C283" s="3">
        <f t="shared" si="21"/>
        <v>-180.46076946057187</v>
      </c>
      <c r="D283" s="3">
        <f t="shared" si="22"/>
        <v>-187.72944297082228</v>
      </c>
      <c r="E283" s="3">
        <f t="shared" si="23"/>
        <v>-180.11302971667533</v>
      </c>
      <c r="F283" s="3">
        <v>-123</v>
      </c>
      <c r="G283" s="3">
        <v>-114.483880483614</v>
      </c>
      <c r="H283">
        <f t="shared" si="24"/>
        <v>52.833614598616002</v>
      </c>
      <c r="I283" s="3">
        <v>1903.25</v>
      </c>
      <c r="J283" s="3">
        <v>0</v>
      </c>
      <c r="K283" s="3">
        <v>-80.490742358877498</v>
      </c>
    </row>
    <row r="284" spans="1:11" ht="18" x14ac:dyDescent="0.25">
      <c r="A284" s="3">
        <v>1976.3333333333301</v>
      </c>
      <c r="B284" s="3">
        <f t="shared" si="20"/>
        <v>-163.72944297082228</v>
      </c>
      <c r="C284" s="3">
        <f t="shared" si="21"/>
        <v>-150.93185718352382</v>
      </c>
      <c r="D284" s="3">
        <f t="shared" si="22"/>
        <v>-163.72944297082228</v>
      </c>
      <c r="E284" s="3">
        <f t="shared" si="23"/>
        <v>-123.96525388338191</v>
      </c>
      <c r="F284" s="3">
        <v>-99</v>
      </c>
      <c r="G284" s="3">
        <v>-58.3361046503206</v>
      </c>
      <c r="H284">
        <f t="shared" si="24"/>
        <v>163.77820198326353</v>
      </c>
      <c r="I284" s="3">
        <v>1903.3333333333301</v>
      </c>
      <c r="J284" s="3">
        <v>0</v>
      </c>
      <c r="K284" s="3">
        <v>11.621134364577999</v>
      </c>
    </row>
    <row r="285" spans="1:11" ht="18" x14ac:dyDescent="0.25">
      <c r="A285" s="3">
        <v>1976.4166666666599</v>
      </c>
      <c r="B285" s="3">
        <f t="shared" si="20"/>
        <v>-94.729442970822276</v>
      </c>
      <c r="C285" s="3">
        <f t="shared" si="21"/>
        <v>-51.516517219752615</v>
      </c>
      <c r="D285" s="3">
        <f t="shared" si="22"/>
        <v>-94.729442970822276</v>
      </c>
      <c r="E285" s="3">
        <f t="shared" si="23"/>
        <v>-26.508360843618412</v>
      </c>
      <c r="F285" s="3">
        <v>-30</v>
      </c>
      <c r="G285" s="3">
        <v>39.1207883894429</v>
      </c>
      <c r="H285">
        <f t="shared" si="24"/>
        <v>1867.3569519674595</v>
      </c>
      <c r="I285" s="3">
        <v>1903.4166666666599</v>
      </c>
      <c r="J285" s="3">
        <v>0</v>
      </c>
      <c r="K285" s="3">
        <v>134.483599089058</v>
      </c>
    </row>
    <row r="286" spans="1:11" ht="18" x14ac:dyDescent="0.25">
      <c r="A286" s="3">
        <v>1976.5</v>
      </c>
      <c r="B286" s="3">
        <f t="shared" si="20"/>
        <v>81.270557029177724</v>
      </c>
      <c r="C286" s="3">
        <f t="shared" si="21"/>
        <v>140.98338598225862</v>
      </c>
      <c r="D286" s="3">
        <f t="shared" si="22"/>
        <v>81.270557029177724</v>
      </c>
      <c r="E286" s="3">
        <f t="shared" si="23"/>
        <v>109.27491934919767</v>
      </c>
      <c r="F286" s="3">
        <v>146</v>
      </c>
      <c r="G286" s="3">
        <v>174.90406858225899</v>
      </c>
      <c r="H286">
        <f t="shared" si="24"/>
        <v>3565.6219415798969</v>
      </c>
      <c r="I286" s="3">
        <v>1903.5</v>
      </c>
      <c r="J286" s="3">
        <v>0</v>
      </c>
      <c r="K286" s="3">
        <v>256.54997262903697</v>
      </c>
    </row>
    <row r="287" spans="1:11" ht="18" x14ac:dyDescent="0.25">
      <c r="A287" s="3">
        <v>1976.5833333333301</v>
      </c>
      <c r="B287" s="3">
        <f t="shared" si="20"/>
        <v>155.27055702917772</v>
      </c>
      <c r="C287" s="3">
        <f t="shared" si="21"/>
        <v>194.60613169511888</v>
      </c>
      <c r="D287" s="3">
        <f t="shared" si="22"/>
        <v>155.27055702917772</v>
      </c>
      <c r="E287" s="3">
        <f t="shared" si="23"/>
        <v>216.55398797951273</v>
      </c>
      <c r="F287" s="3">
        <v>220</v>
      </c>
      <c r="G287" s="3">
        <v>282.18313721257402</v>
      </c>
      <c r="H287">
        <f t="shared" si="24"/>
        <v>1547.2874342998314</v>
      </c>
      <c r="I287" s="3">
        <v>1903.5833333333301</v>
      </c>
      <c r="J287" s="3">
        <v>0</v>
      </c>
      <c r="K287" s="3">
        <v>313.87072311622302</v>
      </c>
    </row>
    <row r="288" spans="1:11" ht="18" x14ac:dyDescent="0.25">
      <c r="A288" s="3">
        <v>1976.6666666666599</v>
      </c>
      <c r="B288" s="3">
        <f t="shared" si="20"/>
        <v>155.27055702917772</v>
      </c>
      <c r="C288" s="3">
        <f t="shared" si="21"/>
        <v>210.37943737570481</v>
      </c>
      <c r="D288" s="3">
        <f t="shared" si="22"/>
        <v>155.27055702917772</v>
      </c>
      <c r="E288" s="3">
        <f t="shared" si="23"/>
        <v>268.5185264478647</v>
      </c>
      <c r="F288" s="3">
        <v>220</v>
      </c>
      <c r="G288" s="3">
        <v>334.147675680926</v>
      </c>
      <c r="H288">
        <f t="shared" si="24"/>
        <v>3036.9886930478397</v>
      </c>
      <c r="I288" s="3">
        <v>1903.6666666666599</v>
      </c>
      <c r="J288" s="3">
        <v>0</v>
      </c>
      <c r="K288" s="3">
        <v>320.74688927488501</v>
      </c>
    </row>
    <row r="289" spans="1:11" ht="18" x14ac:dyDescent="0.25">
      <c r="A289" s="3">
        <v>1976.75</v>
      </c>
      <c r="B289" s="3">
        <f t="shared" si="20"/>
        <v>183.27055702917772</v>
      </c>
      <c r="C289" s="3">
        <f t="shared" si="21"/>
        <v>215.7266882914881</v>
      </c>
      <c r="D289" s="3">
        <f t="shared" si="22"/>
        <v>183.27055702917772</v>
      </c>
      <c r="E289" s="3">
        <f t="shared" si="23"/>
        <v>289.78403805694973</v>
      </c>
      <c r="F289" s="3">
        <v>248</v>
      </c>
      <c r="G289" s="3">
        <v>355.41318729001102</v>
      </c>
      <c r="H289">
        <f t="shared" si="24"/>
        <v>1053.4004565163211</v>
      </c>
      <c r="I289" s="3">
        <v>1903.75</v>
      </c>
      <c r="J289" s="3">
        <v>0</v>
      </c>
      <c r="K289" s="3">
        <v>337.44270000976201</v>
      </c>
    </row>
    <row r="290" spans="1:11" ht="18" x14ac:dyDescent="0.25">
      <c r="A290" s="3">
        <v>1976.8333333333301</v>
      </c>
      <c r="B290" s="3">
        <f t="shared" si="20"/>
        <v>165.27055702917772</v>
      </c>
      <c r="C290" s="3">
        <f t="shared" si="21"/>
        <v>212.48652919146807</v>
      </c>
      <c r="D290" s="3">
        <f t="shared" si="22"/>
        <v>165.27055702917772</v>
      </c>
      <c r="E290" s="3">
        <f t="shared" si="23"/>
        <v>276.64013269933872</v>
      </c>
      <c r="F290" s="3">
        <v>230</v>
      </c>
      <c r="G290" s="3">
        <v>342.26928193240002</v>
      </c>
      <c r="H290">
        <f t="shared" si="24"/>
        <v>2229.3480272301763</v>
      </c>
      <c r="I290" s="3">
        <v>1903.8333333333301</v>
      </c>
      <c r="J290" s="3">
        <v>0</v>
      </c>
      <c r="K290" s="3">
        <v>364.48175245170899</v>
      </c>
    </row>
    <row r="291" spans="1:11" ht="18" x14ac:dyDescent="0.25">
      <c r="A291" s="3">
        <v>1976.9166666666599</v>
      </c>
      <c r="B291" s="3">
        <f t="shared" si="20"/>
        <v>192.27055702917772</v>
      </c>
      <c r="C291" s="3">
        <f t="shared" si="21"/>
        <v>203.07930101478189</v>
      </c>
      <c r="D291" s="3">
        <f t="shared" si="22"/>
        <v>192.27055702917772</v>
      </c>
      <c r="E291" s="3">
        <f t="shared" si="23"/>
        <v>242.69041641182571</v>
      </c>
      <c r="F291" s="3">
        <v>257</v>
      </c>
      <c r="G291" s="3">
        <v>308.31956564488701</v>
      </c>
      <c r="H291">
        <f t="shared" si="24"/>
        <v>116.82894654633425</v>
      </c>
      <c r="I291" s="3">
        <v>1903.9166666666599</v>
      </c>
      <c r="J291" s="3">
        <v>0</v>
      </c>
      <c r="K291" s="3">
        <v>392.145980982943</v>
      </c>
    </row>
    <row r="292" spans="1:11" ht="18" x14ac:dyDescent="0.25">
      <c r="A292" s="3">
        <v>1977</v>
      </c>
      <c r="B292" s="3">
        <f t="shared" si="20"/>
        <v>192.27055702917772</v>
      </c>
      <c r="C292" s="3">
        <f t="shared" si="21"/>
        <v>191.88501676022264</v>
      </c>
      <c r="D292" s="3">
        <f t="shared" si="22"/>
        <v>192.27055702917772</v>
      </c>
      <c r="E292" s="3">
        <f t="shared" si="23"/>
        <v>208.9073092234637</v>
      </c>
      <c r="F292" s="3">
        <v>257</v>
      </c>
      <c r="G292" s="3">
        <v>274.536458456525</v>
      </c>
      <c r="H292">
        <f t="shared" si="24"/>
        <v>0.14864129898595763</v>
      </c>
      <c r="I292" s="3">
        <v>1904</v>
      </c>
      <c r="J292" s="3">
        <v>0</v>
      </c>
      <c r="K292" s="3">
        <v>407.097573335596</v>
      </c>
    </row>
    <row r="293" spans="1:11" ht="18" x14ac:dyDescent="0.25">
      <c r="A293" s="3">
        <v>1977.0833333333301</v>
      </c>
      <c r="B293" s="3">
        <f t="shared" si="20"/>
        <v>203.27055702917772</v>
      </c>
      <c r="C293" s="3">
        <f t="shared" si="21"/>
        <v>174.18718193408</v>
      </c>
      <c r="D293" s="3">
        <f t="shared" si="22"/>
        <v>203.27055702917772</v>
      </c>
      <c r="E293" s="3">
        <f t="shared" si="23"/>
        <v>166.25090399317071</v>
      </c>
      <c r="F293" s="3">
        <v>268</v>
      </c>
      <c r="G293" s="3">
        <v>231.88005322623201</v>
      </c>
      <c r="H293">
        <f t="shared" si="24"/>
        <v>845.84270692215046</v>
      </c>
      <c r="I293" s="3">
        <v>1904.0833333333301</v>
      </c>
      <c r="J293" s="3">
        <v>0</v>
      </c>
      <c r="K293" s="3">
        <v>381.96356640363098</v>
      </c>
    </row>
    <row r="294" spans="1:11" ht="18" x14ac:dyDescent="0.25">
      <c r="A294" s="3">
        <v>1977.1666666666599</v>
      </c>
      <c r="B294" s="3">
        <f t="shared" si="20"/>
        <v>205.27055702917772</v>
      </c>
      <c r="C294" s="3">
        <f t="shared" si="21"/>
        <v>160.60958952440566</v>
      </c>
      <c r="D294" s="3">
        <f t="shared" si="22"/>
        <v>205.27055702917772</v>
      </c>
      <c r="E294" s="3">
        <f t="shared" si="23"/>
        <v>140.04137550339669</v>
      </c>
      <c r="F294" s="3">
        <v>270</v>
      </c>
      <c r="G294" s="3">
        <v>205.67052473645799</v>
      </c>
      <c r="H294">
        <f t="shared" si="24"/>
        <v>1994.602018462306</v>
      </c>
      <c r="I294" s="3">
        <v>1904.1666666666599</v>
      </c>
      <c r="J294" s="3">
        <v>0</v>
      </c>
      <c r="K294" s="3">
        <v>338.67799807567002</v>
      </c>
    </row>
    <row r="295" spans="1:11" ht="18" x14ac:dyDescent="0.25">
      <c r="A295" s="3">
        <v>1977.25</v>
      </c>
      <c r="B295" s="3">
        <f t="shared" si="20"/>
        <v>210.27055702917772</v>
      </c>
      <c r="C295" s="3">
        <f t="shared" si="21"/>
        <v>165.89490219718323</v>
      </c>
      <c r="D295" s="3">
        <f t="shared" si="22"/>
        <v>210.27055702917772</v>
      </c>
      <c r="E295" s="3">
        <f t="shared" si="23"/>
        <v>149.68652512196667</v>
      </c>
      <c r="F295" s="3">
        <v>275</v>
      </c>
      <c r="G295" s="3">
        <v>215.31567435502799</v>
      </c>
      <c r="H295">
        <f t="shared" si="24"/>
        <v>1969.1987417683165</v>
      </c>
      <c r="I295" s="3">
        <v>1904.25</v>
      </c>
      <c r="J295" s="3">
        <v>0</v>
      </c>
      <c r="K295" s="3">
        <v>293.97808865890801</v>
      </c>
    </row>
    <row r="296" spans="1:11" ht="18" x14ac:dyDescent="0.25">
      <c r="A296" s="3">
        <v>1977.3333333333301</v>
      </c>
      <c r="B296" s="3">
        <f t="shared" si="20"/>
        <v>215.27055702917772</v>
      </c>
      <c r="C296" s="3">
        <f t="shared" si="21"/>
        <v>171.28459725964478</v>
      </c>
      <c r="D296" s="3">
        <f t="shared" si="22"/>
        <v>215.27055702917772</v>
      </c>
      <c r="E296" s="3">
        <f t="shared" si="23"/>
        <v>160.23934260071269</v>
      </c>
      <c r="F296" s="3">
        <v>280</v>
      </c>
      <c r="G296" s="3">
        <v>225.86849183377399</v>
      </c>
      <c r="H296">
        <f t="shared" si="24"/>
        <v>1934.7646568469702</v>
      </c>
      <c r="I296" s="3">
        <v>1904.3333333333301</v>
      </c>
      <c r="J296" s="3">
        <v>0</v>
      </c>
      <c r="K296" s="3">
        <v>225.82473733676801</v>
      </c>
    </row>
    <row r="297" spans="1:11" ht="18" x14ac:dyDescent="0.25">
      <c r="A297" s="3">
        <v>1977.4166666666599</v>
      </c>
      <c r="B297" s="3">
        <f t="shared" si="20"/>
        <v>215.27055702917772</v>
      </c>
      <c r="C297" s="3">
        <f t="shared" si="21"/>
        <v>166.98554831854602</v>
      </c>
      <c r="D297" s="3">
        <f t="shared" si="22"/>
        <v>215.27055702917772</v>
      </c>
      <c r="E297" s="3">
        <f t="shared" si="23"/>
        <v>151.76105017511071</v>
      </c>
      <c r="F297" s="3">
        <v>280</v>
      </c>
      <c r="G297" s="3">
        <v>217.39019940817201</v>
      </c>
      <c r="H297">
        <f t="shared" si="24"/>
        <v>2331.4420661857794</v>
      </c>
      <c r="I297" s="3">
        <v>1904.4166666666599</v>
      </c>
      <c r="J297" s="3">
        <v>0</v>
      </c>
      <c r="K297" s="3">
        <v>144.730171069227</v>
      </c>
    </row>
    <row r="298" spans="1:11" ht="18" x14ac:dyDescent="0.25">
      <c r="A298" s="3">
        <v>1977.5</v>
      </c>
      <c r="B298" s="3">
        <f t="shared" si="20"/>
        <v>201.27055702917772</v>
      </c>
      <c r="C298" s="3">
        <f t="shared" si="21"/>
        <v>138.80362075735198</v>
      </c>
      <c r="D298" s="3">
        <f t="shared" si="22"/>
        <v>201.27055702917772</v>
      </c>
      <c r="E298" s="3">
        <f t="shared" si="23"/>
        <v>106.27441723314168</v>
      </c>
      <c r="F298" s="3">
        <v>266</v>
      </c>
      <c r="G298" s="3">
        <v>171.90356646620299</v>
      </c>
      <c r="H298">
        <f t="shared" si="24"/>
        <v>3902.1181271883388</v>
      </c>
      <c r="I298" s="3">
        <v>1904.5</v>
      </c>
      <c r="J298" s="3">
        <v>0</v>
      </c>
      <c r="K298" s="3">
        <v>56.354346234227599</v>
      </c>
    </row>
    <row r="299" spans="1:11" ht="18" x14ac:dyDescent="0.25">
      <c r="A299" s="3">
        <v>1977.5833333333301</v>
      </c>
      <c r="B299" s="3">
        <f t="shared" si="20"/>
        <v>75.270557029177724</v>
      </c>
      <c r="C299" s="3">
        <f t="shared" si="21"/>
        <v>31.964267168661209</v>
      </c>
      <c r="D299" s="3">
        <f t="shared" si="22"/>
        <v>75.270557029177724</v>
      </c>
      <c r="E299" s="3">
        <f t="shared" si="23"/>
        <v>15.322018968819194</v>
      </c>
      <c r="F299" s="3">
        <v>140</v>
      </c>
      <c r="G299" s="3">
        <v>80.951168201880506</v>
      </c>
      <c r="H299">
        <f t="shared" si="24"/>
        <v>1875.4347414830754</v>
      </c>
      <c r="I299" s="3">
        <v>1904.5833333333301</v>
      </c>
      <c r="J299" s="3">
        <v>0</v>
      </c>
      <c r="K299" s="3">
        <v>-44.493615366519201</v>
      </c>
    </row>
    <row r="300" spans="1:11" ht="18" x14ac:dyDescent="0.25">
      <c r="A300" s="3">
        <v>1977.6666666666599</v>
      </c>
      <c r="B300" s="3">
        <f t="shared" si="20"/>
        <v>26.270557029177724</v>
      </c>
      <c r="C300" s="3">
        <f t="shared" si="21"/>
        <v>-99.128834610886585</v>
      </c>
      <c r="D300" s="3">
        <f t="shared" si="22"/>
        <v>26.270557029177724</v>
      </c>
      <c r="E300" s="3">
        <f t="shared" si="23"/>
        <v>-62.11978940552553</v>
      </c>
      <c r="F300" s="3">
        <v>91</v>
      </c>
      <c r="G300" s="3">
        <v>3.5093598275357798</v>
      </c>
      <c r="H300">
        <f t="shared" si="24"/>
        <v>15725.007423698231</v>
      </c>
      <c r="I300" s="3">
        <v>1904.6666666666599</v>
      </c>
      <c r="J300" s="3">
        <v>0</v>
      </c>
      <c r="K300" s="3">
        <v>-119.89079919646601</v>
      </c>
    </row>
    <row r="301" spans="1:11" ht="18" x14ac:dyDescent="0.25">
      <c r="A301" s="3">
        <v>1977.75</v>
      </c>
      <c r="B301" s="3">
        <f t="shared" si="20"/>
        <v>-108.72944297082228</v>
      </c>
      <c r="C301" s="3">
        <f t="shared" si="21"/>
        <v>-132.4774083981373</v>
      </c>
      <c r="D301" s="3">
        <f t="shared" si="22"/>
        <v>-108.72944297082228</v>
      </c>
      <c r="E301" s="3">
        <f t="shared" si="23"/>
        <v>-97.96616434907061</v>
      </c>
      <c r="F301" s="3">
        <v>-44</v>
      </c>
      <c r="G301" s="3">
        <v>-32.337015116009297</v>
      </c>
      <c r="H301">
        <f t="shared" si="24"/>
        <v>563.96586193694964</v>
      </c>
      <c r="I301" s="3">
        <v>1904.75</v>
      </c>
      <c r="J301" s="3">
        <v>0</v>
      </c>
      <c r="K301" s="3">
        <v>-166.96717354696099</v>
      </c>
    </row>
    <row r="302" spans="1:11" ht="18" x14ac:dyDescent="0.25">
      <c r="A302" s="3">
        <v>1977.8333333333301</v>
      </c>
      <c r="B302" s="3">
        <f t="shared" si="20"/>
        <v>-152.72944297082228</v>
      </c>
      <c r="C302" s="3">
        <f t="shared" si="21"/>
        <v>-154.91286898547489</v>
      </c>
      <c r="D302" s="3">
        <f t="shared" si="22"/>
        <v>-152.72944297082228</v>
      </c>
      <c r="E302" s="3">
        <f t="shared" si="23"/>
        <v>-130.34684960419492</v>
      </c>
      <c r="F302" s="3">
        <v>-88</v>
      </c>
      <c r="G302" s="3">
        <v>-64.717700371133603</v>
      </c>
      <c r="H302">
        <f t="shared" si="24"/>
        <v>4.767349161461782</v>
      </c>
      <c r="I302" s="3">
        <v>1904.8333333333301</v>
      </c>
      <c r="J302" s="3">
        <v>0</v>
      </c>
      <c r="K302" s="3">
        <v>-219.76882566159799</v>
      </c>
    </row>
    <row r="303" spans="1:11" ht="18" x14ac:dyDescent="0.25">
      <c r="A303" s="3">
        <v>1977.9166666666599</v>
      </c>
      <c r="B303" s="3">
        <f t="shared" si="20"/>
        <v>-184.72944297082228</v>
      </c>
      <c r="C303" s="3">
        <f t="shared" si="21"/>
        <v>-174.42021482409154</v>
      </c>
      <c r="D303" s="3">
        <f t="shared" si="22"/>
        <v>-184.72944297082228</v>
      </c>
      <c r="E303" s="3">
        <f t="shared" si="23"/>
        <v>-166.7441032729833</v>
      </c>
      <c r="F303" s="3">
        <v>-120</v>
      </c>
      <c r="G303" s="3">
        <v>-101.114954039922</v>
      </c>
      <c r="H303">
        <f t="shared" si="24"/>
        <v>106.28018498134516</v>
      </c>
      <c r="I303" s="3">
        <v>1904.9166666666599</v>
      </c>
      <c r="J303" s="3">
        <v>0</v>
      </c>
      <c r="K303" s="3">
        <v>-265.63109578183798</v>
      </c>
    </row>
    <row r="304" spans="1:11" ht="18" x14ac:dyDescent="0.25">
      <c r="A304" s="3">
        <v>1978</v>
      </c>
      <c r="B304" s="3">
        <f t="shared" si="20"/>
        <v>-234.72944297082228</v>
      </c>
      <c r="C304" s="3">
        <f t="shared" si="21"/>
        <v>-189.94266036705272</v>
      </c>
      <c r="D304" s="3">
        <f t="shared" si="22"/>
        <v>-234.72944297082228</v>
      </c>
      <c r="E304" s="3">
        <f t="shared" si="23"/>
        <v>-203.64830527667533</v>
      </c>
      <c r="F304" s="3">
        <v>-170</v>
      </c>
      <c r="G304" s="3">
        <v>-138.019156043614</v>
      </c>
      <c r="H304">
        <f t="shared" si="24"/>
        <v>2005.855895997315</v>
      </c>
      <c r="I304" s="3">
        <v>1905</v>
      </c>
      <c r="J304" s="3">
        <v>0</v>
      </c>
      <c r="K304" s="3">
        <v>-296.74053583867601</v>
      </c>
    </row>
    <row r="305" spans="1:11" ht="18" x14ac:dyDescent="0.25">
      <c r="A305" s="3">
        <v>1978.0833333333301</v>
      </c>
      <c r="B305" s="3">
        <f t="shared" si="20"/>
        <v>-234.72944297082228</v>
      </c>
      <c r="C305" s="3">
        <f t="shared" si="21"/>
        <v>-201.66486592508645</v>
      </c>
      <c r="D305" s="3">
        <f t="shared" si="22"/>
        <v>-234.72944297082228</v>
      </c>
      <c r="E305" s="3">
        <f t="shared" si="23"/>
        <v>-238.0619882653333</v>
      </c>
      <c r="F305" s="3">
        <v>-170</v>
      </c>
      <c r="G305" s="3">
        <v>-172.432839032272</v>
      </c>
      <c r="H305">
        <f t="shared" si="24"/>
        <v>1093.2662552134009</v>
      </c>
      <c r="I305" s="3">
        <v>1905.0833333333301</v>
      </c>
      <c r="J305" s="3">
        <v>0</v>
      </c>
      <c r="K305" s="3">
        <v>-320.50218854817302</v>
      </c>
    </row>
    <row r="306" spans="1:11" ht="18" x14ac:dyDescent="0.25">
      <c r="A306" s="3">
        <v>1978.1666666666599</v>
      </c>
      <c r="B306" s="3">
        <f t="shared" si="20"/>
        <v>-213.72944297082228</v>
      </c>
      <c r="C306" s="3">
        <f t="shared" si="21"/>
        <v>-204.16139383680391</v>
      </c>
      <c r="D306" s="3">
        <f t="shared" si="22"/>
        <v>-213.72944297082228</v>
      </c>
      <c r="E306" s="3">
        <f t="shared" si="23"/>
        <v>-246.30919666249633</v>
      </c>
      <c r="F306" s="3">
        <v>-149</v>
      </c>
      <c r="G306" s="3">
        <v>-180.68004742943501</v>
      </c>
      <c r="H306">
        <f t="shared" si="24"/>
        <v>91.547564230989607</v>
      </c>
      <c r="I306" s="3">
        <v>1905.1666666666599</v>
      </c>
      <c r="J306" s="3">
        <v>0</v>
      </c>
      <c r="K306" s="3">
        <v>-324.36875851095198</v>
      </c>
    </row>
    <row r="307" spans="1:11" ht="18" x14ac:dyDescent="0.25">
      <c r="A307" s="3">
        <v>1978.25</v>
      </c>
      <c r="B307" s="3">
        <f t="shared" si="20"/>
        <v>-192.72944297082228</v>
      </c>
      <c r="C307" s="3">
        <f t="shared" si="21"/>
        <v>-204.25995511633181</v>
      </c>
      <c r="D307" s="3">
        <f t="shared" si="22"/>
        <v>-192.72944297082228</v>
      </c>
      <c r="E307" s="3">
        <f t="shared" si="23"/>
        <v>-246.64224041088534</v>
      </c>
      <c r="F307" s="3">
        <v>-128</v>
      </c>
      <c r="G307" s="3">
        <v>-181.01309117782401</v>
      </c>
      <c r="H307">
        <f t="shared" si="24"/>
        <v>132.95271033774287</v>
      </c>
      <c r="I307" s="3">
        <v>1905.25</v>
      </c>
      <c r="J307" s="3">
        <v>0</v>
      </c>
      <c r="K307" s="3">
        <v>-319.51145891312098</v>
      </c>
    </row>
    <row r="308" spans="1:11" ht="18" x14ac:dyDescent="0.25">
      <c r="A308" s="3">
        <v>1978.3333333333301</v>
      </c>
      <c r="B308" s="3">
        <f t="shared" si="20"/>
        <v>-179.72944297082228</v>
      </c>
      <c r="C308" s="3">
        <f t="shared" si="21"/>
        <v>-207.08318378481687</v>
      </c>
      <c r="D308" s="3">
        <f t="shared" si="22"/>
        <v>-179.72944297082228</v>
      </c>
      <c r="E308" s="3">
        <f t="shared" si="23"/>
        <v>-256.4340945650153</v>
      </c>
      <c r="F308" s="3">
        <v>-115</v>
      </c>
      <c r="G308" s="3">
        <v>-190.804945331954</v>
      </c>
      <c r="H308">
        <f t="shared" si="24"/>
        <v>748.22713651919344</v>
      </c>
      <c r="I308" s="3">
        <v>1905.3333333333301</v>
      </c>
      <c r="J308" s="3">
        <v>0</v>
      </c>
      <c r="K308" s="3">
        <v>-296.00295554934598</v>
      </c>
    </row>
    <row r="309" spans="1:11" ht="18" x14ac:dyDescent="0.25">
      <c r="A309" s="3">
        <v>1978.4166666666599</v>
      </c>
      <c r="B309" s="3">
        <f t="shared" si="20"/>
        <v>-178.72944297082228</v>
      </c>
      <c r="C309" s="3">
        <f t="shared" si="21"/>
        <v>-202.31136190476397</v>
      </c>
      <c r="D309" s="3">
        <f t="shared" si="22"/>
        <v>-178.72944297082228</v>
      </c>
      <c r="E309" s="3">
        <f t="shared" si="23"/>
        <v>-240.16342324609229</v>
      </c>
      <c r="F309" s="3">
        <v>-114</v>
      </c>
      <c r="G309" s="3">
        <v>-174.53427401303099</v>
      </c>
      <c r="H309">
        <f t="shared" si="24"/>
        <v>556.10690060699778</v>
      </c>
      <c r="I309" s="3">
        <v>1905.4166666666599</v>
      </c>
      <c r="J309" s="3">
        <v>0</v>
      </c>
      <c r="K309" s="3">
        <v>-208.95016420849501</v>
      </c>
    </row>
    <row r="310" spans="1:11" ht="18" x14ac:dyDescent="0.25">
      <c r="A310" s="3">
        <v>1978.5</v>
      </c>
      <c r="B310" s="3">
        <f t="shared" si="20"/>
        <v>-164.72944297082228</v>
      </c>
      <c r="C310" s="3">
        <f t="shared" si="21"/>
        <v>-188.10316965953206</v>
      </c>
      <c r="D310" s="3">
        <f t="shared" si="22"/>
        <v>-164.72944297082228</v>
      </c>
      <c r="E310" s="3">
        <f t="shared" si="23"/>
        <v>-198.81316987176831</v>
      </c>
      <c r="F310" s="3">
        <v>-100</v>
      </c>
      <c r="G310" s="3">
        <v>-133.18402063870701</v>
      </c>
      <c r="H310">
        <f t="shared" si="24"/>
        <v>546.3310993185039</v>
      </c>
      <c r="I310" s="3">
        <v>1905.5</v>
      </c>
      <c r="J310" s="3">
        <v>0</v>
      </c>
      <c r="K310" s="3">
        <v>-83.438220777895197</v>
      </c>
    </row>
    <row r="311" spans="1:11" ht="18" x14ac:dyDescent="0.25">
      <c r="A311" s="3">
        <v>1978.5833333333301</v>
      </c>
      <c r="B311" s="3">
        <f t="shared" si="20"/>
        <v>-149.72944297082228</v>
      </c>
      <c r="C311" s="3">
        <f t="shared" si="21"/>
        <v>-167.15930418173735</v>
      </c>
      <c r="D311" s="3">
        <f t="shared" si="22"/>
        <v>-149.72944297082228</v>
      </c>
      <c r="E311" s="3">
        <f t="shared" si="23"/>
        <v>-152.0943285172898</v>
      </c>
      <c r="F311" s="3">
        <v>-85</v>
      </c>
      <c r="G311" s="3">
        <v>-86.465179284228498</v>
      </c>
      <c r="H311">
        <f t="shared" si="24"/>
        <v>303.80006183176204</v>
      </c>
      <c r="I311" s="3">
        <v>1905.5833333333301</v>
      </c>
      <c r="J311" s="3">
        <v>0</v>
      </c>
      <c r="K311" s="3">
        <v>32.4144779867324</v>
      </c>
    </row>
    <row r="312" spans="1:11" ht="18" x14ac:dyDescent="0.25">
      <c r="A312" s="3">
        <v>1978.6666666666599</v>
      </c>
      <c r="B312" s="3">
        <f t="shared" si="20"/>
        <v>-149.72944297082228</v>
      </c>
      <c r="C312" s="3">
        <f t="shared" si="21"/>
        <v>-125.55382123853049</v>
      </c>
      <c r="D312" s="3">
        <f t="shared" si="22"/>
        <v>-149.72944297082228</v>
      </c>
      <c r="E312" s="3">
        <f t="shared" si="23"/>
        <v>-89.50043502444592</v>
      </c>
      <c r="F312" s="3">
        <v>-85</v>
      </c>
      <c r="G312" s="3">
        <v>-23.871285791384601</v>
      </c>
      <c r="H312">
        <f t="shared" si="24"/>
        <v>584.460686142859</v>
      </c>
      <c r="I312" s="3">
        <v>1905.6666666666599</v>
      </c>
      <c r="J312" s="3">
        <v>0</v>
      </c>
      <c r="K312" s="3">
        <v>136.90639291301699</v>
      </c>
    </row>
    <row r="313" spans="1:11" ht="18" x14ac:dyDescent="0.25">
      <c r="A313" s="3">
        <v>1978.75</v>
      </c>
      <c r="B313" s="3">
        <f t="shared" si="20"/>
        <v>-139.72944297082228</v>
      </c>
      <c r="C313" s="3">
        <f t="shared" si="21"/>
        <v>-57.566195506024613</v>
      </c>
      <c r="D313" s="3">
        <f t="shared" si="22"/>
        <v>-139.72944297082228</v>
      </c>
      <c r="E313" s="3">
        <f t="shared" si="23"/>
        <v>-30.310199160381416</v>
      </c>
      <c r="F313" s="3">
        <v>-75</v>
      </c>
      <c r="G313" s="3">
        <v>35.318950072679897</v>
      </c>
      <c r="H313">
        <f t="shared" si="24"/>
        <v>6750.7992339615794</v>
      </c>
      <c r="I313" s="3">
        <v>1905.75</v>
      </c>
      <c r="J313" s="3">
        <v>0</v>
      </c>
      <c r="K313" s="3">
        <v>219.50552750959699</v>
      </c>
    </row>
    <row r="314" spans="1:11" ht="18" x14ac:dyDescent="0.25">
      <c r="A314" s="3">
        <v>1978.8333333333301</v>
      </c>
      <c r="B314" s="3">
        <f t="shared" si="20"/>
        <v>-119.72944297082228</v>
      </c>
      <c r="C314" s="3">
        <f t="shared" si="21"/>
        <v>27.259566643714003</v>
      </c>
      <c r="D314" s="3">
        <f t="shared" si="22"/>
        <v>-119.72944297082228</v>
      </c>
      <c r="E314" s="3">
        <f t="shared" si="23"/>
        <v>12.855154434812889</v>
      </c>
      <c r="F314" s="3">
        <v>-55</v>
      </c>
      <c r="G314" s="3">
        <v>78.484303667874201</v>
      </c>
      <c r="H314">
        <f t="shared" si="24"/>
        <v>21605.768947462242</v>
      </c>
      <c r="I314" s="3">
        <v>1905.8333333333301</v>
      </c>
      <c r="J314" s="3">
        <v>0</v>
      </c>
      <c r="K314" s="3">
        <v>283.09913950800097</v>
      </c>
    </row>
    <row r="315" spans="1:11" ht="18" x14ac:dyDescent="0.25">
      <c r="A315" s="3">
        <v>1978.9166666666599</v>
      </c>
      <c r="B315" s="3">
        <f t="shared" si="20"/>
        <v>-112.72944297082228</v>
      </c>
      <c r="C315" s="3">
        <f t="shared" si="21"/>
        <v>94.837298342682857</v>
      </c>
      <c r="D315" s="3">
        <f t="shared" si="22"/>
        <v>-112.72944297082228</v>
      </c>
      <c r="E315" s="3">
        <f t="shared" si="23"/>
        <v>58.285972587972694</v>
      </c>
      <c r="F315" s="3">
        <v>-48</v>
      </c>
      <c r="G315" s="3">
        <v>123.91512182103401</v>
      </c>
      <c r="H315">
        <f t="shared" si="24"/>
        <v>43083.952099507558</v>
      </c>
      <c r="I315" s="3">
        <v>1905.9166666666599</v>
      </c>
      <c r="J315" s="3">
        <v>0</v>
      </c>
      <c r="K315" s="3">
        <v>342.18356095855398</v>
      </c>
    </row>
    <row r="316" spans="1:11" ht="18" x14ac:dyDescent="0.25">
      <c r="A316" s="3">
        <v>1979</v>
      </c>
      <c r="B316" s="3">
        <f t="shared" si="20"/>
        <v>-101.72944297082228</v>
      </c>
      <c r="C316" s="3">
        <f t="shared" si="21"/>
        <v>125.9135521102143</v>
      </c>
      <c r="D316" s="3">
        <f t="shared" si="22"/>
        <v>-101.72944297082228</v>
      </c>
      <c r="E316" s="3">
        <f t="shared" si="23"/>
        <v>89.925236244624685</v>
      </c>
      <c r="F316" s="3">
        <v>-37</v>
      </c>
      <c r="G316" s="3">
        <v>155.554385477686</v>
      </c>
      <c r="H316">
        <f t="shared" si="24"/>
        <v>51821.33320946485</v>
      </c>
      <c r="I316" s="3">
        <v>1906</v>
      </c>
      <c r="J316" s="3">
        <v>0</v>
      </c>
      <c r="K316" s="3">
        <v>369.51722924676898</v>
      </c>
    </row>
    <row r="317" spans="1:11" ht="18" x14ac:dyDescent="0.25">
      <c r="A317" s="3">
        <v>1979.0833333333301</v>
      </c>
      <c r="B317" s="3">
        <f t="shared" si="20"/>
        <v>-101.72944297082228</v>
      </c>
      <c r="C317" s="3">
        <f t="shared" si="21"/>
        <v>138.97802963163662</v>
      </c>
      <c r="D317" s="3">
        <f t="shared" si="22"/>
        <v>-101.72944297082228</v>
      </c>
      <c r="E317" s="3">
        <f t="shared" si="23"/>
        <v>106.51180143810869</v>
      </c>
      <c r="F317" s="3">
        <v>-37</v>
      </c>
      <c r="G317" s="3">
        <v>172.14095067117</v>
      </c>
      <c r="H317">
        <f t="shared" si="24"/>
        <v>57940.087366663502</v>
      </c>
      <c r="I317" s="3">
        <v>1906.0833333333301</v>
      </c>
      <c r="J317" s="3">
        <v>0</v>
      </c>
      <c r="K317" s="3">
        <v>368.211680776376</v>
      </c>
    </row>
    <row r="318" spans="1:11" ht="18" x14ac:dyDescent="0.25">
      <c r="A318" s="3">
        <v>1979.1666666666599</v>
      </c>
      <c r="B318" s="3">
        <f t="shared" si="20"/>
        <v>-101.72944297082228</v>
      </c>
      <c r="C318" s="3">
        <f t="shared" si="21"/>
        <v>158.8038078549497</v>
      </c>
      <c r="D318" s="3">
        <f t="shared" si="22"/>
        <v>-101.72944297082228</v>
      </c>
      <c r="E318" s="3">
        <f t="shared" si="23"/>
        <v>136.8930874232297</v>
      </c>
      <c r="F318" s="3">
        <v>-37</v>
      </c>
      <c r="G318" s="3">
        <v>202.522236656291</v>
      </c>
      <c r="H318">
        <f t="shared" si="24"/>
        <v>67877.574785844612</v>
      </c>
      <c r="I318" s="3">
        <v>1906.1666666666599</v>
      </c>
      <c r="J318" s="3">
        <v>0</v>
      </c>
      <c r="K318" s="3">
        <v>375.43017133595498</v>
      </c>
    </row>
    <row r="319" spans="1:11" ht="18" x14ac:dyDescent="0.25">
      <c r="A319" s="3">
        <v>1979.25</v>
      </c>
      <c r="B319" s="3">
        <f t="shared" si="20"/>
        <v>10.270557029177724</v>
      </c>
      <c r="C319" s="3">
        <f t="shared" si="21"/>
        <v>179.43771754839241</v>
      </c>
      <c r="D319" s="3">
        <f t="shared" si="22"/>
        <v>10.270557029177724</v>
      </c>
      <c r="E319" s="3">
        <f t="shared" si="23"/>
        <v>177.76663945744269</v>
      </c>
      <c r="F319" s="3">
        <v>75</v>
      </c>
      <c r="G319" s="3">
        <v>243.39578869050399</v>
      </c>
      <c r="H319">
        <f t="shared" si="24"/>
        <v>28617.52819813375</v>
      </c>
      <c r="I319" s="3">
        <v>1906.25</v>
      </c>
      <c r="J319" s="3">
        <v>0</v>
      </c>
      <c r="K319" s="3">
        <v>390.858846065921</v>
      </c>
    </row>
    <row r="320" spans="1:11" ht="18" x14ac:dyDescent="0.25">
      <c r="A320" s="3">
        <v>1979.3333333333301</v>
      </c>
      <c r="B320" s="3">
        <f t="shared" si="20"/>
        <v>82.270557029177724</v>
      </c>
      <c r="C320" s="3">
        <f t="shared" si="21"/>
        <v>200.51632416626381</v>
      </c>
      <c r="D320" s="3">
        <f t="shared" si="22"/>
        <v>82.270557029177724</v>
      </c>
      <c r="E320" s="3">
        <f t="shared" si="23"/>
        <v>234.38584879552872</v>
      </c>
      <c r="F320" s="3">
        <v>147</v>
      </c>
      <c r="G320" s="3">
        <v>300.01499802859001</v>
      </c>
      <c r="H320">
        <f t="shared" si="24"/>
        <v>13982.06144583799</v>
      </c>
      <c r="I320" s="3">
        <v>1906.3333333333301</v>
      </c>
      <c r="J320" s="3">
        <v>0</v>
      </c>
      <c r="K320" s="3">
        <v>419.38136678836997</v>
      </c>
    </row>
    <row r="321" spans="1:11" ht="18" x14ac:dyDescent="0.25">
      <c r="A321" s="3">
        <v>1979.4166666666599</v>
      </c>
      <c r="B321" s="3">
        <f t="shared" si="20"/>
        <v>171.27055702917772</v>
      </c>
      <c r="C321" s="3">
        <f t="shared" si="21"/>
        <v>217.83273101349363</v>
      </c>
      <c r="D321" s="3">
        <f t="shared" si="22"/>
        <v>171.27055702917772</v>
      </c>
      <c r="E321" s="3">
        <f t="shared" si="23"/>
        <v>298.78474809694671</v>
      </c>
      <c r="F321" s="3">
        <v>236</v>
      </c>
      <c r="G321" s="3">
        <v>364.41389733000801</v>
      </c>
      <c r="H321">
        <f t="shared" si="24"/>
        <v>2168.0360461457049</v>
      </c>
      <c r="I321" s="3">
        <v>1906.4166666666599</v>
      </c>
      <c r="J321" s="3">
        <v>0</v>
      </c>
      <c r="K321" s="3">
        <v>451.12355443167701</v>
      </c>
    </row>
    <row r="322" spans="1:11" ht="18" x14ac:dyDescent="0.25">
      <c r="A322" s="3">
        <v>1979.5</v>
      </c>
      <c r="B322" s="3">
        <f t="shared" si="20"/>
        <v>191.27055702917772</v>
      </c>
      <c r="C322" s="3">
        <f t="shared" si="21"/>
        <v>219.98765879972427</v>
      </c>
      <c r="D322" s="3">
        <f t="shared" si="22"/>
        <v>191.27055702917772</v>
      </c>
      <c r="E322" s="3">
        <f t="shared" si="23"/>
        <v>308.39605004143073</v>
      </c>
      <c r="F322" s="3">
        <v>256</v>
      </c>
      <c r="G322" s="3">
        <v>374.02519927449202</v>
      </c>
      <c r="H322">
        <f t="shared" si="24"/>
        <v>824.67193409992774</v>
      </c>
      <c r="I322" s="3">
        <v>1906.5</v>
      </c>
      <c r="J322" s="3">
        <v>0</v>
      </c>
      <c r="K322" s="3">
        <v>432.02639510567599</v>
      </c>
    </row>
    <row r="323" spans="1:11" ht="18" x14ac:dyDescent="0.25">
      <c r="A323" s="3">
        <v>1979.5833333333301</v>
      </c>
      <c r="B323" s="3">
        <f t="shared" si="20"/>
        <v>199.27055702917772</v>
      </c>
      <c r="C323" s="3">
        <f t="shared" si="21"/>
        <v>207.78124126318224</v>
      </c>
      <c r="D323" s="3">
        <f t="shared" si="22"/>
        <v>199.27055702917772</v>
      </c>
      <c r="E323" s="3">
        <f t="shared" si="23"/>
        <v>258.93275067826272</v>
      </c>
      <c r="F323" s="3">
        <v>264</v>
      </c>
      <c r="G323" s="3">
        <v>324.56189991132402</v>
      </c>
      <c r="H323">
        <f t="shared" si="24"/>
        <v>72.431746130933021</v>
      </c>
      <c r="I323" s="3">
        <v>1906.5833333333301</v>
      </c>
      <c r="J323" s="3">
        <v>0</v>
      </c>
      <c r="K323" s="3">
        <v>365.528761822935</v>
      </c>
    </row>
    <row r="324" spans="1:11" ht="18" x14ac:dyDescent="0.25">
      <c r="A324" s="3">
        <v>1979.6666666666599</v>
      </c>
      <c r="B324" s="3">
        <f t="shared" si="20"/>
        <v>209.27055702917772</v>
      </c>
      <c r="C324" s="3">
        <f t="shared" si="21"/>
        <v>191.3355367496996</v>
      </c>
      <c r="D324" s="3">
        <f t="shared" si="22"/>
        <v>209.27055702917772</v>
      </c>
      <c r="E324" s="3">
        <f t="shared" si="23"/>
        <v>207.4031703236987</v>
      </c>
      <c r="F324" s="3">
        <v>274</v>
      </c>
      <c r="G324" s="3">
        <v>273.03231955676</v>
      </c>
      <c r="H324">
        <f t="shared" si="24"/>
        <v>321.66495242529157</v>
      </c>
      <c r="I324" s="3">
        <v>1906.6666666666599</v>
      </c>
      <c r="J324" s="3">
        <v>0</v>
      </c>
      <c r="K324" s="3">
        <v>290.43063392965701</v>
      </c>
    </row>
    <row r="325" spans="1:11" ht="18" x14ac:dyDescent="0.25">
      <c r="A325" s="3">
        <v>1979.75</v>
      </c>
      <c r="B325" s="3">
        <f t="shared" si="20"/>
        <v>215.27055702917772</v>
      </c>
      <c r="C325" s="3">
        <f t="shared" si="21"/>
        <v>178.14017793564369</v>
      </c>
      <c r="D325" s="3">
        <f t="shared" si="22"/>
        <v>215.27055702917772</v>
      </c>
      <c r="E325" s="3">
        <f t="shared" si="23"/>
        <v>174.84019507473766</v>
      </c>
      <c r="F325" s="3">
        <v>280</v>
      </c>
      <c r="G325" s="3">
        <v>240.46934430779899</v>
      </c>
      <c r="H325">
        <f t="shared" si="24"/>
        <v>1378.665051629549</v>
      </c>
      <c r="I325" s="3">
        <v>1906.75</v>
      </c>
      <c r="J325" s="3">
        <v>0</v>
      </c>
      <c r="K325" s="3">
        <v>202.10892562185199</v>
      </c>
    </row>
    <row r="326" spans="1:11" ht="18" x14ac:dyDescent="0.25">
      <c r="A326" s="3">
        <v>1979.8333333333301</v>
      </c>
      <c r="B326" s="3">
        <f t="shared" ref="B326:B389" si="25">+$D326</f>
        <v>209.27055702917772</v>
      </c>
      <c r="C326" s="3">
        <f t="shared" ref="C326:C389" si="26">$B$1*$E326/(1+$B$3*ABS($E326)^$B$2)</f>
        <v>172.51970957885982</v>
      </c>
      <c r="D326" s="3">
        <f t="shared" ref="D326:D389" si="27">+F326-$F$3</f>
        <v>209.27055702917772</v>
      </c>
      <c r="E326" s="3">
        <f t="shared" ref="E326:E389" si="28">+$G326-$G$3</f>
        <v>162.7680079051367</v>
      </c>
      <c r="F326" s="3">
        <v>274</v>
      </c>
      <c r="G326" s="3">
        <v>228.397157138198</v>
      </c>
      <c r="H326">
        <f t="shared" ref="H326:H389" si="29">+(B326-C326)^2</f>
        <v>1350.6247883165381</v>
      </c>
      <c r="I326" s="3">
        <v>1906.8333333333301</v>
      </c>
      <c r="J326" s="3">
        <v>0</v>
      </c>
      <c r="K326" s="3">
        <v>100.50550675537799</v>
      </c>
    </row>
    <row r="327" spans="1:11" ht="18" x14ac:dyDescent="0.25">
      <c r="A327" s="3">
        <v>1979.9166666666599</v>
      </c>
      <c r="B327" s="3">
        <f t="shared" si="25"/>
        <v>206.27055702917772</v>
      </c>
      <c r="C327" s="3">
        <f t="shared" si="26"/>
        <v>162.38674395747069</v>
      </c>
      <c r="D327" s="3">
        <f t="shared" si="27"/>
        <v>206.27055702917772</v>
      </c>
      <c r="E327" s="3">
        <f t="shared" si="28"/>
        <v>143.21123717260969</v>
      </c>
      <c r="F327" s="3">
        <v>271</v>
      </c>
      <c r="G327" s="3">
        <v>208.84038640567101</v>
      </c>
      <c r="H327">
        <f t="shared" si="29"/>
        <v>1925.7890497125256</v>
      </c>
      <c r="I327" s="3">
        <v>1906.9166666666599</v>
      </c>
      <c r="J327" s="3">
        <v>0</v>
      </c>
      <c r="K327" s="3">
        <v>-15.150633252834901</v>
      </c>
    </row>
    <row r="328" spans="1:11" ht="18" x14ac:dyDescent="0.25">
      <c r="A328" s="3">
        <v>1980</v>
      </c>
      <c r="B328" s="3">
        <f t="shared" si="25"/>
        <v>90.270557029177724</v>
      </c>
      <c r="C328" s="3">
        <f t="shared" si="26"/>
        <v>112.59566293374648</v>
      </c>
      <c r="D328" s="3">
        <f t="shared" si="27"/>
        <v>90.270557029177724</v>
      </c>
      <c r="E328" s="3">
        <f t="shared" si="28"/>
        <v>75.191998511910683</v>
      </c>
      <c r="F328" s="3">
        <v>155</v>
      </c>
      <c r="G328" s="3">
        <v>140.821147744972</v>
      </c>
      <c r="H328">
        <f t="shared" si="29"/>
        <v>498.41035365021082</v>
      </c>
      <c r="I328" s="3">
        <v>1907</v>
      </c>
      <c r="J328" s="3">
        <v>0</v>
      </c>
      <c r="K328" s="3">
        <v>-144.109049467131</v>
      </c>
    </row>
    <row r="329" spans="1:11" ht="18" x14ac:dyDescent="0.25">
      <c r="A329" s="3">
        <v>1980.0833333333301</v>
      </c>
      <c r="B329" s="3">
        <f t="shared" si="25"/>
        <v>-91.729442970822276</v>
      </c>
      <c r="C329" s="3">
        <f t="shared" si="26"/>
        <v>-20.939965140468022</v>
      </c>
      <c r="D329" s="3">
        <f t="shared" si="27"/>
        <v>-91.729442970822276</v>
      </c>
      <c r="E329" s="3">
        <f t="shared" si="28"/>
        <v>-9.6646356879241111</v>
      </c>
      <c r="F329" s="3">
        <v>-27</v>
      </c>
      <c r="G329" s="3">
        <v>55.964513545137201</v>
      </c>
      <c r="H329">
        <f t="shared" si="29"/>
        <v>5011.1501714942169</v>
      </c>
      <c r="I329" s="3">
        <v>1907.0833333333301</v>
      </c>
      <c r="J329" s="3">
        <v>0</v>
      </c>
      <c r="K329" s="3">
        <v>-236.526745849642</v>
      </c>
    </row>
    <row r="330" spans="1:11" ht="18" x14ac:dyDescent="0.25">
      <c r="A330" s="3">
        <v>1980.1666666666599</v>
      </c>
      <c r="B330" s="3">
        <f t="shared" si="25"/>
        <v>-98.729442970822276</v>
      </c>
      <c r="C330" s="3">
        <f t="shared" si="26"/>
        <v>-112.98789715417593</v>
      </c>
      <c r="D330" s="3">
        <f t="shared" si="27"/>
        <v>-98.729442970822276</v>
      </c>
      <c r="E330" s="3">
        <f t="shared" si="28"/>
        <v>-75.598517204989818</v>
      </c>
      <c r="F330" s="3">
        <v>-34</v>
      </c>
      <c r="G330" s="3">
        <v>-9.9693679719285004</v>
      </c>
      <c r="H330">
        <f t="shared" si="29"/>
        <v>203.30351569879517</v>
      </c>
      <c r="I330" s="3">
        <v>1907.1666666666599</v>
      </c>
      <c r="J330" s="3">
        <v>0</v>
      </c>
      <c r="K330" s="3">
        <v>-279.80933155790501</v>
      </c>
    </row>
    <row r="331" spans="1:11" ht="18" x14ac:dyDescent="0.25">
      <c r="A331" s="3">
        <v>1980.25</v>
      </c>
      <c r="B331" s="3">
        <f t="shared" si="25"/>
        <v>-158.72944297082228</v>
      </c>
      <c r="C331" s="3">
        <f t="shared" si="26"/>
        <v>-157.71560811063961</v>
      </c>
      <c r="D331" s="3">
        <f t="shared" si="27"/>
        <v>-158.72944297082228</v>
      </c>
      <c r="E331" s="3">
        <f t="shared" si="28"/>
        <v>-135.03018910838202</v>
      </c>
      <c r="F331" s="3">
        <v>-94</v>
      </c>
      <c r="G331" s="3">
        <v>-69.401039875320706</v>
      </c>
      <c r="H331">
        <f t="shared" si="29"/>
        <v>1.0278611237216124</v>
      </c>
      <c r="I331" s="3">
        <v>1907.25</v>
      </c>
      <c r="J331" s="3">
        <v>0</v>
      </c>
      <c r="K331" s="3">
        <v>-314.19962826013898</v>
      </c>
    </row>
    <row r="332" spans="1:11" ht="18" x14ac:dyDescent="0.25">
      <c r="A332" s="3">
        <v>1980.3333333333301</v>
      </c>
      <c r="B332" s="3">
        <f t="shared" si="25"/>
        <v>-181.72944297082228</v>
      </c>
      <c r="C332" s="3">
        <f t="shared" si="26"/>
        <v>-179.01477728059325</v>
      </c>
      <c r="D332" s="3">
        <f t="shared" si="27"/>
        <v>-181.72944297082228</v>
      </c>
      <c r="E332" s="3">
        <f t="shared" si="28"/>
        <v>-176.80673236609533</v>
      </c>
      <c r="F332" s="3">
        <v>-117</v>
      </c>
      <c r="G332" s="3">
        <v>-111.17758313303401</v>
      </c>
      <c r="H332">
        <f t="shared" si="29"/>
        <v>7.3694098097066343</v>
      </c>
      <c r="I332" s="3">
        <v>1907.3333333333301</v>
      </c>
      <c r="J332" s="3">
        <v>0</v>
      </c>
      <c r="K332" s="3">
        <v>-334.55210000658599</v>
      </c>
    </row>
    <row r="333" spans="1:11" ht="18" x14ac:dyDescent="0.25">
      <c r="A333" s="3">
        <v>1980.4166666666599</v>
      </c>
      <c r="B333" s="3">
        <f t="shared" si="25"/>
        <v>-188.72944297082228</v>
      </c>
      <c r="C333" s="3">
        <f t="shared" si="26"/>
        <v>-188.91612054441993</v>
      </c>
      <c r="D333" s="3">
        <f t="shared" si="27"/>
        <v>-188.72944297082228</v>
      </c>
      <c r="E333" s="3">
        <f t="shared" si="28"/>
        <v>-200.93299139820431</v>
      </c>
      <c r="F333" s="3">
        <v>-124</v>
      </c>
      <c r="G333" s="3">
        <v>-135.30384216514301</v>
      </c>
      <c r="H333">
        <f t="shared" si="29"/>
        <v>3.4848516484305626E-2</v>
      </c>
      <c r="I333" s="3">
        <v>1907.4166666666599</v>
      </c>
      <c r="J333" s="3">
        <v>0</v>
      </c>
      <c r="K333" s="3">
        <v>-333.39570390026802</v>
      </c>
    </row>
    <row r="334" spans="1:11" ht="18" x14ac:dyDescent="0.25">
      <c r="A334" s="3">
        <v>1980.5</v>
      </c>
      <c r="B334" s="3">
        <f t="shared" si="25"/>
        <v>-217.72944297082228</v>
      </c>
      <c r="C334" s="3">
        <f t="shared" si="26"/>
        <v>-198.15050627141082</v>
      </c>
      <c r="D334" s="3">
        <f t="shared" si="27"/>
        <v>-217.72944297082228</v>
      </c>
      <c r="E334" s="3">
        <f t="shared" si="28"/>
        <v>-227.03619960645329</v>
      </c>
      <c r="F334" s="3">
        <v>-153</v>
      </c>
      <c r="G334" s="3">
        <v>-161.407050373392</v>
      </c>
      <c r="H334">
        <f t="shared" si="29"/>
        <v>383.33476227956083</v>
      </c>
      <c r="I334" s="3">
        <v>1907.5</v>
      </c>
      <c r="J334" s="3">
        <v>0</v>
      </c>
      <c r="K334" s="3">
        <v>-322.35871343602997</v>
      </c>
    </row>
    <row r="335" spans="1:11" ht="18" x14ac:dyDescent="0.25">
      <c r="A335" s="3">
        <v>1980.5833333333301</v>
      </c>
      <c r="B335" s="3">
        <f t="shared" si="25"/>
        <v>-217.72944297082228</v>
      </c>
      <c r="C335" s="3">
        <f t="shared" si="26"/>
        <v>-199.6116225687677</v>
      </c>
      <c r="D335" s="3">
        <f t="shared" si="27"/>
        <v>-217.72944297082228</v>
      </c>
      <c r="E335" s="3">
        <f t="shared" si="28"/>
        <v>-231.54052354076128</v>
      </c>
      <c r="F335" s="3">
        <v>-153</v>
      </c>
      <c r="G335" s="3">
        <v>-165.91137430769999</v>
      </c>
      <c r="H335">
        <f t="shared" si="29"/>
        <v>328.25541612110504</v>
      </c>
      <c r="I335" s="3">
        <v>1907.5833333333301</v>
      </c>
      <c r="J335" s="3">
        <v>0</v>
      </c>
      <c r="K335" s="3">
        <v>-284.00912675220798</v>
      </c>
    </row>
    <row r="336" spans="1:11" ht="18" x14ac:dyDescent="0.25">
      <c r="A336" s="3">
        <v>1980.6666666666599</v>
      </c>
      <c r="B336" s="3">
        <f t="shared" si="25"/>
        <v>-215.72944297082228</v>
      </c>
      <c r="C336" s="3">
        <f t="shared" si="26"/>
        <v>-192.84001166085588</v>
      </c>
      <c r="D336" s="3">
        <f t="shared" si="27"/>
        <v>-215.72944297082228</v>
      </c>
      <c r="E336" s="3">
        <f t="shared" si="28"/>
        <v>-211.55300186408328</v>
      </c>
      <c r="F336" s="3">
        <v>-151</v>
      </c>
      <c r="G336" s="3">
        <v>-145.92385263102199</v>
      </c>
      <c r="H336">
        <f t="shared" si="29"/>
        <v>523.92606569367001</v>
      </c>
      <c r="I336" s="3">
        <v>1907.6666666666599</v>
      </c>
      <c r="J336" s="3">
        <v>0</v>
      </c>
      <c r="K336" s="3">
        <v>-225.93512834160401</v>
      </c>
    </row>
    <row r="337" spans="1:11" ht="18" x14ac:dyDescent="0.25">
      <c r="A337" s="3">
        <v>1980.75</v>
      </c>
      <c r="B337" s="3">
        <f t="shared" si="25"/>
        <v>-195.72944297082228</v>
      </c>
      <c r="C337" s="3">
        <f t="shared" si="26"/>
        <v>-186.84635591882861</v>
      </c>
      <c r="D337" s="3">
        <f t="shared" si="27"/>
        <v>-195.72944297082228</v>
      </c>
      <c r="E337" s="3">
        <f t="shared" si="28"/>
        <v>-195.58779062258134</v>
      </c>
      <c r="F337" s="3">
        <v>-131</v>
      </c>
      <c r="G337" s="3">
        <v>-129.95864138952001</v>
      </c>
      <c r="H337">
        <f t="shared" si="29"/>
        <v>78.909235573297579</v>
      </c>
      <c r="I337" s="3">
        <v>1907.75</v>
      </c>
      <c r="J337" s="3">
        <v>0</v>
      </c>
      <c r="K337" s="3">
        <v>-166.36082762329599</v>
      </c>
    </row>
    <row r="338" spans="1:11" ht="18" x14ac:dyDescent="0.25">
      <c r="A338" s="3">
        <v>1980.8333333333301</v>
      </c>
      <c r="B338" s="3">
        <f t="shared" si="25"/>
        <v>-189.72944297082228</v>
      </c>
      <c r="C338" s="3">
        <f t="shared" si="26"/>
        <v>-181.3647428453412</v>
      </c>
      <c r="D338" s="3">
        <f t="shared" si="27"/>
        <v>-189.72944297082228</v>
      </c>
      <c r="E338" s="3">
        <f t="shared" si="28"/>
        <v>-182.21561891761132</v>
      </c>
      <c r="F338" s="3">
        <v>-125</v>
      </c>
      <c r="G338" s="3">
        <v>-116.58646968455</v>
      </c>
      <c r="H338">
        <f t="shared" si="29"/>
        <v>69.968208189223176</v>
      </c>
      <c r="I338" s="3">
        <v>1907.8333333333301</v>
      </c>
      <c r="J338" s="3">
        <v>0</v>
      </c>
      <c r="K338" s="3">
        <v>-88.131292649826804</v>
      </c>
    </row>
    <row r="339" spans="1:11" ht="18" x14ac:dyDescent="0.25">
      <c r="A339" s="3">
        <v>1980.9166666666599</v>
      </c>
      <c r="B339" s="3">
        <f t="shared" si="25"/>
        <v>-175.72944297082228</v>
      </c>
      <c r="C339" s="3">
        <f t="shared" si="26"/>
        <v>-182.2859092372565</v>
      </c>
      <c r="D339" s="3">
        <f t="shared" si="27"/>
        <v>-175.72944297082228</v>
      </c>
      <c r="E339" s="3">
        <f t="shared" si="28"/>
        <v>-184.38707939854331</v>
      </c>
      <c r="F339" s="3">
        <v>-111</v>
      </c>
      <c r="G339" s="3">
        <v>-118.75793016548199</v>
      </c>
      <c r="H339">
        <f t="shared" si="29"/>
        <v>42.987249902889985</v>
      </c>
      <c r="I339" s="3">
        <v>1907.9166666666599</v>
      </c>
      <c r="J339" s="3">
        <v>0</v>
      </c>
      <c r="K339" s="3">
        <v>-6.8418436621226402</v>
      </c>
    </row>
    <row r="340" spans="1:11" ht="18" x14ac:dyDescent="0.25">
      <c r="A340" s="3">
        <v>1981</v>
      </c>
      <c r="B340" s="3">
        <f t="shared" si="25"/>
        <v>-171.72944297082228</v>
      </c>
      <c r="C340" s="3">
        <f t="shared" si="26"/>
        <v>-192.13570121970719</v>
      </c>
      <c r="D340" s="3">
        <f t="shared" si="27"/>
        <v>-171.72944297082228</v>
      </c>
      <c r="E340" s="3">
        <f t="shared" si="28"/>
        <v>-209.5979028543303</v>
      </c>
      <c r="F340" s="3">
        <v>-107</v>
      </c>
      <c r="G340" s="3">
        <v>-143.968753621269</v>
      </c>
      <c r="H340">
        <f t="shared" si="29"/>
        <v>416.41537572018342</v>
      </c>
      <c r="I340" s="3">
        <v>1908</v>
      </c>
      <c r="J340" s="3">
        <v>0</v>
      </c>
      <c r="K340" s="3">
        <v>55.700044098183497</v>
      </c>
    </row>
    <row r="341" spans="1:11" ht="18" x14ac:dyDescent="0.25">
      <c r="A341" s="3">
        <v>1981.0833333333301</v>
      </c>
      <c r="B341" s="3">
        <f t="shared" si="25"/>
        <v>-165.72944297082228</v>
      </c>
      <c r="C341" s="3">
        <f t="shared" si="26"/>
        <v>-196.9584177026191</v>
      </c>
      <c r="D341" s="3">
        <f t="shared" si="27"/>
        <v>-165.72944297082228</v>
      </c>
      <c r="E341" s="3">
        <f t="shared" si="28"/>
        <v>-223.44199805029729</v>
      </c>
      <c r="F341" s="3">
        <v>-101</v>
      </c>
      <c r="G341" s="3">
        <v>-157.81284881723599</v>
      </c>
      <c r="H341">
        <f t="shared" si="29"/>
        <v>975.24886279920452</v>
      </c>
      <c r="I341" s="3">
        <v>1908.0833333333301</v>
      </c>
      <c r="J341" s="3">
        <v>0</v>
      </c>
      <c r="K341" s="3">
        <v>116.77467335599</v>
      </c>
    </row>
    <row r="342" spans="1:11" ht="18" x14ac:dyDescent="0.25">
      <c r="A342" s="3">
        <v>1981.1666666666599</v>
      </c>
      <c r="B342" s="3">
        <f t="shared" si="25"/>
        <v>-155.72944297082228</v>
      </c>
      <c r="C342" s="3">
        <f t="shared" si="26"/>
        <v>-196.55154658039689</v>
      </c>
      <c r="D342" s="3">
        <f t="shared" si="27"/>
        <v>-155.72944297082228</v>
      </c>
      <c r="E342" s="3">
        <f t="shared" si="28"/>
        <v>-222.2314559022833</v>
      </c>
      <c r="F342" s="3">
        <v>-91</v>
      </c>
      <c r="G342" s="3">
        <v>-156.602306669222</v>
      </c>
      <c r="H342">
        <f t="shared" si="29"/>
        <v>1666.4441431108446</v>
      </c>
      <c r="I342" s="3">
        <v>1908.1666666666599</v>
      </c>
      <c r="J342" s="3">
        <v>0</v>
      </c>
      <c r="K342" s="3">
        <v>170.46477819787501</v>
      </c>
    </row>
    <row r="343" spans="1:11" ht="18" x14ac:dyDescent="0.25">
      <c r="A343" s="3">
        <v>1981.25</v>
      </c>
      <c r="B343" s="3">
        <f t="shared" si="25"/>
        <v>-143.72944297082228</v>
      </c>
      <c r="C343" s="3">
        <f t="shared" si="26"/>
        <v>-187.55334473470126</v>
      </c>
      <c r="D343" s="3">
        <f t="shared" si="27"/>
        <v>-143.72944297082228</v>
      </c>
      <c r="E343" s="3">
        <f t="shared" si="28"/>
        <v>-197.3944803109373</v>
      </c>
      <c r="F343" s="3">
        <v>-79</v>
      </c>
      <c r="G343" s="3">
        <v>-131.765331077876</v>
      </c>
      <c r="H343">
        <f t="shared" si="29"/>
        <v>1920.5343658101151</v>
      </c>
      <c r="I343" s="3">
        <v>1908.25</v>
      </c>
      <c r="J343" s="3">
        <v>0</v>
      </c>
      <c r="K343" s="3">
        <v>224.96134768302201</v>
      </c>
    </row>
    <row r="344" spans="1:11" ht="18" x14ac:dyDescent="0.25">
      <c r="A344" s="3">
        <v>1981.3333333333301</v>
      </c>
      <c r="B344" s="3">
        <f t="shared" si="25"/>
        <v>-124.72944297082228</v>
      </c>
      <c r="C344" s="3">
        <f t="shared" si="26"/>
        <v>-137.28324932633251</v>
      </c>
      <c r="D344" s="3">
        <f t="shared" si="27"/>
        <v>-124.72944297082228</v>
      </c>
      <c r="E344" s="3">
        <f t="shared" si="28"/>
        <v>-104.22451247955101</v>
      </c>
      <c r="F344" s="3">
        <v>-60</v>
      </c>
      <c r="G344" s="3">
        <v>-38.595363246489697</v>
      </c>
      <c r="H344">
        <f t="shared" si="29"/>
        <v>157.59805401164911</v>
      </c>
      <c r="I344" s="3">
        <v>1908.3333333333301</v>
      </c>
      <c r="J344" s="3">
        <v>0</v>
      </c>
      <c r="K344" s="3">
        <v>314.459140901137</v>
      </c>
    </row>
    <row r="345" spans="1:11" ht="18" x14ac:dyDescent="0.25">
      <c r="A345" s="3">
        <v>1981.4166666666599</v>
      </c>
      <c r="B345" s="3">
        <f t="shared" si="25"/>
        <v>71.270557029177724</v>
      </c>
      <c r="C345" s="3">
        <f t="shared" si="26"/>
        <v>63.799512613556416</v>
      </c>
      <c r="D345" s="3">
        <f t="shared" si="27"/>
        <v>71.270557029177724</v>
      </c>
      <c r="E345" s="3">
        <f t="shared" si="28"/>
        <v>34.416959352000688</v>
      </c>
      <c r="F345" s="3">
        <v>136</v>
      </c>
      <c r="G345" s="3">
        <v>100.046108585062</v>
      </c>
      <c r="H345">
        <f t="shared" si="29"/>
        <v>55.816504660186318</v>
      </c>
      <c r="I345" s="3">
        <v>1908.4166666666599</v>
      </c>
      <c r="J345" s="3">
        <v>0</v>
      </c>
      <c r="K345" s="3">
        <v>404.21019651002001</v>
      </c>
    </row>
    <row r="346" spans="1:11" ht="18" x14ac:dyDescent="0.25">
      <c r="A346" s="3">
        <v>1981.5</v>
      </c>
      <c r="B346" s="3">
        <f t="shared" si="25"/>
        <v>176.27055702917772</v>
      </c>
      <c r="C346" s="3">
        <f t="shared" si="26"/>
        <v>169.00483272373725</v>
      </c>
      <c r="D346" s="3">
        <f t="shared" si="27"/>
        <v>176.27055702917772</v>
      </c>
      <c r="E346" s="3">
        <f t="shared" si="28"/>
        <v>155.6822838224187</v>
      </c>
      <c r="F346" s="3">
        <v>241</v>
      </c>
      <c r="G346" s="3">
        <v>221.31143305547999</v>
      </c>
      <c r="H346">
        <f t="shared" si="29"/>
        <v>52.790749682668427</v>
      </c>
      <c r="I346" s="3">
        <v>1908.5</v>
      </c>
      <c r="J346" s="3">
        <v>0</v>
      </c>
      <c r="K346" s="3">
        <v>445.01870584606399</v>
      </c>
    </row>
    <row r="347" spans="1:11" ht="18" x14ac:dyDescent="0.25">
      <c r="A347" s="3">
        <v>1981.5833333333301</v>
      </c>
      <c r="B347" s="3">
        <f t="shared" si="25"/>
        <v>204.27055702917772</v>
      </c>
      <c r="C347" s="3">
        <f t="shared" si="26"/>
        <v>199.79291584274898</v>
      </c>
      <c r="D347" s="3">
        <f t="shared" si="27"/>
        <v>204.27055702917772</v>
      </c>
      <c r="E347" s="3">
        <f t="shared" si="28"/>
        <v>232.10719994303071</v>
      </c>
      <c r="F347" s="3">
        <v>269</v>
      </c>
      <c r="G347" s="3">
        <v>297.73634917609201</v>
      </c>
      <c r="H347">
        <f t="shared" si="29"/>
        <v>20.049270594402984</v>
      </c>
      <c r="I347" s="3">
        <v>1908.5833333333301</v>
      </c>
      <c r="J347" s="3">
        <v>0</v>
      </c>
      <c r="K347" s="3">
        <v>439.42271215806301</v>
      </c>
    </row>
    <row r="348" spans="1:11" ht="18" x14ac:dyDescent="0.25">
      <c r="A348" s="3">
        <v>1981.6666666666599</v>
      </c>
      <c r="B348" s="3">
        <f t="shared" si="25"/>
        <v>213.27055702917772</v>
      </c>
      <c r="C348" s="3">
        <f t="shared" si="26"/>
        <v>205.95052532227069</v>
      </c>
      <c r="D348" s="3">
        <f t="shared" si="27"/>
        <v>213.27055702917772</v>
      </c>
      <c r="E348" s="3">
        <f t="shared" si="28"/>
        <v>252.44623709443971</v>
      </c>
      <c r="F348" s="3">
        <v>278</v>
      </c>
      <c r="G348" s="3">
        <v>318.07538632750101</v>
      </c>
      <c r="H348">
        <f t="shared" si="29"/>
        <v>53.582864190124262</v>
      </c>
      <c r="I348" s="3">
        <v>1908.6666666666599</v>
      </c>
      <c r="J348" s="3">
        <v>0</v>
      </c>
      <c r="K348" s="3">
        <v>399.76080529402799</v>
      </c>
    </row>
    <row r="349" spans="1:11" ht="18" x14ac:dyDescent="0.25">
      <c r="A349" s="3">
        <v>1981.75</v>
      </c>
      <c r="B349" s="3">
        <f t="shared" si="25"/>
        <v>216.27055702917772</v>
      </c>
      <c r="C349" s="3">
        <f t="shared" si="26"/>
        <v>205.93107002119805</v>
      </c>
      <c r="D349" s="3">
        <f t="shared" si="27"/>
        <v>216.27055702917772</v>
      </c>
      <c r="E349" s="3">
        <f t="shared" si="28"/>
        <v>252.37844515472273</v>
      </c>
      <c r="F349" s="3">
        <v>281</v>
      </c>
      <c r="G349" s="3">
        <v>318.00759438778402</v>
      </c>
      <c r="H349">
        <f t="shared" si="29"/>
        <v>106.90499158818039</v>
      </c>
      <c r="I349" s="3">
        <v>1908.75</v>
      </c>
      <c r="J349" s="3">
        <v>0</v>
      </c>
      <c r="K349" s="3">
        <v>362.224186180738</v>
      </c>
    </row>
    <row r="350" spans="1:11" ht="18" x14ac:dyDescent="0.25">
      <c r="A350" s="3">
        <v>1981.8333333333301</v>
      </c>
      <c r="B350" s="3">
        <f t="shared" si="25"/>
        <v>224.27055702917772</v>
      </c>
      <c r="C350" s="3">
        <f t="shared" si="26"/>
        <v>211.91616699939729</v>
      </c>
      <c r="D350" s="3">
        <f t="shared" si="27"/>
        <v>224.27055702917772</v>
      </c>
      <c r="E350" s="3">
        <f t="shared" si="28"/>
        <v>274.40977906749669</v>
      </c>
      <c r="F350" s="3">
        <v>289</v>
      </c>
      <c r="G350" s="3">
        <v>340.03892830055798</v>
      </c>
      <c r="H350">
        <f t="shared" si="29"/>
        <v>152.63095300793816</v>
      </c>
      <c r="I350" s="3">
        <v>1908.8333333333301</v>
      </c>
      <c r="J350" s="3">
        <v>0</v>
      </c>
      <c r="K350" s="3">
        <v>344.30866775776002</v>
      </c>
    </row>
    <row r="351" spans="1:11" ht="18" x14ac:dyDescent="0.25">
      <c r="A351" s="3">
        <v>1981.9166666666599</v>
      </c>
      <c r="B351" s="3">
        <f t="shared" si="25"/>
        <v>230.27055702917772</v>
      </c>
      <c r="C351" s="3">
        <f t="shared" si="26"/>
        <v>214.78882645670333</v>
      </c>
      <c r="D351" s="3">
        <f t="shared" si="27"/>
        <v>230.27055702917772</v>
      </c>
      <c r="E351" s="3">
        <f t="shared" si="28"/>
        <v>285.89441818526171</v>
      </c>
      <c r="F351" s="3">
        <v>295</v>
      </c>
      <c r="G351" s="3">
        <v>351.52356741832301</v>
      </c>
      <c r="H351">
        <f t="shared" si="29"/>
        <v>239.68398151868823</v>
      </c>
      <c r="I351" s="3">
        <v>1908.9166666666599</v>
      </c>
      <c r="J351" s="3">
        <v>0</v>
      </c>
      <c r="K351" s="3">
        <v>298.37587987883097</v>
      </c>
    </row>
    <row r="352" spans="1:11" ht="18" x14ac:dyDescent="0.25">
      <c r="A352" s="3">
        <v>1982</v>
      </c>
      <c r="B352" s="3">
        <f t="shared" si="25"/>
        <v>237.27055702917772</v>
      </c>
      <c r="C352" s="3">
        <f t="shared" si="26"/>
        <v>209.98194786853415</v>
      </c>
      <c r="D352" s="3">
        <f t="shared" si="27"/>
        <v>237.27055702917772</v>
      </c>
      <c r="E352" s="3">
        <f t="shared" si="28"/>
        <v>267.02206495040468</v>
      </c>
      <c r="F352" s="3">
        <v>302</v>
      </c>
      <c r="G352" s="3">
        <v>332.65121418346598</v>
      </c>
      <c r="H352">
        <f t="shared" si="29"/>
        <v>744.6681899223604</v>
      </c>
      <c r="I352" s="3">
        <v>1909</v>
      </c>
      <c r="J352" s="3">
        <v>0</v>
      </c>
      <c r="K352" s="3">
        <v>220.98390460634499</v>
      </c>
    </row>
    <row r="353" spans="1:11" ht="18" x14ac:dyDescent="0.25">
      <c r="A353" s="3">
        <v>1982.0833333333301</v>
      </c>
      <c r="B353" s="3">
        <f t="shared" si="25"/>
        <v>237.27055702917772</v>
      </c>
      <c r="C353" s="3">
        <f t="shared" si="26"/>
        <v>202.71437583442886</v>
      </c>
      <c r="D353" s="3">
        <f t="shared" si="27"/>
        <v>237.27055702917772</v>
      </c>
      <c r="E353" s="3">
        <f t="shared" si="28"/>
        <v>241.48537821830672</v>
      </c>
      <c r="F353" s="3">
        <v>302</v>
      </c>
      <c r="G353" s="3">
        <v>307.11452745136802</v>
      </c>
      <c r="H353">
        <f t="shared" si="29"/>
        <v>1194.1296587643146</v>
      </c>
      <c r="I353" s="3">
        <v>1909.0833333333301</v>
      </c>
      <c r="J353" s="3">
        <v>0</v>
      </c>
      <c r="K353" s="3">
        <v>154.472940709776</v>
      </c>
    </row>
    <row r="354" spans="1:11" ht="18" x14ac:dyDescent="0.25">
      <c r="A354" s="3">
        <v>1982.1666666666599</v>
      </c>
      <c r="B354" s="3">
        <f t="shared" si="25"/>
        <v>245.27055702917772</v>
      </c>
      <c r="C354" s="3">
        <f t="shared" si="26"/>
        <v>192.79197276325158</v>
      </c>
      <c r="D354" s="3">
        <f t="shared" si="27"/>
        <v>245.27055702917772</v>
      </c>
      <c r="E354" s="3">
        <f t="shared" si="28"/>
        <v>211.41894972076972</v>
      </c>
      <c r="F354" s="3">
        <v>310</v>
      </c>
      <c r="G354" s="3">
        <v>277.04809895383102</v>
      </c>
      <c r="H354">
        <f t="shared" si="29"/>
        <v>2754.0018065559111</v>
      </c>
      <c r="I354" s="3">
        <v>1909.1666666666599</v>
      </c>
      <c r="J354" s="3">
        <v>0</v>
      </c>
      <c r="K354" s="3">
        <v>100.10385448452099</v>
      </c>
    </row>
    <row r="355" spans="1:11" ht="18" x14ac:dyDescent="0.25">
      <c r="A355" s="3">
        <v>1982.25</v>
      </c>
      <c r="B355" s="3">
        <f t="shared" si="25"/>
        <v>245.27055702917772</v>
      </c>
      <c r="C355" s="3">
        <f t="shared" si="26"/>
        <v>186.65211058495953</v>
      </c>
      <c r="D355" s="3">
        <f t="shared" si="27"/>
        <v>245.27055702917772</v>
      </c>
      <c r="E355" s="3">
        <f t="shared" si="28"/>
        <v>195.0948163535727</v>
      </c>
      <c r="F355" s="3">
        <v>310</v>
      </c>
      <c r="G355" s="3">
        <v>260.72396558663399</v>
      </c>
      <c r="H355">
        <f t="shared" si="29"/>
        <v>3436.1222635336767</v>
      </c>
      <c r="I355" s="3">
        <v>1909.25</v>
      </c>
      <c r="J355" s="3">
        <v>0</v>
      </c>
      <c r="K355" s="3">
        <v>59.413114606756501</v>
      </c>
    </row>
    <row r="356" spans="1:11" ht="18" x14ac:dyDescent="0.25">
      <c r="A356" s="3">
        <v>1982.3333333333301</v>
      </c>
      <c r="B356" s="3">
        <f t="shared" si="25"/>
        <v>245.27055702917772</v>
      </c>
      <c r="C356" s="3">
        <f t="shared" si="26"/>
        <v>188.33903786287686</v>
      </c>
      <c r="D356" s="3">
        <f t="shared" si="27"/>
        <v>245.27055702917772</v>
      </c>
      <c r="E356" s="3">
        <f t="shared" si="28"/>
        <v>199.4254672903607</v>
      </c>
      <c r="F356" s="3">
        <v>310</v>
      </c>
      <c r="G356" s="3">
        <v>265.054616523422</v>
      </c>
      <c r="H356">
        <f t="shared" si="29"/>
        <v>3241.1978745828819</v>
      </c>
      <c r="I356" s="3">
        <v>1909.3333333333301</v>
      </c>
      <c r="J356" s="3">
        <v>0</v>
      </c>
      <c r="K356" s="3">
        <v>24.720066133431999</v>
      </c>
    </row>
    <row r="357" spans="1:11" ht="18" x14ac:dyDescent="0.25">
      <c r="A357" s="3">
        <v>1982.4166666666599</v>
      </c>
      <c r="B357" s="3">
        <f t="shared" si="25"/>
        <v>226.27055702917772</v>
      </c>
      <c r="C357" s="3">
        <f t="shared" si="26"/>
        <v>178.01058618762832</v>
      </c>
      <c r="D357" s="3">
        <f t="shared" si="27"/>
        <v>226.27055702917772</v>
      </c>
      <c r="E357" s="3">
        <f t="shared" si="28"/>
        <v>174.55090286393067</v>
      </c>
      <c r="F357" s="3">
        <v>291</v>
      </c>
      <c r="G357" s="3">
        <v>240.180052096992</v>
      </c>
      <c r="H357">
        <f t="shared" si="29"/>
        <v>2329.0247856271985</v>
      </c>
      <c r="I357" s="3">
        <v>1909.4166666666599</v>
      </c>
      <c r="J357" s="3">
        <v>0</v>
      </c>
      <c r="K357" s="3">
        <v>-39.516871580985601</v>
      </c>
    </row>
    <row r="358" spans="1:11" ht="18" x14ac:dyDescent="0.25">
      <c r="A358" s="3">
        <v>1982.5</v>
      </c>
      <c r="B358" s="3">
        <f t="shared" si="25"/>
        <v>218.27055702917772</v>
      </c>
      <c r="C358" s="3">
        <f t="shared" si="26"/>
        <v>138.79724895694656</v>
      </c>
      <c r="D358" s="3">
        <f t="shared" si="27"/>
        <v>218.27055702917772</v>
      </c>
      <c r="E358" s="3">
        <f t="shared" si="28"/>
        <v>106.26575347558467</v>
      </c>
      <c r="F358" s="3">
        <v>283</v>
      </c>
      <c r="G358" s="3">
        <v>171.89490270864599</v>
      </c>
      <c r="H358">
        <f t="shared" si="29"/>
        <v>6316.0066959437627</v>
      </c>
      <c r="I358" s="3">
        <v>1909.5</v>
      </c>
      <c r="J358" s="3">
        <v>0</v>
      </c>
      <c r="K358" s="3">
        <v>-116.67854475779799</v>
      </c>
    </row>
    <row r="359" spans="1:11" ht="18" x14ac:dyDescent="0.25">
      <c r="A359" s="3">
        <v>1982.5833333333301</v>
      </c>
      <c r="B359" s="3">
        <f t="shared" si="25"/>
        <v>80.270557029177724</v>
      </c>
      <c r="C359" s="3">
        <f t="shared" si="26"/>
        <v>35.390402122870299</v>
      </c>
      <c r="D359" s="3">
        <f t="shared" si="27"/>
        <v>80.270557029177724</v>
      </c>
      <c r="E359" s="3">
        <f t="shared" si="28"/>
        <v>17.170222795636491</v>
      </c>
      <c r="F359" s="3">
        <v>145</v>
      </c>
      <c r="G359" s="3">
        <v>82.799372028697803</v>
      </c>
      <c r="H359">
        <f t="shared" si="29"/>
        <v>2014.2283044141504</v>
      </c>
      <c r="I359" s="3">
        <v>1909.5833333333301</v>
      </c>
      <c r="J359" s="3">
        <v>0</v>
      </c>
      <c r="K359" s="3">
        <v>-174.12715503288001</v>
      </c>
    </row>
    <row r="360" spans="1:11" ht="18" x14ac:dyDescent="0.25">
      <c r="A360" s="3">
        <v>1982.6666666666599</v>
      </c>
      <c r="B360" s="3">
        <f t="shared" si="25"/>
        <v>-136.72944297082228</v>
      </c>
      <c r="C360" s="3">
        <f t="shared" si="26"/>
        <v>-117.98257021745464</v>
      </c>
      <c r="D360" s="3">
        <f t="shared" si="27"/>
        <v>-136.72944297082228</v>
      </c>
      <c r="E360" s="3">
        <f t="shared" si="28"/>
        <v>-80.914723709261409</v>
      </c>
      <c r="F360" s="3">
        <v>-72</v>
      </c>
      <c r="G360" s="3">
        <v>-15.2855744762001</v>
      </c>
      <c r="H360">
        <f t="shared" si="29"/>
        <v>351.44523803095802</v>
      </c>
      <c r="I360" s="3">
        <v>1909.6666666666599</v>
      </c>
      <c r="J360" s="3">
        <v>0</v>
      </c>
      <c r="K360" s="3">
        <v>-210.173723709066</v>
      </c>
    </row>
    <row r="361" spans="1:11" ht="18" x14ac:dyDescent="0.25">
      <c r="A361" s="3">
        <v>1982.75</v>
      </c>
      <c r="B361" s="3">
        <f t="shared" si="25"/>
        <v>-183.72944297082228</v>
      </c>
      <c r="C361" s="3">
        <f t="shared" si="26"/>
        <v>-167.90462035915735</v>
      </c>
      <c r="D361" s="3">
        <f t="shared" si="27"/>
        <v>-183.72944297082228</v>
      </c>
      <c r="E361" s="3">
        <f t="shared" si="28"/>
        <v>-153.5326796458541</v>
      </c>
      <c r="F361" s="3">
        <v>-119</v>
      </c>
      <c r="G361" s="3">
        <v>-87.903530412792804</v>
      </c>
      <c r="H361">
        <f t="shared" si="29"/>
        <v>250.42501069066159</v>
      </c>
      <c r="I361" s="3">
        <v>1909.75</v>
      </c>
      <c r="J361" s="3">
        <v>0</v>
      </c>
      <c r="K361" s="3">
        <v>-206.535382196733</v>
      </c>
    </row>
    <row r="362" spans="1:11" ht="18" x14ac:dyDescent="0.25">
      <c r="A362" s="3">
        <v>1982.8333333333301</v>
      </c>
      <c r="B362" s="3">
        <f t="shared" si="25"/>
        <v>-183.72944297082228</v>
      </c>
      <c r="C362" s="3">
        <f t="shared" si="26"/>
        <v>-186.71510611727811</v>
      </c>
      <c r="D362" s="3">
        <f t="shared" si="27"/>
        <v>-183.72944297082228</v>
      </c>
      <c r="E362" s="3">
        <f t="shared" si="28"/>
        <v>-195.25453218463633</v>
      </c>
      <c r="F362" s="3">
        <v>-119</v>
      </c>
      <c r="G362" s="3">
        <v>-129.62538295157501</v>
      </c>
      <c r="H362">
        <f t="shared" si="29"/>
        <v>8.9141844241045547</v>
      </c>
      <c r="I362" s="3">
        <v>1909.8333333333301</v>
      </c>
      <c r="J362" s="3">
        <v>0</v>
      </c>
      <c r="K362" s="3">
        <v>-175.86729419600499</v>
      </c>
    </row>
    <row r="363" spans="1:11" ht="18" x14ac:dyDescent="0.25">
      <c r="A363" s="3">
        <v>1982.9166666666599</v>
      </c>
      <c r="B363" s="3">
        <f t="shared" si="25"/>
        <v>-201.72944297082228</v>
      </c>
      <c r="C363" s="3">
        <f t="shared" si="26"/>
        <v>-201.19999028133739</v>
      </c>
      <c r="D363" s="3">
        <f t="shared" si="27"/>
        <v>-201.72944297082228</v>
      </c>
      <c r="E363" s="3">
        <f t="shared" si="28"/>
        <v>-236.56532718263833</v>
      </c>
      <c r="F363" s="3">
        <v>-137</v>
      </c>
      <c r="G363" s="3">
        <v>-170.936177949577</v>
      </c>
      <c r="H363">
        <f t="shared" si="29"/>
        <v>0.28032015040277736</v>
      </c>
      <c r="I363" s="3">
        <v>1909.9166666666599</v>
      </c>
      <c r="J363" s="3">
        <v>0</v>
      </c>
      <c r="K363" s="3">
        <v>-161.32140306690999</v>
      </c>
    </row>
    <row r="364" spans="1:11" ht="18" x14ac:dyDescent="0.25">
      <c r="A364" s="3">
        <v>1983</v>
      </c>
      <c r="B364" s="3">
        <f t="shared" si="25"/>
        <v>-221.72944297082228</v>
      </c>
      <c r="C364" s="3">
        <f t="shared" si="26"/>
        <v>-207.77677151538649</v>
      </c>
      <c r="D364" s="3">
        <f t="shared" si="27"/>
        <v>-221.72944297082228</v>
      </c>
      <c r="E364" s="3">
        <f t="shared" si="28"/>
        <v>-258.91665051142633</v>
      </c>
      <c r="F364" s="3">
        <v>-157</v>
      </c>
      <c r="G364" s="3">
        <v>-193.287501278365</v>
      </c>
      <c r="H364">
        <f t="shared" si="29"/>
        <v>194.67704074333273</v>
      </c>
      <c r="I364" s="3">
        <v>1910</v>
      </c>
      <c r="J364" s="3">
        <v>0</v>
      </c>
      <c r="K364" s="3">
        <v>-156.376971995254</v>
      </c>
    </row>
    <row r="365" spans="1:11" ht="18" x14ac:dyDescent="0.25">
      <c r="A365" s="3">
        <v>1983.0833333333301</v>
      </c>
      <c r="B365" s="3">
        <f t="shared" si="25"/>
        <v>-221.72944297082228</v>
      </c>
      <c r="C365" s="3">
        <f t="shared" si="26"/>
        <v>-207.23084626598694</v>
      </c>
      <c r="D365" s="3">
        <f t="shared" si="27"/>
        <v>-221.72944297082228</v>
      </c>
      <c r="E365" s="3">
        <f t="shared" si="28"/>
        <v>-256.96001004945532</v>
      </c>
      <c r="F365" s="3">
        <v>-157</v>
      </c>
      <c r="G365" s="3">
        <v>-191.33086081639399</v>
      </c>
      <c r="H365">
        <f t="shared" si="29"/>
        <v>210.20930640946207</v>
      </c>
      <c r="I365" s="3">
        <v>1910.0833333333301</v>
      </c>
      <c r="J365" s="3">
        <v>0</v>
      </c>
      <c r="K365" s="3">
        <v>-162.008328168871</v>
      </c>
    </row>
    <row r="366" spans="1:11" ht="18" x14ac:dyDescent="0.25">
      <c r="A366" s="3">
        <v>1983.1666666666599</v>
      </c>
      <c r="B366" s="3">
        <f t="shared" si="25"/>
        <v>-215.72944297082228</v>
      </c>
      <c r="C366" s="3">
        <f t="shared" si="26"/>
        <v>-210.01143066455816</v>
      </c>
      <c r="D366" s="3">
        <f t="shared" si="27"/>
        <v>-215.72944297082228</v>
      </c>
      <c r="E366" s="3">
        <f t="shared" si="28"/>
        <v>-267.1326818982713</v>
      </c>
      <c r="F366" s="3">
        <v>-151</v>
      </c>
      <c r="G366" s="3">
        <v>-201.50353266521</v>
      </c>
      <c r="H366">
        <f t="shared" si="29"/>
        <v>32.695664734587858</v>
      </c>
      <c r="I366" s="3">
        <v>1910.1666666666599</v>
      </c>
      <c r="J366" s="3">
        <v>0</v>
      </c>
      <c r="K366" s="3">
        <v>-191.65813975506401</v>
      </c>
    </row>
    <row r="367" spans="1:11" ht="18" x14ac:dyDescent="0.25">
      <c r="A367" s="3">
        <v>1983.25</v>
      </c>
      <c r="B367" s="3">
        <f t="shared" si="25"/>
        <v>-198.72944297082228</v>
      </c>
      <c r="C367" s="3">
        <f t="shared" si="26"/>
        <v>-213.47736674761748</v>
      </c>
      <c r="D367" s="3">
        <f t="shared" si="27"/>
        <v>-198.72944297082228</v>
      </c>
      <c r="E367" s="3">
        <f t="shared" si="28"/>
        <v>-280.57276772470533</v>
      </c>
      <c r="F367" s="3">
        <v>-134</v>
      </c>
      <c r="G367" s="3">
        <v>-214.943618491644</v>
      </c>
      <c r="H367">
        <f t="shared" si="29"/>
        <v>217.50125572616133</v>
      </c>
      <c r="I367" s="3">
        <v>1910.25</v>
      </c>
      <c r="J367" s="3">
        <v>0</v>
      </c>
      <c r="K367" s="3">
        <v>-198.389798650676</v>
      </c>
    </row>
    <row r="368" spans="1:11" ht="18" x14ac:dyDescent="0.25">
      <c r="A368" s="3">
        <v>1983.3333333333301</v>
      </c>
      <c r="B368" s="3">
        <f t="shared" si="25"/>
        <v>-192.72944297082228</v>
      </c>
      <c r="C368" s="3">
        <f t="shared" si="26"/>
        <v>-212.69334666203946</v>
      </c>
      <c r="D368" s="3">
        <f t="shared" si="27"/>
        <v>-192.72944297082228</v>
      </c>
      <c r="E368" s="3">
        <f t="shared" si="28"/>
        <v>-277.45486167244729</v>
      </c>
      <c r="F368" s="3">
        <v>-128</v>
      </c>
      <c r="G368" s="3">
        <v>-211.825712439386</v>
      </c>
      <c r="H368">
        <f t="shared" si="29"/>
        <v>398.5574505921951</v>
      </c>
      <c r="I368" s="3">
        <v>1910.3333333333301</v>
      </c>
      <c r="J368" s="3">
        <v>0</v>
      </c>
      <c r="K368" s="3">
        <v>-145.75942107992901</v>
      </c>
    </row>
    <row r="369" spans="1:11" ht="18" x14ac:dyDescent="0.25">
      <c r="A369" s="3">
        <v>1983.4166666666599</v>
      </c>
      <c r="B369" s="3">
        <f t="shared" si="25"/>
        <v>-172.72944297082228</v>
      </c>
      <c r="C369" s="3">
        <f t="shared" si="26"/>
        <v>-206.01024586644493</v>
      </c>
      <c r="D369" s="3">
        <f t="shared" si="27"/>
        <v>-172.72944297082228</v>
      </c>
      <c r="E369" s="3">
        <f t="shared" si="28"/>
        <v>-252.65448069335832</v>
      </c>
      <c r="F369" s="3">
        <v>-108</v>
      </c>
      <c r="G369" s="3">
        <v>-187.025331460297</v>
      </c>
      <c r="H369">
        <f t="shared" si="29"/>
        <v>1107.6118413772854</v>
      </c>
      <c r="I369" s="3">
        <v>1910.4166666666599</v>
      </c>
      <c r="J369" s="3">
        <v>0</v>
      </c>
      <c r="K369" s="3">
        <v>-42.713102215035903</v>
      </c>
    </row>
    <row r="370" spans="1:11" ht="18" x14ac:dyDescent="0.25">
      <c r="A370" s="3">
        <v>1983.5</v>
      </c>
      <c r="B370" s="3">
        <f t="shared" si="25"/>
        <v>-4.7294429708222765</v>
      </c>
      <c r="C370" s="3">
        <f t="shared" si="26"/>
        <v>-185.33440362860034</v>
      </c>
      <c r="D370" s="3">
        <f t="shared" si="27"/>
        <v>-4.7294429708222765</v>
      </c>
      <c r="E370" s="3">
        <f t="shared" si="28"/>
        <v>-191.78881806483832</v>
      </c>
      <c r="F370" s="3">
        <v>60</v>
      </c>
      <c r="G370" s="3">
        <v>-126.159668831777</v>
      </c>
      <c r="H370">
        <f t="shared" si="29"/>
        <v>32618.151814197561</v>
      </c>
      <c r="I370" s="3">
        <v>1910.5</v>
      </c>
      <c r="J370" s="3">
        <v>0</v>
      </c>
      <c r="K370" s="3">
        <v>89.621620277806699</v>
      </c>
    </row>
    <row r="371" spans="1:11" ht="18" x14ac:dyDescent="0.25">
      <c r="A371" s="3">
        <v>1983.5833333333301</v>
      </c>
      <c r="B371" s="3">
        <f t="shared" si="25"/>
        <v>87.270557029177724</v>
      </c>
      <c r="C371" s="3">
        <f t="shared" si="26"/>
        <v>-151.935800866866</v>
      </c>
      <c r="D371" s="3">
        <f t="shared" si="27"/>
        <v>87.270557029177724</v>
      </c>
      <c r="E371" s="3">
        <f t="shared" si="28"/>
        <v>-125.54567848360091</v>
      </c>
      <c r="F371" s="3">
        <v>152</v>
      </c>
      <c r="G371" s="3">
        <v>-59.916529250539597</v>
      </c>
      <c r="H371">
        <f t="shared" si="29"/>
        <v>57219.681657890163</v>
      </c>
      <c r="I371" s="3">
        <v>1910.5833333333301</v>
      </c>
      <c r="J371" s="3">
        <v>0</v>
      </c>
      <c r="K371" s="3">
        <v>193.16303317439099</v>
      </c>
    </row>
    <row r="372" spans="1:11" ht="18" x14ac:dyDescent="0.25">
      <c r="A372" s="3">
        <v>1983.6666666666599</v>
      </c>
      <c r="B372" s="3">
        <f t="shared" si="25"/>
        <v>112.27055702917772</v>
      </c>
      <c r="C372" s="3">
        <f t="shared" si="26"/>
        <v>-119.57329382409121</v>
      </c>
      <c r="D372" s="3">
        <f t="shared" si="27"/>
        <v>112.27055702917772</v>
      </c>
      <c r="E372" s="3">
        <f t="shared" si="28"/>
        <v>-82.66413153988691</v>
      </c>
      <c r="F372" s="3">
        <v>177</v>
      </c>
      <c r="G372" s="3">
        <v>-17.034982306825601</v>
      </c>
      <c r="H372">
        <f t="shared" si="29"/>
        <v>53751.571178472805</v>
      </c>
      <c r="I372" s="3">
        <v>1910.6666666666599</v>
      </c>
      <c r="J372" s="3">
        <v>0</v>
      </c>
      <c r="K372" s="3">
        <v>243.38887009034099</v>
      </c>
    </row>
    <row r="373" spans="1:11" ht="18" x14ac:dyDescent="0.25">
      <c r="A373" s="3">
        <v>1983.75</v>
      </c>
      <c r="B373" s="3">
        <f t="shared" si="25"/>
        <v>134.27055702917772</v>
      </c>
      <c r="C373" s="3">
        <f t="shared" si="26"/>
        <v>-56.225036339976782</v>
      </c>
      <c r="D373" s="3">
        <f t="shared" si="27"/>
        <v>134.27055702917772</v>
      </c>
      <c r="E373" s="3">
        <f t="shared" si="28"/>
        <v>-29.452187637540909</v>
      </c>
      <c r="F373" s="3">
        <v>199</v>
      </c>
      <c r="G373" s="3">
        <v>36.176961595520403</v>
      </c>
      <c r="H373">
        <f t="shared" si="29"/>
        <v>36288.571093066261</v>
      </c>
      <c r="I373" s="3">
        <v>1910.75</v>
      </c>
      <c r="J373" s="3">
        <v>0</v>
      </c>
      <c r="K373" s="3">
        <v>284.55143709692499</v>
      </c>
    </row>
    <row r="374" spans="1:11" ht="18" x14ac:dyDescent="0.25">
      <c r="A374" s="3">
        <v>1983.8333333333301</v>
      </c>
      <c r="B374" s="3">
        <f t="shared" si="25"/>
        <v>138.27055702917772</v>
      </c>
      <c r="C374" s="3">
        <f t="shared" si="26"/>
        <v>68.27123018235757</v>
      </c>
      <c r="D374" s="3">
        <f t="shared" si="27"/>
        <v>138.27055702917772</v>
      </c>
      <c r="E374" s="3">
        <f t="shared" si="28"/>
        <v>37.489557869275686</v>
      </c>
      <c r="F374" s="3">
        <v>203</v>
      </c>
      <c r="G374" s="3">
        <v>103.118707102337</v>
      </c>
      <c r="H374">
        <f t="shared" si="29"/>
        <v>4899.9057590079565</v>
      </c>
      <c r="I374" s="3">
        <v>1910.8333333333301</v>
      </c>
      <c r="J374" s="3">
        <v>0</v>
      </c>
      <c r="K374" s="3">
        <v>315.41764977036598</v>
      </c>
    </row>
    <row r="375" spans="1:11" ht="18" x14ac:dyDescent="0.25">
      <c r="A375" s="3">
        <v>1983.9166666666599</v>
      </c>
      <c r="B375" s="3">
        <f t="shared" si="25"/>
        <v>187.27055702917772</v>
      </c>
      <c r="C375" s="3">
        <f t="shared" si="26"/>
        <v>129.6991395920308</v>
      </c>
      <c r="D375" s="3">
        <f t="shared" si="27"/>
        <v>187.27055702917772</v>
      </c>
      <c r="E375" s="3">
        <f t="shared" si="28"/>
        <v>94.494160928719694</v>
      </c>
      <c r="F375" s="3">
        <v>252</v>
      </c>
      <c r="G375" s="3">
        <v>160.12331016178101</v>
      </c>
      <c r="H375">
        <f t="shared" si="29"/>
        <v>3314.4681057222242</v>
      </c>
      <c r="I375" s="3">
        <v>1910.9166666666599</v>
      </c>
      <c r="J375" s="3">
        <v>0</v>
      </c>
      <c r="K375" s="3">
        <v>309.14478076823002</v>
      </c>
    </row>
    <row r="376" spans="1:11" ht="18" x14ac:dyDescent="0.25">
      <c r="A376" s="3">
        <v>1984</v>
      </c>
      <c r="B376" s="3">
        <f t="shared" si="25"/>
        <v>190.27055702917772</v>
      </c>
      <c r="C376" s="3">
        <f t="shared" si="26"/>
        <v>161.48194532515672</v>
      </c>
      <c r="D376" s="3">
        <f t="shared" si="27"/>
        <v>190.27055702917772</v>
      </c>
      <c r="E376" s="3">
        <f t="shared" si="28"/>
        <v>141.58835960039471</v>
      </c>
      <c r="F376" s="3">
        <v>255</v>
      </c>
      <c r="G376" s="3">
        <v>207.21750883345601</v>
      </c>
      <c r="H376">
        <f t="shared" si="29"/>
        <v>828.78416384489537</v>
      </c>
      <c r="I376" s="3">
        <v>1911</v>
      </c>
      <c r="J376" s="3">
        <v>0</v>
      </c>
      <c r="K376" s="3">
        <v>277.89623526316001</v>
      </c>
    </row>
    <row r="377" spans="1:11" ht="18" x14ac:dyDescent="0.25">
      <c r="A377" s="3">
        <v>1984.0833333333301</v>
      </c>
      <c r="B377" s="3">
        <f t="shared" si="25"/>
        <v>210.27055702917772</v>
      </c>
      <c r="C377" s="3">
        <f t="shared" si="26"/>
        <v>169.36728661276203</v>
      </c>
      <c r="D377" s="3">
        <f t="shared" si="27"/>
        <v>210.27055702917772</v>
      </c>
      <c r="E377" s="3">
        <f t="shared" si="28"/>
        <v>156.39743300701468</v>
      </c>
      <c r="F377" s="3">
        <v>275</v>
      </c>
      <c r="G377" s="3">
        <v>222.02658224007601</v>
      </c>
      <c r="H377">
        <f t="shared" si="29"/>
        <v>1673.0775307584272</v>
      </c>
      <c r="I377" s="3">
        <v>1911.0833333333301</v>
      </c>
      <c r="J377" s="3">
        <v>0</v>
      </c>
      <c r="K377" s="3">
        <v>229.00558400084199</v>
      </c>
    </row>
    <row r="378" spans="1:11" ht="18" x14ac:dyDescent="0.25">
      <c r="A378" s="3">
        <v>1984.1666666666599</v>
      </c>
      <c r="B378" s="3">
        <f t="shared" si="25"/>
        <v>218.27055702917772</v>
      </c>
      <c r="C378" s="3">
        <f t="shared" si="26"/>
        <v>162.00921057551847</v>
      </c>
      <c r="D378" s="3">
        <f t="shared" si="27"/>
        <v>218.27055702917772</v>
      </c>
      <c r="E378" s="3">
        <f t="shared" si="28"/>
        <v>142.5317869767407</v>
      </c>
      <c r="F378" s="3">
        <v>283</v>
      </c>
      <c r="G378" s="3">
        <v>208.160936209802</v>
      </c>
      <c r="H378">
        <f t="shared" si="29"/>
        <v>3165.3391047786772</v>
      </c>
      <c r="I378" s="3">
        <v>1911.1666666666599</v>
      </c>
      <c r="J378" s="3">
        <v>0</v>
      </c>
      <c r="K378" s="3">
        <v>193.718438882274</v>
      </c>
    </row>
    <row r="379" spans="1:11" ht="18" x14ac:dyDescent="0.25">
      <c r="A379" s="3">
        <v>1984.25</v>
      </c>
      <c r="B379" s="3">
        <f t="shared" si="25"/>
        <v>218.27055702917772</v>
      </c>
      <c r="C379" s="3">
        <f t="shared" si="26"/>
        <v>167.36407134730126</v>
      </c>
      <c r="D379" s="3">
        <f t="shared" si="27"/>
        <v>218.27055702917772</v>
      </c>
      <c r="E379" s="3">
        <f t="shared" si="28"/>
        <v>152.48807815335567</v>
      </c>
      <c r="F379" s="3">
        <v>283</v>
      </c>
      <c r="G379" s="3">
        <v>218.117227386417</v>
      </c>
      <c r="H379">
        <f t="shared" si="29"/>
        <v>2591.4702844790932</v>
      </c>
      <c r="I379" s="3">
        <v>1911.25</v>
      </c>
      <c r="J379" s="3">
        <v>0</v>
      </c>
      <c r="K379" s="3">
        <v>214.66514290287699</v>
      </c>
    </row>
    <row r="380" spans="1:11" ht="18" x14ac:dyDescent="0.25">
      <c r="A380" s="3">
        <v>1984.3333333333301</v>
      </c>
      <c r="B380" s="3">
        <f t="shared" si="25"/>
        <v>223.27055702917772</v>
      </c>
      <c r="C380" s="3">
        <f t="shared" si="26"/>
        <v>185.30200924311427</v>
      </c>
      <c r="D380" s="3">
        <f t="shared" si="27"/>
        <v>223.27055702917772</v>
      </c>
      <c r="E380" s="3">
        <f t="shared" si="28"/>
        <v>191.70837258278669</v>
      </c>
      <c r="F380" s="3">
        <v>288</v>
      </c>
      <c r="G380" s="3">
        <v>257.33752181584799</v>
      </c>
      <c r="H380">
        <f t="shared" si="29"/>
        <v>1441.6106209825839</v>
      </c>
      <c r="I380" s="3">
        <v>1911.3333333333301</v>
      </c>
      <c r="J380" s="3">
        <v>0</v>
      </c>
      <c r="K380" s="3">
        <v>260.92351450453702</v>
      </c>
    </row>
    <row r="381" spans="1:11" ht="18" x14ac:dyDescent="0.25">
      <c r="A381" s="3">
        <v>1984.4166666666599</v>
      </c>
      <c r="B381" s="3">
        <f t="shared" si="25"/>
        <v>256.27055702917772</v>
      </c>
      <c r="C381" s="3">
        <f t="shared" si="26"/>
        <v>202.05825963145568</v>
      </c>
      <c r="D381" s="3">
        <f t="shared" si="27"/>
        <v>256.27055702917772</v>
      </c>
      <c r="E381" s="3">
        <f t="shared" si="28"/>
        <v>239.33791530359667</v>
      </c>
      <c r="F381" s="3">
        <v>321</v>
      </c>
      <c r="G381" s="3">
        <v>304.96706453665797</v>
      </c>
      <c r="H381">
        <f t="shared" si="29"/>
        <v>2938.9731891390597</v>
      </c>
      <c r="I381" s="3">
        <v>1911.4166666666599</v>
      </c>
      <c r="J381" s="3">
        <v>0</v>
      </c>
      <c r="K381" s="3">
        <v>288.66034860615298</v>
      </c>
    </row>
    <row r="382" spans="1:11" ht="18" x14ac:dyDescent="0.25">
      <c r="A382" s="3">
        <v>1984.5</v>
      </c>
      <c r="B382" s="3">
        <f t="shared" si="25"/>
        <v>281.27055702917772</v>
      </c>
      <c r="C382" s="3">
        <f t="shared" si="26"/>
        <v>213.08736251252279</v>
      </c>
      <c r="D382" s="3">
        <f t="shared" si="27"/>
        <v>281.27055702917772</v>
      </c>
      <c r="E382" s="3">
        <f t="shared" si="28"/>
        <v>279.01594895190971</v>
      </c>
      <c r="F382" s="3">
        <v>346</v>
      </c>
      <c r="G382" s="3">
        <v>344.645098184971</v>
      </c>
      <c r="H382">
        <f t="shared" si="29"/>
        <v>4648.9480144960035</v>
      </c>
      <c r="I382" s="3">
        <v>1911.5</v>
      </c>
      <c r="J382" s="3">
        <v>0</v>
      </c>
      <c r="K382" s="3">
        <v>280.80563291012299</v>
      </c>
    </row>
    <row r="383" spans="1:11" ht="18" x14ac:dyDescent="0.25">
      <c r="A383" s="3">
        <v>1984.5833333333301</v>
      </c>
      <c r="B383" s="3">
        <f t="shared" si="25"/>
        <v>281.27055702917772</v>
      </c>
      <c r="C383" s="3">
        <f t="shared" si="26"/>
        <v>212.29800337550668</v>
      </c>
      <c r="D383" s="3">
        <f t="shared" si="27"/>
        <v>281.27055702917772</v>
      </c>
      <c r="E383" s="3">
        <f t="shared" si="28"/>
        <v>275.90024720449571</v>
      </c>
      <c r="F383" s="3">
        <v>346</v>
      </c>
      <c r="G383" s="3">
        <v>341.52939643755701</v>
      </c>
      <c r="H383">
        <f t="shared" si="29"/>
        <v>4757.2131575085305</v>
      </c>
      <c r="I383" s="3">
        <v>1911.5833333333301</v>
      </c>
      <c r="J383" s="3">
        <v>0</v>
      </c>
      <c r="K383" s="3">
        <v>218.47968575204999</v>
      </c>
    </row>
    <row r="384" spans="1:11" ht="18" x14ac:dyDescent="0.25">
      <c r="A384" s="3">
        <v>1984.6666666666599</v>
      </c>
      <c r="B384" s="3">
        <f t="shared" si="25"/>
        <v>275.27055702917772</v>
      </c>
      <c r="C384" s="3">
        <f t="shared" si="26"/>
        <v>203.67241813326675</v>
      </c>
      <c r="D384" s="3">
        <f t="shared" si="27"/>
        <v>275.27055702917772</v>
      </c>
      <c r="E384" s="3">
        <f t="shared" si="28"/>
        <v>244.66543665149169</v>
      </c>
      <c r="F384" s="3">
        <v>340</v>
      </c>
      <c r="G384" s="3">
        <v>310.29458588455299</v>
      </c>
      <c r="H384">
        <f t="shared" si="29"/>
        <v>5126.29349335816</v>
      </c>
      <c r="I384" s="3">
        <v>1911.6666666666599</v>
      </c>
      <c r="J384" s="3">
        <v>0</v>
      </c>
      <c r="K384" s="3">
        <v>136.69412501481801</v>
      </c>
    </row>
    <row r="385" spans="1:11" ht="18" x14ac:dyDescent="0.25">
      <c r="A385" s="3">
        <v>1984.75</v>
      </c>
      <c r="B385" s="3">
        <f t="shared" si="25"/>
        <v>270.27055702917772</v>
      </c>
      <c r="C385" s="3">
        <f t="shared" si="26"/>
        <v>195.76619738422212</v>
      </c>
      <c r="D385" s="3">
        <f t="shared" si="27"/>
        <v>270.27055702917772</v>
      </c>
      <c r="E385" s="3">
        <f t="shared" si="28"/>
        <v>219.91769719326368</v>
      </c>
      <c r="F385" s="3">
        <v>335</v>
      </c>
      <c r="G385" s="3">
        <v>285.54684642632498</v>
      </c>
      <c r="H385">
        <f t="shared" si="29"/>
        <v>5550.8996061048883</v>
      </c>
      <c r="I385" s="3">
        <v>1911.75</v>
      </c>
      <c r="J385" s="3">
        <v>0</v>
      </c>
      <c r="K385" s="3">
        <v>80.238354653001906</v>
      </c>
    </row>
    <row r="386" spans="1:11" ht="18" x14ac:dyDescent="0.25">
      <c r="A386" s="3">
        <v>1984.8333333333301</v>
      </c>
      <c r="B386" s="3">
        <f t="shared" si="25"/>
        <v>216.27055702917772</v>
      </c>
      <c r="C386" s="3">
        <f t="shared" si="26"/>
        <v>176.62292418037993</v>
      </c>
      <c r="D386" s="3">
        <f t="shared" si="27"/>
        <v>216.27055702917772</v>
      </c>
      <c r="E386" s="3">
        <f t="shared" si="28"/>
        <v>171.48649517421069</v>
      </c>
      <c r="F386" s="3">
        <v>281</v>
      </c>
      <c r="G386" s="3">
        <v>237.11564440727199</v>
      </c>
      <c r="H386">
        <f t="shared" si="29"/>
        <v>1571.9347905130703</v>
      </c>
      <c r="I386" s="3">
        <v>1911.8333333333301</v>
      </c>
      <c r="J386" s="3">
        <v>0</v>
      </c>
      <c r="K386" s="3">
        <v>28.895276793427399</v>
      </c>
    </row>
    <row r="387" spans="1:11" ht="18" x14ac:dyDescent="0.25">
      <c r="A387" s="3">
        <v>1984.9166666666599</v>
      </c>
      <c r="B387" s="3">
        <f t="shared" si="25"/>
        <v>-42.729442970822276</v>
      </c>
      <c r="C387" s="3">
        <f t="shared" si="26"/>
        <v>126.03037105137186</v>
      </c>
      <c r="D387" s="3">
        <f t="shared" si="27"/>
        <v>-42.729442970822276</v>
      </c>
      <c r="E387" s="3">
        <f t="shared" si="28"/>
        <v>90.063529132440678</v>
      </c>
      <c r="F387" s="3">
        <v>22</v>
      </c>
      <c r="G387" s="3">
        <v>155.69267836550199</v>
      </c>
      <c r="H387">
        <f t="shared" si="29"/>
        <v>28479.874828805547</v>
      </c>
      <c r="I387" s="3">
        <v>1911.9166666666599</v>
      </c>
      <c r="J387" s="3">
        <v>0</v>
      </c>
      <c r="K387" s="3">
        <v>-18.466988294508599</v>
      </c>
    </row>
    <row r="388" spans="1:11" ht="18" x14ac:dyDescent="0.25">
      <c r="A388" s="3">
        <v>1985</v>
      </c>
      <c r="B388" s="3">
        <f t="shared" si="25"/>
        <v>-129.72944297082228</v>
      </c>
      <c r="C388" s="3">
        <f t="shared" si="26"/>
        <v>19.560751360871944</v>
      </c>
      <c r="D388" s="3">
        <f t="shared" si="27"/>
        <v>-129.72944297082228</v>
      </c>
      <c r="E388" s="3">
        <f t="shared" si="28"/>
        <v>8.9863064517248858</v>
      </c>
      <c r="F388" s="3">
        <v>-65</v>
      </c>
      <c r="G388" s="3">
        <v>74.615455684786198</v>
      </c>
      <c r="H388">
        <f t="shared" si="29"/>
        <v>22287.56212359502</v>
      </c>
      <c r="I388" s="3">
        <v>1912</v>
      </c>
      <c r="J388" s="3">
        <v>0</v>
      </c>
      <c r="K388" s="3">
        <v>-44.4283244536838</v>
      </c>
    </row>
    <row r="389" spans="1:11" ht="18" x14ac:dyDescent="0.25">
      <c r="A389" s="3">
        <v>1985.0833333333301</v>
      </c>
      <c r="B389" s="3">
        <f t="shared" si="25"/>
        <v>-151.72944297082228</v>
      </c>
      <c r="C389" s="3">
        <f t="shared" si="26"/>
        <v>-100.14500823347652</v>
      </c>
      <c r="D389" s="3">
        <f t="shared" si="27"/>
        <v>-151.72944297082228</v>
      </c>
      <c r="E389" s="3">
        <f t="shared" si="28"/>
        <v>-63.049730722912223</v>
      </c>
      <c r="F389" s="3">
        <v>-87</v>
      </c>
      <c r="G389" s="3">
        <v>2.5794185101490901</v>
      </c>
      <c r="H389">
        <f t="shared" si="29"/>
        <v>2660.9539071714839</v>
      </c>
      <c r="I389" s="3">
        <v>1912.0833333333301</v>
      </c>
      <c r="J389" s="3">
        <v>0</v>
      </c>
      <c r="K389" s="3">
        <v>-70.177967825138794</v>
      </c>
    </row>
    <row r="390" spans="1:11" ht="18" x14ac:dyDescent="0.25">
      <c r="A390" s="3">
        <v>1985.1666666666599</v>
      </c>
      <c r="B390" s="3">
        <f t="shared" ref="B390:B453" si="30">+$D390</f>
        <v>-174.72944297082228</v>
      </c>
      <c r="C390" s="3">
        <f t="shared" ref="C390:C453" si="31">$B$1*$E390/(1+$B$3*ABS($E390)^$B$2)</f>
        <v>-142.90515669464617</v>
      </c>
      <c r="D390" s="3">
        <f t="shared" ref="D390:D453" si="32">+F390-$F$3</f>
        <v>-174.72944297082228</v>
      </c>
      <c r="E390" s="3">
        <f t="shared" ref="E390:E453" si="33">+$G390-$G$3</f>
        <v>-111.98236396806922</v>
      </c>
      <c r="F390" s="3">
        <v>-110</v>
      </c>
      <c r="G390" s="3">
        <v>-46.353214735007903</v>
      </c>
      <c r="H390">
        <f t="shared" ref="H390:H453" si="34">+(B390-C390)^2</f>
        <v>1012.7851969880111</v>
      </c>
      <c r="I390" s="3">
        <v>1912.1666666666599</v>
      </c>
      <c r="J390" s="3">
        <v>0</v>
      </c>
      <c r="K390" s="3">
        <v>-99.537545487133002</v>
      </c>
    </row>
    <row r="391" spans="1:11" ht="18" x14ac:dyDescent="0.25">
      <c r="A391" s="3">
        <v>1985.25</v>
      </c>
      <c r="B391" s="3">
        <f t="shared" si="30"/>
        <v>-201.72944297082228</v>
      </c>
      <c r="C391" s="3">
        <f t="shared" si="31"/>
        <v>-160.53576666906727</v>
      </c>
      <c r="D391" s="3">
        <f t="shared" si="32"/>
        <v>-201.72944297082228</v>
      </c>
      <c r="E391" s="3">
        <f t="shared" si="33"/>
        <v>-139.9112506391358</v>
      </c>
      <c r="F391" s="3">
        <v>-137</v>
      </c>
      <c r="G391" s="3">
        <v>-74.282101406074503</v>
      </c>
      <c r="H391">
        <f t="shared" si="34"/>
        <v>1696.9189672537718</v>
      </c>
      <c r="I391" s="3">
        <v>1912.25</v>
      </c>
      <c r="J391" s="3">
        <v>0</v>
      </c>
      <c r="K391" s="3">
        <v>-129.45701575158</v>
      </c>
    </row>
    <row r="392" spans="1:11" ht="18" x14ac:dyDescent="0.25">
      <c r="A392" s="3">
        <v>1985.3333333333301</v>
      </c>
      <c r="B392" s="3">
        <f t="shared" si="30"/>
        <v>-203.72944297082228</v>
      </c>
      <c r="C392" s="3">
        <f t="shared" si="31"/>
        <v>-178.99656828015645</v>
      </c>
      <c r="D392" s="3">
        <f t="shared" si="32"/>
        <v>-203.72944297082228</v>
      </c>
      <c r="E392" s="3">
        <f t="shared" si="33"/>
        <v>-176.76553659507832</v>
      </c>
      <c r="F392" s="3">
        <v>-139</v>
      </c>
      <c r="G392" s="3">
        <v>-111.136387362017</v>
      </c>
      <c r="H392">
        <f t="shared" si="34"/>
        <v>611.71509046417805</v>
      </c>
      <c r="I392" s="3">
        <v>1912.3333333333301</v>
      </c>
      <c r="J392" s="3">
        <v>0</v>
      </c>
      <c r="K392" s="3">
        <v>-163.02449284067299</v>
      </c>
    </row>
    <row r="393" spans="1:11" ht="18" x14ac:dyDescent="0.25">
      <c r="A393" s="3">
        <v>1985.4166666666599</v>
      </c>
      <c r="B393" s="3">
        <f t="shared" si="30"/>
        <v>-201.72944297082228</v>
      </c>
      <c r="C393" s="3">
        <f t="shared" si="31"/>
        <v>-189.24112073444431</v>
      </c>
      <c r="D393" s="3">
        <f t="shared" si="32"/>
        <v>-201.72944297082228</v>
      </c>
      <c r="E393" s="3">
        <f t="shared" si="33"/>
        <v>-201.78795830257633</v>
      </c>
      <c r="F393" s="3">
        <v>-137</v>
      </c>
      <c r="G393" s="3">
        <v>-136.158809069515</v>
      </c>
      <c r="H393">
        <f t="shared" si="34"/>
        <v>155.9581922796124</v>
      </c>
      <c r="I393" s="3">
        <v>1912.4166666666599</v>
      </c>
      <c r="J393" s="3">
        <v>0</v>
      </c>
      <c r="K393" s="3">
        <v>-163.24207732862899</v>
      </c>
    </row>
    <row r="394" spans="1:11" ht="18" x14ac:dyDescent="0.25">
      <c r="A394" s="3">
        <v>1985.5</v>
      </c>
      <c r="B394" s="3">
        <f t="shared" si="30"/>
        <v>-179.72944297082228</v>
      </c>
      <c r="C394" s="3">
        <f t="shared" si="31"/>
        <v>-187.00869834341907</v>
      </c>
      <c r="D394" s="3">
        <f t="shared" si="32"/>
        <v>-179.72944297082228</v>
      </c>
      <c r="E394" s="3">
        <f t="shared" si="33"/>
        <v>-196.00092293917731</v>
      </c>
      <c r="F394" s="3">
        <v>-115</v>
      </c>
      <c r="G394" s="3">
        <v>-130.37177370611599</v>
      </c>
      <c r="H394">
        <f t="shared" si="34"/>
        <v>52.987558779479279</v>
      </c>
      <c r="I394" s="3">
        <v>1912.5</v>
      </c>
      <c r="J394" s="3">
        <v>0</v>
      </c>
      <c r="K394" s="3">
        <v>-130.13026390982799</v>
      </c>
    </row>
    <row r="395" spans="1:11" ht="18" x14ac:dyDescent="0.25">
      <c r="A395" s="3">
        <v>1985.5833333333301</v>
      </c>
      <c r="B395" s="3">
        <f t="shared" si="30"/>
        <v>-164.72944297082228</v>
      </c>
      <c r="C395" s="3">
        <f t="shared" si="31"/>
        <v>-182.74834944866464</v>
      </c>
      <c r="D395" s="3">
        <f t="shared" si="32"/>
        <v>-164.72944297082228</v>
      </c>
      <c r="E395" s="3">
        <f t="shared" si="33"/>
        <v>-185.48836486994131</v>
      </c>
      <c r="F395" s="3">
        <v>-100</v>
      </c>
      <c r="G395" s="3">
        <v>-119.85921563687999</v>
      </c>
      <c r="H395">
        <f t="shared" si="34"/>
        <v>324.68099065722953</v>
      </c>
      <c r="I395" s="3">
        <v>1912.5833333333301</v>
      </c>
      <c r="J395" s="3">
        <v>0</v>
      </c>
      <c r="K395" s="3">
        <v>-113.49364114667399</v>
      </c>
    </row>
    <row r="396" spans="1:11" ht="18" x14ac:dyDescent="0.25">
      <c r="A396" s="3">
        <v>1985.6666666666599</v>
      </c>
      <c r="B396" s="3">
        <f t="shared" si="30"/>
        <v>-157.72944297082228</v>
      </c>
      <c r="C396" s="3">
        <f t="shared" si="31"/>
        <v>-174.31601128614199</v>
      </c>
      <c r="D396" s="3">
        <f t="shared" si="32"/>
        <v>-157.72944297082228</v>
      </c>
      <c r="E396" s="3">
        <f t="shared" si="33"/>
        <v>-166.52336494279331</v>
      </c>
      <c r="F396" s="3">
        <v>-93</v>
      </c>
      <c r="G396" s="3">
        <v>-100.89421570973199</v>
      </c>
      <c r="H396">
        <f t="shared" si="34"/>
        <v>275.11424847876771</v>
      </c>
      <c r="I396" s="3">
        <v>1912.6666666666599</v>
      </c>
      <c r="J396" s="3">
        <v>0</v>
      </c>
      <c r="K396" s="3">
        <v>-107.98199932153101</v>
      </c>
    </row>
    <row r="397" spans="1:11" ht="18" x14ac:dyDescent="0.25">
      <c r="A397" s="3">
        <v>1985.75</v>
      </c>
      <c r="B397" s="3">
        <f t="shared" si="30"/>
        <v>-157.72944297082228</v>
      </c>
      <c r="C397" s="3">
        <f t="shared" si="31"/>
        <v>-161.49211057092251</v>
      </c>
      <c r="D397" s="3">
        <f t="shared" si="32"/>
        <v>-157.72944297082228</v>
      </c>
      <c r="E397" s="3">
        <f t="shared" si="33"/>
        <v>-141.6064878980946</v>
      </c>
      <c r="F397" s="3">
        <v>-93</v>
      </c>
      <c r="G397" s="3">
        <v>-75.977338665033301</v>
      </c>
      <c r="H397">
        <f t="shared" si="34"/>
        <v>14.157667468844021</v>
      </c>
      <c r="I397" s="3">
        <v>1912.75</v>
      </c>
      <c r="J397" s="3">
        <v>0</v>
      </c>
      <c r="K397" s="3">
        <v>-93.652895457208899</v>
      </c>
    </row>
    <row r="398" spans="1:11" ht="18" x14ac:dyDescent="0.25">
      <c r="A398" s="3">
        <v>1985.8333333333301</v>
      </c>
      <c r="B398" s="3">
        <f t="shared" si="30"/>
        <v>-164.72944297082228</v>
      </c>
      <c r="C398" s="3">
        <f t="shared" si="31"/>
        <v>-157.99426012123823</v>
      </c>
      <c r="D398" s="3">
        <f t="shared" si="32"/>
        <v>-164.72944297082228</v>
      </c>
      <c r="E398" s="3">
        <f t="shared" si="33"/>
        <v>-135.50479755927361</v>
      </c>
      <c r="F398" s="3">
        <v>-100</v>
      </c>
      <c r="G398" s="3">
        <v>-69.8756483262123</v>
      </c>
      <c r="H398">
        <f t="shared" si="34"/>
        <v>45.362688017331116</v>
      </c>
      <c r="I398" s="3">
        <v>1912.8333333333301</v>
      </c>
      <c r="J398" s="3">
        <v>0</v>
      </c>
      <c r="K398" s="3">
        <v>-71.214550451535203</v>
      </c>
    </row>
    <row r="399" spans="1:11" ht="18" x14ac:dyDescent="0.25">
      <c r="A399" s="3">
        <v>1985.9166666666599</v>
      </c>
      <c r="B399" s="3">
        <f t="shared" si="30"/>
        <v>-166.72944297082228</v>
      </c>
      <c r="C399" s="3">
        <f t="shared" si="31"/>
        <v>-154.45419725837274</v>
      </c>
      <c r="D399" s="3">
        <f t="shared" si="32"/>
        <v>-166.72944297082228</v>
      </c>
      <c r="E399" s="3">
        <f t="shared" si="33"/>
        <v>-129.59572894118702</v>
      </c>
      <c r="F399" s="3">
        <v>-102</v>
      </c>
      <c r="G399" s="3">
        <v>-63.9665797081257</v>
      </c>
      <c r="H399">
        <f t="shared" si="34"/>
        <v>150.68165730101063</v>
      </c>
      <c r="I399" s="3">
        <v>1912.9166666666599</v>
      </c>
      <c r="J399" s="3">
        <v>0</v>
      </c>
      <c r="K399" s="3">
        <v>-24.152506460748398</v>
      </c>
    </row>
    <row r="400" spans="1:11" ht="18" x14ac:dyDescent="0.25">
      <c r="A400" s="3">
        <v>1986</v>
      </c>
      <c r="B400" s="3">
        <f t="shared" si="30"/>
        <v>-183.72944297082228</v>
      </c>
      <c r="C400" s="3">
        <f t="shared" si="31"/>
        <v>-148.02840844693682</v>
      </c>
      <c r="D400" s="3">
        <f t="shared" si="32"/>
        <v>-183.72944297082228</v>
      </c>
      <c r="E400" s="3">
        <f t="shared" si="33"/>
        <v>-119.49986498604912</v>
      </c>
      <c r="F400" s="3">
        <v>-119</v>
      </c>
      <c r="G400" s="3">
        <v>-53.870715752987799</v>
      </c>
      <c r="H400">
        <f t="shared" si="34"/>
        <v>1274.5638660756611</v>
      </c>
      <c r="I400" s="3">
        <v>1913</v>
      </c>
      <c r="J400" s="3">
        <v>0</v>
      </c>
      <c r="K400" s="3">
        <v>27.570823895375501</v>
      </c>
    </row>
    <row r="401" spans="1:11" ht="18" x14ac:dyDescent="0.25">
      <c r="A401" s="3">
        <v>1986.0833333333301</v>
      </c>
      <c r="B401" s="3">
        <f t="shared" si="30"/>
        <v>-212.72944297082228</v>
      </c>
      <c r="C401" s="3">
        <f t="shared" si="31"/>
        <v>-152.01354203316467</v>
      </c>
      <c r="D401" s="3">
        <f t="shared" si="32"/>
        <v>-212.72944297082228</v>
      </c>
      <c r="E401" s="3">
        <f t="shared" si="33"/>
        <v>-125.66885894212072</v>
      </c>
      <c r="F401" s="3">
        <v>-148</v>
      </c>
      <c r="G401" s="3">
        <v>-60.039709709059402</v>
      </c>
      <c r="H401">
        <f t="shared" si="34"/>
        <v>3686.4206266714518</v>
      </c>
      <c r="I401" s="3">
        <v>1913.0833333333301</v>
      </c>
      <c r="J401" s="3">
        <v>0</v>
      </c>
      <c r="K401" s="3">
        <v>53.357027767025102</v>
      </c>
    </row>
    <row r="402" spans="1:11" ht="18" x14ac:dyDescent="0.25">
      <c r="A402" s="3">
        <v>1986.1666666666599</v>
      </c>
      <c r="B402" s="3">
        <f t="shared" si="30"/>
        <v>-212.72944297082228</v>
      </c>
      <c r="C402" s="3">
        <f t="shared" si="31"/>
        <v>-152.36628350021115</v>
      </c>
      <c r="D402" s="3">
        <f t="shared" si="32"/>
        <v>-212.72944297082228</v>
      </c>
      <c r="E402" s="3">
        <f t="shared" si="33"/>
        <v>-126.22923128906521</v>
      </c>
      <c r="F402" s="3">
        <v>-148</v>
      </c>
      <c r="G402" s="3">
        <v>-60.600082056003899</v>
      </c>
      <c r="H402">
        <f t="shared" si="34"/>
        <v>3643.7110212744292</v>
      </c>
      <c r="I402" s="3">
        <v>1913.1666666666599</v>
      </c>
      <c r="J402" s="3">
        <v>0</v>
      </c>
      <c r="K402" s="3">
        <v>80.362349704058005</v>
      </c>
    </row>
    <row r="403" spans="1:11" ht="18" x14ac:dyDescent="0.25">
      <c r="A403" s="3">
        <v>1986.25</v>
      </c>
      <c r="B403" s="3">
        <f t="shared" si="30"/>
        <v>-206.72944297082228</v>
      </c>
      <c r="C403" s="3">
        <f t="shared" si="31"/>
        <v>-138.25890600639977</v>
      </c>
      <c r="D403" s="3">
        <f t="shared" si="32"/>
        <v>-206.72944297082228</v>
      </c>
      <c r="E403" s="3">
        <f t="shared" si="33"/>
        <v>-105.53598904899772</v>
      </c>
      <c r="F403" s="3">
        <v>-142</v>
      </c>
      <c r="G403" s="3">
        <v>-39.906839815936401</v>
      </c>
      <c r="H403">
        <f t="shared" si="34"/>
        <v>4688.2144321963488</v>
      </c>
      <c r="I403" s="3">
        <v>1913.25</v>
      </c>
      <c r="J403" s="3">
        <v>0</v>
      </c>
      <c r="K403" s="3">
        <v>124.236885578486</v>
      </c>
    </row>
    <row r="404" spans="1:11" ht="18" x14ac:dyDescent="0.25">
      <c r="A404" s="3">
        <v>1986.3333333333301</v>
      </c>
      <c r="B404" s="3">
        <f t="shared" si="30"/>
        <v>-170.72944297082228</v>
      </c>
      <c r="C404" s="3">
        <f t="shared" si="31"/>
        <v>-95.571847035289466</v>
      </c>
      <c r="D404" s="3">
        <f t="shared" si="32"/>
        <v>-170.72944297082228</v>
      </c>
      <c r="E404" s="3">
        <f t="shared" si="33"/>
        <v>-58.931668361543153</v>
      </c>
      <c r="F404" s="3">
        <v>-106</v>
      </c>
      <c r="G404" s="3">
        <v>6.6974808715181604</v>
      </c>
      <c r="H404">
        <f t="shared" si="34"/>
        <v>5648.6642268088181</v>
      </c>
      <c r="I404" s="3">
        <v>1913.3333333333301</v>
      </c>
      <c r="J404" s="3">
        <v>0</v>
      </c>
      <c r="K404" s="3">
        <v>182.59759397527799</v>
      </c>
    </row>
    <row r="405" spans="1:11" ht="18" x14ac:dyDescent="0.25">
      <c r="A405" s="3">
        <v>1986.4166666666599</v>
      </c>
      <c r="B405" s="3">
        <f t="shared" si="30"/>
        <v>-22.729442970822276</v>
      </c>
      <c r="C405" s="3">
        <f t="shared" si="31"/>
        <v>51.287992578863118</v>
      </c>
      <c r="D405" s="3">
        <f t="shared" si="32"/>
        <v>-22.729442970822276</v>
      </c>
      <c r="E405" s="3">
        <f t="shared" si="33"/>
        <v>26.368132177559787</v>
      </c>
      <c r="F405" s="3">
        <v>42</v>
      </c>
      <c r="G405" s="3">
        <v>91.997281410621099</v>
      </c>
      <c r="H405">
        <f t="shared" si="34"/>
        <v>5478.5807653518305</v>
      </c>
      <c r="I405" s="3">
        <v>1913.4166666666599</v>
      </c>
      <c r="J405" s="3">
        <v>0</v>
      </c>
      <c r="K405" s="3">
        <v>257.78831769718698</v>
      </c>
    </row>
    <row r="406" spans="1:11" ht="18" x14ac:dyDescent="0.25">
      <c r="A406" s="3">
        <v>1986.5</v>
      </c>
      <c r="B406" s="3">
        <f t="shared" si="30"/>
        <v>129.27055702917772</v>
      </c>
      <c r="C406" s="3">
        <f t="shared" si="31"/>
        <v>136.13322815999663</v>
      </c>
      <c r="D406" s="3">
        <f t="shared" si="32"/>
        <v>129.27055702917772</v>
      </c>
      <c r="E406" s="3">
        <f t="shared" si="33"/>
        <v>102.69675486789269</v>
      </c>
      <c r="F406" s="3">
        <v>194</v>
      </c>
      <c r="G406" s="3">
        <v>168.32590410095401</v>
      </c>
      <c r="H406">
        <f t="shared" si="34"/>
        <v>47.096255049775301</v>
      </c>
      <c r="I406" s="3">
        <v>1913.5</v>
      </c>
      <c r="J406" s="3">
        <v>0</v>
      </c>
      <c r="K406" s="3">
        <v>303.50054717698902</v>
      </c>
    </row>
    <row r="407" spans="1:11" ht="18" x14ac:dyDescent="0.25">
      <c r="A407" s="3">
        <v>1986.5833333333301</v>
      </c>
      <c r="B407" s="3">
        <f t="shared" si="30"/>
        <v>164.27055702917772</v>
      </c>
      <c r="C407" s="3">
        <f t="shared" si="31"/>
        <v>152.62178213238045</v>
      </c>
      <c r="D407" s="3">
        <f t="shared" si="32"/>
        <v>164.27055702917772</v>
      </c>
      <c r="E407" s="3">
        <f t="shared" si="33"/>
        <v>126.63661733206668</v>
      </c>
      <c r="F407" s="3">
        <v>229</v>
      </c>
      <c r="G407" s="3">
        <v>192.26576656512799</v>
      </c>
      <c r="H407">
        <f t="shared" si="34"/>
        <v>135.69395659625442</v>
      </c>
      <c r="I407" s="3">
        <v>1913.5833333333301</v>
      </c>
      <c r="J407" s="3">
        <v>0</v>
      </c>
      <c r="K407" s="3">
        <v>297.35678803204399</v>
      </c>
    </row>
    <row r="408" spans="1:11" ht="18" x14ac:dyDescent="0.25">
      <c r="A408" s="3">
        <v>1986.6666666666599</v>
      </c>
      <c r="B408" s="3">
        <f t="shared" si="30"/>
        <v>167.27055702917772</v>
      </c>
      <c r="C408" s="3">
        <f t="shared" si="31"/>
        <v>156.35891913409719</v>
      </c>
      <c r="D408" s="3">
        <f t="shared" si="32"/>
        <v>167.27055702917772</v>
      </c>
      <c r="E408" s="3">
        <f t="shared" si="33"/>
        <v>132.74285961674167</v>
      </c>
      <c r="F408" s="3">
        <v>232</v>
      </c>
      <c r="G408" s="3">
        <v>198.372008849803</v>
      </c>
      <c r="H408">
        <f t="shared" si="34"/>
        <v>119.06384155335749</v>
      </c>
      <c r="I408" s="3">
        <v>1913.6666666666599</v>
      </c>
      <c r="J408" s="3">
        <v>0</v>
      </c>
      <c r="K408" s="3">
        <v>287.15365351237398</v>
      </c>
    </row>
    <row r="409" spans="1:11" ht="18" x14ac:dyDescent="0.25">
      <c r="A409" s="3">
        <v>1986.75</v>
      </c>
      <c r="B409" s="3">
        <f t="shared" si="30"/>
        <v>169.27055702917772</v>
      </c>
      <c r="C409" s="3">
        <f t="shared" si="31"/>
        <v>159.1868115205078</v>
      </c>
      <c r="D409" s="3">
        <f t="shared" si="32"/>
        <v>169.27055702917772</v>
      </c>
      <c r="E409" s="3">
        <f t="shared" si="33"/>
        <v>137.5548406288197</v>
      </c>
      <c r="F409" s="3">
        <v>234</v>
      </c>
      <c r="G409" s="3">
        <v>203.183989861881</v>
      </c>
      <c r="H409">
        <f t="shared" si="34"/>
        <v>101.68192348362081</v>
      </c>
      <c r="I409" s="3">
        <v>1913.75</v>
      </c>
      <c r="J409" s="3">
        <v>0</v>
      </c>
      <c r="K409" s="3">
        <v>283.71547632930702</v>
      </c>
    </row>
    <row r="410" spans="1:11" ht="18" x14ac:dyDescent="0.25">
      <c r="A410" s="3">
        <v>1986.8333333333301</v>
      </c>
      <c r="B410" s="3">
        <f t="shared" si="30"/>
        <v>176.27055702917772</v>
      </c>
      <c r="C410" s="3">
        <f t="shared" si="31"/>
        <v>155.74286724470042</v>
      </c>
      <c r="D410" s="3">
        <f t="shared" si="32"/>
        <v>176.27055702917772</v>
      </c>
      <c r="E410" s="3">
        <f t="shared" si="33"/>
        <v>131.71687047673868</v>
      </c>
      <c r="F410" s="3">
        <v>241</v>
      </c>
      <c r="G410" s="3">
        <v>197.3460197098</v>
      </c>
      <c r="H410">
        <f t="shared" si="34"/>
        <v>421.38604788773381</v>
      </c>
      <c r="I410" s="3">
        <v>1913.8333333333301</v>
      </c>
      <c r="J410" s="3">
        <v>0</v>
      </c>
      <c r="K410" s="3">
        <v>270.54869115640997</v>
      </c>
    </row>
    <row r="411" spans="1:11" ht="18" x14ac:dyDescent="0.25">
      <c r="A411" s="3">
        <v>1986.9166666666599</v>
      </c>
      <c r="B411" s="3">
        <f t="shared" si="30"/>
        <v>189.27055702917772</v>
      </c>
      <c r="C411" s="3">
        <f t="shared" si="31"/>
        <v>148.92740554768915</v>
      </c>
      <c r="D411" s="3">
        <f t="shared" si="32"/>
        <v>189.27055702917772</v>
      </c>
      <c r="E411" s="3">
        <f t="shared" si="33"/>
        <v>120.86606446734568</v>
      </c>
      <c r="F411" s="3">
        <v>254</v>
      </c>
      <c r="G411" s="3">
        <v>186.49521370040699</v>
      </c>
      <c r="H411">
        <f t="shared" si="34"/>
        <v>1627.5698714583339</v>
      </c>
      <c r="I411" s="3">
        <v>1913.9166666666599</v>
      </c>
      <c r="J411" s="3">
        <v>0</v>
      </c>
      <c r="K411" s="3">
        <v>247.48815895519999</v>
      </c>
    </row>
    <row r="412" spans="1:11" ht="18" x14ac:dyDescent="0.25">
      <c r="A412" s="3">
        <v>1987</v>
      </c>
      <c r="B412" s="3">
        <f t="shared" si="30"/>
        <v>195.27055702917772</v>
      </c>
      <c r="C412" s="3">
        <f t="shared" si="31"/>
        <v>130.94514670993283</v>
      </c>
      <c r="D412" s="3">
        <f t="shared" si="32"/>
        <v>195.27055702917772</v>
      </c>
      <c r="E412" s="3">
        <f t="shared" si="33"/>
        <v>96.03851961213168</v>
      </c>
      <c r="F412" s="3">
        <v>260</v>
      </c>
      <c r="G412" s="3">
        <v>161.66766884519299</v>
      </c>
      <c r="H412">
        <f t="shared" si="34"/>
        <v>4137.7584127392174</v>
      </c>
      <c r="I412" s="3">
        <v>1914</v>
      </c>
      <c r="J412" s="3">
        <v>0</v>
      </c>
      <c r="K412" s="3">
        <v>200.07298169457499</v>
      </c>
    </row>
    <row r="413" spans="1:11" ht="18" x14ac:dyDescent="0.25">
      <c r="A413" s="3">
        <v>1987.0833333333301</v>
      </c>
      <c r="B413" s="3">
        <f t="shared" si="30"/>
        <v>201.27055702917772</v>
      </c>
      <c r="C413" s="3">
        <f t="shared" si="31"/>
        <v>118.11397287024636</v>
      </c>
      <c r="D413" s="3">
        <f t="shared" si="32"/>
        <v>201.27055702917772</v>
      </c>
      <c r="E413" s="3">
        <f t="shared" si="33"/>
        <v>81.058177859561695</v>
      </c>
      <c r="F413" s="3">
        <v>266</v>
      </c>
      <c r="G413" s="3">
        <v>146.68732709262301</v>
      </c>
      <c r="H413">
        <f t="shared" si="34"/>
        <v>6915.0174889814352</v>
      </c>
      <c r="I413" s="3">
        <v>1914.0833333333301</v>
      </c>
      <c r="J413" s="3">
        <v>0</v>
      </c>
      <c r="K413" s="3">
        <v>144.118856135389</v>
      </c>
    </row>
    <row r="414" spans="1:11" ht="18" x14ac:dyDescent="0.25">
      <c r="A414" s="3">
        <v>1987.1666666666599</v>
      </c>
      <c r="B414" s="3">
        <f t="shared" si="30"/>
        <v>201.27055702917772</v>
      </c>
      <c r="C414" s="3">
        <f t="shared" si="31"/>
        <v>145.45563918403232</v>
      </c>
      <c r="D414" s="3">
        <f t="shared" si="32"/>
        <v>201.27055702917772</v>
      </c>
      <c r="E414" s="3">
        <f t="shared" si="33"/>
        <v>115.66885930812869</v>
      </c>
      <c r="F414" s="3">
        <v>266</v>
      </c>
      <c r="G414" s="3">
        <v>181.29800854119</v>
      </c>
      <c r="H414">
        <f t="shared" si="34"/>
        <v>3115.3050540603308</v>
      </c>
      <c r="I414" s="3">
        <v>1914.1666666666599</v>
      </c>
      <c r="J414" s="3">
        <v>0</v>
      </c>
      <c r="K414" s="3">
        <v>104.51360859046299</v>
      </c>
    </row>
    <row r="415" spans="1:11" ht="18" x14ac:dyDescent="0.25">
      <c r="A415" s="3">
        <v>1987.25</v>
      </c>
      <c r="B415" s="3">
        <f t="shared" si="30"/>
        <v>205.27055702917772</v>
      </c>
      <c r="C415" s="3">
        <f t="shared" si="31"/>
        <v>174.18287603570354</v>
      </c>
      <c r="D415" s="3">
        <f t="shared" si="32"/>
        <v>205.27055702917772</v>
      </c>
      <c r="E415" s="3">
        <f t="shared" si="33"/>
        <v>166.24180590561866</v>
      </c>
      <c r="F415" s="3">
        <v>270</v>
      </c>
      <c r="G415" s="3">
        <v>231.87095513867999</v>
      </c>
      <c r="H415">
        <f t="shared" si="34"/>
        <v>966.44390955201573</v>
      </c>
      <c r="I415" s="3">
        <v>1914.25</v>
      </c>
      <c r="J415" s="3">
        <v>0</v>
      </c>
      <c r="K415" s="3">
        <v>53.177534740290099</v>
      </c>
    </row>
    <row r="416" spans="1:11" ht="18" x14ac:dyDescent="0.25">
      <c r="A416" s="3">
        <v>1987.3333333333301</v>
      </c>
      <c r="B416" s="3">
        <f t="shared" si="30"/>
        <v>205.27055702917772</v>
      </c>
      <c r="C416" s="3">
        <f t="shared" si="31"/>
        <v>186.14445455697268</v>
      </c>
      <c r="D416" s="3">
        <f t="shared" si="32"/>
        <v>205.27055702917772</v>
      </c>
      <c r="E416" s="3">
        <f t="shared" si="33"/>
        <v>193.81331343664772</v>
      </c>
      <c r="F416" s="3">
        <v>270</v>
      </c>
      <c r="G416" s="3">
        <v>259.44246266970902</v>
      </c>
      <c r="H416">
        <f t="shared" si="34"/>
        <v>365.80779577728805</v>
      </c>
      <c r="I416" s="3">
        <v>1914.3333333333301</v>
      </c>
      <c r="J416" s="3">
        <v>0</v>
      </c>
      <c r="K416" s="3">
        <v>-6.2267677857233297</v>
      </c>
    </row>
    <row r="417" spans="1:11" ht="18" x14ac:dyDescent="0.25">
      <c r="A417" s="3">
        <v>1987.4166666666599</v>
      </c>
      <c r="B417" s="3">
        <f t="shared" si="30"/>
        <v>203.27055702917772</v>
      </c>
      <c r="C417" s="3">
        <f t="shared" si="31"/>
        <v>184.86970723886324</v>
      </c>
      <c r="D417" s="3">
        <f t="shared" si="32"/>
        <v>203.27055702917772</v>
      </c>
      <c r="E417" s="3">
        <f t="shared" si="33"/>
        <v>190.63858641230968</v>
      </c>
      <c r="F417" s="3">
        <v>268</v>
      </c>
      <c r="G417" s="3">
        <v>256.26773564537098</v>
      </c>
      <c r="H417">
        <f t="shared" si="34"/>
        <v>338.59127300571652</v>
      </c>
      <c r="I417" s="3">
        <v>1914.4166666666599</v>
      </c>
      <c r="J417" s="3">
        <v>0</v>
      </c>
      <c r="K417" s="3">
        <v>-37.723746195847497</v>
      </c>
    </row>
    <row r="418" spans="1:11" ht="18" x14ac:dyDescent="0.25">
      <c r="A418" s="3">
        <v>1987.5</v>
      </c>
      <c r="B418" s="3">
        <f t="shared" si="30"/>
        <v>182.27055702917772</v>
      </c>
      <c r="C418" s="3">
        <f t="shared" si="31"/>
        <v>159.60877948457585</v>
      </c>
      <c r="D418" s="3">
        <f t="shared" si="32"/>
        <v>182.27055702917772</v>
      </c>
      <c r="E418" s="3">
        <f t="shared" si="33"/>
        <v>138.28762897001167</v>
      </c>
      <c r="F418" s="3">
        <v>247</v>
      </c>
      <c r="G418" s="3">
        <v>203.91677820307299</v>
      </c>
      <c r="H418">
        <f t="shared" si="34"/>
        <v>513.55616148102183</v>
      </c>
      <c r="I418" s="3">
        <v>1914.5</v>
      </c>
      <c r="J418" s="3">
        <v>0</v>
      </c>
      <c r="K418" s="3">
        <v>-50.551237905620901</v>
      </c>
    </row>
    <row r="419" spans="1:11" ht="18" x14ac:dyDescent="0.25">
      <c r="A419" s="3">
        <v>1987.5833333333301</v>
      </c>
      <c r="B419" s="3">
        <f t="shared" si="30"/>
        <v>-1.7294429708222765</v>
      </c>
      <c r="C419" s="3">
        <f t="shared" si="31"/>
        <v>103.7123080850745</v>
      </c>
      <c r="D419" s="3">
        <f t="shared" si="32"/>
        <v>-1.7294429708222765</v>
      </c>
      <c r="E419" s="3">
        <f t="shared" si="33"/>
        <v>66.38424021057368</v>
      </c>
      <c r="F419" s="3">
        <v>63</v>
      </c>
      <c r="G419" s="3">
        <v>132.01338944363499</v>
      </c>
      <c r="H419">
        <f t="shared" si="34"/>
        <v>11117.962865733709</v>
      </c>
      <c r="I419" s="3">
        <v>1914.5833333333301</v>
      </c>
      <c r="J419" s="3">
        <v>0</v>
      </c>
      <c r="K419" s="3">
        <v>-47.379594914897801</v>
      </c>
    </row>
    <row r="420" spans="1:11" ht="18" x14ac:dyDescent="0.25">
      <c r="A420" s="3">
        <v>1987.6666666666599</v>
      </c>
      <c r="B420" s="3">
        <f t="shared" si="30"/>
        <v>-156.72944297082228</v>
      </c>
      <c r="C420" s="3">
        <f t="shared" si="31"/>
        <v>46.236189461600119</v>
      </c>
      <c r="D420" s="3">
        <f t="shared" si="32"/>
        <v>-156.72944297082228</v>
      </c>
      <c r="E420" s="3">
        <f t="shared" si="33"/>
        <v>23.328515157022693</v>
      </c>
      <c r="F420" s="3">
        <v>-92</v>
      </c>
      <c r="G420" s="3">
        <v>88.957664390084005</v>
      </c>
      <c r="H420">
        <f t="shared" si="34"/>
        <v>41195.047948693202</v>
      </c>
      <c r="I420" s="3">
        <v>1914.6666666666599</v>
      </c>
      <c r="J420" s="3">
        <v>0</v>
      </c>
      <c r="K420" s="3">
        <v>-30.687452546784002</v>
      </c>
    </row>
    <row r="421" spans="1:11" ht="18" x14ac:dyDescent="0.25">
      <c r="A421" s="3">
        <v>1987.75</v>
      </c>
      <c r="B421" s="3">
        <f t="shared" si="30"/>
        <v>-181.72944297082228</v>
      </c>
      <c r="C421" s="3">
        <f t="shared" si="31"/>
        <v>-8.311205114653113</v>
      </c>
      <c r="D421" s="3">
        <f t="shared" si="32"/>
        <v>-181.72944297082228</v>
      </c>
      <c r="E421" s="3">
        <f t="shared" si="33"/>
        <v>-3.6793700226841111</v>
      </c>
      <c r="F421" s="3">
        <v>-117</v>
      </c>
      <c r="G421" s="3">
        <v>61.949779210377201</v>
      </c>
      <c r="H421">
        <f t="shared" si="34"/>
        <v>30073.885221138862</v>
      </c>
      <c r="I421" s="3">
        <v>1914.75</v>
      </c>
      <c r="J421" s="3">
        <v>0</v>
      </c>
      <c r="K421" s="3">
        <v>-34.763750730253903</v>
      </c>
    </row>
    <row r="422" spans="1:11" ht="18" x14ac:dyDescent="0.25">
      <c r="A422" s="3">
        <v>1987.8333333333301</v>
      </c>
      <c r="B422" s="3">
        <f t="shared" si="30"/>
        <v>-181.72944297082228</v>
      </c>
      <c r="C422" s="3">
        <f t="shared" si="31"/>
        <v>-47.641284941712506</v>
      </c>
      <c r="D422" s="3">
        <f t="shared" si="32"/>
        <v>-181.72944297082228</v>
      </c>
      <c r="E422" s="3">
        <f t="shared" si="33"/>
        <v>-24.162529566167109</v>
      </c>
      <c r="F422" s="3">
        <v>-117</v>
      </c>
      <c r="G422" s="3">
        <v>41.466619666894204</v>
      </c>
      <c r="H422">
        <f t="shared" si="34"/>
        <v>17979.634123639513</v>
      </c>
      <c r="I422" s="3">
        <v>1914.8333333333301</v>
      </c>
      <c r="J422" s="3">
        <v>0</v>
      </c>
      <c r="K422" s="3">
        <v>-52.718604381637398</v>
      </c>
    </row>
    <row r="423" spans="1:11" ht="18" x14ac:dyDescent="0.25">
      <c r="A423" s="3">
        <v>1987.9166666666599</v>
      </c>
      <c r="B423" s="3">
        <f t="shared" si="30"/>
        <v>-141.72944297082228</v>
      </c>
      <c r="C423" s="3">
        <f t="shared" si="31"/>
        <v>-70.536140034964717</v>
      </c>
      <c r="D423" s="3">
        <f t="shared" si="32"/>
        <v>-141.72944297082228</v>
      </c>
      <c r="E423" s="3">
        <f t="shared" si="33"/>
        <v>-39.088238231971815</v>
      </c>
      <c r="F423" s="3">
        <v>-77</v>
      </c>
      <c r="G423" s="3">
        <v>26.540911001089501</v>
      </c>
      <c r="H423">
        <f t="shared" si="34"/>
        <v>5068.4863829167844</v>
      </c>
      <c r="I423" s="3">
        <v>1914.9166666666599</v>
      </c>
      <c r="J423" s="3">
        <v>0</v>
      </c>
      <c r="K423" s="3">
        <v>-66.701227385786595</v>
      </c>
    </row>
    <row r="424" spans="1:11" ht="18" x14ac:dyDescent="0.25">
      <c r="A424" s="3">
        <v>1988</v>
      </c>
      <c r="B424" s="3">
        <f t="shared" si="30"/>
        <v>-121.72944297082228</v>
      </c>
      <c r="C424" s="3">
        <f t="shared" si="31"/>
        <v>-108.93945400055354</v>
      </c>
      <c r="D424" s="3">
        <f t="shared" si="32"/>
        <v>-121.72944297082228</v>
      </c>
      <c r="E424" s="3">
        <f t="shared" si="33"/>
        <v>-71.476128440454644</v>
      </c>
      <c r="F424" s="3">
        <v>-57</v>
      </c>
      <c r="G424" s="3">
        <v>-5.8469792073933302</v>
      </c>
      <c r="H424">
        <f t="shared" si="34"/>
        <v>163.58381785959597</v>
      </c>
      <c r="I424" s="3">
        <v>1915</v>
      </c>
      <c r="J424" s="3">
        <v>0</v>
      </c>
      <c r="K424" s="3">
        <v>-90.565437436991502</v>
      </c>
    </row>
    <row r="425" spans="1:11" ht="18" x14ac:dyDescent="0.25">
      <c r="A425" s="3">
        <v>1988.0833333333301</v>
      </c>
      <c r="B425" s="3">
        <f t="shared" si="30"/>
        <v>-118.72944297082228</v>
      </c>
      <c r="C425" s="3">
        <f t="shared" si="31"/>
        <v>-142.5788024574708</v>
      </c>
      <c r="D425" s="3">
        <f t="shared" si="32"/>
        <v>-118.72944297082228</v>
      </c>
      <c r="E425" s="3">
        <f t="shared" si="33"/>
        <v>-111.51839784862811</v>
      </c>
      <c r="F425" s="3">
        <v>-54</v>
      </c>
      <c r="G425" s="3">
        <v>-45.8892486155668</v>
      </c>
      <c r="H425">
        <f t="shared" si="34"/>
        <v>568.79194792339194</v>
      </c>
      <c r="I425" s="3">
        <v>1915.0833333333301</v>
      </c>
      <c r="J425" s="3">
        <v>0</v>
      </c>
      <c r="K425" s="3">
        <v>-109.89938709774199</v>
      </c>
    </row>
    <row r="426" spans="1:11" ht="18" x14ac:dyDescent="0.25">
      <c r="A426" s="3">
        <v>1988.1666666666599</v>
      </c>
      <c r="B426" s="3">
        <f t="shared" si="30"/>
        <v>-118.72944297082228</v>
      </c>
      <c r="C426" s="3">
        <f t="shared" si="31"/>
        <v>-168.22721411377211</v>
      </c>
      <c r="D426" s="3">
        <f t="shared" si="32"/>
        <v>-118.72944297082228</v>
      </c>
      <c r="E426" s="3">
        <f t="shared" si="33"/>
        <v>-154.1596866997171</v>
      </c>
      <c r="F426" s="3">
        <v>-54</v>
      </c>
      <c r="G426" s="3">
        <v>-88.530537466655801</v>
      </c>
      <c r="H426">
        <f t="shared" si="34"/>
        <v>2450.0293481198369</v>
      </c>
      <c r="I426" s="3">
        <v>1915.1666666666599</v>
      </c>
      <c r="J426" s="3">
        <v>0</v>
      </c>
      <c r="K426" s="3">
        <v>-116.39656877977799</v>
      </c>
    </row>
    <row r="427" spans="1:11" ht="18" x14ac:dyDescent="0.25">
      <c r="A427" s="3">
        <v>1988.25</v>
      </c>
      <c r="B427" s="3">
        <f t="shared" si="30"/>
        <v>-134.72944297082228</v>
      </c>
      <c r="C427" s="3">
        <f t="shared" si="31"/>
        <v>-193.23722095652033</v>
      </c>
      <c r="D427" s="3">
        <f t="shared" si="32"/>
        <v>-134.72944297082228</v>
      </c>
      <c r="E427" s="3">
        <f t="shared" si="33"/>
        <v>-212.6653767520653</v>
      </c>
      <c r="F427" s="3">
        <v>-70</v>
      </c>
      <c r="G427" s="3">
        <v>-147.036227519004</v>
      </c>
      <c r="H427">
        <f t="shared" si="34"/>
        <v>3423.160084823734</v>
      </c>
      <c r="I427" s="3">
        <v>1915.25</v>
      </c>
      <c r="J427" s="3">
        <v>0</v>
      </c>
      <c r="K427" s="3">
        <v>-116.174043910224</v>
      </c>
    </row>
    <row r="428" spans="1:11" ht="18" x14ac:dyDescent="0.25">
      <c r="A428" s="3">
        <v>1988.3333333333301</v>
      </c>
      <c r="B428" s="3">
        <f t="shared" si="30"/>
        <v>-134.72944297082228</v>
      </c>
      <c r="C428" s="3">
        <f t="shared" si="31"/>
        <v>-203.63209384583578</v>
      </c>
      <c r="D428" s="3">
        <f t="shared" si="32"/>
        <v>-134.72944297082228</v>
      </c>
      <c r="E428" s="3">
        <f t="shared" si="33"/>
        <v>-244.53051002769331</v>
      </c>
      <c r="F428" s="3">
        <v>-70</v>
      </c>
      <c r="G428" s="3">
        <v>-178.90136079463201</v>
      </c>
      <c r="H428">
        <f t="shared" si="34"/>
        <v>4747.5752976039994</v>
      </c>
      <c r="I428" s="3">
        <v>1915.3333333333301</v>
      </c>
      <c r="J428" s="3">
        <v>0</v>
      </c>
      <c r="K428" s="3">
        <v>-71.936517939957696</v>
      </c>
    </row>
    <row r="429" spans="1:11" ht="18" x14ac:dyDescent="0.25">
      <c r="A429" s="3">
        <v>1988.4166666666599</v>
      </c>
      <c r="B429" s="3">
        <f t="shared" si="30"/>
        <v>-114.72944297082228</v>
      </c>
      <c r="C429" s="3">
        <f t="shared" si="31"/>
        <v>-197.81132619845334</v>
      </c>
      <c r="D429" s="3">
        <f t="shared" si="32"/>
        <v>-114.72944297082228</v>
      </c>
      <c r="E429" s="3">
        <f t="shared" si="33"/>
        <v>-226.0062799985493</v>
      </c>
      <c r="F429" s="3">
        <v>-50</v>
      </c>
      <c r="G429" s="3">
        <v>-160.377130765488</v>
      </c>
      <c r="H429">
        <f t="shared" si="34"/>
        <v>6902.5993206497242</v>
      </c>
      <c r="I429" s="3">
        <v>1915.4166666666599</v>
      </c>
      <c r="J429" s="3">
        <v>0</v>
      </c>
      <c r="K429" s="3">
        <v>14.1980745221395</v>
      </c>
    </row>
    <row r="430" spans="1:11" ht="18" x14ac:dyDescent="0.25">
      <c r="A430" s="3">
        <v>1988.5</v>
      </c>
      <c r="B430" s="3">
        <f t="shared" si="30"/>
        <v>-41.729442970822276</v>
      </c>
      <c r="C430" s="3">
        <f t="shared" si="31"/>
        <v>-187.20254718923758</v>
      </c>
      <c r="D430" s="3">
        <f t="shared" si="32"/>
        <v>-41.729442970822276</v>
      </c>
      <c r="E430" s="3">
        <f t="shared" si="33"/>
        <v>-196.49558008062832</v>
      </c>
      <c r="F430" s="3">
        <v>23</v>
      </c>
      <c r="G430" s="3">
        <v>-130.86643084756699</v>
      </c>
      <c r="H430">
        <f t="shared" si="34"/>
        <v>21162.424050941921</v>
      </c>
      <c r="I430" s="3">
        <v>1915.5</v>
      </c>
      <c r="J430" s="3">
        <v>0</v>
      </c>
      <c r="K430" s="3">
        <v>84.800995173933103</v>
      </c>
    </row>
    <row r="431" spans="1:11" ht="18" x14ac:dyDescent="0.25">
      <c r="A431" s="3">
        <v>1988.5833333333301</v>
      </c>
      <c r="B431" s="3">
        <f t="shared" si="30"/>
        <v>-1.7294429708222765</v>
      </c>
      <c r="C431" s="3">
        <f t="shared" si="31"/>
        <v>-174.46075241440656</v>
      </c>
      <c r="D431" s="3">
        <f t="shared" si="32"/>
        <v>-1.7294429708222765</v>
      </c>
      <c r="E431" s="3">
        <f t="shared" si="33"/>
        <v>-166.83006237904931</v>
      </c>
      <c r="F431" s="3">
        <v>63</v>
      </c>
      <c r="G431" s="3">
        <v>-101.200913145988</v>
      </c>
      <c r="H431">
        <f t="shared" si="34"/>
        <v>29836.105262095269</v>
      </c>
      <c r="I431" s="3">
        <v>1915.5833333333301</v>
      </c>
      <c r="J431" s="3">
        <v>0</v>
      </c>
      <c r="K431" s="3">
        <v>130.31417350686499</v>
      </c>
    </row>
    <row r="432" spans="1:11" ht="18" x14ac:dyDescent="0.25">
      <c r="A432" s="3">
        <v>1988.6666666666599</v>
      </c>
      <c r="B432" s="3">
        <f t="shared" si="30"/>
        <v>-1.7294429708222765</v>
      </c>
      <c r="C432" s="3">
        <f t="shared" si="31"/>
        <v>-157.49121732773023</v>
      </c>
      <c r="D432" s="3">
        <f t="shared" si="32"/>
        <v>-1.7294429708222765</v>
      </c>
      <c r="E432" s="3">
        <f t="shared" si="33"/>
        <v>-134.649200162027</v>
      </c>
      <c r="F432" s="3">
        <v>63</v>
      </c>
      <c r="G432" s="3">
        <v>-69.020050928965702</v>
      </c>
      <c r="H432">
        <f t="shared" si="34"/>
        <v>24261.730350812308</v>
      </c>
      <c r="I432" s="3">
        <v>1915.6666666666599</v>
      </c>
      <c r="J432" s="3">
        <v>0</v>
      </c>
      <c r="K432" s="3">
        <v>160.82542147937201</v>
      </c>
    </row>
    <row r="433" spans="1:11" ht="18" x14ac:dyDescent="0.25">
      <c r="A433" s="3">
        <v>1988.75</v>
      </c>
      <c r="B433" s="3">
        <f t="shared" si="30"/>
        <v>-1.7294429708222765</v>
      </c>
      <c r="C433" s="3">
        <f t="shared" si="31"/>
        <v>-135.49559184427716</v>
      </c>
      <c r="D433" s="3">
        <f t="shared" si="32"/>
        <v>-1.7294429708222765</v>
      </c>
      <c r="E433" s="3">
        <f t="shared" si="33"/>
        <v>-101.85799182410211</v>
      </c>
      <c r="F433" s="3">
        <v>63</v>
      </c>
      <c r="G433" s="3">
        <v>-36.228842591040802</v>
      </c>
      <c r="H433">
        <f t="shared" si="34"/>
        <v>17893.382584435294</v>
      </c>
      <c r="I433" s="3">
        <v>1915.75</v>
      </c>
      <c r="J433" s="3">
        <v>0</v>
      </c>
      <c r="K433" s="3">
        <v>181.72059301349199</v>
      </c>
    </row>
    <row r="434" spans="1:11" ht="18" x14ac:dyDescent="0.25">
      <c r="A434" s="3">
        <v>1988.8333333333301</v>
      </c>
      <c r="B434" s="3">
        <f t="shared" si="30"/>
        <v>16.270557029177724</v>
      </c>
      <c r="C434" s="3">
        <f t="shared" si="31"/>
        <v>-87.437954596896972</v>
      </c>
      <c r="D434" s="3">
        <f t="shared" si="32"/>
        <v>16.270557029177724</v>
      </c>
      <c r="E434" s="3">
        <f t="shared" si="33"/>
        <v>-52.011448906558314</v>
      </c>
      <c r="F434" s="3">
        <v>81</v>
      </c>
      <c r="G434" s="3">
        <v>13.617700326503</v>
      </c>
      <c r="H434">
        <f t="shared" si="34"/>
        <v>10755.455383695671</v>
      </c>
      <c r="I434" s="3">
        <v>1915.8333333333301</v>
      </c>
      <c r="J434" s="3">
        <v>0</v>
      </c>
      <c r="K434" s="3">
        <v>208.11182206138301</v>
      </c>
    </row>
    <row r="435" spans="1:11" ht="18" x14ac:dyDescent="0.25">
      <c r="A435" s="3">
        <v>1988.9166666666599</v>
      </c>
      <c r="B435" s="3">
        <f t="shared" si="30"/>
        <v>34.270557029177724</v>
      </c>
      <c r="C435" s="3">
        <f t="shared" si="31"/>
        <v>-31.698831169273603</v>
      </c>
      <c r="D435" s="3">
        <f t="shared" si="32"/>
        <v>34.270557029177724</v>
      </c>
      <c r="E435" s="3">
        <f t="shared" si="33"/>
        <v>-15.18067972660581</v>
      </c>
      <c r="F435" s="3">
        <v>99</v>
      </c>
      <c r="G435" s="3">
        <v>50.448469506455503</v>
      </c>
      <c r="H435">
        <f t="shared" si="34"/>
        <v>4351.9601792779695</v>
      </c>
      <c r="I435" s="3">
        <v>1915.9166666666599</v>
      </c>
      <c r="J435" s="3">
        <v>0</v>
      </c>
      <c r="K435" s="3">
        <v>209.92880018887101</v>
      </c>
    </row>
    <row r="436" spans="1:11" ht="18" x14ac:dyDescent="0.25">
      <c r="A436" s="3">
        <v>1989</v>
      </c>
      <c r="B436" s="3">
        <f t="shared" si="30"/>
        <v>34.270557029177724</v>
      </c>
      <c r="C436" s="3">
        <f t="shared" si="31"/>
        <v>-51.756758353595224</v>
      </c>
      <c r="D436" s="3">
        <f t="shared" si="32"/>
        <v>34.270557029177724</v>
      </c>
      <c r="E436" s="3">
        <f t="shared" si="33"/>
        <v>-26.656038916581309</v>
      </c>
      <c r="F436" s="3">
        <v>99</v>
      </c>
      <c r="G436" s="3">
        <v>38.973110316480003</v>
      </c>
      <c r="H436">
        <f t="shared" si="34"/>
        <v>7400.6989919670814</v>
      </c>
      <c r="I436" s="3">
        <v>1916</v>
      </c>
      <c r="J436" s="3">
        <v>0</v>
      </c>
      <c r="K436" s="3">
        <v>170.090190710044</v>
      </c>
    </row>
    <row r="437" spans="1:11" ht="18" x14ac:dyDescent="0.25">
      <c r="A437" s="3">
        <v>1989.0833333333301</v>
      </c>
      <c r="B437" s="3">
        <f t="shared" si="30"/>
        <v>19.270557029177724</v>
      </c>
      <c r="C437" s="3">
        <f t="shared" si="31"/>
        <v>-81.437215731368696</v>
      </c>
      <c r="D437" s="3">
        <f t="shared" si="32"/>
        <v>19.270557029177724</v>
      </c>
      <c r="E437" s="3">
        <f t="shared" si="33"/>
        <v>-47.211543333953713</v>
      </c>
      <c r="F437" s="3">
        <v>84</v>
      </c>
      <c r="G437" s="3">
        <v>18.417605899107599</v>
      </c>
      <c r="H437">
        <f t="shared" si="34"/>
        <v>10142.055494389855</v>
      </c>
      <c r="I437" s="3">
        <v>1916.0833333333301</v>
      </c>
      <c r="J437" s="3">
        <v>0</v>
      </c>
      <c r="K437" s="3">
        <v>140.33344634384801</v>
      </c>
    </row>
    <row r="438" spans="1:11" ht="18" x14ac:dyDescent="0.25">
      <c r="A438" s="3">
        <v>1989.1666666666599</v>
      </c>
      <c r="B438" s="3">
        <f t="shared" si="30"/>
        <v>-24.729442970822276</v>
      </c>
      <c r="C438" s="3">
        <f t="shared" si="31"/>
        <v>-74.997634726052397</v>
      </c>
      <c r="D438" s="3">
        <f t="shared" si="32"/>
        <v>-24.729442970822276</v>
      </c>
      <c r="E438" s="3">
        <f t="shared" si="33"/>
        <v>-42.324654411381218</v>
      </c>
      <c r="F438" s="3">
        <v>40</v>
      </c>
      <c r="G438" s="3">
        <v>23.304494821680098</v>
      </c>
      <c r="H438">
        <f t="shared" si="34"/>
        <v>2526.8911023405853</v>
      </c>
      <c r="I438" s="3">
        <v>1916.1666666666599</v>
      </c>
      <c r="J438" s="3">
        <v>0</v>
      </c>
      <c r="K438" s="3">
        <v>139.33730677756401</v>
      </c>
    </row>
    <row r="439" spans="1:11" ht="18" x14ac:dyDescent="0.25">
      <c r="A439" s="3">
        <v>1989.25</v>
      </c>
      <c r="B439" s="3">
        <f t="shared" si="30"/>
        <v>-24.729442970822276</v>
      </c>
      <c r="C439" s="3">
        <f t="shared" si="31"/>
        <v>3.3520062443955418</v>
      </c>
      <c r="D439" s="3">
        <f t="shared" si="32"/>
        <v>-24.729442970822276</v>
      </c>
      <c r="E439" s="3">
        <f t="shared" si="33"/>
        <v>1.4605211084349889</v>
      </c>
      <c r="F439" s="3">
        <v>40</v>
      </c>
      <c r="G439" s="3">
        <v>67.089670341496301</v>
      </c>
      <c r="H439">
        <f t="shared" si="34"/>
        <v>788.56779002685755</v>
      </c>
      <c r="I439" s="3">
        <v>1916.25</v>
      </c>
      <c r="J439" s="3">
        <v>0</v>
      </c>
      <c r="K439" s="3">
        <v>153.79855402248401</v>
      </c>
    </row>
    <row r="440" spans="1:11" ht="18" x14ac:dyDescent="0.25">
      <c r="A440" s="3">
        <v>1989.3333333333301</v>
      </c>
      <c r="B440" s="3">
        <f t="shared" si="30"/>
        <v>85.270557029177724</v>
      </c>
      <c r="C440" s="3">
        <f t="shared" si="31"/>
        <v>131.34541171270408</v>
      </c>
      <c r="D440" s="3">
        <f t="shared" si="32"/>
        <v>85.270557029177724</v>
      </c>
      <c r="E440" s="3">
        <f t="shared" si="33"/>
        <v>96.53900952021668</v>
      </c>
      <c r="F440" s="3">
        <v>150</v>
      </c>
      <c r="G440" s="3">
        <v>162.16815875327799</v>
      </c>
      <c r="H440">
        <f t="shared" si="34"/>
        <v>2122.8922341080702</v>
      </c>
      <c r="I440" s="3">
        <v>1916.3333333333301</v>
      </c>
      <c r="J440" s="3">
        <v>0</v>
      </c>
      <c r="K440" s="3">
        <v>182.23750145408599</v>
      </c>
    </row>
    <row r="441" spans="1:11" ht="18" x14ac:dyDescent="0.25">
      <c r="A441" s="3">
        <v>1989.4166666666599</v>
      </c>
      <c r="B441" s="3">
        <f t="shared" si="30"/>
        <v>185.27055702917772</v>
      </c>
      <c r="C441" s="3">
        <f t="shared" si="31"/>
        <v>184.98485825424547</v>
      </c>
      <c r="D441" s="3">
        <f t="shared" si="32"/>
        <v>185.27055702917772</v>
      </c>
      <c r="E441" s="3">
        <f t="shared" si="33"/>
        <v>190.9228611732957</v>
      </c>
      <c r="F441" s="3">
        <v>250</v>
      </c>
      <c r="G441" s="3">
        <v>256.552010406357</v>
      </c>
      <c r="H441">
        <f t="shared" si="34"/>
        <v>8.1623789997792462E-2</v>
      </c>
      <c r="I441" s="3">
        <v>1916.4166666666599</v>
      </c>
      <c r="J441" s="3">
        <v>0</v>
      </c>
      <c r="K441" s="3">
        <v>189.20724009288099</v>
      </c>
    </row>
    <row r="442" spans="1:11" ht="18" x14ac:dyDescent="0.25">
      <c r="A442" s="3">
        <v>1989.5</v>
      </c>
      <c r="B442" s="3">
        <f t="shared" si="30"/>
        <v>216.27055702917772</v>
      </c>
      <c r="C442" s="3">
        <f t="shared" si="31"/>
        <v>200.64203346940786</v>
      </c>
      <c r="D442" s="3">
        <f t="shared" si="32"/>
        <v>216.27055702917772</v>
      </c>
      <c r="E442" s="3">
        <f t="shared" si="33"/>
        <v>234.78469057794769</v>
      </c>
      <c r="F442" s="3">
        <v>281</v>
      </c>
      <c r="G442" s="3">
        <v>300.41383981100898</v>
      </c>
      <c r="H442">
        <f t="shared" si="34"/>
        <v>244.25074865828159</v>
      </c>
      <c r="I442" s="3">
        <v>1916.5</v>
      </c>
      <c r="J442" s="3">
        <v>0</v>
      </c>
      <c r="K442" s="3">
        <v>160.56532795825399</v>
      </c>
    </row>
    <row r="443" spans="1:11" ht="18" x14ac:dyDescent="0.25">
      <c r="A443" s="3">
        <v>1989.5833333333301</v>
      </c>
      <c r="B443" s="3">
        <f t="shared" si="30"/>
        <v>235.27055702917772</v>
      </c>
      <c r="C443" s="3">
        <f t="shared" si="31"/>
        <v>205.25028397850437</v>
      </c>
      <c r="D443" s="3">
        <f t="shared" si="32"/>
        <v>235.27055702917772</v>
      </c>
      <c r="E443" s="3">
        <f t="shared" si="33"/>
        <v>250.02102218868168</v>
      </c>
      <c r="F443" s="3">
        <v>300</v>
      </c>
      <c r="G443" s="3">
        <v>315.65017142174298</v>
      </c>
      <c r="H443">
        <f t="shared" si="34"/>
        <v>901.21679403698477</v>
      </c>
      <c r="I443" s="3">
        <v>1916.5833333333301</v>
      </c>
      <c r="J443" s="3">
        <v>0</v>
      </c>
      <c r="K443" s="3">
        <v>129.54464000777901</v>
      </c>
    </row>
    <row r="444" spans="1:11" ht="18" x14ac:dyDescent="0.25">
      <c r="A444" s="3">
        <v>1989.6666666666599</v>
      </c>
      <c r="B444" s="3">
        <f t="shared" si="30"/>
        <v>241.27055702917772</v>
      </c>
      <c r="C444" s="3">
        <f t="shared" si="31"/>
        <v>206.41161540792993</v>
      </c>
      <c r="D444" s="3">
        <f t="shared" si="32"/>
        <v>241.27055702917772</v>
      </c>
      <c r="E444" s="3">
        <f t="shared" si="33"/>
        <v>254.05984270957572</v>
      </c>
      <c r="F444" s="3">
        <v>306</v>
      </c>
      <c r="G444" s="3">
        <v>319.68899194263702</v>
      </c>
      <c r="H444">
        <f t="shared" si="34"/>
        <v>1215.1458109535617</v>
      </c>
      <c r="I444" s="3">
        <v>1916.6666666666599</v>
      </c>
      <c r="J444" s="3">
        <v>0</v>
      </c>
      <c r="K444" s="3">
        <v>95.955537258093898</v>
      </c>
    </row>
    <row r="445" spans="1:11" ht="18" x14ac:dyDescent="0.25">
      <c r="A445" s="3">
        <v>1989.75</v>
      </c>
      <c r="B445" s="3">
        <f t="shared" si="30"/>
        <v>242.27055702917772</v>
      </c>
      <c r="C445" s="3">
        <f t="shared" si="31"/>
        <v>207.32724433135084</v>
      </c>
      <c r="D445" s="3">
        <f t="shared" si="32"/>
        <v>242.27055702917772</v>
      </c>
      <c r="E445" s="3">
        <f t="shared" si="33"/>
        <v>257.30410120834068</v>
      </c>
      <c r="F445" s="3">
        <v>307</v>
      </c>
      <c r="G445" s="3">
        <v>322.93325044140198</v>
      </c>
      <c r="H445">
        <f t="shared" si="34"/>
        <v>1221.0351022981095</v>
      </c>
      <c r="I445" s="3">
        <v>1916.75</v>
      </c>
      <c r="J445" s="3">
        <v>0</v>
      </c>
      <c r="K445" s="3">
        <v>58.224196340500498</v>
      </c>
    </row>
    <row r="446" spans="1:11" ht="18" x14ac:dyDescent="0.25">
      <c r="A446" s="3">
        <v>1989.8333333333301</v>
      </c>
      <c r="B446" s="3">
        <f t="shared" si="30"/>
        <v>242.27055702917772</v>
      </c>
      <c r="C446" s="3">
        <f t="shared" si="31"/>
        <v>209.20033290062261</v>
      </c>
      <c r="D446" s="3">
        <f t="shared" si="32"/>
        <v>242.27055702917772</v>
      </c>
      <c r="E446" s="3">
        <f t="shared" si="33"/>
        <v>264.11143751988573</v>
      </c>
      <c r="F446" s="3">
        <v>307</v>
      </c>
      <c r="G446" s="3">
        <v>329.74058675294702</v>
      </c>
      <c r="H446">
        <f t="shared" si="34"/>
        <v>1093.6397239128687</v>
      </c>
      <c r="I446" s="3">
        <v>1916.8333333333301</v>
      </c>
      <c r="J446" s="3">
        <v>0</v>
      </c>
      <c r="K446" s="3">
        <v>27.983102940539901</v>
      </c>
    </row>
    <row r="447" spans="1:11" ht="18" x14ac:dyDescent="0.25">
      <c r="A447" s="3">
        <v>1989.9166666666599</v>
      </c>
      <c r="B447" s="3">
        <f t="shared" si="30"/>
        <v>241.27055702917772</v>
      </c>
      <c r="C447" s="3">
        <f t="shared" si="31"/>
        <v>201.13629424257681</v>
      </c>
      <c r="D447" s="3">
        <f t="shared" si="32"/>
        <v>241.27055702917772</v>
      </c>
      <c r="E447" s="3">
        <f t="shared" si="33"/>
        <v>236.36118864272072</v>
      </c>
      <c r="F447" s="3">
        <v>306</v>
      </c>
      <c r="G447" s="3">
        <v>301.99033787578202</v>
      </c>
      <c r="H447">
        <f t="shared" si="34"/>
        <v>1610.7590494239389</v>
      </c>
      <c r="I447" s="3">
        <v>1916.9166666666599</v>
      </c>
      <c r="J447" s="3">
        <v>0</v>
      </c>
      <c r="K447" s="3">
        <v>-10.9428645210873</v>
      </c>
    </row>
    <row r="448" spans="1:11" ht="18" x14ac:dyDescent="0.25">
      <c r="A448" s="3">
        <v>1990</v>
      </c>
      <c r="B448" s="3">
        <f t="shared" si="30"/>
        <v>217.27055702917772</v>
      </c>
      <c r="C448" s="3">
        <f t="shared" si="31"/>
        <v>178.52006257912561</v>
      </c>
      <c r="D448" s="3">
        <f t="shared" si="32"/>
        <v>217.27055702917772</v>
      </c>
      <c r="E448" s="3">
        <f t="shared" si="33"/>
        <v>175.6913295069877</v>
      </c>
      <c r="F448" s="3">
        <v>282</v>
      </c>
      <c r="G448" s="3">
        <v>241.320478740049</v>
      </c>
      <c r="H448">
        <f t="shared" si="34"/>
        <v>1501.60082012352</v>
      </c>
      <c r="I448" s="3">
        <v>1917</v>
      </c>
      <c r="J448" s="3">
        <v>0</v>
      </c>
      <c r="K448" s="3">
        <v>-40.310217827522301</v>
      </c>
    </row>
    <row r="449" spans="1:11" ht="18" x14ac:dyDescent="0.25">
      <c r="A449" s="3">
        <v>1990.0833333333301</v>
      </c>
      <c r="B449" s="3">
        <f t="shared" si="30"/>
        <v>-22.729442970822276</v>
      </c>
      <c r="C449" s="3">
        <f t="shared" si="31"/>
        <v>148.01888833771432</v>
      </c>
      <c r="D449" s="3">
        <f t="shared" si="32"/>
        <v>-22.729442970822276</v>
      </c>
      <c r="E449" s="3">
        <f t="shared" si="33"/>
        <v>119.48547481441069</v>
      </c>
      <c r="F449" s="3">
        <v>42</v>
      </c>
      <c r="G449" s="3">
        <v>185.11462404747201</v>
      </c>
      <c r="H449">
        <f t="shared" si="34"/>
        <v>29154.992644649778</v>
      </c>
      <c r="I449" s="3">
        <v>1917.0833333333301</v>
      </c>
      <c r="J449" s="3">
        <v>0</v>
      </c>
      <c r="K449" s="3">
        <v>-33.123329995382697</v>
      </c>
    </row>
    <row r="450" spans="1:11" ht="18" x14ac:dyDescent="0.25">
      <c r="A450" s="3">
        <v>1990.1666666666599</v>
      </c>
      <c r="B450" s="3">
        <f t="shared" si="30"/>
        <v>-32.729442970822276</v>
      </c>
      <c r="C450" s="3">
        <f t="shared" si="31"/>
        <v>90.035865988994104</v>
      </c>
      <c r="D450" s="3">
        <f t="shared" si="32"/>
        <v>-32.729442970822276</v>
      </c>
      <c r="E450" s="3">
        <f t="shared" si="33"/>
        <v>54.167971671723691</v>
      </c>
      <c r="F450" s="3">
        <v>32</v>
      </c>
      <c r="G450" s="3">
        <v>119.797120904785</v>
      </c>
      <c r="H450">
        <f t="shared" si="34"/>
        <v>15071.321083999172</v>
      </c>
      <c r="I450" s="3">
        <v>1917.1666666666599</v>
      </c>
      <c r="J450" s="3">
        <v>0</v>
      </c>
      <c r="K450" s="3">
        <v>-22.406003449276799</v>
      </c>
    </row>
    <row r="451" spans="1:11" ht="18" x14ac:dyDescent="0.25">
      <c r="A451" s="3">
        <v>1990.25</v>
      </c>
      <c r="B451" s="3">
        <f t="shared" si="30"/>
        <v>-173.72944297082228</v>
      </c>
      <c r="C451" s="3">
        <f t="shared" si="31"/>
        <v>-37.890254173830996</v>
      </c>
      <c r="D451" s="3">
        <f t="shared" si="32"/>
        <v>-173.72944297082228</v>
      </c>
      <c r="E451" s="3">
        <f t="shared" si="33"/>
        <v>-18.547311478445913</v>
      </c>
      <c r="F451" s="3">
        <v>-109</v>
      </c>
      <c r="G451" s="3">
        <v>47.0818377546154</v>
      </c>
      <c r="H451">
        <f t="shared" si="34"/>
        <v>18452.285213024639</v>
      </c>
      <c r="I451" s="3">
        <v>1917.25</v>
      </c>
      <c r="J451" s="3">
        <v>0</v>
      </c>
      <c r="K451" s="3">
        <v>-15.4802613923615</v>
      </c>
    </row>
    <row r="452" spans="1:11" ht="18" x14ac:dyDescent="0.25">
      <c r="A452" s="3">
        <v>1990.3333333333301</v>
      </c>
      <c r="B452" s="3">
        <f t="shared" si="30"/>
        <v>-188.72944297082228</v>
      </c>
      <c r="C452" s="3">
        <f t="shared" si="31"/>
        <v>-105.79505800999827</v>
      </c>
      <c r="D452" s="3">
        <f t="shared" si="32"/>
        <v>-188.72944297082228</v>
      </c>
      <c r="E452" s="3">
        <f t="shared" si="33"/>
        <v>-68.382989116982657</v>
      </c>
      <c r="F452" s="3">
        <v>-124</v>
      </c>
      <c r="G452" s="3">
        <v>-2.75383988392135</v>
      </c>
      <c r="H452">
        <f t="shared" si="34"/>
        <v>6878.1122088301508</v>
      </c>
      <c r="I452" s="3">
        <v>1917.3333333333301</v>
      </c>
      <c r="J452" s="3">
        <v>0</v>
      </c>
      <c r="K452" s="3">
        <v>8.2982554843223895</v>
      </c>
    </row>
    <row r="453" spans="1:11" ht="18" x14ac:dyDescent="0.25">
      <c r="A453" s="3">
        <v>1990.4166666666599</v>
      </c>
      <c r="B453" s="3">
        <f t="shared" si="30"/>
        <v>-188.72944297082228</v>
      </c>
      <c r="C453" s="3">
        <f t="shared" si="31"/>
        <v>-136.79908923667108</v>
      </c>
      <c r="D453" s="3">
        <f t="shared" si="32"/>
        <v>-188.72944297082228</v>
      </c>
      <c r="E453" s="3">
        <f t="shared" si="33"/>
        <v>-103.57895731370681</v>
      </c>
      <c r="F453" s="3">
        <v>-124</v>
      </c>
      <c r="G453" s="3">
        <v>-37.949808080645496</v>
      </c>
      <c r="H453">
        <f t="shared" si="34"/>
        <v>2696.7616389540713</v>
      </c>
      <c r="I453" s="3">
        <v>1917.4166666666599</v>
      </c>
      <c r="J453" s="3">
        <v>0</v>
      </c>
      <c r="K453" s="3">
        <v>30.313032430593601</v>
      </c>
    </row>
    <row r="454" spans="1:11" ht="18" x14ac:dyDescent="0.25">
      <c r="A454" s="3">
        <v>1990.5</v>
      </c>
      <c r="B454" s="3">
        <f t="shared" ref="B454:B517" si="35">+$D454</f>
        <v>-195.72944297082228</v>
      </c>
      <c r="C454" s="3">
        <f t="shared" ref="C454:C517" si="36">$B$1*$E454/(1+$B$3*ABS($E454)^$B$2)</f>
        <v>-154.34984165963525</v>
      </c>
      <c r="D454" s="3">
        <f t="shared" ref="D454:D517" si="37">+F454-$F$3</f>
        <v>-195.72944297082228</v>
      </c>
      <c r="E454" s="3">
        <f t="shared" ref="E454:E517" si="38">+$G454-$G$3</f>
        <v>-129.42542532742863</v>
      </c>
      <c r="F454" s="3">
        <v>-131</v>
      </c>
      <c r="G454" s="3">
        <v>-63.7962760943673</v>
      </c>
      <c r="H454">
        <f t="shared" ref="H454:H517" si="39">+(B454-C454)^2</f>
        <v>1712.2714046727915</v>
      </c>
      <c r="I454" s="3">
        <v>1917.5</v>
      </c>
      <c r="J454" s="3">
        <v>0</v>
      </c>
      <c r="K454" s="3">
        <v>41.605098465351702</v>
      </c>
    </row>
    <row r="455" spans="1:11" ht="18" x14ac:dyDescent="0.25">
      <c r="A455" s="3">
        <v>1990.5833333333301</v>
      </c>
      <c r="B455" s="3">
        <f t="shared" si="35"/>
        <v>-199.72944297082228</v>
      </c>
      <c r="C455" s="3">
        <f t="shared" si="36"/>
        <v>-168.86320938665389</v>
      </c>
      <c r="D455" s="3">
        <f t="shared" si="37"/>
        <v>-199.72944297082228</v>
      </c>
      <c r="E455" s="3">
        <f t="shared" si="38"/>
        <v>-155.40379664577699</v>
      </c>
      <c r="F455" s="3">
        <v>-135</v>
      </c>
      <c r="G455" s="3">
        <v>-89.774647412715694</v>
      </c>
      <c r="H455">
        <f t="shared" si="39"/>
        <v>952.72437567244424</v>
      </c>
      <c r="I455" s="3">
        <v>1917.5833333333301</v>
      </c>
      <c r="J455" s="3">
        <v>0</v>
      </c>
      <c r="K455" s="3">
        <v>38.704806083864199</v>
      </c>
    </row>
    <row r="456" spans="1:11" ht="18" x14ac:dyDescent="0.25">
      <c r="A456" s="3">
        <v>1990.6666666666599</v>
      </c>
      <c r="B456" s="3">
        <f t="shared" si="35"/>
        <v>-195.72944297082228</v>
      </c>
      <c r="C456" s="3">
        <f t="shared" si="36"/>
        <v>-191.66499634834864</v>
      </c>
      <c r="D456" s="3">
        <f t="shared" si="37"/>
        <v>-195.72944297082228</v>
      </c>
      <c r="E456" s="3">
        <f t="shared" si="38"/>
        <v>-208.30345385361034</v>
      </c>
      <c r="F456" s="3">
        <v>-131</v>
      </c>
      <c r="G456" s="3">
        <v>-142.67430462054901</v>
      </c>
      <c r="H456">
        <f t="shared" si="39"/>
        <v>16.519726346937372</v>
      </c>
      <c r="I456" s="3">
        <v>1917.6666666666599</v>
      </c>
      <c r="J456" s="3">
        <v>0</v>
      </c>
      <c r="K456" s="3">
        <v>16.756004809669601</v>
      </c>
    </row>
    <row r="457" spans="1:11" ht="18" x14ac:dyDescent="0.25">
      <c r="A457" s="3">
        <v>1990.75</v>
      </c>
      <c r="B457" s="3">
        <f t="shared" si="35"/>
        <v>-194.72944297082228</v>
      </c>
      <c r="C457" s="3">
        <f t="shared" si="36"/>
        <v>-207.4885105311412</v>
      </c>
      <c r="D457" s="3">
        <f t="shared" si="37"/>
        <v>-194.72944297082228</v>
      </c>
      <c r="E457" s="3">
        <f t="shared" si="38"/>
        <v>-257.88108397499633</v>
      </c>
      <c r="F457" s="3">
        <v>-130</v>
      </c>
      <c r="G457" s="3">
        <v>-192.251934741935</v>
      </c>
      <c r="H457">
        <f t="shared" si="39"/>
        <v>162.79380500878273</v>
      </c>
      <c r="I457" s="3">
        <v>1917.75</v>
      </c>
      <c r="J457" s="3">
        <v>0</v>
      </c>
      <c r="K457" s="3">
        <v>21.0564488701907</v>
      </c>
    </row>
    <row r="458" spans="1:11" ht="18" x14ac:dyDescent="0.25">
      <c r="A458" s="3">
        <v>1990.8333333333301</v>
      </c>
      <c r="B458" s="3">
        <f t="shared" si="35"/>
        <v>-174.72944297082228</v>
      </c>
      <c r="C458" s="3">
        <f t="shared" si="36"/>
        <v>-211.4726559128527</v>
      </c>
      <c r="D458" s="3">
        <f t="shared" si="37"/>
        <v>-174.72944297082228</v>
      </c>
      <c r="E458" s="3">
        <f t="shared" si="38"/>
        <v>-272.6920213490863</v>
      </c>
      <c r="F458" s="3">
        <v>-110</v>
      </c>
      <c r="G458" s="3">
        <v>-207.06287211602501</v>
      </c>
      <c r="H458">
        <f t="shared" si="39"/>
        <v>1350.063697303392</v>
      </c>
      <c r="I458" s="3">
        <v>1917.8333333333301</v>
      </c>
      <c r="J458" s="3">
        <v>0</v>
      </c>
      <c r="K458" s="3">
        <v>63.313813293368298</v>
      </c>
    </row>
    <row r="459" spans="1:11" ht="18" x14ac:dyDescent="0.25">
      <c r="A459" s="3">
        <v>1990.9166666666599</v>
      </c>
      <c r="B459" s="3">
        <f t="shared" si="35"/>
        <v>-174.72944297082228</v>
      </c>
      <c r="C459" s="3">
        <f t="shared" si="36"/>
        <v>-212.17156166987689</v>
      </c>
      <c r="D459" s="3">
        <f t="shared" si="37"/>
        <v>-174.72944297082228</v>
      </c>
      <c r="E459" s="3">
        <f t="shared" si="38"/>
        <v>-275.40549734437928</v>
      </c>
      <c r="F459" s="3">
        <v>-110</v>
      </c>
      <c r="G459" s="3">
        <v>-209.77634811131799</v>
      </c>
      <c r="H459">
        <f t="shared" si="39"/>
        <v>1401.9122526740955</v>
      </c>
      <c r="I459" s="3">
        <v>1917.9166666666599</v>
      </c>
      <c r="J459" s="3">
        <v>0</v>
      </c>
      <c r="K459" s="3">
        <v>88.231911064625905</v>
      </c>
    </row>
    <row r="460" spans="1:11" ht="18" x14ac:dyDescent="0.25">
      <c r="A460" s="3">
        <v>1991</v>
      </c>
      <c r="B460" s="3">
        <f t="shared" si="35"/>
        <v>-178.72944297082228</v>
      </c>
      <c r="C460" s="3">
        <f t="shared" si="36"/>
        <v>-210.23217064811197</v>
      </c>
      <c r="D460" s="3">
        <f t="shared" si="37"/>
        <v>-178.72944297082228</v>
      </c>
      <c r="E460" s="3">
        <f t="shared" si="38"/>
        <v>-267.9628081829423</v>
      </c>
      <c r="F460" s="3">
        <v>-114</v>
      </c>
      <c r="G460" s="3">
        <v>-202.333658949881</v>
      </c>
      <c r="H460">
        <f t="shared" si="39"/>
        <v>992.42185110947435</v>
      </c>
      <c r="I460" s="3">
        <v>1918</v>
      </c>
      <c r="J460" s="3">
        <v>0</v>
      </c>
      <c r="K460" s="3">
        <v>79.711435662302407</v>
      </c>
    </row>
    <row r="461" spans="1:11" ht="18" x14ac:dyDescent="0.25">
      <c r="A461" s="3">
        <v>1991.0833333333301</v>
      </c>
      <c r="B461" s="3">
        <f t="shared" si="35"/>
        <v>-191.72944297082228</v>
      </c>
      <c r="C461" s="3">
        <f t="shared" si="36"/>
        <v>-206.00483470241858</v>
      </c>
      <c r="D461" s="3">
        <f t="shared" si="37"/>
        <v>-191.72944297082228</v>
      </c>
      <c r="E461" s="3">
        <f t="shared" si="38"/>
        <v>-252.6356029643843</v>
      </c>
      <c r="F461" s="3">
        <v>-127</v>
      </c>
      <c r="G461" s="3">
        <v>-187.00645373132301</v>
      </c>
      <c r="H461">
        <f t="shared" si="39"/>
        <v>203.78680909052804</v>
      </c>
      <c r="I461" s="3">
        <v>1918.0833333333301</v>
      </c>
      <c r="J461" s="3">
        <v>0</v>
      </c>
      <c r="K461" s="3">
        <v>45.858005775481899</v>
      </c>
    </row>
    <row r="462" spans="1:11" ht="18" x14ac:dyDescent="0.25">
      <c r="A462" s="3">
        <v>1991.1666666666599</v>
      </c>
      <c r="B462" s="3">
        <f t="shared" si="35"/>
        <v>-178.72944297082228</v>
      </c>
      <c r="C462" s="3">
        <f t="shared" si="36"/>
        <v>-202.2689659835641</v>
      </c>
      <c r="D462" s="3">
        <f t="shared" si="37"/>
        <v>-178.72944297082228</v>
      </c>
      <c r="E462" s="3">
        <f t="shared" si="38"/>
        <v>-240.02489401525634</v>
      </c>
      <c r="F462" s="3">
        <v>-114</v>
      </c>
      <c r="G462" s="3">
        <v>-174.39574478219501</v>
      </c>
      <c r="H462">
        <f t="shared" si="39"/>
        <v>554.1091436674019</v>
      </c>
      <c r="I462" s="3">
        <v>1918.1666666666599</v>
      </c>
      <c r="J462" s="3">
        <v>0</v>
      </c>
      <c r="K462" s="3">
        <v>0.29052571194995302</v>
      </c>
    </row>
    <row r="463" spans="1:11" ht="18" x14ac:dyDescent="0.25">
      <c r="A463" s="3">
        <v>1991.25</v>
      </c>
      <c r="B463" s="3">
        <f t="shared" si="35"/>
        <v>-169.72944297082228</v>
      </c>
      <c r="C463" s="3">
        <f t="shared" si="36"/>
        <v>-183.49750693985121</v>
      </c>
      <c r="D463" s="3">
        <f t="shared" si="37"/>
        <v>-169.72944297082228</v>
      </c>
      <c r="E463" s="3">
        <f t="shared" si="38"/>
        <v>-187.28856652393131</v>
      </c>
      <c r="F463" s="3">
        <v>-105</v>
      </c>
      <c r="G463" s="3">
        <v>-121.65941729087</v>
      </c>
      <c r="H463">
        <f t="shared" si="39"/>
        <v>189.55958545527264</v>
      </c>
      <c r="I463" s="3">
        <v>1918.25</v>
      </c>
      <c r="J463" s="3">
        <v>0</v>
      </c>
      <c r="K463" s="3">
        <v>-5.8082120686366201</v>
      </c>
    </row>
    <row r="464" spans="1:11" ht="18" x14ac:dyDescent="0.25">
      <c r="A464" s="3">
        <v>1991.3333333333301</v>
      </c>
      <c r="B464" s="3">
        <f t="shared" si="35"/>
        <v>-156.72944297082228</v>
      </c>
      <c r="C464" s="3">
        <f t="shared" si="36"/>
        <v>-115.80580009539223</v>
      </c>
      <c r="D464" s="3">
        <f t="shared" si="37"/>
        <v>-156.72944297082228</v>
      </c>
      <c r="E464" s="3">
        <f t="shared" si="38"/>
        <v>-78.565483271039511</v>
      </c>
      <c r="F464" s="3">
        <v>-92</v>
      </c>
      <c r="G464" s="3">
        <v>-12.936334037978201</v>
      </c>
      <c r="H464">
        <f t="shared" si="39"/>
        <v>1674.7445461957366</v>
      </c>
      <c r="I464" s="3">
        <v>1918.3333333333301</v>
      </c>
      <c r="J464" s="3">
        <v>0</v>
      </c>
      <c r="K464" s="3">
        <v>31.945776508896898</v>
      </c>
    </row>
    <row r="465" spans="1:11" ht="18" x14ac:dyDescent="0.25">
      <c r="A465" s="3">
        <v>1991.4166666666599</v>
      </c>
      <c r="B465" s="3">
        <f t="shared" si="35"/>
        <v>2.2705570291777235</v>
      </c>
      <c r="C465" s="3">
        <f t="shared" si="36"/>
        <v>68.941778437984198</v>
      </c>
      <c r="D465" s="3">
        <f t="shared" si="37"/>
        <v>2.2705570291777235</v>
      </c>
      <c r="E465" s="3">
        <f t="shared" si="38"/>
        <v>37.95982877634269</v>
      </c>
      <c r="F465" s="3">
        <v>67</v>
      </c>
      <c r="G465" s="3">
        <v>103.588978009404</v>
      </c>
      <c r="H465">
        <f t="shared" si="39"/>
        <v>4445.0517641420947</v>
      </c>
      <c r="I465" s="3">
        <v>1918.4166666666599</v>
      </c>
      <c r="J465" s="3">
        <v>0</v>
      </c>
      <c r="K465" s="3">
        <v>69.124514909933794</v>
      </c>
    </row>
    <row r="466" spans="1:11" ht="18" x14ac:dyDescent="0.25">
      <c r="A466" s="3">
        <v>1991.5</v>
      </c>
      <c r="B466" s="3">
        <f t="shared" si="35"/>
        <v>144.27055702917772</v>
      </c>
      <c r="C466" s="3">
        <f t="shared" si="36"/>
        <v>154.83176008454475</v>
      </c>
      <c r="D466" s="3">
        <f t="shared" si="37"/>
        <v>144.27055702917772</v>
      </c>
      <c r="E466" s="3">
        <f t="shared" si="38"/>
        <v>130.21371775358568</v>
      </c>
      <c r="F466" s="3">
        <v>209</v>
      </c>
      <c r="G466" s="3">
        <v>195.84286698664701</v>
      </c>
      <c r="H466">
        <f t="shared" si="39"/>
        <v>111.5390099766939</v>
      </c>
      <c r="I466" s="3">
        <v>1918.5</v>
      </c>
      <c r="J466" s="3">
        <v>0</v>
      </c>
      <c r="K466" s="3">
        <v>97.199024401197605</v>
      </c>
    </row>
    <row r="467" spans="1:11" ht="18" x14ac:dyDescent="0.25">
      <c r="A467" s="3">
        <v>1991.5833333333301</v>
      </c>
      <c r="B467" s="3">
        <f t="shared" si="35"/>
        <v>166.27055702917772</v>
      </c>
      <c r="C467" s="3">
        <f t="shared" si="36"/>
        <v>178.71937368481341</v>
      </c>
      <c r="D467" s="3">
        <f t="shared" si="37"/>
        <v>166.27055702917772</v>
      </c>
      <c r="E467" s="3">
        <f t="shared" si="38"/>
        <v>176.13974876808669</v>
      </c>
      <c r="F467" s="3">
        <v>231</v>
      </c>
      <c r="G467" s="3">
        <v>241.76889800114799</v>
      </c>
      <c r="H467">
        <f t="shared" si="39"/>
        <v>154.97303612563235</v>
      </c>
      <c r="I467" s="3">
        <v>1918.5833333333301</v>
      </c>
      <c r="J467" s="3">
        <v>0</v>
      </c>
      <c r="K467" s="3">
        <v>111.82610314078499</v>
      </c>
    </row>
    <row r="468" spans="1:11" ht="18" x14ac:dyDescent="0.25">
      <c r="A468" s="3">
        <v>1991.6666666666599</v>
      </c>
      <c r="B468" s="3">
        <f t="shared" si="35"/>
        <v>166.27055702917772</v>
      </c>
      <c r="C468" s="3">
        <f t="shared" si="36"/>
        <v>182.87106731263495</v>
      </c>
      <c r="D468" s="3">
        <f t="shared" si="37"/>
        <v>166.27055702917772</v>
      </c>
      <c r="E468" s="3">
        <f t="shared" si="38"/>
        <v>185.7818817466337</v>
      </c>
      <c r="F468" s="3">
        <v>231</v>
      </c>
      <c r="G468" s="3">
        <v>251.411030979695</v>
      </c>
      <c r="H468">
        <f t="shared" si="39"/>
        <v>275.5769416711691</v>
      </c>
      <c r="I468" s="3">
        <v>1918.6666666666599</v>
      </c>
      <c r="J468" s="3">
        <v>0</v>
      </c>
      <c r="K468" s="3">
        <v>120.541372082054</v>
      </c>
    </row>
    <row r="469" spans="1:11" ht="18" x14ac:dyDescent="0.25">
      <c r="A469" s="3">
        <v>1991.75</v>
      </c>
      <c r="B469" s="3">
        <f t="shared" si="35"/>
        <v>157.27055702917772</v>
      </c>
      <c r="C469" s="3">
        <f t="shared" si="36"/>
        <v>193.56952774008923</v>
      </c>
      <c r="D469" s="3">
        <f t="shared" si="37"/>
        <v>157.27055702917772</v>
      </c>
      <c r="E469" s="3">
        <f t="shared" si="38"/>
        <v>213.60146365744669</v>
      </c>
      <c r="F469" s="3">
        <v>222</v>
      </c>
      <c r="G469" s="3">
        <v>279.23061289050798</v>
      </c>
      <c r="H469">
        <f t="shared" si="39"/>
        <v>1317.6152746716114</v>
      </c>
      <c r="I469" s="3">
        <v>1918.75</v>
      </c>
      <c r="J469" s="3">
        <v>0</v>
      </c>
      <c r="K469" s="3">
        <v>152.10333156212999</v>
      </c>
    </row>
    <row r="470" spans="1:11" ht="18" x14ac:dyDescent="0.25">
      <c r="A470" s="3">
        <v>1991.8333333333301</v>
      </c>
      <c r="B470" s="3">
        <f t="shared" si="35"/>
        <v>157.27055702917772</v>
      </c>
      <c r="C470" s="3">
        <f t="shared" si="36"/>
        <v>205.50192256823576</v>
      </c>
      <c r="D470" s="3">
        <f t="shared" si="37"/>
        <v>157.27055702917772</v>
      </c>
      <c r="E470" s="3">
        <f t="shared" si="38"/>
        <v>250.88906183886172</v>
      </c>
      <c r="F470" s="3">
        <v>222</v>
      </c>
      <c r="G470" s="3">
        <v>316.51821107192302</v>
      </c>
      <c r="H470">
        <f t="shared" si="39"/>
        <v>2326.2646217622346</v>
      </c>
      <c r="I470" s="3">
        <v>1918.8333333333301</v>
      </c>
      <c r="J470" s="3">
        <v>0</v>
      </c>
      <c r="K470" s="3">
        <v>173.82406314348901</v>
      </c>
    </row>
    <row r="471" spans="1:11" ht="18" x14ac:dyDescent="0.25">
      <c r="A471" s="3">
        <v>1991.9166666666599</v>
      </c>
      <c r="B471" s="3">
        <f t="shared" si="35"/>
        <v>177.27055702917772</v>
      </c>
      <c r="C471" s="3">
        <f t="shared" si="36"/>
        <v>207.32838224117563</v>
      </c>
      <c r="D471" s="3">
        <f t="shared" si="37"/>
        <v>177.27055702917772</v>
      </c>
      <c r="E471" s="3">
        <f t="shared" si="38"/>
        <v>257.30816654685373</v>
      </c>
      <c r="F471" s="3">
        <v>242</v>
      </c>
      <c r="G471" s="3">
        <v>322.93731577991502</v>
      </c>
      <c r="H471">
        <f t="shared" si="39"/>
        <v>903.47285647501712</v>
      </c>
      <c r="I471" s="3">
        <v>1918.9166666666599</v>
      </c>
      <c r="J471" s="3">
        <v>0</v>
      </c>
      <c r="K471" s="3">
        <v>151.226359503759</v>
      </c>
    </row>
    <row r="472" spans="1:11" ht="18" x14ac:dyDescent="0.25">
      <c r="A472" s="3">
        <v>1992</v>
      </c>
      <c r="B472" s="3">
        <f t="shared" si="35"/>
        <v>188.27055702917772</v>
      </c>
      <c r="C472" s="3">
        <f t="shared" si="36"/>
        <v>204.64772015314392</v>
      </c>
      <c r="D472" s="3">
        <f t="shared" si="37"/>
        <v>188.27055702917772</v>
      </c>
      <c r="E472" s="3">
        <f t="shared" si="38"/>
        <v>247.95815615372169</v>
      </c>
      <c r="F472" s="3">
        <v>253</v>
      </c>
      <c r="G472" s="3">
        <v>313.58730538678299</v>
      </c>
      <c r="H472">
        <f t="shared" si="39"/>
        <v>268.21147198899831</v>
      </c>
      <c r="I472" s="3">
        <v>1919</v>
      </c>
      <c r="J472" s="3">
        <v>0</v>
      </c>
      <c r="K472" s="3">
        <v>117.417842879578</v>
      </c>
    </row>
    <row r="473" spans="1:11" ht="18" x14ac:dyDescent="0.25">
      <c r="A473" s="3">
        <v>1992.0833333333301</v>
      </c>
      <c r="B473" s="3">
        <f t="shared" si="35"/>
        <v>188.27055702917772</v>
      </c>
      <c r="C473" s="3">
        <f t="shared" si="36"/>
        <v>198.59857091273682</v>
      </c>
      <c r="D473" s="3">
        <f t="shared" si="37"/>
        <v>188.27055702917772</v>
      </c>
      <c r="E473" s="3">
        <f t="shared" si="38"/>
        <v>228.40574116403371</v>
      </c>
      <c r="F473" s="3">
        <v>253</v>
      </c>
      <c r="G473" s="3">
        <v>294.03489039709501</v>
      </c>
      <c r="H473">
        <f t="shared" si="39"/>
        <v>106.66787077898941</v>
      </c>
      <c r="I473" s="3">
        <v>1919.0833333333301</v>
      </c>
      <c r="J473" s="3">
        <v>0</v>
      </c>
      <c r="K473" s="3">
        <v>87.226330505549598</v>
      </c>
    </row>
    <row r="474" spans="1:11" ht="18" x14ac:dyDescent="0.25">
      <c r="A474" s="3">
        <v>1992.1666666666599</v>
      </c>
      <c r="B474" s="3">
        <f t="shared" si="35"/>
        <v>189.27055702917772</v>
      </c>
      <c r="C474" s="3">
        <f t="shared" si="36"/>
        <v>186.96387901010991</v>
      </c>
      <c r="D474" s="3">
        <f t="shared" si="37"/>
        <v>189.27055702917772</v>
      </c>
      <c r="E474" s="3">
        <f t="shared" si="38"/>
        <v>195.88676324307272</v>
      </c>
      <c r="F474" s="3">
        <v>254</v>
      </c>
      <c r="G474" s="3">
        <v>261.51591247613402</v>
      </c>
      <c r="H474">
        <f t="shared" si="39"/>
        <v>5.3207634836506301</v>
      </c>
      <c r="I474" s="3">
        <v>1919.1666666666599</v>
      </c>
      <c r="J474" s="3">
        <v>0</v>
      </c>
      <c r="K474" s="3">
        <v>62.397652814206602</v>
      </c>
    </row>
    <row r="475" spans="1:11" ht="18" x14ac:dyDescent="0.25">
      <c r="A475" s="3">
        <v>1992.25</v>
      </c>
      <c r="B475" s="3">
        <f t="shared" si="35"/>
        <v>195.27055702917772</v>
      </c>
      <c r="C475" s="3">
        <f t="shared" si="36"/>
        <v>174.92430737946987</v>
      </c>
      <c r="D475" s="3">
        <f t="shared" si="37"/>
        <v>195.27055702917772</v>
      </c>
      <c r="E475" s="3">
        <f t="shared" si="38"/>
        <v>167.81649177442966</v>
      </c>
      <c r="F475" s="3">
        <v>260</v>
      </c>
      <c r="G475" s="3">
        <v>233.44564100749099</v>
      </c>
      <c r="H475">
        <f t="shared" si="39"/>
        <v>413.96987480823714</v>
      </c>
      <c r="I475" s="3">
        <v>1919.25</v>
      </c>
      <c r="J475" s="3">
        <v>0</v>
      </c>
      <c r="K475" s="3">
        <v>60.448908466974402</v>
      </c>
    </row>
    <row r="476" spans="1:11" ht="18" x14ac:dyDescent="0.25">
      <c r="A476" s="3">
        <v>1992.3333333333301</v>
      </c>
      <c r="B476" s="3">
        <f t="shared" si="35"/>
        <v>197.27055702917772</v>
      </c>
      <c r="C476" s="3">
        <f t="shared" si="36"/>
        <v>154.74751087191257</v>
      </c>
      <c r="D476" s="3">
        <f t="shared" si="37"/>
        <v>197.27055702917772</v>
      </c>
      <c r="E476" s="3">
        <f t="shared" si="38"/>
        <v>130.07557174775872</v>
      </c>
      <c r="F476" s="3">
        <v>262</v>
      </c>
      <c r="G476" s="3">
        <v>195.70472098082001</v>
      </c>
      <c r="H476">
        <f t="shared" si="39"/>
        <v>1808.209454492903</v>
      </c>
      <c r="I476" s="3">
        <v>1919.3333333333301</v>
      </c>
      <c r="J476" s="3">
        <v>0</v>
      </c>
      <c r="K476" s="3">
        <v>67.507611890626507</v>
      </c>
    </row>
    <row r="477" spans="1:11" ht="18" x14ac:dyDescent="0.25">
      <c r="A477" s="3">
        <v>1992.4166666666599</v>
      </c>
      <c r="B477" s="3">
        <f t="shared" si="35"/>
        <v>203.27055702917772</v>
      </c>
      <c r="C477" s="3">
        <f t="shared" si="36"/>
        <v>119.19331465224334</v>
      </c>
      <c r="D477" s="3">
        <f t="shared" si="37"/>
        <v>203.27055702917772</v>
      </c>
      <c r="E477" s="3">
        <f t="shared" si="38"/>
        <v>82.243698185553697</v>
      </c>
      <c r="F477" s="3">
        <v>268</v>
      </c>
      <c r="G477" s="3">
        <v>147.87284741861501</v>
      </c>
      <c r="H477">
        <f t="shared" si="39"/>
        <v>7068.9826857097705</v>
      </c>
      <c r="I477" s="3">
        <v>1919.4166666666599</v>
      </c>
      <c r="J477" s="3">
        <v>0</v>
      </c>
      <c r="K477" s="3">
        <v>81.316744155230694</v>
      </c>
    </row>
    <row r="478" spans="1:11" ht="18" x14ac:dyDescent="0.25">
      <c r="A478" s="3">
        <v>1992.5</v>
      </c>
      <c r="B478" s="3">
        <f t="shared" si="35"/>
        <v>203.27055702917772</v>
      </c>
      <c r="C478" s="3">
        <f t="shared" si="36"/>
        <v>83.46105898403475</v>
      </c>
      <c r="D478" s="3">
        <f t="shared" si="37"/>
        <v>203.27055702917772</v>
      </c>
      <c r="E478" s="3">
        <f t="shared" si="38"/>
        <v>48.802900331694687</v>
      </c>
      <c r="F478" s="3">
        <v>268</v>
      </c>
      <c r="G478" s="3">
        <v>114.432049564756</v>
      </c>
      <c r="H478">
        <f t="shared" si="39"/>
        <v>14354.315821829117</v>
      </c>
      <c r="I478" s="3">
        <v>1919.5</v>
      </c>
      <c r="J478" s="3">
        <v>0</v>
      </c>
      <c r="K478" s="3">
        <v>107.268520451928</v>
      </c>
    </row>
    <row r="479" spans="1:11" ht="18" x14ac:dyDescent="0.25">
      <c r="A479" s="3">
        <v>1992.5833333333301</v>
      </c>
      <c r="B479" s="3">
        <f t="shared" si="35"/>
        <v>14.270557029177724</v>
      </c>
      <c r="C479" s="3">
        <f t="shared" si="36"/>
        <v>16.533080773374188</v>
      </c>
      <c r="D479" s="3">
        <f t="shared" si="37"/>
        <v>14.270557029177724</v>
      </c>
      <c r="E479" s="3">
        <f t="shared" si="38"/>
        <v>7.5190183556687913</v>
      </c>
      <c r="F479" s="3">
        <v>79</v>
      </c>
      <c r="G479" s="3">
        <v>73.148167588730104</v>
      </c>
      <c r="H479">
        <f t="shared" si="39"/>
        <v>5.1190136930527874</v>
      </c>
      <c r="I479" s="3">
        <v>1919.5833333333301</v>
      </c>
      <c r="J479" s="3">
        <v>0</v>
      </c>
      <c r="K479" s="3">
        <v>105.05980123095701</v>
      </c>
    </row>
    <row r="480" spans="1:11" ht="18" x14ac:dyDescent="0.25">
      <c r="A480" s="3">
        <v>1992.6666666666599</v>
      </c>
      <c r="B480" s="3">
        <f t="shared" si="35"/>
        <v>-72.729442970822276</v>
      </c>
      <c r="C480" s="3">
        <f t="shared" si="36"/>
        <v>-86.189768469053249</v>
      </c>
      <c r="D480" s="3">
        <f t="shared" si="37"/>
        <v>-72.729442970822276</v>
      </c>
      <c r="E480" s="3">
        <f t="shared" si="38"/>
        <v>-50.992545498793611</v>
      </c>
      <c r="F480" s="3">
        <v>-8</v>
      </c>
      <c r="G480" s="3">
        <v>14.6366037342677</v>
      </c>
      <c r="H480">
        <f t="shared" si="39"/>
        <v>181.18036251832686</v>
      </c>
      <c r="I480" s="3">
        <v>1919.6666666666599</v>
      </c>
      <c r="J480" s="3">
        <v>0</v>
      </c>
      <c r="K480" s="3">
        <v>74.119580089603403</v>
      </c>
    </row>
    <row r="481" spans="1:11" ht="18" x14ac:dyDescent="0.25">
      <c r="A481" s="3">
        <v>1992.75</v>
      </c>
      <c r="B481" s="3">
        <f t="shared" si="35"/>
        <v>-139.72944297082228</v>
      </c>
      <c r="C481" s="3">
        <f t="shared" si="36"/>
        <v>-137.67439951029974</v>
      </c>
      <c r="D481" s="3">
        <f t="shared" si="37"/>
        <v>-139.72944297082228</v>
      </c>
      <c r="E481" s="3">
        <f t="shared" si="38"/>
        <v>-104.74858884439351</v>
      </c>
      <c r="F481" s="3">
        <v>-75</v>
      </c>
      <c r="G481" s="3">
        <v>-39.119439611332197</v>
      </c>
      <c r="H481">
        <f t="shared" si="39"/>
        <v>4.2232036246364588</v>
      </c>
      <c r="I481" s="3">
        <v>1919.75</v>
      </c>
      <c r="J481" s="3">
        <v>0</v>
      </c>
      <c r="K481" s="3">
        <v>56.316867261125203</v>
      </c>
    </row>
    <row r="482" spans="1:11" ht="18" x14ac:dyDescent="0.25">
      <c r="A482" s="3">
        <v>1992.8333333333301</v>
      </c>
      <c r="B482" s="3">
        <f t="shared" si="35"/>
        <v>-176.72944297082228</v>
      </c>
      <c r="C482" s="3">
        <f t="shared" si="36"/>
        <v>-172.75587078134637</v>
      </c>
      <c r="D482" s="3">
        <f t="shared" si="37"/>
        <v>-176.72944297082228</v>
      </c>
      <c r="E482" s="3">
        <f t="shared" si="38"/>
        <v>-163.25641283473669</v>
      </c>
      <c r="F482" s="3">
        <v>-112</v>
      </c>
      <c r="G482" s="3">
        <v>-97.627263601675395</v>
      </c>
      <c r="H482">
        <f t="shared" si="39"/>
        <v>15.789275944976318</v>
      </c>
      <c r="I482" s="3">
        <v>1919.8333333333301</v>
      </c>
      <c r="J482" s="3">
        <v>0</v>
      </c>
      <c r="K482" s="3">
        <v>49.194596054372703</v>
      </c>
    </row>
    <row r="483" spans="1:11" ht="18" x14ac:dyDescent="0.25">
      <c r="A483" s="3">
        <v>1992.9166666666599</v>
      </c>
      <c r="B483" s="3">
        <f t="shared" si="35"/>
        <v>-205.72944297082228</v>
      </c>
      <c r="C483" s="3">
        <f t="shared" si="36"/>
        <v>-193.49176775316462</v>
      </c>
      <c r="D483" s="3">
        <f t="shared" si="37"/>
        <v>-205.72944297082228</v>
      </c>
      <c r="E483" s="3">
        <f t="shared" si="38"/>
        <v>-213.38196980408634</v>
      </c>
      <c r="F483" s="3">
        <v>-141</v>
      </c>
      <c r="G483" s="3">
        <v>-147.75282057102501</v>
      </c>
      <c r="H483">
        <f t="shared" si="39"/>
        <v>149.76069473287228</v>
      </c>
      <c r="I483" s="3">
        <v>1919.9166666666599</v>
      </c>
      <c r="J483" s="3">
        <v>0</v>
      </c>
      <c r="K483" s="3">
        <v>48.647326534337701</v>
      </c>
    </row>
    <row r="484" spans="1:11" ht="18" x14ac:dyDescent="0.25">
      <c r="A484" s="3">
        <v>1993</v>
      </c>
      <c r="B484" s="3">
        <f t="shared" si="35"/>
        <v>-219.72944297082228</v>
      </c>
      <c r="C484" s="3">
        <f t="shared" si="36"/>
        <v>-199.61115458667234</v>
      </c>
      <c r="D484" s="3">
        <f t="shared" si="37"/>
        <v>-219.72944297082228</v>
      </c>
      <c r="E484" s="3">
        <f t="shared" si="38"/>
        <v>-231.53906300023829</v>
      </c>
      <c r="F484" s="3">
        <v>-155</v>
      </c>
      <c r="G484" s="3">
        <v>-165.90991376717699</v>
      </c>
      <c r="H484">
        <f t="shared" si="39"/>
        <v>404.7455275078222</v>
      </c>
      <c r="I484" s="3">
        <v>1920</v>
      </c>
      <c r="J484" s="3">
        <v>0</v>
      </c>
      <c r="K484" s="3">
        <v>46.699078313430903</v>
      </c>
    </row>
    <row r="485" spans="1:11" ht="18" x14ac:dyDescent="0.25">
      <c r="A485" s="3">
        <v>1993.0833333333301</v>
      </c>
      <c r="B485" s="3">
        <f t="shared" si="35"/>
        <v>-228.72944297082228</v>
      </c>
      <c r="C485" s="3">
        <f t="shared" si="36"/>
        <v>-204.72041803275093</v>
      </c>
      <c r="D485" s="3">
        <f t="shared" si="37"/>
        <v>-228.72944297082228</v>
      </c>
      <c r="E485" s="3">
        <f t="shared" si="38"/>
        <v>-248.20586860676434</v>
      </c>
      <c r="F485" s="3">
        <v>-164</v>
      </c>
      <c r="G485" s="3">
        <v>-182.57671937370301</v>
      </c>
      <c r="H485">
        <f t="shared" si="39"/>
        <v>576.43327847693195</v>
      </c>
      <c r="I485" s="3">
        <v>1920.0833333333301</v>
      </c>
      <c r="J485" s="3">
        <v>0</v>
      </c>
      <c r="K485" s="3">
        <v>7.5378684719358704</v>
      </c>
    </row>
    <row r="486" spans="1:11" ht="18" x14ac:dyDescent="0.25">
      <c r="A486" s="3">
        <v>1993.1666666666599</v>
      </c>
      <c r="B486" s="3">
        <f t="shared" si="35"/>
        <v>-228.72944297082228</v>
      </c>
      <c r="C486" s="3">
        <f t="shared" si="36"/>
        <v>-210.9316417697554</v>
      </c>
      <c r="D486" s="3">
        <f t="shared" si="37"/>
        <v>-228.72944297082228</v>
      </c>
      <c r="E486" s="3">
        <f t="shared" si="38"/>
        <v>-270.61595030894131</v>
      </c>
      <c r="F486" s="3">
        <v>-164</v>
      </c>
      <c r="G486" s="3">
        <v>-204.98680107588001</v>
      </c>
      <c r="H486">
        <f t="shared" si="39"/>
        <v>316.76172759269747</v>
      </c>
      <c r="I486" s="3">
        <v>1920.1666666666599</v>
      </c>
      <c r="J486" s="3">
        <v>0</v>
      </c>
      <c r="K486" s="3">
        <v>-46.941771798700302</v>
      </c>
    </row>
    <row r="487" spans="1:11" ht="18" x14ac:dyDescent="0.25">
      <c r="A487" s="3">
        <v>1993.25</v>
      </c>
      <c r="B487" s="3">
        <f t="shared" si="35"/>
        <v>-228.72944297082228</v>
      </c>
      <c r="C487" s="3">
        <f t="shared" si="36"/>
        <v>-211.5050892032321</v>
      </c>
      <c r="D487" s="3">
        <f t="shared" si="37"/>
        <v>-228.72944297082228</v>
      </c>
      <c r="E487" s="3">
        <f t="shared" si="38"/>
        <v>-272.81715202593432</v>
      </c>
      <c r="F487" s="3">
        <v>-164</v>
      </c>
      <c r="G487" s="3">
        <v>-207.18800279287299</v>
      </c>
      <c r="H487">
        <f t="shared" si="39"/>
        <v>296.6783627110978</v>
      </c>
      <c r="I487" s="3">
        <v>1920.25</v>
      </c>
      <c r="J487" s="3">
        <v>0</v>
      </c>
      <c r="K487" s="3">
        <v>-67.012420750938503</v>
      </c>
    </row>
    <row r="488" spans="1:11" ht="18" x14ac:dyDescent="0.25">
      <c r="A488" s="3">
        <v>1993.3333333333301</v>
      </c>
      <c r="B488" s="3">
        <f t="shared" si="35"/>
        <v>-176.72944297082228</v>
      </c>
      <c r="C488" s="3">
        <f t="shared" si="36"/>
        <v>-204.77917285155061</v>
      </c>
      <c r="D488" s="3">
        <f t="shared" si="37"/>
        <v>-176.72944297082228</v>
      </c>
      <c r="E488" s="3">
        <f t="shared" si="38"/>
        <v>-248.40630423841134</v>
      </c>
      <c r="F488" s="3">
        <v>-112</v>
      </c>
      <c r="G488" s="3">
        <v>-182.77715500535001</v>
      </c>
      <c r="H488">
        <f t="shared" si="39"/>
        <v>786.78734638182402</v>
      </c>
      <c r="I488" s="3">
        <v>1920.3333333333301</v>
      </c>
      <c r="J488" s="3">
        <v>0</v>
      </c>
      <c r="K488" s="3">
        <v>-47.6659853055382</v>
      </c>
    </row>
    <row r="489" spans="1:11" ht="18" x14ac:dyDescent="0.25">
      <c r="A489" s="3">
        <v>1993.4166666666599</v>
      </c>
      <c r="B489" s="3">
        <f t="shared" si="35"/>
        <v>-172.72944297082228</v>
      </c>
      <c r="C489" s="3">
        <f t="shared" si="36"/>
        <v>-181.33611863122775</v>
      </c>
      <c r="D489" s="3">
        <f t="shared" si="37"/>
        <v>-172.72944297082228</v>
      </c>
      <c r="E489" s="3">
        <f t="shared" si="38"/>
        <v>-182.14861324300432</v>
      </c>
      <c r="F489" s="3">
        <v>-108</v>
      </c>
      <c r="G489" s="3">
        <v>-116.51946400994299</v>
      </c>
      <c r="H489">
        <f t="shared" si="39"/>
        <v>74.074865923415956</v>
      </c>
      <c r="I489" s="3">
        <v>1920.4166666666599</v>
      </c>
      <c r="J489" s="3">
        <v>0</v>
      </c>
      <c r="K489" s="3">
        <v>6.8729878871330898</v>
      </c>
    </row>
    <row r="490" spans="1:11" ht="18" x14ac:dyDescent="0.25">
      <c r="A490" s="3">
        <v>1993.5</v>
      </c>
      <c r="B490" s="3">
        <f t="shared" si="35"/>
        <v>-112.72944297082228</v>
      </c>
      <c r="C490" s="3">
        <f t="shared" si="36"/>
        <v>-128.41846692147919</v>
      </c>
      <c r="D490" s="3">
        <f t="shared" si="37"/>
        <v>-112.72944297082228</v>
      </c>
      <c r="E490" s="3">
        <f t="shared" si="38"/>
        <v>-92.928026716921607</v>
      </c>
      <c r="F490" s="3">
        <v>-48</v>
      </c>
      <c r="G490" s="3">
        <v>-27.298877483860299</v>
      </c>
      <c r="H490">
        <f t="shared" si="39"/>
        <v>246.14547252428639</v>
      </c>
      <c r="I490" s="3">
        <v>1920.5</v>
      </c>
      <c r="J490" s="3">
        <v>0</v>
      </c>
      <c r="K490" s="3">
        <v>59.152124116033598</v>
      </c>
    </row>
    <row r="491" spans="1:11" ht="18" x14ac:dyDescent="0.25">
      <c r="A491" s="3">
        <v>1993.5833333333301</v>
      </c>
      <c r="B491" s="3">
        <f t="shared" si="35"/>
        <v>-56.729442970822276</v>
      </c>
      <c r="C491" s="3">
        <f t="shared" si="36"/>
        <v>-61.08745504496995</v>
      </c>
      <c r="D491" s="3">
        <f t="shared" si="37"/>
        <v>-56.729442970822276</v>
      </c>
      <c r="E491" s="3">
        <f t="shared" si="38"/>
        <v>-32.605626430619509</v>
      </c>
      <c r="F491" s="3">
        <v>8</v>
      </c>
      <c r="G491" s="3">
        <v>33.023522802441803</v>
      </c>
      <c r="H491">
        <f t="shared" si="39"/>
        <v>18.992269238416906</v>
      </c>
      <c r="I491" s="3">
        <v>1920.5833333333301</v>
      </c>
      <c r="J491" s="3">
        <v>0</v>
      </c>
      <c r="K491" s="3">
        <v>62.998193229986697</v>
      </c>
    </row>
    <row r="492" spans="1:11" ht="18" x14ac:dyDescent="0.25">
      <c r="A492" s="3">
        <v>1993.6666666666599</v>
      </c>
      <c r="B492" s="3">
        <f t="shared" si="35"/>
        <v>-54.729442970822276</v>
      </c>
      <c r="C492" s="3">
        <f t="shared" si="36"/>
        <v>37.791757820742966</v>
      </c>
      <c r="D492" s="3">
        <f t="shared" si="37"/>
        <v>-54.729442970822276</v>
      </c>
      <c r="E492" s="3">
        <f t="shared" si="38"/>
        <v>18.492587469038781</v>
      </c>
      <c r="F492" s="3">
        <v>10</v>
      </c>
      <c r="G492" s="3">
        <v>84.121736702100094</v>
      </c>
      <c r="H492">
        <f t="shared" si="39"/>
        <v>8560.1725959131309</v>
      </c>
      <c r="I492" s="3">
        <v>1920.6666666666599</v>
      </c>
      <c r="J492" s="3">
        <v>0</v>
      </c>
      <c r="K492" s="3">
        <v>54.635403889862999</v>
      </c>
    </row>
    <row r="493" spans="1:11" ht="18" x14ac:dyDescent="0.25">
      <c r="A493" s="3">
        <v>1993.75</v>
      </c>
      <c r="B493" s="3">
        <f t="shared" si="35"/>
        <v>-20.729442970822276</v>
      </c>
      <c r="C493" s="3">
        <f t="shared" si="36"/>
        <v>126.94981143636022</v>
      </c>
      <c r="D493" s="3">
        <f t="shared" si="37"/>
        <v>-20.729442970822276</v>
      </c>
      <c r="E493" s="3">
        <f t="shared" si="38"/>
        <v>91.15789686862469</v>
      </c>
      <c r="F493" s="3">
        <v>44</v>
      </c>
      <c r="G493" s="3">
        <v>156.787046101686</v>
      </c>
      <c r="H493">
        <f t="shared" si="39"/>
        <v>21809.162182261331</v>
      </c>
      <c r="I493" s="3">
        <v>1920.75</v>
      </c>
      <c r="J493" s="3">
        <v>0</v>
      </c>
      <c r="K493" s="3">
        <v>67.683940782149094</v>
      </c>
    </row>
    <row r="494" spans="1:11" ht="18" x14ac:dyDescent="0.25">
      <c r="A494" s="3">
        <v>1993.8333333333301</v>
      </c>
      <c r="B494" s="3">
        <f t="shared" si="35"/>
        <v>46.270557029177724</v>
      </c>
      <c r="C494" s="3">
        <f t="shared" si="36"/>
        <v>170.72661073272255</v>
      </c>
      <c r="D494" s="3">
        <f t="shared" si="37"/>
        <v>46.270557029177724</v>
      </c>
      <c r="E494" s="3">
        <f t="shared" si="38"/>
        <v>159.11090640021968</v>
      </c>
      <c r="F494" s="3">
        <v>111</v>
      </c>
      <c r="G494" s="3">
        <v>224.740055633281</v>
      </c>
      <c r="H494">
        <f t="shared" si="39"/>
        <v>15489.309303459633</v>
      </c>
      <c r="I494" s="3">
        <v>1920.8333333333301</v>
      </c>
      <c r="J494" s="3">
        <v>0</v>
      </c>
      <c r="K494" s="3">
        <v>77.1579404557435</v>
      </c>
    </row>
    <row r="495" spans="1:11" ht="18" x14ac:dyDescent="0.25">
      <c r="A495" s="3">
        <v>1993.9166666666599</v>
      </c>
      <c r="B495" s="3">
        <f t="shared" si="35"/>
        <v>140.27055702917772</v>
      </c>
      <c r="C495" s="3">
        <f t="shared" si="36"/>
        <v>191.50473110381819</v>
      </c>
      <c r="D495" s="3">
        <f t="shared" si="37"/>
        <v>140.27055702917772</v>
      </c>
      <c r="E495" s="3">
        <f t="shared" si="38"/>
        <v>207.86492472732272</v>
      </c>
      <c r="F495" s="3">
        <v>205</v>
      </c>
      <c r="G495" s="3">
        <v>273.49407396038401</v>
      </c>
      <c r="H495">
        <f t="shared" si="39"/>
        <v>2624.9405931105612</v>
      </c>
      <c r="I495" s="3">
        <v>1920.9166666666599</v>
      </c>
      <c r="J495" s="3">
        <v>0</v>
      </c>
      <c r="K495" s="3">
        <v>78.819286023350202</v>
      </c>
    </row>
    <row r="496" spans="1:11" ht="18" x14ac:dyDescent="0.25">
      <c r="A496" s="3">
        <v>1994</v>
      </c>
      <c r="B496" s="3">
        <f t="shared" si="35"/>
        <v>175.27055702917772</v>
      </c>
      <c r="C496" s="3">
        <f t="shared" si="36"/>
        <v>197.42499356754951</v>
      </c>
      <c r="D496" s="3">
        <f t="shared" si="37"/>
        <v>175.27055702917772</v>
      </c>
      <c r="E496" s="3">
        <f t="shared" si="38"/>
        <v>224.84025889473071</v>
      </c>
      <c r="F496" s="3">
        <v>240</v>
      </c>
      <c r="G496" s="3">
        <v>290.46940812779201</v>
      </c>
      <c r="H496">
        <f t="shared" si="39"/>
        <v>490.81905833274271</v>
      </c>
      <c r="I496" s="3">
        <v>1921</v>
      </c>
      <c r="J496" s="3">
        <v>0</v>
      </c>
      <c r="K496" s="3">
        <v>73.244302126370101</v>
      </c>
    </row>
    <row r="497" spans="1:11" ht="18" x14ac:dyDescent="0.25">
      <c r="A497" s="3">
        <v>1994.0833333333301</v>
      </c>
      <c r="B497" s="3">
        <f t="shared" si="35"/>
        <v>186.27055702917772</v>
      </c>
      <c r="C497" s="3">
        <f t="shared" si="36"/>
        <v>190.10095327543505</v>
      </c>
      <c r="D497" s="3">
        <f t="shared" si="37"/>
        <v>186.27055702917772</v>
      </c>
      <c r="E497" s="3">
        <f t="shared" si="38"/>
        <v>204.07089627548771</v>
      </c>
      <c r="F497" s="3">
        <v>251</v>
      </c>
      <c r="G497" s="3">
        <v>269.70004550854901</v>
      </c>
      <c r="H497">
        <f t="shared" si="39"/>
        <v>14.671935403342186</v>
      </c>
      <c r="I497" s="3">
        <v>1921.0833333333301</v>
      </c>
      <c r="J497" s="3">
        <v>0</v>
      </c>
      <c r="K497" s="3">
        <v>64.507266708324394</v>
      </c>
    </row>
    <row r="498" spans="1:11" ht="18" x14ac:dyDescent="0.25">
      <c r="A498" s="3">
        <v>1994.1666666666599</v>
      </c>
      <c r="B498" s="3">
        <f t="shared" si="35"/>
        <v>200.27055702917772</v>
      </c>
      <c r="C498" s="3">
        <f t="shared" si="36"/>
        <v>183.65036240690449</v>
      </c>
      <c r="D498" s="3">
        <f t="shared" si="37"/>
        <v>200.27055702917772</v>
      </c>
      <c r="E498" s="3">
        <f t="shared" si="38"/>
        <v>187.65834522216068</v>
      </c>
      <c r="F498" s="3">
        <v>265</v>
      </c>
      <c r="G498" s="3">
        <v>253.287494455222</v>
      </c>
      <c r="H498">
        <f t="shared" si="39"/>
        <v>276.23086928224006</v>
      </c>
      <c r="I498" s="3">
        <v>1921.1666666666599</v>
      </c>
      <c r="J498" s="3">
        <v>0</v>
      </c>
      <c r="K498" s="3">
        <v>85.998144205182001</v>
      </c>
    </row>
    <row r="499" spans="1:11" ht="18" x14ac:dyDescent="0.25">
      <c r="A499" s="3">
        <v>1994.25</v>
      </c>
      <c r="B499" s="3">
        <f t="shared" si="35"/>
        <v>226.27055702917772</v>
      </c>
      <c r="C499" s="3">
        <f t="shared" si="36"/>
        <v>182.51368001915168</v>
      </c>
      <c r="D499" s="3">
        <f t="shared" si="37"/>
        <v>226.27055702917772</v>
      </c>
      <c r="E499" s="3">
        <f t="shared" si="38"/>
        <v>184.9285659838327</v>
      </c>
      <c r="F499" s="3">
        <v>291</v>
      </c>
      <c r="G499" s="3">
        <v>250.557715216894</v>
      </c>
      <c r="H499">
        <f t="shared" si="39"/>
        <v>1914.664285670546</v>
      </c>
      <c r="I499" s="3">
        <v>1921.25</v>
      </c>
      <c r="J499" s="3">
        <v>0</v>
      </c>
      <c r="K499" s="3">
        <v>125.70743589994601</v>
      </c>
    </row>
    <row r="500" spans="1:11" ht="18" x14ac:dyDescent="0.25">
      <c r="A500" s="3">
        <v>1994.3333333333301</v>
      </c>
      <c r="B500" s="3">
        <f t="shared" si="35"/>
        <v>233.27055702917772</v>
      </c>
      <c r="C500" s="3">
        <f t="shared" si="36"/>
        <v>176.83970984574336</v>
      </c>
      <c r="D500" s="3">
        <f t="shared" si="37"/>
        <v>233.27055702917772</v>
      </c>
      <c r="E500" s="3">
        <f t="shared" si="38"/>
        <v>171.96124841034271</v>
      </c>
      <c r="F500" s="3">
        <v>298</v>
      </c>
      <c r="G500" s="3">
        <v>237.590397643404</v>
      </c>
      <c r="H500">
        <f t="shared" si="39"/>
        <v>3184.4405138401225</v>
      </c>
      <c r="I500" s="3">
        <v>1921.3333333333301</v>
      </c>
      <c r="J500" s="3">
        <v>0</v>
      </c>
      <c r="K500" s="3">
        <v>154.24850048946001</v>
      </c>
    </row>
    <row r="501" spans="1:11" ht="18" x14ac:dyDescent="0.25">
      <c r="A501" s="3">
        <v>1994.4166666666599</v>
      </c>
      <c r="B501" s="3">
        <f t="shared" si="35"/>
        <v>253.27055702917772</v>
      </c>
      <c r="C501" s="3">
        <f t="shared" si="36"/>
        <v>170.69282955468486</v>
      </c>
      <c r="D501" s="3">
        <f t="shared" si="37"/>
        <v>253.27055702917772</v>
      </c>
      <c r="E501" s="3">
        <f t="shared" si="38"/>
        <v>159.04286454356367</v>
      </c>
      <c r="F501" s="3">
        <v>318</v>
      </c>
      <c r="G501" s="3">
        <v>224.67201377662499</v>
      </c>
      <c r="H501">
        <f t="shared" si="39"/>
        <v>6819.0810748516133</v>
      </c>
      <c r="I501" s="3">
        <v>1921.4166666666599</v>
      </c>
      <c r="J501" s="3">
        <v>0</v>
      </c>
      <c r="K501" s="3">
        <v>185.54878779951301</v>
      </c>
    </row>
    <row r="502" spans="1:11" ht="18" x14ac:dyDescent="0.25">
      <c r="A502" s="3">
        <v>1994.5</v>
      </c>
      <c r="B502" s="3">
        <f t="shared" si="35"/>
        <v>263.27055702917772</v>
      </c>
      <c r="C502" s="3">
        <f t="shared" si="36"/>
        <v>159.15518383901443</v>
      </c>
      <c r="D502" s="3">
        <f t="shared" si="37"/>
        <v>263.27055702917772</v>
      </c>
      <c r="E502" s="3">
        <f t="shared" si="38"/>
        <v>137.50007324265567</v>
      </c>
      <c r="F502" s="3">
        <v>328</v>
      </c>
      <c r="G502" s="3">
        <v>203.129222475717</v>
      </c>
      <c r="H502">
        <f t="shared" si="39"/>
        <v>10840.010934526974</v>
      </c>
      <c r="I502" s="3">
        <v>1921.5</v>
      </c>
      <c r="J502" s="3">
        <v>0</v>
      </c>
      <c r="K502" s="3">
        <v>204.18767114864599</v>
      </c>
    </row>
    <row r="503" spans="1:11" ht="18" x14ac:dyDescent="0.25">
      <c r="A503" s="3">
        <v>1994.5833333333301</v>
      </c>
      <c r="B503" s="3">
        <f t="shared" si="35"/>
        <v>271.27055702917772</v>
      </c>
      <c r="C503" s="3">
        <f t="shared" si="36"/>
        <v>132.00533463516729</v>
      </c>
      <c r="D503" s="3">
        <f t="shared" si="37"/>
        <v>271.27055702917772</v>
      </c>
      <c r="E503" s="3">
        <f t="shared" si="38"/>
        <v>97.368886254115679</v>
      </c>
      <c r="F503" s="3">
        <v>336</v>
      </c>
      <c r="G503" s="3">
        <v>162.99803548717699</v>
      </c>
      <c r="H503">
        <f t="shared" si="39"/>
        <v>19394.802168453185</v>
      </c>
      <c r="I503" s="3">
        <v>1921.5833333333301</v>
      </c>
      <c r="J503" s="3">
        <v>0</v>
      </c>
      <c r="K503" s="3">
        <v>188.60271445482701</v>
      </c>
    </row>
    <row r="504" spans="1:11" ht="18" x14ac:dyDescent="0.25">
      <c r="A504" s="3">
        <v>1994.6666666666599</v>
      </c>
      <c r="B504" s="3">
        <f t="shared" si="35"/>
        <v>271.27055702917772</v>
      </c>
      <c r="C504" s="3">
        <f t="shared" si="36"/>
        <v>102.84746583969597</v>
      </c>
      <c r="D504" s="3">
        <f t="shared" si="37"/>
        <v>271.27055702917772</v>
      </c>
      <c r="E504" s="3">
        <f t="shared" si="38"/>
        <v>65.565665754696695</v>
      </c>
      <c r="F504" s="3">
        <v>336</v>
      </c>
      <c r="G504" s="3">
        <v>131.19481498775801</v>
      </c>
      <c r="H504">
        <f t="shared" si="39"/>
        <v>28366.33764582048</v>
      </c>
      <c r="I504" s="3">
        <v>1921.6666666666599</v>
      </c>
      <c r="J504" s="3">
        <v>0</v>
      </c>
      <c r="K504" s="3">
        <v>160.09612383958199</v>
      </c>
    </row>
    <row r="505" spans="1:11" ht="18" x14ac:dyDescent="0.25">
      <c r="A505" s="3">
        <v>1994.75</v>
      </c>
      <c r="B505" s="3">
        <f t="shared" si="35"/>
        <v>206.27055702917772</v>
      </c>
      <c r="C505" s="3">
        <f t="shared" si="36"/>
        <v>49.043493419431009</v>
      </c>
      <c r="D505" s="3">
        <f t="shared" si="37"/>
        <v>206.27055702917772</v>
      </c>
      <c r="E505" s="3">
        <f t="shared" si="38"/>
        <v>25.003527900468882</v>
      </c>
      <c r="F505" s="3">
        <v>271</v>
      </c>
      <c r="G505" s="3">
        <v>90.632677133530194</v>
      </c>
      <c r="H505">
        <f t="shared" si="39"/>
        <v>24720.349531343341</v>
      </c>
      <c r="I505" s="3">
        <v>1921.75</v>
      </c>
      <c r="J505" s="3">
        <v>0</v>
      </c>
      <c r="K505" s="3">
        <v>116.857193027877</v>
      </c>
    </row>
    <row r="506" spans="1:11" ht="18" x14ac:dyDescent="0.25">
      <c r="A506" s="3">
        <v>1994.8333333333301</v>
      </c>
      <c r="B506" s="3">
        <f t="shared" si="35"/>
        <v>-55.729442970822276</v>
      </c>
      <c r="C506" s="3">
        <f t="shared" si="36"/>
        <v>-84.922962273806391</v>
      </c>
      <c r="D506" s="3">
        <f t="shared" si="37"/>
        <v>-55.729442970822276</v>
      </c>
      <c r="E506" s="3">
        <f t="shared" si="38"/>
        <v>-49.969615875933712</v>
      </c>
      <c r="F506" s="3">
        <v>9</v>
      </c>
      <c r="G506" s="3">
        <v>15.6595333571276</v>
      </c>
      <c r="H506">
        <f t="shared" si="39"/>
        <v>852.26156929370609</v>
      </c>
      <c r="I506" s="3">
        <v>1921.8333333333301</v>
      </c>
      <c r="J506" s="3">
        <v>0</v>
      </c>
      <c r="K506" s="3">
        <v>63.817359353826603</v>
      </c>
    </row>
    <row r="507" spans="1:11" ht="18" x14ac:dyDescent="0.25">
      <c r="A507" s="3">
        <v>1994.9166666666599</v>
      </c>
      <c r="B507" s="3">
        <f t="shared" si="35"/>
        <v>-173.72944297082228</v>
      </c>
      <c r="C507" s="3">
        <f t="shared" si="36"/>
        <v>-154.30358939424383</v>
      </c>
      <c r="D507" s="3">
        <f t="shared" si="37"/>
        <v>-173.72944297082228</v>
      </c>
      <c r="E507" s="3">
        <f t="shared" si="38"/>
        <v>-129.35001330410361</v>
      </c>
      <c r="F507" s="3">
        <v>-109</v>
      </c>
      <c r="G507" s="3">
        <v>-63.7208640710423</v>
      </c>
      <c r="H507">
        <f t="shared" si="39"/>
        <v>377.36378717866563</v>
      </c>
      <c r="I507" s="3">
        <v>1921.9166666666599</v>
      </c>
      <c r="J507" s="3">
        <v>0</v>
      </c>
      <c r="K507" s="3">
        <v>34.566892608648899</v>
      </c>
    </row>
    <row r="508" spans="1:11" ht="18" x14ac:dyDescent="0.25">
      <c r="A508" s="3">
        <v>1995</v>
      </c>
      <c r="B508" s="3">
        <f t="shared" si="35"/>
        <v>-231.72944297082228</v>
      </c>
      <c r="C508" s="3">
        <f t="shared" si="36"/>
        <v>-186.39207733250311</v>
      </c>
      <c r="D508" s="3">
        <f t="shared" si="37"/>
        <v>-231.72944297082228</v>
      </c>
      <c r="E508" s="3">
        <f t="shared" si="38"/>
        <v>-194.43716266168133</v>
      </c>
      <c r="F508" s="3">
        <v>-167</v>
      </c>
      <c r="G508" s="3">
        <v>-128.80801342862</v>
      </c>
      <c r="H508">
        <f t="shared" si="39"/>
        <v>2055.4767230226439</v>
      </c>
      <c r="I508" s="3">
        <v>1922</v>
      </c>
      <c r="J508" s="3">
        <v>0</v>
      </c>
      <c r="K508" s="3">
        <v>14.9581352793478</v>
      </c>
    </row>
    <row r="509" spans="1:11" ht="18" x14ac:dyDescent="0.25">
      <c r="A509" s="3">
        <v>1995.0833333333301</v>
      </c>
      <c r="B509" s="3">
        <f t="shared" si="35"/>
        <v>-231.72944297082228</v>
      </c>
      <c r="C509" s="3">
        <f t="shared" si="36"/>
        <v>-200.03527472942815</v>
      </c>
      <c r="D509" s="3">
        <f t="shared" si="37"/>
        <v>-231.72944297082228</v>
      </c>
      <c r="E509" s="3">
        <f t="shared" si="38"/>
        <v>-232.86747974812732</v>
      </c>
      <c r="F509" s="3">
        <v>-167</v>
      </c>
      <c r="G509" s="3">
        <v>-167.238330515066</v>
      </c>
      <c r="H509">
        <f t="shared" si="39"/>
        <v>1004.5203005137959</v>
      </c>
      <c r="I509" s="3">
        <v>1922.0833333333301</v>
      </c>
      <c r="J509" s="3">
        <v>0</v>
      </c>
      <c r="K509" s="3">
        <v>-14.9870930671674</v>
      </c>
    </row>
    <row r="510" spans="1:11" ht="18" x14ac:dyDescent="0.25">
      <c r="A510" s="3">
        <v>1995.1666666666599</v>
      </c>
      <c r="B510" s="3">
        <f t="shared" si="35"/>
        <v>-179.72944297082228</v>
      </c>
      <c r="C510" s="3">
        <f t="shared" si="36"/>
        <v>-199.67202376446386</v>
      </c>
      <c r="D510" s="3">
        <f t="shared" si="37"/>
        <v>-179.72944297082228</v>
      </c>
      <c r="E510" s="3">
        <f t="shared" si="38"/>
        <v>-231.72912882391131</v>
      </c>
      <c r="F510" s="3">
        <v>-115</v>
      </c>
      <c r="G510" s="3">
        <v>-166.09997959085001</v>
      </c>
      <c r="H510">
        <f t="shared" si="39"/>
        <v>397.7065287109221</v>
      </c>
      <c r="I510" s="3">
        <v>1922.1666666666599</v>
      </c>
      <c r="J510" s="3">
        <v>0</v>
      </c>
      <c r="K510" s="3">
        <v>-48.268618131953502</v>
      </c>
    </row>
    <row r="511" spans="1:11" ht="18" x14ac:dyDescent="0.25">
      <c r="A511" s="3">
        <v>1995.25</v>
      </c>
      <c r="B511" s="3">
        <f t="shared" si="35"/>
        <v>-174.72944297082228</v>
      </c>
      <c r="C511" s="3">
        <f t="shared" si="36"/>
        <v>-196.16170963374273</v>
      </c>
      <c r="D511" s="3">
        <f t="shared" si="37"/>
        <v>-174.72944297082228</v>
      </c>
      <c r="E511" s="3">
        <f t="shared" si="38"/>
        <v>-221.07919870525632</v>
      </c>
      <c r="F511" s="3">
        <v>-110</v>
      </c>
      <c r="G511" s="3">
        <v>-155.45004947219499</v>
      </c>
      <c r="H511">
        <f t="shared" si="39"/>
        <v>459.34205431053147</v>
      </c>
      <c r="I511" s="3">
        <v>1922.25</v>
      </c>
      <c r="J511" s="3">
        <v>0</v>
      </c>
      <c r="K511" s="3">
        <v>-89.240958780536204</v>
      </c>
    </row>
    <row r="512" spans="1:11" ht="18" x14ac:dyDescent="0.25">
      <c r="A512" s="3">
        <v>1995.3333333333301</v>
      </c>
      <c r="B512" s="3">
        <f t="shared" si="35"/>
        <v>-174.72944297082228</v>
      </c>
      <c r="C512" s="3">
        <f t="shared" si="36"/>
        <v>-189.11076329322469</v>
      </c>
      <c r="D512" s="3">
        <f t="shared" si="37"/>
        <v>-174.72944297082228</v>
      </c>
      <c r="E512" s="3">
        <f t="shared" si="38"/>
        <v>-201.44451229049531</v>
      </c>
      <c r="F512" s="3">
        <v>-110</v>
      </c>
      <c r="G512" s="3">
        <v>-135.81536305743401</v>
      </c>
      <c r="H512">
        <f t="shared" si="39"/>
        <v>206.82237421554476</v>
      </c>
      <c r="I512" s="3">
        <v>1922.3333333333301</v>
      </c>
      <c r="J512" s="3">
        <v>0</v>
      </c>
      <c r="K512" s="3">
        <v>-105.027996326571</v>
      </c>
    </row>
    <row r="513" spans="1:11" ht="18" x14ac:dyDescent="0.25">
      <c r="A513" s="3">
        <v>1995.4166666666599</v>
      </c>
      <c r="B513" s="3">
        <f t="shared" si="35"/>
        <v>-215.72944297082228</v>
      </c>
      <c r="C513" s="3">
        <f t="shared" si="36"/>
        <v>-164.40527003290251</v>
      </c>
      <c r="D513" s="3">
        <f t="shared" si="37"/>
        <v>-215.72944297082228</v>
      </c>
      <c r="E513" s="3">
        <f t="shared" si="38"/>
        <v>-146.9007836644534</v>
      </c>
      <c r="F513" s="3">
        <v>-151</v>
      </c>
      <c r="G513" s="3">
        <v>-81.271634431392101</v>
      </c>
      <c r="H513">
        <f t="shared" si="39"/>
        <v>2634.170727761496</v>
      </c>
      <c r="I513" s="3">
        <v>1922.4166666666599</v>
      </c>
      <c r="J513" s="3">
        <v>0</v>
      </c>
      <c r="K513" s="3">
        <v>-65.142787968519201</v>
      </c>
    </row>
    <row r="514" spans="1:11" ht="18" x14ac:dyDescent="0.25">
      <c r="A514" s="3">
        <v>1995.5</v>
      </c>
      <c r="B514" s="3">
        <f t="shared" si="35"/>
        <v>-215.72944297082228</v>
      </c>
      <c r="C514" s="3">
        <f t="shared" si="36"/>
        <v>-128.04008579420423</v>
      </c>
      <c r="D514" s="3">
        <f t="shared" si="37"/>
        <v>-215.72944297082228</v>
      </c>
      <c r="E514" s="3">
        <f t="shared" si="38"/>
        <v>-92.469352546689109</v>
      </c>
      <c r="F514" s="3">
        <v>-151</v>
      </c>
      <c r="G514" s="3">
        <v>-26.8402033136278</v>
      </c>
      <c r="H514">
        <f t="shared" si="39"/>
        <v>7689.4233620484947</v>
      </c>
      <c r="I514" s="3">
        <v>1922.5</v>
      </c>
      <c r="J514" s="3">
        <v>0</v>
      </c>
      <c r="K514" s="3">
        <v>-19.288257805332702</v>
      </c>
    </row>
    <row r="515" spans="1:11" ht="18" x14ac:dyDescent="0.25">
      <c r="A515" s="3">
        <v>1995.5833333333301</v>
      </c>
      <c r="B515" s="3">
        <f t="shared" si="35"/>
        <v>-189.72944297082228</v>
      </c>
      <c r="C515" s="3">
        <f t="shared" si="36"/>
        <v>-98.138224276924291</v>
      </c>
      <c r="D515" s="3">
        <f t="shared" si="37"/>
        <v>-189.72944297082228</v>
      </c>
      <c r="E515" s="3">
        <f t="shared" si="38"/>
        <v>-61.221528448447764</v>
      </c>
      <c r="F515" s="3">
        <v>-125</v>
      </c>
      <c r="G515" s="3">
        <v>4.4076207846135498</v>
      </c>
      <c r="H515">
        <f t="shared" si="39"/>
        <v>8388.9513418334482</v>
      </c>
      <c r="I515" s="3">
        <v>1922.5833333333301</v>
      </c>
      <c r="J515" s="3">
        <v>0</v>
      </c>
      <c r="K515" s="3">
        <v>2.9860148949419401</v>
      </c>
    </row>
    <row r="516" spans="1:11" ht="18" x14ac:dyDescent="0.25">
      <c r="A516" s="3">
        <v>1995.6666666666599</v>
      </c>
      <c r="B516" s="3">
        <f t="shared" si="35"/>
        <v>-136.72944297082228</v>
      </c>
      <c r="C516" s="3">
        <f t="shared" si="36"/>
        <v>-60.438966539173933</v>
      </c>
      <c r="D516" s="3">
        <f t="shared" si="37"/>
        <v>-136.72944297082228</v>
      </c>
      <c r="E516" s="3">
        <f t="shared" si="38"/>
        <v>-32.178170992090813</v>
      </c>
      <c r="F516" s="3">
        <v>-72</v>
      </c>
      <c r="G516" s="3">
        <v>33.4509782409705</v>
      </c>
      <c r="H516">
        <f t="shared" si="39"/>
        <v>5820.2367941678913</v>
      </c>
      <c r="I516" s="3">
        <v>1922.6666666666599</v>
      </c>
      <c r="J516" s="3">
        <v>0</v>
      </c>
      <c r="K516" s="3">
        <v>23.061271934829499</v>
      </c>
    </row>
    <row r="517" spans="1:11" ht="18" x14ac:dyDescent="0.25">
      <c r="A517" s="3">
        <v>1995.75</v>
      </c>
      <c r="B517" s="3">
        <f t="shared" si="35"/>
        <v>-98.729442970822276</v>
      </c>
      <c r="C517" s="3">
        <f t="shared" si="36"/>
        <v>-8.2030340681574518</v>
      </c>
      <c r="D517" s="3">
        <f t="shared" si="37"/>
        <v>-98.729442970822276</v>
      </c>
      <c r="E517" s="3">
        <f t="shared" si="38"/>
        <v>-3.6302134198281095</v>
      </c>
      <c r="F517" s="3">
        <v>-34</v>
      </c>
      <c r="G517" s="3">
        <v>61.998935813233203</v>
      </c>
      <c r="H517">
        <f t="shared" si="39"/>
        <v>8195.0307088124737</v>
      </c>
      <c r="I517" s="3">
        <v>1922.75</v>
      </c>
      <c r="J517" s="3">
        <v>0</v>
      </c>
      <c r="K517" s="3">
        <v>45.624582213511097</v>
      </c>
    </row>
    <row r="518" spans="1:11" ht="18" x14ac:dyDescent="0.25">
      <c r="A518" s="3">
        <v>1995.8333333333301</v>
      </c>
      <c r="B518" s="3">
        <f t="shared" ref="B518:B581" si="40">+$D518</f>
        <v>-32.729442970822276</v>
      </c>
      <c r="C518" s="3">
        <f t="shared" ref="C518:C581" si="41">$B$1*$E518/(1+$B$3*ABS($E518)^$B$2)</f>
        <v>64.987000562619983</v>
      </c>
      <c r="D518" s="3">
        <f t="shared" ref="D518:D581" si="42">+F518-$F$3</f>
        <v>-32.729442970822276</v>
      </c>
      <c r="E518" s="3">
        <f t="shared" ref="E518:E581" si="43">+$G518-$G$3</f>
        <v>35.222299375077682</v>
      </c>
      <c r="F518" s="3">
        <v>32</v>
      </c>
      <c r="G518" s="3">
        <v>100.85144860813899</v>
      </c>
      <c r="H518">
        <f t="shared" ref="H518:H581" si="44">+(B518-C518)^2</f>
        <v>9548.5033368244094</v>
      </c>
      <c r="I518" s="3">
        <v>1922.8333333333301</v>
      </c>
      <c r="J518" s="3">
        <v>0</v>
      </c>
      <c r="K518" s="3">
        <v>81.277893982568699</v>
      </c>
    </row>
    <row r="519" spans="1:11" ht="18" x14ac:dyDescent="0.25">
      <c r="A519" s="3">
        <v>1995.9166666666599</v>
      </c>
      <c r="B519" s="3">
        <f t="shared" si="40"/>
        <v>66.270557029177724</v>
      </c>
      <c r="C519" s="3">
        <f t="shared" si="41"/>
        <v>118.12002807024425</v>
      </c>
      <c r="D519" s="3">
        <f t="shared" si="42"/>
        <v>66.270557029177724</v>
      </c>
      <c r="E519" s="3">
        <f t="shared" si="43"/>
        <v>81.064792961031699</v>
      </c>
      <c r="F519" s="3">
        <v>131</v>
      </c>
      <c r="G519" s="3">
        <v>146.69394219409301</v>
      </c>
      <c r="H519">
        <f t="shared" si="44"/>
        <v>2688.3676472383959</v>
      </c>
      <c r="I519" s="3">
        <v>1922.9166666666599</v>
      </c>
      <c r="J519" s="3">
        <v>0</v>
      </c>
      <c r="K519" s="3">
        <v>120.43176680930399</v>
      </c>
    </row>
    <row r="520" spans="1:11" ht="18" x14ac:dyDescent="0.25">
      <c r="A520" s="3">
        <v>1996</v>
      </c>
      <c r="B520" s="3">
        <f t="shared" si="40"/>
        <v>104.27055702917772</v>
      </c>
      <c r="C520" s="3">
        <f t="shared" si="41"/>
        <v>128.52852112828481</v>
      </c>
      <c r="D520" s="3">
        <f t="shared" si="42"/>
        <v>104.27055702917772</v>
      </c>
      <c r="E520" s="3">
        <f t="shared" si="43"/>
        <v>93.061779074312696</v>
      </c>
      <c r="F520" s="3">
        <v>169</v>
      </c>
      <c r="G520" s="3">
        <v>158.69092830737401</v>
      </c>
      <c r="H520">
        <f t="shared" si="44"/>
        <v>588.44882223356819</v>
      </c>
      <c r="I520" s="3">
        <v>1923</v>
      </c>
      <c r="J520" s="3">
        <v>0</v>
      </c>
      <c r="K520" s="3">
        <v>127.475459342455</v>
      </c>
    </row>
    <row r="521" spans="1:11" ht="18" x14ac:dyDescent="0.25">
      <c r="A521" s="3">
        <v>1996.0833333333301</v>
      </c>
      <c r="B521" s="3">
        <f t="shared" si="40"/>
        <v>118.27055702917772</v>
      </c>
      <c r="C521" s="3">
        <f t="shared" si="41"/>
        <v>120.34389928738578</v>
      </c>
      <c r="D521" s="3">
        <f t="shared" si="42"/>
        <v>118.27055702917772</v>
      </c>
      <c r="E521" s="3">
        <f t="shared" si="43"/>
        <v>83.521750213151691</v>
      </c>
      <c r="F521" s="3">
        <v>183</v>
      </c>
      <c r="G521" s="3">
        <v>149.150899446213</v>
      </c>
      <c r="H521">
        <f t="shared" si="44"/>
        <v>4.2987481196712887</v>
      </c>
      <c r="I521" s="3">
        <v>1923.0833333333301</v>
      </c>
      <c r="J521" s="3">
        <v>0</v>
      </c>
      <c r="K521" s="3">
        <v>125.90092100790601</v>
      </c>
    </row>
    <row r="522" spans="1:11" ht="18" x14ac:dyDescent="0.25">
      <c r="A522" s="3">
        <v>1996.1666666666599</v>
      </c>
      <c r="B522" s="3">
        <f t="shared" si="40"/>
        <v>137.27055702917772</v>
      </c>
      <c r="C522" s="3">
        <f t="shared" si="41"/>
        <v>124.61795864630398</v>
      </c>
      <c r="D522" s="3">
        <f t="shared" si="42"/>
        <v>137.27055702917772</v>
      </c>
      <c r="E522" s="3">
        <f t="shared" si="43"/>
        <v>88.4027040004067</v>
      </c>
      <c r="F522" s="3">
        <v>202</v>
      </c>
      <c r="G522" s="3">
        <v>154.03185323346801</v>
      </c>
      <c r="H522">
        <f t="shared" si="44"/>
        <v>160.08824583829937</v>
      </c>
      <c r="I522" s="3">
        <v>1923.1666666666599</v>
      </c>
      <c r="J522" s="3">
        <v>0</v>
      </c>
      <c r="K522" s="3">
        <v>143.50992482262299</v>
      </c>
    </row>
    <row r="523" spans="1:11" ht="18" x14ac:dyDescent="0.25">
      <c r="A523" s="3">
        <v>1996.25</v>
      </c>
      <c r="B523" s="3">
        <f t="shared" si="40"/>
        <v>174.27055702917772</v>
      </c>
      <c r="C523" s="3">
        <f t="shared" si="41"/>
        <v>138.86349900038266</v>
      </c>
      <c r="D523" s="3">
        <f t="shared" si="42"/>
        <v>174.27055702917772</v>
      </c>
      <c r="E523" s="3">
        <f t="shared" si="43"/>
        <v>106.3558640366327</v>
      </c>
      <c r="F523" s="3">
        <v>239</v>
      </c>
      <c r="G523" s="3">
        <v>171.98501326969401</v>
      </c>
      <c r="H523">
        <f t="shared" si="44"/>
        <v>1253.6597582544609</v>
      </c>
      <c r="I523" s="3">
        <v>1923.25</v>
      </c>
      <c r="J523" s="3">
        <v>0</v>
      </c>
      <c r="K523" s="3">
        <v>161.31246731274899</v>
      </c>
    </row>
    <row r="524" spans="1:11" ht="18" x14ac:dyDescent="0.25">
      <c r="A524" s="3">
        <v>1996.3333333333301</v>
      </c>
      <c r="B524" s="3">
        <f t="shared" si="40"/>
        <v>212.27055702917772</v>
      </c>
      <c r="C524" s="3">
        <f t="shared" si="41"/>
        <v>164.10832581668413</v>
      </c>
      <c r="D524" s="3">
        <f t="shared" si="42"/>
        <v>212.27055702917772</v>
      </c>
      <c r="E524" s="3">
        <f t="shared" si="43"/>
        <v>146.35193221337767</v>
      </c>
      <c r="F524" s="3">
        <v>277</v>
      </c>
      <c r="G524" s="3">
        <v>211.98108144643899</v>
      </c>
      <c r="H524">
        <f t="shared" si="44"/>
        <v>2319.600515365692</v>
      </c>
      <c r="I524" s="3">
        <v>1923.3333333333301</v>
      </c>
      <c r="J524" s="3">
        <v>0</v>
      </c>
      <c r="K524" s="3">
        <v>182.43973869262501</v>
      </c>
    </row>
    <row r="525" spans="1:11" ht="18" x14ac:dyDescent="0.25">
      <c r="A525" s="3">
        <v>1996.4166666666599</v>
      </c>
      <c r="B525" s="3">
        <f t="shared" si="40"/>
        <v>242.27055702917772</v>
      </c>
      <c r="C525" s="3">
        <f t="shared" si="41"/>
        <v>184.05168730934739</v>
      </c>
      <c r="D525" s="3">
        <f t="shared" si="42"/>
        <v>242.27055702917772</v>
      </c>
      <c r="E525" s="3">
        <f t="shared" si="43"/>
        <v>188.63323233085367</v>
      </c>
      <c r="F525" s="3">
        <v>307</v>
      </c>
      <c r="G525" s="3">
        <v>254.262381563915</v>
      </c>
      <c r="H525">
        <f t="shared" si="44"/>
        <v>3389.4367914545778</v>
      </c>
      <c r="I525" s="3">
        <v>1923.4166666666599</v>
      </c>
      <c r="J525" s="3">
        <v>0</v>
      </c>
      <c r="K525" s="3">
        <v>199.39341354398999</v>
      </c>
    </row>
    <row r="526" spans="1:11" ht="18" x14ac:dyDescent="0.25">
      <c r="A526" s="3">
        <v>1996.5</v>
      </c>
      <c r="B526" s="3">
        <f t="shared" si="40"/>
        <v>260.27055702917772</v>
      </c>
      <c r="C526" s="3">
        <f t="shared" si="41"/>
        <v>182.24759870923708</v>
      </c>
      <c r="D526" s="3">
        <f t="shared" si="42"/>
        <v>260.27055702917772</v>
      </c>
      <c r="E526" s="3">
        <f t="shared" si="43"/>
        <v>184.29618151543571</v>
      </c>
      <c r="F526" s="3">
        <v>325</v>
      </c>
      <c r="G526" s="3">
        <v>249.925330748497</v>
      </c>
      <c r="H526">
        <f t="shared" si="44"/>
        <v>6087.5820249951948</v>
      </c>
      <c r="I526" s="3">
        <v>1923.5</v>
      </c>
      <c r="J526" s="3">
        <v>0</v>
      </c>
      <c r="K526" s="3">
        <v>188.08509526643499</v>
      </c>
    </row>
    <row r="527" spans="1:11" ht="18" x14ac:dyDescent="0.25">
      <c r="A527" s="3">
        <v>1996.5833333333301</v>
      </c>
      <c r="B527" s="3">
        <f t="shared" si="40"/>
        <v>265.27055702917772</v>
      </c>
      <c r="C527" s="3">
        <f t="shared" si="41"/>
        <v>168.05480969625333</v>
      </c>
      <c r="D527" s="3">
        <f t="shared" si="42"/>
        <v>265.27055702917772</v>
      </c>
      <c r="E527" s="3">
        <f t="shared" si="43"/>
        <v>153.82425773636169</v>
      </c>
      <c r="F527" s="3">
        <v>330</v>
      </c>
      <c r="G527" s="3">
        <v>219.45340696942301</v>
      </c>
      <c r="H527">
        <f t="shared" si="44"/>
        <v>9450.9015294989968</v>
      </c>
      <c r="I527" s="3">
        <v>1923.5833333333301</v>
      </c>
      <c r="J527" s="3">
        <v>0</v>
      </c>
      <c r="K527" s="3">
        <v>175.946466634827</v>
      </c>
    </row>
    <row r="528" spans="1:11" ht="18" x14ac:dyDescent="0.25">
      <c r="A528" s="3">
        <v>1996.6666666666599</v>
      </c>
      <c r="B528" s="3">
        <f t="shared" si="40"/>
        <v>281.27055702917772</v>
      </c>
      <c r="C528" s="3">
        <f t="shared" si="41"/>
        <v>155.34352273947798</v>
      </c>
      <c r="D528" s="3">
        <f t="shared" si="42"/>
        <v>281.27055702917772</v>
      </c>
      <c r="E528" s="3">
        <f t="shared" si="43"/>
        <v>131.0559514241167</v>
      </c>
      <c r="F528" s="3">
        <v>346</v>
      </c>
      <c r="G528" s="3">
        <v>196.685100657178</v>
      </c>
      <c r="H528">
        <f t="shared" si="44"/>
        <v>15857.617964999215</v>
      </c>
      <c r="I528" s="3">
        <v>1923.6666666666599</v>
      </c>
      <c r="J528" s="3">
        <v>0</v>
      </c>
      <c r="K528" s="3">
        <v>174.97493782646799</v>
      </c>
    </row>
    <row r="529" spans="1:11" ht="18" x14ac:dyDescent="0.25">
      <c r="A529" s="3">
        <v>1996.75</v>
      </c>
      <c r="B529" s="3">
        <f t="shared" si="40"/>
        <v>284.27055702917772</v>
      </c>
      <c r="C529" s="3">
        <f t="shared" si="41"/>
        <v>138.44651148894221</v>
      </c>
      <c r="D529" s="3">
        <f t="shared" si="42"/>
        <v>284.27055702917772</v>
      </c>
      <c r="E529" s="3">
        <f t="shared" si="43"/>
        <v>105.7898047684957</v>
      </c>
      <c r="F529" s="3">
        <v>349</v>
      </c>
      <c r="G529" s="3">
        <v>171.41895400155701</v>
      </c>
      <c r="H529">
        <f t="shared" si="44"/>
        <v>21264.652257720682</v>
      </c>
      <c r="I529" s="3">
        <v>1923.75</v>
      </c>
      <c r="J529" s="3">
        <v>0</v>
      </c>
      <c r="K529" s="3">
        <v>159.70335866233401</v>
      </c>
    </row>
    <row r="530" spans="1:11" ht="18" x14ac:dyDescent="0.25">
      <c r="A530" s="3">
        <v>1996.8333333333301</v>
      </c>
      <c r="B530" s="3">
        <f t="shared" si="40"/>
        <v>284.27055702917772</v>
      </c>
      <c r="C530" s="3">
        <f t="shared" si="41"/>
        <v>109.94519968050255</v>
      </c>
      <c r="D530" s="3">
        <f t="shared" si="42"/>
        <v>284.27055702917772</v>
      </c>
      <c r="E530" s="3">
        <f t="shared" si="43"/>
        <v>72.485244365099689</v>
      </c>
      <c r="F530" s="3">
        <v>349</v>
      </c>
      <c r="G530" s="3">
        <v>138.114393598161</v>
      </c>
      <c r="H530">
        <f t="shared" si="44"/>
        <v>30389.330214743295</v>
      </c>
      <c r="I530" s="3">
        <v>1923.8333333333301</v>
      </c>
      <c r="J530" s="3">
        <v>0</v>
      </c>
      <c r="K530" s="3">
        <v>131.76135594448499</v>
      </c>
    </row>
    <row r="531" spans="1:11" ht="18" x14ac:dyDescent="0.25">
      <c r="A531" s="3">
        <v>1996.9166666666599</v>
      </c>
      <c r="B531" s="3">
        <f t="shared" si="40"/>
        <v>219.27055702917772</v>
      </c>
      <c r="C531" s="3">
        <f t="shared" si="41"/>
        <v>25.881147393142744</v>
      </c>
      <c r="D531" s="3">
        <f t="shared" si="42"/>
        <v>219.27055702917772</v>
      </c>
      <c r="E531" s="3">
        <f t="shared" si="43"/>
        <v>12.147460655126793</v>
      </c>
      <c r="F531" s="3">
        <v>284</v>
      </c>
      <c r="G531" s="3">
        <v>77.776609888188105</v>
      </c>
      <c r="H531">
        <f t="shared" si="44"/>
        <v>37399.463759374135</v>
      </c>
      <c r="I531" s="3">
        <v>1923.9166666666599</v>
      </c>
      <c r="J531" s="3">
        <v>0</v>
      </c>
      <c r="K531" s="3">
        <v>85.019590235807797</v>
      </c>
    </row>
    <row r="532" spans="1:11" ht="18" x14ac:dyDescent="0.25">
      <c r="A532" s="3">
        <v>1997</v>
      </c>
      <c r="B532" s="3">
        <f t="shared" si="40"/>
        <v>-8.7294429708222765</v>
      </c>
      <c r="C532" s="3">
        <f t="shared" si="41"/>
        <v>-112.46752737333834</v>
      </c>
      <c r="D532" s="3">
        <f t="shared" si="42"/>
        <v>-8.7294429708222765</v>
      </c>
      <c r="E532" s="3">
        <f t="shared" si="43"/>
        <v>-75.059533228436138</v>
      </c>
      <c r="F532" s="3">
        <v>56</v>
      </c>
      <c r="G532" s="3">
        <v>-9.4303839953748199</v>
      </c>
      <c r="H532">
        <f t="shared" si="44"/>
        <v>10761.590155503547</v>
      </c>
      <c r="I532" s="3">
        <v>1924</v>
      </c>
      <c r="J532" s="3">
        <v>0</v>
      </c>
      <c r="K532" s="3">
        <v>21.4321235855768</v>
      </c>
    </row>
    <row r="533" spans="1:11" ht="18" x14ac:dyDescent="0.25">
      <c r="A533" s="3">
        <v>1997.0833333333301</v>
      </c>
      <c r="B533" s="3">
        <f t="shared" si="40"/>
        <v>-86.729442970822276</v>
      </c>
      <c r="C533" s="3">
        <f t="shared" si="41"/>
        <v>-156.57110198051208</v>
      </c>
      <c r="D533" s="3">
        <f t="shared" si="42"/>
        <v>-86.729442970822276</v>
      </c>
      <c r="E533" s="3">
        <f t="shared" si="43"/>
        <v>-133.09805113912591</v>
      </c>
      <c r="F533" s="3">
        <v>-22</v>
      </c>
      <c r="G533" s="3">
        <v>-67.468901906064602</v>
      </c>
      <c r="H533">
        <f t="shared" si="44"/>
        <v>4877.8573332257856</v>
      </c>
      <c r="I533" s="3">
        <v>1924.0833333333301</v>
      </c>
      <c r="J533" s="3">
        <v>0</v>
      </c>
      <c r="K533" s="3">
        <v>-23.8553852610797</v>
      </c>
    </row>
    <row r="534" spans="1:11" ht="18" x14ac:dyDescent="0.25">
      <c r="A534" s="3">
        <v>1997.1666666666599</v>
      </c>
      <c r="B534" s="3">
        <f t="shared" si="40"/>
        <v>-164.72944297082228</v>
      </c>
      <c r="C534" s="3">
        <f t="shared" si="41"/>
        <v>-168.08443521278366</v>
      </c>
      <c r="D534" s="3">
        <f t="shared" si="42"/>
        <v>-164.72944297082228</v>
      </c>
      <c r="E534" s="3">
        <f t="shared" si="43"/>
        <v>-153.88184194627291</v>
      </c>
      <c r="F534" s="3">
        <v>-100</v>
      </c>
      <c r="G534" s="3">
        <v>-88.252692713211601</v>
      </c>
      <c r="H534">
        <f t="shared" si="44"/>
        <v>11.255972943621071</v>
      </c>
      <c r="I534" s="3">
        <v>1924.1666666666599</v>
      </c>
      <c r="J534" s="3">
        <v>0</v>
      </c>
      <c r="K534" s="3">
        <v>-64.409051664487905</v>
      </c>
    </row>
    <row r="535" spans="1:11" ht="18" x14ac:dyDescent="0.25">
      <c r="A535" s="3">
        <v>1997.25</v>
      </c>
      <c r="B535" s="3">
        <f t="shared" si="40"/>
        <v>-170.72944297082228</v>
      </c>
      <c r="C535" s="3">
        <f t="shared" si="41"/>
        <v>-174.5685890779242</v>
      </c>
      <c r="D535" s="3">
        <f t="shared" si="42"/>
        <v>-170.72944297082228</v>
      </c>
      <c r="E535" s="3">
        <f t="shared" si="43"/>
        <v>-167.05896481799931</v>
      </c>
      <c r="F535" s="3">
        <v>-106</v>
      </c>
      <c r="G535" s="3">
        <v>-101.429815584938</v>
      </c>
      <c r="H535">
        <f t="shared" si="44"/>
        <v>14.739042831675865</v>
      </c>
      <c r="I535" s="3">
        <v>1924.25</v>
      </c>
      <c r="J535" s="3">
        <v>0</v>
      </c>
      <c r="K535" s="3">
        <v>-117.471546948015</v>
      </c>
    </row>
    <row r="536" spans="1:11" ht="18" x14ac:dyDescent="0.25">
      <c r="A536" s="3">
        <v>1997.3333333333301</v>
      </c>
      <c r="B536" s="3">
        <f t="shared" si="40"/>
        <v>-215.72944297082228</v>
      </c>
      <c r="C536" s="3">
        <f t="shared" si="41"/>
        <v>-172.51863936315513</v>
      </c>
      <c r="D536" s="3">
        <f t="shared" si="42"/>
        <v>-215.72944297082228</v>
      </c>
      <c r="E536" s="3">
        <f t="shared" si="43"/>
        <v>-162.76579820928549</v>
      </c>
      <c r="F536" s="3">
        <v>-151</v>
      </c>
      <c r="G536" s="3">
        <v>-97.136648976224194</v>
      </c>
      <c r="H536">
        <f t="shared" si="44"/>
        <v>1867.17354842038</v>
      </c>
      <c r="I536" s="3">
        <v>1924.3333333333301</v>
      </c>
      <c r="J536" s="3">
        <v>0</v>
      </c>
      <c r="K536" s="3">
        <v>-141.727165411589</v>
      </c>
    </row>
    <row r="537" spans="1:11" ht="18" x14ac:dyDescent="0.25">
      <c r="A537" s="3">
        <v>1997.4166666666599</v>
      </c>
      <c r="B537" s="3">
        <f t="shared" si="40"/>
        <v>-215.72944297082228</v>
      </c>
      <c r="C537" s="3">
        <f t="shared" si="41"/>
        <v>-166.56017788880231</v>
      </c>
      <c r="D537" s="3">
        <f t="shared" si="42"/>
        <v>-215.72944297082228</v>
      </c>
      <c r="E537" s="3">
        <f t="shared" si="43"/>
        <v>-150.94838853582502</v>
      </c>
      <c r="F537" s="3">
        <v>-151</v>
      </c>
      <c r="G537" s="3">
        <v>-85.319239302763705</v>
      </c>
      <c r="H537">
        <f t="shared" si="44"/>
        <v>2417.6166287059473</v>
      </c>
      <c r="I537" s="3">
        <v>1924.4166666666599</v>
      </c>
      <c r="J537" s="3">
        <v>0</v>
      </c>
      <c r="K537" s="3">
        <v>-129.05919817318801</v>
      </c>
    </row>
    <row r="538" spans="1:11" ht="18" x14ac:dyDescent="0.25">
      <c r="A538" s="3">
        <v>1997.5</v>
      </c>
      <c r="B538" s="3">
        <f t="shared" si="40"/>
        <v>-215.72944297082228</v>
      </c>
      <c r="C538" s="3">
        <f t="shared" si="41"/>
        <v>-165.83035136716259</v>
      </c>
      <c r="D538" s="3">
        <f t="shared" si="42"/>
        <v>-215.72944297082228</v>
      </c>
      <c r="E538" s="3">
        <f t="shared" si="43"/>
        <v>-149.56467660860329</v>
      </c>
      <c r="F538" s="3">
        <v>-151</v>
      </c>
      <c r="G538" s="3">
        <v>-83.935527375541994</v>
      </c>
      <c r="H538">
        <f t="shared" si="44"/>
        <v>2489.9193428704202</v>
      </c>
      <c r="I538" s="3">
        <v>1924.5</v>
      </c>
      <c r="J538" s="3">
        <v>0</v>
      </c>
      <c r="K538" s="3">
        <v>-101.581290189803</v>
      </c>
    </row>
    <row r="539" spans="1:11" ht="18" x14ac:dyDescent="0.25">
      <c r="A539" s="3">
        <v>1997.5833333333301</v>
      </c>
      <c r="B539" s="3">
        <f t="shared" si="40"/>
        <v>-205.72944297082228</v>
      </c>
      <c r="C539" s="3">
        <f t="shared" si="41"/>
        <v>-162.30405717895783</v>
      </c>
      <c r="D539" s="3">
        <f t="shared" si="42"/>
        <v>-205.72944297082228</v>
      </c>
      <c r="E539" s="3">
        <f t="shared" si="43"/>
        <v>-143.0621426576285</v>
      </c>
      <c r="F539" s="3">
        <v>-141</v>
      </c>
      <c r="G539" s="3">
        <v>-77.432993424567201</v>
      </c>
      <c r="H539">
        <f t="shared" si="44"/>
        <v>1885.7641311722623</v>
      </c>
      <c r="I539" s="3">
        <v>1924.5833333333301</v>
      </c>
      <c r="J539" s="3">
        <v>0</v>
      </c>
      <c r="K539" s="3">
        <v>-66.712318367474893</v>
      </c>
    </row>
    <row r="540" spans="1:11" ht="18" x14ac:dyDescent="0.25">
      <c r="A540" s="3">
        <v>1997.6666666666599</v>
      </c>
      <c r="B540" s="3">
        <f t="shared" si="40"/>
        <v>-178.72944297082228</v>
      </c>
      <c r="C540" s="3">
        <f t="shared" si="41"/>
        <v>-158.51230531644313</v>
      </c>
      <c r="D540" s="3">
        <f t="shared" si="42"/>
        <v>-178.72944297082228</v>
      </c>
      <c r="E540" s="3">
        <f t="shared" si="43"/>
        <v>-136.39156402707582</v>
      </c>
      <c r="F540" s="3">
        <v>-114</v>
      </c>
      <c r="G540" s="3">
        <v>-70.762414794014504</v>
      </c>
      <c r="H540">
        <f t="shared" si="44"/>
        <v>408.73265493611501</v>
      </c>
      <c r="I540" s="3">
        <v>1924.6666666666599</v>
      </c>
      <c r="J540" s="3">
        <v>0</v>
      </c>
      <c r="K540" s="3">
        <v>-47.7788016792774</v>
      </c>
    </row>
    <row r="541" spans="1:11" ht="18" x14ac:dyDescent="0.25">
      <c r="A541" s="3">
        <v>1997.75</v>
      </c>
      <c r="B541" s="3">
        <f t="shared" si="40"/>
        <v>-161.72944297082228</v>
      </c>
      <c r="C541" s="3">
        <f t="shared" si="41"/>
        <v>-149.47860457872318</v>
      </c>
      <c r="D541" s="3">
        <f t="shared" si="42"/>
        <v>-161.72944297082228</v>
      </c>
      <c r="E541" s="3">
        <f t="shared" si="43"/>
        <v>-121.7109395571926</v>
      </c>
      <c r="F541" s="3">
        <v>-97</v>
      </c>
      <c r="G541" s="3">
        <v>-56.081790324131298</v>
      </c>
      <c r="H541">
        <f t="shared" si="44"/>
        <v>150.08304130932922</v>
      </c>
      <c r="I541" s="3">
        <v>1924.75</v>
      </c>
      <c r="J541" s="3">
        <v>0</v>
      </c>
      <c r="K541" s="3">
        <v>-36.011180128845602</v>
      </c>
    </row>
    <row r="542" spans="1:11" ht="18" x14ac:dyDescent="0.25">
      <c r="A542" s="3">
        <v>1997.8333333333301</v>
      </c>
      <c r="B542" s="3">
        <f t="shared" si="40"/>
        <v>-139.72944297082228</v>
      </c>
      <c r="C542" s="3">
        <f t="shared" si="41"/>
        <v>-108.23291088351466</v>
      </c>
      <c r="D542" s="3">
        <f t="shared" si="42"/>
        <v>-139.72944297082228</v>
      </c>
      <c r="E542" s="3">
        <f t="shared" si="43"/>
        <v>-70.773013112116729</v>
      </c>
      <c r="F542" s="3">
        <v>-75</v>
      </c>
      <c r="G542" s="3">
        <v>-5.1438638790554103</v>
      </c>
      <c r="H542">
        <f t="shared" si="44"/>
        <v>992.03153352679806</v>
      </c>
      <c r="I542" s="3">
        <v>1924.8333333333301</v>
      </c>
      <c r="J542" s="3">
        <v>0</v>
      </c>
      <c r="K542" s="3">
        <v>-1.63866243311132</v>
      </c>
    </row>
    <row r="543" spans="1:11" ht="18" x14ac:dyDescent="0.25">
      <c r="A543" s="3">
        <v>1997.9166666666599</v>
      </c>
      <c r="B543" s="3">
        <f t="shared" si="40"/>
        <v>-79.729442970822276</v>
      </c>
      <c r="C543" s="3">
        <f t="shared" si="41"/>
        <v>-27.087570580584888</v>
      </c>
      <c r="D543" s="3">
        <f t="shared" si="42"/>
        <v>-79.729442970822276</v>
      </c>
      <c r="E543" s="3">
        <f t="shared" si="43"/>
        <v>-12.766483393496415</v>
      </c>
      <c r="F543" s="3">
        <v>-15</v>
      </c>
      <c r="G543" s="3">
        <v>52.862665839564897</v>
      </c>
      <c r="H543">
        <f t="shared" si="44"/>
        <v>2771.1667287500372</v>
      </c>
      <c r="I543" s="3">
        <v>1924.9166666666599</v>
      </c>
      <c r="J543" s="3">
        <v>0</v>
      </c>
      <c r="K543" s="3">
        <v>28.087471824312299</v>
      </c>
    </row>
    <row r="544" spans="1:11" ht="18" x14ac:dyDescent="0.25">
      <c r="A544" s="3">
        <v>1998</v>
      </c>
      <c r="B544" s="3">
        <f t="shared" si="40"/>
        <v>-15.729442970822276</v>
      </c>
      <c r="C544" s="3">
        <f t="shared" si="41"/>
        <v>46.009639000340442</v>
      </c>
      <c r="D544" s="3">
        <f t="shared" si="42"/>
        <v>-15.729442970822276</v>
      </c>
      <c r="E544" s="3">
        <f t="shared" si="43"/>
        <v>23.194850530761187</v>
      </c>
      <c r="F544" s="3">
        <v>49</v>
      </c>
      <c r="G544" s="3">
        <v>88.823999763822499</v>
      </c>
      <c r="H544">
        <f t="shared" si="44"/>
        <v>3811.7142426419496</v>
      </c>
      <c r="I544" s="3">
        <v>1925</v>
      </c>
      <c r="J544" s="3">
        <v>0</v>
      </c>
      <c r="K544" s="3">
        <v>41.623243534984098</v>
      </c>
    </row>
    <row r="545" spans="1:11" ht="18" x14ac:dyDescent="0.25">
      <c r="A545" s="3">
        <v>1998.0833333333301</v>
      </c>
      <c r="B545" s="3">
        <f t="shared" si="40"/>
        <v>-14.729442970822276</v>
      </c>
      <c r="C545" s="3">
        <f t="shared" si="41"/>
        <v>75.433933166573311</v>
      </c>
      <c r="D545" s="3">
        <f t="shared" si="42"/>
        <v>-14.729442970822276</v>
      </c>
      <c r="E545" s="3">
        <f t="shared" si="43"/>
        <v>42.64754884615769</v>
      </c>
      <c r="F545" s="3">
        <v>50</v>
      </c>
      <c r="G545" s="3">
        <v>108.276698079219</v>
      </c>
      <c r="H545">
        <f t="shared" si="44"/>
        <v>8129.434396493476</v>
      </c>
      <c r="I545" s="3">
        <v>1925.0833333333301</v>
      </c>
      <c r="J545" s="3">
        <v>0</v>
      </c>
      <c r="K545" s="3">
        <v>66.242460300283398</v>
      </c>
    </row>
    <row r="546" spans="1:11" ht="18" x14ac:dyDescent="0.25">
      <c r="A546" s="3">
        <v>1998.1666666666599</v>
      </c>
      <c r="B546" s="3">
        <f t="shared" si="40"/>
        <v>-7.7294429708222765</v>
      </c>
      <c r="C546" s="3">
        <f t="shared" si="41"/>
        <v>66.353730672875415</v>
      </c>
      <c r="D546" s="3">
        <f t="shared" si="42"/>
        <v>-7.7294429708222765</v>
      </c>
      <c r="E546" s="3">
        <f t="shared" si="43"/>
        <v>36.158619132176682</v>
      </c>
      <c r="F546" s="3">
        <v>57</v>
      </c>
      <c r="G546" s="3">
        <v>101.78776836523799</v>
      </c>
      <c r="H546">
        <f t="shared" si="44"/>
        <v>5488.3166171222638</v>
      </c>
      <c r="I546" s="3">
        <v>1925.1666666666599</v>
      </c>
      <c r="J546" s="3">
        <v>0</v>
      </c>
      <c r="K546" s="3">
        <v>102.035156229309</v>
      </c>
    </row>
    <row r="547" spans="1:11" ht="18" x14ac:dyDescent="0.25">
      <c r="A547" s="3">
        <v>1998.25</v>
      </c>
      <c r="B547" s="3">
        <f t="shared" si="40"/>
        <v>62.270557029177724</v>
      </c>
      <c r="C547" s="3">
        <f t="shared" si="41"/>
        <v>61.597911544217233</v>
      </c>
      <c r="D547" s="3">
        <f t="shared" si="42"/>
        <v>62.270557029177724</v>
      </c>
      <c r="E547" s="3">
        <f t="shared" si="43"/>
        <v>32.943619898430185</v>
      </c>
      <c r="F547" s="3">
        <v>127</v>
      </c>
      <c r="G547" s="3">
        <v>98.572769131491498</v>
      </c>
      <c r="H547">
        <f t="shared" si="44"/>
        <v>0.45245194843773356</v>
      </c>
      <c r="I547" s="3">
        <v>1925.25</v>
      </c>
      <c r="J547" s="3">
        <v>0</v>
      </c>
      <c r="K547" s="3">
        <v>163.236302811022</v>
      </c>
    </row>
    <row r="548" spans="1:11" ht="18" x14ac:dyDescent="0.25">
      <c r="A548" s="3">
        <v>1998.3333333333301</v>
      </c>
      <c r="B548" s="3">
        <f t="shared" si="40"/>
        <v>188.27055702917772</v>
      </c>
      <c r="C548" s="3">
        <f t="shared" si="41"/>
        <v>112.35627202129687</v>
      </c>
      <c r="D548" s="3">
        <f t="shared" si="42"/>
        <v>188.27055702917772</v>
      </c>
      <c r="E548" s="3">
        <f t="shared" si="43"/>
        <v>74.94465263317268</v>
      </c>
      <c r="F548" s="3">
        <v>253</v>
      </c>
      <c r="G548" s="3">
        <v>140.57380186623399</v>
      </c>
      <c r="H548">
        <f t="shared" si="44"/>
        <v>5762.9786682577633</v>
      </c>
      <c r="I548" s="3">
        <v>1925.3333333333301</v>
      </c>
      <c r="J548" s="3">
        <v>0</v>
      </c>
      <c r="K548" s="3">
        <v>254.32021068532501</v>
      </c>
    </row>
    <row r="549" spans="1:11" ht="18" x14ac:dyDescent="0.25">
      <c r="A549" s="3">
        <v>1998.4166666666599</v>
      </c>
      <c r="B549" s="3">
        <f t="shared" si="40"/>
        <v>215.27055702917772</v>
      </c>
      <c r="C549" s="3">
        <f t="shared" si="41"/>
        <v>152.8850830172901</v>
      </c>
      <c r="D549" s="3">
        <f t="shared" si="42"/>
        <v>215.27055702917772</v>
      </c>
      <c r="E549" s="3">
        <f t="shared" si="43"/>
        <v>127.0577655062457</v>
      </c>
      <c r="F549" s="3">
        <v>280</v>
      </c>
      <c r="G549" s="3">
        <v>192.68691473930701</v>
      </c>
      <c r="H549">
        <f t="shared" si="44"/>
        <v>3891.9473676879061</v>
      </c>
      <c r="I549" s="3">
        <v>1925.4166666666599</v>
      </c>
      <c r="J549" s="3">
        <v>0</v>
      </c>
      <c r="K549" s="3">
        <v>319.54746822059502</v>
      </c>
    </row>
    <row r="550" spans="1:11" ht="18" x14ac:dyDescent="0.25">
      <c r="A550" s="3">
        <v>1998.5</v>
      </c>
      <c r="B550" s="3">
        <f t="shared" si="40"/>
        <v>232.27055702917772</v>
      </c>
      <c r="C550" s="3">
        <f t="shared" si="41"/>
        <v>167.1094800534616</v>
      </c>
      <c r="D550" s="3">
        <f t="shared" si="42"/>
        <v>232.27055702917772</v>
      </c>
      <c r="E550" s="3">
        <f t="shared" si="43"/>
        <v>151.9986829970187</v>
      </c>
      <c r="F550" s="3">
        <v>297</v>
      </c>
      <c r="G550" s="3">
        <v>217.62783223008</v>
      </c>
      <c r="H550">
        <f t="shared" si="44"/>
        <v>4245.9659526352025</v>
      </c>
      <c r="I550" s="3">
        <v>1925.5</v>
      </c>
      <c r="J550" s="3">
        <v>0</v>
      </c>
      <c r="K550" s="3">
        <v>336.914745329759</v>
      </c>
    </row>
    <row r="551" spans="1:11" ht="18" x14ac:dyDescent="0.25">
      <c r="A551" s="3">
        <v>1998.5833333333301</v>
      </c>
      <c r="B551" s="3">
        <f t="shared" si="40"/>
        <v>243.27055702917772</v>
      </c>
      <c r="C551" s="3">
        <f t="shared" si="41"/>
        <v>166.40635503383095</v>
      </c>
      <c r="D551" s="3">
        <f t="shared" si="42"/>
        <v>243.27055702917772</v>
      </c>
      <c r="E551" s="3">
        <f t="shared" si="43"/>
        <v>150.6556382168007</v>
      </c>
      <c r="F551" s="3">
        <v>308</v>
      </c>
      <c r="G551" s="3">
        <v>216.28478744986199</v>
      </c>
      <c r="H551">
        <f t="shared" si="44"/>
        <v>5908.1055483814716</v>
      </c>
      <c r="I551" s="3">
        <v>1925.5833333333301</v>
      </c>
      <c r="J551" s="3">
        <v>0</v>
      </c>
      <c r="K551" s="3">
        <v>327.800262141254</v>
      </c>
    </row>
    <row r="552" spans="1:11" ht="18" x14ac:dyDescent="0.25">
      <c r="A552" s="3">
        <v>1998.6666666666599</v>
      </c>
      <c r="B552" s="3">
        <f t="shared" si="40"/>
        <v>246.27055702917772</v>
      </c>
      <c r="C552" s="3">
        <f t="shared" si="41"/>
        <v>155.34059963946257</v>
      </c>
      <c r="D552" s="3">
        <f t="shared" si="42"/>
        <v>246.27055702917772</v>
      </c>
      <c r="E552" s="3">
        <f t="shared" si="43"/>
        <v>131.05112565239267</v>
      </c>
      <c r="F552" s="3">
        <v>311</v>
      </c>
      <c r="G552" s="3">
        <v>196.680274885454</v>
      </c>
      <c r="H552">
        <f t="shared" si="44"/>
        <v>8268.2571508954134</v>
      </c>
      <c r="I552" s="3">
        <v>1925.6666666666599</v>
      </c>
      <c r="J552" s="3">
        <v>0</v>
      </c>
      <c r="K552" s="3">
        <v>303.71530585767601</v>
      </c>
    </row>
    <row r="553" spans="1:11" ht="18" x14ac:dyDescent="0.25">
      <c r="A553" s="3">
        <v>1998.75</v>
      </c>
      <c r="B553" s="3">
        <f t="shared" si="40"/>
        <v>246.27055702917772</v>
      </c>
      <c r="C553" s="3">
        <f t="shared" si="41"/>
        <v>155.3768344554436</v>
      </c>
      <c r="D553" s="3">
        <f t="shared" si="42"/>
        <v>246.27055702917772</v>
      </c>
      <c r="E553" s="3">
        <f t="shared" si="43"/>
        <v>131.11095830864866</v>
      </c>
      <c r="F553" s="3">
        <v>311</v>
      </c>
      <c r="G553" s="3">
        <v>196.74010754170999</v>
      </c>
      <c r="H553">
        <f t="shared" si="44"/>
        <v>8261.668803310944</v>
      </c>
      <c r="I553" s="3">
        <v>1925.75</v>
      </c>
      <c r="J553" s="3">
        <v>0</v>
      </c>
      <c r="K553" s="3">
        <v>288.81786780473902</v>
      </c>
    </row>
    <row r="554" spans="1:11" ht="18" x14ac:dyDescent="0.25">
      <c r="A554" s="3">
        <v>1998.8333333333301</v>
      </c>
      <c r="B554" s="3">
        <f t="shared" si="40"/>
        <v>227.27055702917772</v>
      </c>
      <c r="C554" s="3">
        <f t="shared" si="41"/>
        <v>166.59861551778212</v>
      </c>
      <c r="D554" s="3">
        <f t="shared" si="42"/>
        <v>227.27055702917772</v>
      </c>
      <c r="E554" s="3">
        <f t="shared" si="43"/>
        <v>151.02163478621668</v>
      </c>
      <c r="F554" s="3">
        <v>292</v>
      </c>
      <c r="G554" s="3">
        <v>216.65078401927801</v>
      </c>
      <c r="H554">
        <f t="shared" si="44"/>
        <v>3681.0844867622086</v>
      </c>
      <c r="I554" s="3">
        <v>1925.8333333333301</v>
      </c>
      <c r="J554" s="3">
        <v>0</v>
      </c>
      <c r="K554" s="3">
        <v>268.58059405066098</v>
      </c>
    </row>
    <row r="555" spans="1:11" ht="18" x14ac:dyDescent="0.25">
      <c r="A555" s="3">
        <v>1998.9166666666599</v>
      </c>
      <c r="B555" s="3">
        <f t="shared" si="40"/>
        <v>3.2705570291777235</v>
      </c>
      <c r="C555" s="3">
        <f t="shared" si="41"/>
        <v>155.94865099384208</v>
      </c>
      <c r="D555" s="3">
        <f t="shared" si="42"/>
        <v>3.2705570291777235</v>
      </c>
      <c r="E555" s="3">
        <f t="shared" si="43"/>
        <v>132.05871883064566</v>
      </c>
      <c r="F555" s="3">
        <v>68</v>
      </c>
      <c r="G555" s="3">
        <v>197.68786806370699</v>
      </c>
      <c r="H555">
        <f t="shared" si="44"/>
        <v>23310.60037668288</v>
      </c>
      <c r="I555" s="3">
        <v>1925.9166666666599</v>
      </c>
      <c r="J555" s="3">
        <v>0</v>
      </c>
      <c r="K555" s="3">
        <v>195.807167165777</v>
      </c>
    </row>
    <row r="556" spans="1:11" ht="18" x14ac:dyDescent="0.25">
      <c r="A556" s="3">
        <v>1999</v>
      </c>
      <c r="B556" s="3">
        <f t="shared" si="40"/>
        <v>-134.72944297082228</v>
      </c>
      <c r="C556" s="3">
        <f t="shared" si="41"/>
        <v>113.52139820027151</v>
      </c>
      <c r="D556" s="3">
        <f t="shared" si="42"/>
        <v>-134.72944297082228</v>
      </c>
      <c r="E556" s="3">
        <f t="shared" si="43"/>
        <v>76.153954552508694</v>
      </c>
      <c r="F556" s="3">
        <v>-70</v>
      </c>
      <c r="G556" s="3">
        <v>141.78310378557001</v>
      </c>
      <c r="H556">
        <f t="shared" si="44"/>
        <v>61628.480142155633</v>
      </c>
      <c r="I556" s="3">
        <v>1926</v>
      </c>
      <c r="J556" s="3">
        <v>0</v>
      </c>
      <c r="K556" s="3">
        <v>97.323367366465305</v>
      </c>
    </row>
    <row r="557" spans="1:11" ht="18" x14ac:dyDescent="0.25">
      <c r="A557" s="3">
        <v>1999.0833333333301</v>
      </c>
      <c r="B557" s="3">
        <f t="shared" si="40"/>
        <v>-163.72944297082228</v>
      </c>
      <c r="C557" s="3">
        <f t="shared" si="41"/>
        <v>40.832192748975785</v>
      </c>
      <c r="D557" s="3">
        <f t="shared" si="42"/>
        <v>-163.72944297082228</v>
      </c>
      <c r="E557" s="3">
        <f t="shared" si="43"/>
        <v>20.199786264893092</v>
      </c>
      <c r="F557" s="3">
        <v>-99</v>
      </c>
      <c r="G557" s="3">
        <v>85.828935497954404</v>
      </c>
      <c r="H557">
        <f t="shared" si="44"/>
        <v>41845.462808359363</v>
      </c>
      <c r="I557" s="3">
        <v>1926.0833333333301</v>
      </c>
      <c r="J557" s="3">
        <v>0</v>
      </c>
      <c r="K557" s="3">
        <v>14.0100867209817</v>
      </c>
    </row>
    <row r="558" spans="1:11" ht="18" x14ac:dyDescent="0.25">
      <c r="A558" s="3">
        <v>1999.1666666666599</v>
      </c>
      <c r="B558" s="3">
        <f t="shared" si="40"/>
        <v>-163.72944297082228</v>
      </c>
      <c r="C558" s="3">
        <f t="shared" si="41"/>
        <v>-53.942115019514851</v>
      </c>
      <c r="D558" s="3">
        <f t="shared" si="42"/>
        <v>-163.72944297082228</v>
      </c>
      <c r="E558" s="3">
        <f t="shared" si="43"/>
        <v>-28.011749082346412</v>
      </c>
      <c r="F558" s="3">
        <v>-99</v>
      </c>
      <c r="G558" s="3">
        <v>37.6174001507149</v>
      </c>
      <c r="H558">
        <f t="shared" si="44"/>
        <v>12053.257378687927</v>
      </c>
      <c r="I558" s="3">
        <v>1926.1666666666599</v>
      </c>
      <c r="J558" s="3">
        <v>0</v>
      </c>
      <c r="K558" s="3">
        <v>-58.490908858027403</v>
      </c>
    </row>
    <row r="559" spans="1:11" ht="18" x14ac:dyDescent="0.25">
      <c r="A559" s="3">
        <v>1999.25</v>
      </c>
      <c r="B559" s="3">
        <f t="shared" si="40"/>
        <v>-195.72944297082228</v>
      </c>
      <c r="C559" s="3">
        <f t="shared" si="41"/>
        <v>-80.425220267121233</v>
      </c>
      <c r="D559" s="3">
        <f t="shared" si="42"/>
        <v>-195.72944297082228</v>
      </c>
      <c r="E559" s="3">
        <f t="shared" si="43"/>
        <v>-46.425988563538411</v>
      </c>
      <c r="F559" s="3">
        <v>-131</v>
      </c>
      <c r="G559" s="3">
        <v>19.203160669522902</v>
      </c>
      <c r="H559">
        <f t="shared" si="44"/>
        <v>13295.063773304688</v>
      </c>
      <c r="I559" s="3">
        <v>1926.25</v>
      </c>
      <c r="J559" s="3">
        <v>0</v>
      </c>
      <c r="K559" s="3">
        <v>-107.74365068813501</v>
      </c>
    </row>
    <row r="560" spans="1:11" ht="18" x14ac:dyDescent="0.25">
      <c r="A560" s="3">
        <v>1999.3333333333301</v>
      </c>
      <c r="B560" s="3">
        <f t="shared" si="40"/>
        <v>-190.72944297082228</v>
      </c>
      <c r="C560" s="3">
        <f t="shared" si="41"/>
        <v>-69.517673129729957</v>
      </c>
      <c r="D560" s="3">
        <f t="shared" si="42"/>
        <v>-190.72944297082228</v>
      </c>
      <c r="E560" s="3">
        <f t="shared" si="43"/>
        <v>-38.365745528817015</v>
      </c>
      <c r="F560" s="3">
        <v>-126</v>
      </c>
      <c r="G560" s="3">
        <v>27.2634037042443</v>
      </c>
      <c r="H560">
        <f t="shared" si="44"/>
        <v>14692.293148009938</v>
      </c>
      <c r="I560" s="3">
        <v>1926.3333333333301</v>
      </c>
      <c r="J560" s="3">
        <v>0</v>
      </c>
      <c r="K560" s="3">
        <v>-133.69355421910001</v>
      </c>
    </row>
    <row r="561" spans="1:11" ht="18" x14ac:dyDescent="0.25">
      <c r="A561" s="3">
        <v>1999.4166666666599</v>
      </c>
      <c r="B561" s="3">
        <f t="shared" si="40"/>
        <v>-201.72944297082228</v>
      </c>
      <c r="C561" s="3">
        <f t="shared" si="41"/>
        <v>-67.76286952055743</v>
      </c>
      <c r="D561" s="3">
        <f t="shared" si="42"/>
        <v>-201.72944297082228</v>
      </c>
      <c r="E561" s="3">
        <f t="shared" si="43"/>
        <v>-37.134714616798917</v>
      </c>
      <c r="F561" s="3">
        <v>-137</v>
      </c>
      <c r="G561" s="3">
        <v>28.494434616262399</v>
      </c>
      <c r="H561">
        <f t="shared" si="44"/>
        <v>17947.042802005202</v>
      </c>
      <c r="I561" s="3">
        <v>1926.4166666666599</v>
      </c>
      <c r="J561" s="3">
        <v>0</v>
      </c>
      <c r="K561" s="3">
        <v>-151.656286078845</v>
      </c>
    </row>
    <row r="562" spans="1:11" ht="18" x14ac:dyDescent="0.25">
      <c r="A562" s="3">
        <v>1999.5</v>
      </c>
      <c r="B562" s="3">
        <f t="shared" si="40"/>
        <v>-190.72944297082228</v>
      </c>
      <c r="C562" s="3">
        <f t="shared" si="41"/>
        <v>-66.801788585965156</v>
      </c>
      <c r="D562" s="3">
        <f t="shared" si="42"/>
        <v>-190.72944297082228</v>
      </c>
      <c r="E562" s="3">
        <f t="shared" si="43"/>
        <v>-36.467795137256914</v>
      </c>
      <c r="F562" s="3">
        <v>-126</v>
      </c>
      <c r="G562" s="3">
        <v>29.161354095804398</v>
      </c>
      <c r="H562">
        <f t="shared" si="44"/>
        <v>15358.063521332597</v>
      </c>
      <c r="I562" s="3">
        <v>1926.5</v>
      </c>
      <c r="J562" s="3">
        <v>0</v>
      </c>
      <c r="K562" s="3">
        <v>-148.063041772681</v>
      </c>
    </row>
    <row r="563" spans="1:11" ht="18" x14ac:dyDescent="0.25">
      <c r="A563" s="3">
        <v>1999.5833333333301</v>
      </c>
      <c r="B563" s="3">
        <f t="shared" si="40"/>
        <v>-175.72944297082228</v>
      </c>
      <c r="C563" s="3">
        <f t="shared" si="41"/>
        <v>-72.709532927174976</v>
      </c>
      <c r="D563" s="3">
        <f t="shared" si="42"/>
        <v>-175.72944297082228</v>
      </c>
      <c r="E563" s="3">
        <f t="shared" si="43"/>
        <v>-40.65011511329061</v>
      </c>
      <c r="F563" s="3">
        <v>-111</v>
      </c>
      <c r="G563" s="3">
        <v>24.979034119770699</v>
      </c>
      <c r="H563">
        <f t="shared" si="44"/>
        <v>10613.101865401182</v>
      </c>
      <c r="I563" s="3">
        <v>1926.5833333333301</v>
      </c>
      <c r="J563" s="3">
        <v>0</v>
      </c>
      <c r="K563" s="3">
        <v>-140.12632610984801</v>
      </c>
    </row>
    <row r="564" spans="1:11" ht="18" x14ac:dyDescent="0.25">
      <c r="A564" s="3">
        <v>1999.6666666666599</v>
      </c>
      <c r="B564" s="3">
        <f t="shared" si="40"/>
        <v>-174.72944297082228</v>
      </c>
      <c r="C564" s="3">
        <f t="shared" si="41"/>
        <v>-103.16761550231716</v>
      </c>
      <c r="D564" s="3">
        <f t="shared" si="42"/>
        <v>-174.72944297082228</v>
      </c>
      <c r="E564" s="3">
        <f t="shared" si="43"/>
        <v>-65.867918460730394</v>
      </c>
      <c r="F564" s="3">
        <v>-110</v>
      </c>
      <c r="G564" s="3">
        <v>-0.23876922766908101</v>
      </c>
      <c r="H564">
        <f t="shared" si="44"/>
        <v>5121.0951506320935</v>
      </c>
      <c r="I564" s="3">
        <v>1926.6666666666599</v>
      </c>
      <c r="J564" s="3">
        <v>0</v>
      </c>
      <c r="K564" s="3">
        <v>-150.22929002131499</v>
      </c>
    </row>
    <row r="565" spans="1:11" ht="18" x14ac:dyDescent="0.25">
      <c r="A565" s="3">
        <v>1999.75</v>
      </c>
      <c r="B565" s="3">
        <f t="shared" si="40"/>
        <v>-165.72944297082228</v>
      </c>
      <c r="C565" s="3">
        <f t="shared" si="41"/>
        <v>-123.47123599827088</v>
      </c>
      <c r="D565" s="3">
        <f t="shared" si="42"/>
        <v>-165.72944297082228</v>
      </c>
      <c r="E565" s="3">
        <f t="shared" si="43"/>
        <v>-87.072065515002109</v>
      </c>
      <c r="F565" s="3">
        <v>-101</v>
      </c>
      <c r="G565" s="3">
        <v>-21.4429162819408</v>
      </c>
      <c r="H565">
        <f t="shared" si="44"/>
        <v>1785.7560565349911</v>
      </c>
      <c r="I565" s="3">
        <v>1926.75</v>
      </c>
      <c r="J565" s="3">
        <v>0</v>
      </c>
      <c r="K565" s="3">
        <v>-147.565092069771</v>
      </c>
    </row>
    <row r="566" spans="1:11" ht="18" x14ac:dyDescent="0.25">
      <c r="A566" s="3">
        <v>1999.8333333333301</v>
      </c>
      <c r="B566" s="3">
        <f t="shared" si="40"/>
        <v>-155.72944297082228</v>
      </c>
      <c r="C566" s="3">
        <f t="shared" si="41"/>
        <v>-137.62023066034379</v>
      </c>
      <c r="D566" s="3">
        <f t="shared" si="42"/>
        <v>-155.72944297082228</v>
      </c>
      <c r="E566" s="3">
        <f t="shared" si="43"/>
        <v>-104.67587574621481</v>
      </c>
      <c r="F566" s="3">
        <v>-91</v>
      </c>
      <c r="G566" s="3">
        <v>-39.046726513153502</v>
      </c>
      <c r="H566">
        <f t="shared" si="44"/>
        <v>327.94357050598546</v>
      </c>
      <c r="I566" s="3">
        <v>1926.8333333333301</v>
      </c>
      <c r="J566" s="3">
        <v>0</v>
      </c>
      <c r="K566" s="3">
        <v>-128.497011038827</v>
      </c>
    </row>
    <row r="567" spans="1:11" ht="18" x14ac:dyDescent="0.25">
      <c r="A567" s="3">
        <v>1999.9166666666599</v>
      </c>
      <c r="B567" s="3">
        <f t="shared" si="40"/>
        <v>-125.72944297082228</v>
      </c>
      <c r="C567" s="3">
        <f t="shared" si="41"/>
        <v>-156.09265594571247</v>
      </c>
      <c r="D567" s="3">
        <f t="shared" si="42"/>
        <v>-125.72944297082228</v>
      </c>
      <c r="E567" s="3">
        <f t="shared" si="43"/>
        <v>-132.29845795692739</v>
      </c>
      <c r="F567" s="3">
        <v>-61</v>
      </c>
      <c r="G567" s="3">
        <v>-66.669308723866095</v>
      </c>
      <c r="H567">
        <f t="shared" si="44"/>
        <v>921.92470215853996</v>
      </c>
      <c r="I567" s="3">
        <v>1926.9166666666599</v>
      </c>
      <c r="J567" s="3">
        <v>0</v>
      </c>
      <c r="K567" s="3">
        <v>-107.749624385819</v>
      </c>
    </row>
    <row r="568" spans="1:11" ht="18" x14ac:dyDescent="0.25">
      <c r="A568" s="3">
        <v>2000</v>
      </c>
      <c r="B568" s="3">
        <f t="shared" si="40"/>
        <v>-125.72944297082228</v>
      </c>
      <c r="C568" s="3">
        <f t="shared" si="41"/>
        <v>-164.23255224665007</v>
      </c>
      <c r="D568" s="3">
        <f t="shared" si="42"/>
        <v>-125.72944297082228</v>
      </c>
      <c r="E568" s="3">
        <f t="shared" si="43"/>
        <v>-146.5812854412714</v>
      </c>
      <c r="F568" s="3">
        <v>-61</v>
      </c>
      <c r="G568" s="3">
        <v>-80.952136208210106</v>
      </c>
      <c r="H568">
        <f t="shared" si="44"/>
        <v>1482.4894239063365</v>
      </c>
      <c r="I568" s="3">
        <v>1927</v>
      </c>
      <c r="J568" s="3">
        <v>0</v>
      </c>
      <c r="K568" s="3">
        <v>-70.807503768573696</v>
      </c>
    </row>
    <row r="569" spans="1:11" ht="18" x14ac:dyDescent="0.25">
      <c r="A569" s="3">
        <v>2000.0833333333301</v>
      </c>
      <c r="B569" s="3">
        <f t="shared" si="40"/>
        <v>-138.72944297082228</v>
      </c>
      <c r="C569" s="3">
        <f t="shared" si="41"/>
        <v>-171.07247470426177</v>
      </c>
      <c r="D569" s="3">
        <f t="shared" si="42"/>
        <v>-138.72944297082228</v>
      </c>
      <c r="E569" s="3">
        <f t="shared" si="43"/>
        <v>-159.8093475496093</v>
      </c>
      <c r="F569" s="3">
        <v>-74</v>
      </c>
      <c r="G569" s="3">
        <v>-94.180198316548001</v>
      </c>
      <c r="H569">
        <f t="shared" si="44"/>
        <v>1046.0717017102738</v>
      </c>
      <c r="I569" s="3">
        <v>1927.0833333333301</v>
      </c>
      <c r="J569" s="3">
        <v>0</v>
      </c>
      <c r="K569" s="3">
        <v>-33.032151332322798</v>
      </c>
    </row>
    <row r="570" spans="1:11" ht="18" x14ac:dyDescent="0.25">
      <c r="A570" s="3">
        <v>2000.1666666666599</v>
      </c>
      <c r="B570" s="3">
        <f t="shared" si="40"/>
        <v>-159.72944297082228</v>
      </c>
      <c r="C570" s="3">
        <f t="shared" si="41"/>
        <v>-183.9534179216497</v>
      </c>
      <c r="D570" s="3">
        <f t="shared" si="42"/>
        <v>-159.72944297082228</v>
      </c>
      <c r="E570" s="3">
        <f t="shared" si="43"/>
        <v>-188.39397815232431</v>
      </c>
      <c r="F570" s="3">
        <v>-95</v>
      </c>
      <c r="G570" s="3">
        <v>-122.764828919263</v>
      </c>
      <c r="H570">
        <f t="shared" si="44"/>
        <v>586.80096241831461</v>
      </c>
      <c r="I570" s="3">
        <v>1927.1666666666599</v>
      </c>
      <c r="J570" s="3">
        <v>0</v>
      </c>
      <c r="K570" s="3">
        <v>0.50967608937509101</v>
      </c>
    </row>
    <row r="571" spans="1:11" ht="18" x14ac:dyDescent="0.25">
      <c r="A571" s="3">
        <v>2000.25</v>
      </c>
      <c r="B571" s="3">
        <f t="shared" si="40"/>
        <v>-159.72944297082228</v>
      </c>
      <c r="C571" s="3">
        <f t="shared" si="41"/>
        <v>-185.06745432740379</v>
      </c>
      <c r="D571" s="3">
        <f t="shared" si="42"/>
        <v>-159.72944297082228</v>
      </c>
      <c r="E571" s="3">
        <f t="shared" si="43"/>
        <v>-191.12707118467932</v>
      </c>
      <c r="F571" s="3">
        <v>-95</v>
      </c>
      <c r="G571" s="3">
        <v>-125.497921951618</v>
      </c>
      <c r="H571">
        <f t="shared" si="44"/>
        <v>642.01481950625396</v>
      </c>
      <c r="I571" s="3">
        <v>1927.25</v>
      </c>
      <c r="J571" s="3">
        <v>0</v>
      </c>
      <c r="K571" s="3">
        <v>67.428668972785104</v>
      </c>
    </row>
    <row r="572" spans="1:11" ht="18" x14ac:dyDescent="0.25">
      <c r="A572" s="3">
        <v>2000.3333333333301</v>
      </c>
      <c r="B572" s="3">
        <f t="shared" si="40"/>
        <v>-125.72944297082228</v>
      </c>
      <c r="C572" s="3">
        <f t="shared" si="41"/>
        <v>-164.62283387123767</v>
      </c>
      <c r="D572" s="3">
        <f t="shared" si="42"/>
        <v>-125.72944297082228</v>
      </c>
      <c r="E572" s="3">
        <f t="shared" si="43"/>
        <v>-147.3042655691163</v>
      </c>
      <c r="F572" s="3">
        <v>-61</v>
      </c>
      <c r="G572" s="3">
        <v>-81.675116336054998</v>
      </c>
      <c r="H572">
        <f t="shared" si="44"/>
        <v>1512.6958557325152</v>
      </c>
      <c r="I572" s="3">
        <v>1927.3333333333301</v>
      </c>
      <c r="J572" s="3">
        <v>0</v>
      </c>
      <c r="K572" s="3">
        <v>159.03080757501499</v>
      </c>
    </row>
    <row r="573" spans="1:11" ht="18" x14ac:dyDescent="0.25">
      <c r="A573" s="3">
        <v>2000.4166666666599</v>
      </c>
      <c r="B573" s="3">
        <f t="shared" si="40"/>
        <v>6.2705570291777235</v>
      </c>
      <c r="C573" s="3">
        <f t="shared" si="41"/>
        <v>-102.67821985482634</v>
      </c>
      <c r="D573" s="3">
        <f t="shared" si="42"/>
        <v>6.2705570291777235</v>
      </c>
      <c r="E573" s="3">
        <f t="shared" si="43"/>
        <v>-65.406244632796955</v>
      </c>
      <c r="F573" s="3">
        <v>71</v>
      </c>
      <c r="G573" s="3">
        <v>0.22290460026435699</v>
      </c>
      <c r="H573">
        <f t="shared" si="44"/>
        <v>11869.835984520498</v>
      </c>
      <c r="I573" s="3">
        <v>1927.4166666666599</v>
      </c>
      <c r="J573" s="3">
        <v>0</v>
      </c>
      <c r="K573" s="3">
        <v>240.97834099959201</v>
      </c>
    </row>
    <row r="574" spans="1:11" ht="18" x14ac:dyDescent="0.25">
      <c r="A574" s="3">
        <v>2000.5</v>
      </c>
      <c r="B574" s="3">
        <f t="shared" si="40"/>
        <v>162.27055702917772</v>
      </c>
      <c r="C574" s="3">
        <f t="shared" si="41"/>
        <v>59.906058663486718</v>
      </c>
      <c r="D574" s="3">
        <f t="shared" si="42"/>
        <v>162.27055702917772</v>
      </c>
      <c r="E574" s="3">
        <f t="shared" si="43"/>
        <v>31.828511145028486</v>
      </c>
      <c r="F574" s="3">
        <v>227</v>
      </c>
      <c r="G574" s="3">
        <v>97.457660378089798</v>
      </c>
      <c r="H574">
        <f t="shared" si="44"/>
        <v>10478.490525659556</v>
      </c>
      <c r="I574" s="3">
        <v>1927.5</v>
      </c>
      <c r="J574" s="3">
        <v>0</v>
      </c>
      <c r="K574" s="3">
        <v>291.47544363798301</v>
      </c>
    </row>
    <row r="575" spans="1:11" ht="18" x14ac:dyDescent="0.25">
      <c r="A575" s="3">
        <v>2000.5833333333301</v>
      </c>
      <c r="B575" s="3">
        <f t="shared" si="40"/>
        <v>217.27055702917772</v>
      </c>
      <c r="C575" s="3">
        <f t="shared" si="41"/>
        <v>121.38106783415243</v>
      </c>
      <c r="D575" s="3">
        <f t="shared" si="42"/>
        <v>217.27055702917772</v>
      </c>
      <c r="E575" s="3">
        <f t="shared" si="43"/>
        <v>84.686660883948676</v>
      </c>
      <c r="F575" s="3">
        <v>282</v>
      </c>
      <c r="G575" s="3">
        <v>150.31581011700999</v>
      </c>
      <c r="H575">
        <f t="shared" si="44"/>
        <v>9194.7941380828725</v>
      </c>
      <c r="I575" s="3">
        <v>1927.5833333333301</v>
      </c>
      <c r="J575" s="3">
        <v>0</v>
      </c>
      <c r="K575" s="3">
        <v>285.68060976689799</v>
      </c>
    </row>
    <row r="576" spans="1:11" ht="18" x14ac:dyDescent="0.25">
      <c r="A576" s="3">
        <v>2000.6666666666599</v>
      </c>
      <c r="B576" s="3">
        <f t="shared" si="40"/>
        <v>223.27055702917772</v>
      </c>
      <c r="C576" s="3">
        <f t="shared" si="41"/>
        <v>125.61085785070823</v>
      </c>
      <c r="D576" s="3">
        <f t="shared" si="42"/>
        <v>223.27055702917772</v>
      </c>
      <c r="E576" s="3">
        <f t="shared" si="43"/>
        <v>89.567682627923674</v>
      </c>
      <c r="F576" s="3">
        <v>288</v>
      </c>
      <c r="G576" s="3">
        <v>155.19683186098499</v>
      </c>
      <c r="H576">
        <f t="shared" si="44"/>
        <v>9537.4168436291548</v>
      </c>
      <c r="I576" s="3">
        <v>1927.6666666666599</v>
      </c>
      <c r="J576" s="3">
        <v>0</v>
      </c>
      <c r="K576" s="3">
        <v>263.330830569699</v>
      </c>
    </row>
    <row r="577" spans="1:11" ht="18" x14ac:dyDescent="0.25">
      <c r="A577" s="3">
        <v>2000.75</v>
      </c>
      <c r="B577" s="3">
        <f t="shared" si="40"/>
        <v>223.27055702917772</v>
      </c>
      <c r="C577" s="3">
        <f t="shared" si="41"/>
        <v>135.69718190058137</v>
      </c>
      <c r="D577" s="3">
        <f t="shared" si="42"/>
        <v>223.27055702917772</v>
      </c>
      <c r="E577" s="3">
        <f t="shared" si="43"/>
        <v>102.12253314794869</v>
      </c>
      <c r="F577" s="3">
        <v>288</v>
      </c>
      <c r="G577" s="3">
        <v>167.75168238101</v>
      </c>
      <c r="H577">
        <f t="shared" si="44"/>
        <v>7669.0960314138583</v>
      </c>
      <c r="I577" s="3">
        <v>1927.75</v>
      </c>
      <c r="J577" s="3">
        <v>0</v>
      </c>
      <c r="K577" s="3">
        <v>285.70362718247497</v>
      </c>
    </row>
    <row r="578" spans="1:11" ht="18" x14ac:dyDescent="0.25">
      <c r="A578" s="3">
        <v>2000.8333333333301</v>
      </c>
      <c r="B578" s="3">
        <f t="shared" si="40"/>
        <v>210.27055702917772</v>
      </c>
      <c r="C578" s="3">
        <f t="shared" si="41"/>
        <v>149.40516245688184</v>
      </c>
      <c r="D578" s="3">
        <f t="shared" si="42"/>
        <v>210.27055702917772</v>
      </c>
      <c r="E578" s="3">
        <f t="shared" si="43"/>
        <v>121.5980482456617</v>
      </c>
      <c r="F578" s="3">
        <v>275</v>
      </c>
      <c r="G578" s="3">
        <v>187.22719747872301</v>
      </c>
      <c r="H578">
        <f t="shared" si="44"/>
        <v>3704.5962564412653</v>
      </c>
      <c r="I578" s="3">
        <v>1927.8333333333301</v>
      </c>
      <c r="J578" s="3">
        <v>0</v>
      </c>
      <c r="K578" s="3">
        <v>322.96017223008897</v>
      </c>
    </row>
    <row r="579" spans="1:11" ht="18" x14ac:dyDescent="0.25">
      <c r="A579" s="3">
        <v>2000.9166666666599</v>
      </c>
      <c r="B579" s="3">
        <f t="shared" si="40"/>
        <v>194.27055702917772</v>
      </c>
      <c r="C579" s="3">
        <f t="shared" si="41"/>
        <v>155.68772562965253</v>
      </c>
      <c r="D579" s="3">
        <f t="shared" si="42"/>
        <v>194.27055702917772</v>
      </c>
      <c r="E579" s="3">
        <f t="shared" si="43"/>
        <v>131.6254166616767</v>
      </c>
      <c r="F579" s="3">
        <v>259</v>
      </c>
      <c r="G579" s="3">
        <v>197.25456589473799</v>
      </c>
      <c r="H579">
        <f t="shared" si="44"/>
        <v>1488.6348788041869</v>
      </c>
      <c r="I579" s="3">
        <v>1927.9166666666599</v>
      </c>
      <c r="J579" s="3">
        <v>0</v>
      </c>
      <c r="K579" s="3">
        <v>331.32562831246702</v>
      </c>
    </row>
    <row r="580" spans="1:11" ht="18" x14ac:dyDescent="0.25">
      <c r="A580" s="3">
        <v>2001</v>
      </c>
      <c r="B580" s="3">
        <f t="shared" si="40"/>
        <v>194.27055702917772</v>
      </c>
      <c r="C580" s="3">
        <f t="shared" si="41"/>
        <v>158.64405359338321</v>
      </c>
      <c r="D580" s="3">
        <f t="shared" si="42"/>
        <v>194.27055702917772</v>
      </c>
      <c r="E580" s="3">
        <f t="shared" si="43"/>
        <v>136.61800621312767</v>
      </c>
      <c r="F580" s="3">
        <v>259</v>
      </c>
      <c r="G580" s="3">
        <v>202.247155446189</v>
      </c>
      <c r="H580">
        <f t="shared" si="44"/>
        <v>1269.2477470606786</v>
      </c>
      <c r="I580" s="3">
        <v>1928</v>
      </c>
      <c r="J580" s="3">
        <v>0</v>
      </c>
      <c r="K580" s="3">
        <v>303.98216111334898</v>
      </c>
    </row>
    <row r="581" spans="1:11" ht="18" x14ac:dyDescent="0.25">
      <c r="A581" s="3">
        <v>2001.0833333333301</v>
      </c>
      <c r="B581" s="3">
        <f t="shared" si="40"/>
        <v>207.27055702917772</v>
      </c>
      <c r="C581" s="3">
        <f t="shared" si="41"/>
        <v>151.40778480175723</v>
      </c>
      <c r="D581" s="3">
        <f t="shared" si="42"/>
        <v>207.27055702917772</v>
      </c>
      <c r="E581" s="3">
        <f t="shared" si="43"/>
        <v>124.71208780042669</v>
      </c>
      <c r="F581" s="3">
        <v>272</v>
      </c>
      <c r="G581" s="3">
        <v>190.341237033488</v>
      </c>
      <c r="H581">
        <f t="shared" si="44"/>
        <v>3120.6493209326622</v>
      </c>
      <c r="I581" s="3">
        <v>1928.0833333333301</v>
      </c>
      <c r="J581" s="3">
        <v>0</v>
      </c>
      <c r="K581" s="3">
        <v>235.52323577879</v>
      </c>
    </row>
    <row r="582" spans="1:11" ht="18" x14ac:dyDescent="0.25">
      <c r="A582" s="3">
        <v>2001.1666666666599</v>
      </c>
      <c r="B582" s="3">
        <f t="shared" ref="B582:B645" si="45">+$D582</f>
        <v>207.27055702917772</v>
      </c>
      <c r="C582" s="3">
        <f t="shared" ref="C582:C645" si="46">$B$1*$E582/(1+$B$3*ABS($E582)^$B$2)</f>
        <v>146.72185293705741</v>
      </c>
      <c r="D582" s="3">
        <f t="shared" ref="D582:D645" si="47">+F582-$F$3</f>
        <v>207.27055702917772</v>
      </c>
      <c r="E582" s="3">
        <f t="shared" ref="E582:E645" si="48">+$G582-$G$3</f>
        <v>117.53991716020867</v>
      </c>
      <c r="F582" s="3">
        <v>272</v>
      </c>
      <c r="G582" s="3">
        <v>183.16906639326999</v>
      </c>
      <c r="H582">
        <f t="shared" ref="H582:H645" si="49">+(B582-C582)^2</f>
        <v>3666.1455672351476</v>
      </c>
      <c r="I582" s="3">
        <v>1928.1666666666599</v>
      </c>
      <c r="J582" s="3">
        <v>0</v>
      </c>
      <c r="K582" s="3">
        <v>158.415102666276</v>
      </c>
    </row>
    <row r="583" spans="1:11" ht="18" x14ac:dyDescent="0.25">
      <c r="A583" s="3">
        <v>2001.25</v>
      </c>
      <c r="B583" s="3">
        <f t="shared" si="45"/>
        <v>207.27055702917772</v>
      </c>
      <c r="C583" s="3">
        <f t="shared" si="46"/>
        <v>160.81539805579285</v>
      </c>
      <c r="D583" s="3">
        <f t="shared" si="47"/>
        <v>207.27055702917772</v>
      </c>
      <c r="E583" s="3">
        <f t="shared" si="48"/>
        <v>140.40479338846171</v>
      </c>
      <c r="F583" s="3">
        <v>272</v>
      </c>
      <c r="G583" s="3">
        <v>206.03394262152301</v>
      </c>
      <c r="H583">
        <f t="shared" si="49"/>
        <v>2158.0817952424609</v>
      </c>
      <c r="I583" s="3">
        <v>1928.25</v>
      </c>
      <c r="J583" s="3">
        <v>0</v>
      </c>
      <c r="K583" s="3">
        <v>100.33535481438101</v>
      </c>
    </row>
    <row r="584" spans="1:11" ht="18" x14ac:dyDescent="0.25">
      <c r="A584" s="3">
        <v>2001.3333333333301</v>
      </c>
      <c r="B584" s="3">
        <f t="shared" si="45"/>
        <v>244.27055702917772</v>
      </c>
      <c r="C584" s="3">
        <f t="shared" si="46"/>
        <v>172.01306871964906</v>
      </c>
      <c r="D584" s="3">
        <f t="shared" si="47"/>
        <v>244.27055702917772</v>
      </c>
      <c r="E584" s="3">
        <f t="shared" si="48"/>
        <v>161.72556686146066</v>
      </c>
      <c r="F584" s="3">
        <v>309</v>
      </c>
      <c r="G584" s="3">
        <v>227.35471609452199</v>
      </c>
      <c r="H584">
        <f t="shared" si="49"/>
        <v>5221.1446168016719</v>
      </c>
      <c r="I584" s="3">
        <v>1928.3333333333301</v>
      </c>
      <c r="J584" s="3">
        <v>0</v>
      </c>
      <c r="K584" s="3">
        <v>42.227999157002998</v>
      </c>
    </row>
    <row r="585" spans="1:11" ht="18" x14ac:dyDescent="0.25">
      <c r="A585" s="3">
        <v>2001.4166666666599</v>
      </c>
      <c r="B585" s="3">
        <f t="shared" si="45"/>
        <v>253.27055702917772</v>
      </c>
      <c r="C585" s="3">
        <f t="shared" si="46"/>
        <v>174.21977234912148</v>
      </c>
      <c r="D585" s="3">
        <f t="shared" si="47"/>
        <v>253.27055702917772</v>
      </c>
      <c r="E585" s="3">
        <f t="shared" si="48"/>
        <v>166.31978316307271</v>
      </c>
      <c r="F585" s="3">
        <v>318</v>
      </c>
      <c r="G585" s="3">
        <v>231.94893239613401</v>
      </c>
      <c r="H585">
        <f t="shared" si="49"/>
        <v>6249.0265585326142</v>
      </c>
      <c r="I585" s="3">
        <v>1928.4166666666599</v>
      </c>
      <c r="J585" s="3">
        <v>0</v>
      </c>
      <c r="K585" s="3">
        <v>-5.7835790498935999</v>
      </c>
    </row>
    <row r="586" spans="1:11" ht="18" x14ac:dyDescent="0.25">
      <c r="A586" s="3">
        <v>2001.5</v>
      </c>
      <c r="B586" s="3">
        <f t="shared" si="45"/>
        <v>266.27055702917772</v>
      </c>
      <c r="C586" s="3">
        <f t="shared" si="46"/>
        <v>167.51041231497587</v>
      </c>
      <c r="D586" s="3">
        <f t="shared" si="47"/>
        <v>266.27055702917772</v>
      </c>
      <c r="E586" s="3">
        <f t="shared" si="48"/>
        <v>152.7701371553307</v>
      </c>
      <c r="F586" s="3">
        <v>331</v>
      </c>
      <c r="G586" s="3">
        <v>218.399286388392</v>
      </c>
      <c r="H586">
        <f t="shared" si="49"/>
        <v>9753.5661839700933</v>
      </c>
      <c r="I586" s="3">
        <v>1928.5</v>
      </c>
      <c r="J586" s="3">
        <v>0</v>
      </c>
      <c r="K586" s="3">
        <v>-34.827265283846003</v>
      </c>
    </row>
    <row r="587" spans="1:11" ht="18" x14ac:dyDescent="0.25">
      <c r="A587" s="3">
        <v>2001.5833333333301</v>
      </c>
      <c r="B587" s="3">
        <f t="shared" si="45"/>
        <v>284.27055702917772</v>
      </c>
      <c r="C587" s="3">
        <f t="shared" si="46"/>
        <v>138.77616809275352</v>
      </c>
      <c r="D587" s="3">
        <f t="shared" si="47"/>
        <v>284.27055702917772</v>
      </c>
      <c r="E587" s="3">
        <f t="shared" si="48"/>
        <v>106.23709415487268</v>
      </c>
      <c r="F587" s="3">
        <v>349</v>
      </c>
      <c r="G587" s="3">
        <v>171.86624338793399</v>
      </c>
      <c r="H587">
        <f t="shared" si="49"/>
        <v>21168.617211983477</v>
      </c>
      <c r="I587" s="3">
        <v>1928.5833333333301</v>
      </c>
      <c r="J587" s="3">
        <v>0</v>
      </c>
      <c r="K587" s="3">
        <v>-69.550100196589796</v>
      </c>
    </row>
    <row r="588" spans="1:11" ht="18" x14ac:dyDescent="0.25">
      <c r="A588" s="3">
        <v>2001.6666666666599</v>
      </c>
      <c r="B588" s="3">
        <f t="shared" si="45"/>
        <v>284.27055702917772</v>
      </c>
      <c r="C588" s="3">
        <f t="shared" si="46"/>
        <v>94.725681430252507</v>
      </c>
      <c r="D588" s="3">
        <f t="shared" si="47"/>
        <v>284.27055702917772</v>
      </c>
      <c r="E588" s="3">
        <f t="shared" si="48"/>
        <v>58.188229511004693</v>
      </c>
      <c r="F588" s="3">
        <v>349</v>
      </c>
      <c r="G588" s="3">
        <v>123.817378744066</v>
      </c>
      <c r="H588">
        <f t="shared" si="49"/>
        <v>35927.259865812033</v>
      </c>
      <c r="I588" s="3">
        <v>1928.6666666666599</v>
      </c>
      <c r="J588" s="3">
        <v>0</v>
      </c>
      <c r="K588" s="3">
        <v>-97.010482886282603</v>
      </c>
    </row>
    <row r="589" spans="1:11" ht="18" x14ac:dyDescent="0.25">
      <c r="A589" s="3">
        <v>2001.75</v>
      </c>
      <c r="B589" s="3">
        <f t="shared" si="45"/>
        <v>242.27055702917772</v>
      </c>
      <c r="C589" s="3">
        <f t="shared" si="46"/>
        <v>53.151619770921805</v>
      </c>
      <c r="D589" s="3">
        <f t="shared" si="47"/>
        <v>242.27055702917772</v>
      </c>
      <c r="E589" s="3">
        <f t="shared" si="48"/>
        <v>27.518770818897394</v>
      </c>
      <c r="F589" s="3">
        <v>307</v>
      </c>
      <c r="G589" s="3">
        <v>93.147920051958707</v>
      </c>
      <c r="H589">
        <f t="shared" si="49"/>
        <v>35765.972429692141</v>
      </c>
      <c r="I589" s="3">
        <v>1928.75</v>
      </c>
      <c r="J589" s="3">
        <v>0</v>
      </c>
      <c r="K589" s="3">
        <v>-111.650362997632</v>
      </c>
    </row>
    <row r="590" spans="1:11" ht="18" x14ac:dyDescent="0.25">
      <c r="A590" s="3">
        <v>2001.8333333333301</v>
      </c>
      <c r="B590" s="3">
        <f t="shared" si="45"/>
        <v>71.270557029177724</v>
      </c>
      <c r="C590" s="3">
        <f t="shared" si="46"/>
        <v>-33.769354561536218</v>
      </c>
      <c r="D590" s="3">
        <f t="shared" si="47"/>
        <v>71.270557029177724</v>
      </c>
      <c r="E590" s="3">
        <f t="shared" si="48"/>
        <v>-16.290200678071315</v>
      </c>
      <c r="F590" s="3">
        <v>136</v>
      </c>
      <c r="G590" s="3">
        <v>49.338948554989997</v>
      </c>
      <c r="H590">
        <f t="shared" si="49"/>
        <v>11033.383026985</v>
      </c>
      <c r="I590" s="3">
        <v>1928.8333333333301</v>
      </c>
      <c r="J590" s="3">
        <v>0</v>
      </c>
      <c r="K590" s="3">
        <v>-137.958908887441</v>
      </c>
    </row>
    <row r="591" spans="1:11" ht="18" x14ac:dyDescent="0.25">
      <c r="A591" s="3">
        <v>2001.9166666666599</v>
      </c>
      <c r="B591" s="3">
        <f t="shared" si="45"/>
        <v>-85.729442970822276</v>
      </c>
      <c r="C591" s="3">
        <f t="shared" si="46"/>
        <v>-99.307629059436636</v>
      </c>
      <c r="D591" s="3">
        <f t="shared" si="47"/>
        <v>-85.729442970822276</v>
      </c>
      <c r="E591" s="3">
        <f t="shared" si="48"/>
        <v>-62.282783973240093</v>
      </c>
      <c r="F591" s="3">
        <v>-21</v>
      </c>
      <c r="G591" s="3">
        <v>3.3463652598212201</v>
      </c>
      <c r="H591">
        <f t="shared" si="49"/>
        <v>184.36713745704051</v>
      </c>
      <c r="I591" s="3">
        <v>1928.9166666666599</v>
      </c>
      <c r="J591" s="3">
        <v>0</v>
      </c>
      <c r="K591" s="3">
        <v>-157.76756760778801</v>
      </c>
    </row>
    <row r="592" spans="1:11" ht="18" x14ac:dyDescent="0.25">
      <c r="A592" s="3">
        <v>2002</v>
      </c>
      <c r="B592" s="3">
        <f t="shared" si="45"/>
        <v>-182.72944297082228</v>
      </c>
      <c r="C592" s="3">
        <f t="shared" si="46"/>
        <v>-128.25370388323668</v>
      </c>
      <c r="D592" s="3">
        <f t="shared" si="47"/>
        <v>-182.72944297082228</v>
      </c>
      <c r="E592" s="3">
        <f t="shared" si="48"/>
        <v>-92.728075487412212</v>
      </c>
      <c r="F592" s="3">
        <v>-118</v>
      </c>
      <c r="G592" s="3">
        <v>-27.0989262543509</v>
      </c>
      <c r="H592">
        <f t="shared" si="49"/>
        <v>2967.6061491387009</v>
      </c>
      <c r="I592" s="3">
        <v>1929</v>
      </c>
      <c r="J592" s="3">
        <v>0</v>
      </c>
      <c r="K592" s="3">
        <v>-162.45173405539299</v>
      </c>
    </row>
    <row r="593" spans="1:11" ht="18" x14ac:dyDescent="0.25">
      <c r="A593" s="3">
        <v>2002.0833333333301</v>
      </c>
      <c r="B593" s="3">
        <f t="shared" si="45"/>
        <v>-204.72944297082228</v>
      </c>
      <c r="C593" s="3">
        <f t="shared" si="46"/>
        <v>-151.4003688917974</v>
      </c>
      <c r="D593" s="3">
        <f t="shared" si="47"/>
        <v>-204.72944297082228</v>
      </c>
      <c r="E593" s="3">
        <f t="shared" si="48"/>
        <v>-124.70041783712001</v>
      </c>
      <c r="F593" s="3">
        <v>-140</v>
      </c>
      <c r="G593" s="3">
        <v>-59.071268604058702</v>
      </c>
      <c r="H593">
        <f t="shared" si="49"/>
        <v>2843.9901421261229</v>
      </c>
      <c r="I593" s="3">
        <v>1929.0833333333301</v>
      </c>
      <c r="J593" s="3">
        <v>0</v>
      </c>
      <c r="K593" s="3">
        <v>-171.741155412426</v>
      </c>
    </row>
    <row r="594" spans="1:11" ht="18" x14ac:dyDescent="0.25">
      <c r="A594" s="3">
        <v>2002.1666666666599</v>
      </c>
      <c r="B594" s="3">
        <f t="shared" si="45"/>
        <v>-212.72944297082228</v>
      </c>
      <c r="C594" s="3">
        <f t="shared" si="46"/>
        <v>-169.38784339978909</v>
      </c>
      <c r="D594" s="3">
        <f t="shared" si="47"/>
        <v>-212.72944297082228</v>
      </c>
      <c r="E594" s="3">
        <f t="shared" si="48"/>
        <v>-156.43809787229941</v>
      </c>
      <c r="F594" s="3">
        <v>-148</v>
      </c>
      <c r="G594" s="3">
        <v>-90.808948639238096</v>
      </c>
      <c r="H594">
        <f t="shared" si="49"/>
        <v>1878.494253375784</v>
      </c>
      <c r="I594" s="3">
        <v>1929.1666666666599</v>
      </c>
      <c r="J594" s="3">
        <v>0</v>
      </c>
      <c r="K594" s="3">
        <v>-168.09818640620901</v>
      </c>
    </row>
    <row r="595" spans="1:11" ht="18" x14ac:dyDescent="0.25">
      <c r="A595" s="3">
        <v>2002.25</v>
      </c>
      <c r="B595" s="3">
        <f t="shared" si="45"/>
        <v>-212.72944297082228</v>
      </c>
      <c r="C595" s="3">
        <f t="shared" si="46"/>
        <v>-186.2394312292607</v>
      </c>
      <c r="D595" s="3">
        <f t="shared" si="47"/>
        <v>-212.72944297082228</v>
      </c>
      <c r="E595" s="3">
        <f t="shared" si="48"/>
        <v>-194.05231534445733</v>
      </c>
      <c r="F595" s="3">
        <v>-148</v>
      </c>
      <c r="G595" s="3">
        <v>-128.423166111396</v>
      </c>
      <c r="H595">
        <f t="shared" si="49"/>
        <v>701.72072206807002</v>
      </c>
      <c r="I595" s="3">
        <v>1929.25</v>
      </c>
      <c r="J595" s="3">
        <v>0</v>
      </c>
      <c r="K595" s="3">
        <v>-138.33913610296401</v>
      </c>
    </row>
    <row r="596" spans="1:11" ht="18" x14ac:dyDescent="0.25">
      <c r="A596" s="3">
        <v>2002.3333333333301</v>
      </c>
      <c r="B596" s="3">
        <f t="shared" si="45"/>
        <v>-197.72944297082228</v>
      </c>
      <c r="C596" s="3">
        <f t="shared" si="46"/>
        <v>-200.91546100311288</v>
      </c>
      <c r="D596" s="3">
        <f t="shared" si="47"/>
        <v>-197.72944297082228</v>
      </c>
      <c r="E596" s="3">
        <f t="shared" si="48"/>
        <v>-235.6551678412373</v>
      </c>
      <c r="F596" s="3">
        <v>-133</v>
      </c>
      <c r="G596" s="3">
        <v>-170.026018608176</v>
      </c>
      <c r="H596">
        <f t="shared" si="49"/>
        <v>10.150710902080897</v>
      </c>
      <c r="I596" s="3">
        <v>1929.3333333333301</v>
      </c>
      <c r="J596" s="3">
        <v>0</v>
      </c>
      <c r="K596" s="3">
        <v>-76.213235590715897</v>
      </c>
    </row>
    <row r="597" spans="1:11" ht="18" x14ac:dyDescent="0.25">
      <c r="A597" s="3">
        <v>2002.4166666666599</v>
      </c>
      <c r="B597" s="3">
        <f t="shared" si="45"/>
        <v>-193.72944297082228</v>
      </c>
      <c r="C597" s="3">
        <f t="shared" si="46"/>
        <v>-200.97974832811605</v>
      </c>
      <c r="D597" s="3">
        <f t="shared" si="47"/>
        <v>-193.72944297082228</v>
      </c>
      <c r="E597" s="3">
        <f t="shared" si="48"/>
        <v>-235.86042365350534</v>
      </c>
      <c r="F597" s="3">
        <v>-129</v>
      </c>
      <c r="G597" s="3">
        <v>-170.23127442044401</v>
      </c>
      <c r="H597">
        <f t="shared" si="49"/>
        <v>52.566927774002721</v>
      </c>
      <c r="I597" s="3">
        <v>1929.4166666666599</v>
      </c>
      <c r="J597" s="3">
        <v>0</v>
      </c>
      <c r="K597" s="3">
        <v>34.369122019210401</v>
      </c>
    </row>
    <row r="598" spans="1:11" ht="18" x14ac:dyDescent="0.25">
      <c r="A598" s="3">
        <v>2002.5</v>
      </c>
      <c r="B598" s="3">
        <f t="shared" si="45"/>
        <v>-167.72944297082228</v>
      </c>
      <c r="C598" s="3">
        <f t="shared" si="46"/>
        <v>-189.49597859362848</v>
      </c>
      <c r="D598" s="3">
        <f t="shared" si="47"/>
        <v>-167.72944297082228</v>
      </c>
      <c r="E598" s="3">
        <f t="shared" si="48"/>
        <v>-202.46143690956529</v>
      </c>
      <c r="F598" s="3">
        <v>-103</v>
      </c>
      <c r="G598" s="3">
        <v>-136.832287676504</v>
      </c>
      <c r="H598">
        <f t="shared" si="49"/>
        <v>473.78207301889137</v>
      </c>
      <c r="I598" s="3">
        <v>1929.5</v>
      </c>
      <c r="J598" s="3">
        <v>0</v>
      </c>
      <c r="K598" s="3">
        <v>141.77864051984801</v>
      </c>
    </row>
    <row r="599" spans="1:11" ht="18" x14ac:dyDescent="0.25">
      <c r="A599" s="3">
        <v>2002.5833333333301</v>
      </c>
      <c r="B599" s="3">
        <f t="shared" si="45"/>
        <v>-156.72944297082228</v>
      </c>
      <c r="C599" s="3">
        <f t="shared" si="46"/>
        <v>-180.48936801118481</v>
      </c>
      <c r="D599" s="3">
        <f t="shared" si="47"/>
        <v>-156.72944297082228</v>
      </c>
      <c r="E599" s="3">
        <f t="shared" si="48"/>
        <v>-180.17912385111032</v>
      </c>
      <c r="F599" s="3">
        <v>-92</v>
      </c>
      <c r="G599" s="3">
        <v>-114.54997461804901</v>
      </c>
      <c r="H599">
        <f t="shared" si="49"/>
        <v>564.53403792364645</v>
      </c>
      <c r="I599" s="3">
        <v>1929.5833333333301</v>
      </c>
      <c r="J599" s="3">
        <v>0</v>
      </c>
      <c r="K599" s="3">
        <v>189.103116948001</v>
      </c>
    </row>
    <row r="600" spans="1:11" ht="18" x14ac:dyDescent="0.25">
      <c r="A600" s="3">
        <v>2002.6666666666599</v>
      </c>
      <c r="B600" s="3">
        <f t="shared" si="45"/>
        <v>-147.72944297082228</v>
      </c>
      <c r="C600" s="3">
        <f t="shared" si="46"/>
        <v>-170.869417379487</v>
      </c>
      <c r="D600" s="3">
        <f t="shared" si="47"/>
        <v>-147.72944297082228</v>
      </c>
      <c r="E600" s="3">
        <f t="shared" si="48"/>
        <v>-159.39889270599622</v>
      </c>
      <c r="F600" s="3">
        <v>-83</v>
      </c>
      <c r="G600" s="3">
        <v>-93.769743472934906</v>
      </c>
      <c r="H600">
        <f t="shared" si="49"/>
        <v>535.45841563365855</v>
      </c>
      <c r="I600" s="3">
        <v>1929.6666666666599</v>
      </c>
      <c r="J600" s="3">
        <v>0</v>
      </c>
      <c r="K600" s="3">
        <v>205.965233374089</v>
      </c>
    </row>
    <row r="601" spans="1:11" ht="18" x14ac:dyDescent="0.25">
      <c r="A601" s="3">
        <v>2002.75</v>
      </c>
      <c r="B601" s="3">
        <f t="shared" si="45"/>
        <v>-129.72944297082228</v>
      </c>
      <c r="C601" s="3">
        <f t="shared" si="46"/>
        <v>-156.23829594460935</v>
      </c>
      <c r="D601" s="3">
        <f t="shared" si="47"/>
        <v>-129.72944297082228</v>
      </c>
      <c r="E601" s="3">
        <f t="shared" si="48"/>
        <v>-132.54135409577322</v>
      </c>
      <c r="F601" s="3">
        <v>-65</v>
      </c>
      <c r="G601" s="3">
        <v>-66.912204862711903</v>
      </c>
      <c r="H601">
        <f t="shared" si="49"/>
        <v>702.71928598585964</v>
      </c>
      <c r="I601" s="3">
        <v>1929.75</v>
      </c>
      <c r="J601" s="3">
        <v>0</v>
      </c>
      <c r="K601" s="3">
        <v>222.02713891512499</v>
      </c>
    </row>
    <row r="602" spans="1:11" ht="18" x14ac:dyDescent="0.25">
      <c r="A602" s="3">
        <v>2002.8333333333301</v>
      </c>
      <c r="B602" s="3">
        <f t="shared" si="45"/>
        <v>-105.72944297082228</v>
      </c>
      <c r="C602" s="3">
        <f t="shared" si="46"/>
        <v>-134.30420885910053</v>
      </c>
      <c r="D602" s="3">
        <f t="shared" si="47"/>
        <v>-105.72944297082228</v>
      </c>
      <c r="E602" s="3">
        <f t="shared" si="48"/>
        <v>-100.30644715143021</v>
      </c>
      <c r="F602" s="3">
        <v>-41</v>
      </c>
      <c r="G602" s="3">
        <v>-34.6772979183689</v>
      </c>
      <c r="H602">
        <f t="shared" si="49"/>
        <v>816.5172455699103</v>
      </c>
      <c r="I602" s="3">
        <v>1929.8333333333301</v>
      </c>
      <c r="J602" s="3">
        <v>0</v>
      </c>
      <c r="K602" s="3">
        <v>241.84617263361099</v>
      </c>
    </row>
    <row r="603" spans="1:11" ht="18" x14ac:dyDescent="0.25">
      <c r="A603" s="3">
        <v>2002.9166666666599</v>
      </c>
      <c r="B603" s="3">
        <f t="shared" si="45"/>
        <v>-23.729442970822276</v>
      </c>
      <c r="C603" s="3">
        <f t="shared" si="46"/>
        <v>-80.205012880191717</v>
      </c>
      <c r="D603" s="3">
        <f t="shared" si="47"/>
        <v>-23.729442970822276</v>
      </c>
      <c r="E603" s="3">
        <f t="shared" si="48"/>
        <v>-46.255940960616613</v>
      </c>
      <c r="F603" s="3">
        <v>41</v>
      </c>
      <c r="G603" s="3">
        <v>19.3732082724447</v>
      </c>
      <c r="H603">
        <f t="shared" si="49"/>
        <v>3189.489996588075</v>
      </c>
      <c r="I603" s="3">
        <v>1929.9166666666599</v>
      </c>
      <c r="J603" s="3">
        <v>0</v>
      </c>
      <c r="K603" s="3">
        <v>265.27880055643902</v>
      </c>
    </row>
    <row r="604" spans="1:11" ht="18" x14ac:dyDescent="0.25">
      <c r="A604" s="3">
        <v>2003</v>
      </c>
      <c r="B604" s="3">
        <f t="shared" si="45"/>
        <v>-23.729442970822276</v>
      </c>
      <c r="C604" s="3">
        <f t="shared" si="46"/>
        <v>10.461104691296983</v>
      </c>
      <c r="D604" s="3">
        <f t="shared" si="47"/>
        <v>-23.729442970822276</v>
      </c>
      <c r="E604" s="3">
        <f t="shared" si="48"/>
        <v>4.6635382973978921</v>
      </c>
      <c r="F604" s="3">
        <v>41</v>
      </c>
      <c r="G604" s="3">
        <v>70.292687530459204</v>
      </c>
      <c r="H604">
        <f t="shared" si="49"/>
        <v>1168.9935494356487</v>
      </c>
      <c r="I604" s="3">
        <v>1930</v>
      </c>
      <c r="J604" s="3">
        <v>0</v>
      </c>
      <c r="K604" s="3">
        <v>254.876661683278</v>
      </c>
    </row>
    <row r="605" spans="1:11" ht="18" x14ac:dyDescent="0.25">
      <c r="A605" s="3">
        <v>2003.0833333333301</v>
      </c>
      <c r="B605" s="3">
        <f t="shared" si="45"/>
        <v>-50.729442970822276</v>
      </c>
      <c r="C605" s="3">
        <f t="shared" si="46"/>
        <v>65.381870380927538</v>
      </c>
      <c r="D605" s="3">
        <f t="shared" si="47"/>
        <v>-50.729442970822276</v>
      </c>
      <c r="E605" s="3">
        <f t="shared" si="48"/>
        <v>35.491774853346683</v>
      </c>
      <c r="F605" s="3">
        <v>14</v>
      </c>
      <c r="G605" s="3">
        <v>101.120924086408</v>
      </c>
      <c r="H605">
        <f t="shared" si="49"/>
        <v>13481.837088268234</v>
      </c>
      <c r="I605" s="3">
        <v>1930.0833333333301</v>
      </c>
      <c r="J605" s="3">
        <v>0</v>
      </c>
      <c r="K605" s="3">
        <v>207.36341010781501</v>
      </c>
    </row>
    <row r="606" spans="1:11" ht="18" x14ac:dyDescent="0.25">
      <c r="A606" s="3">
        <v>2003.1666666666599</v>
      </c>
      <c r="B606" s="3">
        <f t="shared" si="45"/>
        <v>-50.729442970822276</v>
      </c>
      <c r="C606" s="3">
        <f t="shared" si="46"/>
        <v>113.03665919856439</v>
      </c>
      <c r="D606" s="3">
        <f t="shared" si="47"/>
        <v>-50.729442970822276</v>
      </c>
      <c r="E606" s="3">
        <f t="shared" si="48"/>
        <v>75.649163980294688</v>
      </c>
      <c r="F606" s="3">
        <v>14</v>
      </c>
      <c r="G606" s="3">
        <v>141.278313213356</v>
      </c>
      <c r="H606">
        <f t="shared" si="49"/>
        <v>26819.336219753994</v>
      </c>
      <c r="I606" s="3">
        <v>1930.1666666666599</v>
      </c>
      <c r="J606" s="3">
        <v>0</v>
      </c>
      <c r="K606" s="3">
        <v>169.696938388116</v>
      </c>
    </row>
    <row r="607" spans="1:11" ht="18" x14ac:dyDescent="0.25">
      <c r="A607" s="3">
        <v>2003.25</v>
      </c>
      <c r="B607" s="3">
        <f t="shared" si="45"/>
        <v>8.2705570291777235</v>
      </c>
      <c r="C607" s="3">
        <f t="shared" si="46"/>
        <v>151.50420200620709</v>
      </c>
      <c r="D607" s="3">
        <f t="shared" si="47"/>
        <v>8.2705570291777235</v>
      </c>
      <c r="E607" s="3">
        <f t="shared" si="48"/>
        <v>124.86390845128768</v>
      </c>
      <c r="F607" s="3">
        <v>73</v>
      </c>
      <c r="G607" s="3">
        <v>190.493057684349</v>
      </c>
      <c r="H607">
        <f t="shared" si="49"/>
        <v>20515.877053405693</v>
      </c>
      <c r="I607" s="3">
        <v>1930.25</v>
      </c>
      <c r="J607" s="3">
        <v>0</v>
      </c>
      <c r="K607" s="3">
        <v>148.25329883661499</v>
      </c>
    </row>
    <row r="608" spans="1:11" ht="18" x14ac:dyDescent="0.25">
      <c r="A608" s="3">
        <v>2003.3333333333301</v>
      </c>
      <c r="B608" s="3">
        <f t="shared" si="45"/>
        <v>129.27055702917772</v>
      </c>
      <c r="C608" s="3">
        <f t="shared" si="46"/>
        <v>179.95393788551729</v>
      </c>
      <c r="D608" s="3">
        <f t="shared" si="47"/>
        <v>129.27055702917772</v>
      </c>
      <c r="E608" s="3">
        <f t="shared" si="48"/>
        <v>178.94624442406069</v>
      </c>
      <c r="F608" s="3">
        <v>194</v>
      </c>
      <c r="G608" s="3">
        <v>244.57539365712199</v>
      </c>
      <c r="H608">
        <f t="shared" si="49"/>
        <v>2568.8050950287684</v>
      </c>
      <c r="I608" s="3">
        <v>1930.3333333333301</v>
      </c>
      <c r="J608" s="3">
        <v>0</v>
      </c>
      <c r="K608" s="3">
        <v>143.60969790892599</v>
      </c>
    </row>
    <row r="609" spans="1:11" ht="18" x14ac:dyDescent="0.25">
      <c r="A609" s="3">
        <v>2003.4166666666599</v>
      </c>
      <c r="B609" s="3">
        <f t="shared" si="45"/>
        <v>204.27055702917772</v>
      </c>
      <c r="C609" s="3">
        <f t="shared" si="46"/>
        <v>202.16823890304337</v>
      </c>
      <c r="D609" s="3">
        <f t="shared" si="47"/>
        <v>204.27055702917772</v>
      </c>
      <c r="E609" s="3">
        <f t="shared" si="48"/>
        <v>239.6961747354307</v>
      </c>
      <c r="F609" s="3">
        <v>269</v>
      </c>
      <c r="G609" s="3">
        <v>305.325323968492</v>
      </c>
      <c r="H609">
        <f t="shared" si="49"/>
        <v>4.419741503473043</v>
      </c>
      <c r="I609" s="3">
        <v>1930.4166666666599</v>
      </c>
      <c r="J609" s="3">
        <v>0</v>
      </c>
      <c r="K609" s="3">
        <v>160.29482693382499</v>
      </c>
    </row>
    <row r="610" spans="1:11" ht="18" x14ac:dyDescent="0.25">
      <c r="A610" s="3">
        <v>2003.5</v>
      </c>
      <c r="B610" s="3">
        <f t="shared" si="45"/>
        <v>223.27055702917772</v>
      </c>
      <c r="C610" s="3">
        <f t="shared" si="46"/>
        <v>209.92099164687292</v>
      </c>
      <c r="D610" s="3">
        <f t="shared" si="47"/>
        <v>223.27055702917772</v>
      </c>
      <c r="E610" s="3">
        <f t="shared" si="48"/>
        <v>266.79355431603472</v>
      </c>
      <c r="F610" s="3">
        <v>288</v>
      </c>
      <c r="G610" s="3">
        <v>332.42270354909601</v>
      </c>
      <c r="H610">
        <f t="shared" si="49"/>
        <v>178.21089589643077</v>
      </c>
      <c r="I610" s="3">
        <v>1930.5</v>
      </c>
      <c r="J610" s="3">
        <v>0</v>
      </c>
      <c r="K610" s="3">
        <v>159.84394379443901</v>
      </c>
    </row>
    <row r="611" spans="1:11" ht="18" x14ac:dyDescent="0.25">
      <c r="A611" s="3">
        <v>2003.5833333333301</v>
      </c>
      <c r="B611" s="3">
        <f t="shared" si="45"/>
        <v>248.27055702917772</v>
      </c>
      <c r="C611" s="3">
        <f t="shared" si="46"/>
        <v>208.30115776407973</v>
      </c>
      <c r="D611" s="3">
        <f t="shared" si="47"/>
        <v>248.27055702917772</v>
      </c>
      <c r="E611" s="3">
        <f t="shared" si="48"/>
        <v>260.8144836454747</v>
      </c>
      <c r="F611" s="3">
        <v>313</v>
      </c>
      <c r="G611" s="3">
        <v>326.44363287853599</v>
      </c>
      <c r="H611">
        <f t="shared" si="49"/>
        <v>1597.5528776128158</v>
      </c>
      <c r="I611" s="3">
        <v>1930.5833333333301</v>
      </c>
      <c r="J611" s="3">
        <v>0</v>
      </c>
      <c r="K611" s="3">
        <v>138.02064034827799</v>
      </c>
    </row>
    <row r="612" spans="1:11" ht="18" x14ac:dyDescent="0.25">
      <c r="A612" s="3">
        <v>2003.6666666666599</v>
      </c>
      <c r="B612" s="3">
        <f t="shared" si="45"/>
        <v>248.27055702917772</v>
      </c>
      <c r="C612" s="3">
        <f t="shared" si="46"/>
        <v>209.93900376673895</v>
      </c>
      <c r="D612" s="3">
        <f t="shared" si="47"/>
        <v>248.27055702917772</v>
      </c>
      <c r="E612" s="3">
        <f t="shared" si="48"/>
        <v>266.86105063279172</v>
      </c>
      <c r="F612" s="3">
        <v>313</v>
      </c>
      <c r="G612" s="3">
        <v>332.49019986585301</v>
      </c>
      <c r="H612">
        <f t="shared" si="49"/>
        <v>1469.3079755111805</v>
      </c>
      <c r="I612" s="3">
        <v>1930.6666666666599</v>
      </c>
      <c r="J612" s="3">
        <v>0</v>
      </c>
      <c r="K612" s="3">
        <v>120.23973345143</v>
      </c>
    </row>
    <row r="613" spans="1:11" ht="18" x14ac:dyDescent="0.25">
      <c r="A613" s="3">
        <v>2003.75</v>
      </c>
      <c r="B613" s="3">
        <f t="shared" si="45"/>
        <v>248.27055702917772</v>
      </c>
      <c r="C613" s="3">
        <f t="shared" si="46"/>
        <v>211.48525333960933</v>
      </c>
      <c r="D613" s="3">
        <f t="shared" si="47"/>
        <v>248.27055702917772</v>
      </c>
      <c r="E613" s="3">
        <f t="shared" si="48"/>
        <v>272.74061432543573</v>
      </c>
      <c r="F613" s="3">
        <v>313</v>
      </c>
      <c r="G613" s="3">
        <v>338.36976355849703</v>
      </c>
      <c r="H613">
        <f t="shared" si="49"/>
        <v>1353.1585675337742</v>
      </c>
      <c r="I613" s="3">
        <v>1930.75</v>
      </c>
      <c r="J613" s="3">
        <v>0</v>
      </c>
      <c r="K613" s="3">
        <v>86.809101557099495</v>
      </c>
    </row>
    <row r="614" spans="1:11" ht="18" x14ac:dyDescent="0.25">
      <c r="A614" s="3">
        <v>2003.8333333333301</v>
      </c>
      <c r="B614" s="3">
        <f t="shared" si="45"/>
        <v>248.27055702917772</v>
      </c>
      <c r="C614" s="3">
        <f t="shared" si="46"/>
        <v>205.70122440507154</v>
      </c>
      <c r="D614" s="3">
        <f t="shared" si="47"/>
        <v>248.27055702917772</v>
      </c>
      <c r="E614" s="3">
        <f t="shared" si="48"/>
        <v>251.57933175284768</v>
      </c>
      <c r="F614" s="3">
        <v>313</v>
      </c>
      <c r="G614" s="3">
        <v>317.20848098590898</v>
      </c>
      <c r="H614">
        <f t="shared" si="49"/>
        <v>1812.1480800617908</v>
      </c>
      <c r="I614" s="3">
        <v>1930.8333333333301</v>
      </c>
      <c r="J614" s="3">
        <v>0</v>
      </c>
      <c r="K614" s="3">
        <v>34.569904004814703</v>
      </c>
    </row>
    <row r="615" spans="1:11" ht="18" x14ac:dyDescent="0.25">
      <c r="A615" s="3">
        <v>2003.9166666666599</v>
      </c>
      <c r="B615" s="3">
        <f t="shared" si="45"/>
        <v>247.27055702917772</v>
      </c>
      <c r="C615" s="3">
        <f t="shared" si="46"/>
        <v>186.04886147838857</v>
      </c>
      <c r="D615" s="3">
        <f t="shared" si="47"/>
        <v>247.27055702917772</v>
      </c>
      <c r="E615" s="3">
        <f t="shared" si="48"/>
        <v>193.57310863616669</v>
      </c>
      <c r="F615" s="3">
        <v>312</v>
      </c>
      <c r="G615" s="3">
        <v>259.20225786922799</v>
      </c>
      <c r="H615">
        <f t="shared" si="49"/>
        <v>3748.0960061135161</v>
      </c>
      <c r="I615" s="3">
        <v>1930.9166666666599</v>
      </c>
      <c r="J615" s="3">
        <v>0</v>
      </c>
      <c r="K615" s="3">
        <v>-17.2077010876198</v>
      </c>
    </row>
    <row r="616" spans="1:11" ht="18" x14ac:dyDescent="0.25">
      <c r="A616" s="3">
        <v>2004</v>
      </c>
      <c r="B616" s="3">
        <f t="shared" si="45"/>
        <v>100.27055702917772</v>
      </c>
      <c r="C616" s="3">
        <f t="shared" si="46"/>
        <v>126.55621050025289</v>
      </c>
      <c r="D616" s="3">
        <f t="shared" si="47"/>
        <v>100.27055702917772</v>
      </c>
      <c r="E616" s="3">
        <f t="shared" si="48"/>
        <v>90.688122808604689</v>
      </c>
      <c r="F616" s="3">
        <v>165</v>
      </c>
      <c r="G616" s="3">
        <v>156.317272041666</v>
      </c>
      <c r="H616">
        <f t="shared" si="49"/>
        <v>690.93557840144581</v>
      </c>
      <c r="I616" s="3">
        <v>1931</v>
      </c>
      <c r="J616" s="3">
        <v>0</v>
      </c>
      <c r="K616" s="3">
        <v>-66.743143792334706</v>
      </c>
    </row>
    <row r="617" spans="1:11" ht="18" x14ac:dyDescent="0.25">
      <c r="A617" s="3">
        <v>2004.0833333333301</v>
      </c>
      <c r="B617" s="3">
        <f t="shared" si="45"/>
        <v>-48.729442970822276</v>
      </c>
      <c r="C617" s="3">
        <f t="shared" si="46"/>
        <v>-30.38016390880458</v>
      </c>
      <c r="D617" s="3">
        <f t="shared" si="47"/>
        <v>-48.729442970822276</v>
      </c>
      <c r="E617" s="3">
        <f t="shared" si="48"/>
        <v>-14.482387869797016</v>
      </c>
      <c r="F617" s="3">
        <v>16</v>
      </c>
      <c r="G617" s="3">
        <v>51.146761363264297</v>
      </c>
      <c r="H617">
        <f t="shared" si="49"/>
        <v>336.69604209580103</v>
      </c>
      <c r="I617" s="3">
        <v>1931.0833333333301</v>
      </c>
      <c r="J617" s="3">
        <v>0</v>
      </c>
      <c r="K617" s="3">
        <v>-89.456360153580903</v>
      </c>
    </row>
    <row r="618" spans="1:11" ht="18" x14ac:dyDescent="0.25">
      <c r="A618" s="3">
        <v>2004.1666666666599</v>
      </c>
      <c r="B618" s="3">
        <f t="shared" si="45"/>
        <v>-142.72944297082228</v>
      </c>
      <c r="C618" s="3">
        <f t="shared" si="46"/>
        <v>-124.55694987920391</v>
      </c>
      <c r="D618" s="3">
        <f t="shared" si="47"/>
        <v>-142.72944297082228</v>
      </c>
      <c r="E618" s="3">
        <f t="shared" si="48"/>
        <v>-88.331512427340712</v>
      </c>
      <c r="F618" s="3">
        <v>-78</v>
      </c>
      <c r="G618" s="3">
        <v>-22.7023631942794</v>
      </c>
      <c r="H618">
        <f t="shared" si="49"/>
        <v>330.23950516491715</v>
      </c>
      <c r="I618" s="3">
        <v>1931.1666666666599</v>
      </c>
      <c r="J618" s="3">
        <v>0</v>
      </c>
      <c r="K618" s="3">
        <v>-84.827969301540406</v>
      </c>
    </row>
    <row r="619" spans="1:11" ht="18" x14ac:dyDescent="0.25">
      <c r="A619" s="3">
        <v>2004.25</v>
      </c>
      <c r="B619" s="3">
        <f t="shared" si="45"/>
        <v>-176.72944297082228</v>
      </c>
      <c r="C619" s="3">
        <f t="shared" si="46"/>
        <v>-168.75846908444981</v>
      </c>
      <c r="D619" s="3">
        <f t="shared" si="47"/>
        <v>-176.72944297082228</v>
      </c>
      <c r="E619" s="3">
        <f t="shared" si="48"/>
        <v>-155.19817673383841</v>
      </c>
      <c r="F619" s="3">
        <v>-112</v>
      </c>
      <c r="G619" s="3">
        <v>-89.569027500777096</v>
      </c>
      <c r="H619">
        <f t="shared" si="49"/>
        <v>63.536424697231716</v>
      </c>
      <c r="I619" s="3">
        <v>1931.25</v>
      </c>
      <c r="J619" s="3">
        <v>0</v>
      </c>
      <c r="K619" s="3">
        <v>-89.124878933279504</v>
      </c>
    </row>
    <row r="620" spans="1:11" ht="18" x14ac:dyDescent="0.25">
      <c r="A620" s="3">
        <v>2004.3333333333301</v>
      </c>
      <c r="B620" s="3">
        <f t="shared" si="45"/>
        <v>-184.72944297082228</v>
      </c>
      <c r="C620" s="3">
        <f t="shared" si="46"/>
        <v>-190.1627278726863</v>
      </c>
      <c r="D620" s="3">
        <f t="shared" si="47"/>
        <v>-184.72944297082228</v>
      </c>
      <c r="E620" s="3">
        <f t="shared" si="48"/>
        <v>-204.2360991237623</v>
      </c>
      <c r="F620" s="3">
        <v>-120</v>
      </c>
      <c r="G620" s="3">
        <v>-138.606949890701</v>
      </c>
      <c r="H620">
        <f t="shared" si="49"/>
        <v>29.520584824823594</v>
      </c>
      <c r="I620" s="3">
        <v>1931.3333333333301</v>
      </c>
      <c r="J620" s="3">
        <v>0</v>
      </c>
      <c r="K620" s="3">
        <v>-81.870060187304404</v>
      </c>
    </row>
    <row r="621" spans="1:11" ht="18" x14ac:dyDescent="0.25">
      <c r="A621" s="3">
        <v>2004.4166666666599</v>
      </c>
      <c r="B621" s="3">
        <f t="shared" si="45"/>
        <v>-184.72944297082228</v>
      </c>
      <c r="C621" s="3">
        <f t="shared" si="46"/>
        <v>-194.14232737224984</v>
      </c>
      <c r="D621" s="3">
        <f t="shared" si="47"/>
        <v>-184.72944297082228</v>
      </c>
      <c r="E621" s="3">
        <f t="shared" si="48"/>
        <v>-215.22682472839932</v>
      </c>
      <c r="F621" s="3">
        <v>-120</v>
      </c>
      <c r="G621" s="3">
        <v>-149.597675495338</v>
      </c>
      <c r="H621">
        <f t="shared" si="49"/>
        <v>88.602392754638302</v>
      </c>
      <c r="I621" s="3">
        <v>1931.4166666666599</v>
      </c>
      <c r="J621" s="3">
        <v>0</v>
      </c>
      <c r="K621" s="3">
        <v>-43.877669073180698</v>
      </c>
    </row>
    <row r="622" spans="1:11" ht="18" x14ac:dyDescent="0.25">
      <c r="A622" s="3">
        <v>2004.5</v>
      </c>
      <c r="B622" s="3">
        <f t="shared" si="45"/>
        <v>-159.72944297082228</v>
      </c>
      <c r="C622" s="3">
        <f t="shared" si="46"/>
        <v>-192.53129693947324</v>
      </c>
      <c r="D622" s="3">
        <f t="shared" si="47"/>
        <v>-159.72944297082228</v>
      </c>
      <c r="E622" s="3">
        <f t="shared" si="48"/>
        <v>-210.69333030891534</v>
      </c>
      <c r="F622" s="3">
        <v>-95</v>
      </c>
      <c r="G622" s="3">
        <v>-145.06418107585401</v>
      </c>
      <c r="H622">
        <f t="shared" si="49"/>
        <v>1075.9616237807027</v>
      </c>
      <c r="I622" s="3">
        <v>1931.5</v>
      </c>
      <c r="J622" s="3">
        <v>0</v>
      </c>
      <c r="K622" s="3">
        <v>-11.296202483734501</v>
      </c>
    </row>
    <row r="623" spans="1:11" ht="18" x14ac:dyDescent="0.25">
      <c r="A623" s="3">
        <v>2004.5833333333301</v>
      </c>
      <c r="B623" s="3">
        <f t="shared" si="45"/>
        <v>-159.72944297082228</v>
      </c>
      <c r="C623" s="3">
        <f t="shared" si="46"/>
        <v>-186.04433719814614</v>
      </c>
      <c r="D623" s="3">
        <f t="shared" si="47"/>
        <v>-159.72944297082228</v>
      </c>
      <c r="E623" s="3">
        <f t="shared" si="48"/>
        <v>-193.5617487413503</v>
      </c>
      <c r="F623" s="3">
        <v>-95</v>
      </c>
      <c r="G623" s="3">
        <v>-127.932599508289</v>
      </c>
      <c r="H623">
        <f t="shared" si="49"/>
        <v>692.47365819524271</v>
      </c>
      <c r="I623" s="3">
        <v>1931.5833333333301</v>
      </c>
      <c r="J623" s="3">
        <v>0</v>
      </c>
      <c r="K623" s="3">
        <v>3.6039899172174898</v>
      </c>
    </row>
    <row r="624" spans="1:11" ht="18" x14ac:dyDescent="0.25">
      <c r="A624" s="3">
        <v>2004.6666666666599</v>
      </c>
      <c r="B624" s="3">
        <f t="shared" si="45"/>
        <v>-154.72944297082228</v>
      </c>
      <c r="C624" s="3">
        <f t="shared" si="46"/>
        <v>-178.02925647246408</v>
      </c>
      <c r="D624" s="3">
        <f t="shared" si="47"/>
        <v>-154.72944297082228</v>
      </c>
      <c r="E624" s="3">
        <f t="shared" si="48"/>
        <v>-174.59254809353331</v>
      </c>
      <c r="F624" s="3">
        <v>-90</v>
      </c>
      <c r="G624" s="3">
        <v>-108.963398860472</v>
      </c>
      <c r="H624">
        <f t="shared" si="49"/>
        <v>542.88130921128982</v>
      </c>
      <c r="I624" s="3">
        <v>1931.6666666666599</v>
      </c>
      <c r="J624" s="3">
        <v>0</v>
      </c>
      <c r="K624" s="3">
        <v>0.78885574613937504</v>
      </c>
    </row>
    <row r="625" spans="1:11" ht="18" x14ac:dyDescent="0.25">
      <c r="A625" s="3">
        <v>2004.75</v>
      </c>
      <c r="B625" s="3">
        <f t="shared" si="45"/>
        <v>-152.72944297082228</v>
      </c>
      <c r="C625" s="3">
        <f t="shared" si="46"/>
        <v>-181.24074512064928</v>
      </c>
      <c r="D625" s="3">
        <f t="shared" si="47"/>
        <v>-152.72944297082228</v>
      </c>
      <c r="E625" s="3">
        <f t="shared" si="48"/>
        <v>-181.92555877687033</v>
      </c>
      <c r="F625" s="3">
        <v>-88</v>
      </c>
      <c r="G625" s="3">
        <v>-116.29640954380901</v>
      </c>
      <c r="H625">
        <f t="shared" si="49"/>
        <v>812.89435027872992</v>
      </c>
      <c r="I625" s="3">
        <v>1931.75</v>
      </c>
      <c r="J625" s="3">
        <v>0</v>
      </c>
      <c r="K625" s="3">
        <v>-13.107071066146601</v>
      </c>
    </row>
    <row r="626" spans="1:11" ht="18" x14ac:dyDescent="0.25">
      <c r="A626" s="3">
        <v>2004.8333333333301</v>
      </c>
      <c r="B626" s="3">
        <f t="shared" si="45"/>
        <v>-137.72944297082228</v>
      </c>
      <c r="C626" s="3">
        <f t="shared" si="46"/>
        <v>-186.71868053006233</v>
      </c>
      <c r="D626" s="3">
        <f t="shared" si="47"/>
        <v>-137.72944297082228</v>
      </c>
      <c r="E626" s="3">
        <f t="shared" si="48"/>
        <v>-195.2635991846293</v>
      </c>
      <c r="F626" s="3">
        <v>-73</v>
      </c>
      <c r="G626" s="3">
        <v>-129.634449951568</v>
      </c>
      <c r="H626">
        <f t="shared" si="49"/>
        <v>2399.9453966356564</v>
      </c>
      <c r="I626" s="3">
        <v>1931.8333333333301</v>
      </c>
      <c r="J626" s="3">
        <v>0</v>
      </c>
      <c r="K626" s="3">
        <v>4.8714567949048098</v>
      </c>
    </row>
    <row r="627" spans="1:11" ht="18" x14ac:dyDescent="0.25">
      <c r="A627" s="3">
        <v>2004.9166666666599</v>
      </c>
      <c r="B627" s="3">
        <f t="shared" si="45"/>
        <v>-112.72944297082228</v>
      </c>
      <c r="C627" s="3">
        <f t="shared" si="46"/>
        <v>-189.01184714697263</v>
      </c>
      <c r="D627" s="3">
        <f t="shared" si="47"/>
        <v>-112.72944297082228</v>
      </c>
      <c r="E627" s="3">
        <f t="shared" si="48"/>
        <v>-201.18436739452233</v>
      </c>
      <c r="F627" s="3">
        <v>-48</v>
      </c>
      <c r="G627" s="3">
        <v>-135.555218161461</v>
      </c>
      <c r="H627">
        <f t="shared" si="49"/>
        <v>5819.0051868935607</v>
      </c>
      <c r="I627" s="3">
        <v>1931.9166666666599</v>
      </c>
      <c r="J627" s="3">
        <v>0</v>
      </c>
      <c r="K627" s="3">
        <v>51.390385498952902</v>
      </c>
    </row>
    <row r="628" spans="1:11" ht="18" x14ac:dyDescent="0.25">
      <c r="A628" s="3">
        <v>2005</v>
      </c>
      <c r="B628" s="3">
        <f t="shared" si="45"/>
        <v>-78.729442970822276</v>
      </c>
      <c r="C628" s="3">
        <f t="shared" si="46"/>
        <v>-191.14768888938346</v>
      </c>
      <c r="D628" s="3">
        <f t="shared" si="47"/>
        <v>-78.729442970822276</v>
      </c>
      <c r="E628" s="3">
        <f t="shared" si="48"/>
        <v>-206.89195451210929</v>
      </c>
      <c r="F628" s="3">
        <v>-14</v>
      </c>
      <c r="G628" s="3">
        <v>-141.262805279048</v>
      </c>
      <c r="H628">
        <f t="shared" si="49"/>
        <v>12637.862015406097</v>
      </c>
      <c r="I628" s="3">
        <v>1932</v>
      </c>
      <c r="J628" s="3">
        <v>0</v>
      </c>
      <c r="K628" s="3">
        <v>87.264462761508995</v>
      </c>
    </row>
    <row r="629" spans="1:11" ht="18" x14ac:dyDescent="0.25">
      <c r="A629" s="3">
        <v>2005.0833333333301</v>
      </c>
      <c r="B629" s="3">
        <f t="shared" si="45"/>
        <v>-78.729442970822276</v>
      </c>
      <c r="C629" s="3">
        <f t="shared" si="46"/>
        <v>-182.81939016724047</v>
      </c>
      <c r="D629" s="3">
        <f t="shared" si="47"/>
        <v>-78.729442970822276</v>
      </c>
      <c r="E629" s="3">
        <f t="shared" si="48"/>
        <v>-185.65821512093132</v>
      </c>
      <c r="F629" s="3">
        <v>-14</v>
      </c>
      <c r="G629" s="3">
        <v>-120.02906588787</v>
      </c>
      <c r="H629">
        <f t="shared" si="49"/>
        <v>10834.717107353128</v>
      </c>
      <c r="I629" s="3">
        <v>1932.0833333333301</v>
      </c>
      <c r="J629" s="3">
        <v>0</v>
      </c>
      <c r="K629" s="3">
        <v>115.787160536581</v>
      </c>
    </row>
    <row r="630" spans="1:11" ht="18" x14ac:dyDescent="0.25">
      <c r="A630" s="3">
        <v>2005.1666666666599</v>
      </c>
      <c r="B630" s="3">
        <f t="shared" si="45"/>
        <v>-55.729442970822276</v>
      </c>
      <c r="C630" s="3">
        <f t="shared" si="46"/>
        <v>-157.61966083577059</v>
      </c>
      <c r="D630" s="3">
        <f t="shared" si="47"/>
        <v>-55.729442970822276</v>
      </c>
      <c r="E630" s="3">
        <f t="shared" si="48"/>
        <v>-134.8671512869181</v>
      </c>
      <c r="F630" s="3">
        <v>9</v>
      </c>
      <c r="G630" s="3">
        <v>-69.238002053856803</v>
      </c>
      <c r="H630">
        <f t="shared" si="49"/>
        <v>10381.616496566632</v>
      </c>
      <c r="I630" s="3">
        <v>1932.1666666666599</v>
      </c>
      <c r="J630" s="3">
        <v>0</v>
      </c>
      <c r="K630" s="3">
        <v>132.00545221858499</v>
      </c>
    </row>
    <row r="631" spans="1:11" ht="18" x14ac:dyDescent="0.25">
      <c r="A631" s="3">
        <v>2005.25</v>
      </c>
      <c r="B631" s="3">
        <f t="shared" si="45"/>
        <v>-55.729442970822276</v>
      </c>
      <c r="C631" s="3">
        <f t="shared" si="46"/>
        <v>-102.72460582452359</v>
      </c>
      <c r="D631" s="3">
        <f t="shared" si="47"/>
        <v>-55.729442970822276</v>
      </c>
      <c r="E631" s="3">
        <f t="shared" si="48"/>
        <v>-65.449912887599183</v>
      </c>
      <c r="F631" s="3">
        <v>9</v>
      </c>
      <c r="G631" s="3">
        <v>0.17923634546212899</v>
      </c>
      <c r="H631">
        <f t="shared" si="49"/>
        <v>2208.5453316459079</v>
      </c>
      <c r="I631" s="3">
        <v>1932.25</v>
      </c>
      <c r="J631" s="3">
        <v>0</v>
      </c>
      <c r="K631" s="3">
        <v>134.78014130283199</v>
      </c>
    </row>
    <row r="632" spans="1:11" ht="18" x14ac:dyDescent="0.25">
      <c r="A632" s="3">
        <v>2005.3333333333301</v>
      </c>
      <c r="B632" s="3">
        <f t="shared" si="45"/>
        <v>113.27055702917772</v>
      </c>
      <c r="C632" s="3">
        <f t="shared" si="46"/>
        <v>74.137461640198097</v>
      </c>
      <c r="D632" s="3">
        <f t="shared" si="47"/>
        <v>113.27055702917772</v>
      </c>
      <c r="E632" s="3">
        <f t="shared" si="48"/>
        <v>41.691448877011695</v>
      </c>
      <c r="F632" s="3">
        <v>178</v>
      </c>
      <c r="G632" s="3">
        <v>107.32059811007301</v>
      </c>
      <c r="H632">
        <f t="shared" si="49"/>
        <v>1531.3991547229784</v>
      </c>
      <c r="I632" s="3">
        <v>1932.3333333333301</v>
      </c>
      <c r="J632" s="3">
        <v>0</v>
      </c>
      <c r="K632" s="3">
        <v>156.09957428976</v>
      </c>
    </row>
    <row r="633" spans="1:11" ht="18" x14ac:dyDescent="0.25">
      <c r="A633" s="3">
        <v>2005.4166666666599</v>
      </c>
      <c r="B633" s="3">
        <f t="shared" si="45"/>
        <v>201.27055702917772</v>
      </c>
      <c r="C633" s="3">
        <f t="shared" si="46"/>
        <v>166.72938457703466</v>
      </c>
      <c r="D633" s="3">
        <f t="shared" si="47"/>
        <v>201.27055702917772</v>
      </c>
      <c r="E633" s="3">
        <f t="shared" si="48"/>
        <v>151.2711059403137</v>
      </c>
      <c r="F633" s="3">
        <v>266</v>
      </c>
      <c r="G633" s="3">
        <v>216.900255173375</v>
      </c>
      <c r="H633">
        <f t="shared" si="49"/>
        <v>1193.0925943686866</v>
      </c>
      <c r="I633" s="3">
        <v>1932.4166666666599</v>
      </c>
      <c r="J633" s="3">
        <v>0</v>
      </c>
      <c r="K633" s="3">
        <v>177.616226003148</v>
      </c>
    </row>
    <row r="634" spans="1:11" ht="18" x14ac:dyDescent="0.25">
      <c r="A634" s="3">
        <v>2005.5</v>
      </c>
      <c r="B634" s="3">
        <f t="shared" si="45"/>
        <v>221.27055702917772</v>
      </c>
      <c r="C634" s="3">
        <f t="shared" si="46"/>
        <v>190.39930004138563</v>
      </c>
      <c r="D634" s="3">
        <f t="shared" si="47"/>
        <v>221.27055702917772</v>
      </c>
      <c r="E634" s="3">
        <f t="shared" si="48"/>
        <v>204.87024331373073</v>
      </c>
      <c r="F634" s="3">
        <v>286</v>
      </c>
      <c r="G634" s="3">
        <v>270.49939254679202</v>
      </c>
      <c r="H634">
        <f t="shared" si="49"/>
        <v>953.03450800630219</v>
      </c>
      <c r="I634" s="3">
        <v>1932.5</v>
      </c>
      <c r="J634" s="3">
        <v>0</v>
      </c>
      <c r="K634" s="3">
        <v>170.168595188457</v>
      </c>
    </row>
    <row r="635" spans="1:11" ht="18" x14ac:dyDescent="0.25">
      <c r="A635" s="3">
        <v>2005.5833333333301</v>
      </c>
      <c r="B635" s="3">
        <f t="shared" si="45"/>
        <v>244.27055702917772</v>
      </c>
      <c r="C635" s="3">
        <f t="shared" si="46"/>
        <v>193.48254854776852</v>
      </c>
      <c r="D635" s="3">
        <f t="shared" si="47"/>
        <v>244.27055702917772</v>
      </c>
      <c r="E635" s="3">
        <f t="shared" si="48"/>
        <v>213.35596488954673</v>
      </c>
      <c r="F635" s="3">
        <v>309</v>
      </c>
      <c r="G635" s="3">
        <v>278.98511412260802</v>
      </c>
      <c r="H635">
        <f t="shared" si="49"/>
        <v>2579.4218055076935</v>
      </c>
      <c r="I635" s="3">
        <v>1932.5833333333301</v>
      </c>
      <c r="J635" s="3">
        <v>0</v>
      </c>
      <c r="K635" s="3">
        <v>159.951209357842</v>
      </c>
    </row>
    <row r="636" spans="1:11" ht="18" x14ac:dyDescent="0.25">
      <c r="A636" s="3">
        <v>2005.6666666666599</v>
      </c>
      <c r="B636" s="3">
        <f t="shared" si="45"/>
        <v>251.27055702917772</v>
      </c>
      <c r="C636" s="3">
        <f t="shared" si="46"/>
        <v>190.57351179028328</v>
      </c>
      <c r="D636" s="3">
        <f t="shared" si="47"/>
        <v>251.27055702917772</v>
      </c>
      <c r="E636" s="3">
        <f t="shared" si="48"/>
        <v>205.33873624969169</v>
      </c>
      <c r="F636" s="3">
        <v>316</v>
      </c>
      <c r="G636" s="3">
        <v>270.96788548275299</v>
      </c>
      <c r="H636">
        <f t="shared" si="49"/>
        <v>3684.1313007323988</v>
      </c>
      <c r="I636" s="3">
        <v>1932.6666666666599</v>
      </c>
      <c r="J636" s="3">
        <v>0</v>
      </c>
      <c r="K636" s="3">
        <v>159.488814191052</v>
      </c>
    </row>
    <row r="637" spans="1:11" ht="18" x14ac:dyDescent="0.25">
      <c r="A637" s="3">
        <v>2005.75</v>
      </c>
      <c r="B637" s="3">
        <f t="shared" si="45"/>
        <v>253.27055702917772</v>
      </c>
      <c r="C637" s="3">
        <f t="shared" si="46"/>
        <v>192.28210118681761</v>
      </c>
      <c r="D637" s="3">
        <f t="shared" si="47"/>
        <v>253.27055702917772</v>
      </c>
      <c r="E637" s="3">
        <f t="shared" si="48"/>
        <v>210.00248726469971</v>
      </c>
      <c r="F637" s="3">
        <v>318</v>
      </c>
      <c r="G637" s="3">
        <v>275.63163649776101</v>
      </c>
      <c r="H637">
        <f t="shared" si="49"/>
        <v>3719.591746035509</v>
      </c>
      <c r="I637" s="3">
        <v>1932.75</v>
      </c>
      <c r="J637" s="3">
        <v>0</v>
      </c>
      <c r="K637" s="3">
        <v>168.93957823496899</v>
      </c>
    </row>
    <row r="638" spans="1:11" ht="18" x14ac:dyDescent="0.25">
      <c r="A638" s="3">
        <v>2005.8333333333301</v>
      </c>
      <c r="B638" s="3">
        <f t="shared" si="45"/>
        <v>255.27055702917772</v>
      </c>
      <c r="C638" s="3">
        <f t="shared" si="46"/>
        <v>202.93971184925451</v>
      </c>
      <c r="D638" s="3">
        <f t="shared" si="47"/>
        <v>255.27055702917772</v>
      </c>
      <c r="E638" s="3">
        <f t="shared" si="48"/>
        <v>242.22856665368272</v>
      </c>
      <c r="F638" s="3">
        <v>320</v>
      </c>
      <c r="G638" s="3">
        <v>307.85771588674402</v>
      </c>
      <c r="H638">
        <f t="shared" si="49"/>
        <v>2738.5173572450931</v>
      </c>
      <c r="I638" s="3">
        <v>1932.8333333333301</v>
      </c>
      <c r="J638" s="3">
        <v>0</v>
      </c>
      <c r="K638" s="3">
        <v>183.13618570170701</v>
      </c>
    </row>
    <row r="639" spans="1:11" ht="18" x14ac:dyDescent="0.25">
      <c r="A639" s="3">
        <v>2005.9166666666599</v>
      </c>
      <c r="B639" s="3">
        <f t="shared" si="45"/>
        <v>259.27055702917772</v>
      </c>
      <c r="C639" s="3">
        <f t="shared" si="46"/>
        <v>205.2927957004309</v>
      </c>
      <c r="D639" s="3">
        <f t="shared" si="47"/>
        <v>259.27055702917772</v>
      </c>
      <c r="E639" s="3">
        <f t="shared" si="48"/>
        <v>250.16739559411872</v>
      </c>
      <c r="F639" s="3">
        <v>324</v>
      </c>
      <c r="G639" s="3">
        <v>315.79654482718001</v>
      </c>
      <c r="H639">
        <f t="shared" si="49"/>
        <v>2913.598718063156</v>
      </c>
      <c r="I639" s="3">
        <v>1932.9166666666599</v>
      </c>
      <c r="J639" s="3">
        <v>0</v>
      </c>
      <c r="K639" s="3">
        <v>159.21499447926399</v>
      </c>
    </row>
    <row r="640" spans="1:11" ht="18" x14ac:dyDescent="0.25">
      <c r="A640" s="3">
        <v>2006</v>
      </c>
      <c r="B640" s="3">
        <f t="shared" si="45"/>
        <v>259.27055702917772</v>
      </c>
      <c r="C640" s="3">
        <f t="shared" si="46"/>
        <v>192.20858400330735</v>
      </c>
      <c r="D640" s="3">
        <f t="shared" si="47"/>
        <v>259.27055702917772</v>
      </c>
      <c r="E640" s="3">
        <f t="shared" si="48"/>
        <v>209.79920044952269</v>
      </c>
      <c r="F640" s="3">
        <v>324</v>
      </c>
      <c r="G640" s="3">
        <v>275.42834968258398</v>
      </c>
      <c r="H640">
        <f t="shared" si="49"/>
        <v>4497.3082261225654</v>
      </c>
      <c r="I640" s="3">
        <v>1933</v>
      </c>
      <c r="J640" s="3">
        <v>0</v>
      </c>
      <c r="K640" s="3">
        <v>102.769533405498</v>
      </c>
    </row>
    <row r="641" spans="1:11" ht="18" x14ac:dyDescent="0.25">
      <c r="A641" s="3">
        <v>2006.0833333333301</v>
      </c>
      <c r="B641" s="3">
        <f t="shared" si="45"/>
        <v>223.27055702917772</v>
      </c>
      <c r="C641" s="3">
        <f t="shared" si="46"/>
        <v>172.5052085766547</v>
      </c>
      <c r="D641" s="3">
        <f t="shared" si="47"/>
        <v>223.27055702917772</v>
      </c>
      <c r="E641" s="3">
        <f t="shared" si="48"/>
        <v>162.73807016460069</v>
      </c>
      <c r="F641" s="3">
        <v>288</v>
      </c>
      <c r="G641" s="3">
        <v>228.36721939766201</v>
      </c>
      <c r="H641">
        <f t="shared" si="49"/>
        <v>2577.1206035060823</v>
      </c>
      <c r="I641" s="3">
        <v>1933.0833333333301</v>
      </c>
      <c r="J641" s="3">
        <v>0</v>
      </c>
      <c r="K641" s="3">
        <v>64.366552346650195</v>
      </c>
    </row>
    <row r="642" spans="1:11" ht="18" x14ac:dyDescent="0.25">
      <c r="A642" s="3">
        <v>2006.1666666666599</v>
      </c>
      <c r="B642" s="3">
        <f t="shared" si="45"/>
        <v>28.270557029177724</v>
      </c>
      <c r="C642" s="3">
        <f t="shared" si="46"/>
        <v>146.85282440270376</v>
      </c>
      <c r="D642" s="3">
        <f t="shared" si="47"/>
        <v>28.270557029177724</v>
      </c>
      <c r="E642" s="3">
        <f t="shared" si="48"/>
        <v>117.7350338398157</v>
      </c>
      <c r="F642" s="3">
        <v>93</v>
      </c>
      <c r="G642" s="3">
        <v>183.36418307287701</v>
      </c>
      <c r="H642">
        <f t="shared" si="49"/>
        <v>14061.754135446417</v>
      </c>
      <c r="I642" s="3">
        <v>1933.1666666666599</v>
      </c>
      <c r="J642" s="3">
        <v>0</v>
      </c>
      <c r="K642" s="3">
        <v>36.684619024876802</v>
      </c>
    </row>
    <row r="643" spans="1:11" ht="18" x14ac:dyDescent="0.25">
      <c r="A643" s="3">
        <v>2006.25</v>
      </c>
      <c r="B643" s="3">
        <f t="shared" si="45"/>
        <v>-147.72944297082228</v>
      </c>
      <c r="C643" s="3">
        <f t="shared" si="46"/>
        <v>112.66482183364717</v>
      </c>
      <c r="D643" s="3">
        <f t="shared" si="47"/>
        <v>-147.72944297082228</v>
      </c>
      <c r="E643" s="3">
        <f t="shared" si="48"/>
        <v>75.263563104834688</v>
      </c>
      <c r="F643" s="3">
        <v>-83</v>
      </c>
      <c r="G643" s="3">
        <v>140.892712337896</v>
      </c>
      <c r="H643">
        <f t="shared" si="49"/>
        <v>67805.173143060165</v>
      </c>
      <c r="I643" s="3">
        <v>1933.25</v>
      </c>
      <c r="J643" s="3">
        <v>0</v>
      </c>
      <c r="K643" s="3">
        <v>9.3549560005570793</v>
      </c>
    </row>
    <row r="644" spans="1:11" ht="18" x14ac:dyDescent="0.25">
      <c r="A644" s="3">
        <v>2006.3333333333301</v>
      </c>
      <c r="B644" s="3">
        <f t="shared" si="45"/>
        <v>-149.72944297082228</v>
      </c>
      <c r="C644" s="3">
        <f t="shared" si="46"/>
        <v>75.977006482519414</v>
      </c>
      <c r="D644" s="3">
        <f t="shared" si="47"/>
        <v>-149.72944297082228</v>
      </c>
      <c r="E644" s="3">
        <f t="shared" si="48"/>
        <v>43.051093425049686</v>
      </c>
      <c r="F644" s="3">
        <v>-85</v>
      </c>
      <c r="G644" s="3">
        <v>108.680242658111</v>
      </c>
      <c r="H644">
        <f t="shared" si="49"/>
        <v>50943.401324833889</v>
      </c>
      <c r="I644" s="3">
        <v>1933.3333333333301</v>
      </c>
      <c r="J644" s="3">
        <v>0</v>
      </c>
      <c r="K644" s="3">
        <v>-3.39888823433277</v>
      </c>
    </row>
    <row r="645" spans="1:11" ht="18" x14ac:dyDescent="0.25">
      <c r="A645" s="3">
        <v>2006.4166666666599</v>
      </c>
      <c r="B645" s="3">
        <f t="shared" si="45"/>
        <v>-170.72944297082228</v>
      </c>
      <c r="C645" s="3">
        <f t="shared" si="46"/>
        <v>-17.83583596498201</v>
      </c>
      <c r="D645" s="3">
        <f t="shared" si="47"/>
        <v>-170.72944297082228</v>
      </c>
      <c r="E645" s="3">
        <f t="shared" si="48"/>
        <v>-8.1467355770003138</v>
      </c>
      <c r="F645" s="3">
        <v>-106</v>
      </c>
      <c r="G645" s="3">
        <v>57.482413656060999</v>
      </c>
      <c r="H645">
        <f t="shared" si="49"/>
        <v>23376.455063256326</v>
      </c>
      <c r="I645" s="3">
        <v>1933.4166666666599</v>
      </c>
      <c r="J645" s="3">
        <v>0</v>
      </c>
      <c r="K645" s="3">
        <v>-11.5530506675161</v>
      </c>
    </row>
    <row r="646" spans="1:11" ht="18" x14ac:dyDescent="0.25">
      <c r="A646" s="3">
        <v>2006.5</v>
      </c>
      <c r="B646" s="3">
        <f t="shared" ref="B646:B709" si="50">+$D646</f>
        <v>-187.72944297082228</v>
      </c>
      <c r="C646" s="3">
        <f t="shared" ref="C646:C709" si="51">$B$1*$E646/(1+$B$3*ABS($E646)^$B$2)</f>
        <v>-112.89696250213029</v>
      </c>
      <c r="D646" s="3">
        <f t="shared" ref="D646:D709" si="52">+F646-$F$3</f>
        <v>-187.72944297082228</v>
      </c>
      <c r="E646" s="3">
        <f t="shared" ref="E646:E709" si="53">+$G646-$G$3</f>
        <v>-75.504132212313792</v>
      </c>
      <c r="F646" s="3">
        <v>-123</v>
      </c>
      <c r="G646" s="3">
        <v>-9.8749829792524793</v>
      </c>
      <c r="H646">
        <f t="shared" ref="H646:H709" si="54">+(B646-C646)^2</f>
        <v>5599.9001330971669</v>
      </c>
      <c r="I646" s="3">
        <v>1933.5</v>
      </c>
      <c r="J646" s="3">
        <v>0</v>
      </c>
      <c r="K646" s="3">
        <v>-5.1419422800897197</v>
      </c>
    </row>
    <row r="647" spans="1:11" ht="18" x14ac:dyDescent="0.25">
      <c r="A647" s="3">
        <v>2006.5833333333301</v>
      </c>
      <c r="B647" s="3">
        <f t="shared" si="50"/>
        <v>-187.72944297082228</v>
      </c>
      <c r="C647" s="3">
        <f t="shared" si="51"/>
        <v>-153.08097601476422</v>
      </c>
      <c r="D647" s="3">
        <f t="shared" si="52"/>
        <v>-187.72944297082228</v>
      </c>
      <c r="E647" s="3">
        <f t="shared" si="53"/>
        <v>-127.37196926430191</v>
      </c>
      <c r="F647" s="3">
        <v>-123</v>
      </c>
      <c r="G647" s="3">
        <v>-61.742820031240598</v>
      </c>
      <c r="H647">
        <f t="shared" si="54"/>
        <v>1200.5162624050472</v>
      </c>
      <c r="I647" s="3">
        <v>1933.5833333333301</v>
      </c>
      <c r="J647" s="3">
        <v>0</v>
      </c>
      <c r="K647" s="3">
        <v>21.794985268582199</v>
      </c>
    </row>
    <row r="648" spans="1:11" ht="18" x14ac:dyDescent="0.25">
      <c r="A648" s="3">
        <v>2006.6666666666599</v>
      </c>
      <c r="B648" s="3">
        <f t="shared" si="50"/>
        <v>-173.72944297082228</v>
      </c>
      <c r="C648" s="3">
        <f t="shared" si="51"/>
        <v>-175.66740997326909</v>
      </c>
      <c r="D648" s="3">
        <f t="shared" si="52"/>
        <v>-173.72944297082228</v>
      </c>
      <c r="E648" s="3">
        <f t="shared" si="53"/>
        <v>-169.41122469153331</v>
      </c>
      <c r="F648" s="3">
        <v>-109</v>
      </c>
      <c r="G648" s="3">
        <v>-103.78207545847199</v>
      </c>
      <c r="H648">
        <f t="shared" si="54"/>
        <v>3.7557161025726788</v>
      </c>
      <c r="I648" s="3">
        <v>1933.6666666666599</v>
      </c>
      <c r="J648" s="3">
        <v>0</v>
      </c>
      <c r="K648" s="3">
        <v>33.819582647749101</v>
      </c>
    </row>
    <row r="649" spans="1:11" ht="18" x14ac:dyDescent="0.25">
      <c r="A649" s="3">
        <v>2006.75</v>
      </c>
      <c r="B649" s="3">
        <f t="shared" si="50"/>
        <v>-157.72944297082228</v>
      </c>
      <c r="C649" s="3">
        <f t="shared" si="51"/>
        <v>-186.68118104427165</v>
      </c>
      <c r="D649" s="3">
        <f t="shared" si="52"/>
        <v>-157.72944297082228</v>
      </c>
      <c r="E649" s="3">
        <f t="shared" si="53"/>
        <v>-195.16850110598034</v>
      </c>
      <c r="F649" s="3">
        <v>-93</v>
      </c>
      <c r="G649" s="3">
        <v>-129.53935187291901</v>
      </c>
      <c r="H649">
        <f t="shared" si="54"/>
        <v>838.2031374736182</v>
      </c>
      <c r="I649" s="3">
        <v>1933.75</v>
      </c>
      <c r="J649" s="3">
        <v>0</v>
      </c>
      <c r="K649" s="3">
        <v>31.5767174590274</v>
      </c>
    </row>
    <row r="650" spans="1:11" ht="18" x14ac:dyDescent="0.25">
      <c r="A650" s="3">
        <v>2006.8333333333301</v>
      </c>
      <c r="B650" s="3">
        <f t="shared" si="50"/>
        <v>-157.72944297082228</v>
      </c>
      <c r="C650" s="3">
        <f t="shared" si="51"/>
        <v>-189.07170562620976</v>
      </c>
      <c r="D650" s="3">
        <f t="shared" si="52"/>
        <v>-157.72944297082228</v>
      </c>
      <c r="E650" s="3">
        <f t="shared" si="53"/>
        <v>-201.34174462288229</v>
      </c>
      <c r="F650" s="3">
        <v>-93</v>
      </c>
      <c r="G650" s="3">
        <v>-135.71259538982099</v>
      </c>
      <c r="H650">
        <f t="shared" si="54"/>
        <v>982.33742835929706</v>
      </c>
      <c r="I650" s="3">
        <v>1933.8333333333301</v>
      </c>
      <c r="J650" s="3">
        <v>0</v>
      </c>
      <c r="K650" s="3">
        <v>25.369077218166101</v>
      </c>
    </row>
    <row r="651" spans="1:11" ht="18" x14ac:dyDescent="0.25">
      <c r="A651" s="3">
        <v>2006.9166666666599</v>
      </c>
      <c r="B651" s="3">
        <f t="shared" si="50"/>
        <v>-153.72944297082228</v>
      </c>
      <c r="C651" s="3">
        <f t="shared" si="51"/>
        <v>-194.25111299451615</v>
      </c>
      <c r="D651" s="3">
        <f t="shared" si="52"/>
        <v>-153.72944297082228</v>
      </c>
      <c r="E651" s="3">
        <f t="shared" si="53"/>
        <v>-215.5372164601153</v>
      </c>
      <c r="F651" s="3">
        <v>-89</v>
      </c>
      <c r="G651" s="3">
        <v>-149.908067227054</v>
      </c>
      <c r="H651">
        <f t="shared" si="54"/>
        <v>1642.0057415091305</v>
      </c>
      <c r="I651" s="3">
        <v>1933.9166666666599</v>
      </c>
      <c r="J651" s="3">
        <v>0</v>
      </c>
      <c r="K651" s="3">
        <v>-4.0235975237908601</v>
      </c>
    </row>
    <row r="652" spans="1:11" ht="18" x14ac:dyDescent="0.25">
      <c r="A652" s="3">
        <v>2007</v>
      </c>
      <c r="B652" s="3">
        <f t="shared" si="50"/>
        <v>-137.72944297082228</v>
      </c>
      <c r="C652" s="3">
        <f t="shared" si="51"/>
        <v>-196.46967804204851</v>
      </c>
      <c r="D652" s="3">
        <f t="shared" si="52"/>
        <v>-137.72944297082228</v>
      </c>
      <c r="E652" s="3">
        <f t="shared" si="53"/>
        <v>-221.9888588773303</v>
      </c>
      <c r="F652" s="3">
        <v>-73</v>
      </c>
      <c r="G652" s="3">
        <v>-156.359709644269</v>
      </c>
      <c r="H652">
        <f t="shared" si="54"/>
        <v>3450.415216222917</v>
      </c>
      <c r="I652" s="3">
        <v>1934</v>
      </c>
      <c r="J652" s="3">
        <v>0</v>
      </c>
      <c r="K652" s="3">
        <v>-38.126683120937301</v>
      </c>
    </row>
    <row r="653" spans="1:11" ht="18" x14ac:dyDescent="0.25">
      <c r="A653" s="3">
        <v>2007.0833333333301</v>
      </c>
      <c r="B653" s="3">
        <f t="shared" si="50"/>
        <v>-118.72944297082228</v>
      </c>
      <c r="C653" s="3">
        <f t="shared" si="51"/>
        <v>-190.53650535752143</v>
      </c>
      <c r="D653" s="3">
        <f t="shared" si="52"/>
        <v>-118.72944297082228</v>
      </c>
      <c r="E653" s="3">
        <f t="shared" si="53"/>
        <v>-205.23911058724633</v>
      </c>
      <c r="F653" s="3">
        <v>-54</v>
      </c>
      <c r="G653" s="3">
        <v>-139.609961354185</v>
      </c>
      <c r="H653">
        <f t="shared" si="54"/>
        <v>5156.2542086073054</v>
      </c>
      <c r="I653" s="3">
        <v>1934.0833333333301</v>
      </c>
      <c r="J653" s="3">
        <v>0</v>
      </c>
      <c r="K653" s="3">
        <v>-61.898384929362003</v>
      </c>
    </row>
    <row r="654" spans="1:11" ht="18" x14ac:dyDescent="0.25">
      <c r="A654" s="3">
        <v>2007.1666666666599</v>
      </c>
      <c r="B654" s="3">
        <f t="shared" si="50"/>
        <v>-117.72944297082228</v>
      </c>
      <c r="C654" s="3">
        <f t="shared" si="51"/>
        <v>-184.85198208235022</v>
      </c>
      <c r="D654" s="3">
        <f t="shared" si="52"/>
        <v>-117.72944297082228</v>
      </c>
      <c r="E654" s="3">
        <f t="shared" si="53"/>
        <v>-190.59487186789332</v>
      </c>
      <c r="F654" s="3">
        <v>-53</v>
      </c>
      <c r="G654" s="3">
        <v>-124.96572263483201</v>
      </c>
      <c r="H654">
        <f t="shared" si="54"/>
        <v>4505.4352567785982</v>
      </c>
      <c r="I654" s="3">
        <v>1934.1666666666599</v>
      </c>
      <c r="J654" s="3">
        <v>0</v>
      </c>
      <c r="K654" s="3">
        <v>-86.349727615731993</v>
      </c>
    </row>
    <row r="655" spans="1:11" ht="18" x14ac:dyDescent="0.25">
      <c r="A655" s="3">
        <v>2007.25</v>
      </c>
      <c r="B655" s="3">
        <f t="shared" si="50"/>
        <v>-78.729442970822276</v>
      </c>
      <c r="C655" s="3">
        <f t="shared" si="51"/>
        <v>-170.82560280213156</v>
      </c>
      <c r="D655" s="3">
        <f t="shared" si="52"/>
        <v>-78.729442970822276</v>
      </c>
      <c r="E655" s="3">
        <f t="shared" si="53"/>
        <v>-159.31047592811882</v>
      </c>
      <c r="F655" s="3">
        <v>-14</v>
      </c>
      <c r="G655" s="3">
        <v>-93.681326695057507</v>
      </c>
      <c r="H655">
        <f t="shared" si="54"/>
        <v>8481.7026556740657</v>
      </c>
      <c r="I655" s="3">
        <v>1934.25</v>
      </c>
      <c r="J655" s="3">
        <v>0</v>
      </c>
      <c r="K655" s="3">
        <v>-75.787039485835095</v>
      </c>
    </row>
    <row r="656" spans="1:11" ht="18" x14ac:dyDescent="0.25">
      <c r="A656" s="3">
        <v>2007.3333333333301</v>
      </c>
      <c r="B656" s="3">
        <f t="shared" si="50"/>
        <v>82.270557029177724</v>
      </c>
      <c r="C656" s="3">
        <f t="shared" si="51"/>
        <v>-124.60810912562836</v>
      </c>
      <c r="D656" s="3">
        <f t="shared" si="52"/>
        <v>82.270557029177724</v>
      </c>
      <c r="E656" s="3">
        <f t="shared" si="53"/>
        <v>-88.391207477845114</v>
      </c>
      <c r="F656" s="3">
        <v>147</v>
      </c>
      <c r="G656" s="3">
        <v>-22.762058244783798</v>
      </c>
      <c r="H656">
        <f t="shared" si="54"/>
        <v>42798.782509991703</v>
      </c>
      <c r="I656" s="3">
        <v>1934.3333333333301</v>
      </c>
      <c r="J656" s="3">
        <v>0</v>
      </c>
      <c r="K656" s="3">
        <v>-11.173659448458</v>
      </c>
    </row>
    <row r="657" spans="1:11" ht="18" x14ac:dyDescent="0.25">
      <c r="A657" s="3">
        <v>2007.4166666666599</v>
      </c>
      <c r="B657" s="3">
        <f t="shared" si="50"/>
        <v>188.27055702917772</v>
      </c>
      <c r="C657" s="3">
        <f t="shared" si="51"/>
        <v>-9.3205931123753754</v>
      </c>
      <c r="D657" s="3">
        <f t="shared" si="52"/>
        <v>188.27055702917772</v>
      </c>
      <c r="E657" s="3">
        <f t="shared" si="53"/>
        <v>-4.1397326613294112</v>
      </c>
      <c r="F657" s="3">
        <v>253</v>
      </c>
      <c r="G657" s="3">
        <v>61.489416571731901</v>
      </c>
      <c r="H657">
        <f t="shared" si="54"/>
        <v>39042.262614261781</v>
      </c>
      <c r="I657" s="3">
        <v>1934.4166666666599</v>
      </c>
      <c r="J657" s="3">
        <v>0</v>
      </c>
      <c r="K657" s="3">
        <v>69.078671757307504</v>
      </c>
    </row>
    <row r="658" spans="1:11" ht="18" x14ac:dyDescent="0.25">
      <c r="A658" s="3">
        <v>2007.5</v>
      </c>
      <c r="B658" s="3">
        <f t="shared" si="50"/>
        <v>232.27055702917772</v>
      </c>
      <c r="C658" s="3">
        <f t="shared" si="51"/>
        <v>110.34095130859521</v>
      </c>
      <c r="D658" s="3">
        <f t="shared" si="52"/>
        <v>232.27055702917772</v>
      </c>
      <c r="E658" s="3">
        <f t="shared" si="53"/>
        <v>72.88500611590068</v>
      </c>
      <c r="F658" s="3">
        <v>297</v>
      </c>
      <c r="G658" s="3">
        <v>138.51415534896199</v>
      </c>
      <c r="H658">
        <f t="shared" si="54"/>
        <v>14866.828751176708</v>
      </c>
      <c r="I658" s="3">
        <v>1934.5</v>
      </c>
      <c r="J658" s="3">
        <v>0</v>
      </c>
      <c r="K658" s="3">
        <v>138.97025494264</v>
      </c>
    </row>
    <row r="659" spans="1:11" ht="18" x14ac:dyDescent="0.25">
      <c r="A659" s="3">
        <v>2007.5833333333301</v>
      </c>
      <c r="B659" s="3">
        <f t="shared" si="50"/>
        <v>248.27055702917772</v>
      </c>
      <c r="C659" s="3">
        <f t="shared" si="51"/>
        <v>145.98434529671172</v>
      </c>
      <c r="D659" s="3">
        <f t="shared" si="52"/>
        <v>248.27055702917772</v>
      </c>
      <c r="E659" s="3">
        <f t="shared" si="53"/>
        <v>116.44676163889368</v>
      </c>
      <c r="F659" s="3">
        <v>313</v>
      </c>
      <c r="G659" s="3">
        <v>182.07591087195499</v>
      </c>
      <c r="H659">
        <f t="shared" si="54"/>
        <v>10462.469110578866</v>
      </c>
      <c r="I659" s="3">
        <v>1934.5833333333301</v>
      </c>
      <c r="J659" s="3">
        <v>0</v>
      </c>
      <c r="K659" s="3">
        <v>174.60340194449</v>
      </c>
    </row>
    <row r="660" spans="1:11" ht="18" x14ac:dyDescent="0.25">
      <c r="A660" s="3">
        <v>2007.6666666666599</v>
      </c>
      <c r="B660" s="3">
        <f t="shared" si="50"/>
        <v>251.27055702917772</v>
      </c>
      <c r="C660" s="3">
        <f t="shared" si="51"/>
        <v>149.75094138543434</v>
      </c>
      <c r="D660" s="3">
        <f t="shared" si="52"/>
        <v>251.27055702917772</v>
      </c>
      <c r="E660" s="3">
        <f t="shared" si="53"/>
        <v>122.1304231162447</v>
      </c>
      <c r="F660" s="3">
        <v>316</v>
      </c>
      <c r="G660" s="3">
        <v>187.75957234930601</v>
      </c>
      <c r="H660">
        <f t="shared" si="54"/>
        <v>10306.232360453385</v>
      </c>
      <c r="I660" s="3">
        <v>1934.6666666666599</v>
      </c>
      <c r="J660" s="3">
        <v>0</v>
      </c>
      <c r="K660" s="3">
        <v>178.07875123921099</v>
      </c>
    </row>
    <row r="661" spans="1:11" ht="18" x14ac:dyDescent="0.25">
      <c r="A661" s="3">
        <v>2007.75</v>
      </c>
      <c r="B661" s="3">
        <f t="shared" si="50"/>
        <v>251.27055702917772</v>
      </c>
      <c r="C661" s="3">
        <f t="shared" si="51"/>
        <v>164.76871639880088</v>
      </c>
      <c r="D661" s="3">
        <f t="shared" si="52"/>
        <v>251.27055702917772</v>
      </c>
      <c r="E661" s="3">
        <f t="shared" si="53"/>
        <v>147.57545428956968</v>
      </c>
      <c r="F661" s="3">
        <v>316</v>
      </c>
      <c r="G661" s="3">
        <v>213.204603522631</v>
      </c>
      <c r="H661">
        <f t="shared" si="54"/>
        <v>7482.5684324431149</v>
      </c>
      <c r="I661" s="3">
        <v>1934.75</v>
      </c>
      <c r="J661" s="3">
        <v>0</v>
      </c>
      <c r="K661" s="3">
        <v>198.23402361511299</v>
      </c>
    </row>
    <row r="662" spans="1:11" ht="18" x14ac:dyDescent="0.25">
      <c r="A662" s="3">
        <v>2007.8333333333301</v>
      </c>
      <c r="B662" s="3">
        <f t="shared" si="50"/>
        <v>255.27055702917772</v>
      </c>
      <c r="C662" s="3">
        <f t="shared" si="51"/>
        <v>188.64180189854454</v>
      </c>
      <c r="D662" s="3">
        <f t="shared" si="52"/>
        <v>255.27055702917772</v>
      </c>
      <c r="E662" s="3">
        <f t="shared" si="53"/>
        <v>200.21470223935972</v>
      </c>
      <c r="F662" s="3">
        <v>320</v>
      </c>
      <c r="G662" s="3">
        <v>265.84385147242102</v>
      </c>
      <c r="H662">
        <f t="shared" si="54"/>
        <v>4439.3910102578775</v>
      </c>
      <c r="I662" s="3">
        <v>1934.8333333333301</v>
      </c>
      <c r="J662" s="3">
        <v>0</v>
      </c>
      <c r="K662" s="3">
        <v>223.526531969877</v>
      </c>
    </row>
    <row r="663" spans="1:11" ht="18" x14ac:dyDescent="0.25">
      <c r="A663" s="3">
        <v>2007.9166666666599</v>
      </c>
      <c r="B663" s="3">
        <f t="shared" si="50"/>
        <v>251.27055702917772</v>
      </c>
      <c r="C663" s="3">
        <f t="shared" si="51"/>
        <v>198.53000837657697</v>
      </c>
      <c r="D663" s="3">
        <f t="shared" si="52"/>
        <v>251.27055702917772</v>
      </c>
      <c r="E663" s="3">
        <f t="shared" si="53"/>
        <v>228.19550742093372</v>
      </c>
      <c r="F663" s="3">
        <v>316</v>
      </c>
      <c r="G663" s="3">
        <v>293.82465665399502</v>
      </c>
      <c r="H663">
        <f t="shared" si="54"/>
        <v>2781.5654721773467</v>
      </c>
      <c r="I663" s="3">
        <v>1934.9166666666599</v>
      </c>
      <c r="J663" s="3">
        <v>0</v>
      </c>
      <c r="K663" s="3">
        <v>209.059593744723</v>
      </c>
    </row>
    <row r="664" spans="1:11" ht="18" x14ac:dyDescent="0.25">
      <c r="A664" s="3">
        <v>2008</v>
      </c>
      <c r="B664" s="3">
        <f t="shared" si="50"/>
        <v>200.27055702917772</v>
      </c>
      <c r="C664" s="3">
        <f t="shared" si="51"/>
        <v>194.81024268549206</v>
      </c>
      <c r="D664" s="3">
        <f t="shared" si="52"/>
        <v>200.27055702917772</v>
      </c>
      <c r="E664" s="3">
        <f t="shared" si="53"/>
        <v>217.14122072683568</v>
      </c>
      <c r="F664" s="3">
        <v>265</v>
      </c>
      <c r="G664" s="3">
        <v>282.77036995989698</v>
      </c>
      <c r="H664">
        <f t="shared" si="54"/>
        <v>29.815032731859436</v>
      </c>
      <c r="I664" s="3">
        <v>1935</v>
      </c>
      <c r="J664" s="3">
        <v>0</v>
      </c>
      <c r="K664" s="3">
        <v>172.99346723995899</v>
      </c>
    </row>
    <row r="665" spans="1:11" ht="18" x14ac:dyDescent="0.25">
      <c r="A665" s="3">
        <v>2008.0833333333301</v>
      </c>
      <c r="B665" s="3">
        <f t="shared" si="50"/>
        <v>61.270557029177724</v>
      </c>
      <c r="C665" s="3">
        <f t="shared" si="51"/>
        <v>172.53871701403591</v>
      </c>
      <c r="D665" s="3">
        <f t="shared" si="52"/>
        <v>61.270557029177724</v>
      </c>
      <c r="E665" s="3">
        <f t="shared" si="53"/>
        <v>162.80725836679068</v>
      </c>
      <c r="F665" s="3">
        <v>126</v>
      </c>
      <c r="G665" s="3">
        <v>228.436407599852</v>
      </c>
      <c r="H665">
        <f t="shared" si="54"/>
        <v>12380.603426415997</v>
      </c>
      <c r="I665" s="3">
        <v>1935.0833333333301</v>
      </c>
      <c r="J665" s="3">
        <v>0</v>
      </c>
      <c r="K665" s="3">
        <v>137.84047346791701</v>
      </c>
    </row>
    <row r="666" spans="1:11" ht="18" x14ac:dyDescent="0.25">
      <c r="A666" s="3">
        <v>2008.1666666666599</v>
      </c>
      <c r="B666" s="3">
        <f t="shared" si="50"/>
        <v>-102.72944297082228</v>
      </c>
      <c r="C666" s="3">
        <f t="shared" si="51"/>
        <v>119.64701458801179</v>
      </c>
      <c r="D666" s="3">
        <f t="shared" si="52"/>
        <v>-102.72944297082228</v>
      </c>
      <c r="E666" s="3">
        <f t="shared" si="53"/>
        <v>82.745887800170678</v>
      </c>
      <c r="F666" s="3">
        <v>-38</v>
      </c>
      <c r="G666" s="3">
        <v>148.37503703323199</v>
      </c>
      <c r="H666">
        <f t="shared" si="54"/>
        <v>49451.288876415929</v>
      </c>
      <c r="I666" s="3">
        <v>1935.1666666666599</v>
      </c>
      <c r="J666" s="3">
        <v>0</v>
      </c>
      <c r="K666" s="3">
        <v>118.398495636476</v>
      </c>
    </row>
    <row r="667" spans="1:11" ht="18" x14ac:dyDescent="0.25">
      <c r="A667" s="3">
        <v>2008.25</v>
      </c>
      <c r="B667" s="3">
        <f t="shared" si="50"/>
        <v>-176.72944297082228</v>
      </c>
      <c r="C667" s="3">
        <f t="shared" si="51"/>
        <v>63.302140403740111</v>
      </c>
      <c r="D667" s="3">
        <f t="shared" si="52"/>
        <v>-176.72944297082228</v>
      </c>
      <c r="E667" s="3">
        <f t="shared" si="53"/>
        <v>34.081881636838588</v>
      </c>
      <c r="F667" s="3">
        <v>-112</v>
      </c>
      <c r="G667" s="3">
        <v>99.711030869899901</v>
      </c>
      <c r="H667">
        <f t="shared" si="54"/>
        <v>57615.161017299492</v>
      </c>
      <c r="I667" s="3">
        <v>1935.25</v>
      </c>
      <c r="J667" s="3">
        <v>0</v>
      </c>
      <c r="K667" s="3">
        <v>132.85512980384601</v>
      </c>
    </row>
    <row r="668" spans="1:11" ht="18" x14ac:dyDescent="0.25">
      <c r="A668" s="3">
        <v>2008.3333333333301</v>
      </c>
      <c r="B668" s="3">
        <f t="shared" si="50"/>
        <v>-188.72944297082228</v>
      </c>
      <c r="C668" s="3">
        <f t="shared" si="51"/>
        <v>39.708814624487168</v>
      </c>
      <c r="D668" s="3">
        <f t="shared" si="52"/>
        <v>-188.72944297082228</v>
      </c>
      <c r="E668" s="3">
        <f t="shared" si="53"/>
        <v>19.564661322970792</v>
      </c>
      <c r="F668" s="3">
        <v>-124</v>
      </c>
      <c r="G668" s="3">
        <v>85.193810556032105</v>
      </c>
      <c r="H668">
        <f t="shared" si="54"/>
        <v>52184.037533180948</v>
      </c>
      <c r="I668" s="3">
        <v>1935.3333333333301</v>
      </c>
      <c r="J668" s="3">
        <v>0</v>
      </c>
      <c r="K668" s="3">
        <v>144.04113581919501</v>
      </c>
    </row>
    <row r="669" spans="1:11" ht="18" x14ac:dyDescent="0.25">
      <c r="A669" s="3">
        <v>2008.4166666666599</v>
      </c>
      <c r="B669" s="3">
        <f t="shared" si="50"/>
        <v>-188.72944297082228</v>
      </c>
      <c r="C669" s="3">
        <f t="shared" si="51"/>
        <v>22.828483820324866</v>
      </c>
      <c r="D669" s="3">
        <f t="shared" si="52"/>
        <v>-188.72944297082228</v>
      </c>
      <c r="E669" s="3">
        <f t="shared" si="53"/>
        <v>10.603746425786284</v>
      </c>
      <c r="F669" s="3">
        <v>-124</v>
      </c>
      <c r="G669" s="3">
        <v>76.232895658847596</v>
      </c>
      <c r="H669">
        <f t="shared" si="54"/>
        <v>44756.756388168375</v>
      </c>
      <c r="I669" s="3">
        <v>1935.4166666666599</v>
      </c>
      <c r="J669" s="3">
        <v>0</v>
      </c>
      <c r="K669" s="3">
        <v>121.307360253319</v>
      </c>
    </row>
    <row r="670" spans="1:11" ht="18" x14ac:dyDescent="0.25">
      <c r="A670" s="3">
        <v>2008.5</v>
      </c>
      <c r="B670" s="3">
        <f t="shared" si="50"/>
        <v>-199.72944297082228</v>
      </c>
      <c r="C670" s="3">
        <f t="shared" si="51"/>
        <v>12.617461084786846</v>
      </c>
      <c r="D670" s="3">
        <f t="shared" si="52"/>
        <v>-199.72944297082228</v>
      </c>
      <c r="E670" s="3">
        <f t="shared" si="53"/>
        <v>5.6645963315347814</v>
      </c>
      <c r="F670" s="3">
        <v>-135</v>
      </c>
      <c r="G670" s="3">
        <v>71.293745564596094</v>
      </c>
      <c r="H670">
        <f t="shared" si="54"/>
        <v>45091.20766200206</v>
      </c>
      <c r="I670" s="3">
        <v>1935.5</v>
      </c>
      <c r="J670" s="3">
        <v>0</v>
      </c>
      <c r="K670" s="3">
        <v>83.223867477284699</v>
      </c>
    </row>
    <row r="671" spans="1:11" ht="18" x14ac:dyDescent="0.25">
      <c r="A671" s="3">
        <v>2008.5833333333301</v>
      </c>
      <c r="B671" s="3">
        <f t="shared" si="50"/>
        <v>-199.72944297082228</v>
      </c>
      <c r="C671" s="3">
        <f t="shared" si="51"/>
        <v>-24.071493285779976</v>
      </c>
      <c r="D671" s="3">
        <f t="shared" si="52"/>
        <v>-199.72944297082228</v>
      </c>
      <c r="E671" s="3">
        <f t="shared" si="53"/>
        <v>-11.228454888963014</v>
      </c>
      <c r="F671" s="3">
        <v>-135</v>
      </c>
      <c r="G671" s="3">
        <v>54.400694344098298</v>
      </c>
      <c r="H671">
        <f t="shared" si="54"/>
        <v>30855.715287552852</v>
      </c>
      <c r="I671" s="3">
        <v>1935.5833333333301</v>
      </c>
      <c r="J671" s="3">
        <v>0</v>
      </c>
      <c r="K671" s="3">
        <v>30.8198843311961</v>
      </c>
    </row>
    <row r="672" spans="1:11" ht="18" x14ac:dyDescent="0.25">
      <c r="A672" s="3">
        <v>2008.6666666666599</v>
      </c>
      <c r="B672" s="3">
        <f t="shared" si="50"/>
        <v>-182.72944297082228</v>
      </c>
      <c r="C672" s="3">
        <f t="shared" si="51"/>
        <v>-63.219603758326244</v>
      </c>
      <c r="D672" s="3">
        <f t="shared" si="52"/>
        <v>-182.72944297082228</v>
      </c>
      <c r="E672" s="3">
        <f t="shared" si="53"/>
        <v>-34.026403740260612</v>
      </c>
      <c r="F672" s="3">
        <v>-118</v>
      </c>
      <c r="G672" s="3">
        <v>31.6027454928007</v>
      </c>
      <c r="H672">
        <f t="shared" si="54"/>
        <v>14282.601668596655</v>
      </c>
      <c r="I672" s="3">
        <v>1935.6666666666599</v>
      </c>
      <c r="J672" s="3">
        <v>0</v>
      </c>
      <c r="K672" s="3">
        <v>-19.2321236655558</v>
      </c>
    </row>
    <row r="673" spans="1:11" ht="18" x14ac:dyDescent="0.25">
      <c r="A673" s="3">
        <v>2008.75</v>
      </c>
      <c r="B673" s="3">
        <f t="shared" si="50"/>
        <v>-169.72944297082228</v>
      </c>
      <c r="C673" s="3">
        <f t="shared" si="51"/>
        <v>-70.92810165129147</v>
      </c>
      <c r="D673" s="3">
        <f t="shared" si="52"/>
        <v>-169.72944297082228</v>
      </c>
      <c r="E673" s="3">
        <f t="shared" si="53"/>
        <v>-39.367882154139608</v>
      </c>
      <c r="F673" s="3">
        <v>-105</v>
      </c>
      <c r="G673" s="3">
        <v>26.261267078921701</v>
      </c>
      <c r="H673">
        <f t="shared" si="54"/>
        <v>9761.7050465384254</v>
      </c>
      <c r="I673" s="3">
        <v>1935.75</v>
      </c>
      <c r="J673" s="3">
        <v>0</v>
      </c>
      <c r="K673" s="3">
        <v>-39.618358149142701</v>
      </c>
    </row>
    <row r="674" spans="1:11" ht="18" x14ac:dyDescent="0.25">
      <c r="A674" s="3">
        <v>2008.8333333333301</v>
      </c>
      <c r="B674" s="3">
        <f t="shared" si="50"/>
        <v>-157.72944297082228</v>
      </c>
      <c r="C674" s="3">
        <f t="shared" si="51"/>
        <v>-99.016077226032237</v>
      </c>
      <c r="D674" s="3">
        <f t="shared" si="52"/>
        <v>-157.72944297082228</v>
      </c>
      <c r="E674" s="3">
        <f t="shared" si="53"/>
        <v>-62.017133328757602</v>
      </c>
      <c r="F674" s="3">
        <v>-93</v>
      </c>
      <c r="G674" s="3">
        <v>3.6120159043037101</v>
      </c>
      <c r="H674">
        <f t="shared" si="54"/>
        <v>3447.2593170814844</v>
      </c>
      <c r="I674" s="3">
        <v>1935.8333333333301</v>
      </c>
      <c r="J674" s="3">
        <v>0</v>
      </c>
      <c r="K674" s="3">
        <v>-58.2086085537087</v>
      </c>
    </row>
    <row r="675" spans="1:11" ht="18" x14ac:dyDescent="0.25">
      <c r="A675" s="3">
        <v>2008.9166666666599</v>
      </c>
      <c r="B675" s="3">
        <f t="shared" si="50"/>
        <v>-157.72944297082228</v>
      </c>
      <c r="C675" s="3">
        <f t="shared" si="51"/>
        <v>-145.86346889162084</v>
      </c>
      <c r="D675" s="3">
        <f t="shared" si="52"/>
        <v>-157.72944297082228</v>
      </c>
      <c r="E675" s="3">
        <f t="shared" si="53"/>
        <v>-116.2684901538893</v>
      </c>
      <c r="F675" s="3">
        <v>-93</v>
      </c>
      <c r="G675" s="3">
        <v>-50.639340920827998</v>
      </c>
      <c r="H675">
        <f t="shared" si="54"/>
        <v>140.80134084828038</v>
      </c>
      <c r="I675" s="3">
        <v>1935.9166666666599</v>
      </c>
      <c r="J675" s="3">
        <v>0</v>
      </c>
      <c r="K675" s="3">
        <v>-83.087911020743206</v>
      </c>
    </row>
    <row r="676" spans="1:11" ht="18" x14ac:dyDescent="0.25">
      <c r="A676" s="3">
        <v>2009</v>
      </c>
      <c r="B676" s="3">
        <f t="shared" si="50"/>
        <v>-175.72944297082228</v>
      </c>
      <c r="C676" s="3">
        <f t="shared" si="51"/>
        <v>-173.15865664421091</v>
      </c>
      <c r="D676" s="3">
        <f t="shared" si="52"/>
        <v>-175.72944297082228</v>
      </c>
      <c r="E676" s="3">
        <f t="shared" si="53"/>
        <v>-164.0930968654377</v>
      </c>
      <c r="F676" s="3">
        <v>-111</v>
      </c>
      <c r="G676" s="3">
        <v>-98.463947632376403</v>
      </c>
      <c r="H676">
        <f t="shared" si="54"/>
        <v>6.6089423370919764</v>
      </c>
      <c r="I676" s="3">
        <v>1936</v>
      </c>
      <c r="J676" s="3">
        <v>0</v>
      </c>
      <c r="K676" s="3">
        <v>-91.491610509952494</v>
      </c>
    </row>
    <row r="677" spans="1:11" ht="18" x14ac:dyDescent="0.25">
      <c r="A677" s="3">
        <v>2009.0833333333301</v>
      </c>
      <c r="B677" s="3">
        <f t="shared" si="50"/>
        <v>-183.72944297082228</v>
      </c>
      <c r="C677" s="3">
        <f t="shared" si="51"/>
        <v>-188.3882343796885</v>
      </c>
      <c r="D677" s="3">
        <f t="shared" si="52"/>
        <v>-183.72944297082228</v>
      </c>
      <c r="E677" s="3">
        <f t="shared" si="53"/>
        <v>-199.5534595876843</v>
      </c>
      <c r="F677" s="3">
        <v>-119</v>
      </c>
      <c r="G677" s="3">
        <v>-133.924310354623</v>
      </c>
      <c r="H677">
        <f t="shared" si="54"/>
        <v>21.704337391325716</v>
      </c>
      <c r="I677" s="3">
        <v>1936.0833333333301</v>
      </c>
      <c r="J677" s="3">
        <v>0</v>
      </c>
      <c r="K677" s="3">
        <v>-100.19438152139701</v>
      </c>
    </row>
    <row r="678" spans="1:11" ht="18" x14ac:dyDescent="0.25">
      <c r="A678" s="3">
        <v>2009.1666666666599</v>
      </c>
      <c r="B678" s="3">
        <f t="shared" si="50"/>
        <v>-183.72944297082228</v>
      </c>
      <c r="C678" s="3">
        <f t="shared" si="51"/>
        <v>-194.36536927735094</v>
      </c>
      <c r="D678" s="3">
        <f t="shared" si="52"/>
        <v>-183.72944297082228</v>
      </c>
      <c r="E678" s="3">
        <f t="shared" si="53"/>
        <v>-215.86380693304432</v>
      </c>
      <c r="F678" s="3">
        <v>-119</v>
      </c>
      <c r="G678" s="3">
        <v>-150.23465769998299</v>
      </c>
      <c r="H678">
        <f t="shared" si="54"/>
        <v>113.12292839790838</v>
      </c>
      <c r="I678" s="3">
        <v>1936.1666666666599</v>
      </c>
      <c r="J678" s="3">
        <v>0</v>
      </c>
      <c r="K678" s="3">
        <v>-107.58256454974899</v>
      </c>
    </row>
    <row r="679" spans="1:11" ht="18" x14ac:dyDescent="0.25">
      <c r="A679" s="3">
        <v>2009.25</v>
      </c>
      <c r="B679" s="3">
        <f t="shared" si="50"/>
        <v>-182.72944297082228</v>
      </c>
      <c r="C679" s="3">
        <f t="shared" si="51"/>
        <v>-186.87616874434565</v>
      </c>
      <c r="D679" s="3">
        <f t="shared" si="52"/>
        <v>-182.72944297082228</v>
      </c>
      <c r="E679" s="3">
        <f t="shared" si="53"/>
        <v>-195.66358204326832</v>
      </c>
      <c r="F679" s="3">
        <v>-118</v>
      </c>
      <c r="G679" s="3">
        <v>-130.03443281020699</v>
      </c>
      <c r="H679">
        <f t="shared" si="54"/>
        <v>17.195334640803004</v>
      </c>
      <c r="I679" s="3">
        <v>1936.25</v>
      </c>
      <c r="J679" s="3">
        <v>0</v>
      </c>
      <c r="K679" s="3">
        <v>-89.498554918271395</v>
      </c>
    </row>
    <row r="680" spans="1:11" ht="18" x14ac:dyDescent="0.25">
      <c r="A680" s="3">
        <v>2009.3333333333301</v>
      </c>
      <c r="B680" s="3">
        <f t="shared" si="50"/>
        <v>-167.72944297082228</v>
      </c>
      <c r="C680" s="3">
        <f t="shared" si="51"/>
        <v>-166.27338829546426</v>
      </c>
      <c r="D680" s="3">
        <f t="shared" si="52"/>
        <v>-167.72944297082228</v>
      </c>
      <c r="E680" s="3">
        <f t="shared" si="53"/>
        <v>-150.40305985331432</v>
      </c>
      <c r="F680" s="3">
        <v>-103</v>
      </c>
      <c r="G680" s="3">
        <v>-84.773910620253005</v>
      </c>
      <c r="H680">
        <f t="shared" si="54"/>
        <v>2.1200952176319441</v>
      </c>
      <c r="I680" s="3">
        <v>1936.3333333333301</v>
      </c>
      <c r="J680" s="3">
        <v>0</v>
      </c>
      <c r="K680" s="3">
        <v>-48.688134984035599</v>
      </c>
    </row>
    <row r="681" spans="1:11" ht="18" x14ac:dyDescent="0.25">
      <c r="A681" s="3">
        <v>2009.4166666666599</v>
      </c>
      <c r="B681" s="3">
        <f t="shared" si="50"/>
        <v>-96.729442970822276</v>
      </c>
      <c r="C681" s="3">
        <f t="shared" si="51"/>
        <v>-110.71180066563703</v>
      </c>
      <c r="D681" s="3">
        <f t="shared" si="52"/>
        <v>-96.729442970822276</v>
      </c>
      <c r="E681" s="3">
        <f t="shared" si="53"/>
        <v>-73.261000757927178</v>
      </c>
      <c r="F681" s="3">
        <v>-32</v>
      </c>
      <c r="G681" s="3">
        <v>-7.6318515248658603</v>
      </c>
      <c r="H681">
        <f t="shared" si="54"/>
        <v>195.50632670574529</v>
      </c>
      <c r="I681" s="3">
        <v>1936.4166666666599</v>
      </c>
      <c r="J681" s="3">
        <v>0</v>
      </c>
      <c r="K681" s="3">
        <v>21.106219146280999</v>
      </c>
    </row>
    <row r="682" spans="1:11" ht="18" x14ac:dyDescent="0.25">
      <c r="A682" s="3">
        <v>2009.5</v>
      </c>
      <c r="B682" s="3">
        <f t="shared" si="50"/>
        <v>69.270557029177724</v>
      </c>
      <c r="C682" s="3">
        <f t="shared" si="51"/>
        <v>45.971448711412329</v>
      </c>
      <c r="D682" s="3">
        <f t="shared" si="52"/>
        <v>69.270557029177724</v>
      </c>
      <c r="E682" s="3">
        <f t="shared" si="53"/>
        <v>23.172340238907893</v>
      </c>
      <c r="F682" s="3">
        <v>134</v>
      </c>
      <c r="G682" s="3">
        <v>88.801489471969205</v>
      </c>
      <c r="H682">
        <f t="shared" si="54"/>
        <v>542.84844840296455</v>
      </c>
      <c r="I682" s="3">
        <v>1936.5</v>
      </c>
      <c r="J682" s="3">
        <v>0</v>
      </c>
      <c r="K682" s="3">
        <v>96.558151942482496</v>
      </c>
    </row>
    <row r="683" spans="1:11" ht="18" x14ac:dyDescent="0.25">
      <c r="A683" s="3">
        <v>2009.5833333333301</v>
      </c>
      <c r="B683" s="3">
        <f t="shared" si="50"/>
        <v>153.27055702917772</v>
      </c>
      <c r="C683" s="3">
        <f t="shared" si="51"/>
        <v>114.13943510049006</v>
      </c>
      <c r="D683" s="3">
        <f t="shared" si="52"/>
        <v>153.27055702917772</v>
      </c>
      <c r="E683" s="3">
        <f t="shared" si="53"/>
        <v>76.801043916715699</v>
      </c>
      <c r="F683" s="3">
        <v>218</v>
      </c>
      <c r="G683" s="3">
        <v>142.43019314977701</v>
      </c>
      <c r="H683">
        <f t="shared" si="54"/>
        <v>1531.2447033978203</v>
      </c>
      <c r="I683" s="3">
        <v>1936.5833333333301</v>
      </c>
      <c r="J683" s="3">
        <v>0</v>
      </c>
      <c r="K683" s="3">
        <v>122.68250952435901</v>
      </c>
    </row>
    <row r="684" spans="1:11" ht="18" x14ac:dyDescent="0.25">
      <c r="A684" s="3">
        <v>2009.6666666666599</v>
      </c>
      <c r="B684" s="3">
        <f t="shared" si="50"/>
        <v>155.27055702917772</v>
      </c>
      <c r="C684" s="3">
        <f t="shared" si="51"/>
        <v>121.51645529449974</v>
      </c>
      <c r="D684" s="3">
        <f t="shared" si="52"/>
        <v>155.27055702917772</v>
      </c>
      <c r="E684" s="3">
        <f t="shared" si="53"/>
        <v>84.839632165234676</v>
      </c>
      <c r="F684" s="3">
        <v>220</v>
      </c>
      <c r="G684" s="3">
        <v>150.46878139829599</v>
      </c>
      <c r="H684">
        <f t="shared" si="54"/>
        <v>1139.3393839149915</v>
      </c>
      <c r="I684" s="3">
        <v>1936.6666666666599</v>
      </c>
      <c r="J684" s="3">
        <v>0</v>
      </c>
      <c r="K684" s="3">
        <v>123.027421750413</v>
      </c>
    </row>
    <row r="685" spans="1:11" ht="18" x14ac:dyDescent="0.25">
      <c r="A685" s="3">
        <v>2009.75</v>
      </c>
      <c r="B685" s="3">
        <f t="shared" si="50"/>
        <v>153.27055702917772</v>
      </c>
      <c r="C685" s="3">
        <f t="shared" si="51"/>
        <v>121.6578272560335</v>
      </c>
      <c r="D685" s="3">
        <f t="shared" si="52"/>
        <v>153.27055702917772</v>
      </c>
      <c r="E685" s="3">
        <f t="shared" si="53"/>
        <v>84.999590719276696</v>
      </c>
      <c r="F685" s="3">
        <v>218</v>
      </c>
      <c r="G685" s="3">
        <v>150.62873995233801</v>
      </c>
      <c r="H685">
        <f t="shared" si="54"/>
        <v>999.36468370983926</v>
      </c>
      <c r="I685" s="3">
        <v>1936.75</v>
      </c>
      <c r="J685" s="3">
        <v>0</v>
      </c>
      <c r="K685" s="3">
        <v>146.18586392445499</v>
      </c>
    </row>
    <row r="686" spans="1:11" ht="18" x14ac:dyDescent="0.25">
      <c r="A686" s="3">
        <v>2009.8333333333301</v>
      </c>
      <c r="B686" s="3">
        <f t="shared" si="50"/>
        <v>155.27055702917772</v>
      </c>
      <c r="C686" s="3">
        <f t="shared" si="51"/>
        <v>122.02474075050667</v>
      </c>
      <c r="D686" s="3">
        <f t="shared" si="52"/>
        <v>155.27055702917772</v>
      </c>
      <c r="E686" s="3">
        <f t="shared" si="53"/>
        <v>85.415821905320698</v>
      </c>
      <c r="F686" s="3">
        <v>220</v>
      </c>
      <c r="G686" s="3">
        <v>151.04497113838201</v>
      </c>
      <c r="H686">
        <f t="shared" si="54"/>
        <v>1105.2843000351495</v>
      </c>
      <c r="I686" s="3">
        <v>1936.8333333333301</v>
      </c>
      <c r="J686" s="3">
        <v>0</v>
      </c>
      <c r="K686" s="3">
        <v>184.83023812351999</v>
      </c>
    </row>
    <row r="687" spans="1:11" ht="18" x14ac:dyDescent="0.25">
      <c r="A687" s="3">
        <v>2009.9166666666599</v>
      </c>
      <c r="B687" s="3">
        <f t="shared" si="50"/>
        <v>187.27055702917772</v>
      </c>
      <c r="C687" s="3">
        <f t="shared" si="51"/>
        <v>137.59944533087037</v>
      </c>
      <c r="D687" s="3">
        <f t="shared" si="52"/>
        <v>187.27055702917772</v>
      </c>
      <c r="E687" s="3">
        <f t="shared" si="53"/>
        <v>104.64798634757268</v>
      </c>
      <c r="F687" s="3">
        <v>252</v>
      </c>
      <c r="G687" s="3">
        <v>170.277135580634</v>
      </c>
      <c r="H687">
        <f t="shared" si="54"/>
        <v>2467.2193373457258</v>
      </c>
      <c r="I687" s="3">
        <v>1936.9166666666599</v>
      </c>
      <c r="J687" s="3">
        <v>0</v>
      </c>
      <c r="K687" s="3">
        <v>228.69427884585201</v>
      </c>
    </row>
    <row r="688" spans="1:11" ht="18" x14ac:dyDescent="0.25">
      <c r="A688" s="3">
        <v>2010</v>
      </c>
      <c r="B688" s="3">
        <f t="shared" si="50"/>
        <v>194.27055702917772</v>
      </c>
      <c r="C688" s="3">
        <f t="shared" si="51"/>
        <v>157.85719066270821</v>
      </c>
      <c r="D688" s="3">
        <f t="shared" si="52"/>
        <v>194.27055702917772</v>
      </c>
      <c r="E688" s="3">
        <f t="shared" si="53"/>
        <v>135.2711299418487</v>
      </c>
      <c r="F688" s="3">
        <v>259</v>
      </c>
      <c r="G688" s="3">
        <v>200.90027917491</v>
      </c>
      <c r="H688">
        <f t="shared" si="54"/>
        <v>1325.9332501387335</v>
      </c>
      <c r="I688" s="3">
        <v>1937</v>
      </c>
      <c r="J688" s="3">
        <v>0</v>
      </c>
      <c r="K688" s="3">
        <v>253.41531868356799</v>
      </c>
    </row>
    <row r="689" spans="1:11" ht="18" x14ac:dyDescent="0.25">
      <c r="A689" s="3">
        <v>2010.0833333333301</v>
      </c>
      <c r="B689" s="3">
        <f t="shared" si="50"/>
        <v>200.27055702917772</v>
      </c>
      <c r="C689" s="3">
        <f t="shared" si="51"/>
        <v>159.72751051607025</v>
      </c>
      <c r="D689" s="3">
        <f t="shared" si="52"/>
        <v>200.27055702917772</v>
      </c>
      <c r="E689" s="3">
        <f t="shared" si="53"/>
        <v>138.49452273004169</v>
      </c>
      <c r="F689" s="3">
        <v>265</v>
      </c>
      <c r="G689" s="3">
        <v>204.12367196310299</v>
      </c>
      <c r="H689">
        <f t="shared" si="54"/>
        <v>1643.7386205639957</v>
      </c>
      <c r="I689" s="3">
        <v>1937.0833333333301</v>
      </c>
      <c r="J689" s="3">
        <v>0</v>
      </c>
      <c r="K689" s="3">
        <v>237.077068238181</v>
      </c>
    </row>
    <row r="690" spans="1:11" ht="18" x14ac:dyDescent="0.25">
      <c r="A690" s="3">
        <v>2010.1666666666599</v>
      </c>
      <c r="B690" s="3">
        <f t="shared" si="50"/>
        <v>204.27055702917772</v>
      </c>
      <c r="C690" s="3">
        <f t="shared" si="51"/>
        <v>154.49670834657044</v>
      </c>
      <c r="D690" s="3">
        <f t="shared" si="52"/>
        <v>204.27055702917772</v>
      </c>
      <c r="E690" s="3">
        <f t="shared" si="53"/>
        <v>129.66516755037867</v>
      </c>
      <c r="F690" s="3">
        <v>269</v>
      </c>
      <c r="G690" s="3">
        <v>195.29431678344</v>
      </c>
      <c r="H690">
        <f t="shared" si="54"/>
        <v>2477.4360126790866</v>
      </c>
      <c r="I690" s="3">
        <v>1937.1666666666599</v>
      </c>
      <c r="J690" s="3">
        <v>0</v>
      </c>
      <c r="K690" s="3">
        <v>219.542942481816</v>
      </c>
    </row>
    <row r="691" spans="1:11" ht="18" x14ac:dyDescent="0.25">
      <c r="A691" s="3">
        <v>2010.25</v>
      </c>
      <c r="B691" s="3">
        <f t="shared" si="50"/>
        <v>206.27055702917772</v>
      </c>
      <c r="C691" s="3">
        <f t="shared" si="51"/>
        <v>154.9057113445669</v>
      </c>
      <c r="D691" s="3">
        <f t="shared" si="52"/>
        <v>206.27055702917772</v>
      </c>
      <c r="E691" s="3">
        <f t="shared" si="53"/>
        <v>130.33509574142471</v>
      </c>
      <c r="F691" s="3">
        <v>271</v>
      </c>
      <c r="G691" s="3">
        <v>195.96424497448601</v>
      </c>
      <c r="H691">
        <f t="shared" si="54"/>
        <v>2638.3473722038834</v>
      </c>
      <c r="I691" s="3">
        <v>1937.25</v>
      </c>
      <c r="J691" s="3">
        <v>0</v>
      </c>
      <c r="K691" s="3">
        <v>220.592129550994</v>
      </c>
    </row>
    <row r="692" spans="1:11" ht="18" x14ac:dyDescent="0.25">
      <c r="A692" s="3">
        <v>2010.3333333333301</v>
      </c>
      <c r="B692" s="3">
        <f t="shared" si="50"/>
        <v>204.27055702917772</v>
      </c>
      <c r="C692" s="3">
        <f t="shared" si="51"/>
        <v>156.1326541713544</v>
      </c>
      <c r="D692" s="3">
        <f t="shared" si="52"/>
        <v>204.27055702917772</v>
      </c>
      <c r="E692" s="3">
        <f t="shared" si="53"/>
        <v>132.36512275758571</v>
      </c>
      <c r="F692" s="3">
        <v>269</v>
      </c>
      <c r="G692" s="3">
        <v>197.99427199064701</v>
      </c>
      <c r="H692">
        <f t="shared" si="54"/>
        <v>2317.2576915492346</v>
      </c>
      <c r="I692" s="3">
        <v>1937.3333333333301</v>
      </c>
      <c r="J692" s="3">
        <v>0</v>
      </c>
      <c r="K692" s="3">
        <v>217.59806403992701</v>
      </c>
    </row>
    <row r="693" spans="1:11" ht="18" x14ac:dyDescent="0.25">
      <c r="A693" s="3">
        <v>2010.4166666666599</v>
      </c>
      <c r="B693" s="3">
        <f t="shared" si="50"/>
        <v>206.27055702917772</v>
      </c>
      <c r="C693" s="3">
        <f t="shared" si="51"/>
        <v>159.54756137703743</v>
      </c>
      <c r="D693" s="3">
        <f t="shared" si="52"/>
        <v>206.27055702917772</v>
      </c>
      <c r="E693" s="3">
        <f t="shared" si="53"/>
        <v>138.18107526048067</v>
      </c>
      <c r="F693" s="3">
        <v>271</v>
      </c>
      <c r="G693" s="3">
        <v>203.81022449354199</v>
      </c>
      <c r="H693">
        <f t="shared" si="54"/>
        <v>2183.0383227099214</v>
      </c>
      <c r="I693" s="3">
        <v>1937.4166666666599</v>
      </c>
      <c r="J693" s="3">
        <v>0</v>
      </c>
      <c r="K693" s="3">
        <v>206.90291826949999</v>
      </c>
    </row>
    <row r="694" spans="1:11" ht="18" x14ac:dyDescent="0.25">
      <c r="A694" s="3">
        <v>2010.5</v>
      </c>
      <c r="B694" s="3">
        <f t="shared" si="50"/>
        <v>198.27055702917772</v>
      </c>
      <c r="C694" s="3">
        <f t="shared" si="51"/>
        <v>146.5737042927278</v>
      </c>
      <c r="D694" s="3">
        <f t="shared" si="52"/>
        <v>198.27055702917772</v>
      </c>
      <c r="E694" s="3">
        <f t="shared" si="53"/>
        <v>117.31957054557169</v>
      </c>
      <c r="F694" s="3">
        <v>263</v>
      </c>
      <c r="G694" s="3">
        <v>182.94871977863301</v>
      </c>
      <c r="H694">
        <f t="shared" si="54"/>
        <v>2672.5645828541901</v>
      </c>
      <c r="I694" s="3">
        <v>1937.5</v>
      </c>
      <c r="J694" s="3">
        <v>0</v>
      </c>
      <c r="K694" s="3">
        <v>167.473133702132</v>
      </c>
    </row>
    <row r="695" spans="1:11" ht="18" x14ac:dyDescent="0.25">
      <c r="A695" s="3">
        <v>2010.5833333333301</v>
      </c>
      <c r="B695" s="3">
        <f t="shared" si="50"/>
        <v>-5.7294429708222765</v>
      </c>
      <c r="C695" s="3">
        <f t="shared" si="51"/>
        <v>81.689648577244611</v>
      </c>
      <c r="D695" s="3">
        <f t="shared" si="52"/>
        <v>-5.7294429708222765</v>
      </c>
      <c r="E695" s="3">
        <f t="shared" si="53"/>
        <v>47.408542525090681</v>
      </c>
      <c r="F695" s="3">
        <v>59</v>
      </c>
      <c r="G695" s="3">
        <v>113.03769175815199</v>
      </c>
      <c r="H695">
        <f t="shared" si="54"/>
        <v>7642.0975670892994</v>
      </c>
      <c r="I695" s="3">
        <v>1937.5833333333301</v>
      </c>
      <c r="J695" s="3">
        <v>0</v>
      </c>
      <c r="K695" s="3">
        <v>96.257971125774006</v>
      </c>
    </row>
    <row r="696" spans="1:11" ht="18" x14ac:dyDescent="0.25">
      <c r="A696" s="3">
        <v>2010.6666666666599</v>
      </c>
      <c r="B696" s="3">
        <f t="shared" si="50"/>
        <v>-181.72944297082228</v>
      </c>
      <c r="C696" s="3">
        <f t="shared" si="51"/>
        <v>-38.373298434666935</v>
      </c>
      <c r="D696" s="3">
        <f t="shared" si="52"/>
        <v>-181.72944297082228</v>
      </c>
      <c r="E696" s="3">
        <f t="shared" si="53"/>
        <v>-18.816246875406513</v>
      </c>
      <c r="F696" s="3">
        <v>-117</v>
      </c>
      <c r="G696" s="3">
        <v>46.812902357654799</v>
      </c>
      <c r="H696">
        <f t="shared" si="54"/>
        <v>20550.98417627106</v>
      </c>
      <c r="I696" s="3">
        <v>1937.6666666666599</v>
      </c>
      <c r="J696" s="3">
        <v>0</v>
      </c>
      <c r="K696" s="3">
        <v>47.957450239271097</v>
      </c>
    </row>
    <row r="697" spans="1:11" ht="18" x14ac:dyDescent="0.25">
      <c r="A697" s="3">
        <v>2010.75</v>
      </c>
      <c r="B697" s="3">
        <f t="shared" si="50"/>
        <v>-181.72944297082228</v>
      </c>
      <c r="C697" s="3">
        <f t="shared" si="51"/>
        <v>-93.622381938529259</v>
      </c>
      <c r="D697" s="3">
        <f t="shared" si="52"/>
        <v>-181.72944297082228</v>
      </c>
      <c r="E697" s="3">
        <f t="shared" si="53"/>
        <v>-57.227307432124704</v>
      </c>
      <c r="F697" s="3">
        <v>-117</v>
      </c>
      <c r="G697" s="3">
        <v>8.4018418009366105</v>
      </c>
      <c r="H697">
        <f t="shared" si="54"/>
        <v>7762.8542037482066</v>
      </c>
      <c r="I697" s="3">
        <v>1937.75</v>
      </c>
      <c r="J697" s="3">
        <v>0</v>
      </c>
      <c r="K697" s="3">
        <v>28.3255119422764</v>
      </c>
    </row>
    <row r="698" spans="1:11" ht="18" x14ac:dyDescent="0.25">
      <c r="A698" s="3">
        <v>2010.8333333333301</v>
      </c>
      <c r="B698" s="3">
        <f t="shared" si="50"/>
        <v>-182.72944297082228</v>
      </c>
      <c r="C698" s="3">
        <f t="shared" si="51"/>
        <v>-126.76022509255836</v>
      </c>
      <c r="D698" s="3">
        <f t="shared" si="52"/>
        <v>-182.72944297082228</v>
      </c>
      <c r="E698" s="3">
        <f t="shared" si="53"/>
        <v>-90.931378313386517</v>
      </c>
      <c r="F698" s="3">
        <v>-118</v>
      </c>
      <c r="G698" s="3">
        <v>-25.302229080325201</v>
      </c>
      <c r="H698">
        <f t="shared" si="54"/>
        <v>3132.5533499045773</v>
      </c>
      <c r="I698" s="3">
        <v>1937.8333333333301</v>
      </c>
      <c r="J698" s="3">
        <v>0</v>
      </c>
      <c r="K698" s="3">
        <v>1.7946793639713601</v>
      </c>
    </row>
    <row r="699" spans="1:11" ht="18" x14ac:dyDescent="0.25">
      <c r="A699" s="3">
        <v>2010.9166666666599</v>
      </c>
      <c r="B699" s="3">
        <f t="shared" si="50"/>
        <v>-180.72944297082228</v>
      </c>
      <c r="C699" s="3">
        <f t="shared" si="51"/>
        <v>-147.63204964374131</v>
      </c>
      <c r="D699" s="3">
        <f t="shared" si="52"/>
        <v>-180.72944297082228</v>
      </c>
      <c r="E699" s="3">
        <f t="shared" si="53"/>
        <v>-118.90210961552032</v>
      </c>
      <c r="F699" s="3">
        <v>-116</v>
      </c>
      <c r="G699" s="3">
        <v>-53.272960382458997</v>
      </c>
      <c r="H699">
        <f t="shared" si="54"/>
        <v>1095.4374450475036</v>
      </c>
      <c r="I699" s="3">
        <v>1937.9166666666599</v>
      </c>
      <c r="J699" s="3">
        <v>0</v>
      </c>
      <c r="K699" s="3">
        <v>-36.442875528271401</v>
      </c>
    </row>
    <row r="700" spans="1:11" ht="18" x14ac:dyDescent="0.25">
      <c r="A700" s="3">
        <v>2011</v>
      </c>
      <c r="B700" s="3">
        <f t="shared" si="50"/>
        <v>-161.72944297082228</v>
      </c>
      <c r="C700" s="3">
        <f t="shared" si="51"/>
        <v>-164.64154927665408</v>
      </c>
      <c r="D700" s="3">
        <f t="shared" si="52"/>
        <v>-161.72944297082228</v>
      </c>
      <c r="E700" s="3">
        <f t="shared" si="53"/>
        <v>-147.33902771414159</v>
      </c>
      <c r="F700" s="3">
        <v>-97</v>
      </c>
      <c r="G700" s="3">
        <v>-81.709878481080295</v>
      </c>
      <c r="H700">
        <f t="shared" si="54"/>
        <v>8.4803631364653249</v>
      </c>
      <c r="I700" s="3">
        <v>1938</v>
      </c>
      <c r="J700" s="3">
        <v>0</v>
      </c>
      <c r="K700" s="3">
        <v>-98.421552336680506</v>
      </c>
    </row>
    <row r="701" spans="1:11" ht="18" x14ac:dyDescent="0.25">
      <c r="A701" s="3">
        <v>2011.0833333333301</v>
      </c>
      <c r="B701" s="3">
        <f t="shared" si="50"/>
        <v>-161.72944297082228</v>
      </c>
      <c r="C701" s="3">
        <f t="shared" si="51"/>
        <v>-176.56967217719233</v>
      </c>
      <c r="D701" s="3">
        <f t="shared" si="52"/>
        <v>-161.72944297082228</v>
      </c>
      <c r="E701" s="3">
        <f t="shared" si="53"/>
        <v>-171.37009826166229</v>
      </c>
      <c r="F701" s="3">
        <v>-97</v>
      </c>
      <c r="G701" s="3">
        <v>-105.74094902860099</v>
      </c>
      <c r="H701">
        <f t="shared" si="54"/>
        <v>220.23240289759877</v>
      </c>
      <c r="I701" s="3">
        <v>1938.0833333333301</v>
      </c>
      <c r="J701" s="3">
        <v>0</v>
      </c>
      <c r="K701" s="3">
        <v>-178.06251859406501</v>
      </c>
    </row>
    <row r="702" spans="1:11" ht="18" x14ac:dyDescent="0.25">
      <c r="A702" s="3">
        <v>2011.1666666666599</v>
      </c>
      <c r="B702" s="3">
        <f t="shared" si="50"/>
        <v>-161.72944297082228</v>
      </c>
      <c r="C702" s="3">
        <f t="shared" si="51"/>
        <v>-174.68092033349228</v>
      </c>
      <c r="D702" s="3">
        <f t="shared" si="52"/>
        <v>-161.72944297082228</v>
      </c>
      <c r="E702" s="3">
        <f t="shared" si="53"/>
        <v>-167.29777493064032</v>
      </c>
      <c r="F702" s="3">
        <v>-97</v>
      </c>
      <c r="G702" s="3">
        <v>-101.668625697579</v>
      </c>
      <c r="H702">
        <f t="shared" si="54"/>
        <v>167.7407658757536</v>
      </c>
      <c r="I702" s="3">
        <v>1938.1666666666599</v>
      </c>
      <c r="J702" s="3">
        <v>0</v>
      </c>
      <c r="K702" s="3">
        <v>-241.48840751169899</v>
      </c>
    </row>
    <row r="703" spans="1:11" ht="18" x14ac:dyDescent="0.25">
      <c r="A703" s="3">
        <v>2011.25</v>
      </c>
      <c r="B703" s="3">
        <f t="shared" si="50"/>
        <v>-161.72944297082228</v>
      </c>
      <c r="C703" s="3">
        <f t="shared" si="51"/>
        <v>-171.82164997512891</v>
      </c>
      <c r="D703" s="3">
        <f t="shared" si="52"/>
        <v>-161.72944297082228</v>
      </c>
      <c r="E703" s="3">
        <f t="shared" si="53"/>
        <v>-161.3335972876672</v>
      </c>
      <c r="F703" s="3">
        <v>-97</v>
      </c>
      <c r="G703" s="3">
        <v>-95.704448054605905</v>
      </c>
      <c r="H703">
        <f t="shared" si="54"/>
        <v>101.8526422177758</v>
      </c>
      <c r="I703" s="3">
        <v>1938.25</v>
      </c>
      <c r="J703" s="3">
        <v>0</v>
      </c>
      <c r="K703" s="3">
        <v>-287.21605378778798</v>
      </c>
    </row>
    <row r="704" spans="1:11" ht="18" x14ac:dyDescent="0.25">
      <c r="A704" s="3">
        <v>2011.3333333333301</v>
      </c>
      <c r="B704" s="3">
        <f t="shared" si="50"/>
        <v>-160.72944297082228</v>
      </c>
      <c r="C704" s="3">
        <f t="shared" si="51"/>
        <v>-174.11811462817849</v>
      </c>
      <c r="D704" s="3">
        <f t="shared" si="52"/>
        <v>-160.72944297082228</v>
      </c>
      <c r="E704" s="3">
        <f t="shared" si="53"/>
        <v>-166.10503502793432</v>
      </c>
      <c r="F704" s="3">
        <v>-96</v>
      </c>
      <c r="G704" s="3">
        <v>-100.47588579487299</v>
      </c>
      <c r="H704">
        <f t="shared" si="54"/>
        <v>179.25652874849357</v>
      </c>
      <c r="I704" s="3">
        <v>1938.3333333333301</v>
      </c>
      <c r="J704" s="3">
        <v>0</v>
      </c>
      <c r="K704" s="3">
        <v>-290.78847552210402</v>
      </c>
    </row>
    <row r="705" spans="1:11" ht="18" x14ac:dyDescent="0.25">
      <c r="A705" s="3">
        <v>2011.4166666666599</v>
      </c>
      <c r="B705" s="3">
        <f t="shared" si="50"/>
        <v>-156.72944297082228</v>
      </c>
      <c r="C705" s="3">
        <f t="shared" si="51"/>
        <v>-164.72104129195881</v>
      </c>
      <c r="D705" s="3">
        <f t="shared" si="52"/>
        <v>-156.72944297082228</v>
      </c>
      <c r="E705" s="3">
        <f t="shared" si="53"/>
        <v>-147.48677161992799</v>
      </c>
      <c r="F705" s="3">
        <v>-92</v>
      </c>
      <c r="G705" s="3">
        <v>-81.857622386866694</v>
      </c>
      <c r="H705">
        <f t="shared" si="54"/>
        <v>63.8656437263923</v>
      </c>
      <c r="I705" s="3">
        <v>1938.4166666666599</v>
      </c>
      <c r="J705" s="3">
        <v>0</v>
      </c>
      <c r="K705" s="3">
        <v>-212.99665483503099</v>
      </c>
    </row>
    <row r="706" spans="1:11" ht="18" x14ac:dyDescent="0.25">
      <c r="A706" s="3">
        <v>2011.5</v>
      </c>
      <c r="B706" s="3">
        <f t="shared" si="50"/>
        <v>-134.72944297082228</v>
      </c>
      <c r="C706" s="3">
        <f t="shared" si="51"/>
        <v>-142.7391482008031</v>
      </c>
      <c r="D706" s="3">
        <f t="shared" si="52"/>
        <v>-134.72944297082228</v>
      </c>
      <c r="E706" s="3">
        <f t="shared" si="53"/>
        <v>-111.74613933130502</v>
      </c>
      <c r="F706" s="3">
        <v>-70</v>
      </c>
      <c r="G706" s="3">
        <v>-46.116990098243697</v>
      </c>
      <c r="H706">
        <f t="shared" si="54"/>
        <v>64.155377871182168</v>
      </c>
      <c r="I706" s="3">
        <v>1938.5</v>
      </c>
      <c r="J706" s="3">
        <v>0</v>
      </c>
      <c r="K706" s="3">
        <v>-95.353967040753005</v>
      </c>
    </row>
    <row r="707" spans="1:11" ht="18" x14ac:dyDescent="0.25">
      <c r="A707" s="3">
        <v>2011.5833333333301</v>
      </c>
      <c r="B707" s="3">
        <f t="shared" si="50"/>
        <v>-89.729442970822276</v>
      </c>
      <c r="C707" s="3">
        <f t="shared" si="51"/>
        <v>-107.00410981512583</v>
      </c>
      <c r="D707" s="3">
        <f t="shared" si="52"/>
        <v>-89.729442970822276</v>
      </c>
      <c r="E707" s="3">
        <f t="shared" si="53"/>
        <v>-69.561406742779369</v>
      </c>
      <c r="F707" s="3">
        <v>-25</v>
      </c>
      <c r="G707" s="3">
        <v>-3.9322575097180499</v>
      </c>
      <c r="H707">
        <f t="shared" si="54"/>
        <v>298.41411458168045</v>
      </c>
      <c r="I707" s="3">
        <v>1938.5833333333301</v>
      </c>
      <c r="J707" s="3">
        <v>0</v>
      </c>
      <c r="K707" s="3">
        <v>10.2593774085856</v>
      </c>
    </row>
    <row r="708" spans="1:11" ht="18" x14ac:dyDescent="0.25">
      <c r="A708" s="3">
        <v>2011.6666666666599</v>
      </c>
      <c r="B708" s="3">
        <f t="shared" si="50"/>
        <v>-73.729442970822276</v>
      </c>
      <c r="C708" s="3">
        <f t="shared" si="51"/>
        <v>-29.041739874146224</v>
      </c>
      <c r="D708" s="3">
        <f t="shared" si="52"/>
        <v>-73.729442970822276</v>
      </c>
      <c r="E708" s="3">
        <f t="shared" si="53"/>
        <v>-13.780158340102112</v>
      </c>
      <c r="F708" s="3">
        <v>-9</v>
      </c>
      <c r="G708" s="3">
        <v>51.8489908929592</v>
      </c>
      <c r="H708">
        <f t="shared" si="54"/>
        <v>1996.9908080566704</v>
      </c>
      <c r="I708" s="3">
        <v>1938.6666666666599</v>
      </c>
      <c r="J708" s="3">
        <v>0</v>
      </c>
      <c r="K708" s="3">
        <v>92.094681953684898</v>
      </c>
    </row>
    <row r="709" spans="1:11" ht="18" x14ac:dyDescent="0.25">
      <c r="A709" s="3">
        <v>2011.75</v>
      </c>
      <c r="B709" s="3">
        <f t="shared" si="50"/>
        <v>-32.729442970822276</v>
      </c>
      <c r="C709" s="3">
        <f t="shared" si="51"/>
        <v>52.402854390263592</v>
      </c>
      <c r="D709" s="3">
        <f t="shared" si="52"/>
        <v>-32.729442970822276</v>
      </c>
      <c r="E709" s="3">
        <f t="shared" si="53"/>
        <v>27.054526077080183</v>
      </c>
      <c r="F709" s="3">
        <v>32</v>
      </c>
      <c r="G709" s="3">
        <v>92.683675310141496</v>
      </c>
      <c r="H709">
        <f t="shared" si="54"/>
        <v>7247.5080539763494</v>
      </c>
      <c r="I709" s="3">
        <v>1938.75</v>
      </c>
      <c r="J709" s="3">
        <v>0</v>
      </c>
      <c r="K709" s="3">
        <v>137.06939899557901</v>
      </c>
    </row>
    <row r="710" spans="1:11" ht="18" x14ac:dyDescent="0.25">
      <c r="A710" s="3">
        <v>2011.8333333333301</v>
      </c>
      <c r="B710" s="3">
        <f t="shared" ref="B710:B758" si="55">+$D710</f>
        <v>10.270557029177724</v>
      </c>
      <c r="C710" s="3">
        <f t="shared" ref="C710:C758" si="56">$B$1*$E710/(1+$B$3*ABS($E710)^$B$2)</f>
        <v>83.69351802342328</v>
      </c>
      <c r="D710" s="3">
        <f t="shared" ref="D710:D758" si="57">+F710-$F$3</f>
        <v>10.270557029177724</v>
      </c>
      <c r="E710" s="3">
        <f t="shared" ref="E710:E758" si="58">+$G710-$G$3</f>
        <v>48.987446435732693</v>
      </c>
      <c r="F710" s="3">
        <v>75</v>
      </c>
      <c r="G710" s="3">
        <v>114.61659566879401</v>
      </c>
      <c r="H710">
        <f t="shared" ref="H710:H758" si="59">+(B710-C710)^2</f>
        <v>5390.9312011625043</v>
      </c>
      <c r="I710" s="3">
        <v>1938.8333333333301</v>
      </c>
      <c r="J710" s="3">
        <v>0</v>
      </c>
      <c r="K710" s="3">
        <v>168.37698848316501</v>
      </c>
    </row>
    <row r="711" spans="1:11" ht="18" x14ac:dyDescent="0.25">
      <c r="A711" s="3">
        <v>2011.9166666666599</v>
      </c>
      <c r="B711" s="3">
        <f t="shared" si="55"/>
        <v>124.27055702917772</v>
      </c>
      <c r="C711" s="3">
        <f t="shared" si="56"/>
        <v>111.26764083509315</v>
      </c>
      <c r="D711" s="3">
        <f t="shared" si="57"/>
        <v>124.27055702917772</v>
      </c>
      <c r="E711" s="3">
        <f t="shared" si="58"/>
        <v>73.82708284539568</v>
      </c>
      <c r="F711" s="3">
        <v>189</v>
      </c>
      <c r="G711" s="3">
        <v>139.45623207845699</v>
      </c>
      <c r="H711">
        <f t="shared" si="59"/>
        <v>169.07582955038694</v>
      </c>
      <c r="I711" s="3">
        <v>1938.9166666666599</v>
      </c>
      <c r="J711" s="3">
        <v>0</v>
      </c>
      <c r="K711" s="3">
        <v>210.68419940961499</v>
      </c>
    </row>
    <row r="712" spans="1:11" ht="18" x14ac:dyDescent="0.25">
      <c r="A712" s="3">
        <v>2012</v>
      </c>
      <c r="B712" s="3">
        <f t="shared" si="55"/>
        <v>173.27055702917772</v>
      </c>
      <c r="C712" s="3">
        <f t="shared" si="56"/>
        <v>121.45587686601263</v>
      </c>
      <c r="D712" s="3">
        <f t="shared" si="57"/>
        <v>173.27055702917772</v>
      </c>
      <c r="E712" s="3">
        <f t="shared" si="58"/>
        <v>84.771159851794678</v>
      </c>
      <c r="F712" s="3">
        <v>238</v>
      </c>
      <c r="G712" s="3">
        <v>150.40030908485599</v>
      </c>
      <c r="H712">
        <f t="shared" si="59"/>
        <v>2684.7610804110941</v>
      </c>
      <c r="I712" s="3">
        <v>1939</v>
      </c>
      <c r="J712" s="3">
        <v>0</v>
      </c>
      <c r="K712" s="3">
        <v>238.03545968082699</v>
      </c>
    </row>
    <row r="713" spans="1:11" ht="18" x14ac:dyDescent="0.25">
      <c r="A713" s="3">
        <v>2012.0833333333301</v>
      </c>
      <c r="B713" s="3">
        <f t="shared" si="55"/>
        <v>173.27055702917772</v>
      </c>
      <c r="C713" s="3">
        <f t="shared" si="56"/>
        <v>118.74008696063456</v>
      </c>
      <c r="D713" s="3">
        <f t="shared" si="57"/>
        <v>173.27055702917772</v>
      </c>
      <c r="E713" s="3">
        <f t="shared" si="58"/>
        <v>81.744318230099694</v>
      </c>
      <c r="F713" s="3">
        <v>238</v>
      </c>
      <c r="G713" s="3">
        <v>147.37346746316101</v>
      </c>
      <c r="H713">
        <f t="shared" si="59"/>
        <v>2973.5721658962821</v>
      </c>
      <c r="I713" s="3">
        <v>1939.0833333333301</v>
      </c>
      <c r="J713" s="3">
        <v>0</v>
      </c>
      <c r="K713" s="3">
        <v>254.158068958755</v>
      </c>
    </row>
    <row r="714" spans="1:11" ht="18" x14ac:dyDescent="0.25">
      <c r="A714" s="3">
        <v>2012.1666666666599</v>
      </c>
      <c r="B714" s="3">
        <f t="shared" si="55"/>
        <v>152.27055702917772</v>
      </c>
      <c r="C714" s="3">
        <f t="shared" si="56"/>
        <v>115.43632457641623</v>
      </c>
      <c r="D714" s="3">
        <f t="shared" si="57"/>
        <v>152.27055702917772</v>
      </c>
      <c r="E714" s="3">
        <f t="shared" si="58"/>
        <v>78.171753523171688</v>
      </c>
      <c r="F714" s="3">
        <v>217</v>
      </c>
      <c r="G714" s="3">
        <v>143.800902756233</v>
      </c>
      <c r="H714">
        <f t="shared" si="59"/>
        <v>1356.7606803840683</v>
      </c>
      <c r="I714" s="3">
        <v>1939.1666666666599</v>
      </c>
      <c r="J714" s="3">
        <v>0</v>
      </c>
      <c r="K714" s="3">
        <v>281.252151366009</v>
      </c>
    </row>
    <row r="715" spans="1:11" ht="18" x14ac:dyDescent="0.25">
      <c r="A715" s="3">
        <v>2012.25</v>
      </c>
      <c r="B715" s="3">
        <f t="shared" si="55"/>
        <v>152.27055702917772</v>
      </c>
      <c r="C715" s="3">
        <f t="shared" si="56"/>
        <v>105.80303102068928</v>
      </c>
      <c r="D715" s="3">
        <f t="shared" si="57"/>
        <v>152.27055702917772</v>
      </c>
      <c r="E715" s="3">
        <f t="shared" si="58"/>
        <v>68.3907160617877</v>
      </c>
      <c r="F715" s="3">
        <v>217</v>
      </c>
      <c r="G715" s="3">
        <v>134.01986529484901</v>
      </c>
      <c r="H715">
        <f t="shared" si="59"/>
        <v>2159.2309733495504</v>
      </c>
      <c r="I715" s="3">
        <v>1939.25</v>
      </c>
      <c r="J715" s="3">
        <v>0</v>
      </c>
      <c r="K715" s="3">
        <v>314.17673777096599</v>
      </c>
    </row>
    <row r="716" spans="1:11" ht="18" x14ac:dyDescent="0.25">
      <c r="A716" s="3">
        <v>2012.3333333333301</v>
      </c>
      <c r="B716" s="3">
        <f t="shared" si="55"/>
        <v>192.27055702917772</v>
      </c>
      <c r="C716" s="3">
        <f t="shared" si="56"/>
        <v>121.65461864351087</v>
      </c>
      <c r="D716" s="3">
        <f t="shared" si="57"/>
        <v>192.27055702917772</v>
      </c>
      <c r="E716" s="3">
        <f t="shared" si="58"/>
        <v>84.995957702147692</v>
      </c>
      <c r="F716" s="3">
        <v>257</v>
      </c>
      <c r="G716" s="3">
        <v>150.625106935209</v>
      </c>
      <c r="H716">
        <f t="shared" si="59"/>
        <v>4986.6107540882967</v>
      </c>
      <c r="I716" s="3">
        <v>1939.3333333333301</v>
      </c>
      <c r="J716" s="3">
        <v>0</v>
      </c>
      <c r="K716" s="3">
        <v>366.37509090099502</v>
      </c>
    </row>
    <row r="717" spans="1:11" ht="18" x14ac:dyDescent="0.25">
      <c r="A717" s="3">
        <v>2012.4166666666599</v>
      </c>
      <c r="B717" s="3">
        <f t="shared" si="55"/>
        <v>241.27055702917772</v>
      </c>
      <c r="C717" s="3">
        <f t="shared" si="56"/>
        <v>160.1965232613795</v>
      </c>
      <c r="D717" s="3">
        <f t="shared" si="57"/>
        <v>241.27055702917772</v>
      </c>
      <c r="E717" s="3">
        <f t="shared" si="58"/>
        <v>139.31484699572871</v>
      </c>
      <c r="F717" s="3">
        <v>306</v>
      </c>
      <c r="G717" s="3">
        <v>204.94399622879001</v>
      </c>
      <c r="H717">
        <f t="shared" si="59"/>
        <v>6572.9989513820874</v>
      </c>
      <c r="I717" s="3">
        <v>1939.4166666666599</v>
      </c>
      <c r="J717" s="3">
        <v>0</v>
      </c>
      <c r="K717" s="3">
        <v>417.04960638360802</v>
      </c>
    </row>
    <row r="718" spans="1:11" ht="18" x14ac:dyDescent="0.25">
      <c r="A718" s="3">
        <v>2012.5</v>
      </c>
      <c r="B718" s="3">
        <f t="shared" si="55"/>
        <v>260.27055702917772</v>
      </c>
      <c r="C718" s="3">
        <f t="shared" si="56"/>
        <v>178.17604127366741</v>
      </c>
      <c r="D718" s="3">
        <f t="shared" si="57"/>
        <v>260.27055702917772</v>
      </c>
      <c r="E718" s="3">
        <f t="shared" si="58"/>
        <v>174.92034901241169</v>
      </c>
      <c r="F718" s="3">
        <v>325</v>
      </c>
      <c r="G718" s="3">
        <v>240.54949824547299</v>
      </c>
      <c r="H718">
        <f t="shared" si="59"/>
        <v>6739.5095171317316</v>
      </c>
      <c r="I718" s="3">
        <v>1939.5</v>
      </c>
      <c r="J718" s="3">
        <v>0</v>
      </c>
      <c r="K718" s="3">
        <v>400.804485510105</v>
      </c>
    </row>
    <row r="719" spans="1:11" ht="18" x14ac:dyDescent="0.25">
      <c r="A719" s="3">
        <v>2012.5833333333301</v>
      </c>
      <c r="B719" s="3">
        <f t="shared" si="55"/>
        <v>261.27055702917772</v>
      </c>
      <c r="C719" s="3">
        <f t="shared" si="56"/>
        <v>179.11618524836123</v>
      </c>
      <c r="D719" s="3">
        <f t="shared" si="57"/>
        <v>261.27055702917772</v>
      </c>
      <c r="E719" s="3">
        <f t="shared" si="58"/>
        <v>177.03635428599671</v>
      </c>
      <c r="F719" s="3">
        <v>326</v>
      </c>
      <c r="G719" s="3">
        <v>242.66550351905801</v>
      </c>
      <c r="H719">
        <f t="shared" si="59"/>
        <v>6749.3408027006171</v>
      </c>
      <c r="I719" s="3">
        <v>1939.5833333333301</v>
      </c>
      <c r="J719" s="3">
        <v>0</v>
      </c>
      <c r="K719" s="3">
        <v>323.243893249743</v>
      </c>
    </row>
    <row r="720" spans="1:11" ht="18" x14ac:dyDescent="0.25">
      <c r="A720" s="3">
        <v>2012.6666666666599</v>
      </c>
      <c r="B720" s="3">
        <f t="shared" si="55"/>
        <v>266.27055702917772</v>
      </c>
      <c r="C720" s="3">
        <f t="shared" si="56"/>
        <v>174.3573168229448</v>
      </c>
      <c r="D720" s="3">
        <f t="shared" si="57"/>
        <v>266.27055702917772</v>
      </c>
      <c r="E720" s="3">
        <f t="shared" si="58"/>
        <v>166.6108256391887</v>
      </c>
      <c r="F720" s="3">
        <v>331</v>
      </c>
      <c r="G720" s="3">
        <v>232.23997487225</v>
      </c>
      <c r="H720">
        <f t="shared" si="59"/>
        <v>8448.043725208674</v>
      </c>
      <c r="I720" s="3">
        <v>1939.6666666666599</v>
      </c>
      <c r="J720" s="3">
        <v>0</v>
      </c>
      <c r="K720" s="3">
        <v>228.70859392768199</v>
      </c>
    </row>
    <row r="721" spans="1:11" ht="18" x14ac:dyDescent="0.25">
      <c r="A721" s="3">
        <v>2012.75</v>
      </c>
      <c r="B721" s="3">
        <f t="shared" si="55"/>
        <v>271.27055702917772</v>
      </c>
      <c r="C721" s="3">
        <f t="shared" si="56"/>
        <v>163.86095981724978</v>
      </c>
      <c r="D721" s="3">
        <f t="shared" si="57"/>
        <v>271.27055702917772</v>
      </c>
      <c r="E721" s="3">
        <f t="shared" si="58"/>
        <v>145.89633562484266</v>
      </c>
      <c r="F721" s="3">
        <v>336</v>
      </c>
      <c r="G721" s="3">
        <v>211.52548485790399</v>
      </c>
      <c r="H721">
        <f t="shared" si="59"/>
        <v>11536.821573228599</v>
      </c>
      <c r="I721" s="3">
        <v>1939.75</v>
      </c>
      <c r="J721" s="3">
        <v>0</v>
      </c>
      <c r="K721" s="3">
        <v>137.54801635876399</v>
      </c>
    </row>
    <row r="722" spans="1:11" ht="18" x14ac:dyDescent="0.25">
      <c r="A722" s="3">
        <v>2012.8333333333301</v>
      </c>
      <c r="B722" s="3">
        <f t="shared" si="55"/>
        <v>270.27055702917772</v>
      </c>
      <c r="C722" s="3">
        <f t="shared" si="56"/>
        <v>152.16971112429064</v>
      </c>
      <c r="D722" s="3">
        <f t="shared" si="57"/>
        <v>270.27055702917772</v>
      </c>
      <c r="E722" s="3">
        <f t="shared" si="58"/>
        <v>125.91665772561269</v>
      </c>
      <c r="F722" s="3">
        <v>335</v>
      </c>
      <c r="G722" s="3">
        <v>191.54580695867401</v>
      </c>
      <c r="H722">
        <f t="shared" si="59"/>
        <v>13947.809803449883</v>
      </c>
      <c r="I722" s="3">
        <v>1939.8333333333301</v>
      </c>
      <c r="J722" s="3">
        <v>0</v>
      </c>
      <c r="K722" s="3">
        <v>70.553556535713298</v>
      </c>
    </row>
    <row r="723" spans="1:11" ht="18" x14ac:dyDescent="0.25">
      <c r="A723" s="3">
        <v>2012.9166666666599</v>
      </c>
      <c r="B723" s="3">
        <f t="shared" si="55"/>
        <v>270.27055702917772</v>
      </c>
      <c r="C723" s="3">
        <f t="shared" si="56"/>
        <v>124.79187786341382</v>
      </c>
      <c r="D723" s="3">
        <f t="shared" si="57"/>
        <v>270.27055702917772</v>
      </c>
      <c r="E723" s="3">
        <f t="shared" si="58"/>
        <v>88.605898770584687</v>
      </c>
      <c r="F723" s="3">
        <v>335</v>
      </c>
      <c r="G723" s="3">
        <v>154.235048003646</v>
      </c>
      <c r="H723">
        <f t="shared" si="59"/>
        <v>21164.046091815271</v>
      </c>
      <c r="I723" s="3">
        <v>1939.9166666666599</v>
      </c>
      <c r="J723" s="3">
        <v>0</v>
      </c>
      <c r="K723" s="3">
        <v>10.9574694782425</v>
      </c>
    </row>
    <row r="724" spans="1:11" ht="18" x14ac:dyDescent="0.25">
      <c r="A724" s="3">
        <v>2013</v>
      </c>
      <c r="B724" s="3">
        <f t="shared" si="55"/>
        <v>96.270557029177724</v>
      </c>
      <c r="C724" s="3">
        <f t="shared" si="56"/>
        <v>25.17932933995526</v>
      </c>
      <c r="D724" s="3">
        <f t="shared" si="57"/>
        <v>96.270557029177724</v>
      </c>
      <c r="E724" s="3">
        <f t="shared" si="58"/>
        <v>11.789702996586584</v>
      </c>
      <c r="F724" s="3">
        <v>161</v>
      </c>
      <c r="G724" s="3">
        <v>77.418852229647896</v>
      </c>
      <c r="H724">
        <f t="shared" si="59"/>
        <v>5053.9626543608711</v>
      </c>
      <c r="I724" s="3">
        <v>1940</v>
      </c>
      <c r="J724" s="3">
        <v>0</v>
      </c>
      <c r="K724" s="3">
        <v>-63.563856559754399</v>
      </c>
    </row>
    <row r="725" spans="1:11" ht="18" x14ac:dyDescent="0.25">
      <c r="A725" s="3">
        <v>2013.0833333333301</v>
      </c>
      <c r="B725" s="3">
        <f t="shared" si="55"/>
        <v>-17.729442970822276</v>
      </c>
      <c r="C725" s="3">
        <f t="shared" si="56"/>
        <v>-95.123003249359058</v>
      </c>
      <c r="D725" s="3">
        <f t="shared" si="57"/>
        <v>-17.729442970822276</v>
      </c>
      <c r="E725" s="3">
        <f t="shared" si="58"/>
        <v>-58.536611398257065</v>
      </c>
      <c r="F725" s="3">
        <v>47</v>
      </c>
      <c r="G725" s="3">
        <v>7.0925378348042498</v>
      </c>
      <c r="H725">
        <f t="shared" si="59"/>
        <v>5989.7631725875062</v>
      </c>
      <c r="I725" s="3">
        <v>1940.0833333333301</v>
      </c>
      <c r="J725" s="3">
        <v>0</v>
      </c>
      <c r="K725" s="3">
        <v>-121.74388372269701</v>
      </c>
    </row>
    <row r="726" spans="1:11" ht="18" x14ac:dyDescent="0.25">
      <c r="A726" s="3">
        <v>2013.1666666666599</v>
      </c>
      <c r="B726" s="3">
        <f t="shared" si="55"/>
        <v>-82.729442970822276</v>
      </c>
      <c r="C726" s="3">
        <f t="shared" si="56"/>
        <v>-130.97695207744451</v>
      </c>
      <c r="D726" s="3">
        <f t="shared" si="57"/>
        <v>-82.729442970822276</v>
      </c>
      <c r="E726" s="3">
        <f t="shared" si="58"/>
        <v>-96.078210445413717</v>
      </c>
      <c r="F726" s="3">
        <v>-18</v>
      </c>
      <c r="G726" s="3">
        <v>-30.449061212352401</v>
      </c>
      <c r="H726">
        <f t="shared" si="59"/>
        <v>2327.8221349935952</v>
      </c>
      <c r="I726" s="3">
        <v>1940.1666666666599</v>
      </c>
      <c r="J726" s="3">
        <v>0</v>
      </c>
      <c r="K726" s="3">
        <v>-165.26127596908901</v>
      </c>
    </row>
    <row r="727" spans="1:11" ht="18" x14ac:dyDescent="0.25">
      <c r="A727" s="3">
        <v>2013.25</v>
      </c>
      <c r="B727" s="3">
        <f t="shared" si="55"/>
        <v>-153.72944297082228</v>
      </c>
      <c r="C727" s="3">
        <f t="shared" si="56"/>
        <v>-148.82217929249563</v>
      </c>
      <c r="D727" s="3">
        <f t="shared" si="57"/>
        <v>-153.72944297082228</v>
      </c>
      <c r="E727" s="3">
        <f t="shared" si="58"/>
        <v>-120.70540118363832</v>
      </c>
      <c r="F727" s="3">
        <v>-89</v>
      </c>
      <c r="G727" s="3">
        <v>-55.076251950577003</v>
      </c>
      <c r="H727">
        <f t="shared" si="59"/>
        <v>24.081236808623938</v>
      </c>
      <c r="I727" s="3">
        <v>1940.25</v>
      </c>
      <c r="J727" s="3">
        <v>0</v>
      </c>
      <c r="K727" s="3">
        <v>-220.21617774970301</v>
      </c>
    </row>
    <row r="728" spans="1:11" ht="18" x14ac:dyDescent="0.25">
      <c r="A728" s="3">
        <v>2013.3333333333301</v>
      </c>
      <c r="B728" s="3">
        <f t="shared" si="55"/>
        <v>-166.72944297082228</v>
      </c>
      <c r="C728" s="3">
        <f t="shared" si="56"/>
        <v>-155.45048136323337</v>
      </c>
      <c r="D728" s="3">
        <f t="shared" si="57"/>
        <v>-166.72944297082228</v>
      </c>
      <c r="E728" s="3">
        <f t="shared" si="58"/>
        <v>-131.23264996137743</v>
      </c>
      <c r="F728" s="3">
        <v>-102</v>
      </c>
      <c r="G728" s="3">
        <v>-65.603500728316106</v>
      </c>
      <c r="H728">
        <f t="shared" si="59"/>
        <v>127.21497494546465</v>
      </c>
      <c r="I728" s="3">
        <v>1940.3333333333301</v>
      </c>
      <c r="J728" s="3">
        <v>0</v>
      </c>
      <c r="K728" s="3">
        <v>-261.73810036726297</v>
      </c>
    </row>
    <row r="729" spans="1:11" ht="18" x14ac:dyDescent="0.25">
      <c r="A729" s="3">
        <v>2013.4166666666599</v>
      </c>
      <c r="B729" s="3">
        <f t="shared" si="55"/>
        <v>-173.72944297082228</v>
      </c>
      <c r="C729" s="3">
        <f t="shared" si="56"/>
        <v>-163.81086175889303</v>
      </c>
      <c r="D729" s="3">
        <f t="shared" si="57"/>
        <v>-173.72944297082228</v>
      </c>
      <c r="E729" s="3">
        <f t="shared" si="58"/>
        <v>-145.80424382167882</v>
      </c>
      <c r="F729" s="3">
        <v>-109</v>
      </c>
      <c r="G729" s="3">
        <v>-80.175094588617497</v>
      </c>
      <c r="H729">
        <f t="shared" si="59"/>
        <v>98.378253257635919</v>
      </c>
      <c r="I729" s="3">
        <v>1940.4166666666599</v>
      </c>
      <c r="J729" s="3">
        <v>0</v>
      </c>
      <c r="K729" s="3">
        <v>-277.666883680159</v>
      </c>
    </row>
    <row r="730" spans="1:11" ht="18" x14ac:dyDescent="0.25">
      <c r="A730" s="3">
        <v>2013.5</v>
      </c>
      <c r="B730" s="3">
        <f t="shared" si="55"/>
        <v>-211.72944297082228</v>
      </c>
      <c r="C730" s="3">
        <f t="shared" si="56"/>
        <v>-179.46363656871665</v>
      </c>
      <c r="D730" s="3">
        <f t="shared" si="57"/>
        <v>-211.72944297082228</v>
      </c>
      <c r="E730" s="3">
        <f t="shared" si="58"/>
        <v>-177.82565641101431</v>
      </c>
      <c r="F730" s="3">
        <v>-147</v>
      </c>
      <c r="G730" s="3">
        <v>-112.19650717795299</v>
      </c>
      <c r="H730">
        <f t="shared" si="59"/>
        <v>1041.0822627781604</v>
      </c>
      <c r="I730" s="3">
        <v>1940.5</v>
      </c>
      <c r="J730" s="3">
        <v>0</v>
      </c>
      <c r="K730" s="3">
        <v>-270.35142248013898</v>
      </c>
    </row>
    <row r="731" spans="1:11" ht="18" x14ac:dyDescent="0.25">
      <c r="A731" s="3">
        <v>2013.5833333333301</v>
      </c>
      <c r="B731" s="3">
        <f t="shared" si="55"/>
        <v>-211.72944297082228</v>
      </c>
      <c r="C731" s="3">
        <f t="shared" si="56"/>
        <v>-183.84468346518537</v>
      </c>
      <c r="D731" s="3">
        <f t="shared" si="57"/>
        <v>-211.72944297082228</v>
      </c>
      <c r="E731" s="3">
        <f t="shared" si="58"/>
        <v>-188.12965436512133</v>
      </c>
      <c r="F731" s="3">
        <v>-147</v>
      </c>
      <c r="G731" s="3">
        <v>-122.50050513206</v>
      </c>
      <c r="H731">
        <f t="shared" si="59"/>
        <v>777.55981268720791</v>
      </c>
      <c r="I731" s="3">
        <v>1940.5833333333301</v>
      </c>
      <c r="J731" s="3">
        <v>0</v>
      </c>
      <c r="K731" s="3">
        <v>-226.19143416890199</v>
      </c>
    </row>
    <row r="732" spans="1:11" ht="18" x14ac:dyDescent="0.25">
      <c r="A732" s="3">
        <v>2013.6666666666599</v>
      </c>
      <c r="B732" s="3">
        <f t="shared" si="55"/>
        <v>-203.72944297082228</v>
      </c>
      <c r="C732" s="3">
        <f t="shared" si="56"/>
        <v>-176.25792480672285</v>
      </c>
      <c r="D732" s="3">
        <f t="shared" si="57"/>
        <v>-203.72944297082228</v>
      </c>
      <c r="E732" s="3">
        <f t="shared" si="58"/>
        <v>-170.69044716775733</v>
      </c>
      <c r="F732" s="3">
        <v>-139</v>
      </c>
      <c r="G732" s="3">
        <v>-105.061297934696</v>
      </c>
      <c r="H732">
        <f t="shared" si="59"/>
        <v>754.68431024044446</v>
      </c>
      <c r="I732" s="3">
        <v>1940.6666666666599</v>
      </c>
      <c r="J732" s="3">
        <v>0</v>
      </c>
      <c r="K732" s="3">
        <v>-173.28622905448</v>
      </c>
    </row>
    <row r="733" spans="1:11" ht="18" x14ac:dyDescent="0.25">
      <c r="A733" s="3">
        <v>2013.75</v>
      </c>
      <c r="B733" s="3">
        <f t="shared" si="55"/>
        <v>-186.72944297082228</v>
      </c>
      <c r="C733" s="3">
        <f t="shared" si="56"/>
        <v>-165.21148331225967</v>
      </c>
      <c r="D733" s="3">
        <f t="shared" si="57"/>
        <v>-186.72944297082228</v>
      </c>
      <c r="E733" s="3">
        <f t="shared" si="58"/>
        <v>-148.40171469467882</v>
      </c>
      <c r="F733" s="3">
        <v>-122</v>
      </c>
      <c r="G733" s="3">
        <v>-82.772565461617504</v>
      </c>
      <c r="H733">
        <f t="shared" si="59"/>
        <v>463.02258786752759</v>
      </c>
      <c r="I733" s="3">
        <v>1940.75</v>
      </c>
      <c r="J733" s="3">
        <v>0</v>
      </c>
      <c r="K733" s="3">
        <v>-134.051969393017</v>
      </c>
    </row>
    <row r="734" spans="1:11" ht="18" x14ac:dyDescent="0.25">
      <c r="A734" s="3">
        <v>2013.8333333333301</v>
      </c>
      <c r="B734" s="3">
        <f t="shared" si="55"/>
        <v>-183.72944297082228</v>
      </c>
      <c r="C734" s="3">
        <f t="shared" si="56"/>
        <v>-151.39338496620437</v>
      </c>
      <c r="D734" s="3">
        <f t="shared" si="57"/>
        <v>-183.72944297082228</v>
      </c>
      <c r="E734" s="3">
        <f t="shared" si="58"/>
        <v>-124.68942861283642</v>
      </c>
      <c r="F734" s="3">
        <v>-119</v>
      </c>
      <c r="G734" s="3">
        <v>-59.060279379775103</v>
      </c>
      <c r="H734">
        <f t="shared" si="59"/>
        <v>1045.6206472780141</v>
      </c>
      <c r="I734" s="3">
        <v>1940.8333333333301</v>
      </c>
      <c r="J734" s="3">
        <v>0</v>
      </c>
      <c r="K734" s="3">
        <v>-87.773274122022798</v>
      </c>
    </row>
    <row r="735" spans="1:11" ht="18" x14ac:dyDescent="0.25">
      <c r="A735" s="3">
        <v>2013.9166666666599</v>
      </c>
      <c r="B735" s="3">
        <f t="shared" si="55"/>
        <v>-182.72944297082228</v>
      </c>
      <c r="C735" s="3">
        <f t="shared" si="56"/>
        <v>-149.46396681812817</v>
      </c>
      <c r="D735" s="3">
        <f t="shared" si="57"/>
        <v>-182.72944297082228</v>
      </c>
      <c r="E735" s="3">
        <f t="shared" si="58"/>
        <v>-121.68843130716152</v>
      </c>
      <c r="F735" s="3">
        <v>-118</v>
      </c>
      <c r="G735" s="3">
        <v>-56.059282074100203</v>
      </c>
      <c r="H735">
        <f t="shared" si="59"/>
        <v>1106.5919036654602</v>
      </c>
      <c r="I735" s="3">
        <v>1940.9166666666599</v>
      </c>
      <c r="J735" s="3">
        <v>0</v>
      </c>
      <c r="K735" s="3">
        <v>-40.248156810974699</v>
      </c>
    </row>
    <row r="736" spans="1:11" ht="18" x14ac:dyDescent="0.25">
      <c r="A736" s="3">
        <v>2014</v>
      </c>
      <c r="B736" s="3">
        <f t="shared" si="55"/>
        <v>-182.72944297082228</v>
      </c>
      <c r="C736" s="3">
        <f t="shared" si="56"/>
        <v>-157.21754383093534</v>
      </c>
      <c r="D736" s="3">
        <f t="shared" si="57"/>
        <v>-182.72944297082228</v>
      </c>
      <c r="E736" s="3">
        <f t="shared" si="58"/>
        <v>-134.18597725431411</v>
      </c>
      <c r="F736" s="3">
        <v>-118</v>
      </c>
      <c r="G736" s="3">
        <v>-68.556828021252798</v>
      </c>
      <c r="H736">
        <f t="shared" si="59"/>
        <v>650.85699772376381</v>
      </c>
      <c r="I736" s="3">
        <v>1941</v>
      </c>
      <c r="J736" s="3">
        <v>0</v>
      </c>
      <c r="K736" s="3">
        <v>10.1123694930534</v>
      </c>
    </row>
    <row r="737" spans="1:11" ht="18" x14ac:dyDescent="0.25">
      <c r="A737" s="3">
        <v>2014.0833333333301</v>
      </c>
      <c r="B737" s="3">
        <f t="shared" si="55"/>
        <v>-190.72944297082228</v>
      </c>
      <c r="C737" s="3">
        <f t="shared" si="56"/>
        <v>-150.82279106509989</v>
      </c>
      <c r="D737" s="3">
        <f t="shared" si="57"/>
        <v>-190.72944297082228</v>
      </c>
      <c r="E737" s="3">
        <f t="shared" si="58"/>
        <v>-123.79470544957621</v>
      </c>
      <c r="F737" s="3">
        <v>-126</v>
      </c>
      <c r="G737" s="3">
        <v>-58.165556216514901</v>
      </c>
      <c r="H737">
        <f t="shared" si="59"/>
        <v>1592.5408663244959</v>
      </c>
      <c r="I737" s="3">
        <v>1941.0833333333301</v>
      </c>
      <c r="J737" s="3">
        <v>0</v>
      </c>
      <c r="K737" s="3">
        <v>80.359753381993201</v>
      </c>
    </row>
    <row r="738" spans="1:11" ht="18" x14ac:dyDescent="0.25">
      <c r="A738" s="3">
        <v>2014.1666666666599</v>
      </c>
      <c r="B738" s="3">
        <f t="shared" si="55"/>
        <v>-190.72944297082228</v>
      </c>
      <c r="C738" s="3">
        <f t="shared" si="56"/>
        <v>-136.36588775697976</v>
      </c>
      <c r="D738" s="3">
        <f t="shared" si="57"/>
        <v>-190.72944297082228</v>
      </c>
      <c r="E738" s="3">
        <f t="shared" si="58"/>
        <v>-103.00427018792631</v>
      </c>
      <c r="F738" s="3">
        <v>-126</v>
      </c>
      <c r="G738" s="3">
        <v>-37.375120954864997</v>
      </c>
      <c r="H738">
        <f t="shared" si="59"/>
        <v>2955.3961354885041</v>
      </c>
      <c r="I738" s="3">
        <v>1941.1666666666599</v>
      </c>
      <c r="J738" s="3">
        <v>0</v>
      </c>
      <c r="K738" s="3">
        <v>144.361085948224</v>
      </c>
    </row>
    <row r="739" spans="1:11" ht="18" x14ac:dyDescent="0.25">
      <c r="A739" s="3">
        <v>2014.25</v>
      </c>
      <c r="B739" s="3">
        <f t="shared" si="55"/>
        <v>-177.72944297082228</v>
      </c>
      <c r="C739" s="3">
        <f t="shared" si="56"/>
        <v>-111.54894205547289</v>
      </c>
      <c r="D739" s="3">
        <f t="shared" si="57"/>
        <v>-177.72944297082228</v>
      </c>
      <c r="E739" s="3">
        <f t="shared" si="58"/>
        <v>-74.114730771325725</v>
      </c>
      <c r="F739" s="3">
        <v>-113</v>
      </c>
      <c r="G739" s="3">
        <v>-8.4855815382644195</v>
      </c>
      <c r="H739">
        <f t="shared" si="59"/>
        <v>4379.8587014065606</v>
      </c>
      <c r="I739" s="3">
        <v>1941.25</v>
      </c>
      <c r="J739" s="3">
        <v>0</v>
      </c>
      <c r="K739" s="3">
        <v>204.91832806971399</v>
      </c>
    </row>
    <row r="740" spans="1:11" ht="18" x14ac:dyDescent="0.25">
      <c r="A740" s="3">
        <v>2014.3333333333301</v>
      </c>
      <c r="B740" s="3">
        <f t="shared" si="55"/>
        <v>-152.72944297082228</v>
      </c>
      <c r="C740" s="3">
        <f t="shared" si="56"/>
        <v>-8.2810238444890221</v>
      </c>
      <c r="D740" s="3">
        <f t="shared" si="57"/>
        <v>-152.72944297082228</v>
      </c>
      <c r="E740" s="3">
        <f t="shared" si="58"/>
        <v>-3.6656511697702143</v>
      </c>
      <c r="F740" s="3">
        <v>-88</v>
      </c>
      <c r="G740" s="3">
        <v>61.963498063291098</v>
      </c>
      <c r="H740">
        <f t="shared" si="59"/>
        <v>20865.345788096838</v>
      </c>
      <c r="I740" s="3">
        <v>1941.3333333333301</v>
      </c>
      <c r="J740" s="3">
        <v>0</v>
      </c>
      <c r="K740" s="3">
        <v>294.98014740826198</v>
      </c>
    </row>
    <row r="741" spans="1:11" ht="18" x14ac:dyDescent="0.25">
      <c r="A741" s="3">
        <v>2014.4166666666599</v>
      </c>
      <c r="B741" s="3">
        <f t="shared" si="55"/>
        <v>66.270557029177724</v>
      </c>
      <c r="C741" s="3">
        <f t="shared" si="56"/>
        <v>124.68015459066208</v>
      </c>
      <c r="D741" s="3">
        <f t="shared" si="57"/>
        <v>66.270557029177724</v>
      </c>
      <c r="E741" s="3">
        <f t="shared" si="58"/>
        <v>88.475327228738692</v>
      </c>
      <c r="F741" s="3">
        <v>131</v>
      </c>
      <c r="G741" s="3">
        <v>154.1044764618</v>
      </c>
      <c r="H741">
        <f t="shared" si="59"/>
        <v>3411.6810872945598</v>
      </c>
      <c r="I741" s="3">
        <v>1941.4166666666599</v>
      </c>
      <c r="J741" s="3">
        <v>0</v>
      </c>
      <c r="K741" s="3">
        <v>386.07248934696202</v>
      </c>
    </row>
    <row r="742" spans="1:11" ht="18" x14ac:dyDescent="0.25">
      <c r="A742" s="3">
        <v>2014.5</v>
      </c>
      <c r="B742" s="3">
        <f t="shared" si="55"/>
        <v>193.27055702917772</v>
      </c>
      <c r="C742" s="3">
        <f t="shared" si="56"/>
        <v>174.57304964636779</v>
      </c>
      <c r="D742" s="3">
        <f t="shared" si="57"/>
        <v>193.27055702917772</v>
      </c>
      <c r="E742" s="3">
        <f t="shared" si="58"/>
        <v>167.06844059506568</v>
      </c>
      <c r="F742" s="3">
        <v>258</v>
      </c>
      <c r="G742" s="3">
        <v>232.69758982812701</v>
      </c>
      <c r="H742">
        <f t="shared" si="59"/>
        <v>349.59678233023186</v>
      </c>
      <c r="I742" s="3">
        <v>1941.5</v>
      </c>
      <c r="J742" s="3">
        <v>0</v>
      </c>
      <c r="K742" s="3">
        <v>443.10490858282799</v>
      </c>
    </row>
    <row r="743" spans="1:11" ht="18" x14ac:dyDescent="0.25">
      <c r="A743" s="3">
        <v>2014.5833333333301</v>
      </c>
      <c r="B743" s="3">
        <f t="shared" si="55"/>
        <v>230.27055702917772</v>
      </c>
      <c r="C743" s="3">
        <f t="shared" si="56"/>
        <v>194.1290051640924</v>
      </c>
      <c r="D743" s="3">
        <f t="shared" si="57"/>
        <v>230.27055702917772</v>
      </c>
      <c r="E743" s="3">
        <f t="shared" si="58"/>
        <v>215.18885080744673</v>
      </c>
      <c r="F743" s="3">
        <v>295</v>
      </c>
      <c r="G743" s="3">
        <v>280.81800004050802</v>
      </c>
      <c r="H743">
        <f t="shared" si="59"/>
        <v>1306.2117712166521</v>
      </c>
      <c r="I743" s="3">
        <v>1941.5833333333301</v>
      </c>
      <c r="J743" s="3">
        <v>0</v>
      </c>
      <c r="K743" s="3">
        <v>458.52923275578598</v>
      </c>
    </row>
    <row r="744" spans="1:11" ht="18" x14ac:dyDescent="0.25">
      <c r="A744" s="3">
        <v>2014.6666666666599</v>
      </c>
      <c r="B744" s="3">
        <f t="shared" si="55"/>
        <v>242.27055702917772</v>
      </c>
      <c r="C744" s="3">
        <f t="shared" si="56"/>
        <v>193.95962283945804</v>
      </c>
      <c r="D744" s="3">
        <f t="shared" si="57"/>
        <v>242.27055702917772</v>
      </c>
      <c r="E744" s="3">
        <f t="shared" si="58"/>
        <v>214.70675259489269</v>
      </c>
      <c r="F744" s="3">
        <v>307</v>
      </c>
      <c r="G744" s="3">
        <v>280.33590182795399</v>
      </c>
      <c r="H744">
        <f t="shared" si="59"/>
        <v>2333.9463622834269</v>
      </c>
      <c r="I744" s="3">
        <v>1941.6666666666599</v>
      </c>
      <c r="J744" s="3">
        <v>0</v>
      </c>
      <c r="K744" s="3">
        <v>430.10879952029001</v>
      </c>
    </row>
    <row r="745" spans="1:11" ht="18" x14ac:dyDescent="0.25">
      <c r="A745" s="3">
        <v>2014.75</v>
      </c>
      <c r="B745" s="3">
        <f t="shared" si="55"/>
        <v>252.27055702917772</v>
      </c>
      <c r="C745" s="3">
        <f t="shared" si="56"/>
        <v>188.11328165366751</v>
      </c>
      <c r="D745" s="3">
        <f t="shared" si="57"/>
        <v>252.27055702917772</v>
      </c>
      <c r="E745" s="3">
        <f t="shared" si="58"/>
        <v>198.83937416770573</v>
      </c>
      <c r="F745" s="3">
        <v>317</v>
      </c>
      <c r="G745" s="3">
        <v>264.46852340076703</v>
      </c>
      <c r="H745">
        <f t="shared" si="59"/>
        <v>4116.1559836090491</v>
      </c>
      <c r="I745" s="3">
        <v>1941.75</v>
      </c>
      <c r="J745" s="3">
        <v>0</v>
      </c>
      <c r="K745" s="3">
        <v>398.08231262834403</v>
      </c>
    </row>
    <row r="746" spans="1:11" ht="18" x14ac:dyDescent="0.25">
      <c r="A746" s="3">
        <v>2014.8333333333301</v>
      </c>
      <c r="B746" s="3">
        <f t="shared" si="55"/>
        <v>252.27055702917772</v>
      </c>
      <c r="C746" s="3">
        <f t="shared" si="56"/>
        <v>188.75762169251939</v>
      </c>
      <c r="D746" s="3">
        <f t="shared" si="57"/>
        <v>252.27055702917772</v>
      </c>
      <c r="E746" s="3">
        <f t="shared" si="58"/>
        <v>200.51759754045969</v>
      </c>
      <c r="F746" s="3">
        <v>317</v>
      </c>
      <c r="G746" s="3">
        <v>266.14674677352099</v>
      </c>
      <c r="H746">
        <f t="shared" si="59"/>
        <v>4033.8929550785424</v>
      </c>
      <c r="I746" s="3">
        <v>1941.8333333333301</v>
      </c>
      <c r="J746" s="3">
        <v>0</v>
      </c>
      <c r="K746" s="3">
        <v>379.42405776284801</v>
      </c>
    </row>
    <row r="747" spans="1:11" ht="18" x14ac:dyDescent="0.25">
      <c r="A747" s="3">
        <v>2014.9166666666599</v>
      </c>
      <c r="B747" s="3">
        <f t="shared" si="55"/>
        <v>247.27055702917772</v>
      </c>
      <c r="C747" s="3">
        <f t="shared" si="56"/>
        <v>183.79274269368744</v>
      </c>
      <c r="D747" s="3">
        <f t="shared" si="57"/>
        <v>247.27055702917772</v>
      </c>
      <c r="E747" s="3">
        <f t="shared" si="58"/>
        <v>188.00354249233067</v>
      </c>
      <c r="F747" s="3">
        <v>312</v>
      </c>
      <c r="G747" s="3">
        <v>253.63269172539199</v>
      </c>
      <c r="H747">
        <f t="shared" si="59"/>
        <v>4029.4329128109753</v>
      </c>
      <c r="I747" s="3">
        <v>1941.9166666666599</v>
      </c>
      <c r="J747" s="3">
        <v>0</v>
      </c>
      <c r="K747" s="3">
        <v>328.04178091659298</v>
      </c>
    </row>
    <row r="748" spans="1:11" ht="18" x14ac:dyDescent="0.25">
      <c r="A748" s="3">
        <v>2015</v>
      </c>
      <c r="B748" s="3">
        <f t="shared" si="55"/>
        <v>222.27055702917772</v>
      </c>
      <c r="C748" s="3">
        <f t="shared" si="56"/>
        <v>170.04161672330426</v>
      </c>
      <c r="D748" s="3">
        <f t="shared" si="57"/>
        <v>222.27055702917772</v>
      </c>
      <c r="E748" s="3">
        <f t="shared" si="58"/>
        <v>157.7372808776737</v>
      </c>
      <c r="F748" s="3">
        <v>287</v>
      </c>
      <c r="G748" s="3">
        <v>223.366430110735</v>
      </c>
      <c r="H748">
        <f t="shared" si="59"/>
        <v>2727.8622054744937</v>
      </c>
      <c r="I748" s="3">
        <v>1942</v>
      </c>
      <c r="J748" s="3">
        <v>0</v>
      </c>
      <c r="K748" s="3">
        <v>244.11795595407801</v>
      </c>
    </row>
    <row r="749" spans="1:11" ht="18" x14ac:dyDescent="0.25">
      <c r="A749" s="3">
        <v>2015.0833333333301</v>
      </c>
      <c r="B749" s="3">
        <f t="shared" si="55"/>
        <v>222.27055702917772</v>
      </c>
      <c r="C749" s="3">
        <f t="shared" si="56"/>
        <v>156.83977580851888</v>
      </c>
      <c r="D749" s="3">
        <f t="shared" si="57"/>
        <v>222.27055702917772</v>
      </c>
      <c r="E749" s="3">
        <f t="shared" si="58"/>
        <v>133.54915245853067</v>
      </c>
      <c r="F749" s="3">
        <v>287</v>
      </c>
      <c r="G749" s="3">
        <v>199.178301691592</v>
      </c>
      <c r="H749">
        <f t="shared" si="59"/>
        <v>4281.1871311457217</v>
      </c>
      <c r="I749" s="3">
        <v>1942.0833333333301</v>
      </c>
      <c r="J749" s="3">
        <v>0</v>
      </c>
      <c r="K749" s="3">
        <v>156.524121221104</v>
      </c>
    </row>
    <row r="750" spans="1:11" ht="18" x14ac:dyDescent="0.25">
      <c r="A750" s="3">
        <v>2015.1666666666599</v>
      </c>
      <c r="B750" s="3">
        <f t="shared" si="55"/>
        <v>230.27055702917772</v>
      </c>
      <c r="C750" s="3">
        <f t="shared" si="56"/>
        <v>145.40205566975857</v>
      </c>
      <c r="D750" s="3">
        <f t="shared" si="57"/>
        <v>230.27055702917772</v>
      </c>
      <c r="E750" s="3">
        <f t="shared" si="58"/>
        <v>115.59028662212269</v>
      </c>
      <c r="F750" s="3">
        <v>295</v>
      </c>
      <c r="G750" s="3">
        <v>181.219435855184</v>
      </c>
      <c r="H750">
        <f t="shared" si="59"/>
        <v>7202.6625229937308</v>
      </c>
      <c r="I750" s="3">
        <v>1942.1666666666599</v>
      </c>
      <c r="J750" s="3">
        <v>0</v>
      </c>
      <c r="K750" s="3">
        <v>65.010666950726403</v>
      </c>
    </row>
    <row r="751" spans="1:11" ht="18" x14ac:dyDescent="0.25">
      <c r="A751" s="3">
        <v>2015.25</v>
      </c>
      <c r="B751" s="3">
        <f t="shared" si="55"/>
        <v>246.27055702917772</v>
      </c>
      <c r="C751" s="3">
        <f t="shared" si="56"/>
        <v>150.85101347516598</v>
      </c>
      <c r="D751" s="3">
        <f t="shared" si="57"/>
        <v>246.27055702917772</v>
      </c>
      <c r="E751" s="3">
        <f t="shared" si="58"/>
        <v>123.83881589836368</v>
      </c>
      <c r="F751" s="3">
        <v>311</v>
      </c>
      <c r="G751" s="3">
        <v>189.46796513142499</v>
      </c>
      <c r="H751">
        <f t="shared" si="59"/>
        <v>9104.8892920559429</v>
      </c>
      <c r="I751" s="3">
        <v>1942.25</v>
      </c>
      <c r="J751" s="3">
        <v>0</v>
      </c>
      <c r="K751" s="3">
        <v>-12.645560389502901</v>
      </c>
    </row>
    <row r="752" spans="1:11" ht="18" x14ac:dyDescent="0.25">
      <c r="A752" s="3">
        <v>2015.3333333333301</v>
      </c>
      <c r="B752" s="3">
        <f t="shared" si="55"/>
        <v>246.27055702917772</v>
      </c>
      <c r="C752" s="3">
        <f t="shared" si="56"/>
        <v>165.19449994915013</v>
      </c>
      <c r="D752" s="3">
        <f t="shared" si="57"/>
        <v>246.27055702917772</v>
      </c>
      <c r="E752" s="3">
        <f t="shared" si="58"/>
        <v>148.3699330459437</v>
      </c>
      <c r="F752" s="3">
        <v>311</v>
      </c>
      <c r="G752" s="3">
        <v>213.99908227900499</v>
      </c>
      <c r="H752">
        <f t="shared" si="59"/>
        <v>6573.327031643893</v>
      </c>
      <c r="I752" s="3">
        <v>1942.3333333333301</v>
      </c>
      <c r="J752" s="3">
        <v>0</v>
      </c>
      <c r="K752" s="3">
        <v>-77.244246089510497</v>
      </c>
    </row>
    <row r="753" spans="1:11" ht="18" x14ac:dyDescent="0.25">
      <c r="A753" s="3">
        <v>2015.4166666666599</v>
      </c>
      <c r="B753" s="3">
        <f t="shared" si="55"/>
        <v>75.270557029177724</v>
      </c>
      <c r="C753" s="3">
        <f t="shared" si="56"/>
        <v>154.13496873529371</v>
      </c>
      <c r="D753" s="3">
        <f t="shared" si="57"/>
        <v>75.270557029177724</v>
      </c>
      <c r="E753" s="3">
        <f t="shared" si="58"/>
        <v>129.0754468895297</v>
      </c>
      <c r="F753" s="3">
        <v>140</v>
      </c>
      <c r="G753" s="3">
        <v>194.704596122591</v>
      </c>
      <c r="H753">
        <f t="shared" si="59"/>
        <v>6219.5954337517642</v>
      </c>
      <c r="I753" s="3">
        <v>1942.4166666666599</v>
      </c>
      <c r="J753" s="3">
        <v>0</v>
      </c>
      <c r="K753" s="3">
        <v>-152.388928322174</v>
      </c>
    </row>
    <row r="754" spans="1:11" ht="18" x14ac:dyDescent="0.25">
      <c r="A754" s="3">
        <v>2015.5</v>
      </c>
      <c r="B754" s="3">
        <f t="shared" si="55"/>
        <v>-139.72944297082228</v>
      </c>
      <c r="C754" s="3">
        <f t="shared" si="56"/>
        <v>95.333191216937962</v>
      </c>
      <c r="D754" s="3">
        <f t="shared" si="57"/>
        <v>-139.72944297082228</v>
      </c>
      <c r="E754" s="3">
        <f t="shared" si="58"/>
        <v>58.721413099615688</v>
      </c>
      <c r="F754" s="3">
        <v>-75</v>
      </c>
      <c r="G754" s="3">
        <v>124.350562332677</v>
      </c>
      <c r="H754">
        <f t="shared" si="59"/>
        <v>55254.44199128879</v>
      </c>
      <c r="I754" s="3">
        <v>1942.5</v>
      </c>
      <c r="J754" s="3">
        <v>0</v>
      </c>
      <c r="K754" s="3">
        <v>-211.20368266363599</v>
      </c>
    </row>
    <row r="755" spans="1:11" ht="18" x14ac:dyDescent="0.25">
      <c r="A755" s="3">
        <v>2015.5833333333301</v>
      </c>
      <c r="B755" s="3">
        <f t="shared" si="55"/>
        <v>-193.72944297082228</v>
      </c>
      <c r="C755" s="3">
        <f t="shared" si="56"/>
        <v>-61.873116688457465</v>
      </c>
      <c r="D755" s="3">
        <f t="shared" si="57"/>
        <v>-193.72944297082228</v>
      </c>
      <c r="E755" s="3">
        <f t="shared" si="58"/>
        <v>-33.126403781468213</v>
      </c>
      <c r="F755" s="3">
        <v>-129</v>
      </c>
      <c r="G755" s="3">
        <v>32.5027454515931</v>
      </c>
      <c r="H755">
        <f t="shared" si="59"/>
        <v>17386.09078068145</v>
      </c>
      <c r="I755" s="3">
        <v>1942.5833333333301</v>
      </c>
      <c r="J755" s="3">
        <v>0</v>
      </c>
      <c r="K755" s="3">
        <v>-233.96308673707199</v>
      </c>
    </row>
    <row r="756" spans="1:11" ht="18" x14ac:dyDescent="0.25">
      <c r="A756" s="3">
        <v>2015.6666666666599</v>
      </c>
      <c r="B756" s="3">
        <f t="shared" si="55"/>
        <v>-199.72944297082228</v>
      </c>
      <c r="C756" s="3">
        <f t="shared" si="56"/>
        <v>-145.62468570234745</v>
      </c>
      <c r="D756" s="3">
        <f t="shared" si="57"/>
        <v>-199.72944297082228</v>
      </c>
      <c r="E756" s="3">
        <f t="shared" si="58"/>
        <v>-115.91706298480241</v>
      </c>
      <c r="F756" s="3">
        <v>-135</v>
      </c>
      <c r="G756" s="3">
        <v>-50.287913751741101</v>
      </c>
      <c r="H756">
        <f t="shared" si="59"/>
        <v>2927.3247590805795</v>
      </c>
      <c r="I756" s="3">
        <v>1942.6666666666599</v>
      </c>
      <c r="J756" s="3">
        <v>0</v>
      </c>
      <c r="K756" s="3">
        <v>-232.603925579216</v>
      </c>
    </row>
    <row r="757" spans="1:11" ht="18" x14ac:dyDescent="0.25">
      <c r="A757" s="3">
        <v>2015.75</v>
      </c>
      <c r="B757" s="3">
        <f t="shared" si="55"/>
        <v>-199.72944297082228</v>
      </c>
      <c r="C757" s="3">
        <f t="shared" si="56"/>
        <v>-164.23402754542269</v>
      </c>
      <c r="D757" s="3">
        <f t="shared" si="57"/>
        <v>-199.72944297082228</v>
      </c>
      <c r="E757" s="3">
        <f t="shared" si="58"/>
        <v>-146.584011445008</v>
      </c>
      <c r="F757" s="3">
        <v>-135</v>
      </c>
      <c r="G757" s="3">
        <v>-80.954862211946704</v>
      </c>
      <c r="H757">
        <f t="shared" si="59"/>
        <v>1259.9245162216948</v>
      </c>
      <c r="I757" s="3">
        <v>1942.75</v>
      </c>
      <c r="J757" s="3">
        <v>0</v>
      </c>
      <c r="K757" s="3">
        <v>-204.752085211468</v>
      </c>
    </row>
    <row r="758" spans="1:11" ht="18" x14ac:dyDescent="0.25">
      <c r="A758" s="3">
        <v>2015.8333333333301</v>
      </c>
      <c r="B758" s="3">
        <f t="shared" si="55"/>
        <v>-196.72944297082228</v>
      </c>
      <c r="C758" s="3">
        <f t="shared" si="56"/>
        <v>-164.19910890428937</v>
      </c>
      <c r="D758" s="3">
        <f t="shared" si="57"/>
        <v>-196.72944297082228</v>
      </c>
      <c r="E758" s="3">
        <f t="shared" si="58"/>
        <v>-146.51950410101273</v>
      </c>
      <c r="F758" s="3">
        <v>-132</v>
      </c>
      <c r="G758" s="3">
        <v>-80.890354867951402</v>
      </c>
      <c r="H758">
        <f t="shared" si="59"/>
        <v>1058.2226344802311</v>
      </c>
      <c r="I758" s="3">
        <v>1942.8333333333301</v>
      </c>
      <c r="J758" s="3">
        <v>0</v>
      </c>
      <c r="K758" s="3">
        <v>-182.25479796891699</v>
      </c>
    </row>
    <row r="759" spans="1:11" ht="18" x14ac:dyDescent="0.25">
      <c r="I759" s="3">
        <v>1942.9166666666599</v>
      </c>
      <c r="J759" s="3">
        <v>0</v>
      </c>
      <c r="K759" s="3">
        <v>-193.61406953069701</v>
      </c>
    </row>
    <row r="760" spans="1:11" ht="18" x14ac:dyDescent="0.25">
      <c r="I760" s="3">
        <v>1943</v>
      </c>
      <c r="J760" s="3">
        <v>0</v>
      </c>
      <c r="K760" s="3">
        <v>-200.510549821127</v>
      </c>
    </row>
    <row r="761" spans="1:11" ht="18" x14ac:dyDescent="0.25">
      <c r="I761" s="3">
        <v>1943.0833333333301</v>
      </c>
      <c r="J761" s="3">
        <v>0</v>
      </c>
      <c r="K761" s="3">
        <v>-189.29823361229199</v>
      </c>
    </row>
    <row r="762" spans="1:11" ht="18" x14ac:dyDescent="0.25">
      <c r="I762" s="3">
        <v>1943.1666666666599</v>
      </c>
      <c r="J762" s="3">
        <v>0</v>
      </c>
      <c r="K762" s="3">
        <v>-171.440991282178</v>
      </c>
    </row>
    <row r="763" spans="1:11" ht="18" x14ac:dyDescent="0.25">
      <c r="I763" s="3">
        <v>1943.25</v>
      </c>
      <c r="J763" s="3">
        <v>0</v>
      </c>
      <c r="K763" s="3">
        <v>-123.83082971100001</v>
      </c>
    </row>
    <row r="764" spans="1:11" ht="18" x14ac:dyDescent="0.25">
      <c r="I764" s="3">
        <v>1943.3333333333301</v>
      </c>
      <c r="J764" s="3">
        <v>0</v>
      </c>
      <c r="K764" s="3">
        <v>-44.6361502624721</v>
      </c>
    </row>
    <row r="765" spans="1:11" ht="18" x14ac:dyDescent="0.25">
      <c r="I765" s="3">
        <v>1943.4166666666599</v>
      </c>
      <c r="J765" s="3">
        <v>0</v>
      </c>
      <c r="K765" s="3">
        <v>55.545469970862797</v>
      </c>
    </row>
    <row r="766" spans="1:11" ht="18" x14ac:dyDescent="0.25">
      <c r="I766" s="3">
        <v>1943.5</v>
      </c>
      <c r="J766" s="3">
        <v>0</v>
      </c>
      <c r="K766" s="3">
        <v>168.277234847534</v>
      </c>
    </row>
    <row r="767" spans="1:11" ht="18" x14ac:dyDescent="0.25">
      <c r="I767" s="3">
        <v>1943.5833333333301</v>
      </c>
      <c r="J767" s="3">
        <v>0</v>
      </c>
      <c r="K767" s="3">
        <v>244.95594994660499</v>
      </c>
    </row>
    <row r="768" spans="1:11" ht="18" x14ac:dyDescent="0.25">
      <c r="I768" s="3">
        <v>1943.6666666666599</v>
      </c>
      <c r="J768" s="3">
        <v>0</v>
      </c>
      <c r="K768" s="3">
        <v>277.05094532911397</v>
      </c>
    </row>
    <row r="769" spans="9:11" ht="18" x14ac:dyDescent="0.25">
      <c r="I769" s="3">
        <v>1943.75</v>
      </c>
      <c r="J769" s="3">
        <v>0</v>
      </c>
      <c r="K769" s="3">
        <v>310.13210534958699</v>
      </c>
    </row>
    <row r="770" spans="9:11" ht="18" x14ac:dyDescent="0.25">
      <c r="I770" s="3">
        <v>1943.8333333333301</v>
      </c>
      <c r="J770" s="3">
        <v>0</v>
      </c>
      <c r="K770" s="3">
        <v>337.91424402750698</v>
      </c>
    </row>
    <row r="771" spans="9:11" ht="18" x14ac:dyDescent="0.25">
      <c r="I771" s="3">
        <v>1943.9166666666599</v>
      </c>
      <c r="J771" s="3">
        <v>0</v>
      </c>
      <c r="K771" s="3">
        <v>342.34031670753302</v>
      </c>
    </row>
    <row r="772" spans="9:11" ht="18" x14ac:dyDescent="0.25">
      <c r="I772" s="3">
        <v>1944</v>
      </c>
      <c r="J772" s="3">
        <v>0</v>
      </c>
      <c r="K772" s="3">
        <v>330.294836279783</v>
      </c>
    </row>
    <row r="773" spans="9:11" ht="18" x14ac:dyDescent="0.25">
      <c r="I773" s="3">
        <v>1944.0833333333301</v>
      </c>
      <c r="J773" s="3">
        <v>0</v>
      </c>
      <c r="K773" s="3">
        <v>295.36729044751502</v>
      </c>
    </row>
    <row r="774" spans="9:11" ht="18" x14ac:dyDescent="0.25">
      <c r="I774" s="3">
        <v>1944.1666666666599</v>
      </c>
      <c r="J774" s="3">
        <v>0</v>
      </c>
      <c r="K774" s="3">
        <v>267.64148026306702</v>
      </c>
    </row>
    <row r="775" spans="9:11" ht="18" x14ac:dyDescent="0.25">
      <c r="I775" s="3">
        <v>1944.25</v>
      </c>
      <c r="J775" s="3">
        <v>0</v>
      </c>
      <c r="K775" s="3">
        <v>281.7202559909</v>
      </c>
    </row>
    <row r="776" spans="9:11" ht="18" x14ac:dyDescent="0.25">
      <c r="I776" s="3">
        <v>1944.3333333333301</v>
      </c>
      <c r="J776" s="3">
        <v>0</v>
      </c>
      <c r="K776" s="3">
        <v>302.9688149337</v>
      </c>
    </row>
    <row r="777" spans="9:11" ht="18" x14ac:dyDescent="0.25">
      <c r="I777" s="3">
        <v>1944.4166666666599</v>
      </c>
      <c r="J777" s="3">
        <v>0</v>
      </c>
      <c r="K777" s="3">
        <v>298.49759839145099</v>
      </c>
    </row>
    <row r="778" spans="9:11" ht="18" x14ac:dyDescent="0.25">
      <c r="I778" s="3">
        <v>1944.5</v>
      </c>
      <c r="J778" s="3">
        <v>0</v>
      </c>
      <c r="K778" s="3">
        <v>253.44788627344701</v>
      </c>
    </row>
    <row r="779" spans="9:11" ht="18" x14ac:dyDescent="0.25">
      <c r="I779" s="3">
        <v>1944.5833333333301</v>
      </c>
      <c r="J779" s="3">
        <v>0</v>
      </c>
      <c r="K779" s="3">
        <v>158.171191973948</v>
      </c>
    </row>
    <row r="780" spans="9:11" ht="18" x14ac:dyDescent="0.25">
      <c r="I780" s="3">
        <v>1944.6666666666599</v>
      </c>
      <c r="J780" s="3">
        <v>0</v>
      </c>
      <c r="K780" s="3">
        <v>64.972004917514496</v>
      </c>
    </row>
    <row r="781" spans="9:11" ht="18" x14ac:dyDescent="0.25">
      <c r="I781" s="3">
        <v>1944.75</v>
      </c>
      <c r="J781" s="3">
        <v>0</v>
      </c>
      <c r="K781" s="3">
        <v>10.1132593381659</v>
      </c>
    </row>
    <row r="782" spans="9:11" ht="18" x14ac:dyDescent="0.25">
      <c r="I782" s="3">
        <v>1944.8333333333301</v>
      </c>
      <c r="J782" s="3">
        <v>0</v>
      </c>
      <c r="K782" s="3">
        <v>-42.922681150593</v>
      </c>
    </row>
    <row r="783" spans="9:11" ht="18" x14ac:dyDescent="0.25">
      <c r="I783" s="3">
        <v>1944.9166666666599</v>
      </c>
      <c r="J783" s="3">
        <v>0</v>
      </c>
      <c r="K783" s="3">
        <v>-102.377476312632</v>
      </c>
    </row>
    <row r="784" spans="9:11" ht="18" x14ac:dyDescent="0.25">
      <c r="I784" s="3">
        <v>1945</v>
      </c>
      <c r="J784" s="3">
        <v>0</v>
      </c>
      <c r="K784" s="3">
        <v>-155.13229749993999</v>
      </c>
    </row>
    <row r="785" spans="9:11" ht="18" x14ac:dyDescent="0.25">
      <c r="I785" s="3">
        <v>1945.0833333333301</v>
      </c>
      <c r="J785" s="3">
        <v>0</v>
      </c>
      <c r="K785" s="3">
        <v>-202.843779471159</v>
      </c>
    </row>
    <row r="786" spans="9:11" ht="18" x14ac:dyDescent="0.25">
      <c r="I786" s="3">
        <v>1945.1666666666599</v>
      </c>
      <c r="J786" s="3">
        <v>0</v>
      </c>
      <c r="K786" s="3">
        <v>-225.58581739834099</v>
      </c>
    </row>
    <row r="787" spans="9:11" ht="18" x14ac:dyDescent="0.25">
      <c r="I787" s="3">
        <v>1945.25</v>
      </c>
      <c r="J787" s="3">
        <v>0</v>
      </c>
      <c r="K787" s="3">
        <v>-228.80317515039999</v>
      </c>
    </row>
    <row r="788" spans="9:11" ht="18" x14ac:dyDescent="0.25">
      <c r="I788" s="3">
        <v>1945.3333333333301</v>
      </c>
      <c r="J788" s="3">
        <v>0</v>
      </c>
      <c r="K788" s="3">
        <v>-230.804495338149</v>
      </c>
    </row>
    <row r="789" spans="9:11" ht="18" x14ac:dyDescent="0.25">
      <c r="I789" s="3">
        <v>1945.4166666666599</v>
      </c>
      <c r="J789" s="3">
        <v>0</v>
      </c>
      <c r="K789" s="3">
        <v>-204.687509030939</v>
      </c>
    </row>
    <row r="790" spans="9:11" ht="18" x14ac:dyDescent="0.25">
      <c r="I790" s="3">
        <v>1945.5</v>
      </c>
      <c r="J790" s="3">
        <v>0</v>
      </c>
      <c r="K790" s="3">
        <v>-157.58819088894299</v>
      </c>
    </row>
    <row r="791" spans="9:11" ht="18" x14ac:dyDescent="0.25">
      <c r="I791" s="3">
        <v>1945.5833333333301</v>
      </c>
      <c r="J791" s="3">
        <v>0</v>
      </c>
      <c r="K791" s="3">
        <v>-123.183071478513</v>
      </c>
    </row>
    <row r="792" spans="9:11" ht="18" x14ac:dyDescent="0.25">
      <c r="I792" s="3">
        <v>1945.6666666666599</v>
      </c>
      <c r="J792" s="3">
        <v>0</v>
      </c>
      <c r="K792" s="3">
        <v>-83.311104817915407</v>
      </c>
    </row>
    <row r="793" spans="9:11" ht="18" x14ac:dyDescent="0.25">
      <c r="I793" s="3">
        <v>1945.75</v>
      </c>
      <c r="J793" s="3">
        <v>0</v>
      </c>
      <c r="K793" s="3">
        <v>-30.463848907609901</v>
      </c>
    </row>
    <row r="794" spans="9:11" ht="18" x14ac:dyDescent="0.25">
      <c r="I794" s="3">
        <v>1945.8333333333301</v>
      </c>
      <c r="J794" s="3">
        <v>0</v>
      </c>
      <c r="K794" s="3">
        <v>25.8778043951319</v>
      </c>
    </row>
    <row r="795" spans="9:11" ht="18" x14ac:dyDescent="0.25">
      <c r="I795" s="3">
        <v>1945.9166666666599</v>
      </c>
      <c r="J795" s="3">
        <v>0</v>
      </c>
      <c r="K795" s="3">
        <v>92.385088494001707</v>
      </c>
    </row>
    <row r="796" spans="9:11" ht="18" x14ac:dyDescent="0.25">
      <c r="I796" s="3">
        <v>1946</v>
      </c>
      <c r="J796" s="3">
        <v>0</v>
      </c>
      <c r="K796" s="3">
        <v>136.38172091933501</v>
      </c>
    </row>
    <row r="797" spans="9:11" ht="18" x14ac:dyDescent="0.25">
      <c r="I797" s="3">
        <v>1946.0833333333301</v>
      </c>
      <c r="J797" s="3">
        <v>0</v>
      </c>
      <c r="K797" s="3">
        <v>137.06055469499501</v>
      </c>
    </row>
    <row r="798" spans="9:11" ht="18" x14ac:dyDescent="0.25">
      <c r="I798" s="3">
        <v>1946.1666666666599</v>
      </c>
      <c r="J798" s="3">
        <v>0</v>
      </c>
      <c r="K798" s="3">
        <v>134.99598260802699</v>
      </c>
    </row>
    <row r="799" spans="9:11" ht="18" x14ac:dyDescent="0.25">
      <c r="I799" s="3">
        <v>1946.25</v>
      </c>
      <c r="J799" s="3">
        <v>0</v>
      </c>
      <c r="K799" s="3">
        <v>155.33888556456199</v>
      </c>
    </row>
    <row r="800" spans="9:11" ht="18" x14ac:dyDescent="0.25">
      <c r="I800" s="3">
        <v>1946.3333333333301</v>
      </c>
      <c r="J800" s="3">
        <v>0</v>
      </c>
      <c r="K800" s="3">
        <v>213.65791648241799</v>
      </c>
    </row>
    <row r="801" spans="9:11" ht="18" x14ac:dyDescent="0.25">
      <c r="I801" s="3">
        <v>1946.4166666666599</v>
      </c>
      <c r="J801" s="3">
        <v>0</v>
      </c>
      <c r="K801" s="3">
        <v>308.04925997311602</v>
      </c>
    </row>
    <row r="802" spans="9:11" ht="18" x14ac:dyDescent="0.25">
      <c r="I802" s="3">
        <v>1946.5</v>
      </c>
      <c r="J802" s="3">
        <v>0</v>
      </c>
      <c r="K802" s="3">
        <v>369.09211485067499</v>
      </c>
    </row>
    <row r="803" spans="9:11" ht="18" x14ac:dyDescent="0.25">
      <c r="I803" s="3">
        <v>1946.5833333333301</v>
      </c>
      <c r="J803" s="3">
        <v>0</v>
      </c>
      <c r="K803" s="3">
        <v>366.62987692032198</v>
      </c>
    </row>
    <row r="804" spans="9:11" ht="18" x14ac:dyDescent="0.25">
      <c r="I804" s="3">
        <v>1946.6666666666599</v>
      </c>
      <c r="J804" s="3">
        <v>0</v>
      </c>
      <c r="K804" s="3">
        <v>345.63912098731299</v>
      </c>
    </row>
    <row r="805" spans="9:11" ht="18" x14ac:dyDescent="0.25">
      <c r="I805" s="3">
        <v>1946.75</v>
      </c>
      <c r="J805" s="3">
        <v>0</v>
      </c>
      <c r="K805" s="3">
        <v>322.82347620474002</v>
      </c>
    </row>
    <row r="806" spans="9:11" ht="18" x14ac:dyDescent="0.25">
      <c r="I806" s="3">
        <v>1946.8333333333301</v>
      </c>
      <c r="J806" s="3">
        <v>0</v>
      </c>
      <c r="K806" s="3">
        <v>298.85172544079097</v>
      </c>
    </row>
    <row r="807" spans="9:11" ht="18" x14ac:dyDescent="0.25">
      <c r="I807" s="3">
        <v>1946.9166666666599</v>
      </c>
      <c r="J807" s="3">
        <v>0</v>
      </c>
      <c r="K807" s="3">
        <v>268.60735249003</v>
      </c>
    </row>
    <row r="808" spans="9:11" ht="18" x14ac:dyDescent="0.25">
      <c r="I808" s="3">
        <v>1947</v>
      </c>
      <c r="J808" s="3">
        <v>0</v>
      </c>
      <c r="K808" s="3">
        <v>206.960640450699</v>
      </c>
    </row>
    <row r="809" spans="9:11" ht="18" x14ac:dyDescent="0.25">
      <c r="I809" s="3">
        <v>1947.0833333333301</v>
      </c>
      <c r="J809" s="3">
        <v>0</v>
      </c>
      <c r="K809" s="3">
        <v>137.89296961679599</v>
      </c>
    </row>
    <row r="810" spans="9:11" ht="18" x14ac:dyDescent="0.25">
      <c r="I810" s="3">
        <v>1947.1666666666599</v>
      </c>
      <c r="J810" s="3">
        <v>0</v>
      </c>
      <c r="K810" s="3">
        <v>89.891632567727399</v>
      </c>
    </row>
    <row r="811" spans="9:11" ht="18" x14ac:dyDescent="0.25">
      <c r="I811" s="3">
        <v>1947.25</v>
      </c>
      <c r="J811" s="3">
        <v>0</v>
      </c>
      <c r="K811" s="3">
        <v>36.661279458266598</v>
      </c>
    </row>
    <row r="812" spans="9:11" ht="18" x14ac:dyDescent="0.25">
      <c r="I812" s="3">
        <v>1947.3333333333301</v>
      </c>
      <c r="J812" s="3">
        <v>0</v>
      </c>
      <c r="K812" s="3">
        <v>-19.494587757194999</v>
      </c>
    </row>
    <row r="813" spans="9:11" ht="18" x14ac:dyDescent="0.25">
      <c r="I813" s="3">
        <v>1947.4166666666599</v>
      </c>
      <c r="J813" s="3">
        <v>0</v>
      </c>
      <c r="K813" s="3">
        <v>-64.999235476039502</v>
      </c>
    </row>
    <row r="814" spans="9:11" ht="18" x14ac:dyDescent="0.25">
      <c r="I814" s="3">
        <v>1947.5</v>
      </c>
      <c r="J814" s="3">
        <v>0</v>
      </c>
      <c r="K814" s="3">
        <v>-117.57418834368301</v>
      </c>
    </row>
    <row r="815" spans="9:11" ht="18" x14ac:dyDescent="0.25">
      <c r="I815" s="3">
        <v>1947.5833333333301</v>
      </c>
      <c r="J815" s="3">
        <v>0</v>
      </c>
      <c r="K815" s="3">
        <v>-161.35943436898401</v>
      </c>
    </row>
    <row r="816" spans="9:11" ht="18" x14ac:dyDescent="0.25">
      <c r="I816" s="3">
        <v>1947.6666666666599</v>
      </c>
      <c r="J816" s="3">
        <v>0</v>
      </c>
      <c r="K816" s="3">
        <v>-183.576382150174</v>
      </c>
    </row>
    <row r="817" spans="9:11" ht="18" x14ac:dyDescent="0.25">
      <c r="I817" s="3">
        <v>1947.75</v>
      </c>
      <c r="J817" s="3">
        <v>0</v>
      </c>
      <c r="K817" s="3">
        <v>-201.28637862562999</v>
      </c>
    </row>
    <row r="818" spans="9:11" ht="18" x14ac:dyDescent="0.25">
      <c r="I818" s="3">
        <v>1947.8333333333301</v>
      </c>
      <c r="J818" s="3">
        <v>0</v>
      </c>
      <c r="K818" s="3">
        <v>-198.39485726498299</v>
      </c>
    </row>
    <row r="819" spans="9:11" ht="18" x14ac:dyDescent="0.25">
      <c r="I819" s="3">
        <v>1947.9166666666599</v>
      </c>
      <c r="J819" s="3">
        <v>0</v>
      </c>
      <c r="K819" s="3">
        <v>-174.51438487149699</v>
      </c>
    </row>
    <row r="820" spans="9:11" ht="18" x14ac:dyDescent="0.25">
      <c r="I820" s="3">
        <v>1948</v>
      </c>
      <c r="J820" s="3">
        <v>0</v>
      </c>
      <c r="K820" s="3">
        <v>-158.21660051904399</v>
      </c>
    </row>
    <row r="821" spans="9:11" ht="18" x14ac:dyDescent="0.25">
      <c r="I821" s="3">
        <v>1948.0833333333301</v>
      </c>
      <c r="J821" s="3">
        <v>0</v>
      </c>
      <c r="K821" s="3">
        <v>-145.31268004182701</v>
      </c>
    </row>
    <row r="822" spans="9:11" ht="18" x14ac:dyDescent="0.25">
      <c r="I822" s="3">
        <v>1948.1666666666599</v>
      </c>
      <c r="J822" s="3">
        <v>0</v>
      </c>
      <c r="K822" s="3">
        <v>-141.74926452783399</v>
      </c>
    </row>
    <row r="823" spans="9:11" ht="18" x14ac:dyDescent="0.25">
      <c r="I823" s="3">
        <v>1948.25</v>
      </c>
      <c r="J823" s="3">
        <v>0</v>
      </c>
      <c r="K823" s="3">
        <v>-141.77653564967801</v>
      </c>
    </row>
    <row r="824" spans="9:11" ht="18" x14ac:dyDescent="0.25">
      <c r="I824" s="3">
        <v>1948.3333333333301</v>
      </c>
      <c r="J824" s="3">
        <v>0</v>
      </c>
      <c r="K824" s="3">
        <v>-84.871661928524304</v>
      </c>
    </row>
    <row r="825" spans="9:11" ht="18" x14ac:dyDescent="0.25">
      <c r="I825" s="3">
        <v>1948.4166666666599</v>
      </c>
      <c r="J825" s="3">
        <v>0</v>
      </c>
      <c r="K825" s="3">
        <v>32.380871053458797</v>
      </c>
    </row>
    <row r="826" spans="9:11" ht="18" x14ac:dyDescent="0.25">
      <c r="I826" s="3">
        <v>1948.5</v>
      </c>
      <c r="J826" s="3">
        <v>0</v>
      </c>
      <c r="K826" s="3">
        <v>150.95928315387101</v>
      </c>
    </row>
    <row r="827" spans="9:11" ht="18" x14ac:dyDescent="0.25">
      <c r="I827" s="3">
        <v>1948.5833333333301</v>
      </c>
      <c r="J827" s="3">
        <v>0</v>
      </c>
      <c r="K827" s="3">
        <v>241.38510944960899</v>
      </c>
    </row>
    <row r="828" spans="9:11" ht="18" x14ac:dyDescent="0.25">
      <c r="I828" s="3">
        <v>1948.6666666666599</v>
      </c>
      <c r="J828" s="3">
        <v>0</v>
      </c>
      <c r="K828" s="3">
        <v>286.03358888971502</v>
      </c>
    </row>
    <row r="829" spans="9:11" ht="18" x14ac:dyDescent="0.25">
      <c r="I829" s="3">
        <v>1948.75</v>
      </c>
      <c r="J829" s="3">
        <v>0</v>
      </c>
      <c r="K829" s="3">
        <v>295.99912130067599</v>
      </c>
    </row>
    <row r="830" spans="9:11" ht="18" x14ac:dyDescent="0.25">
      <c r="I830" s="3">
        <v>1948.8333333333301</v>
      </c>
      <c r="J830" s="3">
        <v>0</v>
      </c>
      <c r="K830" s="3">
        <v>305.37545858957799</v>
      </c>
    </row>
    <row r="831" spans="9:11" ht="18" x14ac:dyDescent="0.25">
      <c r="I831" s="3">
        <v>1948.9166666666599</v>
      </c>
      <c r="J831" s="3">
        <v>0</v>
      </c>
      <c r="K831" s="3">
        <v>293.888115687528</v>
      </c>
    </row>
    <row r="832" spans="9:11" ht="18" x14ac:dyDescent="0.25">
      <c r="I832" s="3">
        <v>1949</v>
      </c>
      <c r="J832" s="3">
        <v>0</v>
      </c>
      <c r="K832" s="3">
        <v>253.69392290146101</v>
      </c>
    </row>
    <row r="833" spans="9:11" ht="18" x14ac:dyDescent="0.25">
      <c r="I833" s="3">
        <v>1949.0833333333301</v>
      </c>
      <c r="J833" s="3">
        <v>0</v>
      </c>
      <c r="K833" s="3">
        <v>227.86507857208099</v>
      </c>
    </row>
    <row r="834" spans="9:11" ht="18" x14ac:dyDescent="0.25">
      <c r="I834" s="3">
        <v>1949.1666666666599</v>
      </c>
      <c r="J834" s="3">
        <v>0</v>
      </c>
      <c r="K834" s="3">
        <v>222.059051770015</v>
      </c>
    </row>
    <row r="835" spans="9:11" ht="18" x14ac:dyDescent="0.25">
      <c r="I835" s="3">
        <v>1949.25</v>
      </c>
      <c r="J835" s="3">
        <v>0</v>
      </c>
      <c r="K835" s="3">
        <v>231.60839706590801</v>
      </c>
    </row>
    <row r="836" spans="9:11" ht="18" x14ac:dyDescent="0.25">
      <c r="I836" s="3">
        <v>1949.3333333333301</v>
      </c>
      <c r="J836" s="3">
        <v>0</v>
      </c>
      <c r="K836" s="3">
        <v>256.10772074920999</v>
      </c>
    </row>
    <row r="837" spans="9:11" ht="18" x14ac:dyDescent="0.25">
      <c r="I837" s="3">
        <v>1949.4166666666599</v>
      </c>
      <c r="J837" s="3">
        <v>0</v>
      </c>
      <c r="K837" s="3">
        <v>251.985116516874</v>
      </c>
    </row>
    <row r="838" spans="9:11" ht="18" x14ac:dyDescent="0.25">
      <c r="I838" s="3">
        <v>1949.5</v>
      </c>
      <c r="J838" s="3">
        <v>0</v>
      </c>
      <c r="K838" s="3">
        <v>207.66760731742801</v>
      </c>
    </row>
    <row r="839" spans="9:11" ht="18" x14ac:dyDescent="0.25">
      <c r="I839" s="3">
        <v>1949.5833333333301</v>
      </c>
      <c r="J839" s="3">
        <v>0</v>
      </c>
      <c r="K839" s="3">
        <v>152.989600822808</v>
      </c>
    </row>
    <row r="840" spans="9:11" ht="18" x14ac:dyDescent="0.25">
      <c r="I840" s="3">
        <v>1949.6666666666599</v>
      </c>
      <c r="J840" s="3">
        <v>0</v>
      </c>
      <c r="K840" s="3">
        <v>89.744304764795203</v>
      </c>
    </row>
    <row r="841" spans="9:11" ht="18" x14ac:dyDescent="0.25">
      <c r="I841" s="3">
        <v>1949.75</v>
      </c>
      <c r="J841" s="3">
        <v>0</v>
      </c>
      <c r="K841" s="3">
        <v>31.241050244399499</v>
      </c>
    </row>
    <row r="842" spans="9:11" ht="18" x14ac:dyDescent="0.25">
      <c r="I842" s="3">
        <v>1949.8333333333301</v>
      </c>
      <c r="J842" s="3">
        <v>0</v>
      </c>
      <c r="K842" s="3">
        <v>-13.2809972534035</v>
      </c>
    </row>
    <row r="843" spans="9:11" ht="18" x14ac:dyDescent="0.25">
      <c r="I843" s="3">
        <v>1949.9166666666599</v>
      </c>
      <c r="J843" s="3">
        <v>0</v>
      </c>
      <c r="K843" s="3">
        <v>-65.610596452460797</v>
      </c>
    </row>
    <row r="844" spans="9:11" ht="18" x14ac:dyDescent="0.25">
      <c r="I844" s="3">
        <v>1950</v>
      </c>
      <c r="J844" s="3">
        <v>0</v>
      </c>
      <c r="K844" s="3">
        <v>-104.63574195594801</v>
      </c>
    </row>
    <row r="845" spans="9:11" ht="18" x14ac:dyDescent="0.25">
      <c r="I845" s="3">
        <v>1950.0833333333301</v>
      </c>
      <c r="J845" s="3">
        <v>0</v>
      </c>
      <c r="K845" s="3">
        <v>-115.294452109473</v>
      </c>
    </row>
    <row r="846" spans="9:11" ht="18" x14ac:dyDescent="0.25">
      <c r="I846" s="3">
        <v>1950.1666666666599</v>
      </c>
      <c r="J846" s="3">
        <v>0</v>
      </c>
      <c r="K846" s="3">
        <v>-137.588951645631</v>
      </c>
    </row>
    <row r="847" spans="9:11" ht="18" x14ac:dyDescent="0.25">
      <c r="I847" s="3">
        <v>1950.25</v>
      </c>
      <c r="J847" s="3">
        <v>0</v>
      </c>
      <c r="K847" s="3">
        <v>-169.34025365581601</v>
      </c>
    </row>
    <row r="848" spans="9:11" ht="18" x14ac:dyDescent="0.25">
      <c r="I848" s="3">
        <v>1950.3333333333301</v>
      </c>
      <c r="J848" s="3">
        <v>0</v>
      </c>
      <c r="K848" s="3">
        <v>-180.94049879934599</v>
      </c>
    </row>
    <row r="849" spans="9:11" ht="18" x14ac:dyDescent="0.25">
      <c r="I849" s="3">
        <v>1950.4166666666599</v>
      </c>
      <c r="J849" s="3">
        <v>0</v>
      </c>
      <c r="K849" s="3">
        <v>-167.879954206105</v>
      </c>
    </row>
    <row r="850" spans="9:11" ht="18" x14ac:dyDescent="0.25">
      <c r="I850" s="3">
        <v>1950.5</v>
      </c>
      <c r="J850" s="3">
        <v>0</v>
      </c>
      <c r="K850" s="3">
        <v>-119.781309244374</v>
      </c>
    </row>
    <row r="851" spans="9:11" ht="18" x14ac:dyDescent="0.25">
      <c r="I851" s="3">
        <v>1950.5833333333301</v>
      </c>
      <c r="J851" s="3">
        <v>0</v>
      </c>
      <c r="K851" s="3">
        <v>-59.509500344917598</v>
      </c>
    </row>
    <row r="852" spans="9:11" ht="18" x14ac:dyDescent="0.25">
      <c r="I852" s="3">
        <v>1950.6666666666599</v>
      </c>
      <c r="J852" s="3">
        <v>0</v>
      </c>
      <c r="K852" s="3">
        <v>-21.190380914774501</v>
      </c>
    </row>
    <row r="853" spans="9:11" ht="18" x14ac:dyDescent="0.25">
      <c r="I853" s="3">
        <v>1950.75</v>
      </c>
      <c r="J853" s="3">
        <v>0</v>
      </c>
      <c r="K853" s="3">
        <v>20.7794227734591</v>
      </c>
    </row>
    <row r="854" spans="9:11" ht="18" x14ac:dyDescent="0.25">
      <c r="I854" s="3">
        <v>1950.8333333333301</v>
      </c>
      <c r="J854" s="3">
        <v>0</v>
      </c>
      <c r="K854" s="3">
        <v>70.4265525711847</v>
      </c>
    </row>
    <row r="855" spans="9:11" ht="18" x14ac:dyDescent="0.25">
      <c r="I855" s="3">
        <v>1950.9166666666599</v>
      </c>
      <c r="J855" s="3">
        <v>0</v>
      </c>
      <c r="K855" s="3">
        <v>97.398739324243607</v>
      </c>
    </row>
    <row r="856" spans="9:11" ht="18" x14ac:dyDescent="0.25">
      <c r="I856" s="3">
        <v>1951</v>
      </c>
      <c r="J856" s="3">
        <v>0</v>
      </c>
      <c r="K856" s="3">
        <v>111.717017158357</v>
      </c>
    </row>
    <row r="857" spans="9:11" ht="18" x14ac:dyDescent="0.25">
      <c r="I857" s="3">
        <v>1951.0833333333301</v>
      </c>
      <c r="J857" s="3">
        <v>0</v>
      </c>
      <c r="K857" s="3">
        <v>117.088481999609</v>
      </c>
    </row>
    <row r="858" spans="9:11" ht="18" x14ac:dyDescent="0.25">
      <c r="I858" s="3">
        <v>1951.1666666666599</v>
      </c>
      <c r="J858" s="3">
        <v>0</v>
      </c>
      <c r="K858" s="3">
        <v>118.08645306713299</v>
      </c>
    </row>
    <row r="859" spans="9:11" ht="18" x14ac:dyDescent="0.25">
      <c r="I859" s="3">
        <v>1951.25</v>
      </c>
      <c r="J859" s="3">
        <v>0</v>
      </c>
      <c r="K859" s="3">
        <v>151.97832688922301</v>
      </c>
    </row>
    <row r="860" spans="9:11" ht="18" x14ac:dyDescent="0.25">
      <c r="I860" s="3">
        <v>1951.3333333333301</v>
      </c>
      <c r="J860" s="3">
        <v>0</v>
      </c>
      <c r="K860" s="3">
        <v>204.58693180097401</v>
      </c>
    </row>
    <row r="861" spans="9:11" ht="18" x14ac:dyDescent="0.25">
      <c r="I861" s="3">
        <v>1951.4166666666599</v>
      </c>
      <c r="J861" s="3">
        <v>0</v>
      </c>
      <c r="K861" s="3">
        <v>233.87741058280201</v>
      </c>
    </row>
    <row r="862" spans="9:11" ht="18" x14ac:dyDescent="0.25">
      <c r="I862" s="3">
        <v>1951.5</v>
      </c>
      <c r="J862" s="3">
        <v>0</v>
      </c>
      <c r="K862" s="3">
        <v>236.09837804489899</v>
      </c>
    </row>
    <row r="863" spans="9:11" ht="18" x14ac:dyDescent="0.25">
      <c r="I863" s="3">
        <v>1951.5833333333301</v>
      </c>
      <c r="J863" s="3">
        <v>0</v>
      </c>
      <c r="K863" s="3">
        <v>208.70384066182001</v>
      </c>
    </row>
    <row r="864" spans="9:11" ht="18" x14ac:dyDescent="0.25">
      <c r="I864" s="3">
        <v>1951.6666666666599</v>
      </c>
      <c r="J864" s="3">
        <v>0</v>
      </c>
      <c r="K864" s="3">
        <v>178.48530064673099</v>
      </c>
    </row>
    <row r="865" spans="9:11" ht="18" x14ac:dyDescent="0.25">
      <c r="I865" s="3">
        <v>1951.75</v>
      </c>
      <c r="J865" s="3">
        <v>0</v>
      </c>
      <c r="K865" s="3">
        <v>184.008730628986</v>
      </c>
    </row>
    <row r="866" spans="9:11" ht="18" x14ac:dyDescent="0.25">
      <c r="I866" s="3">
        <v>1951.8333333333301</v>
      </c>
      <c r="J866" s="3">
        <v>0</v>
      </c>
      <c r="K866" s="3">
        <v>187.50046005770599</v>
      </c>
    </row>
    <row r="867" spans="9:11" ht="18" x14ac:dyDescent="0.25">
      <c r="I867" s="3">
        <v>1951.9166666666599</v>
      </c>
      <c r="J867" s="3">
        <v>0</v>
      </c>
      <c r="K867" s="3">
        <v>157.566129410446</v>
      </c>
    </row>
    <row r="868" spans="9:11" ht="18" x14ac:dyDescent="0.25">
      <c r="I868" s="3">
        <v>1952</v>
      </c>
      <c r="J868" s="3">
        <v>0</v>
      </c>
      <c r="K868" s="3">
        <v>122.248202562413</v>
      </c>
    </row>
    <row r="869" spans="9:11" ht="18" x14ac:dyDescent="0.25">
      <c r="I869" s="3">
        <v>1952.0833333333301</v>
      </c>
      <c r="J869" s="3">
        <v>0</v>
      </c>
      <c r="K869" s="3">
        <v>89.135420856173397</v>
      </c>
    </row>
    <row r="870" spans="9:11" ht="18" x14ac:dyDescent="0.25">
      <c r="I870" s="3">
        <v>1952.1666666666599</v>
      </c>
      <c r="J870" s="3">
        <v>0</v>
      </c>
      <c r="K870" s="3">
        <v>63.753222649089601</v>
      </c>
    </row>
    <row r="871" spans="9:11" ht="18" x14ac:dyDescent="0.25">
      <c r="I871" s="3">
        <v>1952.25</v>
      </c>
      <c r="J871" s="3">
        <v>0</v>
      </c>
      <c r="K871" s="3">
        <v>52.276285413889397</v>
      </c>
    </row>
    <row r="872" spans="9:11" ht="18" x14ac:dyDescent="0.25">
      <c r="I872" s="3">
        <v>1952.3333333333301</v>
      </c>
      <c r="J872" s="3">
        <v>0</v>
      </c>
      <c r="K872" s="3">
        <v>30.866052153603999</v>
      </c>
    </row>
    <row r="873" spans="9:11" ht="18" x14ac:dyDescent="0.25">
      <c r="I873" s="3">
        <v>1952.4166666666599</v>
      </c>
      <c r="J873" s="3">
        <v>0</v>
      </c>
      <c r="K873" s="3">
        <v>13.1638338767879</v>
      </c>
    </row>
    <row r="874" spans="9:11" ht="18" x14ac:dyDescent="0.25">
      <c r="I874" s="3">
        <v>1952.5</v>
      </c>
      <c r="J874" s="3">
        <v>0</v>
      </c>
      <c r="K874" s="3">
        <v>19.8825654081203</v>
      </c>
    </row>
    <row r="875" spans="9:11" ht="18" x14ac:dyDescent="0.25">
      <c r="I875" s="3">
        <v>1952.5833333333301</v>
      </c>
      <c r="J875" s="3">
        <v>0</v>
      </c>
      <c r="K875" s="3">
        <v>21.646311814879301</v>
      </c>
    </row>
    <row r="876" spans="9:11" ht="18" x14ac:dyDescent="0.25">
      <c r="I876" s="3">
        <v>1952.6666666666599</v>
      </c>
      <c r="J876" s="3">
        <v>0</v>
      </c>
      <c r="K876" s="3">
        <v>18.567654334406502</v>
      </c>
    </row>
    <row r="877" spans="9:11" ht="18" x14ac:dyDescent="0.25">
      <c r="I877" s="3">
        <v>1952.75</v>
      </c>
      <c r="J877" s="3">
        <v>0</v>
      </c>
      <c r="K877" s="3">
        <v>22.541297987273001</v>
      </c>
    </row>
    <row r="878" spans="9:11" ht="18" x14ac:dyDescent="0.25">
      <c r="I878" s="3">
        <v>1952.8333333333301</v>
      </c>
      <c r="J878" s="3">
        <v>0</v>
      </c>
      <c r="K878" s="3">
        <v>9.2738305260069698</v>
      </c>
    </row>
    <row r="879" spans="9:11" ht="18" x14ac:dyDescent="0.25">
      <c r="I879" s="3">
        <v>1952.9166666666599</v>
      </c>
      <c r="J879" s="3">
        <v>0</v>
      </c>
      <c r="K879" s="3">
        <v>-15.767297882490601</v>
      </c>
    </row>
    <row r="880" spans="9:11" ht="18" x14ac:dyDescent="0.25">
      <c r="I880" s="3">
        <v>1953</v>
      </c>
      <c r="J880" s="3">
        <v>0</v>
      </c>
      <c r="K880" s="3">
        <v>-46.335646580730398</v>
      </c>
    </row>
    <row r="881" spans="9:11" ht="18" x14ac:dyDescent="0.25">
      <c r="I881" s="3">
        <v>1953.0833333333301</v>
      </c>
      <c r="J881" s="3">
        <v>-210</v>
      </c>
      <c r="K881" s="3">
        <v>-98.176395622361099</v>
      </c>
    </row>
    <row r="882" spans="9:11" ht="18" x14ac:dyDescent="0.25">
      <c r="I882" s="3">
        <v>1953.1666666666599</v>
      </c>
      <c r="J882" s="3">
        <v>-210</v>
      </c>
      <c r="K882" s="3">
        <v>-136.87351927618201</v>
      </c>
    </row>
    <row r="883" spans="9:11" ht="18" x14ac:dyDescent="0.25">
      <c r="I883" s="3">
        <v>1953.25</v>
      </c>
      <c r="J883" s="3">
        <v>-190</v>
      </c>
      <c r="K883" s="3">
        <v>-127.905286581146</v>
      </c>
    </row>
    <row r="884" spans="9:11" ht="18" x14ac:dyDescent="0.25">
      <c r="I884" s="3">
        <v>1953.3333333333301</v>
      </c>
      <c r="J884" s="3">
        <v>-140</v>
      </c>
      <c r="K884" s="3">
        <v>-77.413124867836601</v>
      </c>
    </row>
    <row r="885" spans="9:11" ht="18" x14ac:dyDescent="0.25">
      <c r="I885" s="3">
        <v>1953.4166666666599</v>
      </c>
      <c r="J885" s="3">
        <v>-110</v>
      </c>
      <c r="K885" s="3">
        <v>6.7337491998795098</v>
      </c>
    </row>
    <row r="886" spans="9:11" ht="18" x14ac:dyDescent="0.25">
      <c r="I886" s="3">
        <v>1953.5</v>
      </c>
      <c r="J886" s="3">
        <v>-80</v>
      </c>
      <c r="K886" s="3">
        <v>75.676868798581594</v>
      </c>
    </row>
    <row r="887" spans="9:11" ht="18" x14ac:dyDescent="0.25">
      <c r="I887" s="3">
        <v>1953.5833333333301</v>
      </c>
      <c r="J887" s="3">
        <v>-70</v>
      </c>
      <c r="K887" s="3">
        <v>88.726937181216201</v>
      </c>
    </row>
    <row r="888" spans="9:11" ht="18" x14ac:dyDescent="0.25">
      <c r="I888" s="3">
        <v>1953.6666666666599</v>
      </c>
      <c r="J888" s="3">
        <v>-50</v>
      </c>
      <c r="K888" s="3">
        <v>93.936893696691001</v>
      </c>
    </row>
    <row r="889" spans="9:11" ht="18" x14ac:dyDescent="0.25">
      <c r="I889" s="3">
        <v>1953.75</v>
      </c>
      <c r="J889" s="3">
        <v>-28</v>
      </c>
      <c r="K889" s="3">
        <v>122.121093544762</v>
      </c>
    </row>
    <row r="890" spans="9:11" ht="18" x14ac:dyDescent="0.25">
      <c r="I890" s="3">
        <v>1953.8333333333301</v>
      </c>
      <c r="J890" s="3">
        <v>-10</v>
      </c>
      <c r="K890" s="3">
        <v>148.669233981491</v>
      </c>
    </row>
    <row r="891" spans="9:11" ht="18" x14ac:dyDescent="0.25">
      <c r="I891" s="3">
        <v>1953.9166666666599</v>
      </c>
      <c r="J891" s="3">
        <v>15</v>
      </c>
      <c r="K891" s="3">
        <v>161.29875924581401</v>
      </c>
    </row>
    <row r="892" spans="9:11" ht="18" x14ac:dyDescent="0.25">
      <c r="I892" s="3">
        <v>1954</v>
      </c>
      <c r="J892" s="3">
        <v>60</v>
      </c>
      <c r="K892" s="3">
        <v>144.780328609154</v>
      </c>
    </row>
    <row r="893" spans="9:11" ht="18" x14ac:dyDescent="0.25">
      <c r="I893" s="3">
        <v>1954.0833333333301</v>
      </c>
      <c r="J893" s="3">
        <v>110</v>
      </c>
      <c r="K893" s="3">
        <v>114.262004781607</v>
      </c>
    </row>
    <row r="894" spans="9:11" ht="18" x14ac:dyDescent="0.25">
      <c r="I894" s="3">
        <v>1954.1666666666599</v>
      </c>
      <c r="J894" s="3">
        <v>200</v>
      </c>
      <c r="K894" s="3">
        <v>121.004740916185</v>
      </c>
    </row>
    <row r="895" spans="9:11" ht="18" x14ac:dyDescent="0.25">
      <c r="I895" s="3">
        <v>1954.25</v>
      </c>
      <c r="J895" s="3">
        <v>220</v>
      </c>
      <c r="K895" s="3">
        <v>156.21066963540201</v>
      </c>
    </row>
    <row r="896" spans="9:11" ht="18" x14ac:dyDescent="0.25">
      <c r="I896" s="3">
        <v>1954.3333333333301</v>
      </c>
      <c r="J896" s="3">
        <v>220</v>
      </c>
      <c r="K896" s="3">
        <v>191.61865333512699</v>
      </c>
    </row>
    <row r="897" spans="9:11" ht="18" x14ac:dyDescent="0.25">
      <c r="I897" s="3">
        <v>1954.4166666666599</v>
      </c>
      <c r="J897" s="3">
        <v>230</v>
      </c>
      <c r="K897" s="3">
        <v>227.367245974089</v>
      </c>
    </row>
    <row r="898" spans="9:11" ht="18" x14ac:dyDescent="0.25">
      <c r="I898" s="3">
        <v>1954.5</v>
      </c>
      <c r="J898" s="3">
        <v>235</v>
      </c>
      <c r="K898" s="3">
        <v>234.89551090717001</v>
      </c>
    </row>
    <row r="899" spans="9:11" ht="18" x14ac:dyDescent="0.25">
      <c r="I899" s="3">
        <v>1954.5833333333301</v>
      </c>
      <c r="J899" s="3">
        <v>245</v>
      </c>
      <c r="K899" s="3">
        <v>208.06032445750699</v>
      </c>
    </row>
    <row r="900" spans="9:11" ht="18" x14ac:dyDescent="0.25">
      <c r="I900" s="3">
        <v>1954.6666666666599</v>
      </c>
      <c r="J900" s="3">
        <v>245</v>
      </c>
      <c r="K900" s="3">
        <v>179.01774109529001</v>
      </c>
    </row>
    <row r="901" spans="9:11" ht="18" x14ac:dyDescent="0.25">
      <c r="I901" s="3">
        <v>1954.75</v>
      </c>
      <c r="J901" s="3">
        <v>185</v>
      </c>
      <c r="K901" s="3">
        <v>141.43738908366399</v>
      </c>
    </row>
    <row r="902" spans="9:11" ht="18" x14ac:dyDescent="0.25">
      <c r="I902" s="3">
        <v>1954.8333333333301</v>
      </c>
      <c r="J902" s="3">
        <v>100</v>
      </c>
      <c r="K902" s="3">
        <v>98.193386563215398</v>
      </c>
    </row>
    <row r="903" spans="9:11" ht="18" x14ac:dyDescent="0.25">
      <c r="I903" s="3">
        <v>1954.9166666666599</v>
      </c>
      <c r="J903" s="3">
        <v>-60</v>
      </c>
      <c r="K903" s="3">
        <v>71.628787964912206</v>
      </c>
    </row>
    <row r="904" spans="9:11" ht="18" x14ac:dyDescent="0.25">
      <c r="I904" s="3">
        <v>1955</v>
      </c>
      <c r="J904" s="3">
        <v>-75</v>
      </c>
      <c r="K904" s="3">
        <v>44.296220988911898</v>
      </c>
    </row>
    <row r="905" spans="9:11" ht="18" x14ac:dyDescent="0.25">
      <c r="I905" s="3">
        <v>1955.0833333333301</v>
      </c>
      <c r="J905" s="3">
        <v>-105</v>
      </c>
      <c r="K905" s="3">
        <v>11.6187069428206</v>
      </c>
    </row>
    <row r="906" spans="9:11" ht="18" x14ac:dyDescent="0.25">
      <c r="I906" s="3">
        <v>1955.1666666666599</v>
      </c>
      <c r="J906" s="3">
        <v>-105</v>
      </c>
      <c r="K906" s="3">
        <v>-20.311097942209202</v>
      </c>
    </row>
    <row r="907" spans="9:11" ht="18" x14ac:dyDescent="0.25">
      <c r="I907" s="3">
        <v>1955.25</v>
      </c>
      <c r="J907" s="3">
        <v>-108</v>
      </c>
      <c r="K907" s="3">
        <v>-64.793880902819296</v>
      </c>
    </row>
    <row r="908" spans="9:11" ht="18" x14ac:dyDescent="0.25">
      <c r="I908" s="3">
        <v>1955.3333333333301</v>
      </c>
      <c r="J908" s="3">
        <v>-145</v>
      </c>
      <c r="K908" s="3">
        <v>-90.312898075827405</v>
      </c>
    </row>
    <row r="909" spans="9:11" ht="18" x14ac:dyDescent="0.25">
      <c r="I909" s="3">
        <v>1955.4166666666599</v>
      </c>
      <c r="J909" s="3">
        <v>-185</v>
      </c>
      <c r="K909" s="3">
        <v>-77.619773081518403</v>
      </c>
    </row>
    <row r="910" spans="9:11" ht="18" x14ac:dyDescent="0.25">
      <c r="I910" s="3">
        <v>1955.5</v>
      </c>
      <c r="J910" s="3">
        <v>-190</v>
      </c>
      <c r="K910" s="3">
        <v>-77.548757787782307</v>
      </c>
    </row>
    <row r="911" spans="9:11" ht="18" x14ac:dyDescent="0.25">
      <c r="I911" s="3">
        <v>1955.5833333333301</v>
      </c>
      <c r="J911" s="3">
        <v>-190</v>
      </c>
      <c r="K911" s="3">
        <v>-103.444884101472</v>
      </c>
    </row>
    <row r="912" spans="9:11" ht="18" x14ac:dyDescent="0.25">
      <c r="I912" s="3">
        <v>1955.6666666666599</v>
      </c>
      <c r="J912" s="3">
        <v>-190</v>
      </c>
      <c r="K912" s="3">
        <v>-124.743800236222</v>
      </c>
    </row>
    <row r="913" spans="9:11" ht="18" x14ac:dyDescent="0.25">
      <c r="I913" s="3">
        <v>1955.75</v>
      </c>
      <c r="J913" s="3">
        <v>-180</v>
      </c>
      <c r="K913" s="3">
        <v>-120.634717079707</v>
      </c>
    </row>
    <row r="914" spans="9:11" ht="18" x14ac:dyDescent="0.25">
      <c r="I914" s="3">
        <v>1955.8333333333301</v>
      </c>
      <c r="J914" s="3">
        <v>-163</v>
      </c>
      <c r="K914" s="3">
        <v>-66.874050054874203</v>
      </c>
    </row>
    <row r="915" spans="9:11" ht="18" x14ac:dyDescent="0.25">
      <c r="I915" s="3">
        <v>1955.9166666666599</v>
      </c>
      <c r="J915" s="3">
        <v>-66</v>
      </c>
      <c r="K915" s="3">
        <v>8.2293014992707896</v>
      </c>
    </row>
    <row r="916" spans="9:11" ht="18" x14ac:dyDescent="0.25">
      <c r="I916" s="3">
        <v>1956</v>
      </c>
      <c r="J916" s="3">
        <v>-59</v>
      </c>
      <c r="K916" s="3">
        <v>45.822989658809803</v>
      </c>
    </row>
    <row r="917" spans="9:11" ht="18" x14ac:dyDescent="0.25">
      <c r="I917" s="3">
        <v>1956.0833333333301</v>
      </c>
      <c r="J917" s="3">
        <v>22</v>
      </c>
      <c r="K917" s="3">
        <v>58.0677527966076</v>
      </c>
    </row>
    <row r="918" spans="9:11" ht="18" x14ac:dyDescent="0.25">
      <c r="I918" s="3">
        <v>1956.1666666666599</v>
      </c>
      <c r="J918" s="3">
        <v>62</v>
      </c>
      <c r="K918" s="3">
        <v>70.578390860368302</v>
      </c>
    </row>
    <row r="919" spans="9:11" ht="18" x14ac:dyDescent="0.25">
      <c r="I919" s="3">
        <v>1956.25</v>
      </c>
      <c r="J919" s="3">
        <v>112</v>
      </c>
      <c r="K919" s="3">
        <v>89.9912068815335</v>
      </c>
    </row>
    <row r="920" spans="9:11" ht="18" x14ac:dyDescent="0.25">
      <c r="I920" s="3">
        <v>1956.3333333333301</v>
      </c>
      <c r="J920" s="3">
        <v>222</v>
      </c>
      <c r="K920" s="3">
        <v>142.78677356061101</v>
      </c>
    </row>
    <row r="921" spans="9:11" ht="18" x14ac:dyDescent="0.25">
      <c r="I921" s="3">
        <v>1956.4166666666599</v>
      </c>
      <c r="J921" s="3">
        <v>224</v>
      </c>
      <c r="K921" s="3">
        <v>210.529561692226</v>
      </c>
    </row>
    <row r="922" spans="9:11" ht="18" x14ac:dyDescent="0.25">
      <c r="I922" s="3">
        <v>1956.5</v>
      </c>
      <c r="J922" s="3">
        <v>249</v>
      </c>
      <c r="K922" s="3">
        <v>253.517190517253</v>
      </c>
    </row>
    <row r="923" spans="9:11" ht="18" x14ac:dyDescent="0.25">
      <c r="I923" s="3">
        <v>1956.5833333333301</v>
      </c>
      <c r="J923" s="3">
        <v>252</v>
      </c>
      <c r="K923" s="3">
        <v>285.372072903098</v>
      </c>
    </row>
    <row r="924" spans="9:11" ht="18" x14ac:dyDescent="0.25">
      <c r="I924" s="3">
        <v>1956.6666666666599</v>
      </c>
      <c r="J924" s="3">
        <v>266</v>
      </c>
      <c r="K924" s="3">
        <v>306.18413644360601</v>
      </c>
    </row>
    <row r="925" spans="9:11" ht="18" x14ac:dyDescent="0.25">
      <c r="I925" s="3">
        <v>1956.75</v>
      </c>
      <c r="J925" s="3">
        <v>276</v>
      </c>
      <c r="K925" s="3">
        <v>300.54653018144</v>
      </c>
    </row>
    <row r="926" spans="9:11" ht="18" x14ac:dyDescent="0.25">
      <c r="I926" s="3">
        <v>1956.8333333333301</v>
      </c>
      <c r="J926" s="3">
        <v>276</v>
      </c>
      <c r="K926" s="3">
        <v>276.313705888475</v>
      </c>
    </row>
    <row r="927" spans="9:11" ht="18" x14ac:dyDescent="0.25">
      <c r="I927" s="3">
        <v>1956.9166666666599</v>
      </c>
      <c r="J927" s="3">
        <v>246</v>
      </c>
      <c r="K927" s="3">
        <v>220.39575192546201</v>
      </c>
    </row>
    <row r="928" spans="9:11" ht="18" x14ac:dyDescent="0.25">
      <c r="I928" s="3">
        <v>1957</v>
      </c>
      <c r="J928" s="3">
        <v>84</v>
      </c>
      <c r="K928" s="3">
        <v>142.375575575992</v>
      </c>
    </row>
    <row r="929" spans="9:11" ht="18" x14ac:dyDescent="0.25">
      <c r="I929" s="3">
        <v>1957.0833333333301</v>
      </c>
      <c r="J929" s="3">
        <v>21</v>
      </c>
      <c r="K929" s="3">
        <v>82.551733947530295</v>
      </c>
    </row>
    <row r="930" spans="9:11" ht="18" x14ac:dyDescent="0.25">
      <c r="I930" s="3">
        <v>1957.1666666666599</v>
      </c>
      <c r="J930" s="3">
        <v>13</v>
      </c>
      <c r="K930" s="3">
        <v>24.728859086709999</v>
      </c>
    </row>
    <row r="931" spans="9:11" ht="18" x14ac:dyDescent="0.25">
      <c r="I931" s="3">
        <v>1957.25</v>
      </c>
      <c r="J931" s="3">
        <v>-92</v>
      </c>
      <c r="K931" s="3">
        <v>-40.523890015386698</v>
      </c>
    </row>
    <row r="932" spans="9:11" ht="18" x14ac:dyDescent="0.25">
      <c r="I932" s="3">
        <v>1957.3333333333301</v>
      </c>
      <c r="J932" s="3">
        <v>-120</v>
      </c>
      <c r="K932" s="3">
        <v>-74.528085829268804</v>
      </c>
    </row>
    <row r="933" spans="9:11" ht="18" x14ac:dyDescent="0.25">
      <c r="I933" s="3">
        <v>1957.4166666666599</v>
      </c>
      <c r="J933" s="3">
        <v>-137</v>
      </c>
      <c r="K933" s="3">
        <v>-76.885802822106996</v>
      </c>
    </row>
    <row r="934" spans="9:11" ht="18" x14ac:dyDescent="0.25">
      <c r="I934" s="3">
        <v>1957.5</v>
      </c>
      <c r="J934" s="3">
        <v>-141</v>
      </c>
      <c r="K934" s="3">
        <v>-63.898750511978903</v>
      </c>
    </row>
    <row r="935" spans="9:11" ht="18" x14ac:dyDescent="0.25">
      <c r="I935" s="3">
        <v>1957.5833333333301</v>
      </c>
      <c r="J935" s="3">
        <v>-147</v>
      </c>
      <c r="K935" s="3">
        <v>-49.061377455261599</v>
      </c>
    </row>
    <row r="936" spans="9:11" ht="18" x14ac:dyDescent="0.25">
      <c r="I936" s="3">
        <v>1957.6666666666599</v>
      </c>
      <c r="J936" s="3">
        <v>-160</v>
      </c>
      <c r="K936" s="3">
        <v>-63.764267757496498</v>
      </c>
    </row>
    <row r="937" spans="9:11" ht="18" x14ac:dyDescent="0.25">
      <c r="I937" s="3">
        <v>1957.75</v>
      </c>
      <c r="J937" s="3">
        <v>-160</v>
      </c>
      <c r="K937" s="3">
        <v>-87.499687216312907</v>
      </c>
    </row>
    <row r="938" spans="9:11" ht="18" x14ac:dyDescent="0.25">
      <c r="I938" s="3">
        <v>1957.8333333333301</v>
      </c>
      <c r="J938" s="3">
        <v>-144</v>
      </c>
      <c r="K938" s="3">
        <v>-82.844656707389603</v>
      </c>
    </row>
    <row r="939" spans="9:11" ht="18" x14ac:dyDescent="0.25">
      <c r="I939" s="3">
        <v>1957.9166666666599</v>
      </c>
      <c r="J939" s="3">
        <v>-117</v>
      </c>
      <c r="K939" s="3">
        <v>-71.896308573374299</v>
      </c>
    </row>
    <row r="940" spans="9:11" ht="18" x14ac:dyDescent="0.25">
      <c r="I940" s="3">
        <v>1958</v>
      </c>
      <c r="J940" s="3">
        <v>-110</v>
      </c>
      <c r="K940" s="3">
        <v>-63.269278417749099</v>
      </c>
    </row>
    <row r="941" spans="9:11" ht="18" x14ac:dyDescent="0.25">
      <c r="I941" s="3">
        <v>1958.0833333333301</v>
      </c>
      <c r="J941" s="3">
        <v>-60</v>
      </c>
      <c r="K941" s="3">
        <v>-50.577944154766797</v>
      </c>
    </row>
    <row r="942" spans="9:11" ht="18" x14ac:dyDescent="0.25">
      <c r="I942" s="3">
        <v>1958.1666666666599</v>
      </c>
      <c r="J942" s="3">
        <v>-49</v>
      </c>
      <c r="K942" s="3">
        <v>-45.078269089189497</v>
      </c>
    </row>
    <row r="943" spans="9:11" ht="18" x14ac:dyDescent="0.25">
      <c r="I943" s="3">
        <v>1958.25</v>
      </c>
      <c r="J943" s="3">
        <v>-37</v>
      </c>
      <c r="K943" s="3">
        <v>-13.6499989589565</v>
      </c>
    </row>
    <row r="944" spans="9:11" ht="18" x14ac:dyDescent="0.25">
      <c r="I944" s="3">
        <v>1958.3333333333301</v>
      </c>
      <c r="J944" s="3">
        <v>63</v>
      </c>
      <c r="K944" s="3">
        <v>66.148594075956396</v>
      </c>
    </row>
    <row r="945" spans="9:11" ht="18" x14ac:dyDescent="0.25">
      <c r="I945" s="3">
        <v>1958.4166666666599</v>
      </c>
      <c r="J945" s="3">
        <v>197</v>
      </c>
      <c r="K945" s="3">
        <v>152.545224270597</v>
      </c>
    </row>
    <row r="946" spans="9:11" ht="18" x14ac:dyDescent="0.25">
      <c r="I946" s="3">
        <v>1958.5</v>
      </c>
      <c r="J946" s="3">
        <v>204</v>
      </c>
      <c r="K946" s="3">
        <v>222.313314628201</v>
      </c>
    </row>
    <row r="947" spans="9:11" ht="18" x14ac:dyDescent="0.25">
      <c r="I947" s="3">
        <v>1958.5833333333301</v>
      </c>
      <c r="J947" s="3">
        <v>233</v>
      </c>
      <c r="K947" s="3">
        <v>266.57425152036001</v>
      </c>
    </row>
    <row r="948" spans="9:11" ht="18" x14ac:dyDescent="0.25">
      <c r="I948" s="3">
        <v>1958.6666666666599</v>
      </c>
      <c r="J948" s="3">
        <v>257</v>
      </c>
      <c r="K948" s="3">
        <v>279.00209975110198</v>
      </c>
    </row>
    <row r="949" spans="9:11" ht="18" x14ac:dyDescent="0.25">
      <c r="I949" s="3">
        <v>1958.75</v>
      </c>
      <c r="J949" s="3">
        <v>277</v>
      </c>
      <c r="K949" s="3">
        <v>288.19323251925402</v>
      </c>
    </row>
    <row r="950" spans="9:11" ht="18" x14ac:dyDescent="0.25">
      <c r="I950" s="3">
        <v>1958.8333333333301</v>
      </c>
      <c r="J950" s="3">
        <v>304</v>
      </c>
      <c r="K950" s="3">
        <v>283.75161537996001</v>
      </c>
    </row>
    <row r="951" spans="9:11" ht="18" x14ac:dyDescent="0.25">
      <c r="I951" s="3">
        <v>1958.9166666666599</v>
      </c>
      <c r="J951" s="3">
        <v>330</v>
      </c>
      <c r="K951" s="3">
        <v>234.60715959298</v>
      </c>
    </row>
    <row r="952" spans="9:11" ht="18" x14ac:dyDescent="0.25">
      <c r="I952" s="3">
        <v>1959</v>
      </c>
      <c r="J952" s="3">
        <v>330</v>
      </c>
      <c r="K952" s="3">
        <v>179.89688418083799</v>
      </c>
    </row>
    <row r="953" spans="9:11" ht="18" x14ac:dyDescent="0.25">
      <c r="I953" s="3">
        <v>1959.0833333333301</v>
      </c>
      <c r="J953" s="3">
        <v>267</v>
      </c>
      <c r="K953" s="3">
        <v>149.45910416066101</v>
      </c>
    </row>
    <row r="954" spans="9:11" ht="18" x14ac:dyDescent="0.25">
      <c r="I954" s="3">
        <v>1959.1666666666599</v>
      </c>
      <c r="J954" s="3">
        <v>258</v>
      </c>
      <c r="K954" s="3">
        <v>129.06875304838499</v>
      </c>
    </row>
    <row r="955" spans="9:11" ht="18" x14ac:dyDescent="0.25">
      <c r="I955" s="3">
        <v>1959.25</v>
      </c>
      <c r="J955" s="3">
        <v>255</v>
      </c>
      <c r="K955" s="3">
        <v>115.55834633292</v>
      </c>
    </row>
    <row r="956" spans="9:11" ht="18" x14ac:dyDescent="0.25">
      <c r="I956" s="3">
        <v>1959.3333333333301</v>
      </c>
      <c r="J956" s="3">
        <v>217</v>
      </c>
      <c r="K956" s="3">
        <v>85.911194438578605</v>
      </c>
    </row>
    <row r="957" spans="9:11" ht="18" x14ac:dyDescent="0.25">
      <c r="I957" s="3">
        <v>1959.4166666666599</v>
      </c>
      <c r="J957" s="3">
        <v>60</v>
      </c>
      <c r="K957" s="3">
        <v>29.680760157264199</v>
      </c>
    </row>
    <row r="958" spans="9:11" ht="18" x14ac:dyDescent="0.25">
      <c r="I958" s="3">
        <v>1959.5</v>
      </c>
      <c r="J958" s="3">
        <v>-135</v>
      </c>
      <c r="K958" s="3">
        <v>-21.0850166192232</v>
      </c>
    </row>
    <row r="959" spans="9:11" ht="18" x14ac:dyDescent="0.25">
      <c r="I959" s="3">
        <v>1959.5833333333301</v>
      </c>
      <c r="J959" s="3">
        <v>-193</v>
      </c>
      <c r="K959" s="3">
        <v>-71.068257738940304</v>
      </c>
    </row>
    <row r="960" spans="9:11" ht="18" x14ac:dyDescent="0.25">
      <c r="I960" s="3">
        <v>1959.6666666666599</v>
      </c>
      <c r="J960" s="3">
        <v>-193</v>
      </c>
      <c r="K960" s="3">
        <v>-126.168357982995</v>
      </c>
    </row>
    <row r="961" spans="9:11" ht="18" x14ac:dyDescent="0.25">
      <c r="I961" s="3">
        <v>1959.75</v>
      </c>
      <c r="J961" s="3">
        <v>-190</v>
      </c>
      <c r="K961" s="3">
        <v>-155.557864818371</v>
      </c>
    </row>
    <row r="962" spans="9:11" ht="18" x14ac:dyDescent="0.25">
      <c r="I962" s="3">
        <v>1959.8333333333301</v>
      </c>
      <c r="J962" s="3">
        <v>-127</v>
      </c>
      <c r="K962" s="3">
        <v>-165.064166304689</v>
      </c>
    </row>
    <row r="963" spans="9:11" ht="18" x14ac:dyDescent="0.25">
      <c r="I963" s="3">
        <v>1959.9166666666599</v>
      </c>
      <c r="J963" s="3">
        <v>-83</v>
      </c>
      <c r="K963" s="3">
        <v>-159.886072477358</v>
      </c>
    </row>
    <row r="964" spans="9:11" ht="18" x14ac:dyDescent="0.25">
      <c r="I964" s="3">
        <v>1960</v>
      </c>
      <c r="J964" s="3">
        <v>-40</v>
      </c>
      <c r="K964" s="3">
        <v>-124.697744943652</v>
      </c>
    </row>
    <row r="965" spans="9:11" ht="18" x14ac:dyDescent="0.25">
      <c r="I965" s="3">
        <v>1960.0833333333301</v>
      </c>
      <c r="J965" s="3">
        <v>2</v>
      </c>
      <c r="K965" s="3">
        <v>-90.024661257325604</v>
      </c>
    </row>
    <row r="966" spans="9:11" ht="18" x14ac:dyDescent="0.25">
      <c r="I966" s="3">
        <v>1960.1666666666599</v>
      </c>
      <c r="J966" s="3">
        <v>18</v>
      </c>
      <c r="K966" s="3">
        <v>-68.784120384056095</v>
      </c>
    </row>
    <row r="967" spans="9:11" ht="18" x14ac:dyDescent="0.25">
      <c r="I967" s="3">
        <v>1960.25</v>
      </c>
      <c r="J967" s="3">
        <v>46</v>
      </c>
      <c r="K967" s="3">
        <v>-31.182608853421499</v>
      </c>
    </row>
    <row r="968" spans="9:11" ht="18" x14ac:dyDescent="0.25">
      <c r="I968" s="3">
        <v>1960.3333333333301</v>
      </c>
      <c r="J968" s="3">
        <v>124</v>
      </c>
      <c r="K968" s="3">
        <v>23.115877235834098</v>
      </c>
    </row>
    <row r="969" spans="9:11" ht="18" x14ac:dyDescent="0.25">
      <c r="I969" s="3">
        <v>1960.4166666666599</v>
      </c>
      <c r="J969" s="3">
        <v>182</v>
      </c>
      <c r="K969" s="3">
        <v>92.595981395952506</v>
      </c>
    </row>
    <row r="970" spans="9:11" ht="18" x14ac:dyDescent="0.25">
      <c r="I970" s="3">
        <v>1960.5</v>
      </c>
      <c r="J970" s="3">
        <v>252</v>
      </c>
      <c r="K970" s="3">
        <v>166.56763237525399</v>
      </c>
    </row>
    <row r="971" spans="9:11" ht="18" x14ac:dyDescent="0.25">
      <c r="I971" s="3">
        <v>1960.5833333333301</v>
      </c>
      <c r="J971" s="3">
        <v>256</v>
      </c>
      <c r="K971" s="3">
        <v>208.09790277533699</v>
      </c>
    </row>
    <row r="972" spans="9:11" ht="18" x14ac:dyDescent="0.25">
      <c r="I972" s="3">
        <v>1960.6666666666599</v>
      </c>
      <c r="J972" s="3">
        <v>256</v>
      </c>
      <c r="K972" s="3">
        <v>240.62182673657301</v>
      </c>
    </row>
    <row r="973" spans="9:11" ht="18" x14ac:dyDescent="0.25">
      <c r="I973" s="3">
        <v>1960.75</v>
      </c>
      <c r="J973" s="3">
        <v>255</v>
      </c>
      <c r="K973" s="3">
        <v>297.72668703260803</v>
      </c>
    </row>
    <row r="974" spans="9:11" ht="18" x14ac:dyDescent="0.25">
      <c r="I974" s="3">
        <v>1960.8333333333301</v>
      </c>
      <c r="J974" s="3">
        <v>249</v>
      </c>
      <c r="K974" s="3">
        <v>338.382991451441</v>
      </c>
    </row>
    <row r="975" spans="9:11" ht="18" x14ac:dyDescent="0.25">
      <c r="I975" s="3">
        <v>1960.9166666666599</v>
      </c>
      <c r="J975" s="3">
        <v>208</v>
      </c>
      <c r="K975" s="3">
        <v>333.61151907639498</v>
      </c>
    </row>
    <row r="976" spans="9:11" ht="18" x14ac:dyDescent="0.25">
      <c r="I976" s="3">
        <v>1961</v>
      </c>
      <c r="J976" s="3">
        <v>155</v>
      </c>
      <c r="K976" s="3">
        <v>287.35645642845202</v>
      </c>
    </row>
    <row r="977" spans="9:11" ht="18" x14ac:dyDescent="0.25">
      <c r="I977" s="3">
        <v>1961.0833333333301</v>
      </c>
      <c r="J977" s="3">
        <v>13</v>
      </c>
      <c r="K977" s="3">
        <v>210.808616421539</v>
      </c>
    </row>
    <row r="978" spans="9:11" ht="18" x14ac:dyDescent="0.25">
      <c r="I978" s="3">
        <v>1961.1666666666599</v>
      </c>
      <c r="J978" s="3">
        <v>-29</v>
      </c>
      <c r="K978" s="3">
        <v>152.99828786472301</v>
      </c>
    </row>
    <row r="979" spans="9:11" ht="18" x14ac:dyDescent="0.25">
      <c r="I979" s="3">
        <v>1961.25</v>
      </c>
      <c r="J979" s="3">
        <v>-38</v>
      </c>
      <c r="K979" s="3">
        <v>129.216469194372</v>
      </c>
    </row>
    <row r="980" spans="9:11" ht="18" x14ac:dyDescent="0.25">
      <c r="I980" s="3">
        <v>1961.3333333333301</v>
      </c>
      <c r="J980" s="3">
        <v>-114</v>
      </c>
      <c r="K980" s="3">
        <v>102.89765900543701</v>
      </c>
    </row>
    <row r="981" spans="9:11" ht="18" x14ac:dyDescent="0.25">
      <c r="I981" s="3">
        <v>1961.4166666666599</v>
      </c>
      <c r="J981" s="3">
        <v>-142</v>
      </c>
      <c r="K981" s="3">
        <v>73.903196215658497</v>
      </c>
    </row>
    <row r="982" spans="9:11" ht="18" x14ac:dyDescent="0.25">
      <c r="I982" s="3">
        <v>1961.5</v>
      </c>
      <c r="J982" s="3">
        <v>-142</v>
      </c>
      <c r="K982" s="3">
        <v>42.527950959600503</v>
      </c>
    </row>
    <row r="983" spans="9:11" ht="18" x14ac:dyDescent="0.25">
      <c r="I983" s="3">
        <v>1961.5833333333301</v>
      </c>
      <c r="J983" s="3">
        <v>-140</v>
      </c>
      <c r="K983" s="3">
        <v>-0.156346178587114</v>
      </c>
    </row>
    <row r="984" spans="9:11" ht="18" x14ac:dyDescent="0.25">
      <c r="I984" s="3">
        <v>1961.6666666666599</v>
      </c>
      <c r="J984" s="3">
        <v>-126</v>
      </c>
      <c r="K984" s="3">
        <v>-23.575968997642601</v>
      </c>
    </row>
    <row r="985" spans="9:11" ht="18" x14ac:dyDescent="0.25">
      <c r="I985" s="3">
        <v>1961.75</v>
      </c>
      <c r="J985" s="3">
        <v>-98</v>
      </c>
      <c r="K985" s="3">
        <v>-33.265081641587898</v>
      </c>
    </row>
    <row r="986" spans="9:11" ht="18" x14ac:dyDescent="0.25">
      <c r="I986" s="3">
        <v>1961.8333333333301</v>
      </c>
      <c r="J986" s="3">
        <v>-98</v>
      </c>
      <c r="K986" s="3">
        <v>-64.8581186266034</v>
      </c>
    </row>
    <row r="987" spans="9:11" ht="18" x14ac:dyDescent="0.25">
      <c r="I987" s="3">
        <v>1961.9166666666599</v>
      </c>
      <c r="J987" s="3">
        <v>-98</v>
      </c>
      <c r="K987" s="3">
        <v>-104.71422915023901</v>
      </c>
    </row>
    <row r="988" spans="9:11" ht="18" x14ac:dyDescent="0.25">
      <c r="I988" s="3">
        <v>1962</v>
      </c>
      <c r="J988" s="3">
        <v>-69</v>
      </c>
      <c r="K988" s="3">
        <v>-145.020395574204</v>
      </c>
    </row>
    <row r="989" spans="9:11" ht="18" x14ac:dyDescent="0.25">
      <c r="I989" s="3">
        <v>1962.0833333333301</v>
      </c>
      <c r="J989" s="3">
        <v>-69</v>
      </c>
      <c r="K989" s="3">
        <v>-186.12709400620801</v>
      </c>
    </row>
    <row r="990" spans="9:11" ht="18" x14ac:dyDescent="0.25">
      <c r="I990" s="3">
        <v>1962.1666666666599</v>
      </c>
      <c r="J990" s="3">
        <v>-55</v>
      </c>
      <c r="K990" s="3">
        <v>-200.52073191649799</v>
      </c>
    </row>
    <row r="991" spans="9:11" ht="18" x14ac:dyDescent="0.25">
      <c r="I991" s="3">
        <v>1962.25</v>
      </c>
      <c r="J991" s="3">
        <v>-49</v>
      </c>
      <c r="K991" s="3">
        <v>-186.91926508133199</v>
      </c>
    </row>
    <row r="992" spans="9:11" ht="18" x14ac:dyDescent="0.25">
      <c r="I992" s="3">
        <v>1962.3333333333301</v>
      </c>
      <c r="J992" s="3">
        <v>27</v>
      </c>
      <c r="K992" s="3">
        <v>-139.52574496240501</v>
      </c>
    </row>
    <row r="993" spans="9:11" ht="18" x14ac:dyDescent="0.25">
      <c r="I993" s="3">
        <v>1962.4166666666599</v>
      </c>
      <c r="J993" s="3">
        <v>161</v>
      </c>
      <c r="K993" s="3">
        <v>-39.949812863771299</v>
      </c>
    </row>
    <row r="994" spans="9:11" ht="18" x14ac:dyDescent="0.25">
      <c r="I994" s="3">
        <v>1962.5</v>
      </c>
      <c r="J994" s="3">
        <v>228</v>
      </c>
      <c r="K994" s="3">
        <v>59.892888858646998</v>
      </c>
    </row>
    <row r="995" spans="9:11" ht="18" x14ac:dyDescent="0.25">
      <c r="I995" s="3">
        <v>1962.5833333333301</v>
      </c>
      <c r="J995" s="3">
        <v>252</v>
      </c>
      <c r="K995" s="3">
        <v>113.637954809955</v>
      </c>
    </row>
    <row r="996" spans="9:11" ht="18" x14ac:dyDescent="0.25">
      <c r="I996" s="3">
        <v>1962.6666666666599</v>
      </c>
      <c r="J996" s="3">
        <v>275</v>
      </c>
      <c r="K996" s="3">
        <v>146.70755092226301</v>
      </c>
    </row>
    <row r="997" spans="9:11" ht="18" x14ac:dyDescent="0.25">
      <c r="I997" s="3">
        <v>1962.75</v>
      </c>
      <c r="J997" s="3">
        <v>280</v>
      </c>
      <c r="K997" s="3">
        <v>175.319849865441</v>
      </c>
    </row>
    <row r="998" spans="9:11" ht="18" x14ac:dyDescent="0.25">
      <c r="I998" s="3">
        <v>1962.8333333333301</v>
      </c>
      <c r="J998" s="3">
        <v>302</v>
      </c>
      <c r="K998" s="3">
        <v>208.14473890170601</v>
      </c>
    </row>
    <row r="999" spans="9:11" ht="18" x14ac:dyDescent="0.25">
      <c r="I999" s="3">
        <v>1962.9166666666599</v>
      </c>
      <c r="J999" s="3">
        <v>302</v>
      </c>
      <c r="K999" s="3">
        <v>245.19216586622201</v>
      </c>
    </row>
    <row r="1000" spans="9:11" ht="18" x14ac:dyDescent="0.25">
      <c r="I1000" s="3">
        <v>1963</v>
      </c>
      <c r="J1000" s="3">
        <v>292</v>
      </c>
      <c r="K1000" s="3">
        <v>248.14539790964801</v>
      </c>
    </row>
    <row r="1001" spans="9:11" ht="18" x14ac:dyDescent="0.25">
      <c r="I1001" s="3">
        <v>1963.0833333333301</v>
      </c>
      <c r="J1001" s="3">
        <v>292</v>
      </c>
      <c r="K1001" s="3">
        <v>226.190425942079</v>
      </c>
    </row>
    <row r="1002" spans="9:11" ht="18" x14ac:dyDescent="0.25">
      <c r="I1002" s="3">
        <v>1963.1666666666599</v>
      </c>
      <c r="J1002" s="3">
        <v>333</v>
      </c>
      <c r="K1002" s="3">
        <v>225.35441849370901</v>
      </c>
    </row>
    <row r="1003" spans="9:11" ht="18" x14ac:dyDescent="0.25">
      <c r="I1003" s="3">
        <v>1963.25</v>
      </c>
      <c r="J1003" s="3">
        <v>333</v>
      </c>
      <c r="K1003" s="3">
        <v>242.76501593501601</v>
      </c>
    </row>
    <row r="1004" spans="9:11" ht="18" x14ac:dyDescent="0.25">
      <c r="I1004" s="3">
        <v>1963.3333333333301</v>
      </c>
      <c r="J1004" s="3">
        <v>328</v>
      </c>
      <c r="K1004" s="3">
        <v>270.50381311463002</v>
      </c>
    </row>
    <row r="1005" spans="9:11" ht="18" x14ac:dyDescent="0.25">
      <c r="I1005" s="3">
        <v>1963.4166666666599</v>
      </c>
      <c r="J1005" s="3">
        <v>317</v>
      </c>
      <c r="K1005" s="3">
        <v>287.34457287264701</v>
      </c>
    </row>
    <row r="1006" spans="9:11" ht="18" x14ac:dyDescent="0.25">
      <c r="I1006" s="3">
        <v>1963.5</v>
      </c>
      <c r="J1006" s="3">
        <v>215</v>
      </c>
      <c r="K1006" s="3">
        <v>243.70019908696699</v>
      </c>
    </row>
    <row r="1007" spans="9:11" ht="18" x14ac:dyDescent="0.25">
      <c r="I1007" s="3">
        <v>1963.5833333333301</v>
      </c>
      <c r="J1007" s="3">
        <v>15</v>
      </c>
      <c r="K1007" s="3">
        <v>160.16321955559201</v>
      </c>
    </row>
    <row r="1008" spans="9:11" ht="18" x14ac:dyDescent="0.25">
      <c r="I1008" s="3">
        <v>1963.6666666666599</v>
      </c>
      <c r="J1008" s="3">
        <v>-36</v>
      </c>
      <c r="K1008" s="3">
        <v>90.054196223733697</v>
      </c>
    </row>
    <row r="1009" spans="9:11" ht="18" x14ac:dyDescent="0.25">
      <c r="I1009" s="3">
        <v>1963.75</v>
      </c>
      <c r="J1009" s="3">
        <v>-65</v>
      </c>
      <c r="K1009" s="3">
        <v>37.058609949119798</v>
      </c>
    </row>
    <row r="1010" spans="9:11" ht="18" x14ac:dyDescent="0.25">
      <c r="I1010" s="3">
        <v>1963.8333333333301</v>
      </c>
      <c r="J1010" s="3">
        <v>-70</v>
      </c>
      <c r="K1010" s="3">
        <v>2.5312020047332302</v>
      </c>
    </row>
    <row r="1011" spans="9:11" ht="18" x14ac:dyDescent="0.25">
      <c r="I1011" s="3">
        <v>1963.9166666666599</v>
      </c>
      <c r="J1011" s="3">
        <v>-70</v>
      </c>
      <c r="K1011" s="3">
        <v>-25.2892870873346</v>
      </c>
    </row>
    <row r="1012" spans="9:11" ht="18" x14ac:dyDescent="0.25">
      <c r="I1012" s="3">
        <v>1964</v>
      </c>
      <c r="J1012" s="3">
        <v>-70</v>
      </c>
      <c r="K1012" s="3">
        <v>-67.693938652646395</v>
      </c>
    </row>
    <row r="1013" spans="9:11" ht="18" x14ac:dyDescent="0.25">
      <c r="I1013" s="3">
        <v>1964.0833333333301</v>
      </c>
      <c r="J1013" s="3">
        <v>-35</v>
      </c>
      <c r="K1013" s="3">
        <v>-99.144647630491406</v>
      </c>
    </row>
    <row r="1014" spans="9:11" ht="18" x14ac:dyDescent="0.25">
      <c r="I1014" s="3">
        <v>1964.1666666666599</v>
      </c>
      <c r="J1014" s="3">
        <v>-35</v>
      </c>
      <c r="K1014" s="3">
        <v>-116.54214353610701</v>
      </c>
    </row>
    <row r="1015" spans="9:11" ht="18" x14ac:dyDescent="0.25">
      <c r="I1015" s="3">
        <v>1964.25</v>
      </c>
      <c r="J1015" s="3">
        <v>-54</v>
      </c>
      <c r="K1015" s="3">
        <v>-141.974813186939</v>
      </c>
    </row>
    <row r="1016" spans="9:11" ht="18" x14ac:dyDescent="0.25">
      <c r="I1016" s="3">
        <v>1964.3333333333301</v>
      </c>
      <c r="J1016" s="3">
        <v>-64</v>
      </c>
      <c r="K1016" s="3">
        <v>-142.83522618329599</v>
      </c>
    </row>
    <row r="1017" spans="9:11" ht="18" x14ac:dyDescent="0.25">
      <c r="I1017" s="3">
        <v>1964.4166666666599</v>
      </c>
      <c r="J1017" s="3">
        <v>-64</v>
      </c>
      <c r="K1017" s="3">
        <v>-105.849573718405</v>
      </c>
    </row>
    <row r="1018" spans="9:11" ht="18" x14ac:dyDescent="0.25">
      <c r="I1018" s="3">
        <v>1964.5</v>
      </c>
      <c r="J1018" s="3">
        <v>-61</v>
      </c>
      <c r="K1018" s="3">
        <v>-63.590984358163801</v>
      </c>
    </row>
    <row r="1019" spans="9:11" ht="18" x14ac:dyDescent="0.25">
      <c r="I1019" s="3">
        <v>1964.5833333333301</v>
      </c>
      <c r="J1019" s="3">
        <v>-37</v>
      </c>
      <c r="K1019" s="3">
        <v>-26.046036086187499</v>
      </c>
    </row>
    <row r="1020" spans="9:11" ht="18" x14ac:dyDescent="0.25">
      <c r="I1020" s="3">
        <v>1964.6666666666599</v>
      </c>
      <c r="J1020" s="3">
        <v>-27</v>
      </c>
      <c r="K1020" s="3">
        <v>-7.6463671000709796</v>
      </c>
    </row>
    <row r="1021" spans="9:11" ht="18" x14ac:dyDescent="0.25">
      <c r="I1021" s="3">
        <v>1964.75</v>
      </c>
      <c r="J1021" s="3">
        <v>-32</v>
      </c>
      <c r="K1021" s="3">
        <v>-5.5338809985875699</v>
      </c>
    </row>
    <row r="1022" spans="9:11" ht="18" x14ac:dyDescent="0.25">
      <c r="I1022" s="3">
        <v>1964.8333333333301</v>
      </c>
      <c r="J1022" s="3">
        <v>-20</v>
      </c>
      <c r="K1022" s="3">
        <v>21.385742939523801</v>
      </c>
    </row>
    <row r="1023" spans="9:11" ht="18" x14ac:dyDescent="0.25">
      <c r="I1023" s="3">
        <v>1964.9166666666599</v>
      </c>
      <c r="J1023" s="3">
        <v>-19</v>
      </c>
      <c r="K1023" s="3">
        <v>61.949215949517097</v>
      </c>
    </row>
    <row r="1024" spans="9:11" ht="18" x14ac:dyDescent="0.25">
      <c r="I1024" s="3">
        <v>1965</v>
      </c>
      <c r="J1024" s="3">
        <v>-15</v>
      </c>
      <c r="K1024" s="3">
        <v>84.288901344828304</v>
      </c>
    </row>
    <row r="1025" spans="9:11" ht="18" x14ac:dyDescent="0.25">
      <c r="I1025" s="3">
        <v>1965.0833333333301</v>
      </c>
      <c r="J1025" s="3">
        <v>-7</v>
      </c>
      <c r="K1025" s="3">
        <v>95.949178144611693</v>
      </c>
    </row>
    <row r="1026" spans="9:11" ht="18" x14ac:dyDescent="0.25">
      <c r="I1026" s="3">
        <v>1965.1666666666599</v>
      </c>
      <c r="J1026" s="3">
        <v>12</v>
      </c>
      <c r="K1026" s="3">
        <v>92.514003020291696</v>
      </c>
    </row>
    <row r="1027" spans="9:11" ht="18" x14ac:dyDescent="0.25">
      <c r="I1027" s="3">
        <v>1965.25</v>
      </c>
      <c r="J1027" s="3">
        <v>37</v>
      </c>
      <c r="K1027" s="3">
        <v>92.765278552042204</v>
      </c>
    </row>
    <row r="1028" spans="9:11" ht="18" x14ac:dyDescent="0.25">
      <c r="I1028" s="3">
        <v>1965.3333333333301</v>
      </c>
      <c r="J1028" s="3">
        <v>157</v>
      </c>
      <c r="K1028" s="3">
        <v>137.72534421762401</v>
      </c>
    </row>
    <row r="1029" spans="9:11" ht="18" x14ac:dyDescent="0.25">
      <c r="I1029" s="3">
        <v>1965.4166666666599</v>
      </c>
      <c r="J1029" s="3">
        <v>242</v>
      </c>
      <c r="K1029" s="3">
        <v>195.776848227057</v>
      </c>
    </row>
    <row r="1030" spans="9:11" ht="18" x14ac:dyDescent="0.25">
      <c r="I1030" s="3">
        <v>1965.5</v>
      </c>
      <c r="J1030" s="3">
        <v>268</v>
      </c>
      <c r="K1030" s="3">
        <v>224.47033419402999</v>
      </c>
    </row>
    <row r="1031" spans="9:11" ht="18" x14ac:dyDescent="0.25">
      <c r="I1031" s="3">
        <v>1965.5833333333301</v>
      </c>
      <c r="J1031" s="3">
        <v>287</v>
      </c>
      <c r="K1031" s="3">
        <v>231.040738803344</v>
      </c>
    </row>
    <row r="1032" spans="9:11" ht="18" x14ac:dyDescent="0.25">
      <c r="I1032" s="3">
        <v>1965.6666666666599</v>
      </c>
      <c r="J1032" s="3">
        <v>291</v>
      </c>
      <c r="K1032" s="3">
        <v>223.795630686658</v>
      </c>
    </row>
    <row r="1033" spans="9:11" ht="18" x14ac:dyDescent="0.25">
      <c r="I1033" s="3">
        <v>1965.75</v>
      </c>
      <c r="J1033" s="3">
        <v>319</v>
      </c>
      <c r="K1033" s="3">
        <v>227.556725101099</v>
      </c>
    </row>
    <row r="1034" spans="9:11" ht="18" x14ac:dyDescent="0.25">
      <c r="I1034" s="3">
        <v>1965.8333333333301</v>
      </c>
      <c r="J1034" s="3">
        <v>321</v>
      </c>
      <c r="K1034" s="3">
        <v>247.635348251832</v>
      </c>
    </row>
    <row r="1035" spans="9:11" ht="18" x14ac:dyDescent="0.25">
      <c r="I1035" s="3">
        <v>1965.9166666666599</v>
      </c>
      <c r="J1035" s="3">
        <v>329</v>
      </c>
      <c r="K1035" s="3">
        <v>232.925381793508</v>
      </c>
    </row>
    <row r="1036" spans="9:11" ht="18" x14ac:dyDescent="0.25">
      <c r="I1036" s="3">
        <v>1966</v>
      </c>
      <c r="J1036" s="3">
        <v>329</v>
      </c>
      <c r="K1036" s="3">
        <v>181.07039088044399</v>
      </c>
    </row>
    <row r="1037" spans="9:11" ht="18" x14ac:dyDescent="0.25">
      <c r="I1037" s="3">
        <v>1966.0833333333301</v>
      </c>
      <c r="J1037" s="3">
        <v>302</v>
      </c>
      <c r="K1037" s="3">
        <v>127.60234166202299</v>
      </c>
    </row>
    <row r="1038" spans="9:11" ht="18" x14ac:dyDescent="0.25">
      <c r="I1038" s="3">
        <v>1966.1666666666599</v>
      </c>
      <c r="J1038" s="3">
        <v>207</v>
      </c>
      <c r="K1038" s="3">
        <v>67.059135291823395</v>
      </c>
    </row>
    <row r="1039" spans="9:11" ht="18" x14ac:dyDescent="0.25">
      <c r="I1039" s="3">
        <v>1966.25</v>
      </c>
      <c r="J1039" s="3">
        <v>70</v>
      </c>
      <c r="K1039" s="3">
        <v>11.6514744868619</v>
      </c>
    </row>
    <row r="1040" spans="9:11" ht="18" x14ac:dyDescent="0.25">
      <c r="I1040" s="3">
        <v>1966.3333333333301</v>
      </c>
      <c r="J1040" s="3">
        <v>-57</v>
      </c>
      <c r="K1040" s="3">
        <v>-18.469938443832699</v>
      </c>
    </row>
    <row r="1041" spans="9:11" ht="18" x14ac:dyDescent="0.25">
      <c r="I1041" s="3">
        <v>1966.4166666666599</v>
      </c>
      <c r="J1041" s="3">
        <v>-136</v>
      </c>
      <c r="K1041" s="3">
        <v>-33.679823544928297</v>
      </c>
    </row>
    <row r="1042" spans="9:11" ht="18" x14ac:dyDescent="0.25">
      <c r="I1042" s="3">
        <v>1966.5</v>
      </c>
      <c r="J1042" s="3">
        <v>-148</v>
      </c>
      <c r="K1042" s="3">
        <v>-23.4604172618542</v>
      </c>
    </row>
    <row r="1043" spans="9:11" ht="18" x14ac:dyDescent="0.25">
      <c r="I1043" s="3">
        <v>1966.5833333333301</v>
      </c>
      <c r="J1043" s="3">
        <v>-153</v>
      </c>
      <c r="K1043" s="3">
        <v>2.08723045829933</v>
      </c>
    </row>
    <row r="1044" spans="9:11" ht="18" x14ac:dyDescent="0.25">
      <c r="I1044" s="3">
        <v>1966.6666666666599</v>
      </c>
      <c r="J1044" s="3">
        <v>-153</v>
      </c>
      <c r="K1044" s="3">
        <v>-0.30136373307993802</v>
      </c>
    </row>
    <row r="1045" spans="9:11" ht="18" x14ac:dyDescent="0.25">
      <c r="I1045" s="3">
        <v>1966.75</v>
      </c>
      <c r="J1045" s="3">
        <v>-160</v>
      </c>
      <c r="K1045" s="3">
        <v>-24.3028941366567</v>
      </c>
    </row>
    <row r="1046" spans="9:11" ht="18" x14ac:dyDescent="0.25">
      <c r="I1046" s="3">
        <v>1966.8333333333301</v>
      </c>
      <c r="J1046" s="3">
        <v>-160</v>
      </c>
      <c r="K1046" s="3">
        <v>-57.082881998225197</v>
      </c>
    </row>
    <row r="1047" spans="9:11" ht="18" x14ac:dyDescent="0.25">
      <c r="I1047" s="3">
        <v>1966.9166666666599</v>
      </c>
      <c r="J1047" s="3">
        <v>-148</v>
      </c>
      <c r="K1047" s="3">
        <v>-99.5777488506412</v>
      </c>
    </row>
    <row r="1048" spans="9:11" ht="18" x14ac:dyDescent="0.25">
      <c r="I1048" s="3">
        <v>1967</v>
      </c>
      <c r="J1048" s="3">
        <v>-148</v>
      </c>
      <c r="K1048" s="3">
        <v>-116.956201888633</v>
      </c>
    </row>
    <row r="1049" spans="9:11" ht="18" x14ac:dyDescent="0.25">
      <c r="I1049" s="3">
        <v>1967.0833333333301</v>
      </c>
      <c r="J1049" s="3">
        <v>-148</v>
      </c>
      <c r="K1049" s="3">
        <v>-108.763990726751</v>
      </c>
    </row>
    <row r="1050" spans="9:11" ht="18" x14ac:dyDescent="0.25">
      <c r="I1050" s="3">
        <v>1967.1666666666599</v>
      </c>
      <c r="J1050" s="3">
        <v>-145</v>
      </c>
      <c r="K1050" s="3">
        <v>-103.34003699139301</v>
      </c>
    </row>
    <row r="1051" spans="9:11" ht="18" x14ac:dyDescent="0.25">
      <c r="I1051" s="3">
        <v>1967.25</v>
      </c>
      <c r="J1051" s="3">
        <v>-105</v>
      </c>
      <c r="K1051" s="3">
        <v>-76.980739457917906</v>
      </c>
    </row>
    <row r="1052" spans="9:11" ht="18" x14ac:dyDescent="0.25">
      <c r="I1052" s="3">
        <v>1967.3333333333301</v>
      </c>
      <c r="J1052" s="3">
        <v>-101</v>
      </c>
      <c r="K1052" s="3">
        <v>-18.947678674607801</v>
      </c>
    </row>
    <row r="1053" spans="9:11" ht="18" x14ac:dyDescent="0.25">
      <c r="I1053" s="3">
        <v>1967.4166666666599</v>
      </c>
      <c r="J1053" s="3">
        <v>-53</v>
      </c>
      <c r="K1053" s="3">
        <v>47.708830998474603</v>
      </c>
    </row>
    <row r="1054" spans="9:11" ht="18" x14ac:dyDescent="0.25">
      <c r="I1054" s="3">
        <v>1967.5</v>
      </c>
      <c r="J1054" s="3">
        <v>60</v>
      </c>
      <c r="K1054" s="3">
        <v>108.44167465234599</v>
      </c>
    </row>
    <row r="1055" spans="9:11" ht="18" x14ac:dyDescent="0.25">
      <c r="I1055" s="3">
        <v>1967.5833333333301</v>
      </c>
      <c r="J1055" s="3">
        <v>150</v>
      </c>
      <c r="K1055" s="3">
        <v>130.84981725019199</v>
      </c>
    </row>
    <row r="1056" spans="9:11" ht="18" x14ac:dyDescent="0.25">
      <c r="I1056" s="3">
        <v>1967.6666666666599</v>
      </c>
      <c r="J1056" s="3">
        <v>165</v>
      </c>
      <c r="K1056" s="3">
        <v>120.88385452027801</v>
      </c>
    </row>
    <row r="1057" spans="9:11" ht="18" x14ac:dyDescent="0.25">
      <c r="I1057" s="3">
        <v>1967.75</v>
      </c>
      <c r="J1057" s="3">
        <v>159</v>
      </c>
      <c r="K1057" s="3">
        <v>136.16252331148101</v>
      </c>
    </row>
    <row r="1058" spans="9:11" ht="18" x14ac:dyDescent="0.25">
      <c r="I1058" s="3">
        <v>1967.8333333333301</v>
      </c>
      <c r="J1058" s="3">
        <v>166</v>
      </c>
      <c r="K1058" s="3">
        <v>170.337519306811</v>
      </c>
    </row>
    <row r="1059" spans="9:11" ht="18" x14ac:dyDescent="0.25">
      <c r="I1059" s="3">
        <v>1967.9166666666599</v>
      </c>
      <c r="J1059" s="3">
        <v>197</v>
      </c>
      <c r="K1059" s="3">
        <v>189.616770061365</v>
      </c>
    </row>
    <row r="1060" spans="9:11" ht="18" x14ac:dyDescent="0.25">
      <c r="I1060" s="3">
        <v>1968</v>
      </c>
      <c r="J1060" s="3">
        <v>197</v>
      </c>
      <c r="K1060" s="3">
        <v>201.13770462658999</v>
      </c>
    </row>
    <row r="1061" spans="9:11" ht="18" x14ac:dyDescent="0.25">
      <c r="I1061" s="3">
        <v>1968.0833333333301</v>
      </c>
      <c r="J1061" s="3">
        <v>208</v>
      </c>
      <c r="K1061" s="3">
        <v>201.40380050248899</v>
      </c>
    </row>
    <row r="1062" spans="9:11" ht="18" x14ac:dyDescent="0.25">
      <c r="I1062" s="3">
        <v>1968.1666666666599</v>
      </c>
      <c r="J1062" s="3">
        <v>208</v>
      </c>
      <c r="K1062" s="3">
        <v>200.715550383101</v>
      </c>
    </row>
    <row r="1063" spans="9:11" ht="18" x14ac:dyDescent="0.25">
      <c r="I1063" s="3">
        <v>1968.25</v>
      </c>
      <c r="J1063" s="3">
        <v>253</v>
      </c>
      <c r="K1063" s="3">
        <v>219.292459161046</v>
      </c>
    </row>
    <row r="1064" spans="9:11" ht="18" x14ac:dyDescent="0.25">
      <c r="I1064" s="3">
        <v>1968.3333333333301</v>
      </c>
      <c r="J1064" s="3">
        <v>253</v>
      </c>
      <c r="K1064" s="3">
        <v>226.89825242377799</v>
      </c>
    </row>
    <row r="1065" spans="9:11" ht="18" x14ac:dyDescent="0.25">
      <c r="I1065" s="3">
        <v>1968.4166666666599</v>
      </c>
      <c r="J1065" s="3">
        <v>258</v>
      </c>
      <c r="K1065" s="3">
        <v>212.311359959394</v>
      </c>
    </row>
    <row r="1066" spans="9:11" ht="18" x14ac:dyDescent="0.25">
      <c r="I1066" s="3">
        <v>1968.5</v>
      </c>
      <c r="J1066" s="3">
        <v>265</v>
      </c>
      <c r="K1066" s="3">
        <v>195.59709088773101</v>
      </c>
    </row>
    <row r="1067" spans="9:11" ht="18" x14ac:dyDescent="0.25">
      <c r="I1067" s="3">
        <v>1968.5833333333301</v>
      </c>
      <c r="J1067" s="3">
        <v>308</v>
      </c>
      <c r="K1067" s="3">
        <v>168.017868937418</v>
      </c>
    </row>
    <row r="1068" spans="9:11" ht="18" x14ac:dyDescent="0.25">
      <c r="I1068" s="3">
        <v>1968.6666666666599</v>
      </c>
      <c r="J1068" s="3">
        <v>314</v>
      </c>
      <c r="K1068" s="3">
        <v>140.150913073884</v>
      </c>
    </row>
    <row r="1069" spans="9:11" ht="18" x14ac:dyDescent="0.25">
      <c r="I1069" s="3">
        <v>1968.75</v>
      </c>
      <c r="J1069" s="3">
        <v>313</v>
      </c>
      <c r="K1069" s="3">
        <v>117.78778441816</v>
      </c>
    </row>
    <row r="1070" spans="9:11" ht="18" x14ac:dyDescent="0.25">
      <c r="I1070" s="3">
        <v>1968.8333333333301</v>
      </c>
      <c r="J1070" s="3">
        <v>313</v>
      </c>
      <c r="K1070" s="3">
        <v>61.021607752861698</v>
      </c>
    </row>
    <row r="1071" spans="9:11" ht="18" x14ac:dyDescent="0.25">
      <c r="I1071" s="3">
        <v>1968.9166666666599</v>
      </c>
      <c r="J1071" s="3">
        <v>207</v>
      </c>
      <c r="K1071" s="3">
        <v>-20.710421172292101</v>
      </c>
    </row>
    <row r="1072" spans="9:11" ht="18" x14ac:dyDescent="0.25">
      <c r="I1072" s="3">
        <v>1969</v>
      </c>
      <c r="J1072" s="3">
        <v>138</v>
      </c>
      <c r="K1072" s="3">
        <v>-86.7856427869458</v>
      </c>
    </row>
    <row r="1073" spans="9:11" ht="18" x14ac:dyDescent="0.25">
      <c r="I1073" s="3">
        <v>1969.0833333333301</v>
      </c>
      <c r="J1073" s="3">
        <v>-4</v>
      </c>
      <c r="K1073" s="3">
        <v>-137.64108876444399</v>
      </c>
    </row>
    <row r="1074" spans="9:11" ht="18" x14ac:dyDescent="0.25">
      <c r="I1074" s="3">
        <v>1969.1666666666599</v>
      </c>
      <c r="J1074" s="3">
        <v>-61</v>
      </c>
      <c r="K1074" s="3">
        <v>-165.79280170765199</v>
      </c>
    </row>
    <row r="1075" spans="9:11" ht="18" x14ac:dyDescent="0.25">
      <c r="I1075" s="3">
        <v>1969.25</v>
      </c>
      <c r="J1075" s="3">
        <v>-104</v>
      </c>
      <c r="K1075" s="3">
        <v>-169.991040913776</v>
      </c>
    </row>
    <row r="1076" spans="9:11" ht="18" x14ac:dyDescent="0.25">
      <c r="I1076" s="3">
        <v>1969.3333333333301</v>
      </c>
      <c r="J1076" s="3">
        <v>-151</v>
      </c>
      <c r="K1076" s="3">
        <v>-165.03703645733</v>
      </c>
    </row>
    <row r="1077" spans="9:11" ht="18" x14ac:dyDescent="0.25">
      <c r="I1077" s="3">
        <v>1969.4166666666599</v>
      </c>
      <c r="J1077" s="3">
        <v>-151</v>
      </c>
      <c r="K1077" s="3">
        <v>-131.33425349183301</v>
      </c>
    </row>
    <row r="1078" spans="9:11" ht="18" x14ac:dyDescent="0.25">
      <c r="I1078" s="3">
        <v>1969.5</v>
      </c>
      <c r="J1078" s="3">
        <v>-151</v>
      </c>
      <c r="K1078" s="3">
        <v>-81.373337902485801</v>
      </c>
    </row>
    <row r="1079" spans="9:11" ht="18" x14ac:dyDescent="0.25">
      <c r="I1079" s="3">
        <v>1969.5833333333301</v>
      </c>
      <c r="J1079" s="3">
        <v>-140</v>
      </c>
      <c r="K1079" s="3">
        <v>-57.736508663604802</v>
      </c>
    </row>
    <row r="1080" spans="9:11" ht="18" x14ac:dyDescent="0.25">
      <c r="I1080" s="3">
        <v>1969.6666666666599</v>
      </c>
      <c r="J1080" s="3">
        <v>-138</v>
      </c>
      <c r="K1080" s="3">
        <v>-36.073102409429097</v>
      </c>
    </row>
    <row r="1081" spans="9:11" ht="18" x14ac:dyDescent="0.25">
      <c r="I1081" s="3">
        <v>1969.75</v>
      </c>
      <c r="J1081" s="3">
        <v>-104</v>
      </c>
      <c r="K1081" s="3">
        <v>10.709337643144</v>
      </c>
    </row>
    <row r="1082" spans="9:11" ht="18" x14ac:dyDescent="0.25">
      <c r="I1082" s="3">
        <v>1969.8333333333301</v>
      </c>
      <c r="J1082" s="3">
        <v>-88</v>
      </c>
      <c r="K1082" s="3">
        <v>68.955129245996602</v>
      </c>
    </row>
    <row r="1083" spans="9:11" ht="18" x14ac:dyDescent="0.25">
      <c r="I1083" s="3">
        <v>1969.9166666666599</v>
      </c>
      <c r="J1083" s="3">
        <v>-3</v>
      </c>
      <c r="K1083" s="3">
        <v>133.30951120933699</v>
      </c>
    </row>
    <row r="1084" spans="9:11" ht="18" x14ac:dyDescent="0.25">
      <c r="I1084" s="3">
        <v>1970</v>
      </c>
      <c r="J1084" s="3">
        <v>54</v>
      </c>
      <c r="K1084" s="3">
        <v>174.76805652518701</v>
      </c>
    </row>
    <row r="1085" spans="9:11" ht="18" x14ac:dyDescent="0.25">
      <c r="I1085" s="3">
        <v>1970.0833333333301</v>
      </c>
      <c r="J1085" s="3">
        <v>96</v>
      </c>
      <c r="K1085" s="3">
        <v>176.45410699324</v>
      </c>
    </row>
    <row r="1086" spans="9:11" ht="18" x14ac:dyDescent="0.25">
      <c r="I1086" s="3">
        <v>1970.1666666666599</v>
      </c>
      <c r="J1086" s="3">
        <v>147</v>
      </c>
      <c r="K1086" s="3">
        <v>181.84590243808199</v>
      </c>
    </row>
    <row r="1087" spans="9:11" ht="18" x14ac:dyDescent="0.25">
      <c r="I1087" s="3">
        <v>1970.25</v>
      </c>
      <c r="J1087" s="3">
        <v>166</v>
      </c>
      <c r="K1087" s="3">
        <v>205.199880917071</v>
      </c>
    </row>
    <row r="1088" spans="9:11" ht="18" x14ac:dyDescent="0.25">
      <c r="I1088" s="3">
        <v>1970.3333333333301</v>
      </c>
      <c r="J1088" s="3">
        <v>229</v>
      </c>
      <c r="K1088" s="3">
        <v>231.925319933412</v>
      </c>
    </row>
    <row r="1089" spans="9:11" ht="18" x14ac:dyDescent="0.25">
      <c r="I1089" s="3">
        <v>1970.4166666666599</v>
      </c>
      <c r="J1089" s="3">
        <v>258</v>
      </c>
      <c r="K1089" s="3">
        <v>259.77148116786202</v>
      </c>
    </row>
    <row r="1090" spans="9:11" ht="18" x14ac:dyDescent="0.25">
      <c r="I1090" s="3">
        <v>1970.5</v>
      </c>
      <c r="J1090" s="3">
        <v>290</v>
      </c>
      <c r="K1090" s="3">
        <v>256.57232482637198</v>
      </c>
    </row>
    <row r="1091" spans="9:11" ht="18" x14ac:dyDescent="0.25">
      <c r="I1091" s="3">
        <v>1970.5833333333301</v>
      </c>
      <c r="J1091" s="3">
        <v>294</v>
      </c>
      <c r="K1091" s="3">
        <v>222.225003242138</v>
      </c>
    </row>
    <row r="1092" spans="9:11" ht="18" x14ac:dyDescent="0.25">
      <c r="I1092" s="3">
        <v>1970.6666666666599</v>
      </c>
      <c r="J1092" s="3">
        <v>306</v>
      </c>
      <c r="K1092" s="3">
        <v>208.72080633326399</v>
      </c>
    </row>
    <row r="1093" spans="9:11" ht="18" x14ac:dyDescent="0.25">
      <c r="I1093" s="3">
        <v>1970.75</v>
      </c>
      <c r="J1093" s="3">
        <v>327</v>
      </c>
      <c r="K1093" s="3">
        <v>208.55134653850999</v>
      </c>
    </row>
    <row r="1094" spans="9:11" ht="18" x14ac:dyDescent="0.25">
      <c r="I1094" s="3">
        <v>1970.8333333333301</v>
      </c>
      <c r="J1094" s="3">
        <v>327</v>
      </c>
      <c r="K1094" s="3">
        <v>185.11957874988701</v>
      </c>
    </row>
    <row r="1095" spans="9:11" ht="18" x14ac:dyDescent="0.25">
      <c r="I1095" s="3">
        <v>1970.9166666666599</v>
      </c>
      <c r="J1095" s="3">
        <v>312</v>
      </c>
      <c r="K1095" s="3">
        <v>131.90648061961201</v>
      </c>
    </row>
    <row r="1096" spans="9:11" ht="18" x14ac:dyDescent="0.25">
      <c r="I1096" s="3">
        <v>1971</v>
      </c>
      <c r="J1096" s="3">
        <v>189</v>
      </c>
      <c r="K1096" s="3">
        <v>44.562751450597602</v>
      </c>
    </row>
    <row r="1097" spans="9:11" ht="18" x14ac:dyDescent="0.25">
      <c r="I1097" s="3">
        <v>1971.0833333333301</v>
      </c>
      <c r="J1097" s="3">
        <v>32</v>
      </c>
      <c r="K1097" s="3">
        <v>-43.063722370243902</v>
      </c>
    </row>
    <row r="1098" spans="9:11" ht="18" x14ac:dyDescent="0.25">
      <c r="I1098" s="3">
        <v>1971.1666666666599</v>
      </c>
      <c r="J1098" s="3">
        <v>-45</v>
      </c>
      <c r="K1098" s="3">
        <v>-92.542557579602601</v>
      </c>
    </row>
    <row r="1099" spans="9:11" ht="18" x14ac:dyDescent="0.25">
      <c r="I1099" s="3">
        <v>1971.25</v>
      </c>
      <c r="J1099" s="3">
        <v>-102</v>
      </c>
      <c r="K1099" s="3">
        <v>-124.82539499970601</v>
      </c>
    </row>
    <row r="1100" spans="9:11" ht="18" x14ac:dyDescent="0.25">
      <c r="I1100" s="3">
        <v>1971.3333333333301</v>
      </c>
      <c r="J1100" s="3">
        <v>-118</v>
      </c>
      <c r="K1100" s="3">
        <v>-138.51476349368801</v>
      </c>
    </row>
    <row r="1101" spans="9:11" ht="18" x14ac:dyDescent="0.25">
      <c r="I1101" s="3">
        <v>1971.4166666666599</v>
      </c>
      <c r="J1101" s="3">
        <v>-132</v>
      </c>
      <c r="K1101" s="3">
        <v>-116.66263849663601</v>
      </c>
    </row>
    <row r="1102" spans="9:11" ht="18" x14ac:dyDescent="0.25">
      <c r="I1102" s="3">
        <v>1971.5</v>
      </c>
      <c r="J1102" s="3">
        <v>-135</v>
      </c>
      <c r="K1102" s="3">
        <v>-93.695785769264006</v>
      </c>
    </row>
    <row r="1103" spans="9:11" ht="18" x14ac:dyDescent="0.25">
      <c r="I1103" s="3">
        <v>1971.5833333333301</v>
      </c>
      <c r="J1103" s="3">
        <v>-160</v>
      </c>
      <c r="K1103" s="3">
        <v>-82.381331208625298</v>
      </c>
    </row>
    <row r="1104" spans="9:11" ht="18" x14ac:dyDescent="0.25">
      <c r="I1104" s="3">
        <v>1971.6666666666599</v>
      </c>
      <c r="J1104" s="3">
        <v>-160</v>
      </c>
      <c r="K1104" s="3">
        <v>-71.168034664960999</v>
      </c>
    </row>
    <row r="1105" spans="9:11" ht="18" x14ac:dyDescent="0.25">
      <c r="I1105" s="3">
        <v>1971.75</v>
      </c>
      <c r="J1105" s="3">
        <v>-134</v>
      </c>
      <c r="K1105" s="3">
        <v>-65.553264161951503</v>
      </c>
    </row>
    <row r="1106" spans="9:11" ht="18" x14ac:dyDescent="0.25">
      <c r="I1106" s="3">
        <v>1971.8333333333301</v>
      </c>
      <c r="J1106" s="3">
        <v>-125</v>
      </c>
      <c r="K1106" s="3">
        <v>-42.113458257879998</v>
      </c>
    </row>
    <row r="1107" spans="9:11" ht="18" x14ac:dyDescent="0.25">
      <c r="I1107" s="3">
        <v>1971.9166666666599</v>
      </c>
      <c r="J1107" s="3">
        <v>-125</v>
      </c>
      <c r="K1107" s="3">
        <v>4.1822606574369097</v>
      </c>
    </row>
    <row r="1108" spans="9:11" ht="18" x14ac:dyDescent="0.25">
      <c r="I1108" s="3">
        <v>1972</v>
      </c>
      <c r="J1108" s="3">
        <v>-112</v>
      </c>
      <c r="K1108" s="3">
        <v>35.416577887208298</v>
      </c>
    </row>
    <row r="1109" spans="9:11" ht="18" x14ac:dyDescent="0.25">
      <c r="I1109" s="3">
        <v>1972.0833333333301</v>
      </c>
      <c r="J1109" s="3">
        <v>-95</v>
      </c>
      <c r="K1109" s="3">
        <v>56.315654003463003</v>
      </c>
    </row>
    <row r="1110" spans="9:11" ht="18" x14ac:dyDescent="0.25">
      <c r="I1110" s="3">
        <v>1972.1666666666599</v>
      </c>
      <c r="J1110" s="3">
        <v>-83</v>
      </c>
      <c r="K1110" s="3">
        <v>83.628041325988207</v>
      </c>
    </row>
    <row r="1111" spans="9:11" ht="18" x14ac:dyDescent="0.25">
      <c r="I1111" s="3">
        <v>1972.25</v>
      </c>
      <c r="J1111" s="3">
        <v>-74</v>
      </c>
      <c r="K1111" s="3">
        <v>122.271777268305</v>
      </c>
    </row>
    <row r="1112" spans="9:11" ht="18" x14ac:dyDescent="0.25">
      <c r="I1112" s="3">
        <v>1972.3333333333301</v>
      </c>
      <c r="J1112" s="3">
        <v>-40</v>
      </c>
      <c r="K1112" s="3">
        <v>202.41542057705001</v>
      </c>
    </row>
    <row r="1113" spans="9:11" ht="18" x14ac:dyDescent="0.25">
      <c r="I1113" s="3">
        <v>1972.4166666666599</v>
      </c>
      <c r="J1113" s="3">
        <v>187</v>
      </c>
      <c r="K1113" s="3">
        <v>298.64308048766202</v>
      </c>
    </row>
    <row r="1114" spans="9:11" ht="18" x14ac:dyDescent="0.25">
      <c r="I1114" s="3">
        <v>1972.5</v>
      </c>
      <c r="J1114" s="3">
        <v>231</v>
      </c>
      <c r="K1114" s="3">
        <v>340.505677304009</v>
      </c>
    </row>
    <row r="1115" spans="9:11" ht="18" x14ac:dyDescent="0.25">
      <c r="I1115" s="3">
        <v>1972.5833333333301</v>
      </c>
      <c r="J1115" s="3">
        <v>246</v>
      </c>
      <c r="K1115" s="3">
        <v>327.63172085893001</v>
      </c>
    </row>
    <row r="1116" spans="9:11" ht="18" x14ac:dyDescent="0.25">
      <c r="I1116" s="3">
        <v>1972.6666666666599</v>
      </c>
      <c r="J1116" s="3">
        <v>250</v>
      </c>
      <c r="K1116" s="3">
        <v>290.05768156927098</v>
      </c>
    </row>
    <row r="1117" spans="9:11" ht="18" x14ac:dyDescent="0.25">
      <c r="I1117" s="3">
        <v>1972.75</v>
      </c>
      <c r="J1117" s="3">
        <v>269</v>
      </c>
      <c r="K1117" s="3">
        <v>249.333313246324</v>
      </c>
    </row>
    <row r="1118" spans="9:11" ht="18" x14ac:dyDescent="0.25">
      <c r="I1118" s="3">
        <v>1972.8333333333301</v>
      </c>
      <c r="J1118" s="3">
        <v>273</v>
      </c>
      <c r="K1118" s="3">
        <v>224.16604210334</v>
      </c>
    </row>
    <row r="1119" spans="9:11" ht="18" x14ac:dyDescent="0.25">
      <c r="I1119" s="3">
        <v>1972.9166666666599</v>
      </c>
      <c r="J1119" s="3">
        <v>269</v>
      </c>
      <c r="K1119" s="3">
        <v>180.01806986260999</v>
      </c>
    </row>
    <row r="1120" spans="9:11" ht="18" x14ac:dyDescent="0.25">
      <c r="I1120" s="3">
        <v>1973</v>
      </c>
      <c r="J1120" s="3">
        <v>172</v>
      </c>
      <c r="K1120" s="3">
        <v>95.689454099052298</v>
      </c>
    </row>
    <row r="1121" spans="9:11" ht="18" x14ac:dyDescent="0.25">
      <c r="I1121" s="3">
        <v>1973.0833333333301</v>
      </c>
      <c r="J1121" s="3">
        <v>-58</v>
      </c>
      <c r="K1121" s="3">
        <v>16.4382284103472</v>
      </c>
    </row>
    <row r="1122" spans="9:11" ht="18" x14ac:dyDescent="0.25">
      <c r="I1122" s="3">
        <v>1973.1666666666599</v>
      </c>
      <c r="J1122" s="3">
        <v>-106</v>
      </c>
      <c r="K1122" s="3">
        <v>-44.962482443429103</v>
      </c>
    </row>
    <row r="1123" spans="9:11" ht="18" x14ac:dyDescent="0.25">
      <c r="I1123" s="3">
        <v>1973.25</v>
      </c>
      <c r="J1123" s="3">
        <v>-106</v>
      </c>
      <c r="K1123" s="3">
        <v>-95.034981314132196</v>
      </c>
    </row>
    <row r="1124" spans="9:11" ht="18" x14ac:dyDescent="0.25">
      <c r="I1124" s="3">
        <v>1973.3333333333301</v>
      </c>
      <c r="J1124" s="3">
        <v>-106</v>
      </c>
      <c r="K1124" s="3">
        <v>-116.718439885028</v>
      </c>
    </row>
    <row r="1125" spans="9:11" ht="18" x14ac:dyDescent="0.25">
      <c r="I1125" s="3">
        <v>1973.4166666666599</v>
      </c>
      <c r="J1125" s="3">
        <v>-132</v>
      </c>
      <c r="K1125" s="3">
        <v>-127.84179066117299</v>
      </c>
    </row>
    <row r="1126" spans="9:11" ht="18" x14ac:dyDescent="0.25">
      <c r="I1126" s="3">
        <v>1973.5</v>
      </c>
      <c r="J1126" s="3">
        <v>-132</v>
      </c>
      <c r="K1126" s="3">
        <v>-139.62503440568901</v>
      </c>
    </row>
    <row r="1127" spans="9:11" ht="18" x14ac:dyDescent="0.25">
      <c r="I1127" s="3">
        <v>1973.5833333333301</v>
      </c>
      <c r="J1127" s="3">
        <v>-103</v>
      </c>
      <c r="K1127" s="3">
        <v>-134.56324110192401</v>
      </c>
    </row>
    <row r="1128" spans="9:11" ht="18" x14ac:dyDescent="0.25">
      <c r="I1128" s="3">
        <v>1973.6666666666599</v>
      </c>
      <c r="J1128" s="3">
        <v>-98</v>
      </c>
      <c r="K1128" s="3">
        <v>-128.28655102748101</v>
      </c>
    </row>
    <row r="1129" spans="9:11" ht="18" x14ac:dyDescent="0.25">
      <c r="I1129" s="3">
        <v>1973.75</v>
      </c>
      <c r="J1129" s="3">
        <v>-85</v>
      </c>
      <c r="K1129" s="3">
        <v>-119.836673002944</v>
      </c>
    </row>
    <row r="1130" spans="9:11" ht="18" x14ac:dyDescent="0.25">
      <c r="I1130" s="3">
        <v>1973.8333333333301</v>
      </c>
      <c r="J1130" s="3">
        <v>-85</v>
      </c>
      <c r="K1130" s="3">
        <v>-87.770661706732596</v>
      </c>
    </row>
    <row r="1131" spans="9:11" ht="18" x14ac:dyDescent="0.25">
      <c r="I1131" s="3">
        <v>1973.9166666666599</v>
      </c>
      <c r="J1131" s="3">
        <v>-45</v>
      </c>
      <c r="K1131" s="3">
        <v>-50.682423822651501</v>
      </c>
    </row>
    <row r="1132" spans="9:11" ht="18" x14ac:dyDescent="0.25">
      <c r="I1132" s="3">
        <v>1974</v>
      </c>
      <c r="J1132" s="3">
        <v>-10</v>
      </c>
      <c r="K1132" s="3">
        <v>-10.385250471372499</v>
      </c>
    </row>
    <row r="1133" spans="9:11" ht="18" x14ac:dyDescent="0.25">
      <c r="I1133" s="3">
        <v>1974.0833333333301</v>
      </c>
      <c r="J1133" s="3">
        <v>14</v>
      </c>
      <c r="K1133" s="3">
        <v>37.686250013271597</v>
      </c>
    </row>
    <row r="1134" spans="9:11" ht="18" x14ac:dyDescent="0.25">
      <c r="I1134" s="3">
        <v>1974.1666666666599</v>
      </c>
      <c r="J1134" s="3">
        <v>29</v>
      </c>
      <c r="K1134" s="3">
        <v>62.2759140737124</v>
      </c>
    </row>
    <row r="1135" spans="9:11" ht="18" x14ac:dyDescent="0.25">
      <c r="I1135" s="3">
        <v>1974.25</v>
      </c>
      <c r="J1135" s="3">
        <v>31</v>
      </c>
      <c r="K1135" s="3">
        <v>83.366256159885907</v>
      </c>
    </row>
    <row r="1136" spans="9:11" ht="18" x14ac:dyDescent="0.25">
      <c r="I1136" s="3">
        <v>1974.3333333333301</v>
      </c>
      <c r="J1136" s="3">
        <v>129</v>
      </c>
      <c r="K1136" s="3">
        <v>145.012834441546</v>
      </c>
    </row>
    <row r="1137" spans="9:11" ht="18" x14ac:dyDescent="0.25">
      <c r="I1137" s="3">
        <v>1974.4166666666599</v>
      </c>
      <c r="J1137" s="3">
        <v>225</v>
      </c>
      <c r="K1137" s="3">
        <v>227.53208847144401</v>
      </c>
    </row>
    <row r="1138" spans="9:11" ht="18" x14ac:dyDescent="0.25">
      <c r="I1138" s="3">
        <v>1974.5</v>
      </c>
      <c r="J1138" s="3">
        <v>282</v>
      </c>
      <c r="K1138" s="3">
        <v>299.71388027477701</v>
      </c>
    </row>
    <row r="1139" spans="9:11" ht="18" x14ac:dyDescent="0.25">
      <c r="I1139" s="3">
        <v>1974.5833333333301</v>
      </c>
      <c r="J1139" s="3">
        <v>289</v>
      </c>
      <c r="K1139" s="3">
        <v>332.51738854589303</v>
      </c>
    </row>
    <row r="1140" spans="9:11" ht="18" x14ac:dyDescent="0.25">
      <c r="I1140" s="3">
        <v>1974.6666666666599</v>
      </c>
      <c r="J1140" s="3">
        <v>298</v>
      </c>
      <c r="K1140" s="3">
        <v>311.05825460093098</v>
      </c>
    </row>
    <row r="1141" spans="9:11" ht="18" x14ac:dyDescent="0.25">
      <c r="I1141" s="3">
        <v>1974.75</v>
      </c>
      <c r="J1141" s="3">
        <v>298</v>
      </c>
      <c r="K1141" s="3">
        <v>286.362986142208</v>
      </c>
    </row>
    <row r="1142" spans="9:11" ht="18" x14ac:dyDescent="0.25">
      <c r="I1142" s="3">
        <v>1974.8333333333301</v>
      </c>
      <c r="J1142" s="3">
        <v>292</v>
      </c>
      <c r="K1142" s="3">
        <v>282.58175493863502</v>
      </c>
    </row>
    <row r="1143" spans="9:11" ht="18" x14ac:dyDescent="0.25">
      <c r="I1143" s="3">
        <v>1974.9166666666599</v>
      </c>
      <c r="J1143" s="3">
        <v>292</v>
      </c>
      <c r="K1143" s="3">
        <v>262.229153582511</v>
      </c>
    </row>
    <row r="1144" spans="9:11" ht="18" x14ac:dyDescent="0.25">
      <c r="I1144" s="3">
        <v>1975</v>
      </c>
      <c r="J1144" s="3">
        <v>300</v>
      </c>
      <c r="K1144" s="3">
        <v>224.41722085602299</v>
      </c>
    </row>
    <row r="1145" spans="9:11" ht="18" x14ac:dyDescent="0.25">
      <c r="I1145" s="3">
        <v>1975.0833333333301</v>
      </c>
      <c r="J1145" s="3">
        <v>300</v>
      </c>
      <c r="K1145" s="3">
        <v>176.07333109142201</v>
      </c>
    </row>
    <row r="1146" spans="9:11" ht="18" x14ac:dyDescent="0.25">
      <c r="I1146" s="3">
        <v>1975.1666666666599</v>
      </c>
      <c r="J1146" s="3">
        <v>240</v>
      </c>
      <c r="K1146" s="3">
        <v>112.32263817527701</v>
      </c>
    </row>
    <row r="1147" spans="9:11" ht="18" x14ac:dyDescent="0.25">
      <c r="I1147" s="3">
        <v>1975.25</v>
      </c>
      <c r="J1147" s="3">
        <v>85</v>
      </c>
      <c r="K1147" s="3">
        <v>60.3465791932474</v>
      </c>
    </row>
    <row r="1148" spans="9:11" ht="18" x14ac:dyDescent="0.25">
      <c r="I1148" s="3">
        <v>1975.3333333333301</v>
      </c>
      <c r="J1148" s="3">
        <v>-50</v>
      </c>
      <c r="K1148" s="3">
        <v>16.1387466655267</v>
      </c>
    </row>
    <row r="1149" spans="9:11" ht="18" x14ac:dyDescent="0.25">
      <c r="I1149" s="3">
        <v>1975.4166666666599</v>
      </c>
      <c r="J1149" s="3">
        <v>-93</v>
      </c>
      <c r="K1149" s="3">
        <v>-44.5847809071238</v>
      </c>
    </row>
    <row r="1150" spans="9:11" ht="18" x14ac:dyDescent="0.25">
      <c r="I1150" s="3">
        <v>1975.5</v>
      </c>
      <c r="J1150" s="3">
        <v>-170</v>
      </c>
      <c r="K1150" s="3">
        <v>-100.16861288817999</v>
      </c>
    </row>
    <row r="1151" spans="9:11" ht="18" x14ac:dyDescent="0.25">
      <c r="I1151" s="3">
        <v>1975.5833333333301</v>
      </c>
      <c r="J1151" s="3">
        <v>-170</v>
      </c>
      <c r="K1151" s="3">
        <v>-141.332431862134</v>
      </c>
    </row>
    <row r="1152" spans="9:11" ht="18" x14ac:dyDescent="0.25">
      <c r="I1152" s="3">
        <v>1975.6666666666599</v>
      </c>
      <c r="J1152" s="3">
        <v>-153</v>
      </c>
      <c r="K1152" s="3">
        <v>-166.61266184184501</v>
      </c>
    </row>
    <row r="1153" spans="9:11" ht="18" x14ac:dyDescent="0.25">
      <c r="I1153" s="3">
        <v>1975.75</v>
      </c>
      <c r="J1153" s="3">
        <v>-152</v>
      </c>
      <c r="K1153" s="3">
        <v>-158.44011337378501</v>
      </c>
    </row>
    <row r="1154" spans="9:11" ht="18" x14ac:dyDescent="0.25">
      <c r="I1154" s="3">
        <v>1975.8333333333301</v>
      </c>
      <c r="J1154" s="3">
        <v>-150</v>
      </c>
      <c r="K1154" s="3">
        <v>-148.799395709696</v>
      </c>
    </row>
    <row r="1155" spans="9:11" ht="18" x14ac:dyDescent="0.25">
      <c r="I1155" s="3">
        <v>1975.9166666666599</v>
      </c>
      <c r="J1155" s="3">
        <v>-150</v>
      </c>
      <c r="K1155" s="3">
        <v>-160.71025147510599</v>
      </c>
    </row>
    <row r="1156" spans="9:11" ht="18" x14ac:dyDescent="0.25">
      <c r="I1156" s="3">
        <v>1976</v>
      </c>
      <c r="J1156" s="3">
        <v>-150</v>
      </c>
      <c r="K1156" s="3">
        <v>-160.82658303988501</v>
      </c>
    </row>
    <row r="1157" spans="9:11" ht="18" x14ac:dyDescent="0.25">
      <c r="I1157" s="3">
        <v>1976.0833333333301</v>
      </c>
      <c r="J1157" s="3">
        <v>-129</v>
      </c>
      <c r="K1157" s="3">
        <v>-151.04102765007801</v>
      </c>
    </row>
    <row r="1158" spans="9:11" ht="18" x14ac:dyDescent="0.25">
      <c r="I1158" s="3">
        <v>1976.1666666666599</v>
      </c>
      <c r="J1158" s="3">
        <v>-124</v>
      </c>
      <c r="K1158" s="3">
        <v>-143.128604371845</v>
      </c>
    </row>
    <row r="1159" spans="9:11" ht="18" x14ac:dyDescent="0.25">
      <c r="I1159" s="3">
        <v>1976.25</v>
      </c>
      <c r="J1159" s="3">
        <v>-123</v>
      </c>
      <c r="K1159" s="3">
        <v>-114.483880483614</v>
      </c>
    </row>
    <row r="1160" spans="9:11" ht="18" x14ac:dyDescent="0.25">
      <c r="I1160" s="3">
        <v>1976.3333333333301</v>
      </c>
      <c r="J1160" s="3">
        <v>-99</v>
      </c>
      <c r="K1160" s="3">
        <v>-58.3361046503206</v>
      </c>
    </row>
    <row r="1161" spans="9:11" ht="18" x14ac:dyDescent="0.25">
      <c r="I1161" s="3">
        <v>1976.4166666666599</v>
      </c>
      <c r="J1161" s="3">
        <v>-30</v>
      </c>
      <c r="K1161" s="3">
        <v>39.1207883894429</v>
      </c>
    </row>
    <row r="1162" spans="9:11" ht="18" x14ac:dyDescent="0.25">
      <c r="I1162" s="3">
        <v>1976.5</v>
      </c>
      <c r="J1162" s="3">
        <v>146</v>
      </c>
      <c r="K1162" s="3">
        <v>174.90406858225899</v>
      </c>
    </row>
    <row r="1163" spans="9:11" ht="18" x14ac:dyDescent="0.25">
      <c r="I1163" s="3">
        <v>1976.5833333333301</v>
      </c>
      <c r="J1163" s="3">
        <v>220</v>
      </c>
      <c r="K1163" s="3">
        <v>282.18313721257402</v>
      </c>
    </row>
    <row r="1164" spans="9:11" ht="18" x14ac:dyDescent="0.25">
      <c r="I1164" s="3">
        <v>1976.6666666666599</v>
      </c>
      <c r="J1164" s="3">
        <v>220</v>
      </c>
      <c r="K1164" s="3">
        <v>334.147675680926</v>
      </c>
    </row>
    <row r="1165" spans="9:11" ht="18" x14ac:dyDescent="0.25">
      <c r="I1165" s="3">
        <v>1976.75</v>
      </c>
      <c r="J1165" s="3">
        <v>248</v>
      </c>
      <c r="K1165" s="3">
        <v>355.41318729001102</v>
      </c>
    </row>
    <row r="1166" spans="9:11" ht="18" x14ac:dyDescent="0.25">
      <c r="I1166" s="3">
        <v>1976.8333333333301</v>
      </c>
      <c r="J1166" s="3">
        <v>230</v>
      </c>
      <c r="K1166" s="3">
        <v>342.26928193240002</v>
      </c>
    </row>
    <row r="1167" spans="9:11" ht="18" x14ac:dyDescent="0.25">
      <c r="I1167" s="3">
        <v>1976.9166666666599</v>
      </c>
      <c r="J1167" s="3">
        <v>257</v>
      </c>
      <c r="K1167" s="3">
        <v>308.31956564488701</v>
      </c>
    </row>
    <row r="1168" spans="9:11" ht="18" x14ac:dyDescent="0.25">
      <c r="I1168" s="3">
        <v>1977</v>
      </c>
      <c r="J1168" s="3">
        <v>257</v>
      </c>
      <c r="K1168" s="3">
        <v>274.536458456525</v>
      </c>
    </row>
    <row r="1169" spans="9:11" ht="18" x14ac:dyDescent="0.25">
      <c r="I1169" s="3">
        <v>1977.0833333333301</v>
      </c>
      <c r="J1169" s="3">
        <v>268</v>
      </c>
      <c r="K1169" s="3">
        <v>231.88005322623201</v>
      </c>
    </row>
    <row r="1170" spans="9:11" ht="18" x14ac:dyDescent="0.25">
      <c r="I1170" s="3">
        <v>1977.1666666666599</v>
      </c>
      <c r="J1170" s="3">
        <v>270</v>
      </c>
      <c r="K1170" s="3">
        <v>205.67052473645799</v>
      </c>
    </row>
    <row r="1171" spans="9:11" ht="18" x14ac:dyDescent="0.25">
      <c r="I1171" s="3">
        <v>1977.25</v>
      </c>
      <c r="J1171" s="3">
        <v>275</v>
      </c>
      <c r="K1171" s="3">
        <v>215.31567435502799</v>
      </c>
    </row>
    <row r="1172" spans="9:11" ht="18" x14ac:dyDescent="0.25">
      <c r="I1172" s="3">
        <v>1977.3333333333301</v>
      </c>
      <c r="J1172" s="3">
        <v>280</v>
      </c>
      <c r="K1172" s="3">
        <v>225.86849183377399</v>
      </c>
    </row>
    <row r="1173" spans="9:11" ht="18" x14ac:dyDescent="0.25">
      <c r="I1173" s="3">
        <v>1977.4166666666599</v>
      </c>
      <c r="J1173" s="3">
        <v>280</v>
      </c>
      <c r="K1173" s="3">
        <v>217.39019940817201</v>
      </c>
    </row>
    <row r="1174" spans="9:11" ht="18" x14ac:dyDescent="0.25">
      <c r="I1174" s="3">
        <v>1977.5</v>
      </c>
      <c r="J1174" s="3">
        <v>266</v>
      </c>
      <c r="K1174" s="3">
        <v>171.90356646620299</v>
      </c>
    </row>
    <row r="1175" spans="9:11" ht="18" x14ac:dyDescent="0.25">
      <c r="I1175" s="3">
        <v>1977.5833333333301</v>
      </c>
      <c r="J1175" s="3">
        <v>140</v>
      </c>
      <c r="K1175" s="3">
        <v>80.951168201880506</v>
      </c>
    </row>
    <row r="1176" spans="9:11" ht="18" x14ac:dyDescent="0.25">
      <c r="I1176" s="3">
        <v>1977.6666666666599</v>
      </c>
      <c r="J1176" s="3">
        <v>91</v>
      </c>
      <c r="K1176" s="3">
        <v>3.5093598275357798</v>
      </c>
    </row>
    <row r="1177" spans="9:11" ht="18" x14ac:dyDescent="0.25">
      <c r="I1177" s="3">
        <v>1977.75</v>
      </c>
      <c r="J1177" s="3">
        <v>-44</v>
      </c>
      <c r="K1177" s="3">
        <v>-32.337015116009297</v>
      </c>
    </row>
    <row r="1178" spans="9:11" ht="18" x14ac:dyDescent="0.25">
      <c r="I1178" s="3">
        <v>1977.8333333333301</v>
      </c>
      <c r="J1178" s="3">
        <v>-88</v>
      </c>
      <c r="K1178" s="3">
        <v>-64.717700371133603</v>
      </c>
    </row>
    <row r="1179" spans="9:11" ht="18" x14ac:dyDescent="0.25">
      <c r="I1179" s="3">
        <v>1977.9166666666599</v>
      </c>
      <c r="J1179" s="3">
        <v>-120</v>
      </c>
      <c r="K1179" s="3">
        <v>-101.114954039922</v>
      </c>
    </row>
    <row r="1180" spans="9:11" ht="18" x14ac:dyDescent="0.25">
      <c r="I1180" s="3">
        <v>1978</v>
      </c>
      <c r="J1180" s="3">
        <v>-170</v>
      </c>
      <c r="K1180" s="3">
        <v>-138.019156043614</v>
      </c>
    </row>
    <row r="1181" spans="9:11" ht="18" x14ac:dyDescent="0.25">
      <c r="I1181" s="3">
        <v>1978.0833333333301</v>
      </c>
      <c r="J1181" s="3">
        <v>-170</v>
      </c>
      <c r="K1181" s="3">
        <v>-172.432839032272</v>
      </c>
    </row>
    <row r="1182" spans="9:11" ht="18" x14ac:dyDescent="0.25">
      <c r="I1182" s="3">
        <v>1978.1666666666599</v>
      </c>
      <c r="J1182" s="3">
        <v>-149</v>
      </c>
      <c r="K1182" s="3">
        <v>-180.68004742943501</v>
      </c>
    </row>
    <row r="1183" spans="9:11" ht="18" x14ac:dyDescent="0.25">
      <c r="I1183" s="3">
        <v>1978.25</v>
      </c>
      <c r="J1183" s="3">
        <v>-128</v>
      </c>
      <c r="K1183" s="3">
        <v>-181.01309117782401</v>
      </c>
    </row>
    <row r="1184" spans="9:11" ht="18" x14ac:dyDescent="0.25">
      <c r="I1184" s="3">
        <v>1978.3333333333301</v>
      </c>
      <c r="J1184" s="3">
        <v>-115</v>
      </c>
      <c r="K1184" s="3">
        <v>-190.804945331954</v>
      </c>
    </row>
    <row r="1185" spans="9:11" ht="18" x14ac:dyDescent="0.25">
      <c r="I1185" s="3">
        <v>1978.4166666666599</v>
      </c>
      <c r="J1185" s="3">
        <v>-114</v>
      </c>
      <c r="K1185" s="3">
        <v>-174.53427401303099</v>
      </c>
    </row>
    <row r="1186" spans="9:11" ht="18" x14ac:dyDescent="0.25">
      <c r="I1186" s="3">
        <v>1978.5</v>
      </c>
      <c r="J1186" s="3">
        <v>-100</v>
      </c>
      <c r="K1186" s="3">
        <v>-133.18402063870701</v>
      </c>
    </row>
    <row r="1187" spans="9:11" ht="18" x14ac:dyDescent="0.25">
      <c r="I1187" s="3">
        <v>1978.5833333333301</v>
      </c>
      <c r="J1187" s="3">
        <v>-85</v>
      </c>
      <c r="K1187" s="3">
        <v>-86.465179284228498</v>
      </c>
    </row>
    <row r="1188" spans="9:11" ht="18" x14ac:dyDescent="0.25">
      <c r="I1188" s="3">
        <v>1978.6666666666599</v>
      </c>
      <c r="J1188" s="3">
        <v>-85</v>
      </c>
      <c r="K1188" s="3">
        <v>-23.871285791384601</v>
      </c>
    </row>
    <row r="1189" spans="9:11" ht="18" x14ac:dyDescent="0.25">
      <c r="I1189" s="3">
        <v>1978.75</v>
      </c>
      <c r="J1189" s="3">
        <v>-75</v>
      </c>
      <c r="K1189" s="3">
        <v>35.318950072679897</v>
      </c>
    </row>
    <row r="1190" spans="9:11" ht="18" x14ac:dyDescent="0.25">
      <c r="I1190" s="3">
        <v>1978.8333333333301</v>
      </c>
      <c r="J1190" s="3">
        <v>-55</v>
      </c>
      <c r="K1190" s="3">
        <v>78.484303667874201</v>
      </c>
    </row>
    <row r="1191" spans="9:11" ht="18" x14ac:dyDescent="0.25">
      <c r="I1191" s="3">
        <v>1978.9166666666599</v>
      </c>
      <c r="J1191" s="3">
        <v>-48</v>
      </c>
      <c r="K1191" s="3">
        <v>123.91512182103401</v>
      </c>
    </row>
    <row r="1192" spans="9:11" ht="18" x14ac:dyDescent="0.25">
      <c r="I1192" s="3">
        <v>1979</v>
      </c>
      <c r="J1192" s="3">
        <v>-37</v>
      </c>
      <c r="K1192" s="3">
        <v>155.554385477686</v>
      </c>
    </row>
    <row r="1193" spans="9:11" ht="18" x14ac:dyDescent="0.25">
      <c r="I1193" s="3">
        <v>1979.0833333333301</v>
      </c>
      <c r="J1193" s="3">
        <v>-37</v>
      </c>
      <c r="K1193" s="3">
        <v>172.14095067117</v>
      </c>
    </row>
    <row r="1194" spans="9:11" ht="18" x14ac:dyDescent="0.25">
      <c r="I1194" s="3">
        <v>1979.1666666666599</v>
      </c>
      <c r="J1194" s="3">
        <v>-37</v>
      </c>
      <c r="K1194" s="3">
        <v>202.522236656291</v>
      </c>
    </row>
    <row r="1195" spans="9:11" ht="18" x14ac:dyDescent="0.25">
      <c r="I1195" s="3">
        <v>1979.25</v>
      </c>
      <c r="J1195" s="3">
        <v>75</v>
      </c>
      <c r="K1195" s="3">
        <v>243.39578869050399</v>
      </c>
    </row>
    <row r="1196" spans="9:11" ht="18" x14ac:dyDescent="0.25">
      <c r="I1196" s="3">
        <v>1979.3333333333301</v>
      </c>
      <c r="J1196" s="3">
        <v>147</v>
      </c>
      <c r="K1196" s="3">
        <v>300.01499802859001</v>
      </c>
    </row>
    <row r="1197" spans="9:11" ht="18" x14ac:dyDescent="0.25">
      <c r="I1197" s="3">
        <v>1979.4166666666599</v>
      </c>
      <c r="J1197" s="3">
        <v>236</v>
      </c>
      <c r="K1197" s="3">
        <v>364.41389733000801</v>
      </c>
    </row>
    <row r="1198" spans="9:11" ht="18" x14ac:dyDescent="0.25">
      <c r="I1198" s="3">
        <v>1979.5</v>
      </c>
      <c r="J1198" s="3">
        <v>256</v>
      </c>
      <c r="K1198" s="3">
        <v>374.02519927449202</v>
      </c>
    </row>
    <row r="1199" spans="9:11" ht="18" x14ac:dyDescent="0.25">
      <c r="I1199" s="3">
        <v>1979.5833333333301</v>
      </c>
      <c r="J1199" s="3">
        <v>264</v>
      </c>
      <c r="K1199" s="3">
        <v>324.56189991132402</v>
      </c>
    </row>
    <row r="1200" spans="9:11" ht="18" x14ac:dyDescent="0.25">
      <c r="I1200" s="3">
        <v>1979.6666666666599</v>
      </c>
      <c r="J1200" s="3">
        <v>274</v>
      </c>
      <c r="K1200" s="3">
        <v>273.03231955676</v>
      </c>
    </row>
    <row r="1201" spans="9:11" ht="18" x14ac:dyDescent="0.25">
      <c r="I1201" s="3">
        <v>1979.75</v>
      </c>
      <c r="J1201" s="3">
        <v>280</v>
      </c>
      <c r="K1201" s="3">
        <v>240.46934430779899</v>
      </c>
    </row>
    <row r="1202" spans="9:11" ht="18" x14ac:dyDescent="0.25">
      <c r="I1202" s="3">
        <v>1979.8333333333301</v>
      </c>
      <c r="J1202" s="3">
        <v>274</v>
      </c>
      <c r="K1202" s="3">
        <v>228.397157138198</v>
      </c>
    </row>
    <row r="1203" spans="9:11" ht="18" x14ac:dyDescent="0.25">
      <c r="I1203" s="3">
        <v>1979.9166666666599</v>
      </c>
      <c r="J1203" s="3">
        <v>271</v>
      </c>
      <c r="K1203" s="3">
        <v>208.84038640567101</v>
      </c>
    </row>
    <row r="1204" spans="9:11" ht="18" x14ac:dyDescent="0.25">
      <c r="I1204" s="3">
        <v>1980</v>
      </c>
      <c r="J1204" s="3">
        <v>155</v>
      </c>
      <c r="K1204" s="3">
        <v>140.821147744972</v>
      </c>
    </row>
    <row r="1205" spans="9:11" ht="18" x14ac:dyDescent="0.25">
      <c r="I1205" s="3">
        <v>1980.0833333333301</v>
      </c>
      <c r="J1205" s="3">
        <v>-27</v>
      </c>
      <c r="K1205" s="3">
        <v>55.964513545137201</v>
      </c>
    </row>
    <row r="1206" spans="9:11" ht="18" x14ac:dyDescent="0.25">
      <c r="I1206" s="3">
        <v>1980.1666666666599</v>
      </c>
      <c r="J1206" s="3">
        <v>-34</v>
      </c>
      <c r="K1206" s="3">
        <v>-9.9693679719285004</v>
      </c>
    </row>
    <row r="1207" spans="9:11" ht="18" x14ac:dyDescent="0.25">
      <c r="I1207" s="3">
        <v>1980.25</v>
      </c>
      <c r="J1207" s="3">
        <v>-94</v>
      </c>
      <c r="K1207" s="3">
        <v>-69.401039875320706</v>
      </c>
    </row>
    <row r="1208" spans="9:11" ht="18" x14ac:dyDescent="0.25">
      <c r="I1208" s="3">
        <v>1980.3333333333301</v>
      </c>
      <c r="J1208" s="3">
        <v>-117</v>
      </c>
      <c r="K1208" s="3">
        <v>-111.17758313303401</v>
      </c>
    </row>
    <row r="1209" spans="9:11" ht="18" x14ac:dyDescent="0.25">
      <c r="I1209" s="3">
        <v>1980.4166666666599</v>
      </c>
      <c r="J1209" s="3">
        <v>-124</v>
      </c>
      <c r="K1209" s="3">
        <v>-135.30384216514301</v>
      </c>
    </row>
    <row r="1210" spans="9:11" ht="18" x14ac:dyDescent="0.25">
      <c r="I1210" s="3">
        <v>1980.5</v>
      </c>
      <c r="J1210" s="3">
        <v>-153</v>
      </c>
      <c r="K1210" s="3">
        <v>-161.407050373392</v>
      </c>
    </row>
    <row r="1211" spans="9:11" ht="18" x14ac:dyDescent="0.25">
      <c r="I1211" s="3">
        <v>1980.5833333333301</v>
      </c>
      <c r="J1211" s="3">
        <v>-153</v>
      </c>
      <c r="K1211" s="3">
        <v>-165.91137430769999</v>
      </c>
    </row>
    <row r="1212" spans="9:11" ht="18" x14ac:dyDescent="0.25">
      <c r="I1212" s="3">
        <v>1980.6666666666599</v>
      </c>
      <c r="J1212" s="3">
        <v>-151</v>
      </c>
      <c r="K1212" s="3">
        <v>-145.92385263102199</v>
      </c>
    </row>
    <row r="1213" spans="9:11" ht="18" x14ac:dyDescent="0.25">
      <c r="I1213" s="3">
        <v>1980.75</v>
      </c>
      <c r="J1213" s="3">
        <v>-131</v>
      </c>
      <c r="K1213" s="3">
        <v>-129.95864138952001</v>
      </c>
    </row>
    <row r="1214" spans="9:11" ht="18" x14ac:dyDescent="0.25">
      <c r="I1214" s="3">
        <v>1980.8333333333301</v>
      </c>
      <c r="J1214" s="3">
        <v>-125</v>
      </c>
      <c r="K1214" s="3">
        <v>-116.58646968455</v>
      </c>
    </row>
    <row r="1215" spans="9:11" ht="18" x14ac:dyDescent="0.25">
      <c r="I1215" s="3">
        <v>1980.9166666666599</v>
      </c>
      <c r="J1215" s="3">
        <v>-111</v>
      </c>
      <c r="K1215" s="3">
        <v>-118.75793016548199</v>
      </c>
    </row>
    <row r="1216" spans="9:11" ht="18" x14ac:dyDescent="0.25">
      <c r="I1216" s="3">
        <v>1981</v>
      </c>
      <c r="J1216" s="3">
        <v>-107</v>
      </c>
      <c r="K1216" s="3">
        <v>-143.968753621269</v>
      </c>
    </row>
    <row r="1217" spans="9:11" ht="18" x14ac:dyDescent="0.25">
      <c r="I1217" s="3">
        <v>1981.0833333333301</v>
      </c>
      <c r="J1217" s="3">
        <v>-101</v>
      </c>
      <c r="K1217" s="3">
        <v>-157.81284881723599</v>
      </c>
    </row>
    <row r="1218" spans="9:11" ht="18" x14ac:dyDescent="0.25">
      <c r="I1218" s="3">
        <v>1981.1666666666599</v>
      </c>
      <c r="J1218" s="3">
        <v>-91</v>
      </c>
      <c r="K1218" s="3">
        <v>-156.602306669222</v>
      </c>
    </row>
    <row r="1219" spans="9:11" ht="18" x14ac:dyDescent="0.25">
      <c r="I1219" s="3">
        <v>1981.25</v>
      </c>
      <c r="J1219" s="3">
        <v>-79</v>
      </c>
      <c r="K1219" s="3">
        <v>-131.765331077876</v>
      </c>
    </row>
    <row r="1220" spans="9:11" ht="18" x14ac:dyDescent="0.25">
      <c r="I1220" s="3">
        <v>1981.3333333333301</v>
      </c>
      <c r="J1220" s="3">
        <v>-60</v>
      </c>
      <c r="K1220" s="3">
        <v>-38.595363246489697</v>
      </c>
    </row>
    <row r="1221" spans="9:11" ht="18" x14ac:dyDescent="0.25">
      <c r="I1221" s="3">
        <v>1981.4166666666599</v>
      </c>
      <c r="J1221" s="3">
        <v>136</v>
      </c>
      <c r="K1221" s="3">
        <v>100.046108585062</v>
      </c>
    </row>
    <row r="1222" spans="9:11" ht="18" x14ac:dyDescent="0.25">
      <c r="I1222" s="3">
        <v>1981.5</v>
      </c>
      <c r="J1222" s="3">
        <v>241</v>
      </c>
      <c r="K1222" s="3">
        <v>221.31143305547999</v>
      </c>
    </row>
    <row r="1223" spans="9:11" ht="18" x14ac:dyDescent="0.25">
      <c r="I1223" s="3">
        <v>1981.5833333333301</v>
      </c>
      <c r="J1223" s="3">
        <v>269</v>
      </c>
      <c r="K1223" s="3">
        <v>297.73634917609201</v>
      </c>
    </row>
    <row r="1224" spans="9:11" ht="18" x14ac:dyDescent="0.25">
      <c r="I1224" s="3">
        <v>1981.6666666666599</v>
      </c>
      <c r="J1224" s="3">
        <v>278</v>
      </c>
      <c r="K1224" s="3">
        <v>318.07538632750101</v>
      </c>
    </row>
    <row r="1225" spans="9:11" ht="18" x14ac:dyDescent="0.25">
      <c r="I1225" s="3">
        <v>1981.75</v>
      </c>
      <c r="J1225" s="3">
        <v>281</v>
      </c>
      <c r="K1225" s="3">
        <v>318.00759438778402</v>
      </c>
    </row>
    <row r="1226" spans="9:11" ht="18" x14ac:dyDescent="0.25">
      <c r="I1226" s="3">
        <v>1981.8333333333301</v>
      </c>
      <c r="J1226" s="3">
        <v>289</v>
      </c>
      <c r="K1226" s="3">
        <v>340.03892830055798</v>
      </c>
    </row>
    <row r="1227" spans="9:11" ht="18" x14ac:dyDescent="0.25">
      <c r="I1227" s="3">
        <v>1981.9166666666599</v>
      </c>
      <c r="J1227" s="3">
        <v>295</v>
      </c>
      <c r="K1227" s="3">
        <v>351.52356741832301</v>
      </c>
    </row>
    <row r="1228" spans="9:11" ht="18" x14ac:dyDescent="0.25">
      <c r="I1228" s="3">
        <v>1982</v>
      </c>
      <c r="J1228" s="3">
        <v>302</v>
      </c>
      <c r="K1228" s="3">
        <v>332.65121418346598</v>
      </c>
    </row>
    <row r="1229" spans="9:11" ht="18" x14ac:dyDescent="0.25">
      <c r="I1229" s="3">
        <v>1982.0833333333301</v>
      </c>
      <c r="J1229" s="3">
        <v>302</v>
      </c>
      <c r="K1229" s="3">
        <v>307.11452745136802</v>
      </c>
    </row>
    <row r="1230" spans="9:11" ht="18" x14ac:dyDescent="0.25">
      <c r="I1230" s="3">
        <v>1982.1666666666599</v>
      </c>
      <c r="J1230" s="3">
        <v>310</v>
      </c>
      <c r="K1230" s="3">
        <v>277.04809895383102</v>
      </c>
    </row>
    <row r="1231" spans="9:11" ht="18" x14ac:dyDescent="0.25">
      <c r="I1231" s="3">
        <v>1982.25</v>
      </c>
      <c r="J1231" s="3">
        <v>310</v>
      </c>
      <c r="K1231" s="3">
        <v>260.72396558663399</v>
      </c>
    </row>
    <row r="1232" spans="9:11" ht="18" x14ac:dyDescent="0.25">
      <c r="I1232" s="3">
        <v>1982.3333333333301</v>
      </c>
      <c r="J1232" s="3">
        <v>310</v>
      </c>
      <c r="K1232" s="3">
        <v>265.054616523422</v>
      </c>
    </row>
    <row r="1233" spans="9:11" ht="18" x14ac:dyDescent="0.25">
      <c r="I1233" s="3">
        <v>1982.4166666666599</v>
      </c>
      <c r="J1233" s="3">
        <v>291</v>
      </c>
      <c r="K1233" s="3">
        <v>240.180052096992</v>
      </c>
    </row>
    <row r="1234" spans="9:11" ht="18" x14ac:dyDescent="0.25">
      <c r="I1234" s="3">
        <v>1982.5</v>
      </c>
      <c r="J1234" s="3">
        <v>283</v>
      </c>
      <c r="K1234" s="3">
        <v>171.89490270864599</v>
      </c>
    </row>
    <row r="1235" spans="9:11" ht="18" x14ac:dyDescent="0.25">
      <c r="I1235" s="3">
        <v>1982.5833333333301</v>
      </c>
      <c r="J1235" s="3">
        <v>145</v>
      </c>
      <c r="K1235" s="3">
        <v>82.799372028697803</v>
      </c>
    </row>
    <row r="1236" spans="9:11" ht="18" x14ac:dyDescent="0.25">
      <c r="I1236" s="3">
        <v>1982.6666666666599</v>
      </c>
      <c r="J1236" s="3">
        <v>-72</v>
      </c>
      <c r="K1236" s="3">
        <v>-15.2855744762001</v>
      </c>
    </row>
    <row r="1237" spans="9:11" ht="18" x14ac:dyDescent="0.25">
      <c r="I1237" s="3">
        <v>1982.75</v>
      </c>
      <c r="J1237" s="3">
        <v>-119</v>
      </c>
      <c r="K1237" s="3">
        <v>-87.903530412792804</v>
      </c>
    </row>
    <row r="1238" spans="9:11" ht="18" x14ac:dyDescent="0.25">
      <c r="I1238" s="3">
        <v>1982.8333333333301</v>
      </c>
      <c r="J1238" s="3">
        <v>-119</v>
      </c>
      <c r="K1238" s="3">
        <v>-129.62538295157501</v>
      </c>
    </row>
    <row r="1239" spans="9:11" ht="18" x14ac:dyDescent="0.25">
      <c r="I1239" s="3">
        <v>1982.9166666666599</v>
      </c>
      <c r="J1239" s="3">
        <v>-137</v>
      </c>
      <c r="K1239" s="3">
        <v>-170.936177949577</v>
      </c>
    </row>
    <row r="1240" spans="9:11" ht="18" x14ac:dyDescent="0.25">
      <c r="I1240" s="3">
        <v>1983</v>
      </c>
      <c r="J1240" s="3">
        <v>-157</v>
      </c>
      <c r="K1240" s="3">
        <v>-193.287501278365</v>
      </c>
    </row>
    <row r="1241" spans="9:11" ht="18" x14ac:dyDescent="0.25">
      <c r="I1241" s="3">
        <v>1983.0833333333301</v>
      </c>
      <c r="J1241" s="3">
        <v>-157</v>
      </c>
      <c r="K1241" s="3">
        <v>-191.33086081639399</v>
      </c>
    </row>
    <row r="1242" spans="9:11" ht="18" x14ac:dyDescent="0.25">
      <c r="I1242" s="3">
        <v>1983.1666666666599</v>
      </c>
      <c r="J1242" s="3">
        <v>-151</v>
      </c>
      <c r="K1242" s="3">
        <v>-201.50353266521</v>
      </c>
    </row>
    <row r="1243" spans="9:11" ht="18" x14ac:dyDescent="0.25">
      <c r="I1243" s="3">
        <v>1983.25</v>
      </c>
      <c r="J1243" s="3">
        <v>-134</v>
      </c>
      <c r="K1243" s="3">
        <v>-214.943618491644</v>
      </c>
    </row>
    <row r="1244" spans="9:11" ht="18" x14ac:dyDescent="0.25">
      <c r="I1244" s="3">
        <v>1983.3333333333301</v>
      </c>
      <c r="J1244" s="3">
        <v>-128</v>
      </c>
      <c r="K1244" s="3">
        <v>-211.825712439386</v>
      </c>
    </row>
    <row r="1245" spans="9:11" ht="18" x14ac:dyDescent="0.25">
      <c r="I1245" s="3">
        <v>1983.4166666666599</v>
      </c>
      <c r="J1245" s="3">
        <v>-108</v>
      </c>
      <c r="K1245" s="3">
        <v>-187.025331460297</v>
      </c>
    </row>
    <row r="1246" spans="9:11" ht="18" x14ac:dyDescent="0.25">
      <c r="I1246" s="3">
        <v>1983.5</v>
      </c>
      <c r="J1246" s="3">
        <v>60</v>
      </c>
      <c r="K1246" s="3">
        <v>-126.159668831777</v>
      </c>
    </row>
    <row r="1247" spans="9:11" ht="18" x14ac:dyDescent="0.25">
      <c r="I1247" s="3">
        <v>1983.5833333333301</v>
      </c>
      <c r="J1247" s="3">
        <v>152</v>
      </c>
      <c r="K1247" s="3">
        <v>-59.916529250539597</v>
      </c>
    </row>
    <row r="1248" spans="9:11" ht="18" x14ac:dyDescent="0.25">
      <c r="I1248" s="3">
        <v>1983.6666666666599</v>
      </c>
      <c r="J1248" s="3">
        <v>177</v>
      </c>
      <c r="K1248" s="3">
        <v>-17.034982306825601</v>
      </c>
    </row>
    <row r="1249" spans="9:11" ht="18" x14ac:dyDescent="0.25">
      <c r="I1249" s="3">
        <v>1983.75</v>
      </c>
      <c r="J1249" s="3">
        <v>199</v>
      </c>
      <c r="K1249" s="3">
        <v>36.176961595520403</v>
      </c>
    </row>
    <row r="1250" spans="9:11" ht="18" x14ac:dyDescent="0.25">
      <c r="I1250" s="3">
        <v>1983.8333333333301</v>
      </c>
      <c r="J1250" s="3">
        <v>203</v>
      </c>
      <c r="K1250" s="3">
        <v>103.118707102337</v>
      </c>
    </row>
    <row r="1251" spans="9:11" ht="18" x14ac:dyDescent="0.25">
      <c r="I1251" s="3">
        <v>1983.9166666666599</v>
      </c>
      <c r="J1251" s="3">
        <v>252</v>
      </c>
      <c r="K1251" s="3">
        <v>160.12331016178101</v>
      </c>
    </row>
    <row r="1252" spans="9:11" ht="18" x14ac:dyDescent="0.25">
      <c r="I1252" s="3">
        <v>1984</v>
      </c>
      <c r="J1252" s="3">
        <v>255</v>
      </c>
      <c r="K1252" s="3">
        <v>207.21750883345601</v>
      </c>
    </row>
    <row r="1253" spans="9:11" ht="18" x14ac:dyDescent="0.25">
      <c r="I1253" s="3">
        <v>1984.0833333333301</v>
      </c>
      <c r="J1253" s="3">
        <v>275</v>
      </c>
      <c r="K1253" s="3">
        <v>222.02658224007601</v>
      </c>
    </row>
    <row r="1254" spans="9:11" ht="18" x14ac:dyDescent="0.25">
      <c r="I1254" s="3">
        <v>1984.1666666666599</v>
      </c>
      <c r="J1254" s="3">
        <v>283</v>
      </c>
      <c r="K1254" s="3">
        <v>208.160936209802</v>
      </c>
    </row>
    <row r="1255" spans="9:11" ht="18" x14ac:dyDescent="0.25">
      <c r="I1255" s="3">
        <v>1984.25</v>
      </c>
      <c r="J1255" s="3">
        <v>283</v>
      </c>
      <c r="K1255" s="3">
        <v>218.117227386417</v>
      </c>
    </row>
    <row r="1256" spans="9:11" ht="18" x14ac:dyDescent="0.25">
      <c r="I1256" s="3">
        <v>1984.3333333333301</v>
      </c>
      <c r="J1256" s="3">
        <v>288</v>
      </c>
      <c r="K1256" s="3">
        <v>257.33752181584799</v>
      </c>
    </row>
    <row r="1257" spans="9:11" ht="18" x14ac:dyDescent="0.25">
      <c r="I1257" s="3">
        <v>1984.4166666666599</v>
      </c>
      <c r="J1257" s="3">
        <v>321</v>
      </c>
      <c r="K1257" s="3">
        <v>304.96706453665797</v>
      </c>
    </row>
    <row r="1258" spans="9:11" ht="18" x14ac:dyDescent="0.25">
      <c r="I1258" s="3">
        <v>1984.5</v>
      </c>
      <c r="J1258" s="3">
        <v>346</v>
      </c>
      <c r="K1258" s="3">
        <v>344.645098184971</v>
      </c>
    </row>
    <row r="1259" spans="9:11" ht="18" x14ac:dyDescent="0.25">
      <c r="I1259" s="3">
        <v>1984.5833333333301</v>
      </c>
      <c r="J1259" s="3">
        <v>346</v>
      </c>
      <c r="K1259" s="3">
        <v>341.52939643755701</v>
      </c>
    </row>
    <row r="1260" spans="9:11" ht="18" x14ac:dyDescent="0.25">
      <c r="I1260" s="3">
        <v>1984.6666666666599</v>
      </c>
      <c r="J1260" s="3">
        <v>340</v>
      </c>
      <c r="K1260" s="3">
        <v>310.29458588455299</v>
      </c>
    </row>
    <row r="1261" spans="9:11" ht="18" x14ac:dyDescent="0.25">
      <c r="I1261" s="3">
        <v>1984.75</v>
      </c>
      <c r="J1261" s="3">
        <v>335</v>
      </c>
      <c r="K1261" s="3">
        <v>285.54684642632498</v>
      </c>
    </row>
    <row r="1262" spans="9:11" ht="18" x14ac:dyDescent="0.25">
      <c r="I1262" s="3">
        <v>1984.8333333333301</v>
      </c>
      <c r="J1262" s="3">
        <v>281</v>
      </c>
      <c r="K1262" s="3">
        <v>237.11564440727199</v>
      </c>
    </row>
    <row r="1263" spans="9:11" ht="18" x14ac:dyDescent="0.25">
      <c r="I1263" s="3">
        <v>1984.9166666666599</v>
      </c>
      <c r="J1263" s="3">
        <v>22</v>
      </c>
      <c r="K1263" s="3">
        <v>155.69267836550199</v>
      </c>
    </row>
    <row r="1264" spans="9:11" ht="18" x14ac:dyDescent="0.25">
      <c r="I1264" s="3">
        <v>1985</v>
      </c>
      <c r="J1264" s="3">
        <v>-65</v>
      </c>
      <c r="K1264" s="3">
        <v>74.615455684786198</v>
      </c>
    </row>
    <row r="1265" spans="9:11" ht="18" x14ac:dyDescent="0.25">
      <c r="I1265" s="3">
        <v>1985.0833333333301</v>
      </c>
      <c r="J1265" s="3">
        <v>-87</v>
      </c>
      <c r="K1265" s="3">
        <v>2.5794185101490901</v>
      </c>
    </row>
    <row r="1266" spans="9:11" ht="18" x14ac:dyDescent="0.25">
      <c r="I1266" s="3">
        <v>1985.1666666666599</v>
      </c>
      <c r="J1266" s="3">
        <v>-110</v>
      </c>
      <c r="K1266" s="3">
        <v>-46.353214735007903</v>
      </c>
    </row>
    <row r="1267" spans="9:11" ht="18" x14ac:dyDescent="0.25">
      <c r="I1267" s="3">
        <v>1985.25</v>
      </c>
      <c r="J1267" s="3">
        <v>-137</v>
      </c>
      <c r="K1267" s="3">
        <v>-74.282101406074503</v>
      </c>
    </row>
    <row r="1268" spans="9:11" ht="18" x14ac:dyDescent="0.25">
      <c r="I1268" s="3">
        <v>1985.3333333333301</v>
      </c>
      <c r="J1268" s="3">
        <v>-139</v>
      </c>
      <c r="K1268" s="3">
        <v>-111.136387362017</v>
      </c>
    </row>
    <row r="1269" spans="9:11" ht="18" x14ac:dyDescent="0.25">
      <c r="I1269" s="3">
        <v>1985.4166666666599</v>
      </c>
      <c r="J1269" s="3">
        <v>-137</v>
      </c>
      <c r="K1269" s="3">
        <v>-136.158809069515</v>
      </c>
    </row>
    <row r="1270" spans="9:11" ht="18" x14ac:dyDescent="0.25">
      <c r="I1270" s="3">
        <v>1985.5</v>
      </c>
      <c r="J1270" s="3">
        <v>-115</v>
      </c>
      <c r="K1270" s="3">
        <v>-130.37177370611599</v>
      </c>
    </row>
    <row r="1271" spans="9:11" ht="18" x14ac:dyDescent="0.25">
      <c r="I1271" s="3">
        <v>1985.5833333333301</v>
      </c>
      <c r="J1271" s="3">
        <v>-100</v>
      </c>
      <c r="K1271" s="3">
        <v>-119.85921563687999</v>
      </c>
    </row>
    <row r="1272" spans="9:11" ht="18" x14ac:dyDescent="0.25">
      <c r="I1272" s="3">
        <v>1985.6666666666599</v>
      </c>
      <c r="J1272" s="3">
        <v>-93</v>
      </c>
      <c r="K1272" s="3">
        <v>-100.89421570973199</v>
      </c>
    </row>
    <row r="1273" spans="9:11" ht="18" x14ac:dyDescent="0.25">
      <c r="I1273" s="3">
        <v>1985.75</v>
      </c>
      <c r="J1273" s="3">
        <v>-93</v>
      </c>
      <c r="K1273" s="3">
        <v>-75.977338665033301</v>
      </c>
    </row>
    <row r="1274" spans="9:11" ht="18" x14ac:dyDescent="0.25">
      <c r="I1274" s="3">
        <v>1985.8333333333301</v>
      </c>
      <c r="J1274" s="3">
        <v>-100</v>
      </c>
      <c r="K1274" s="3">
        <v>-69.8756483262123</v>
      </c>
    </row>
    <row r="1275" spans="9:11" ht="18" x14ac:dyDescent="0.25">
      <c r="I1275" s="3">
        <v>1985.9166666666599</v>
      </c>
      <c r="J1275" s="3">
        <v>-102</v>
      </c>
      <c r="K1275" s="3">
        <v>-63.9665797081257</v>
      </c>
    </row>
    <row r="1276" spans="9:11" ht="18" x14ac:dyDescent="0.25">
      <c r="I1276" s="3">
        <v>1986</v>
      </c>
      <c r="J1276" s="3">
        <v>-119</v>
      </c>
      <c r="K1276" s="3">
        <v>-53.870715752987799</v>
      </c>
    </row>
    <row r="1277" spans="9:11" ht="18" x14ac:dyDescent="0.25">
      <c r="I1277" s="3">
        <v>1986.0833333333301</v>
      </c>
      <c r="J1277" s="3">
        <v>-148</v>
      </c>
      <c r="K1277" s="3">
        <v>-60.039709709059402</v>
      </c>
    </row>
    <row r="1278" spans="9:11" ht="18" x14ac:dyDescent="0.25">
      <c r="I1278" s="3">
        <v>1986.1666666666599</v>
      </c>
      <c r="J1278" s="3">
        <v>-148</v>
      </c>
      <c r="K1278" s="3">
        <v>-60.600082056003899</v>
      </c>
    </row>
    <row r="1279" spans="9:11" ht="18" x14ac:dyDescent="0.25">
      <c r="I1279" s="3">
        <v>1986.25</v>
      </c>
      <c r="J1279" s="3">
        <v>-142</v>
      </c>
      <c r="K1279" s="3">
        <v>-39.906839815936401</v>
      </c>
    </row>
    <row r="1280" spans="9:11" ht="18" x14ac:dyDescent="0.25">
      <c r="I1280" s="3">
        <v>1986.3333333333301</v>
      </c>
      <c r="J1280" s="3">
        <v>-106</v>
      </c>
      <c r="K1280" s="3">
        <v>6.6974808715181604</v>
      </c>
    </row>
    <row r="1281" spans="9:11" ht="18" x14ac:dyDescent="0.25">
      <c r="I1281" s="3">
        <v>1986.4166666666599</v>
      </c>
      <c r="J1281" s="3">
        <v>42</v>
      </c>
      <c r="K1281" s="3">
        <v>91.997281410621099</v>
      </c>
    </row>
    <row r="1282" spans="9:11" ht="18" x14ac:dyDescent="0.25">
      <c r="I1282" s="3">
        <v>1986.5</v>
      </c>
      <c r="J1282" s="3">
        <v>194</v>
      </c>
      <c r="K1282" s="3">
        <v>168.32590410095401</v>
      </c>
    </row>
    <row r="1283" spans="9:11" ht="18" x14ac:dyDescent="0.25">
      <c r="I1283" s="3">
        <v>1986.5833333333301</v>
      </c>
      <c r="J1283" s="3">
        <v>229</v>
      </c>
      <c r="K1283" s="3">
        <v>192.26576656512799</v>
      </c>
    </row>
    <row r="1284" spans="9:11" ht="18" x14ac:dyDescent="0.25">
      <c r="I1284" s="3">
        <v>1986.6666666666599</v>
      </c>
      <c r="J1284" s="3">
        <v>232</v>
      </c>
      <c r="K1284" s="3">
        <v>198.372008849803</v>
      </c>
    </row>
    <row r="1285" spans="9:11" ht="18" x14ac:dyDescent="0.25">
      <c r="I1285" s="3">
        <v>1986.75</v>
      </c>
      <c r="J1285" s="3">
        <v>234</v>
      </c>
      <c r="K1285" s="3">
        <v>203.183989861881</v>
      </c>
    </row>
    <row r="1286" spans="9:11" ht="18" x14ac:dyDescent="0.25">
      <c r="I1286" s="3">
        <v>1986.8333333333301</v>
      </c>
      <c r="J1286" s="3">
        <v>241</v>
      </c>
      <c r="K1286" s="3">
        <v>197.3460197098</v>
      </c>
    </row>
    <row r="1287" spans="9:11" ht="18" x14ac:dyDescent="0.25">
      <c r="I1287" s="3">
        <v>1986.9166666666599</v>
      </c>
      <c r="J1287" s="3">
        <v>254</v>
      </c>
      <c r="K1287" s="3">
        <v>186.49521370040699</v>
      </c>
    </row>
    <row r="1288" spans="9:11" ht="18" x14ac:dyDescent="0.25">
      <c r="I1288" s="3">
        <v>1987</v>
      </c>
      <c r="J1288" s="3">
        <v>260</v>
      </c>
      <c r="K1288" s="3">
        <v>161.66766884519299</v>
      </c>
    </row>
    <row r="1289" spans="9:11" ht="18" x14ac:dyDescent="0.25">
      <c r="I1289" s="3">
        <v>1987.0833333333301</v>
      </c>
      <c r="J1289" s="3">
        <v>266</v>
      </c>
      <c r="K1289" s="3">
        <v>146.68732709262301</v>
      </c>
    </row>
    <row r="1290" spans="9:11" ht="18" x14ac:dyDescent="0.25">
      <c r="I1290" s="3">
        <v>1987.1666666666599</v>
      </c>
      <c r="J1290" s="3">
        <v>266</v>
      </c>
      <c r="K1290" s="3">
        <v>181.29800854119</v>
      </c>
    </row>
    <row r="1291" spans="9:11" ht="18" x14ac:dyDescent="0.25">
      <c r="I1291" s="3">
        <v>1987.25</v>
      </c>
      <c r="J1291" s="3">
        <v>270</v>
      </c>
      <c r="K1291" s="3">
        <v>231.87095513867999</v>
      </c>
    </row>
    <row r="1292" spans="9:11" ht="18" x14ac:dyDescent="0.25">
      <c r="I1292" s="3">
        <v>1987.3333333333301</v>
      </c>
      <c r="J1292" s="3">
        <v>270</v>
      </c>
      <c r="K1292" s="3">
        <v>259.44246266970902</v>
      </c>
    </row>
    <row r="1293" spans="9:11" ht="18" x14ac:dyDescent="0.25">
      <c r="I1293" s="3">
        <v>1987.4166666666599</v>
      </c>
      <c r="J1293" s="3">
        <v>268</v>
      </c>
      <c r="K1293" s="3">
        <v>256.26773564537098</v>
      </c>
    </row>
    <row r="1294" spans="9:11" ht="18" x14ac:dyDescent="0.25">
      <c r="I1294" s="3">
        <v>1987.5</v>
      </c>
      <c r="J1294" s="3">
        <v>247</v>
      </c>
      <c r="K1294" s="3">
        <v>203.91677820307299</v>
      </c>
    </row>
    <row r="1295" spans="9:11" ht="18" x14ac:dyDescent="0.25">
      <c r="I1295" s="3">
        <v>1987.5833333333301</v>
      </c>
      <c r="J1295" s="3">
        <v>63</v>
      </c>
      <c r="K1295" s="3">
        <v>132.01338944363499</v>
      </c>
    </row>
    <row r="1296" spans="9:11" ht="18" x14ac:dyDescent="0.25">
      <c r="I1296" s="3">
        <v>1987.6666666666599</v>
      </c>
      <c r="J1296" s="3">
        <v>-92</v>
      </c>
      <c r="K1296" s="3">
        <v>88.957664390084005</v>
      </c>
    </row>
    <row r="1297" spans="9:11" ht="18" x14ac:dyDescent="0.25">
      <c r="I1297" s="3">
        <v>1987.75</v>
      </c>
      <c r="J1297" s="3">
        <v>-117</v>
      </c>
      <c r="K1297" s="3">
        <v>61.949779210377201</v>
      </c>
    </row>
    <row r="1298" spans="9:11" ht="18" x14ac:dyDescent="0.25">
      <c r="I1298" s="3">
        <v>1987.8333333333301</v>
      </c>
      <c r="J1298" s="3">
        <v>-117</v>
      </c>
      <c r="K1298" s="3">
        <v>41.466619666894204</v>
      </c>
    </row>
    <row r="1299" spans="9:11" ht="18" x14ac:dyDescent="0.25">
      <c r="I1299" s="3">
        <v>1987.9166666666599</v>
      </c>
      <c r="J1299" s="3">
        <v>-77</v>
      </c>
      <c r="K1299" s="3">
        <v>26.540911001089501</v>
      </c>
    </row>
    <row r="1300" spans="9:11" ht="18" x14ac:dyDescent="0.25">
      <c r="I1300" s="3">
        <v>1988</v>
      </c>
      <c r="J1300" s="3">
        <v>-57</v>
      </c>
      <c r="K1300" s="3">
        <v>-5.8469792073933302</v>
      </c>
    </row>
    <row r="1301" spans="9:11" ht="18" x14ac:dyDescent="0.25">
      <c r="I1301" s="3">
        <v>1988.0833333333301</v>
      </c>
      <c r="J1301" s="3">
        <v>-54</v>
      </c>
      <c r="K1301" s="3">
        <v>-45.8892486155668</v>
      </c>
    </row>
    <row r="1302" spans="9:11" ht="18" x14ac:dyDescent="0.25">
      <c r="I1302" s="3">
        <v>1988.1666666666599</v>
      </c>
      <c r="J1302" s="3">
        <v>-54</v>
      </c>
      <c r="K1302" s="3">
        <v>-88.530537466655801</v>
      </c>
    </row>
    <row r="1303" spans="9:11" ht="18" x14ac:dyDescent="0.25">
      <c r="I1303" s="3">
        <v>1988.25</v>
      </c>
      <c r="J1303" s="3">
        <v>-70</v>
      </c>
      <c r="K1303" s="3">
        <v>-147.036227519004</v>
      </c>
    </row>
    <row r="1304" spans="9:11" ht="18" x14ac:dyDescent="0.25">
      <c r="I1304" s="3">
        <v>1988.3333333333301</v>
      </c>
      <c r="J1304" s="3">
        <v>-70</v>
      </c>
      <c r="K1304" s="3">
        <v>-178.90136079463201</v>
      </c>
    </row>
    <row r="1305" spans="9:11" ht="18" x14ac:dyDescent="0.25">
      <c r="I1305" s="3">
        <v>1988.4166666666599</v>
      </c>
      <c r="J1305" s="3">
        <v>-50</v>
      </c>
      <c r="K1305" s="3">
        <v>-160.377130765488</v>
      </c>
    </row>
    <row r="1306" spans="9:11" ht="18" x14ac:dyDescent="0.25">
      <c r="I1306" s="3">
        <v>1988.5</v>
      </c>
      <c r="J1306" s="3">
        <v>23</v>
      </c>
      <c r="K1306" s="3">
        <v>-130.86643084756699</v>
      </c>
    </row>
    <row r="1307" spans="9:11" ht="18" x14ac:dyDescent="0.25">
      <c r="I1307" s="3">
        <v>1988.5833333333301</v>
      </c>
      <c r="J1307" s="3">
        <v>63</v>
      </c>
      <c r="K1307" s="3">
        <v>-101.200913145988</v>
      </c>
    </row>
    <row r="1308" spans="9:11" ht="18" x14ac:dyDescent="0.25">
      <c r="I1308" s="3">
        <v>1988.6666666666599</v>
      </c>
      <c r="J1308" s="3">
        <v>63</v>
      </c>
      <c r="K1308" s="3">
        <v>-69.020050928965702</v>
      </c>
    </row>
    <row r="1309" spans="9:11" ht="18" x14ac:dyDescent="0.25">
      <c r="I1309" s="3">
        <v>1988.75</v>
      </c>
      <c r="J1309" s="3">
        <v>63</v>
      </c>
      <c r="K1309" s="3">
        <v>-36.228842591040802</v>
      </c>
    </row>
    <row r="1310" spans="9:11" ht="18" x14ac:dyDescent="0.25">
      <c r="I1310" s="3">
        <v>1988.8333333333301</v>
      </c>
      <c r="J1310" s="3">
        <v>81</v>
      </c>
      <c r="K1310" s="3">
        <v>13.617700326503</v>
      </c>
    </row>
    <row r="1311" spans="9:11" ht="18" x14ac:dyDescent="0.25">
      <c r="I1311" s="3">
        <v>1988.9166666666599</v>
      </c>
      <c r="J1311" s="3">
        <v>99</v>
      </c>
      <c r="K1311" s="3">
        <v>50.448469506455503</v>
      </c>
    </row>
    <row r="1312" spans="9:11" ht="18" x14ac:dyDescent="0.25">
      <c r="I1312" s="3">
        <v>1989</v>
      </c>
      <c r="J1312" s="3">
        <v>99</v>
      </c>
      <c r="K1312" s="3">
        <v>38.973110316480003</v>
      </c>
    </row>
    <row r="1313" spans="9:11" ht="18" x14ac:dyDescent="0.25">
      <c r="I1313" s="3">
        <v>1989.0833333333301</v>
      </c>
      <c r="J1313" s="3">
        <v>84</v>
      </c>
      <c r="K1313" s="3">
        <v>18.417605899107599</v>
      </c>
    </row>
    <row r="1314" spans="9:11" ht="18" x14ac:dyDescent="0.25">
      <c r="I1314" s="3">
        <v>1989.1666666666599</v>
      </c>
      <c r="J1314" s="3">
        <v>40</v>
      </c>
      <c r="K1314" s="3">
        <v>23.304494821680098</v>
      </c>
    </row>
    <row r="1315" spans="9:11" ht="18" x14ac:dyDescent="0.25">
      <c r="I1315" s="3">
        <v>1989.25</v>
      </c>
      <c r="J1315" s="3">
        <v>40</v>
      </c>
      <c r="K1315" s="3">
        <v>67.089670341496301</v>
      </c>
    </row>
    <row r="1316" spans="9:11" ht="18" x14ac:dyDescent="0.25">
      <c r="I1316" s="3">
        <v>1989.3333333333301</v>
      </c>
      <c r="J1316" s="3">
        <v>150</v>
      </c>
      <c r="K1316" s="3">
        <v>162.16815875327799</v>
      </c>
    </row>
    <row r="1317" spans="9:11" ht="18" x14ac:dyDescent="0.25">
      <c r="I1317" s="3">
        <v>1989.4166666666599</v>
      </c>
      <c r="J1317" s="3">
        <v>250</v>
      </c>
      <c r="K1317" s="3">
        <v>256.552010406357</v>
      </c>
    </row>
    <row r="1318" spans="9:11" ht="18" x14ac:dyDescent="0.25">
      <c r="I1318" s="3">
        <v>1989.5</v>
      </c>
      <c r="J1318" s="3">
        <v>281</v>
      </c>
      <c r="K1318" s="3">
        <v>300.41383981100898</v>
      </c>
    </row>
    <row r="1319" spans="9:11" ht="18" x14ac:dyDescent="0.25">
      <c r="I1319" s="3">
        <v>1989.5833333333301</v>
      </c>
      <c r="J1319" s="3">
        <v>300</v>
      </c>
      <c r="K1319" s="3">
        <v>315.65017142174298</v>
      </c>
    </row>
    <row r="1320" spans="9:11" ht="18" x14ac:dyDescent="0.25">
      <c r="I1320" s="3">
        <v>1989.6666666666599</v>
      </c>
      <c r="J1320" s="3">
        <v>306</v>
      </c>
      <c r="K1320" s="3">
        <v>319.68899194263702</v>
      </c>
    </row>
    <row r="1321" spans="9:11" ht="18" x14ac:dyDescent="0.25">
      <c r="I1321" s="3">
        <v>1989.75</v>
      </c>
      <c r="J1321" s="3">
        <v>307</v>
      </c>
      <c r="K1321" s="3">
        <v>322.93325044140198</v>
      </c>
    </row>
    <row r="1322" spans="9:11" ht="18" x14ac:dyDescent="0.25">
      <c r="I1322" s="3">
        <v>1989.8333333333301</v>
      </c>
      <c r="J1322" s="3">
        <v>307</v>
      </c>
      <c r="K1322" s="3">
        <v>329.74058675294702</v>
      </c>
    </row>
    <row r="1323" spans="9:11" ht="18" x14ac:dyDescent="0.25">
      <c r="I1323" s="3">
        <v>1989.9166666666599</v>
      </c>
      <c r="J1323" s="3">
        <v>306</v>
      </c>
      <c r="K1323" s="3">
        <v>301.99033787578202</v>
      </c>
    </row>
    <row r="1324" spans="9:11" ht="18" x14ac:dyDescent="0.25">
      <c r="I1324" s="3">
        <v>1990</v>
      </c>
      <c r="J1324" s="3">
        <v>282</v>
      </c>
      <c r="K1324" s="3">
        <v>241.320478740049</v>
      </c>
    </row>
    <row r="1325" spans="9:11" ht="18" x14ac:dyDescent="0.25">
      <c r="I1325" s="3">
        <v>1990.0833333333301</v>
      </c>
      <c r="J1325" s="3">
        <v>42</v>
      </c>
      <c r="K1325" s="3">
        <v>185.11462404747201</v>
      </c>
    </row>
    <row r="1326" spans="9:11" ht="18" x14ac:dyDescent="0.25">
      <c r="I1326" s="3">
        <v>1990.1666666666599</v>
      </c>
      <c r="J1326" s="3">
        <v>32</v>
      </c>
      <c r="K1326" s="3">
        <v>119.797120904785</v>
      </c>
    </row>
    <row r="1327" spans="9:11" ht="18" x14ac:dyDescent="0.25">
      <c r="I1327" s="3">
        <v>1990.25</v>
      </c>
      <c r="J1327" s="3">
        <v>-109</v>
      </c>
      <c r="K1327" s="3">
        <v>47.0818377546154</v>
      </c>
    </row>
    <row r="1328" spans="9:11" ht="18" x14ac:dyDescent="0.25">
      <c r="I1328" s="3">
        <v>1990.3333333333301</v>
      </c>
      <c r="J1328" s="3">
        <v>-124</v>
      </c>
      <c r="K1328" s="3">
        <v>-2.75383988392135</v>
      </c>
    </row>
    <row r="1329" spans="9:11" ht="18" x14ac:dyDescent="0.25">
      <c r="I1329" s="3">
        <v>1990.4166666666599</v>
      </c>
      <c r="J1329" s="3">
        <v>-124</v>
      </c>
      <c r="K1329" s="3">
        <v>-37.949808080645496</v>
      </c>
    </row>
    <row r="1330" spans="9:11" ht="18" x14ac:dyDescent="0.25">
      <c r="I1330" s="3">
        <v>1990.5</v>
      </c>
      <c r="J1330" s="3">
        <v>-131</v>
      </c>
      <c r="K1330" s="3">
        <v>-63.7962760943673</v>
      </c>
    </row>
    <row r="1331" spans="9:11" ht="18" x14ac:dyDescent="0.25">
      <c r="I1331" s="3">
        <v>1990.5833333333301</v>
      </c>
      <c r="J1331" s="3">
        <v>-135</v>
      </c>
      <c r="K1331" s="3">
        <v>-89.774647412715694</v>
      </c>
    </row>
    <row r="1332" spans="9:11" ht="18" x14ac:dyDescent="0.25">
      <c r="I1332" s="3">
        <v>1990.6666666666599</v>
      </c>
      <c r="J1332" s="3">
        <v>-131</v>
      </c>
      <c r="K1332" s="3">
        <v>-142.67430462054901</v>
      </c>
    </row>
    <row r="1333" spans="9:11" ht="18" x14ac:dyDescent="0.25">
      <c r="I1333" s="3">
        <v>1990.75</v>
      </c>
      <c r="J1333" s="3">
        <v>-130</v>
      </c>
      <c r="K1333" s="3">
        <v>-192.251934741935</v>
      </c>
    </row>
    <row r="1334" spans="9:11" ht="18" x14ac:dyDescent="0.25">
      <c r="I1334" s="3">
        <v>1990.8333333333301</v>
      </c>
      <c r="J1334" s="3">
        <v>-110</v>
      </c>
      <c r="K1334" s="3">
        <v>-207.06287211602501</v>
      </c>
    </row>
    <row r="1335" spans="9:11" ht="18" x14ac:dyDescent="0.25">
      <c r="I1335" s="3">
        <v>1990.9166666666599</v>
      </c>
      <c r="J1335" s="3">
        <v>-110</v>
      </c>
      <c r="K1335" s="3">
        <v>-209.77634811131799</v>
      </c>
    </row>
    <row r="1336" spans="9:11" ht="18" x14ac:dyDescent="0.25">
      <c r="I1336" s="3">
        <v>1991</v>
      </c>
      <c r="J1336" s="3">
        <v>-114</v>
      </c>
      <c r="K1336" s="3">
        <v>-202.333658949881</v>
      </c>
    </row>
    <row r="1337" spans="9:11" ht="18" x14ac:dyDescent="0.25">
      <c r="I1337" s="3">
        <v>1991.0833333333301</v>
      </c>
      <c r="J1337" s="3">
        <v>-127</v>
      </c>
      <c r="K1337" s="3">
        <v>-187.00645373132301</v>
      </c>
    </row>
    <row r="1338" spans="9:11" ht="18" x14ac:dyDescent="0.25">
      <c r="I1338" s="3">
        <v>1991.1666666666599</v>
      </c>
      <c r="J1338" s="3">
        <v>-114</v>
      </c>
      <c r="K1338" s="3">
        <v>-174.39574478219501</v>
      </c>
    </row>
    <row r="1339" spans="9:11" ht="18" x14ac:dyDescent="0.25">
      <c r="I1339" s="3">
        <v>1991.25</v>
      </c>
      <c r="J1339" s="3">
        <v>-105</v>
      </c>
      <c r="K1339" s="3">
        <v>-121.65941729087</v>
      </c>
    </row>
    <row r="1340" spans="9:11" ht="18" x14ac:dyDescent="0.25">
      <c r="I1340" s="3">
        <v>1991.3333333333301</v>
      </c>
      <c r="J1340" s="3">
        <v>-92</v>
      </c>
      <c r="K1340" s="3">
        <v>-12.936334037978201</v>
      </c>
    </row>
    <row r="1341" spans="9:11" ht="18" x14ac:dyDescent="0.25">
      <c r="I1341" s="3">
        <v>1991.4166666666599</v>
      </c>
      <c r="J1341" s="3">
        <v>67</v>
      </c>
      <c r="K1341" s="3">
        <v>103.588978009404</v>
      </c>
    </row>
    <row r="1342" spans="9:11" ht="18" x14ac:dyDescent="0.25">
      <c r="I1342" s="3">
        <v>1991.5</v>
      </c>
      <c r="J1342" s="3">
        <v>209</v>
      </c>
      <c r="K1342" s="3">
        <v>195.84286698664701</v>
      </c>
    </row>
    <row r="1343" spans="9:11" ht="18" x14ac:dyDescent="0.25">
      <c r="I1343" s="3">
        <v>1991.5833333333301</v>
      </c>
      <c r="J1343" s="3">
        <v>231</v>
      </c>
      <c r="K1343" s="3">
        <v>241.76889800114799</v>
      </c>
    </row>
    <row r="1344" spans="9:11" ht="18" x14ac:dyDescent="0.25">
      <c r="I1344" s="3">
        <v>1991.6666666666599</v>
      </c>
      <c r="J1344" s="3">
        <v>231</v>
      </c>
      <c r="K1344" s="3">
        <v>251.411030979695</v>
      </c>
    </row>
    <row r="1345" spans="9:11" ht="18" x14ac:dyDescent="0.25">
      <c r="I1345" s="3">
        <v>1991.75</v>
      </c>
      <c r="J1345" s="3">
        <v>222</v>
      </c>
      <c r="K1345" s="3">
        <v>279.23061289050798</v>
      </c>
    </row>
    <row r="1346" spans="9:11" ht="18" x14ac:dyDescent="0.25">
      <c r="I1346" s="3">
        <v>1991.8333333333301</v>
      </c>
      <c r="J1346" s="3">
        <v>222</v>
      </c>
      <c r="K1346" s="3">
        <v>316.51821107192302</v>
      </c>
    </row>
    <row r="1347" spans="9:11" ht="18" x14ac:dyDescent="0.25">
      <c r="I1347" s="3">
        <v>1991.9166666666599</v>
      </c>
      <c r="J1347" s="3">
        <v>242</v>
      </c>
      <c r="K1347" s="3">
        <v>322.93731577991502</v>
      </c>
    </row>
    <row r="1348" spans="9:11" ht="18" x14ac:dyDescent="0.25">
      <c r="I1348" s="3">
        <v>1992</v>
      </c>
      <c r="J1348" s="3">
        <v>253</v>
      </c>
      <c r="K1348" s="3">
        <v>313.58730538678299</v>
      </c>
    </row>
    <row r="1349" spans="9:11" ht="18" x14ac:dyDescent="0.25">
      <c r="I1349" s="3">
        <v>1992.0833333333301</v>
      </c>
      <c r="J1349" s="3">
        <v>253</v>
      </c>
      <c r="K1349" s="3">
        <v>294.03489039709501</v>
      </c>
    </row>
    <row r="1350" spans="9:11" ht="18" x14ac:dyDescent="0.25">
      <c r="I1350" s="3">
        <v>1992.1666666666599</v>
      </c>
      <c r="J1350" s="3">
        <v>254</v>
      </c>
      <c r="K1350" s="3">
        <v>261.51591247613402</v>
      </c>
    </row>
    <row r="1351" spans="9:11" ht="18" x14ac:dyDescent="0.25">
      <c r="I1351" s="3">
        <v>1992.25</v>
      </c>
      <c r="J1351" s="3">
        <v>260</v>
      </c>
      <c r="K1351" s="3">
        <v>233.44564100749099</v>
      </c>
    </row>
    <row r="1352" spans="9:11" ht="18" x14ac:dyDescent="0.25">
      <c r="I1352" s="3">
        <v>1992.3333333333301</v>
      </c>
      <c r="J1352" s="3">
        <v>262</v>
      </c>
      <c r="K1352" s="3">
        <v>195.70472098082001</v>
      </c>
    </row>
    <row r="1353" spans="9:11" ht="18" x14ac:dyDescent="0.25">
      <c r="I1353" s="3">
        <v>1992.4166666666599</v>
      </c>
      <c r="J1353" s="3">
        <v>268</v>
      </c>
      <c r="K1353" s="3">
        <v>147.87284741861501</v>
      </c>
    </row>
    <row r="1354" spans="9:11" ht="18" x14ac:dyDescent="0.25">
      <c r="I1354" s="3">
        <v>1992.5</v>
      </c>
      <c r="J1354" s="3">
        <v>268</v>
      </c>
      <c r="K1354" s="3">
        <v>114.432049564756</v>
      </c>
    </row>
    <row r="1355" spans="9:11" ht="18" x14ac:dyDescent="0.25">
      <c r="I1355" s="3">
        <v>1992.5833333333301</v>
      </c>
      <c r="J1355" s="3">
        <v>79</v>
      </c>
      <c r="K1355" s="3">
        <v>73.148167588730104</v>
      </c>
    </row>
    <row r="1356" spans="9:11" ht="18" x14ac:dyDescent="0.25">
      <c r="I1356" s="3">
        <v>1992.6666666666599</v>
      </c>
      <c r="J1356" s="3">
        <v>-8</v>
      </c>
      <c r="K1356" s="3">
        <v>14.6366037342677</v>
      </c>
    </row>
    <row r="1357" spans="9:11" ht="18" x14ac:dyDescent="0.25">
      <c r="I1357" s="3">
        <v>1992.75</v>
      </c>
      <c r="J1357" s="3">
        <v>-75</v>
      </c>
      <c r="K1357" s="3">
        <v>-39.119439611332197</v>
      </c>
    </row>
    <row r="1358" spans="9:11" ht="18" x14ac:dyDescent="0.25">
      <c r="I1358" s="3">
        <v>1992.8333333333301</v>
      </c>
      <c r="J1358" s="3">
        <v>-112</v>
      </c>
      <c r="K1358" s="3">
        <v>-97.627263601675395</v>
      </c>
    </row>
    <row r="1359" spans="9:11" ht="18" x14ac:dyDescent="0.25">
      <c r="I1359" s="3">
        <v>1992.9166666666599</v>
      </c>
      <c r="J1359" s="3">
        <v>-141</v>
      </c>
      <c r="K1359" s="3">
        <v>-147.75282057102501</v>
      </c>
    </row>
    <row r="1360" spans="9:11" ht="18" x14ac:dyDescent="0.25">
      <c r="I1360" s="3">
        <v>1993</v>
      </c>
      <c r="J1360" s="3">
        <v>-155</v>
      </c>
      <c r="K1360" s="3">
        <v>-165.90991376717699</v>
      </c>
    </row>
    <row r="1361" spans="9:11" ht="18" x14ac:dyDescent="0.25">
      <c r="I1361" s="3">
        <v>1993.0833333333301</v>
      </c>
      <c r="J1361" s="3">
        <v>-164</v>
      </c>
      <c r="K1361" s="3">
        <v>-182.57671937370301</v>
      </c>
    </row>
    <row r="1362" spans="9:11" ht="18" x14ac:dyDescent="0.25">
      <c r="I1362" s="3">
        <v>1993.1666666666599</v>
      </c>
      <c r="J1362" s="3">
        <v>-164</v>
      </c>
      <c r="K1362" s="3">
        <v>-204.98680107588001</v>
      </c>
    </row>
    <row r="1363" spans="9:11" ht="18" x14ac:dyDescent="0.25">
      <c r="I1363" s="3">
        <v>1993.25</v>
      </c>
      <c r="J1363" s="3">
        <v>-164</v>
      </c>
      <c r="K1363" s="3">
        <v>-207.18800279287299</v>
      </c>
    </row>
    <row r="1364" spans="9:11" ht="18" x14ac:dyDescent="0.25">
      <c r="I1364" s="3">
        <v>1993.3333333333301</v>
      </c>
      <c r="J1364" s="3">
        <v>-112</v>
      </c>
      <c r="K1364" s="3">
        <v>-182.77715500535001</v>
      </c>
    </row>
    <row r="1365" spans="9:11" ht="18" x14ac:dyDescent="0.25">
      <c r="I1365" s="3">
        <v>1993.4166666666599</v>
      </c>
      <c r="J1365" s="3">
        <v>-108</v>
      </c>
      <c r="K1365" s="3">
        <v>-116.51946400994299</v>
      </c>
    </row>
    <row r="1366" spans="9:11" ht="18" x14ac:dyDescent="0.25">
      <c r="I1366" s="3">
        <v>1993.5</v>
      </c>
      <c r="J1366" s="3">
        <v>-48</v>
      </c>
      <c r="K1366" s="3">
        <v>-27.298877483860299</v>
      </c>
    </row>
    <row r="1367" spans="9:11" ht="18" x14ac:dyDescent="0.25">
      <c r="I1367" s="3">
        <v>1993.5833333333301</v>
      </c>
      <c r="J1367" s="3">
        <v>8</v>
      </c>
      <c r="K1367" s="3">
        <v>33.023522802441803</v>
      </c>
    </row>
    <row r="1368" spans="9:11" ht="18" x14ac:dyDescent="0.25">
      <c r="I1368" s="3">
        <v>1993.6666666666599</v>
      </c>
      <c r="J1368" s="3">
        <v>10</v>
      </c>
      <c r="K1368" s="3">
        <v>84.121736702100094</v>
      </c>
    </row>
    <row r="1369" spans="9:11" ht="18" x14ac:dyDescent="0.25">
      <c r="I1369" s="3">
        <v>1993.75</v>
      </c>
      <c r="J1369" s="3">
        <v>44</v>
      </c>
      <c r="K1369" s="3">
        <v>156.787046101686</v>
      </c>
    </row>
    <row r="1370" spans="9:11" ht="18" x14ac:dyDescent="0.25">
      <c r="I1370" s="3">
        <v>1993.8333333333301</v>
      </c>
      <c r="J1370" s="3">
        <v>111</v>
      </c>
      <c r="K1370" s="3">
        <v>224.740055633281</v>
      </c>
    </row>
    <row r="1371" spans="9:11" ht="18" x14ac:dyDescent="0.25">
      <c r="I1371" s="3">
        <v>1993.9166666666599</v>
      </c>
      <c r="J1371" s="3">
        <v>205</v>
      </c>
      <c r="K1371" s="3">
        <v>273.49407396038401</v>
      </c>
    </row>
    <row r="1372" spans="9:11" ht="18" x14ac:dyDescent="0.25">
      <c r="I1372" s="3">
        <v>1994</v>
      </c>
      <c r="J1372" s="3">
        <v>240</v>
      </c>
      <c r="K1372" s="3">
        <v>290.46940812779201</v>
      </c>
    </row>
    <row r="1373" spans="9:11" ht="18" x14ac:dyDescent="0.25">
      <c r="I1373" s="3">
        <v>1994.0833333333301</v>
      </c>
      <c r="J1373" s="3">
        <v>251</v>
      </c>
      <c r="K1373" s="3">
        <v>269.70004550854901</v>
      </c>
    </row>
    <row r="1374" spans="9:11" ht="18" x14ac:dyDescent="0.25">
      <c r="I1374" s="3">
        <v>1994.1666666666599</v>
      </c>
      <c r="J1374" s="3">
        <v>265</v>
      </c>
      <c r="K1374" s="3">
        <v>253.287494455222</v>
      </c>
    </row>
    <row r="1375" spans="9:11" ht="18" x14ac:dyDescent="0.25">
      <c r="I1375" s="3">
        <v>1994.25</v>
      </c>
      <c r="J1375" s="3">
        <v>291</v>
      </c>
      <c r="K1375" s="3">
        <v>250.557715216894</v>
      </c>
    </row>
    <row r="1376" spans="9:11" ht="18" x14ac:dyDescent="0.25">
      <c r="I1376" s="3">
        <v>1994.3333333333301</v>
      </c>
      <c r="J1376" s="3">
        <v>298</v>
      </c>
      <c r="K1376" s="3">
        <v>237.590397643404</v>
      </c>
    </row>
    <row r="1377" spans="9:11" ht="18" x14ac:dyDescent="0.25">
      <c r="I1377" s="3">
        <v>1994.4166666666599</v>
      </c>
      <c r="J1377" s="3">
        <v>318</v>
      </c>
      <c r="K1377" s="3">
        <v>224.67201377662499</v>
      </c>
    </row>
    <row r="1378" spans="9:11" ht="18" x14ac:dyDescent="0.25">
      <c r="I1378" s="3">
        <v>1994.5</v>
      </c>
      <c r="J1378" s="3">
        <v>328</v>
      </c>
      <c r="K1378" s="3">
        <v>203.129222475717</v>
      </c>
    </row>
    <row r="1379" spans="9:11" ht="18" x14ac:dyDescent="0.25">
      <c r="I1379" s="3">
        <v>1994.5833333333301</v>
      </c>
      <c r="J1379" s="3">
        <v>336</v>
      </c>
      <c r="K1379" s="3">
        <v>162.99803548717699</v>
      </c>
    </row>
    <row r="1380" spans="9:11" ht="18" x14ac:dyDescent="0.25">
      <c r="I1380" s="3">
        <v>1994.6666666666599</v>
      </c>
      <c r="J1380" s="3">
        <v>336</v>
      </c>
      <c r="K1380" s="3">
        <v>131.19481498775801</v>
      </c>
    </row>
    <row r="1381" spans="9:11" ht="18" x14ac:dyDescent="0.25">
      <c r="I1381" s="3">
        <v>1994.75</v>
      </c>
      <c r="J1381" s="3">
        <v>271</v>
      </c>
      <c r="K1381" s="3">
        <v>90.632677133530194</v>
      </c>
    </row>
    <row r="1382" spans="9:11" ht="18" x14ac:dyDescent="0.25">
      <c r="I1382" s="3">
        <v>1994.8333333333301</v>
      </c>
      <c r="J1382" s="3">
        <v>9</v>
      </c>
      <c r="K1382" s="3">
        <v>15.6595333571276</v>
      </c>
    </row>
    <row r="1383" spans="9:11" ht="18" x14ac:dyDescent="0.25">
      <c r="I1383" s="3">
        <v>1994.9166666666599</v>
      </c>
      <c r="J1383" s="3">
        <v>-109</v>
      </c>
      <c r="K1383" s="3">
        <v>-63.7208640710423</v>
      </c>
    </row>
    <row r="1384" spans="9:11" ht="18" x14ac:dyDescent="0.25">
      <c r="I1384" s="3">
        <v>1995</v>
      </c>
      <c r="J1384" s="3">
        <v>-167</v>
      </c>
      <c r="K1384" s="3">
        <v>-128.80801342862</v>
      </c>
    </row>
    <row r="1385" spans="9:11" ht="18" x14ac:dyDescent="0.25">
      <c r="I1385" s="3">
        <v>1995.0833333333301</v>
      </c>
      <c r="J1385" s="3">
        <v>-167</v>
      </c>
      <c r="K1385" s="3">
        <v>-167.238330515066</v>
      </c>
    </row>
    <row r="1386" spans="9:11" ht="18" x14ac:dyDescent="0.25">
      <c r="I1386" s="3">
        <v>1995.1666666666599</v>
      </c>
      <c r="J1386" s="3">
        <v>-115</v>
      </c>
      <c r="K1386" s="3">
        <v>-166.09997959085001</v>
      </c>
    </row>
    <row r="1387" spans="9:11" ht="18" x14ac:dyDescent="0.25">
      <c r="I1387" s="3">
        <v>1995.25</v>
      </c>
      <c r="J1387" s="3">
        <v>-110</v>
      </c>
      <c r="K1387" s="3">
        <v>-155.45004947219499</v>
      </c>
    </row>
    <row r="1388" spans="9:11" ht="18" x14ac:dyDescent="0.25">
      <c r="I1388" s="3">
        <v>1995.3333333333301</v>
      </c>
      <c r="J1388" s="3">
        <v>-110</v>
      </c>
      <c r="K1388" s="3">
        <v>-135.81536305743401</v>
      </c>
    </row>
    <row r="1389" spans="9:11" ht="18" x14ac:dyDescent="0.25">
      <c r="I1389" s="3">
        <v>1995.4166666666599</v>
      </c>
      <c r="J1389" s="3">
        <v>-151</v>
      </c>
      <c r="K1389" s="3">
        <v>-81.271634431392101</v>
      </c>
    </row>
    <row r="1390" spans="9:11" ht="18" x14ac:dyDescent="0.25">
      <c r="I1390" s="3">
        <v>1995.5</v>
      </c>
      <c r="J1390" s="3">
        <v>-151</v>
      </c>
      <c r="K1390" s="3">
        <v>-26.8402033136278</v>
      </c>
    </row>
    <row r="1391" spans="9:11" ht="18" x14ac:dyDescent="0.25">
      <c r="I1391" s="3">
        <v>1995.5833333333301</v>
      </c>
      <c r="J1391" s="3">
        <v>-125</v>
      </c>
      <c r="K1391" s="3">
        <v>4.4076207846135498</v>
      </c>
    </row>
    <row r="1392" spans="9:11" ht="18" x14ac:dyDescent="0.25">
      <c r="I1392" s="3">
        <v>1995.6666666666599</v>
      </c>
      <c r="J1392" s="3">
        <v>-72</v>
      </c>
      <c r="K1392" s="3">
        <v>33.4509782409705</v>
      </c>
    </row>
    <row r="1393" spans="9:11" ht="18" x14ac:dyDescent="0.25">
      <c r="I1393" s="3">
        <v>1995.75</v>
      </c>
      <c r="J1393" s="3">
        <v>-34</v>
      </c>
      <c r="K1393" s="3">
        <v>61.998935813233203</v>
      </c>
    </row>
    <row r="1394" spans="9:11" ht="18" x14ac:dyDescent="0.25">
      <c r="I1394" s="3">
        <v>1995.8333333333301</v>
      </c>
      <c r="J1394" s="3">
        <v>32</v>
      </c>
      <c r="K1394" s="3">
        <v>100.85144860813899</v>
      </c>
    </row>
    <row r="1395" spans="9:11" ht="18" x14ac:dyDescent="0.25">
      <c r="I1395" s="3">
        <v>1995.9166666666599</v>
      </c>
      <c r="J1395" s="3">
        <v>131</v>
      </c>
      <c r="K1395" s="3">
        <v>146.69394219409301</v>
      </c>
    </row>
    <row r="1396" spans="9:11" ht="18" x14ac:dyDescent="0.25">
      <c r="I1396" s="3">
        <v>1996</v>
      </c>
      <c r="J1396" s="3">
        <v>169</v>
      </c>
      <c r="K1396" s="3">
        <v>158.69092830737401</v>
      </c>
    </row>
    <row r="1397" spans="9:11" ht="18" x14ac:dyDescent="0.25">
      <c r="I1397" s="3">
        <v>1996.0833333333301</v>
      </c>
      <c r="J1397" s="3">
        <v>183</v>
      </c>
      <c r="K1397" s="3">
        <v>149.150899446213</v>
      </c>
    </row>
    <row r="1398" spans="9:11" ht="18" x14ac:dyDescent="0.25">
      <c r="I1398" s="3">
        <v>1996.1666666666599</v>
      </c>
      <c r="J1398" s="3">
        <v>202</v>
      </c>
      <c r="K1398" s="3">
        <v>154.03185323346801</v>
      </c>
    </row>
    <row r="1399" spans="9:11" ht="18" x14ac:dyDescent="0.25">
      <c r="I1399" s="3">
        <v>1996.25</v>
      </c>
      <c r="J1399" s="3">
        <v>239</v>
      </c>
      <c r="K1399" s="3">
        <v>171.98501326969401</v>
      </c>
    </row>
    <row r="1400" spans="9:11" ht="18" x14ac:dyDescent="0.25">
      <c r="I1400" s="3">
        <v>1996.3333333333301</v>
      </c>
      <c r="J1400" s="3">
        <v>277</v>
      </c>
      <c r="K1400" s="3">
        <v>211.98108144643899</v>
      </c>
    </row>
    <row r="1401" spans="9:11" ht="18" x14ac:dyDescent="0.25">
      <c r="I1401" s="3">
        <v>1996.4166666666599</v>
      </c>
      <c r="J1401" s="3">
        <v>307</v>
      </c>
      <c r="K1401" s="3">
        <v>254.262381563915</v>
      </c>
    </row>
    <row r="1402" spans="9:11" ht="18" x14ac:dyDescent="0.25">
      <c r="I1402" s="3">
        <v>1996.5</v>
      </c>
      <c r="J1402" s="3">
        <v>325</v>
      </c>
      <c r="K1402" s="3">
        <v>249.925330748497</v>
      </c>
    </row>
    <row r="1403" spans="9:11" ht="18" x14ac:dyDescent="0.25">
      <c r="I1403" s="3">
        <v>1996.5833333333301</v>
      </c>
      <c r="J1403" s="3">
        <v>330</v>
      </c>
      <c r="K1403" s="3">
        <v>219.45340696942301</v>
      </c>
    </row>
    <row r="1404" spans="9:11" ht="18" x14ac:dyDescent="0.25">
      <c r="I1404" s="3">
        <v>1996.6666666666599</v>
      </c>
      <c r="J1404" s="3">
        <v>346</v>
      </c>
      <c r="K1404" s="3">
        <v>196.685100657178</v>
      </c>
    </row>
    <row r="1405" spans="9:11" ht="18" x14ac:dyDescent="0.25">
      <c r="I1405" s="3">
        <v>1996.75</v>
      </c>
      <c r="J1405" s="3">
        <v>349</v>
      </c>
      <c r="K1405" s="3">
        <v>171.41895400155701</v>
      </c>
    </row>
    <row r="1406" spans="9:11" ht="18" x14ac:dyDescent="0.25">
      <c r="I1406" s="3">
        <v>1996.8333333333301</v>
      </c>
      <c r="J1406" s="3">
        <v>349</v>
      </c>
      <c r="K1406" s="3">
        <v>138.114393598161</v>
      </c>
    </row>
    <row r="1407" spans="9:11" ht="18" x14ac:dyDescent="0.25">
      <c r="I1407" s="3">
        <v>1996.9166666666599</v>
      </c>
      <c r="J1407" s="3">
        <v>284</v>
      </c>
      <c r="K1407" s="3">
        <v>77.776609888188105</v>
      </c>
    </row>
    <row r="1408" spans="9:11" ht="18" x14ac:dyDescent="0.25">
      <c r="I1408" s="3">
        <v>1997</v>
      </c>
      <c r="J1408" s="3">
        <v>56</v>
      </c>
      <c r="K1408" s="3">
        <v>-9.4303839953748199</v>
      </c>
    </row>
    <row r="1409" spans="9:11" ht="18" x14ac:dyDescent="0.25">
      <c r="I1409" s="3">
        <v>1997.0833333333301</v>
      </c>
      <c r="J1409" s="3">
        <v>-22</v>
      </c>
      <c r="K1409" s="3">
        <v>-67.468901906064602</v>
      </c>
    </row>
    <row r="1410" spans="9:11" ht="18" x14ac:dyDescent="0.25">
      <c r="I1410" s="3">
        <v>1997.1666666666599</v>
      </c>
      <c r="J1410" s="3">
        <v>-100</v>
      </c>
      <c r="K1410" s="3">
        <v>-88.252692713211601</v>
      </c>
    </row>
    <row r="1411" spans="9:11" ht="18" x14ac:dyDescent="0.25">
      <c r="I1411" s="3">
        <v>1997.25</v>
      </c>
      <c r="J1411" s="3">
        <v>-106</v>
      </c>
      <c r="K1411" s="3">
        <v>-101.429815584938</v>
      </c>
    </row>
    <row r="1412" spans="9:11" ht="18" x14ac:dyDescent="0.25">
      <c r="I1412" s="3">
        <v>1997.3333333333301</v>
      </c>
      <c r="J1412" s="3">
        <v>-151</v>
      </c>
      <c r="K1412" s="3">
        <v>-97.136648976224194</v>
      </c>
    </row>
    <row r="1413" spans="9:11" ht="18" x14ac:dyDescent="0.25">
      <c r="I1413" s="3">
        <v>1997.4166666666599</v>
      </c>
      <c r="J1413" s="3">
        <v>-151</v>
      </c>
      <c r="K1413" s="3">
        <v>-85.319239302763705</v>
      </c>
    </row>
    <row r="1414" spans="9:11" ht="18" x14ac:dyDescent="0.25">
      <c r="I1414" s="3">
        <v>1997.5</v>
      </c>
      <c r="J1414" s="3">
        <v>-151</v>
      </c>
      <c r="K1414" s="3">
        <v>-83.935527375541994</v>
      </c>
    </row>
    <row r="1415" spans="9:11" ht="18" x14ac:dyDescent="0.25">
      <c r="I1415" s="3">
        <v>1997.5833333333301</v>
      </c>
      <c r="J1415" s="3">
        <v>-141</v>
      </c>
      <c r="K1415" s="3">
        <v>-77.432993424567201</v>
      </c>
    </row>
    <row r="1416" spans="9:11" ht="18" x14ac:dyDescent="0.25">
      <c r="I1416" s="3">
        <v>1997.6666666666599</v>
      </c>
      <c r="J1416" s="3">
        <v>-114</v>
      </c>
      <c r="K1416" s="3">
        <v>-70.762414794014504</v>
      </c>
    </row>
    <row r="1417" spans="9:11" ht="18" x14ac:dyDescent="0.25">
      <c r="I1417" s="3">
        <v>1997.75</v>
      </c>
      <c r="J1417" s="3">
        <v>-97</v>
      </c>
      <c r="K1417" s="3">
        <v>-56.081790324131298</v>
      </c>
    </row>
    <row r="1418" spans="9:11" ht="18" x14ac:dyDescent="0.25">
      <c r="I1418" s="3">
        <v>1997.8333333333301</v>
      </c>
      <c r="J1418" s="3">
        <v>-75</v>
      </c>
      <c r="K1418" s="3">
        <v>-5.1438638790554103</v>
      </c>
    </row>
    <row r="1419" spans="9:11" ht="18" x14ac:dyDescent="0.25">
      <c r="I1419" s="3">
        <v>1997.9166666666599</v>
      </c>
      <c r="J1419" s="3">
        <v>-15</v>
      </c>
      <c r="K1419" s="3">
        <v>52.862665839564897</v>
      </c>
    </row>
    <row r="1420" spans="9:11" ht="18" x14ac:dyDescent="0.25">
      <c r="I1420" s="3">
        <v>1998</v>
      </c>
      <c r="J1420" s="3">
        <v>49</v>
      </c>
      <c r="K1420" s="3">
        <v>88.823999763822499</v>
      </c>
    </row>
    <row r="1421" spans="9:11" ht="18" x14ac:dyDescent="0.25">
      <c r="I1421" s="3">
        <v>1998.0833333333301</v>
      </c>
      <c r="J1421" s="3">
        <v>50</v>
      </c>
      <c r="K1421" s="3">
        <v>108.276698079219</v>
      </c>
    </row>
    <row r="1422" spans="9:11" ht="18" x14ac:dyDescent="0.25">
      <c r="I1422" s="3">
        <v>1998.1666666666599</v>
      </c>
      <c r="J1422" s="3">
        <v>57</v>
      </c>
      <c r="K1422" s="3">
        <v>101.78776836523799</v>
      </c>
    </row>
    <row r="1423" spans="9:11" ht="18" x14ac:dyDescent="0.25">
      <c r="I1423" s="3">
        <v>1998.25</v>
      </c>
      <c r="J1423" s="3">
        <v>127</v>
      </c>
      <c r="K1423" s="3">
        <v>98.572769131491498</v>
      </c>
    </row>
    <row r="1424" spans="9:11" ht="18" x14ac:dyDescent="0.25">
      <c r="I1424" s="3">
        <v>1998.3333333333301</v>
      </c>
      <c r="J1424" s="3">
        <v>253</v>
      </c>
      <c r="K1424" s="3">
        <v>140.57380186623399</v>
      </c>
    </row>
    <row r="1425" spans="9:11" ht="18" x14ac:dyDescent="0.25">
      <c r="I1425" s="3">
        <v>1998.4166666666599</v>
      </c>
      <c r="J1425" s="3">
        <v>280</v>
      </c>
      <c r="K1425" s="3">
        <v>192.68691473930701</v>
      </c>
    </row>
    <row r="1426" spans="9:11" ht="18" x14ac:dyDescent="0.25">
      <c r="I1426" s="3">
        <v>1998.5</v>
      </c>
      <c r="J1426" s="3">
        <v>297</v>
      </c>
      <c r="K1426" s="3">
        <v>217.62783223008</v>
      </c>
    </row>
    <row r="1427" spans="9:11" ht="18" x14ac:dyDescent="0.25">
      <c r="I1427" s="3">
        <v>1998.5833333333301</v>
      </c>
      <c r="J1427" s="3">
        <v>308</v>
      </c>
      <c r="K1427" s="3">
        <v>216.28478744986199</v>
      </c>
    </row>
    <row r="1428" spans="9:11" ht="18" x14ac:dyDescent="0.25">
      <c r="I1428" s="3">
        <v>1998.6666666666599</v>
      </c>
      <c r="J1428" s="3">
        <v>311</v>
      </c>
      <c r="K1428" s="3">
        <v>196.680274885454</v>
      </c>
    </row>
    <row r="1429" spans="9:11" ht="18" x14ac:dyDescent="0.25">
      <c r="I1429" s="3">
        <v>1998.75</v>
      </c>
      <c r="J1429" s="3">
        <v>311</v>
      </c>
      <c r="K1429" s="3">
        <v>196.74010754170999</v>
      </c>
    </row>
    <row r="1430" spans="9:11" ht="18" x14ac:dyDescent="0.25">
      <c r="I1430" s="3">
        <v>1998.8333333333301</v>
      </c>
      <c r="J1430" s="3">
        <v>292</v>
      </c>
      <c r="K1430" s="3">
        <v>216.65078401927801</v>
      </c>
    </row>
    <row r="1431" spans="9:11" ht="18" x14ac:dyDescent="0.25">
      <c r="I1431" s="3">
        <v>1998.9166666666599</v>
      </c>
      <c r="J1431" s="3">
        <v>68</v>
      </c>
      <c r="K1431" s="3">
        <v>197.68786806370699</v>
      </c>
    </row>
    <row r="1432" spans="9:11" ht="18" x14ac:dyDescent="0.25">
      <c r="I1432" s="3">
        <v>1999</v>
      </c>
      <c r="J1432" s="3">
        <v>-70</v>
      </c>
      <c r="K1432" s="3">
        <v>141.78310378557001</v>
      </c>
    </row>
    <row r="1433" spans="9:11" ht="18" x14ac:dyDescent="0.25">
      <c r="I1433" s="3">
        <v>1999.0833333333301</v>
      </c>
      <c r="J1433" s="3">
        <v>-99</v>
      </c>
      <c r="K1433" s="3">
        <v>85.828935497954404</v>
      </c>
    </row>
    <row r="1434" spans="9:11" ht="18" x14ac:dyDescent="0.25">
      <c r="I1434" s="3">
        <v>1999.1666666666599</v>
      </c>
      <c r="J1434" s="3">
        <v>-99</v>
      </c>
      <c r="K1434" s="3">
        <v>37.6174001507149</v>
      </c>
    </row>
    <row r="1435" spans="9:11" ht="18" x14ac:dyDescent="0.25">
      <c r="I1435" s="3">
        <v>1999.25</v>
      </c>
      <c r="J1435" s="3">
        <v>-131</v>
      </c>
      <c r="K1435" s="3">
        <v>19.203160669522902</v>
      </c>
    </row>
    <row r="1436" spans="9:11" ht="18" x14ac:dyDescent="0.25">
      <c r="I1436" s="3">
        <v>1999.3333333333301</v>
      </c>
      <c r="J1436" s="3">
        <v>-126</v>
      </c>
      <c r="K1436" s="3">
        <v>27.2634037042443</v>
      </c>
    </row>
    <row r="1437" spans="9:11" ht="18" x14ac:dyDescent="0.25">
      <c r="I1437" s="3">
        <v>1999.4166666666599</v>
      </c>
      <c r="J1437" s="3">
        <v>-137</v>
      </c>
      <c r="K1437" s="3">
        <v>28.494434616262399</v>
      </c>
    </row>
    <row r="1438" spans="9:11" ht="18" x14ac:dyDescent="0.25">
      <c r="I1438" s="3">
        <v>1999.5</v>
      </c>
      <c r="J1438" s="3">
        <v>-126</v>
      </c>
      <c r="K1438" s="3">
        <v>29.161354095804398</v>
      </c>
    </row>
    <row r="1439" spans="9:11" ht="18" x14ac:dyDescent="0.25">
      <c r="I1439" s="3">
        <v>1999.5833333333301</v>
      </c>
      <c r="J1439" s="3">
        <v>-111</v>
      </c>
      <c r="K1439" s="3">
        <v>24.979034119770699</v>
      </c>
    </row>
    <row r="1440" spans="9:11" ht="18" x14ac:dyDescent="0.25">
      <c r="I1440" s="3">
        <v>1999.6666666666599</v>
      </c>
      <c r="J1440" s="3">
        <v>-110</v>
      </c>
      <c r="K1440" s="3">
        <v>-0.23876922766908101</v>
      </c>
    </row>
    <row r="1441" spans="9:11" ht="18" x14ac:dyDescent="0.25">
      <c r="I1441" s="3">
        <v>1999.75</v>
      </c>
      <c r="J1441" s="3">
        <v>-101</v>
      </c>
      <c r="K1441" s="3">
        <v>-21.4429162819408</v>
      </c>
    </row>
    <row r="1442" spans="9:11" ht="18" x14ac:dyDescent="0.25">
      <c r="I1442" s="3">
        <v>1999.8333333333301</v>
      </c>
      <c r="J1442" s="3">
        <v>-91</v>
      </c>
      <c r="K1442" s="3">
        <v>-39.046726513153502</v>
      </c>
    </row>
    <row r="1443" spans="9:11" ht="18" x14ac:dyDescent="0.25">
      <c r="I1443" s="3">
        <v>1999.9166666666599</v>
      </c>
      <c r="J1443" s="3">
        <v>-61</v>
      </c>
      <c r="K1443" s="3">
        <v>-66.669308723866095</v>
      </c>
    </row>
    <row r="1444" spans="9:11" ht="18" x14ac:dyDescent="0.25">
      <c r="I1444" s="3">
        <v>2000</v>
      </c>
      <c r="J1444" s="3">
        <v>-61</v>
      </c>
      <c r="K1444" s="3">
        <v>-80.952136208210106</v>
      </c>
    </row>
    <row r="1445" spans="9:11" ht="18" x14ac:dyDescent="0.25">
      <c r="I1445" s="3">
        <v>2000.0833333333301</v>
      </c>
      <c r="J1445" s="3">
        <v>-74</v>
      </c>
      <c r="K1445" s="3">
        <v>-94.180198316548001</v>
      </c>
    </row>
    <row r="1446" spans="9:11" ht="18" x14ac:dyDescent="0.25">
      <c r="I1446" s="3">
        <v>2000.1666666666599</v>
      </c>
      <c r="J1446" s="3">
        <v>-95</v>
      </c>
      <c r="K1446" s="3">
        <v>-122.764828919263</v>
      </c>
    </row>
    <row r="1447" spans="9:11" ht="18" x14ac:dyDescent="0.25">
      <c r="I1447" s="3">
        <v>2000.25</v>
      </c>
      <c r="J1447" s="3">
        <v>-95</v>
      </c>
      <c r="K1447" s="3">
        <v>-125.497921951618</v>
      </c>
    </row>
    <row r="1448" spans="9:11" ht="18" x14ac:dyDescent="0.25">
      <c r="I1448" s="3">
        <v>2000.3333333333301</v>
      </c>
      <c r="J1448" s="3">
        <v>-61</v>
      </c>
      <c r="K1448" s="3">
        <v>-81.675116336054998</v>
      </c>
    </row>
    <row r="1449" spans="9:11" ht="18" x14ac:dyDescent="0.25">
      <c r="I1449" s="3">
        <v>2000.4166666666599</v>
      </c>
      <c r="J1449" s="3">
        <v>71</v>
      </c>
      <c r="K1449" s="3">
        <v>0.22290460026435699</v>
      </c>
    </row>
    <row r="1450" spans="9:11" ht="18" x14ac:dyDescent="0.25">
      <c r="I1450" s="3">
        <v>2000.5</v>
      </c>
      <c r="J1450" s="3">
        <v>227</v>
      </c>
      <c r="K1450" s="3">
        <v>97.457660378089798</v>
      </c>
    </row>
    <row r="1451" spans="9:11" ht="18" x14ac:dyDescent="0.25">
      <c r="I1451" s="3">
        <v>2000.5833333333301</v>
      </c>
      <c r="J1451" s="3">
        <v>282</v>
      </c>
      <c r="K1451" s="3">
        <v>150.31581011700999</v>
      </c>
    </row>
    <row r="1452" spans="9:11" ht="18" x14ac:dyDescent="0.25">
      <c r="I1452" s="3">
        <v>2000.6666666666599</v>
      </c>
      <c r="J1452" s="3">
        <v>288</v>
      </c>
      <c r="K1452" s="3">
        <v>155.19683186098499</v>
      </c>
    </row>
    <row r="1453" spans="9:11" ht="18" x14ac:dyDescent="0.25">
      <c r="I1453" s="3">
        <v>2000.75</v>
      </c>
      <c r="J1453" s="3">
        <v>288</v>
      </c>
      <c r="K1453" s="3">
        <v>167.75168238101</v>
      </c>
    </row>
    <row r="1454" spans="9:11" ht="18" x14ac:dyDescent="0.25">
      <c r="I1454" s="3">
        <v>2000.8333333333301</v>
      </c>
      <c r="J1454" s="3">
        <v>275</v>
      </c>
      <c r="K1454" s="3">
        <v>187.22719747872301</v>
      </c>
    </row>
    <row r="1455" spans="9:11" ht="18" x14ac:dyDescent="0.25">
      <c r="I1455" s="3">
        <v>2000.9166666666599</v>
      </c>
      <c r="J1455" s="3">
        <v>259</v>
      </c>
      <c r="K1455" s="3">
        <v>197.25456589473799</v>
      </c>
    </row>
    <row r="1456" spans="9:11" ht="18" x14ac:dyDescent="0.25">
      <c r="I1456" s="3">
        <v>2001</v>
      </c>
      <c r="J1456" s="3">
        <v>259</v>
      </c>
      <c r="K1456" s="3">
        <v>202.247155446189</v>
      </c>
    </row>
    <row r="1457" spans="9:11" ht="18" x14ac:dyDescent="0.25">
      <c r="I1457" s="3">
        <v>2001.0833333333301</v>
      </c>
      <c r="J1457" s="3">
        <v>272</v>
      </c>
      <c r="K1457" s="3">
        <v>190.341237033488</v>
      </c>
    </row>
    <row r="1458" spans="9:11" ht="18" x14ac:dyDescent="0.25">
      <c r="I1458" s="3">
        <v>2001.1666666666599</v>
      </c>
      <c r="J1458" s="3">
        <v>272</v>
      </c>
      <c r="K1458" s="3">
        <v>183.16906639326999</v>
      </c>
    </row>
    <row r="1459" spans="9:11" ht="18" x14ac:dyDescent="0.25">
      <c r="I1459" s="3">
        <v>2001.25</v>
      </c>
      <c r="J1459" s="3">
        <v>272</v>
      </c>
      <c r="K1459" s="3">
        <v>206.03394262152301</v>
      </c>
    </row>
    <row r="1460" spans="9:11" ht="18" x14ac:dyDescent="0.25">
      <c r="I1460" s="3">
        <v>2001.3333333333301</v>
      </c>
      <c r="J1460" s="3">
        <v>309</v>
      </c>
      <c r="K1460" s="3">
        <v>227.35471609452199</v>
      </c>
    </row>
    <row r="1461" spans="9:11" ht="18" x14ac:dyDescent="0.25">
      <c r="I1461" s="3">
        <v>2001.4166666666599</v>
      </c>
      <c r="J1461" s="3">
        <v>318</v>
      </c>
      <c r="K1461" s="3">
        <v>231.94893239613401</v>
      </c>
    </row>
    <row r="1462" spans="9:11" ht="18" x14ac:dyDescent="0.25">
      <c r="I1462" s="3">
        <v>2001.5</v>
      </c>
      <c r="J1462" s="3">
        <v>331</v>
      </c>
      <c r="K1462" s="3">
        <v>218.399286388392</v>
      </c>
    </row>
    <row r="1463" spans="9:11" ht="18" x14ac:dyDescent="0.25">
      <c r="I1463" s="3">
        <v>2001.5833333333301</v>
      </c>
      <c r="J1463" s="3">
        <v>349</v>
      </c>
      <c r="K1463" s="3">
        <v>171.86624338793399</v>
      </c>
    </row>
    <row r="1464" spans="9:11" ht="18" x14ac:dyDescent="0.25">
      <c r="I1464" s="3">
        <v>2001.6666666666599</v>
      </c>
      <c r="J1464" s="3">
        <v>349</v>
      </c>
      <c r="K1464" s="3">
        <v>123.817378744066</v>
      </c>
    </row>
    <row r="1465" spans="9:11" ht="18" x14ac:dyDescent="0.25">
      <c r="I1465" s="3">
        <v>2001.75</v>
      </c>
      <c r="J1465" s="3">
        <v>307</v>
      </c>
      <c r="K1465" s="3">
        <v>93.147920051958707</v>
      </c>
    </row>
    <row r="1466" spans="9:11" ht="18" x14ac:dyDescent="0.25">
      <c r="I1466" s="3">
        <v>2001.8333333333301</v>
      </c>
      <c r="J1466" s="3">
        <v>136</v>
      </c>
      <c r="K1466" s="3">
        <v>49.338948554989997</v>
      </c>
    </row>
    <row r="1467" spans="9:11" ht="18" x14ac:dyDescent="0.25">
      <c r="I1467" s="3">
        <v>2001.9166666666599</v>
      </c>
      <c r="J1467" s="3">
        <v>-21</v>
      </c>
      <c r="K1467" s="3">
        <v>3.3463652598212201</v>
      </c>
    </row>
    <row r="1468" spans="9:11" ht="18" x14ac:dyDescent="0.25">
      <c r="I1468" s="3">
        <v>2002</v>
      </c>
      <c r="J1468" s="3">
        <v>-118</v>
      </c>
      <c r="K1468" s="3">
        <v>-27.0989262543509</v>
      </c>
    </row>
    <row r="1469" spans="9:11" ht="18" x14ac:dyDescent="0.25">
      <c r="I1469" s="3">
        <v>2002.0833333333301</v>
      </c>
      <c r="J1469" s="3">
        <v>-140</v>
      </c>
      <c r="K1469" s="3">
        <v>-59.071268604058702</v>
      </c>
    </row>
    <row r="1470" spans="9:11" ht="18" x14ac:dyDescent="0.25">
      <c r="I1470" s="3">
        <v>2002.1666666666599</v>
      </c>
      <c r="J1470" s="3">
        <v>-148</v>
      </c>
      <c r="K1470" s="3">
        <v>-90.808948639238096</v>
      </c>
    </row>
    <row r="1471" spans="9:11" ht="18" x14ac:dyDescent="0.25">
      <c r="I1471" s="3">
        <v>2002.25</v>
      </c>
      <c r="J1471" s="3">
        <v>-148</v>
      </c>
      <c r="K1471" s="3">
        <v>-128.423166111396</v>
      </c>
    </row>
    <row r="1472" spans="9:11" ht="18" x14ac:dyDescent="0.25">
      <c r="I1472" s="3">
        <v>2002.3333333333301</v>
      </c>
      <c r="J1472" s="3">
        <v>-133</v>
      </c>
      <c r="K1472" s="3">
        <v>-170.026018608176</v>
      </c>
    </row>
    <row r="1473" spans="9:11" ht="18" x14ac:dyDescent="0.25">
      <c r="I1473" s="3">
        <v>2002.4166666666599</v>
      </c>
      <c r="J1473" s="3">
        <v>-129</v>
      </c>
      <c r="K1473" s="3">
        <v>-170.23127442044401</v>
      </c>
    </row>
    <row r="1474" spans="9:11" ht="18" x14ac:dyDescent="0.25">
      <c r="I1474" s="3">
        <v>2002.5</v>
      </c>
      <c r="J1474" s="3">
        <v>-103</v>
      </c>
      <c r="K1474" s="3">
        <v>-136.832287676504</v>
      </c>
    </row>
    <row r="1475" spans="9:11" ht="18" x14ac:dyDescent="0.25">
      <c r="I1475" s="3">
        <v>2002.5833333333301</v>
      </c>
      <c r="J1475" s="3">
        <v>-92</v>
      </c>
      <c r="K1475" s="3">
        <v>-114.54997461804901</v>
      </c>
    </row>
    <row r="1476" spans="9:11" ht="18" x14ac:dyDescent="0.25">
      <c r="I1476" s="3">
        <v>2002.6666666666599</v>
      </c>
      <c r="J1476" s="3">
        <v>-83</v>
      </c>
      <c r="K1476" s="3">
        <v>-93.769743472934906</v>
      </c>
    </row>
    <row r="1477" spans="9:11" ht="18" x14ac:dyDescent="0.25">
      <c r="I1477" s="3">
        <v>2002.75</v>
      </c>
      <c r="J1477" s="3">
        <v>-65</v>
      </c>
      <c r="K1477" s="3">
        <v>-66.912204862711903</v>
      </c>
    </row>
    <row r="1478" spans="9:11" ht="18" x14ac:dyDescent="0.25">
      <c r="I1478" s="3">
        <v>2002.8333333333301</v>
      </c>
      <c r="J1478" s="3">
        <v>-41</v>
      </c>
      <c r="K1478" s="3">
        <v>-34.6772979183689</v>
      </c>
    </row>
    <row r="1479" spans="9:11" ht="18" x14ac:dyDescent="0.25">
      <c r="I1479" s="3">
        <v>2002.9166666666599</v>
      </c>
      <c r="J1479" s="3">
        <v>41</v>
      </c>
      <c r="K1479" s="3">
        <v>19.3732082724447</v>
      </c>
    </row>
    <row r="1480" spans="9:11" ht="18" x14ac:dyDescent="0.25">
      <c r="I1480" s="3">
        <v>2003</v>
      </c>
      <c r="J1480" s="3">
        <v>41</v>
      </c>
      <c r="K1480" s="3">
        <v>70.292687530459204</v>
      </c>
    </row>
    <row r="1481" spans="9:11" ht="18" x14ac:dyDescent="0.25">
      <c r="I1481" s="3">
        <v>2003.0833333333301</v>
      </c>
      <c r="J1481" s="3">
        <v>14</v>
      </c>
      <c r="K1481" s="3">
        <v>101.120924086408</v>
      </c>
    </row>
    <row r="1482" spans="9:11" ht="18" x14ac:dyDescent="0.25">
      <c r="I1482" s="3">
        <v>2003.1666666666599</v>
      </c>
      <c r="J1482" s="3">
        <v>14</v>
      </c>
      <c r="K1482" s="3">
        <v>141.278313213356</v>
      </c>
    </row>
    <row r="1483" spans="9:11" ht="18" x14ac:dyDescent="0.25">
      <c r="I1483" s="3">
        <v>2003.25</v>
      </c>
      <c r="J1483" s="3">
        <v>73</v>
      </c>
      <c r="K1483" s="3">
        <v>190.493057684349</v>
      </c>
    </row>
    <row r="1484" spans="9:11" ht="18" x14ac:dyDescent="0.25">
      <c r="I1484" s="3">
        <v>2003.3333333333301</v>
      </c>
      <c r="J1484" s="3">
        <v>194</v>
      </c>
      <c r="K1484" s="3">
        <v>244.57539365712199</v>
      </c>
    </row>
    <row r="1485" spans="9:11" ht="18" x14ac:dyDescent="0.25">
      <c r="I1485" s="3">
        <v>2003.4166666666599</v>
      </c>
      <c r="J1485" s="3">
        <v>269</v>
      </c>
      <c r="K1485" s="3">
        <v>305.325323968492</v>
      </c>
    </row>
    <row r="1486" spans="9:11" ht="18" x14ac:dyDescent="0.25">
      <c r="I1486" s="3">
        <v>2003.5</v>
      </c>
      <c r="J1486" s="3">
        <v>288</v>
      </c>
      <c r="K1486" s="3">
        <v>332.42270354909601</v>
      </c>
    </row>
    <row r="1487" spans="9:11" ht="18" x14ac:dyDescent="0.25">
      <c r="I1487" s="3">
        <v>2003.5833333333301</v>
      </c>
      <c r="J1487" s="3">
        <v>313</v>
      </c>
      <c r="K1487" s="3">
        <v>326.44363287853599</v>
      </c>
    </row>
    <row r="1488" spans="9:11" ht="18" x14ac:dyDescent="0.25">
      <c r="I1488" s="3">
        <v>2003.6666666666599</v>
      </c>
      <c r="J1488" s="3">
        <v>313</v>
      </c>
      <c r="K1488" s="3">
        <v>332.49019986585301</v>
      </c>
    </row>
    <row r="1489" spans="9:11" ht="18" x14ac:dyDescent="0.25">
      <c r="I1489" s="3">
        <v>2003.75</v>
      </c>
      <c r="J1489" s="3">
        <v>313</v>
      </c>
      <c r="K1489" s="3">
        <v>338.36976355849703</v>
      </c>
    </row>
    <row r="1490" spans="9:11" ht="18" x14ac:dyDescent="0.25">
      <c r="I1490" s="3">
        <v>2003.8333333333301</v>
      </c>
      <c r="J1490" s="3">
        <v>313</v>
      </c>
      <c r="K1490" s="3">
        <v>317.20848098590898</v>
      </c>
    </row>
    <row r="1491" spans="9:11" ht="18" x14ac:dyDescent="0.25">
      <c r="I1491" s="3">
        <v>2003.9166666666599</v>
      </c>
      <c r="J1491" s="3">
        <v>312</v>
      </c>
      <c r="K1491" s="3">
        <v>259.20225786922799</v>
      </c>
    </row>
    <row r="1492" spans="9:11" ht="18" x14ac:dyDescent="0.25">
      <c r="I1492" s="3">
        <v>2004</v>
      </c>
      <c r="J1492" s="3">
        <v>165</v>
      </c>
      <c r="K1492" s="3">
        <v>156.317272041666</v>
      </c>
    </row>
    <row r="1493" spans="9:11" ht="18" x14ac:dyDescent="0.25">
      <c r="I1493" s="3">
        <v>2004.0833333333301</v>
      </c>
      <c r="J1493" s="3">
        <v>16</v>
      </c>
      <c r="K1493" s="3">
        <v>51.146761363264297</v>
      </c>
    </row>
    <row r="1494" spans="9:11" ht="18" x14ac:dyDescent="0.25">
      <c r="I1494" s="3">
        <v>2004.1666666666599</v>
      </c>
      <c r="J1494" s="3">
        <v>-78</v>
      </c>
      <c r="K1494" s="3">
        <v>-22.7023631942794</v>
      </c>
    </row>
    <row r="1495" spans="9:11" ht="18" x14ac:dyDescent="0.25">
      <c r="I1495" s="3">
        <v>2004.25</v>
      </c>
      <c r="J1495" s="3">
        <v>-112</v>
      </c>
      <c r="K1495" s="3">
        <v>-89.569027500777096</v>
      </c>
    </row>
    <row r="1496" spans="9:11" ht="18" x14ac:dyDescent="0.25">
      <c r="I1496" s="3">
        <v>2004.3333333333301</v>
      </c>
      <c r="J1496" s="3">
        <v>-120</v>
      </c>
      <c r="K1496" s="3">
        <v>-138.606949890701</v>
      </c>
    </row>
    <row r="1497" spans="9:11" ht="18" x14ac:dyDescent="0.25">
      <c r="I1497" s="3">
        <v>2004.4166666666599</v>
      </c>
      <c r="J1497" s="3">
        <v>-120</v>
      </c>
      <c r="K1497" s="3">
        <v>-149.597675495338</v>
      </c>
    </row>
    <row r="1498" spans="9:11" ht="18" x14ac:dyDescent="0.25">
      <c r="I1498" s="3">
        <v>2004.5</v>
      </c>
      <c r="J1498" s="3">
        <v>-95</v>
      </c>
      <c r="K1498" s="3">
        <v>-145.06418107585401</v>
      </c>
    </row>
    <row r="1499" spans="9:11" ht="18" x14ac:dyDescent="0.25">
      <c r="I1499" s="3">
        <v>2004.5833333333301</v>
      </c>
      <c r="J1499" s="3">
        <v>-95</v>
      </c>
      <c r="K1499" s="3">
        <v>-127.932599508289</v>
      </c>
    </row>
    <row r="1500" spans="9:11" ht="18" x14ac:dyDescent="0.25">
      <c r="I1500" s="3">
        <v>2004.6666666666599</v>
      </c>
      <c r="J1500" s="3">
        <v>-90</v>
      </c>
      <c r="K1500" s="3">
        <v>-108.963398860472</v>
      </c>
    </row>
    <row r="1501" spans="9:11" ht="18" x14ac:dyDescent="0.25">
      <c r="I1501" s="3">
        <v>2004.75</v>
      </c>
      <c r="J1501" s="3">
        <v>-88</v>
      </c>
      <c r="K1501" s="3">
        <v>-116.29640954380901</v>
      </c>
    </row>
    <row r="1502" spans="9:11" ht="18" x14ac:dyDescent="0.25">
      <c r="I1502" s="3">
        <v>2004.8333333333301</v>
      </c>
      <c r="J1502" s="3">
        <v>-73</v>
      </c>
      <c r="K1502" s="3">
        <v>-129.634449951568</v>
      </c>
    </row>
    <row r="1503" spans="9:11" ht="18" x14ac:dyDescent="0.25">
      <c r="I1503" s="3">
        <v>2004.9166666666599</v>
      </c>
      <c r="J1503" s="3">
        <v>-48</v>
      </c>
      <c r="K1503" s="3">
        <v>-135.555218161461</v>
      </c>
    </row>
    <row r="1504" spans="9:11" ht="18" x14ac:dyDescent="0.25">
      <c r="I1504" s="3">
        <v>2005</v>
      </c>
      <c r="J1504" s="3">
        <v>-14</v>
      </c>
      <c r="K1504" s="3">
        <v>-141.262805279048</v>
      </c>
    </row>
    <row r="1505" spans="9:11" ht="18" x14ac:dyDescent="0.25">
      <c r="I1505" s="3">
        <v>2005.0833333333301</v>
      </c>
      <c r="J1505" s="3">
        <v>-14</v>
      </c>
      <c r="K1505" s="3">
        <v>-120.02906588787</v>
      </c>
    </row>
    <row r="1506" spans="9:11" ht="18" x14ac:dyDescent="0.25">
      <c r="I1506" s="3">
        <v>2005.1666666666599</v>
      </c>
      <c r="J1506" s="3">
        <v>9</v>
      </c>
      <c r="K1506" s="3">
        <v>-69.238002053856803</v>
      </c>
    </row>
    <row r="1507" spans="9:11" ht="18" x14ac:dyDescent="0.25">
      <c r="I1507" s="3">
        <v>2005.25</v>
      </c>
      <c r="J1507" s="3">
        <v>9</v>
      </c>
      <c r="K1507" s="3">
        <v>0.17923634546212899</v>
      </c>
    </row>
    <row r="1508" spans="9:11" ht="18" x14ac:dyDescent="0.25">
      <c r="I1508" s="3">
        <v>2005.3333333333301</v>
      </c>
      <c r="J1508" s="3">
        <v>178</v>
      </c>
      <c r="K1508" s="3">
        <v>107.32059811007301</v>
      </c>
    </row>
    <row r="1509" spans="9:11" ht="18" x14ac:dyDescent="0.25">
      <c r="I1509" s="3">
        <v>2005.4166666666599</v>
      </c>
      <c r="J1509" s="3">
        <v>266</v>
      </c>
      <c r="K1509" s="3">
        <v>216.900255173375</v>
      </c>
    </row>
    <row r="1510" spans="9:11" ht="18" x14ac:dyDescent="0.25">
      <c r="I1510" s="3">
        <v>2005.5</v>
      </c>
      <c r="J1510" s="3">
        <v>286</v>
      </c>
      <c r="K1510" s="3">
        <v>270.49939254679202</v>
      </c>
    </row>
    <row r="1511" spans="9:11" ht="18" x14ac:dyDescent="0.25">
      <c r="I1511" s="3">
        <v>2005.5833333333301</v>
      </c>
      <c r="J1511" s="3">
        <v>309</v>
      </c>
      <c r="K1511" s="3">
        <v>278.98511412260802</v>
      </c>
    </row>
    <row r="1512" spans="9:11" ht="18" x14ac:dyDescent="0.25">
      <c r="I1512" s="3">
        <v>2005.6666666666599</v>
      </c>
      <c r="J1512" s="3">
        <v>316</v>
      </c>
      <c r="K1512" s="3">
        <v>270.96788548275299</v>
      </c>
    </row>
    <row r="1513" spans="9:11" ht="18" x14ac:dyDescent="0.25">
      <c r="I1513" s="3">
        <v>2005.75</v>
      </c>
      <c r="J1513" s="3">
        <v>318</v>
      </c>
      <c r="K1513" s="3">
        <v>275.63163649776101</v>
      </c>
    </row>
    <row r="1514" spans="9:11" ht="18" x14ac:dyDescent="0.25">
      <c r="I1514" s="3">
        <v>2005.8333333333301</v>
      </c>
      <c r="J1514" s="3">
        <v>320</v>
      </c>
      <c r="K1514" s="3">
        <v>307.85771588674402</v>
      </c>
    </row>
    <row r="1515" spans="9:11" ht="18" x14ac:dyDescent="0.25">
      <c r="I1515" s="3">
        <v>2005.9166666666599</v>
      </c>
      <c r="J1515" s="3">
        <v>324</v>
      </c>
      <c r="K1515" s="3">
        <v>315.79654482718001</v>
      </c>
    </row>
    <row r="1516" spans="9:11" ht="18" x14ac:dyDescent="0.25">
      <c r="I1516" s="3">
        <v>2006</v>
      </c>
      <c r="J1516" s="3">
        <v>324</v>
      </c>
      <c r="K1516" s="3">
        <v>275.42834968258398</v>
      </c>
    </row>
    <row r="1517" spans="9:11" ht="18" x14ac:dyDescent="0.25">
      <c r="I1517" s="3">
        <v>2006.0833333333301</v>
      </c>
      <c r="J1517" s="3">
        <v>288</v>
      </c>
      <c r="K1517" s="3">
        <v>228.36721939766201</v>
      </c>
    </row>
    <row r="1518" spans="9:11" ht="18" x14ac:dyDescent="0.25">
      <c r="I1518" s="3">
        <v>2006.1666666666599</v>
      </c>
      <c r="J1518" s="3">
        <v>93</v>
      </c>
      <c r="K1518" s="3">
        <v>183.36418307287701</v>
      </c>
    </row>
    <row r="1519" spans="9:11" ht="18" x14ac:dyDescent="0.25">
      <c r="I1519" s="3">
        <v>2006.25</v>
      </c>
      <c r="J1519" s="3">
        <v>-83</v>
      </c>
      <c r="K1519" s="3">
        <v>140.892712337896</v>
      </c>
    </row>
    <row r="1520" spans="9:11" ht="18" x14ac:dyDescent="0.25">
      <c r="I1520" s="3">
        <v>2006.3333333333301</v>
      </c>
      <c r="J1520" s="3">
        <v>-85</v>
      </c>
      <c r="K1520" s="3">
        <v>108.680242658111</v>
      </c>
    </row>
    <row r="1521" spans="9:11" ht="18" x14ac:dyDescent="0.25">
      <c r="I1521" s="3">
        <v>2006.4166666666599</v>
      </c>
      <c r="J1521" s="3">
        <v>-106</v>
      </c>
      <c r="K1521" s="3">
        <v>57.482413656060999</v>
      </c>
    </row>
    <row r="1522" spans="9:11" ht="18" x14ac:dyDescent="0.25">
      <c r="I1522" s="3">
        <v>2006.5</v>
      </c>
      <c r="J1522" s="3">
        <v>-123</v>
      </c>
      <c r="K1522" s="3">
        <v>-9.8749829792524793</v>
      </c>
    </row>
    <row r="1523" spans="9:11" ht="18" x14ac:dyDescent="0.25">
      <c r="I1523" s="3">
        <v>2006.5833333333301</v>
      </c>
      <c r="J1523" s="3">
        <v>-123</v>
      </c>
      <c r="K1523" s="3">
        <v>-61.742820031240598</v>
      </c>
    </row>
    <row r="1524" spans="9:11" ht="18" x14ac:dyDescent="0.25">
      <c r="I1524" s="3">
        <v>2006.6666666666599</v>
      </c>
      <c r="J1524" s="3">
        <v>-109</v>
      </c>
      <c r="K1524" s="3">
        <v>-103.78207545847199</v>
      </c>
    </row>
    <row r="1525" spans="9:11" ht="18" x14ac:dyDescent="0.25">
      <c r="I1525" s="3">
        <v>2006.75</v>
      </c>
      <c r="J1525" s="3">
        <v>-93</v>
      </c>
      <c r="K1525" s="3">
        <v>-129.53935187291901</v>
      </c>
    </row>
    <row r="1526" spans="9:11" ht="18" x14ac:dyDescent="0.25">
      <c r="I1526" s="3">
        <v>2006.8333333333301</v>
      </c>
      <c r="J1526" s="3">
        <v>-93</v>
      </c>
      <c r="K1526" s="3">
        <v>-135.71259538982099</v>
      </c>
    </row>
    <row r="1527" spans="9:11" ht="18" x14ac:dyDescent="0.25">
      <c r="I1527" s="3">
        <v>2006.9166666666599</v>
      </c>
      <c r="J1527" s="3">
        <v>-89</v>
      </c>
      <c r="K1527" s="3">
        <v>-149.908067227054</v>
      </c>
    </row>
    <row r="1528" spans="9:11" ht="18" x14ac:dyDescent="0.25">
      <c r="I1528" s="3">
        <v>2007</v>
      </c>
      <c r="J1528" s="3">
        <v>-73</v>
      </c>
      <c r="K1528" s="3">
        <v>-156.359709644269</v>
      </c>
    </row>
    <row r="1529" spans="9:11" ht="18" x14ac:dyDescent="0.25">
      <c r="I1529" s="3">
        <v>2007.0833333333301</v>
      </c>
      <c r="J1529" s="3">
        <v>-54</v>
      </c>
      <c r="K1529" s="3">
        <v>-139.609961354185</v>
      </c>
    </row>
    <row r="1530" spans="9:11" ht="18" x14ac:dyDescent="0.25">
      <c r="I1530" s="3">
        <v>2007.1666666666599</v>
      </c>
      <c r="J1530" s="3">
        <v>-53</v>
      </c>
      <c r="K1530" s="3">
        <v>-124.96572263483201</v>
      </c>
    </row>
    <row r="1531" spans="9:11" ht="18" x14ac:dyDescent="0.25">
      <c r="I1531" s="3">
        <v>2007.25</v>
      </c>
      <c r="J1531" s="3">
        <v>-14</v>
      </c>
      <c r="K1531" s="3">
        <v>-93.681326695057507</v>
      </c>
    </row>
    <row r="1532" spans="9:11" ht="18" x14ac:dyDescent="0.25">
      <c r="I1532" s="3">
        <v>2007.3333333333301</v>
      </c>
      <c r="J1532" s="3">
        <v>147</v>
      </c>
      <c r="K1532" s="3">
        <v>-22.762058244783798</v>
      </c>
    </row>
    <row r="1533" spans="9:11" ht="18" x14ac:dyDescent="0.25">
      <c r="I1533" s="3">
        <v>2007.4166666666599</v>
      </c>
      <c r="J1533" s="3">
        <v>253</v>
      </c>
      <c r="K1533" s="3">
        <v>61.489416571731901</v>
      </c>
    </row>
    <row r="1534" spans="9:11" ht="18" x14ac:dyDescent="0.25">
      <c r="I1534" s="3">
        <v>2007.5</v>
      </c>
      <c r="J1534" s="3">
        <v>297</v>
      </c>
      <c r="K1534" s="3">
        <v>138.51415534896199</v>
      </c>
    </row>
    <row r="1535" spans="9:11" ht="18" x14ac:dyDescent="0.25">
      <c r="I1535" s="3">
        <v>2007.5833333333301</v>
      </c>
      <c r="J1535" s="3">
        <v>313</v>
      </c>
      <c r="K1535" s="3">
        <v>182.07591087195499</v>
      </c>
    </row>
    <row r="1536" spans="9:11" ht="18" x14ac:dyDescent="0.25">
      <c r="I1536" s="3">
        <v>2007.6666666666599</v>
      </c>
      <c r="J1536" s="3">
        <v>316</v>
      </c>
      <c r="K1536" s="3">
        <v>187.75957234930601</v>
      </c>
    </row>
    <row r="1537" spans="9:11" ht="18" x14ac:dyDescent="0.25">
      <c r="I1537" s="3">
        <v>2007.75</v>
      </c>
      <c r="J1537" s="3">
        <v>316</v>
      </c>
      <c r="K1537" s="3">
        <v>213.204603522631</v>
      </c>
    </row>
    <row r="1538" spans="9:11" ht="18" x14ac:dyDescent="0.25">
      <c r="I1538" s="3">
        <v>2007.8333333333301</v>
      </c>
      <c r="J1538" s="3">
        <v>320</v>
      </c>
      <c r="K1538" s="3">
        <v>265.84385147242102</v>
      </c>
    </row>
    <row r="1539" spans="9:11" ht="18" x14ac:dyDescent="0.25">
      <c r="I1539" s="3">
        <v>2007.9166666666599</v>
      </c>
      <c r="J1539" s="3">
        <v>316</v>
      </c>
      <c r="K1539" s="3">
        <v>293.82465665399502</v>
      </c>
    </row>
    <row r="1540" spans="9:11" ht="18" x14ac:dyDescent="0.25">
      <c r="I1540" s="3">
        <v>2008</v>
      </c>
      <c r="J1540" s="3">
        <v>265</v>
      </c>
      <c r="K1540" s="3">
        <v>282.77036995989698</v>
      </c>
    </row>
    <row r="1541" spans="9:11" ht="18" x14ac:dyDescent="0.25">
      <c r="I1541" s="3">
        <v>2008.0833333333301</v>
      </c>
      <c r="J1541" s="3">
        <v>126</v>
      </c>
      <c r="K1541" s="3">
        <v>228.436407599852</v>
      </c>
    </row>
    <row r="1542" spans="9:11" ht="18" x14ac:dyDescent="0.25">
      <c r="I1542" s="3">
        <v>2008.1666666666599</v>
      </c>
      <c r="J1542" s="3">
        <v>-38</v>
      </c>
      <c r="K1542" s="3">
        <v>148.37503703323199</v>
      </c>
    </row>
    <row r="1543" spans="9:11" ht="18" x14ac:dyDescent="0.25">
      <c r="I1543" s="3">
        <v>2008.25</v>
      </c>
      <c r="J1543" s="3">
        <v>-112</v>
      </c>
      <c r="K1543" s="3">
        <v>99.711030869899901</v>
      </c>
    </row>
    <row r="1544" spans="9:11" ht="18" x14ac:dyDescent="0.25">
      <c r="I1544" s="3">
        <v>2008.3333333333301</v>
      </c>
      <c r="J1544" s="3">
        <v>-124</v>
      </c>
      <c r="K1544" s="3">
        <v>85.193810556032105</v>
      </c>
    </row>
    <row r="1545" spans="9:11" ht="18" x14ac:dyDescent="0.25">
      <c r="I1545" s="3">
        <v>2008.4166666666599</v>
      </c>
      <c r="J1545" s="3">
        <v>-124</v>
      </c>
      <c r="K1545" s="3">
        <v>76.232895658847596</v>
      </c>
    </row>
    <row r="1546" spans="9:11" ht="18" x14ac:dyDescent="0.25">
      <c r="I1546" s="3">
        <v>2008.5</v>
      </c>
      <c r="J1546" s="3">
        <v>-135</v>
      </c>
      <c r="K1546" s="3">
        <v>71.293745564596094</v>
      </c>
    </row>
    <row r="1547" spans="9:11" ht="18" x14ac:dyDescent="0.25">
      <c r="I1547" s="3">
        <v>2008.5833333333301</v>
      </c>
      <c r="J1547" s="3">
        <v>-135</v>
      </c>
      <c r="K1547" s="3">
        <v>54.400694344098298</v>
      </c>
    </row>
    <row r="1548" spans="9:11" ht="18" x14ac:dyDescent="0.25">
      <c r="I1548" s="3">
        <v>2008.6666666666599</v>
      </c>
      <c r="J1548" s="3">
        <v>-118</v>
      </c>
      <c r="K1548" s="3">
        <v>31.6027454928007</v>
      </c>
    </row>
    <row r="1549" spans="9:11" ht="18" x14ac:dyDescent="0.25">
      <c r="I1549" s="3">
        <v>2008.75</v>
      </c>
      <c r="J1549" s="3">
        <v>-105</v>
      </c>
      <c r="K1549" s="3">
        <v>26.261267078921701</v>
      </c>
    </row>
    <row r="1550" spans="9:11" ht="18" x14ac:dyDescent="0.25">
      <c r="I1550" s="3">
        <v>2008.8333333333301</v>
      </c>
      <c r="J1550" s="3">
        <v>-93</v>
      </c>
      <c r="K1550" s="3">
        <v>3.6120159043037101</v>
      </c>
    </row>
    <row r="1551" spans="9:11" ht="18" x14ac:dyDescent="0.25">
      <c r="I1551" s="3">
        <v>2008.9166666666599</v>
      </c>
      <c r="J1551" s="3">
        <v>-93</v>
      </c>
      <c r="K1551" s="3">
        <v>-50.639340920827998</v>
      </c>
    </row>
    <row r="1552" spans="9:11" ht="18" x14ac:dyDescent="0.25">
      <c r="I1552" s="3">
        <v>2009</v>
      </c>
      <c r="J1552" s="3">
        <v>-111</v>
      </c>
      <c r="K1552" s="3">
        <v>-98.463947632376403</v>
      </c>
    </row>
    <row r="1553" spans="9:11" ht="18" x14ac:dyDescent="0.25">
      <c r="I1553" s="3">
        <v>2009.0833333333301</v>
      </c>
      <c r="J1553" s="3">
        <v>-119</v>
      </c>
      <c r="K1553" s="3">
        <v>-133.924310354623</v>
      </c>
    </row>
    <row r="1554" spans="9:11" ht="18" x14ac:dyDescent="0.25">
      <c r="I1554" s="3">
        <v>2009.1666666666599</v>
      </c>
      <c r="J1554" s="3">
        <v>-119</v>
      </c>
      <c r="K1554" s="3">
        <v>-150.23465769998299</v>
      </c>
    </row>
    <row r="1555" spans="9:11" ht="18" x14ac:dyDescent="0.25">
      <c r="I1555" s="3">
        <v>2009.25</v>
      </c>
      <c r="J1555" s="3">
        <v>-118</v>
      </c>
      <c r="K1555" s="3">
        <v>-130.03443281020699</v>
      </c>
    </row>
    <row r="1556" spans="9:11" ht="18" x14ac:dyDescent="0.25">
      <c r="I1556" s="3">
        <v>2009.3333333333301</v>
      </c>
      <c r="J1556" s="3">
        <v>-103</v>
      </c>
      <c r="K1556" s="3">
        <v>-84.773910620253005</v>
      </c>
    </row>
    <row r="1557" spans="9:11" ht="18" x14ac:dyDescent="0.25">
      <c r="I1557" s="3">
        <v>2009.4166666666599</v>
      </c>
      <c r="J1557" s="3">
        <v>-32</v>
      </c>
      <c r="K1557" s="3">
        <v>-7.6318515248658603</v>
      </c>
    </row>
    <row r="1558" spans="9:11" ht="18" x14ac:dyDescent="0.25">
      <c r="I1558" s="3">
        <v>2009.5</v>
      </c>
      <c r="J1558" s="3">
        <v>134</v>
      </c>
      <c r="K1558" s="3">
        <v>88.801489471969205</v>
      </c>
    </row>
    <row r="1559" spans="9:11" ht="18" x14ac:dyDescent="0.25">
      <c r="I1559" s="3">
        <v>2009.5833333333301</v>
      </c>
      <c r="J1559" s="3">
        <v>218</v>
      </c>
      <c r="K1559" s="3">
        <v>142.43019314977701</v>
      </c>
    </row>
    <row r="1560" spans="9:11" ht="18" x14ac:dyDescent="0.25">
      <c r="I1560" s="3">
        <v>2009.6666666666599</v>
      </c>
      <c r="J1560" s="3">
        <v>220</v>
      </c>
      <c r="K1560" s="3">
        <v>150.46878139829599</v>
      </c>
    </row>
    <row r="1561" spans="9:11" ht="18" x14ac:dyDescent="0.25">
      <c r="I1561" s="3">
        <v>2009.75</v>
      </c>
      <c r="J1561" s="3">
        <v>218</v>
      </c>
      <c r="K1561" s="3">
        <v>150.62873995233801</v>
      </c>
    </row>
    <row r="1562" spans="9:11" ht="18" x14ac:dyDescent="0.25">
      <c r="I1562" s="3">
        <v>2009.8333333333301</v>
      </c>
      <c r="J1562" s="3">
        <v>220</v>
      </c>
      <c r="K1562" s="3">
        <v>151.04497113838201</v>
      </c>
    </row>
    <row r="1563" spans="9:11" ht="18" x14ac:dyDescent="0.25">
      <c r="I1563" s="3">
        <v>2009.9166666666599</v>
      </c>
      <c r="J1563" s="3">
        <v>252</v>
      </c>
      <c r="K1563" s="3">
        <v>170.277135580634</v>
      </c>
    </row>
    <row r="1564" spans="9:11" ht="18" x14ac:dyDescent="0.25">
      <c r="I1564" s="3">
        <v>2010</v>
      </c>
      <c r="J1564" s="3">
        <v>259</v>
      </c>
      <c r="K1564" s="3">
        <v>200.90027917491</v>
      </c>
    </row>
    <row r="1565" spans="9:11" ht="18" x14ac:dyDescent="0.25">
      <c r="I1565" s="3">
        <v>2010.0833333333301</v>
      </c>
      <c r="J1565" s="3">
        <v>265</v>
      </c>
      <c r="K1565" s="3">
        <v>204.12367196310299</v>
      </c>
    </row>
    <row r="1566" spans="9:11" ht="18" x14ac:dyDescent="0.25">
      <c r="I1566" s="3">
        <v>2010.1666666666599</v>
      </c>
      <c r="J1566" s="3">
        <v>269</v>
      </c>
      <c r="K1566" s="3">
        <v>195.29431678344</v>
      </c>
    </row>
    <row r="1567" spans="9:11" ht="18" x14ac:dyDescent="0.25">
      <c r="I1567" s="3">
        <v>2010.25</v>
      </c>
      <c r="J1567" s="3">
        <v>271</v>
      </c>
      <c r="K1567" s="3">
        <v>195.96424497448601</v>
      </c>
    </row>
    <row r="1568" spans="9:11" ht="18" x14ac:dyDescent="0.25">
      <c r="I1568" s="3">
        <v>2010.3333333333301</v>
      </c>
      <c r="J1568" s="3">
        <v>269</v>
      </c>
      <c r="K1568" s="3">
        <v>197.99427199064701</v>
      </c>
    </row>
    <row r="1569" spans="9:11" ht="18" x14ac:dyDescent="0.25">
      <c r="I1569" s="3">
        <v>2010.4166666666599</v>
      </c>
      <c r="J1569" s="3">
        <v>271</v>
      </c>
      <c r="K1569" s="3">
        <v>203.81022449354199</v>
      </c>
    </row>
    <row r="1570" spans="9:11" ht="18" x14ac:dyDescent="0.25">
      <c r="I1570" s="3">
        <v>2010.5</v>
      </c>
      <c r="J1570" s="3">
        <v>263</v>
      </c>
      <c r="K1570" s="3">
        <v>182.94871977863301</v>
      </c>
    </row>
    <row r="1571" spans="9:11" ht="18" x14ac:dyDescent="0.25">
      <c r="I1571" s="3">
        <v>2010.5833333333301</v>
      </c>
      <c r="J1571" s="3">
        <v>59</v>
      </c>
      <c r="K1571" s="3">
        <v>113.03769175815199</v>
      </c>
    </row>
    <row r="1572" spans="9:11" ht="18" x14ac:dyDescent="0.25">
      <c r="I1572" s="3">
        <v>2010.6666666666599</v>
      </c>
      <c r="J1572" s="3">
        <v>-117</v>
      </c>
      <c r="K1572" s="3">
        <v>46.812902357654799</v>
      </c>
    </row>
    <row r="1573" spans="9:11" ht="18" x14ac:dyDescent="0.25">
      <c r="I1573" s="3">
        <v>2010.75</v>
      </c>
      <c r="J1573" s="3">
        <v>-117</v>
      </c>
      <c r="K1573" s="3">
        <v>8.4018418009366105</v>
      </c>
    </row>
    <row r="1574" spans="9:11" ht="18" x14ac:dyDescent="0.25">
      <c r="I1574" s="3">
        <v>2010.8333333333301</v>
      </c>
      <c r="J1574" s="3">
        <v>-118</v>
      </c>
      <c r="K1574" s="3">
        <v>-25.302229080325201</v>
      </c>
    </row>
    <row r="1575" spans="9:11" ht="18" x14ac:dyDescent="0.25">
      <c r="I1575" s="3">
        <v>2010.9166666666599</v>
      </c>
      <c r="J1575" s="3">
        <v>-116</v>
      </c>
      <c r="K1575" s="3">
        <v>-53.272960382458997</v>
      </c>
    </row>
    <row r="1576" spans="9:11" ht="18" x14ac:dyDescent="0.25">
      <c r="I1576" s="3">
        <v>2011</v>
      </c>
      <c r="J1576" s="3">
        <v>-97</v>
      </c>
      <c r="K1576" s="3">
        <v>-81.709878481080295</v>
      </c>
    </row>
    <row r="1577" spans="9:11" ht="18" x14ac:dyDescent="0.25">
      <c r="I1577" s="3">
        <v>2011.0833333333301</v>
      </c>
      <c r="J1577" s="3">
        <v>-97</v>
      </c>
      <c r="K1577" s="3">
        <v>-105.74094902860099</v>
      </c>
    </row>
    <row r="1578" spans="9:11" ht="18" x14ac:dyDescent="0.25">
      <c r="I1578" s="3">
        <v>2011.1666666666599</v>
      </c>
      <c r="J1578" s="3">
        <v>-97</v>
      </c>
      <c r="K1578" s="3">
        <v>-101.668625697579</v>
      </c>
    </row>
    <row r="1579" spans="9:11" ht="18" x14ac:dyDescent="0.25">
      <c r="I1579" s="3">
        <v>2011.25</v>
      </c>
      <c r="J1579" s="3">
        <v>-97</v>
      </c>
      <c r="K1579" s="3">
        <v>-95.704448054605905</v>
      </c>
    </row>
    <row r="1580" spans="9:11" ht="18" x14ac:dyDescent="0.25">
      <c r="I1580" s="3">
        <v>2011.3333333333301</v>
      </c>
      <c r="J1580" s="3">
        <v>-96</v>
      </c>
      <c r="K1580" s="3">
        <v>-100.47588579487299</v>
      </c>
    </row>
    <row r="1581" spans="9:11" ht="18" x14ac:dyDescent="0.25">
      <c r="I1581" s="3">
        <v>2011.4166666666599</v>
      </c>
      <c r="J1581" s="3">
        <v>-92</v>
      </c>
      <c r="K1581" s="3">
        <v>-81.857622386866694</v>
      </c>
    </row>
    <row r="1582" spans="9:11" ht="18" x14ac:dyDescent="0.25">
      <c r="I1582" s="3">
        <v>2011.5</v>
      </c>
      <c r="J1582" s="3">
        <v>-70</v>
      </c>
      <c r="K1582" s="3">
        <v>-46.116990098243697</v>
      </c>
    </row>
    <row r="1583" spans="9:11" ht="18" x14ac:dyDescent="0.25">
      <c r="I1583" s="3">
        <v>2011.5833333333301</v>
      </c>
      <c r="J1583" s="3">
        <v>-25</v>
      </c>
      <c r="K1583" s="3">
        <v>-3.9322575097180499</v>
      </c>
    </row>
    <row r="1584" spans="9:11" ht="18" x14ac:dyDescent="0.25">
      <c r="I1584" s="3">
        <v>2011.6666666666599</v>
      </c>
      <c r="J1584" s="3">
        <v>-9</v>
      </c>
      <c r="K1584" s="3">
        <v>51.8489908929592</v>
      </c>
    </row>
    <row r="1585" spans="9:11" ht="18" x14ac:dyDescent="0.25">
      <c r="I1585" s="3">
        <v>2011.75</v>
      </c>
      <c r="J1585" s="3">
        <v>32</v>
      </c>
      <c r="K1585" s="3">
        <v>92.683675310141496</v>
      </c>
    </row>
    <row r="1586" spans="9:11" ht="18" x14ac:dyDescent="0.25">
      <c r="I1586" s="3">
        <v>2011.8333333333301</v>
      </c>
      <c r="J1586" s="3">
        <v>75</v>
      </c>
      <c r="K1586" s="3">
        <v>114.61659566879401</v>
      </c>
    </row>
    <row r="1587" spans="9:11" ht="18" x14ac:dyDescent="0.25">
      <c r="I1587" s="3">
        <v>2011.9166666666599</v>
      </c>
      <c r="J1587" s="3">
        <v>189</v>
      </c>
      <c r="K1587" s="3">
        <v>139.45623207845699</v>
      </c>
    </row>
    <row r="1588" spans="9:11" ht="18" x14ac:dyDescent="0.25">
      <c r="I1588" s="3">
        <v>2012</v>
      </c>
      <c r="J1588" s="3">
        <v>238</v>
      </c>
      <c r="K1588" s="3">
        <v>150.40030908485599</v>
      </c>
    </row>
    <row r="1589" spans="9:11" ht="18" x14ac:dyDescent="0.25">
      <c r="I1589" s="3">
        <v>2012.0833333333301</v>
      </c>
      <c r="J1589" s="3">
        <v>238</v>
      </c>
      <c r="K1589" s="3">
        <v>147.37346746316101</v>
      </c>
    </row>
    <row r="1590" spans="9:11" ht="18" x14ac:dyDescent="0.25">
      <c r="I1590" s="3">
        <v>2012.1666666666599</v>
      </c>
      <c r="J1590" s="3">
        <v>217</v>
      </c>
      <c r="K1590" s="3">
        <v>143.800902756233</v>
      </c>
    </row>
    <row r="1591" spans="9:11" ht="18" x14ac:dyDescent="0.25">
      <c r="I1591" s="3">
        <v>2012.25</v>
      </c>
      <c r="J1591" s="3">
        <v>217</v>
      </c>
      <c r="K1591" s="3">
        <v>134.01986529484901</v>
      </c>
    </row>
    <row r="1592" spans="9:11" ht="18" x14ac:dyDescent="0.25">
      <c r="I1592" s="3">
        <v>2012.3333333333301</v>
      </c>
      <c r="J1592" s="3">
        <v>257</v>
      </c>
      <c r="K1592" s="3">
        <v>150.625106935209</v>
      </c>
    </row>
    <row r="1593" spans="9:11" ht="18" x14ac:dyDescent="0.25">
      <c r="I1593" s="3">
        <v>2012.4166666666599</v>
      </c>
      <c r="J1593" s="3">
        <v>306</v>
      </c>
      <c r="K1593" s="3">
        <v>204.94399622879001</v>
      </c>
    </row>
    <row r="1594" spans="9:11" ht="18" x14ac:dyDescent="0.25">
      <c r="I1594" s="3">
        <v>2012.5</v>
      </c>
      <c r="J1594" s="3">
        <v>325</v>
      </c>
      <c r="K1594" s="3">
        <v>240.54949824547299</v>
      </c>
    </row>
    <row r="1595" spans="9:11" ht="18" x14ac:dyDescent="0.25">
      <c r="I1595" s="3">
        <v>2012.5833333333301</v>
      </c>
      <c r="J1595" s="3">
        <v>326</v>
      </c>
      <c r="K1595" s="3">
        <v>242.66550351905801</v>
      </c>
    </row>
    <row r="1596" spans="9:11" ht="18" x14ac:dyDescent="0.25">
      <c r="I1596" s="3">
        <v>2012.6666666666599</v>
      </c>
      <c r="J1596" s="3">
        <v>331</v>
      </c>
      <c r="K1596" s="3">
        <v>232.23997487225</v>
      </c>
    </row>
    <row r="1597" spans="9:11" ht="18" x14ac:dyDescent="0.25">
      <c r="I1597" s="3">
        <v>2012.75</v>
      </c>
      <c r="J1597" s="3">
        <v>336</v>
      </c>
      <c r="K1597" s="3">
        <v>211.52548485790399</v>
      </c>
    </row>
    <row r="1598" spans="9:11" ht="18" x14ac:dyDescent="0.25">
      <c r="I1598" s="3">
        <v>2012.8333333333301</v>
      </c>
      <c r="J1598" s="3">
        <v>335</v>
      </c>
      <c r="K1598" s="3">
        <v>191.54580695867401</v>
      </c>
    </row>
    <row r="1599" spans="9:11" ht="18" x14ac:dyDescent="0.25">
      <c r="I1599" s="3">
        <v>2012.9166666666599</v>
      </c>
      <c r="J1599" s="3">
        <v>335</v>
      </c>
      <c r="K1599" s="3">
        <v>154.235048003646</v>
      </c>
    </row>
    <row r="1600" spans="9:11" ht="18" x14ac:dyDescent="0.25">
      <c r="I1600" s="3">
        <v>2013</v>
      </c>
      <c r="J1600" s="3">
        <v>161</v>
      </c>
      <c r="K1600" s="3">
        <v>77.418852229647896</v>
      </c>
    </row>
    <row r="1601" spans="9:11" ht="18" x14ac:dyDescent="0.25">
      <c r="I1601" s="3">
        <v>2013.0833333333301</v>
      </c>
      <c r="J1601" s="3">
        <v>47</v>
      </c>
      <c r="K1601" s="3">
        <v>7.0925378348042498</v>
      </c>
    </row>
    <row r="1602" spans="9:11" ht="18" x14ac:dyDescent="0.25">
      <c r="I1602" s="3">
        <v>2013.1666666666599</v>
      </c>
      <c r="J1602" s="3">
        <v>-18</v>
      </c>
      <c r="K1602" s="3">
        <v>-30.449061212352401</v>
      </c>
    </row>
    <row r="1603" spans="9:11" ht="18" x14ac:dyDescent="0.25">
      <c r="I1603" s="3">
        <v>2013.25</v>
      </c>
      <c r="J1603" s="3">
        <v>-89</v>
      </c>
      <c r="K1603" s="3">
        <v>-55.076251950577003</v>
      </c>
    </row>
    <row r="1604" spans="9:11" ht="18" x14ac:dyDescent="0.25">
      <c r="I1604" s="3">
        <v>2013.3333333333301</v>
      </c>
      <c r="J1604" s="3">
        <v>-102</v>
      </c>
      <c r="K1604" s="3">
        <v>-65.603500728316106</v>
      </c>
    </row>
    <row r="1605" spans="9:11" ht="18" x14ac:dyDescent="0.25">
      <c r="I1605" s="3">
        <v>2013.4166666666599</v>
      </c>
      <c r="J1605" s="3">
        <v>-109</v>
      </c>
      <c r="K1605" s="3">
        <v>-80.175094588617497</v>
      </c>
    </row>
    <row r="1606" spans="9:11" ht="18" x14ac:dyDescent="0.25">
      <c r="I1606" s="3">
        <v>2013.5</v>
      </c>
      <c r="J1606" s="3">
        <v>-147</v>
      </c>
      <c r="K1606" s="3">
        <v>-112.19650717795299</v>
      </c>
    </row>
    <row r="1607" spans="9:11" ht="18" x14ac:dyDescent="0.25">
      <c r="I1607" s="3">
        <v>2013.5833333333301</v>
      </c>
      <c r="J1607" s="3">
        <v>-147</v>
      </c>
      <c r="K1607" s="3">
        <v>-122.50050513206</v>
      </c>
    </row>
    <row r="1608" spans="9:11" ht="18" x14ac:dyDescent="0.25">
      <c r="I1608" s="3">
        <v>2013.6666666666599</v>
      </c>
      <c r="J1608" s="3">
        <v>-139</v>
      </c>
      <c r="K1608" s="3">
        <v>-105.061297934696</v>
      </c>
    </row>
    <row r="1609" spans="9:11" ht="18" x14ac:dyDescent="0.25">
      <c r="I1609" s="3">
        <v>2013.75</v>
      </c>
      <c r="J1609" s="3">
        <v>-122</v>
      </c>
      <c r="K1609" s="3">
        <v>-82.772565461617504</v>
      </c>
    </row>
    <row r="1610" spans="9:11" ht="18" x14ac:dyDescent="0.25">
      <c r="I1610" s="3">
        <v>2013.8333333333301</v>
      </c>
      <c r="J1610" s="3">
        <v>-119</v>
      </c>
      <c r="K1610" s="3">
        <v>-59.060279379775103</v>
      </c>
    </row>
    <row r="1611" spans="9:11" ht="18" x14ac:dyDescent="0.25">
      <c r="I1611" s="3">
        <v>2013.9166666666599</v>
      </c>
      <c r="J1611" s="3">
        <v>-118</v>
      </c>
      <c r="K1611" s="3">
        <v>-56.059282074100203</v>
      </c>
    </row>
    <row r="1612" spans="9:11" ht="18" x14ac:dyDescent="0.25">
      <c r="I1612" s="3">
        <v>2014</v>
      </c>
      <c r="J1612" s="3">
        <v>-118</v>
      </c>
      <c r="K1612" s="3">
        <v>-68.556828021252798</v>
      </c>
    </row>
    <row r="1613" spans="9:11" ht="18" x14ac:dyDescent="0.25">
      <c r="I1613" s="3">
        <v>2014.0833333333301</v>
      </c>
      <c r="J1613" s="3">
        <v>-126</v>
      </c>
      <c r="K1613" s="3">
        <v>-58.165556216514901</v>
      </c>
    </row>
    <row r="1614" spans="9:11" ht="18" x14ac:dyDescent="0.25">
      <c r="I1614" s="3">
        <v>2014.1666666666599</v>
      </c>
      <c r="J1614" s="3">
        <v>-126</v>
      </c>
      <c r="K1614" s="3">
        <v>-37.375120954864997</v>
      </c>
    </row>
    <row r="1615" spans="9:11" ht="18" x14ac:dyDescent="0.25">
      <c r="I1615" s="3">
        <v>2014.25</v>
      </c>
      <c r="J1615" s="3">
        <v>-113</v>
      </c>
      <c r="K1615" s="3">
        <v>-8.4855815382644195</v>
      </c>
    </row>
    <row r="1616" spans="9:11" ht="18" x14ac:dyDescent="0.25">
      <c r="I1616" s="3">
        <v>2014.3333333333301</v>
      </c>
      <c r="J1616" s="3">
        <v>-88</v>
      </c>
      <c r="K1616" s="3">
        <v>61.963498063291098</v>
      </c>
    </row>
    <row r="1617" spans="9:11" ht="18" x14ac:dyDescent="0.25">
      <c r="I1617" s="3">
        <v>2014.4166666666599</v>
      </c>
      <c r="J1617" s="3">
        <v>131</v>
      </c>
      <c r="K1617" s="3">
        <v>154.1044764618</v>
      </c>
    </row>
    <row r="1618" spans="9:11" ht="18" x14ac:dyDescent="0.25">
      <c r="I1618" s="3">
        <v>2014.5</v>
      </c>
      <c r="J1618" s="3">
        <v>258</v>
      </c>
      <c r="K1618" s="3">
        <v>232.69758982812701</v>
      </c>
    </row>
    <row r="1619" spans="9:11" ht="18" x14ac:dyDescent="0.25">
      <c r="I1619" s="3">
        <v>2014.5833333333301</v>
      </c>
      <c r="J1619" s="3">
        <v>295</v>
      </c>
      <c r="K1619" s="3">
        <v>280.81800004050802</v>
      </c>
    </row>
    <row r="1620" spans="9:11" ht="18" x14ac:dyDescent="0.25">
      <c r="I1620" s="3">
        <v>2014.6666666666599</v>
      </c>
      <c r="J1620" s="3">
        <v>307</v>
      </c>
      <c r="K1620" s="3">
        <v>280.33590182795399</v>
      </c>
    </row>
    <row r="1621" spans="9:11" ht="18" x14ac:dyDescent="0.25">
      <c r="I1621" s="3">
        <v>2014.75</v>
      </c>
      <c r="J1621" s="3">
        <v>317</v>
      </c>
      <c r="K1621" s="3">
        <v>264.46852340076703</v>
      </c>
    </row>
    <row r="1622" spans="9:11" ht="18" x14ac:dyDescent="0.25">
      <c r="I1622" s="3">
        <v>2014.8333333333301</v>
      </c>
      <c r="J1622" s="3">
        <v>317</v>
      </c>
      <c r="K1622" s="3">
        <v>266.14674677352099</v>
      </c>
    </row>
    <row r="1623" spans="9:11" ht="18" x14ac:dyDescent="0.25">
      <c r="I1623" s="3">
        <v>2014.9166666666599</v>
      </c>
      <c r="J1623" s="3">
        <v>312</v>
      </c>
      <c r="K1623" s="3">
        <v>253.63269172539199</v>
      </c>
    </row>
    <row r="1624" spans="9:11" ht="18" x14ac:dyDescent="0.25">
      <c r="I1624" s="3">
        <v>2015</v>
      </c>
      <c r="J1624" s="3">
        <v>287</v>
      </c>
      <c r="K1624" s="3">
        <v>223.366430110735</v>
      </c>
    </row>
    <row r="1625" spans="9:11" ht="18" x14ac:dyDescent="0.25">
      <c r="I1625" s="3">
        <v>2015.0833333333301</v>
      </c>
      <c r="J1625" s="3">
        <v>287</v>
      </c>
      <c r="K1625" s="3">
        <v>199.178301691592</v>
      </c>
    </row>
    <row r="1626" spans="9:11" ht="18" x14ac:dyDescent="0.25">
      <c r="I1626" s="3">
        <v>2015.1666666666599</v>
      </c>
      <c r="J1626" s="3">
        <v>295</v>
      </c>
      <c r="K1626" s="3">
        <v>181.219435855184</v>
      </c>
    </row>
    <row r="1627" spans="9:11" ht="18" x14ac:dyDescent="0.25">
      <c r="I1627" s="3">
        <v>2015.25</v>
      </c>
      <c r="J1627" s="3">
        <v>311</v>
      </c>
      <c r="K1627" s="3">
        <v>189.46796513142499</v>
      </c>
    </row>
    <row r="1628" spans="9:11" ht="18" x14ac:dyDescent="0.25">
      <c r="I1628" s="3">
        <v>2015.3333333333301</v>
      </c>
      <c r="J1628" s="3">
        <v>311</v>
      </c>
      <c r="K1628" s="3">
        <v>213.99908227900499</v>
      </c>
    </row>
    <row r="1629" spans="9:11" ht="18" x14ac:dyDescent="0.25">
      <c r="I1629" s="3">
        <v>2015.4166666666599</v>
      </c>
      <c r="J1629" s="3">
        <v>140</v>
      </c>
      <c r="K1629" s="3">
        <v>194.704596122591</v>
      </c>
    </row>
    <row r="1630" spans="9:11" ht="18" x14ac:dyDescent="0.25">
      <c r="I1630" s="3">
        <v>2015.5</v>
      </c>
      <c r="J1630" s="3">
        <v>-75</v>
      </c>
      <c r="K1630" s="3">
        <v>124.350562332677</v>
      </c>
    </row>
    <row r="1631" spans="9:11" ht="18" x14ac:dyDescent="0.25">
      <c r="I1631" s="3">
        <v>2015.5833333333301</v>
      </c>
      <c r="J1631" s="3">
        <v>-129</v>
      </c>
      <c r="K1631" s="3">
        <v>32.5027454515931</v>
      </c>
    </row>
    <row r="1632" spans="9:11" ht="18" x14ac:dyDescent="0.25">
      <c r="I1632" s="3">
        <v>2015.6666666666599</v>
      </c>
      <c r="J1632" s="3">
        <v>-135</v>
      </c>
      <c r="K1632" s="3">
        <v>-50.287913751741101</v>
      </c>
    </row>
    <row r="1633" spans="9:11" ht="18" x14ac:dyDescent="0.25">
      <c r="I1633" s="3">
        <v>2015.75</v>
      </c>
      <c r="J1633" s="3">
        <v>-135</v>
      </c>
      <c r="K1633" s="3">
        <v>-80.954862211946704</v>
      </c>
    </row>
    <row r="1634" spans="9:11" ht="18" x14ac:dyDescent="0.25">
      <c r="I1634" s="3">
        <v>2015.8333333333301</v>
      </c>
      <c r="J1634" s="3">
        <v>-132</v>
      </c>
      <c r="K1634" s="3">
        <v>-80.890354867951402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32"/>
  <sheetViews>
    <sheetView zoomScale="80" zoomScaleNormal="80" workbookViewId="0">
      <selection activeCell="M2" sqref="M2"/>
    </sheetView>
  </sheetViews>
  <sheetFormatPr defaultRowHeight="15" x14ac:dyDescent="0.25"/>
  <sheetData>
    <row r="1" spans="1:17" x14ac:dyDescent="0.25">
      <c r="C1">
        <f>+CORREL(B3:B756,C3:C756)</f>
        <v>0.89904136720407413</v>
      </c>
      <c r="F1">
        <v>0</v>
      </c>
      <c r="G1">
        <f>+CORREL(F5:F754,G5:G754)</f>
        <v>0.60465493931549408</v>
      </c>
      <c r="H1">
        <v>0.8</v>
      </c>
      <c r="I1">
        <f>+CORREL(H7:H752,I7:I752)</f>
        <v>0.7641087393090541</v>
      </c>
      <c r="Q1">
        <f>+SUM(Q5:Q754)/60</f>
        <v>93.222968574195093</v>
      </c>
    </row>
    <row r="2" spans="1:17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10</v>
      </c>
      <c r="G2" t="s">
        <v>5</v>
      </c>
      <c r="H2" t="s">
        <v>8</v>
      </c>
      <c r="I2" t="s">
        <v>9</v>
      </c>
      <c r="M2" s="4" t="s">
        <v>0</v>
      </c>
      <c r="N2" s="4" t="s">
        <v>1</v>
      </c>
      <c r="O2" s="4" t="s">
        <v>2</v>
      </c>
    </row>
    <row r="3" spans="1:17" x14ac:dyDescent="0.25">
      <c r="A3">
        <f>+J3</f>
        <v>1953.0833333333301</v>
      </c>
      <c r="B3">
        <f>+K3</f>
        <v>-315</v>
      </c>
      <c r="C3">
        <f>+L3</f>
        <v>-247.54826058304101</v>
      </c>
      <c r="J3">
        <f>+$M879</f>
        <v>1953.0833333333301</v>
      </c>
      <c r="K3">
        <f>+$N879</f>
        <v>-315</v>
      </c>
      <c r="L3">
        <f>+$O879</f>
        <v>-247.54826058304101</v>
      </c>
      <c r="M3" s="5">
        <v>1880.0833333333301</v>
      </c>
      <c r="N3" s="5">
        <v>-105</v>
      </c>
      <c r="O3" s="5">
        <v>139.66651529503099</v>
      </c>
    </row>
    <row r="4" spans="1:17" x14ac:dyDescent="0.25">
      <c r="A4">
        <f t="shared" ref="A4:A67" si="0">+J4</f>
        <v>1953.1666666666599</v>
      </c>
      <c r="B4">
        <f t="shared" ref="B4:B67" si="1">+K4</f>
        <v>-315</v>
      </c>
      <c r="C4">
        <f t="shared" ref="C4:C67" si="2">+L4</f>
        <v>-265.67596658444899</v>
      </c>
      <c r="D4">
        <f>+B4-1/2*(B3+B5)</f>
        <v>-10</v>
      </c>
      <c r="E4">
        <f>+C4-1/2*(C3+C5)</f>
        <v>-9.9834786304789986</v>
      </c>
      <c r="J4">
        <f t="shared" ref="J4:J67" si="3">+$M880</f>
        <v>1953.1666666666599</v>
      </c>
      <c r="K4">
        <f t="shared" ref="K4:K67" si="4">+$N880</f>
        <v>-315</v>
      </c>
      <c r="L4">
        <f t="shared" ref="L4:L67" si="5">+$O880</f>
        <v>-265.67596658444899</v>
      </c>
      <c r="M4" s="5">
        <v>1880.1666666666599</v>
      </c>
      <c r="N4" s="5">
        <v>-105</v>
      </c>
      <c r="O4" s="5">
        <v>151.21676727848899</v>
      </c>
    </row>
    <row r="5" spans="1:17" x14ac:dyDescent="0.25">
      <c r="A5">
        <f t="shared" si="0"/>
        <v>1953.25</v>
      </c>
      <c r="B5">
        <f t="shared" si="1"/>
        <v>-295</v>
      </c>
      <c r="C5">
        <f t="shared" si="2"/>
        <v>-263.83671532489899</v>
      </c>
      <c r="D5">
        <f t="shared" ref="D5:D68" si="6">+B5-1/2*(B4+B6)</f>
        <v>-15</v>
      </c>
      <c r="E5">
        <f t="shared" ref="E5:E68" si="7">+C5-1/2*(C4+C6)</f>
        <v>-9.3907209800975124</v>
      </c>
      <c r="F5">
        <f>+AVERAGE(D4:D6)</f>
        <v>-5</v>
      </c>
      <c r="G5">
        <f>+$H$1*AVERAGE(E4:E6)+$F$1</f>
        <v>-10.402975614107065</v>
      </c>
      <c r="J5">
        <f t="shared" si="3"/>
        <v>1953.25</v>
      </c>
      <c r="K5">
        <f t="shared" si="4"/>
        <v>-295</v>
      </c>
      <c r="L5">
        <f t="shared" si="5"/>
        <v>-263.83671532489899</v>
      </c>
      <c r="M5" s="5">
        <v>1880.25</v>
      </c>
      <c r="N5" s="5">
        <v>-105</v>
      </c>
      <c r="O5" s="5">
        <v>179.60083328394001</v>
      </c>
      <c r="Q5">
        <f>+ABS(F5-G5)</f>
        <v>5.4029756141070653</v>
      </c>
    </row>
    <row r="6" spans="1:17" x14ac:dyDescent="0.25">
      <c r="A6">
        <f t="shared" si="0"/>
        <v>1953.3333333333301</v>
      </c>
      <c r="B6">
        <f t="shared" si="1"/>
        <v>-245</v>
      </c>
      <c r="C6">
        <f t="shared" si="2"/>
        <v>-243.216022105154</v>
      </c>
      <c r="D6">
        <f t="shared" si="6"/>
        <v>10</v>
      </c>
      <c r="E6">
        <f t="shared" si="7"/>
        <v>-19.636958942324981</v>
      </c>
      <c r="F6">
        <f t="shared" ref="F6:F69" si="8">+AVERAGE(D5:D7)</f>
        <v>-1.6666666666666667</v>
      </c>
      <c r="G6">
        <f t="shared" ref="G6:G69" si="9">+$H$1*AVERAGE(E5:E7)+$F$1</f>
        <v>-13.976018395183747</v>
      </c>
      <c r="J6">
        <f t="shared" si="3"/>
        <v>1953.3333333333301</v>
      </c>
      <c r="K6">
        <f t="shared" si="4"/>
        <v>-245</v>
      </c>
      <c r="L6">
        <f t="shared" si="5"/>
        <v>-243.216022105154</v>
      </c>
      <c r="M6" s="5">
        <v>1880.3333333333301</v>
      </c>
      <c r="N6" s="5">
        <v>-105</v>
      </c>
      <c r="O6" s="5">
        <v>201.38175288702001</v>
      </c>
      <c r="Q6">
        <f t="shared" ref="Q6:Q69" si="10">+ABS(F6-G6)</f>
        <v>12.309351728517081</v>
      </c>
    </row>
    <row r="7" spans="1:17" x14ac:dyDescent="0.25">
      <c r="A7">
        <f t="shared" si="0"/>
        <v>1953.4166666666599</v>
      </c>
      <c r="B7">
        <f t="shared" si="1"/>
        <v>-215</v>
      </c>
      <c r="C7">
        <f t="shared" si="2"/>
        <v>-183.32141100075901</v>
      </c>
      <c r="D7">
        <f t="shared" si="6"/>
        <v>0</v>
      </c>
      <c r="E7">
        <f t="shared" si="7"/>
        <v>-23.382389059516555</v>
      </c>
      <c r="F7">
        <f t="shared" si="8"/>
        <v>6.666666666666667</v>
      </c>
      <c r="G7">
        <f t="shared" si="9"/>
        <v>-0.15696563103778091</v>
      </c>
      <c r="H7">
        <f>+AVERAGE(F5:F9)</f>
        <v>0.6</v>
      </c>
      <c r="I7">
        <f>+AVERAGE(G5:G9)</f>
        <v>-2.5956186418344922</v>
      </c>
      <c r="J7">
        <f t="shared" si="3"/>
        <v>1953.4166666666599</v>
      </c>
      <c r="K7">
        <f t="shared" si="4"/>
        <v>-215</v>
      </c>
      <c r="L7">
        <f t="shared" si="5"/>
        <v>-183.32141100075901</v>
      </c>
      <c r="M7" s="5">
        <v>1880.4166666666599</v>
      </c>
      <c r="N7" s="5">
        <v>-105</v>
      </c>
      <c r="O7" s="5">
        <v>218.50632199293401</v>
      </c>
      <c r="Q7">
        <f t="shared" si="10"/>
        <v>6.8236322977044477</v>
      </c>
    </row>
    <row r="8" spans="1:17" x14ac:dyDescent="0.25">
      <c r="A8">
        <f t="shared" si="0"/>
        <v>1953.5</v>
      </c>
      <c r="B8">
        <f t="shared" si="1"/>
        <v>-185</v>
      </c>
      <c r="C8">
        <f t="shared" si="2"/>
        <v>-76.662021777330907</v>
      </c>
      <c r="D8">
        <f t="shared" si="6"/>
        <v>10</v>
      </c>
      <c r="E8">
        <f t="shared" si="7"/>
        <v>42.430726885449857</v>
      </c>
      <c r="F8">
        <f t="shared" si="8"/>
        <v>1.6666666666666667</v>
      </c>
      <c r="G8">
        <f t="shared" si="9"/>
        <v>8.0546346045405741</v>
      </c>
      <c r="H8">
        <f t="shared" ref="H8:I8" si="11">+AVERAGE(F6:F10)</f>
        <v>1.3333333333333335</v>
      </c>
      <c r="I8">
        <f t="shared" si="11"/>
        <v>-1.5713346249260893</v>
      </c>
      <c r="J8">
        <f t="shared" si="3"/>
        <v>1953.5</v>
      </c>
      <c r="K8">
        <f t="shared" si="4"/>
        <v>-185</v>
      </c>
      <c r="L8">
        <f t="shared" si="5"/>
        <v>-76.662021777330907</v>
      </c>
      <c r="M8" s="5">
        <v>1880.5</v>
      </c>
      <c r="N8" s="5">
        <v>-105</v>
      </c>
      <c r="O8" s="5">
        <v>219.91101721170401</v>
      </c>
      <c r="Q8">
        <f t="shared" si="10"/>
        <v>6.3879679378739072</v>
      </c>
    </row>
    <row r="9" spans="1:17" x14ac:dyDescent="0.25">
      <c r="A9">
        <f t="shared" si="0"/>
        <v>1953.5833333333301</v>
      </c>
      <c r="B9">
        <f t="shared" si="1"/>
        <v>-175</v>
      </c>
      <c r="C9">
        <f t="shared" si="2"/>
        <v>-54.8640863248025</v>
      </c>
      <c r="D9">
        <f t="shared" si="6"/>
        <v>-5</v>
      </c>
      <c r="E9">
        <f t="shared" si="7"/>
        <v>11.156541941093849</v>
      </c>
      <c r="F9">
        <f t="shared" si="8"/>
        <v>1.3333333333333333</v>
      </c>
      <c r="G9">
        <f t="shared" si="9"/>
        <v>3.5032318266155622</v>
      </c>
      <c r="H9">
        <f t="shared" ref="H9:I9" si="12">+AVERAGE(F7:F11)</f>
        <v>1.5000000000000002</v>
      </c>
      <c r="I9">
        <f t="shared" si="12"/>
        <v>0.69122878814344957</v>
      </c>
      <c r="J9">
        <f t="shared" si="3"/>
        <v>1953.5833333333301</v>
      </c>
      <c r="K9">
        <f t="shared" si="4"/>
        <v>-175</v>
      </c>
      <c r="L9">
        <f t="shared" si="5"/>
        <v>-54.8640863248025</v>
      </c>
      <c r="M9" s="5">
        <v>1880.5833333333301</v>
      </c>
      <c r="N9" s="5">
        <v>-105</v>
      </c>
      <c r="O9" s="5">
        <v>196.58570531197401</v>
      </c>
      <c r="Q9">
        <f t="shared" si="10"/>
        <v>2.1698984932822292</v>
      </c>
    </row>
    <row r="10" spans="1:17" x14ac:dyDescent="0.25">
      <c r="A10">
        <f t="shared" si="0"/>
        <v>1953.6666666666599</v>
      </c>
      <c r="B10">
        <f t="shared" si="1"/>
        <v>-155</v>
      </c>
      <c r="C10">
        <f t="shared" si="2"/>
        <v>-55.379234754461798</v>
      </c>
      <c r="D10">
        <f t="shared" si="6"/>
        <v>-1</v>
      </c>
      <c r="E10">
        <f t="shared" si="7"/>
        <v>-40.450149476735348</v>
      </c>
      <c r="F10">
        <f t="shared" si="8"/>
        <v>-1.3333333333333333</v>
      </c>
      <c r="G10">
        <f t="shared" si="9"/>
        <v>-5.281555529565054</v>
      </c>
      <c r="H10">
        <f t="shared" ref="H10:I10" si="13">+AVERAGE(F8:F12)</f>
        <v>-0.6</v>
      </c>
      <c r="I10">
        <f t="shared" si="13"/>
        <v>3.9976411891519716</v>
      </c>
      <c r="J10">
        <f t="shared" si="3"/>
        <v>1953.6666666666599</v>
      </c>
      <c r="K10">
        <f t="shared" si="4"/>
        <v>-155</v>
      </c>
      <c r="L10">
        <f t="shared" si="5"/>
        <v>-55.379234754461798</v>
      </c>
      <c r="M10" s="5">
        <v>1880.6666666666599</v>
      </c>
      <c r="N10" s="5">
        <v>-105</v>
      </c>
      <c r="O10" s="5">
        <v>171.94185967666499</v>
      </c>
      <c r="Q10">
        <f t="shared" si="10"/>
        <v>3.948222196231721</v>
      </c>
    </row>
    <row r="11" spans="1:17" x14ac:dyDescent="0.25">
      <c r="A11">
        <f t="shared" si="0"/>
        <v>1953.75</v>
      </c>
      <c r="B11">
        <f t="shared" si="1"/>
        <v>-133</v>
      </c>
      <c r="C11">
        <f t="shared" si="2"/>
        <v>25.005915769349599</v>
      </c>
      <c r="D11">
        <f t="shared" si="6"/>
        <v>2</v>
      </c>
      <c r="E11">
        <f t="shared" si="7"/>
        <v>9.4877742997725498</v>
      </c>
      <c r="F11">
        <f t="shared" si="8"/>
        <v>-0.83333333333333337</v>
      </c>
      <c r="G11">
        <f t="shared" si="9"/>
        <v>-2.6632013298360535</v>
      </c>
      <c r="H11">
        <f t="shared" ref="H11:I11" si="14">+AVERAGE(F9:F13)</f>
        <v>-2</v>
      </c>
      <c r="I11">
        <f t="shared" si="14"/>
        <v>6.8479725238574547</v>
      </c>
      <c r="J11">
        <f t="shared" si="3"/>
        <v>1953.75</v>
      </c>
      <c r="K11">
        <f t="shared" si="4"/>
        <v>-133</v>
      </c>
      <c r="L11">
        <f t="shared" si="5"/>
        <v>25.005915769349599</v>
      </c>
      <c r="M11" s="5">
        <v>1880.75</v>
      </c>
      <c r="N11" s="5">
        <v>-105</v>
      </c>
      <c r="O11" s="5">
        <v>155.65243175352001</v>
      </c>
      <c r="Q11">
        <f t="shared" si="10"/>
        <v>1.82986799650272</v>
      </c>
    </row>
    <row r="12" spans="1:17" x14ac:dyDescent="0.25">
      <c r="A12">
        <f t="shared" si="0"/>
        <v>1953.8333333333301</v>
      </c>
      <c r="B12">
        <f t="shared" si="1"/>
        <v>-115</v>
      </c>
      <c r="C12">
        <f t="shared" si="2"/>
        <v>86.415517693615897</v>
      </c>
      <c r="D12">
        <f t="shared" si="6"/>
        <v>-3.5</v>
      </c>
      <c r="E12">
        <f t="shared" si="7"/>
        <v>20.975370190077598</v>
      </c>
      <c r="F12">
        <f t="shared" si="8"/>
        <v>-3.8333333333333335</v>
      </c>
      <c r="G12">
        <f t="shared" si="9"/>
        <v>16.37509637400483</v>
      </c>
      <c r="H12">
        <f t="shared" ref="H12:I12" si="15">+AVERAGE(F10:F14)</f>
        <v>-4.4333333333333327</v>
      </c>
      <c r="I12">
        <f t="shared" si="15"/>
        <v>5.9727978940404087</v>
      </c>
      <c r="J12">
        <f t="shared" si="3"/>
        <v>1953.8333333333301</v>
      </c>
      <c r="K12">
        <f t="shared" si="4"/>
        <v>-115</v>
      </c>
      <c r="L12">
        <f t="shared" si="5"/>
        <v>86.415517693615897</v>
      </c>
      <c r="M12" s="5">
        <v>1880.8333333333301</v>
      </c>
      <c r="N12" s="5">
        <v>-105</v>
      </c>
      <c r="O12" s="5">
        <v>99.099543822105105</v>
      </c>
      <c r="Q12">
        <f t="shared" si="10"/>
        <v>20.208429707338162</v>
      </c>
    </row>
    <row r="13" spans="1:17" x14ac:dyDescent="0.25">
      <c r="A13">
        <f t="shared" si="0"/>
        <v>1953.9166666666599</v>
      </c>
      <c r="B13">
        <f t="shared" si="1"/>
        <v>-90</v>
      </c>
      <c r="C13">
        <f t="shared" si="2"/>
        <v>105.874379237727</v>
      </c>
      <c r="D13">
        <f t="shared" si="6"/>
        <v>-10</v>
      </c>
      <c r="E13">
        <f t="shared" si="7"/>
        <v>30.943466912667958</v>
      </c>
      <c r="F13">
        <f t="shared" si="8"/>
        <v>-5.333333333333333</v>
      </c>
      <c r="G13">
        <f t="shared" si="9"/>
        <v>22.306291278067988</v>
      </c>
      <c r="H13">
        <f t="shared" ref="H13:I13" si="16">+AVERAGE(F11:F15)</f>
        <v>-3.3333333333333335</v>
      </c>
      <c r="I13">
        <f t="shared" si="16"/>
        <v>2.9004146115317924</v>
      </c>
      <c r="J13">
        <f t="shared" si="3"/>
        <v>1953.9166666666599</v>
      </c>
      <c r="K13">
        <f t="shared" si="4"/>
        <v>-90</v>
      </c>
      <c r="L13">
        <f t="shared" si="5"/>
        <v>105.874379237727</v>
      </c>
      <c r="M13" s="5">
        <v>1880.9166666666599</v>
      </c>
      <c r="N13" s="5">
        <v>-105</v>
      </c>
      <c r="O13" s="5">
        <v>-61.828905487051301</v>
      </c>
      <c r="Q13">
        <f t="shared" si="10"/>
        <v>27.63962461140132</v>
      </c>
    </row>
    <row r="14" spans="1:17" x14ac:dyDescent="0.25">
      <c r="A14">
        <f t="shared" si="0"/>
        <v>1954</v>
      </c>
      <c r="B14">
        <f t="shared" si="1"/>
        <v>-45</v>
      </c>
      <c r="C14">
        <f t="shared" si="2"/>
        <v>63.446306956502198</v>
      </c>
      <c r="D14">
        <f t="shared" si="6"/>
        <v>-2.5</v>
      </c>
      <c r="E14">
        <f t="shared" si="7"/>
        <v>31.729755190009399</v>
      </c>
      <c r="F14">
        <f t="shared" si="8"/>
        <v>-10.833333333333334</v>
      </c>
      <c r="G14">
        <f t="shared" si="9"/>
        <v>-0.87264132246966719</v>
      </c>
      <c r="H14">
        <f t="shared" ref="H14:I14" si="17">+AVERAGE(F12:F16)</f>
        <v>-1.4999999999999996</v>
      </c>
      <c r="I14">
        <f t="shared" si="17"/>
        <v>-1.0087757363725771</v>
      </c>
      <c r="J14">
        <f t="shared" si="3"/>
        <v>1954</v>
      </c>
      <c r="K14">
        <f t="shared" si="4"/>
        <v>-45</v>
      </c>
      <c r="L14">
        <f t="shared" si="5"/>
        <v>63.446306956502198</v>
      </c>
      <c r="M14" s="5">
        <v>1881</v>
      </c>
      <c r="N14" s="5">
        <v>-105</v>
      </c>
      <c r="O14" s="5">
        <v>-175.857640219133</v>
      </c>
      <c r="Q14">
        <f t="shared" si="10"/>
        <v>9.9606920108636672</v>
      </c>
    </row>
    <row r="15" spans="1:17" x14ac:dyDescent="0.25">
      <c r="A15">
        <f t="shared" si="0"/>
        <v>1954.0833333333301</v>
      </c>
      <c r="B15">
        <f t="shared" si="1"/>
        <v>5</v>
      </c>
      <c r="C15">
        <f t="shared" si="2"/>
        <v>-42.4412757047414</v>
      </c>
      <c r="D15">
        <f t="shared" si="6"/>
        <v>-20</v>
      </c>
      <c r="E15">
        <f t="shared" si="7"/>
        <v>-65.945627061938609</v>
      </c>
      <c r="F15">
        <f t="shared" si="8"/>
        <v>4.166666666666667</v>
      </c>
      <c r="G15">
        <f t="shared" si="9"/>
        <v>-20.643471942108135</v>
      </c>
      <c r="H15">
        <f t="shared" ref="H15:I15" si="18">+AVERAGE(F13:F17)</f>
        <v>1.9333333333333336</v>
      </c>
      <c r="I15">
        <f t="shared" si="18"/>
        <v>-4.5923640552269136</v>
      </c>
      <c r="J15">
        <f t="shared" si="3"/>
        <v>1954.0833333333301</v>
      </c>
      <c r="K15">
        <f t="shared" si="4"/>
        <v>5</v>
      </c>
      <c r="L15">
        <f t="shared" si="5"/>
        <v>-42.4412757047414</v>
      </c>
      <c r="M15" s="5">
        <v>1881.0833333333301</v>
      </c>
      <c r="N15" s="5">
        <v>-105</v>
      </c>
      <c r="O15" s="5">
        <v>-221.63068448608701</v>
      </c>
      <c r="Q15">
        <f t="shared" si="10"/>
        <v>24.810138608774803</v>
      </c>
    </row>
    <row r="16" spans="1:17" x14ac:dyDescent="0.25">
      <c r="A16">
        <f t="shared" si="0"/>
        <v>1954.1666666666599</v>
      </c>
      <c r="B16">
        <f t="shared" si="1"/>
        <v>95</v>
      </c>
      <c r="C16">
        <f t="shared" si="2"/>
        <v>-16.437604242107799</v>
      </c>
      <c r="D16">
        <f t="shared" si="6"/>
        <v>35</v>
      </c>
      <c r="E16">
        <f t="shared" si="7"/>
        <v>-43.197147910976298</v>
      </c>
      <c r="F16">
        <f t="shared" si="8"/>
        <v>8.3333333333333339</v>
      </c>
      <c r="G16">
        <f t="shared" si="9"/>
        <v>-22.209153069357896</v>
      </c>
      <c r="H16">
        <f t="shared" ref="H16:I16" si="19">+AVERAGE(F14:F18)</f>
        <v>3.5</v>
      </c>
      <c r="I16">
        <f t="shared" si="19"/>
        <v>-6.2668670061505312</v>
      </c>
      <c r="J16">
        <f t="shared" si="3"/>
        <v>1954.1666666666599</v>
      </c>
      <c r="K16">
        <f t="shared" si="4"/>
        <v>95</v>
      </c>
      <c r="L16">
        <f t="shared" si="5"/>
        <v>-16.437604242107799</v>
      </c>
      <c r="M16" s="5">
        <v>1881.1666666666599</v>
      </c>
      <c r="N16" s="5">
        <v>-105</v>
      </c>
      <c r="O16" s="5">
        <v>-227.974715891161</v>
      </c>
      <c r="Q16">
        <f t="shared" si="10"/>
        <v>30.542486402691232</v>
      </c>
    </row>
    <row r="17" spans="1:17" x14ac:dyDescent="0.25">
      <c r="A17">
        <f t="shared" si="0"/>
        <v>1954.25</v>
      </c>
      <c r="B17">
        <f t="shared" si="1"/>
        <v>115</v>
      </c>
      <c r="C17">
        <f t="shared" si="2"/>
        <v>95.960363042478406</v>
      </c>
      <c r="D17">
        <f t="shared" si="6"/>
        <v>10</v>
      </c>
      <c r="E17">
        <f t="shared" si="7"/>
        <v>25.858450962822801</v>
      </c>
      <c r="F17">
        <f t="shared" si="8"/>
        <v>13.333333333333334</v>
      </c>
      <c r="G17">
        <f t="shared" si="9"/>
        <v>-1.5428452202668534</v>
      </c>
      <c r="H17">
        <f t="shared" ref="H17:I17" si="20">+AVERAGE(F15:F19)</f>
        <v>5.3333333333333339</v>
      </c>
      <c r="I17">
        <f t="shared" si="20"/>
        <v>-3.9765534664401274</v>
      </c>
      <c r="J17">
        <f t="shared" si="3"/>
        <v>1954.25</v>
      </c>
      <c r="K17">
        <f t="shared" si="4"/>
        <v>115</v>
      </c>
      <c r="L17">
        <f t="shared" si="5"/>
        <v>95.960363042478406</v>
      </c>
      <c r="M17" s="5">
        <v>1881.25</v>
      </c>
      <c r="N17" s="5">
        <v>-105</v>
      </c>
      <c r="O17" s="5">
        <v>-229.54605279841201</v>
      </c>
      <c r="Q17">
        <f t="shared" si="10"/>
        <v>14.876178553600187</v>
      </c>
    </row>
    <row r="18" spans="1:17" x14ac:dyDescent="0.25">
      <c r="A18">
        <f t="shared" si="0"/>
        <v>1954.3333333333301</v>
      </c>
      <c r="B18">
        <f t="shared" si="1"/>
        <v>115</v>
      </c>
      <c r="C18">
        <f t="shared" si="2"/>
        <v>156.64142840141901</v>
      </c>
      <c r="D18">
        <f t="shared" si="6"/>
        <v>-5</v>
      </c>
      <c r="E18">
        <f t="shared" si="7"/>
        <v>11.553027372152798</v>
      </c>
      <c r="F18">
        <f t="shared" si="8"/>
        <v>2.5</v>
      </c>
      <c r="G18">
        <f t="shared" si="9"/>
        <v>13.9337765234499</v>
      </c>
      <c r="H18">
        <f t="shared" ref="H18:I18" si="21">+AVERAGE(F16:F20)</f>
        <v>4.8333333333333339</v>
      </c>
      <c r="I18">
        <f t="shared" si="21"/>
        <v>1.8632415270168341</v>
      </c>
      <c r="J18">
        <f t="shared" si="3"/>
        <v>1954.3333333333301</v>
      </c>
      <c r="K18">
        <f t="shared" si="4"/>
        <v>115</v>
      </c>
      <c r="L18">
        <f t="shared" si="5"/>
        <v>156.64142840141901</v>
      </c>
      <c r="M18" s="5">
        <v>1881.3333333333301</v>
      </c>
      <c r="N18" s="5">
        <v>-105</v>
      </c>
      <c r="O18" s="5">
        <v>-239.53729387159501</v>
      </c>
      <c r="Q18">
        <f t="shared" si="10"/>
        <v>11.4337765234499</v>
      </c>
    </row>
    <row r="19" spans="1:17" x14ac:dyDescent="0.25">
      <c r="A19">
        <f t="shared" si="0"/>
        <v>1954.4166666666599</v>
      </c>
      <c r="B19">
        <f t="shared" si="1"/>
        <v>125</v>
      </c>
      <c r="C19">
        <f t="shared" si="2"/>
        <v>194.21643901605401</v>
      </c>
      <c r="D19">
        <f t="shared" si="6"/>
        <v>2.5</v>
      </c>
      <c r="E19">
        <f t="shared" si="7"/>
        <v>14.840183627961522</v>
      </c>
      <c r="F19">
        <f t="shared" si="8"/>
        <v>-1.6666666666666667</v>
      </c>
      <c r="G19">
        <f t="shared" si="9"/>
        <v>10.578926376082352</v>
      </c>
      <c r="H19">
        <f t="shared" ref="H19:I19" si="22">+AVERAGE(F17:F21)</f>
        <v>5.3333333333333339</v>
      </c>
      <c r="I19">
        <f t="shared" si="22"/>
        <v>7.9070314556319872</v>
      </c>
      <c r="J19">
        <f t="shared" si="3"/>
        <v>1954.4166666666599</v>
      </c>
      <c r="K19">
        <f t="shared" si="4"/>
        <v>125</v>
      </c>
      <c r="L19">
        <f t="shared" si="5"/>
        <v>194.21643901605401</v>
      </c>
      <c r="M19" s="5">
        <v>1881.4166666666599</v>
      </c>
      <c r="N19" s="5">
        <v>-105</v>
      </c>
      <c r="O19" s="5">
        <v>-242.72305160695001</v>
      </c>
      <c r="Q19">
        <f t="shared" si="10"/>
        <v>12.245593042749018</v>
      </c>
    </row>
    <row r="20" spans="1:17" x14ac:dyDescent="0.25">
      <c r="A20">
        <f t="shared" si="0"/>
        <v>1954.5</v>
      </c>
      <c r="B20">
        <f t="shared" si="1"/>
        <v>130</v>
      </c>
      <c r="C20">
        <f t="shared" si="2"/>
        <v>202.111082374766</v>
      </c>
      <c r="D20">
        <f t="shared" si="6"/>
        <v>-2.5</v>
      </c>
      <c r="E20">
        <f t="shared" si="7"/>
        <v>13.277762910194497</v>
      </c>
      <c r="F20">
        <f t="shared" si="8"/>
        <v>1.6666666666666667</v>
      </c>
      <c r="G20">
        <f t="shared" si="9"/>
        <v>8.5555030251766695</v>
      </c>
      <c r="H20">
        <f t="shared" ref="H20:I20" si="23">+AVERAGE(F18:F22)</f>
        <v>5.8333333333333339</v>
      </c>
      <c r="I20">
        <f t="shared" si="23"/>
        <v>10.699585618166271</v>
      </c>
      <c r="J20">
        <f t="shared" si="3"/>
        <v>1954.5</v>
      </c>
      <c r="K20">
        <f t="shared" si="4"/>
        <v>130</v>
      </c>
      <c r="L20">
        <f t="shared" si="5"/>
        <v>202.111082374766</v>
      </c>
      <c r="M20" s="5">
        <v>1881.5</v>
      </c>
      <c r="N20" s="5">
        <v>-105</v>
      </c>
      <c r="O20" s="5">
        <v>-245.17891300154301</v>
      </c>
      <c r="Q20">
        <f t="shared" si="10"/>
        <v>6.8888363585100025</v>
      </c>
    </row>
    <row r="21" spans="1:17" x14ac:dyDescent="0.25">
      <c r="A21">
        <f t="shared" si="0"/>
        <v>1954.5833333333301</v>
      </c>
      <c r="B21">
        <f t="shared" si="1"/>
        <v>140</v>
      </c>
      <c r="C21">
        <f t="shared" si="2"/>
        <v>183.45019991308899</v>
      </c>
      <c r="D21">
        <f t="shared" si="6"/>
        <v>5</v>
      </c>
      <c r="E21">
        <f t="shared" si="7"/>
        <v>3.9651898062564896</v>
      </c>
      <c r="F21">
        <f t="shared" si="8"/>
        <v>10.833333333333334</v>
      </c>
      <c r="G21">
        <f t="shared" si="9"/>
        <v>8.0097965737178658</v>
      </c>
      <c r="H21">
        <f t="shared" ref="H21:I21" si="24">+AVERAGE(F19:F23)</f>
        <v>10.666666666666668</v>
      </c>
      <c r="I21">
        <f t="shared" si="24"/>
        <v>9.0713270539229374</v>
      </c>
      <c r="J21">
        <f t="shared" si="3"/>
        <v>1954.5833333333301</v>
      </c>
      <c r="K21">
        <f t="shared" si="4"/>
        <v>140</v>
      </c>
      <c r="L21">
        <f t="shared" si="5"/>
        <v>183.45019991308899</v>
      </c>
      <c r="M21" s="5">
        <v>1881.5833333333301</v>
      </c>
      <c r="N21" s="5">
        <v>-105</v>
      </c>
      <c r="O21" s="5">
        <v>-247.578541876912</v>
      </c>
      <c r="Q21">
        <f t="shared" si="10"/>
        <v>2.8235367596154681</v>
      </c>
    </row>
    <row r="22" spans="1:17" x14ac:dyDescent="0.25">
      <c r="A22">
        <f t="shared" si="0"/>
        <v>1954.6666666666599</v>
      </c>
      <c r="B22">
        <f t="shared" si="1"/>
        <v>140</v>
      </c>
      <c r="C22">
        <f t="shared" si="2"/>
        <v>156.85893783889901</v>
      </c>
      <c r="D22">
        <f t="shared" si="6"/>
        <v>30</v>
      </c>
      <c r="E22">
        <f t="shared" si="7"/>
        <v>12.793784434991011</v>
      </c>
      <c r="F22">
        <f t="shared" si="8"/>
        <v>15.833333333333334</v>
      </c>
      <c r="G22">
        <f t="shared" si="9"/>
        <v>12.419925592404574</v>
      </c>
      <c r="H22">
        <f t="shared" ref="H22:I22" si="25">+AVERAGE(F20:F24)</f>
        <v>9.5</v>
      </c>
      <c r="I22">
        <f t="shared" si="25"/>
        <v>6.9148065062293869</v>
      </c>
      <c r="J22">
        <f t="shared" si="3"/>
        <v>1954.6666666666599</v>
      </c>
      <c r="K22">
        <f t="shared" si="4"/>
        <v>140</v>
      </c>
      <c r="L22">
        <f t="shared" si="5"/>
        <v>156.85893783889901</v>
      </c>
      <c r="M22" s="5">
        <v>1881.6666666666599</v>
      </c>
      <c r="N22" s="5">
        <v>-105</v>
      </c>
      <c r="O22" s="5">
        <v>-237.939831612098</v>
      </c>
      <c r="Q22">
        <f t="shared" si="10"/>
        <v>3.4134077409287595</v>
      </c>
    </row>
    <row r="23" spans="1:17" x14ac:dyDescent="0.25">
      <c r="A23">
        <f t="shared" si="0"/>
        <v>1954.75</v>
      </c>
      <c r="B23">
        <f t="shared" si="1"/>
        <v>80</v>
      </c>
      <c r="C23">
        <f t="shared" si="2"/>
        <v>104.680106894727</v>
      </c>
      <c r="D23">
        <f t="shared" si="6"/>
        <v>12.5</v>
      </c>
      <c r="E23">
        <f t="shared" si="7"/>
        <v>29.815746730269652</v>
      </c>
      <c r="F23">
        <f t="shared" si="8"/>
        <v>26.666666666666668</v>
      </c>
      <c r="G23">
        <f t="shared" si="9"/>
        <v>5.7924837022332305</v>
      </c>
      <c r="H23">
        <f t="shared" ref="H23:I23" si="26">+AVERAGE(F21:F25)</f>
        <v>7.3333333333333339</v>
      </c>
      <c r="I23">
        <f t="shared" si="26"/>
        <v>3.4031754364304994</v>
      </c>
      <c r="J23">
        <f t="shared" si="3"/>
        <v>1954.75</v>
      </c>
      <c r="K23">
        <f t="shared" si="4"/>
        <v>80</v>
      </c>
      <c r="L23">
        <f t="shared" si="5"/>
        <v>104.680106894727</v>
      </c>
      <c r="M23" s="5">
        <v>1881.75</v>
      </c>
      <c r="N23" s="5">
        <v>-105</v>
      </c>
      <c r="O23" s="5">
        <v>-219.71233360112299</v>
      </c>
      <c r="Q23">
        <f t="shared" si="10"/>
        <v>20.874182964433437</v>
      </c>
    </row>
    <row r="24" spans="1:17" x14ac:dyDescent="0.25">
      <c r="A24">
        <f t="shared" si="0"/>
        <v>1954.8333333333301</v>
      </c>
      <c r="B24">
        <f t="shared" si="1"/>
        <v>-5</v>
      </c>
      <c r="C24">
        <f t="shared" si="2"/>
        <v>-7.1302175099843002</v>
      </c>
      <c r="D24">
        <f t="shared" si="6"/>
        <v>37.5</v>
      </c>
      <c r="E24">
        <f t="shared" si="7"/>
        <v>-20.887717281886047</v>
      </c>
      <c r="F24">
        <f t="shared" si="8"/>
        <v>-7.5</v>
      </c>
      <c r="G24">
        <f t="shared" si="9"/>
        <v>-0.2036763623853991</v>
      </c>
      <c r="H24">
        <f t="shared" ref="H24:I24" si="27">+AVERAGE(F22:F26)</f>
        <v>-0.16666666666666644</v>
      </c>
      <c r="I24">
        <f t="shared" si="27"/>
        <v>0.7658476213312948</v>
      </c>
      <c r="J24">
        <f t="shared" si="3"/>
        <v>1954.8333333333301</v>
      </c>
      <c r="K24">
        <f t="shared" si="4"/>
        <v>-5</v>
      </c>
      <c r="L24">
        <f t="shared" si="5"/>
        <v>-7.1302175099843002</v>
      </c>
      <c r="M24" s="5">
        <v>1881.8333333333301</v>
      </c>
      <c r="N24" s="5">
        <v>-105</v>
      </c>
      <c r="O24" s="5">
        <v>-185.638314105749</v>
      </c>
      <c r="Q24">
        <f t="shared" si="10"/>
        <v>7.2963236376146012</v>
      </c>
    </row>
    <row r="25" spans="1:17" x14ac:dyDescent="0.25">
      <c r="A25">
        <f t="shared" si="0"/>
        <v>1954.9166666666599</v>
      </c>
      <c r="B25">
        <f t="shared" si="1"/>
        <v>-165</v>
      </c>
      <c r="C25">
        <f t="shared" si="2"/>
        <v>-77.165107350923506</v>
      </c>
      <c r="D25">
        <f t="shared" si="6"/>
        <v>-72.5</v>
      </c>
      <c r="E25">
        <f t="shared" si="7"/>
        <v>-9.691815807328851</v>
      </c>
      <c r="F25">
        <f t="shared" si="8"/>
        <v>-9.1666666666666661</v>
      </c>
      <c r="G25">
        <f t="shared" si="9"/>
        <v>-9.0026523238177738</v>
      </c>
      <c r="H25">
        <f t="shared" ref="H25:I25" si="28">+AVERAGE(F23:F27)</f>
        <v>-3.7333333333333329</v>
      </c>
      <c r="I25">
        <f t="shared" si="28"/>
        <v>-2.2291573533587008</v>
      </c>
      <c r="J25">
        <f t="shared" si="3"/>
        <v>1954.9166666666599</v>
      </c>
      <c r="K25">
        <f t="shared" si="4"/>
        <v>-165</v>
      </c>
      <c r="L25">
        <f t="shared" si="5"/>
        <v>-77.165107350923506</v>
      </c>
      <c r="M25" s="5">
        <v>1881.9166666666599</v>
      </c>
      <c r="N25" s="5">
        <v>-105</v>
      </c>
      <c r="O25" s="5">
        <v>-107.676740959081</v>
      </c>
      <c r="Q25">
        <f t="shared" si="10"/>
        <v>0.16401434284889227</v>
      </c>
    </row>
    <row r="26" spans="1:17" x14ac:dyDescent="0.25">
      <c r="A26">
        <f t="shared" si="0"/>
        <v>1955</v>
      </c>
      <c r="B26">
        <f t="shared" si="1"/>
        <v>-180</v>
      </c>
      <c r="C26">
        <f t="shared" si="2"/>
        <v>-127.816365577205</v>
      </c>
      <c r="D26">
        <f t="shared" si="6"/>
        <v>7.5</v>
      </c>
      <c r="E26">
        <f t="shared" si="7"/>
        <v>-3.1804131251017509</v>
      </c>
      <c r="F26">
        <f t="shared" si="8"/>
        <v>-26.666666666666668</v>
      </c>
      <c r="G26">
        <f t="shared" si="9"/>
        <v>-5.1768425017781592</v>
      </c>
      <c r="H26">
        <f t="shared" ref="H26:I26" si="29">+AVERAGE(F24:F28)</f>
        <v>-8.8333333333333321</v>
      </c>
      <c r="I26">
        <f t="shared" si="29"/>
        <v>-4.1981904153631593</v>
      </c>
      <c r="J26">
        <f t="shared" si="3"/>
        <v>1955</v>
      </c>
      <c r="K26">
        <f t="shared" si="4"/>
        <v>-180</v>
      </c>
      <c r="L26">
        <f t="shared" si="5"/>
        <v>-127.816365577205</v>
      </c>
      <c r="M26" s="5">
        <v>1882</v>
      </c>
      <c r="N26" s="5">
        <v>-105</v>
      </c>
      <c r="O26" s="5">
        <v>-36.494988754614198</v>
      </c>
      <c r="Q26">
        <f t="shared" si="10"/>
        <v>21.48982416488851</v>
      </c>
    </row>
    <row r="27" spans="1:17" x14ac:dyDescent="0.25">
      <c r="A27">
        <f t="shared" si="0"/>
        <v>1955.0833333333301</v>
      </c>
      <c r="B27">
        <f t="shared" si="1"/>
        <v>-210</v>
      </c>
      <c r="C27">
        <f t="shared" si="2"/>
        <v>-172.106797553283</v>
      </c>
      <c r="D27">
        <f t="shared" si="6"/>
        <v>-15</v>
      </c>
      <c r="E27">
        <f t="shared" si="7"/>
        <v>-6.5409304492374929</v>
      </c>
      <c r="F27">
        <f t="shared" si="8"/>
        <v>-2</v>
      </c>
      <c r="G27">
        <f t="shared" si="9"/>
        <v>-2.5550992810454018</v>
      </c>
      <c r="H27">
        <f t="shared" ref="H27:I27" si="30">+AVERAGE(F25:F29)</f>
        <v>-6.0000000000000009</v>
      </c>
      <c r="I27">
        <f t="shared" si="30"/>
        <v>-5.1398560613471718</v>
      </c>
      <c r="J27">
        <f t="shared" si="3"/>
        <v>1955.0833333333301</v>
      </c>
      <c r="K27">
        <f t="shared" si="4"/>
        <v>-210</v>
      </c>
      <c r="L27">
        <f t="shared" si="5"/>
        <v>-172.106797553283</v>
      </c>
      <c r="M27" s="5">
        <v>1882.0833333333301</v>
      </c>
      <c r="N27" s="5">
        <v>-105</v>
      </c>
      <c r="O27" s="5">
        <v>-41.5828545629874</v>
      </c>
      <c r="Q27">
        <f t="shared" si="10"/>
        <v>0.55509928104540185</v>
      </c>
    </row>
    <row r="28" spans="1:17" x14ac:dyDescent="0.25">
      <c r="A28">
        <f t="shared" si="0"/>
        <v>1955.1666666666599</v>
      </c>
      <c r="B28">
        <f t="shared" si="1"/>
        <v>-210</v>
      </c>
      <c r="C28">
        <f t="shared" si="2"/>
        <v>-203.31536863088601</v>
      </c>
      <c r="D28">
        <f t="shared" si="6"/>
        <v>1.5</v>
      </c>
      <c r="E28">
        <f t="shared" si="7"/>
        <v>0.1397212704189883</v>
      </c>
      <c r="F28">
        <f t="shared" si="8"/>
        <v>1.1666666666666667</v>
      </c>
      <c r="G28">
        <f t="shared" si="9"/>
        <v>-4.0526816077890624</v>
      </c>
      <c r="H28">
        <f t="shared" ref="H28:I28" si="31">+AVERAGE(F26:F30)</f>
        <v>-4.0999999999999996</v>
      </c>
      <c r="I28">
        <f t="shared" si="31"/>
        <v>-4.1482067557663358</v>
      </c>
      <c r="J28">
        <f t="shared" si="3"/>
        <v>1955.1666666666599</v>
      </c>
      <c r="K28">
        <f t="shared" si="4"/>
        <v>-210</v>
      </c>
      <c r="L28">
        <f t="shared" si="5"/>
        <v>-203.31536863088601</v>
      </c>
      <c r="M28" s="5">
        <v>1882.1666666666599</v>
      </c>
      <c r="N28" s="5">
        <v>-105</v>
      </c>
      <c r="O28" s="5">
        <v>-60.683592581787302</v>
      </c>
      <c r="Q28">
        <f t="shared" si="10"/>
        <v>5.2193482744557294</v>
      </c>
    </row>
    <row r="29" spans="1:17" x14ac:dyDescent="0.25">
      <c r="A29">
        <f t="shared" si="0"/>
        <v>1955.25</v>
      </c>
      <c r="B29">
        <f t="shared" si="1"/>
        <v>-213</v>
      </c>
      <c r="C29">
        <f t="shared" si="2"/>
        <v>-234.803382249327</v>
      </c>
      <c r="D29">
        <f t="shared" si="6"/>
        <v>17</v>
      </c>
      <c r="E29">
        <f t="shared" si="7"/>
        <v>-8.7963468503904778</v>
      </c>
      <c r="F29">
        <f t="shared" si="8"/>
        <v>6.666666666666667</v>
      </c>
      <c r="G29">
        <f t="shared" si="9"/>
        <v>-4.9120045923054629</v>
      </c>
      <c r="H29">
        <f t="shared" ref="H29:I29" si="32">+AVERAGE(F27:F31)</f>
        <v>0</v>
      </c>
      <c r="I29">
        <f t="shared" si="32"/>
        <v>-3.1271626663704892</v>
      </c>
      <c r="J29">
        <f t="shared" si="3"/>
        <v>1955.25</v>
      </c>
      <c r="K29">
        <f t="shared" si="4"/>
        <v>-213</v>
      </c>
      <c r="L29">
        <f t="shared" si="5"/>
        <v>-234.803382249327</v>
      </c>
      <c r="M29" s="5">
        <v>1882.25</v>
      </c>
      <c r="N29" s="5">
        <v>-105</v>
      </c>
      <c r="O29" s="5">
        <v>-72.649029850534504</v>
      </c>
      <c r="Q29">
        <f t="shared" si="10"/>
        <v>11.578671258972129</v>
      </c>
    </row>
    <row r="30" spans="1:17" x14ac:dyDescent="0.25">
      <c r="A30">
        <f t="shared" si="0"/>
        <v>1955.3333333333301</v>
      </c>
      <c r="B30">
        <f t="shared" si="1"/>
        <v>-250</v>
      </c>
      <c r="C30">
        <f t="shared" si="2"/>
        <v>-248.698702166987</v>
      </c>
      <c r="D30">
        <f t="shared" si="6"/>
        <v>1.5</v>
      </c>
      <c r="E30">
        <f t="shared" si="7"/>
        <v>-9.763391641173996</v>
      </c>
      <c r="F30">
        <f t="shared" si="8"/>
        <v>0.33333333333333331</v>
      </c>
      <c r="G30">
        <f t="shared" si="9"/>
        <v>-4.0444057959135913</v>
      </c>
      <c r="H30">
        <f t="shared" ref="H30:I30" si="33">+AVERAGE(F28:F32)</f>
        <v>-0.93333333333333324</v>
      </c>
      <c r="I30">
        <f t="shared" si="33"/>
        <v>-2.2128695235773557</v>
      </c>
      <c r="J30">
        <f t="shared" si="3"/>
        <v>1955.3333333333301</v>
      </c>
      <c r="K30">
        <f t="shared" si="4"/>
        <v>-250</v>
      </c>
      <c r="L30">
        <f t="shared" si="5"/>
        <v>-248.698702166987</v>
      </c>
      <c r="M30" s="5">
        <v>1882.3333333333301</v>
      </c>
      <c r="N30" s="5">
        <v>-105</v>
      </c>
      <c r="O30" s="5">
        <v>33.540163425006398</v>
      </c>
      <c r="Q30">
        <f t="shared" si="10"/>
        <v>4.3777391292469243</v>
      </c>
    </row>
    <row r="31" spans="1:17" x14ac:dyDescent="0.25">
      <c r="A31">
        <f t="shared" si="0"/>
        <v>1955.4166666666599</v>
      </c>
      <c r="B31">
        <f t="shared" si="1"/>
        <v>-290</v>
      </c>
      <c r="C31">
        <f t="shared" si="2"/>
        <v>-243.06723880229899</v>
      </c>
      <c r="D31">
        <f t="shared" si="6"/>
        <v>-17.5</v>
      </c>
      <c r="E31">
        <f t="shared" si="7"/>
        <v>3.3932167568885063</v>
      </c>
      <c r="F31">
        <f t="shared" si="8"/>
        <v>-6.166666666666667</v>
      </c>
      <c r="G31">
        <f t="shared" si="9"/>
        <v>-7.1622054798929954E-2</v>
      </c>
      <c r="H31">
        <f t="shared" ref="H31:I31" si="34">+AVERAGE(F29:F33)</f>
        <v>-1.6666666666666667</v>
      </c>
      <c r="I31">
        <f t="shared" si="34"/>
        <v>-1.4398220561706085</v>
      </c>
      <c r="J31">
        <f t="shared" si="3"/>
        <v>1955.4166666666599</v>
      </c>
      <c r="K31">
        <f t="shared" si="4"/>
        <v>-290</v>
      </c>
      <c r="L31">
        <f t="shared" si="5"/>
        <v>-243.06723880229899</v>
      </c>
      <c r="M31" s="5">
        <v>1882.4166666666599</v>
      </c>
      <c r="N31" s="5">
        <v>-105</v>
      </c>
      <c r="O31" s="5">
        <v>162.91658532796501</v>
      </c>
      <c r="Q31">
        <f t="shared" si="10"/>
        <v>6.0950446118677366</v>
      </c>
    </row>
    <row r="32" spans="1:17" x14ac:dyDescent="0.25">
      <c r="A32">
        <f t="shared" si="0"/>
        <v>1955.5</v>
      </c>
      <c r="B32">
        <f t="shared" si="1"/>
        <v>-295</v>
      </c>
      <c r="C32">
        <f t="shared" si="2"/>
        <v>-244.22220895138801</v>
      </c>
      <c r="D32">
        <f t="shared" si="6"/>
        <v>-2.5</v>
      </c>
      <c r="E32">
        <f t="shared" si="7"/>
        <v>6.1015921787895024</v>
      </c>
      <c r="F32">
        <f t="shared" si="8"/>
        <v>-6.666666666666667</v>
      </c>
      <c r="G32">
        <f t="shared" si="9"/>
        <v>2.0163664329202677</v>
      </c>
      <c r="H32">
        <f t="shared" ref="H32:I32" si="35">+AVERAGE(F30:F34)</f>
        <v>-3.5666666666666664</v>
      </c>
      <c r="I32">
        <f t="shared" si="35"/>
        <v>-1.3906209269772234</v>
      </c>
      <c r="J32">
        <f t="shared" si="3"/>
        <v>1955.5</v>
      </c>
      <c r="K32">
        <f t="shared" si="4"/>
        <v>-295</v>
      </c>
      <c r="L32">
        <f t="shared" si="5"/>
        <v>-244.22220895138801</v>
      </c>
      <c r="M32" s="5">
        <v>1882.5</v>
      </c>
      <c r="N32" s="5">
        <v>-105</v>
      </c>
      <c r="O32" s="5">
        <v>199.658038593924</v>
      </c>
      <c r="Q32">
        <f t="shared" si="10"/>
        <v>8.6830330995869343</v>
      </c>
    </row>
    <row r="33" spans="1:17" x14ac:dyDescent="0.25">
      <c r="A33">
        <f t="shared" si="0"/>
        <v>1955.5833333333301</v>
      </c>
      <c r="B33">
        <f t="shared" si="1"/>
        <v>-295</v>
      </c>
      <c r="C33">
        <f t="shared" si="2"/>
        <v>-257.58036345805601</v>
      </c>
      <c r="D33">
        <f t="shared" si="6"/>
        <v>0</v>
      </c>
      <c r="E33">
        <f t="shared" si="7"/>
        <v>-1.9334348122270058</v>
      </c>
      <c r="F33">
        <f t="shared" si="8"/>
        <v>-2.5</v>
      </c>
      <c r="G33">
        <f t="shared" si="9"/>
        <v>-0.18744427075532713</v>
      </c>
      <c r="H33">
        <f t="shared" ref="H33:I33" si="36">+AVERAGE(F31:F35)</f>
        <v>-6.8666666666666671</v>
      </c>
      <c r="I33">
        <f t="shared" si="36"/>
        <v>-2.1776296649468518</v>
      </c>
      <c r="J33">
        <f t="shared" si="3"/>
        <v>1955.5833333333301</v>
      </c>
      <c r="K33">
        <f t="shared" si="4"/>
        <v>-295</v>
      </c>
      <c r="L33">
        <f t="shared" si="5"/>
        <v>-257.58036345805601</v>
      </c>
      <c r="M33" s="5">
        <v>1882.5833333333301</v>
      </c>
      <c r="N33" s="5">
        <v>-105</v>
      </c>
      <c r="O33" s="5">
        <v>203.40578268167599</v>
      </c>
      <c r="Q33">
        <f t="shared" si="10"/>
        <v>2.3125557292446728</v>
      </c>
    </row>
    <row r="34" spans="1:17" x14ac:dyDescent="0.25">
      <c r="A34">
        <f t="shared" si="0"/>
        <v>1955.6666666666599</v>
      </c>
      <c r="B34">
        <f t="shared" si="1"/>
        <v>-295</v>
      </c>
      <c r="C34">
        <f t="shared" si="2"/>
        <v>-267.07164834026997</v>
      </c>
      <c r="D34">
        <f t="shared" si="6"/>
        <v>-5</v>
      </c>
      <c r="E34">
        <f t="shared" si="7"/>
        <v>-4.8710733818949734</v>
      </c>
      <c r="F34">
        <f t="shared" si="8"/>
        <v>-2.8333333333333335</v>
      </c>
      <c r="G34">
        <f t="shared" si="9"/>
        <v>-4.6659989463385356</v>
      </c>
      <c r="H34">
        <f t="shared" ref="H34:I34" si="37">+AVERAGE(F32:F36)</f>
        <v>-5.5333333333333341</v>
      </c>
      <c r="I34">
        <f t="shared" si="37"/>
        <v>-3.2287147276426671</v>
      </c>
      <c r="J34">
        <f t="shared" si="3"/>
        <v>1955.6666666666599</v>
      </c>
      <c r="K34">
        <f t="shared" si="4"/>
        <v>-295</v>
      </c>
      <c r="L34">
        <f t="shared" si="5"/>
        <v>-267.07164834026997</v>
      </c>
      <c r="M34" s="5">
        <v>1882.6666666666599</v>
      </c>
      <c r="N34" s="5">
        <v>-105</v>
      </c>
      <c r="O34" s="5">
        <v>200.78631643180901</v>
      </c>
      <c r="Q34">
        <f t="shared" si="10"/>
        <v>1.8326656130052021</v>
      </c>
    </row>
    <row r="35" spans="1:17" x14ac:dyDescent="0.25">
      <c r="A35">
        <f t="shared" si="0"/>
        <v>1955.75</v>
      </c>
      <c r="B35">
        <f t="shared" si="1"/>
        <v>-285</v>
      </c>
      <c r="C35">
        <f t="shared" si="2"/>
        <v>-266.82078645869399</v>
      </c>
      <c r="D35">
        <f t="shared" si="6"/>
        <v>-3.5</v>
      </c>
      <c r="E35">
        <f t="shared" si="7"/>
        <v>-10.692987854647527</v>
      </c>
      <c r="F35">
        <f t="shared" si="8"/>
        <v>-16.166666666666668</v>
      </c>
      <c r="G35">
        <f t="shared" si="9"/>
        <v>-7.9794494857617337</v>
      </c>
      <c r="H35">
        <f t="shared" ref="H35:I35" si="38">+AVERAGE(F33:F37)</f>
        <v>-6.333333333333333</v>
      </c>
      <c r="I35">
        <f t="shared" si="38"/>
        <v>-3.4310699056037088</v>
      </c>
      <c r="J35">
        <f t="shared" si="3"/>
        <v>1955.75</v>
      </c>
      <c r="K35">
        <f t="shared" si="4"/>
        <v>-285</v>
      </c>
      <c r="L35">
        <f t="shared" si="5"/>
        <v>-266.82078645869399</v>
      </c>
      <c r="M35" s="5">
        <v>1882.75</v>
      </c>
      <c r="N35" s="5">
        <v>-105</v>
      </c>
      <c r="O35" s="5">
        <v>192.582601201362</v>
      </c>
      <c r="Q35">
        <f t="shared" si="10"/>
        <v>8.1872171809049341</v>
      </c>
    </row>
    <row r="36" spans="1:17" x14ac:dyDescent="0.25">
      <c r="A36">
        <f t="shared" si="0"/>
        <v>1955.8333333333301</v>
      </c>
      <c r="B36">
        <f t="shared" si="1"/>
        <v>-268</v>
      </c>
      <c r="C36">
        <f t="shared" si="2"/>
        <v>-245.18394886782301</v>
      </c>
      <c r="D36">
        <f t="shared" si="6"/>
        <v>-40</v>
      </c>
      <c r="E36">
        <f t="shared" si="7"/>
        <v>-14.358874335064002</v>
      </c>
      <c r="F36">
        <f t="shared" si="8"/>
        <v>0.5</v>
      </c>
      <c r="G36">
        <f t="shared" si="9"/>
        <v>-5.3270473682780075</v>
      </c>
      <c r="H36">
        <f t="shared" ref="H36:I36" si="39">+AVERAGE(F34:F38)</f>
        <v>-3.9333333333333327</v>
      </c>
      <c r="I36">
        <f t="shared" si="39"/>
        <v>-2.5215214005109892</v>
      </c>
      <c r="J36">
        <f t="shared" si="3"/>
        <v>1955.8333333333301</v>
      </c>
      <c r="K36">
        <f t="shared" si="4"/>
        <v>-268</v>
      </c>
      <c r="L36">
        <f t="shared" si="5"/>
        <v>-245.18394886782301</v>
      </c>
      <c r="M36" s="5">
        <v>1882.8333333333301</v>
      </c>
      <c r="N36" s="5">
        <v>-105</v>
      </c>
      <c r="O36" s="5">
        <v>179.23492914989399</v>
      </c>
      <c r="Q36">
        <f t="shared" si="10"/>
        <v>5.8270473682780075</v>
      </c>
    </row>
    <row r="37" spans="1:17" x14ac:dyDescent="0.25">
      <c r="A37">
        <f t="shared" si="0"/>
        <v>1955.9166666666599</v>
      </c>
      <c r="B37">
        <f t="shared" si="1"/>
        <v>-171</v>
      </c>
      <c r="C37">
        <f t="shared" si="2"/>
        <v>-194.82936260682399</v>
      </c>
      <c r="D37">
        <f t="shared" si="6"/>
        <v>45</v>
      </c>
      <c r="E37">
        <f t="shared" si="7"/>
        <v>5.0754345586690022</v>
      </c>
      <c r="F37">
        <f t="shared" si="8"/>
        <v>-10.666666666666666</v>
      </c>
      <c r="G37">
        <f t="shared" si="9"/>
        <v>1.004590543115061</v>
      </c>
      <c r="H37">
        <f t="shared" ref="H37:I37" si="40">+AVERAGE(F35:F39)</f>
        <v>-4.8000000000000007</v>
      </c>
      <c r="I37">
        <f t="shared" si="40"/>
        <v>-1.5206633799590314</v>
      </c>
      <c r="J37">
        <f t="shared" si="3"/>
        <v>1955.9166666666599</v>
      </c>
      <c r="K37">
        <f t="shared" si="4"/>
        <v>-171</v>
      </c>
      <c r="L37">
        <f t="shared" si="5"/>
        <v>-194.82936260682399</v>
      </c>
      <c r="M37" s="5">
        <v>1882.9166666666599</v>
      </c>
      <c r="N37" s="5">
        <v>-105</v>
      </c>
      <c r="O37" s="5">
        <v>114.561689749888</v>
      </c>
      <c r="Q37">
        <f t="shared" si="10"/>
        <v>11.671257209781727</v>
      </c>
    </row>
    <row r="38" spans="1:17" x14ac:dyDescent="0.25">
      <c r="A38">
        <f t="shared" si="0"/>
        <v>1956</v>
      </c>
      <c r="B38">
        <f t="shared" si="1"/>
        <v>-164</v>
      </c>
      <c r="C38">
        <f t="shared" si="2"/>
        <v>-154.62564546316301</v>
      </c>
      <c r="D38">
        <f t="shared" si="6"/>
        <v>-37</v>
      </c>
      <c r="E38">
        <f t="shared" si="7"/>
        <v>13.050654313076478</v>
      </c>
      <c r="F38">
        <f t="shared" si="8"/>
        <v>9.5</v>
      </c>
      <c r="G38">
        <f t="shared" si="9"/>
        <v>4.3602982547082698</v>
      </c>
      <c r="H38">
        <f t="shared" ref="H38:I38" si="41">+AVERAGE(F36:F40)</f>
        <v>-2.5333333333333332</v>
      </c>
      <c r="I38">
        <f t="shared" si="41"/>
        <v>-3.8603697577211271</v>
      </c>
      <c r="J38">
        <f t="shared" si="3"/>
        <v>1956</v>
      </c>
      <c r="K38">
        <f t="shared" si="4"/>
        <v>-164</v>
      </c>
      <c r="L38">
        <f t="shared" si="5"/>
        <v>-154.62564546316301</v>
      </c>
      <c r="M38" s="5">
        <v>1883</v>
      </c>
      <c r="N38" s="5">
        <v>-105</v>
      </c>
      <c r="O38" s="5">
        <v>-148.583450054992</v>
      </c>
      <c r="Q38">
        <f t="shared" si="10"/>
        <v>5.1397017452917302</v>
      </c>
    </row>
    <row r="39" spans="1:17" x14ac:dyDescent="0.25">
      <c r="A39">
        <f t="shared" si="0"/>
        <v>1956.0833333333301</v>
      </c>
      <c r="B39">
        <f t="shared" si="1"/>
        <v>-83</v>
      </c>
      <c r="C39">
        <f t="shared" si="2"/>
        <v>-140.52323694565499</v>
      </c>
      <c r="D39">
        <f t="shared" si="6"/>
        <v>20.5</v>
      </c>
      <c r="E39">
        <f t="shared" si="7"/>
        <v>-1.7749704165894684</v>
      </c>
      <c r="F39">
        <f t="shared" si="8"/>
        <v>-7.166666666666667</v>
      </c>
      <c r="G39">
        <f t="shared" si="9"/>
        <v>0.33829115642125396</v>
      </c>
      <c r="H39">
        <f t="shared" ref="H39:I39" si="42">+AVERAGE(F37:F41)</f>
        <v>-1.3666666666666663</v>
      </c>
      <c r="I39">
        <f t="shared" si="42"/>
        <v>-5.0572622252908541</v>
      </c>
      <c r="J39">
        <f t="shared" si="3"/>
        <v>1956.0833333333301</v>
      </c>
      <c r="K39">
        <f t="shared" si="4"/>
        <v>-83</v>
      </c>
      <c r="L39">
        <f t="shared" si="5"/>
        <v>-140.52323694565499</v>
      </c>
      <c r="M39" s="5">
        <v>1883.0833333333301</v>
      </c>
      <c r="N39" s="5">
        <v>-105</v>
      </c>
      <c r="O39" s="5">
        <v>-237.10598297584599</v>
      </c>
      <c r="Q39">
        <f t="shared" si="10"/>
        <v>7.5049578230879206</v>
      </c>
    </row>
    <row r="40" spans="1:17" x14ac:dyDescent="0.25">
      <c r="A40">
        <f t="shared" si="0"/>
        <v>1956.1666666666599</v>
      </c>
      <c r="B40">
        <f t="shared" si="1"/>
        <v>-43</v>
      </c>
      <c r="C40">
        <f t="shared" si="2"/>
        <v>-122.870887594968</v>
      </c>
      <c r="D40">
        <f t="shared" si="6"/>
        <v>-5</v>
      </c>
      <c r="E40">
        <f t="shared" si="7"/>
        <v>-10.007092059907308</v>
      </c>
      <c r="F40">
        <f t="shared" si="8"/>
        <v>-4.833333333333333</v>
      </c>
      <c r="G40">
        <f t="shared" si="9"/>
        <v>-19.677981374572212</v>
      </c>
      <c r="H40">
        <f t="shared" ref="H40:I40" si="43">+AVERAGE(F38:F42)</f>
        <v>1.6</v>
      </c>
      <c r="I40">
        <f t="shared" si="43"/>
        <v>-5.1401903503758231</v>
      </c>
      <c r="J40">
        <f t="shared" si="3"/>
        <v>1956.1666666666599</v>
      </c>
      <c r="K40">
        <f t="shared" si="4"/>
        <v>-43</v>
      </c>
      <c r="L40">
        <f t="shared" si="5"/>
        <v>-122.870887594968</v>
      </c>
      <c r="M40" s="5">
        <v>1883.1666666666599</v>
      </c>
      <c r="N40" s="5">
        <v>-105</v>
      </c>
      <c r="O40" s="5">
        <v>-260.003656083012</v>
      </c>
      <c r="Q40">
        <f t="shared" si="10"/>
        <v>14.84464804123888</v>
      </c>
    </row>
    <row r="41" spans="1:17" x14ac:dyDescent="0.25">
      <c r="A41">
        <f t="shared" si="0"/>
        <v>1956.25</v>
      </c>
      <c r="B41">
        <f t="shared" si="1"/>
        <v>7</v>
      </c>
      <c r="C41">
        <f t="shared" si="2"/>
        <v>-85.204354124466406</v>
      </c>
      <c r="D41">
        <f t="shared" si="6"/>
        <v>-30</v>
      </c>
      <c r="E41">
        <f t="shared" si="7"/>
        <v>-62.010367678149009</v>
      </c>
      <c r="F41">
        <f t="shared" si="8"/>
        <v>6.333333333333333</v>
      </c>
      <c r="G41">
        <f t="shared" si="9"/>
        <v>-11.311509706126643</v>
      </c>
      <c r="H41">
        <f t="shared" ref="H41:I41" si="44">+AVERAGE(F39:F43)</f>
        <v>3.2666666666666666</v>
      </c>
      <c r="I41">
        <f t="shared" si="44"/>
        <v>-2.1775106259771411</v>
      </c>
      <c r="J41">
        <f t="shared" si="3"/>
        <v>1956.25</v>
      </c>
      <c r="K41">
        <f t="shared" si="4"/>
        <v>7</v>
      </c>
      <c r="L41">
        <f t="shared" si="5"/>
        <v>-85.204354124466406</v>
      </c>
      <c r="M41" s="5">
        <v>1883.25</v>
      </c>
      <c r="N41" s="5">
        <v>-105</v>
      </c>
      <c r="O41" s="5">
        <v>-263.30823404411097</v>
      </c>
      <c r="Q41">
        <f t="shared" si="10"/>
        <v>17.644843039459975</v>
      </c>
    </row>
    <row r="42" spans="1:17" x14ac:dyDescent="0.25">
      <c r="A42">
        <f t="shared" si="0"/>
        <v>1956.3333333333301</v>
      </c>
      <c r="B42">
        <f t="shared" si="1"/>
        <v>117</v>
      </c>
      <c r="C42">
        <f t="shared" si="2"/>
        <v>76.482914702333204</v>
      </c>
      <c r="D42">
        <f t="shared" si="6"/>
        <v>54</v>
      </c>
      <c r="E42">
        <f t="shared" si="7"/>
        <v>29.599298340081411</v>
      </c>
      <c r="F42">
        <f t="shared" si="8"/>
        <v>4.166666666666667</v>
      </c>
      <c r="G42">
        <f t="shared" si="9"/>
        <v>0.5899499176902111</v>
      </c>
      <c r="H42">
        <f t="shared" ref="H42:I42" si="45">+AVERAGE(F40:F44)</f>
        <v>4.3</v>
      </c>
      <c r="I42">
        <f t="shared" si="45"/>
        <v>0.2264763449244164</v>
      </c>
      <c r="J42">
        <f t="shared" si="3"/>
        <v>1956.3333333333301</v>
      </c>
      <c r="K42">
        <f t="shared" si="4"/>
        <v>117</v>
      </c>
      <c r="L42">
        <f t="shared" si="5"/>
        <v>76.482914702333204</v>
      </c>
      <c r="M42" s="5">
        <v>1883.3333333333301</v>
      </c>
      <c r="N42" s="5">
        <v>-105</v>
      </c>
      <c r="O42" s="5">
        <v>-249.54566613367999</v>
      </c>
      <c r="Q42">
        <f t="shared" si="10"/>
        <v>3.5767167489764558</v>
      </c>
    </row>
    <row r="43" spans="1:17" x14ac:dyDescent="0.25">
      <c r="A43">
        <f t="shared" si="0"/>
        <v>1956.4166666666599</v>
      </c>
      <c r="B43">
        <f t="shared" si="1"/>
        <v>119</v>
      </c>
      <c r="C43">
        <f t="shared" si="2"/>
        <v>178.97158684896999</v>
      </c>
      <c r="D43">
        <f t="shared" si="6"/>
        <v>-11.5</v>
      </c>
      <c r="E43">
        <f t="shared" si="7"/>
        <v>34.62338152940589</v>
      </c>
      <c r="F43">
        <f t="shared" si="8"/>
        <v>17.833333333333332</v>
      </c>
      <c r="G43">
        <f t="shared" si="9"/>
        <v>19.173696876701683</v>
      </c>
      <c r="H43">
        <f t="shared" ref="H43:I43" si="46">+AVERAGE(F41:F45)</f>
        <v>5.7666666666666666</v>
      </c>
      <c r="I43">
        <f t="shared" si="46"/>
        <v>5.081217950599525</v>
      </c>
      <c r="J43">
        <f t="shared" si="3"/>
        <v>1956.4166666666599</v>
      </c>
      <c r="K43">
        <f t="shared" si="4"/>
        <v>119</v>
      </c>
      <c r="L43">
        <f t="shared" si="5"/>
        <v>178.97158684896999</v>
      </c>
      <c r="M43" s="5">
        <v>1883.4166666666599</v>
      </c>
      <c r="N43" s="5">
        <v>-105</v>
      </c>
      <c r="O43" s="5">
        <v>-226.61565403778999</v>
      </c>
      <c r="Q43">
        <f t="shared" si="10"/>
        <v>1.3403635433683512</v>
      </c>
    </row>
    <row r="44" spans="1:17" x14ac:dyDescent="0.25">
      <c r="A44">
        <f t="shared" si="0"/>
        <v>1956.5</v>
      </c>
      <c r="B44">
        <f t="shared" si="1"/>
        <v>144</v>
      </c>
      <c r="C44">
        <f t="shared" si="2"/>
        <v>212.213495936795</v>
      </c>
      <c r="D44">
        <f t="shared" si="6"/>
        <v>11</v>
      </c>
      <c r="E44">
        <f t="shared" si="7"/>
        <v>7.6786834181440042</v>
      </c>
      <c r="F44">
        <f t="shared" si="8"/>
        <v>-2</v>
      </c>
      <c r="G44">
        <f t="shared" si="9"/>
        <v>12.358226010929041</v>
      </c>
      <c r="H44">
        <f t="shared" ref="H44:I44" si="47">+AVERAGE(F42:F46)</f>
        <v>4.5999999999999996</v>
      </c>
      <c r="I44">
        <f t="shared" si="47"/>
        <v>8.0678702524114421</v>
      </c>
      <c r="J44">
        <f t="shared" si="3"/>
        <v>1956.5</v>
      </c>
      <c r="K44">
        <f t="shared" si="4"/>
        <v>144</v>
      </c>
      <c r="L44">
        <f t="shared" si="5"/>
        <v>212.213495936795</v>
      </c>
      <c r="M44" s="5">
        <v>1883.5</v>
      </c>
      <c r="N44" s="5">
        <v>-105</v>
      </c>
      <c r="O44" s="5">
        <v>-214.662586692037</v>
      </c>
      <c r="Q44">
        <f t="shared" si="10"/>
        <v>14.358226010929041</v>
      </c>
    </row>
    <row r="45" spans="1:17" x14ac:dyDescent="0.25">
      <c r="A45">
        <f t="shared" si="0"/>
        <v>1956.5833333333301</v>
      </c>
      <c r="B45">
        <f t="shared" si="1"/>
        <v>147</v>
      </c>
      <c r="C45">
        <f t="shared" si="2"/>
        <v>230.098038188332</v>
      </c>
      <c r="D45">
        <f t="shared" si="6"/>
        <v>-5.5</v>
      </c>
      <c r="E45">
        <f t="shared" si="7"/>
        <v>4.0412825934340049</v>
      </c>
      <c r="F45">
        <f t="shared" si="8"/>
        <v>2.5</v>
      </c>
      <c r="G45">
        <f t="shared" si="9"/>
        <v>4.5957266538033315</v>
      </c>
      <c r="H45">
        <f t="shared" ref="H45:I45" si="48">+AVERAGE(F43:F47)</f>
        <v>5.2333333333333325</v>
      </c>
      <c r="I45">
        <f t="shared" si="48"/>
        <v>9.0511714830176118</v>
      </c>
      <c r="J45">
        <f t="shared" si="3"/>
        <v>1956.5833333333301</v>
      </c>
      <c r="K45">
        <f t="shared" si="4"/>
        <v>147</v>
      </c>
      <c r="L45">
        <f t="shared" si="5"/>
        <v>230.098038188332</v>
      </c>
      <c r="M45" s="5">
        <v>1883.5833333333301</v>
      </c>
      <c r="N45" s="5">
        <v>-105</v>
      </c>
      <c r="O45" s="5">
        <v>-204.935346601585</v>
      </c>
      <c r="Q45">
        <f t="shared" si="10"/>
        <v>2.0957266538033315</v>
      </c>
    </row>
    <row r="46" spans="1:17" x14ac:dyDescent="0.25">
      <c r="A46">
        <f t="shared" si="0"/>
        <v>1956.6666666666599</v>
      </c>
      <c r="B46">
        <f t="shared" si="1"/>
        <v>161</v>
      </c>
      <c r="C46">
        <f t="shared" si="2"/>
        <v>239.90001525300099</v>
      </c>
      <c r="D46">
        <f t="shared" si="6"/>
        <v>2</v>
      </c>
      <c r="E46">
        <f t="shared" si="7"/>
        <v>5.5140089401844818</v>
      </c>
      <c r="F46">
        <f t="shared" si="8"/>
        <v>0.5</v>
      </c>
      <c r="G46">
        <f t="shared" si="9"/>
        <v>3.6217518029329394</v>
      </c>
      <c r="H46">
        <f t="shared" ref="H46:I46" si="49">+AVERAGE(F44:F48)</f>
        <v>7.4</v>
      </c>
      <c r="I46">
        <f t="shared" si="49"/>
        <v>7.6199211814825842</v>
      </c>
      <c r="J46">
        <f t="shared" si="3"/>
        <v>1956.6666666666599</v>
      </c>
      <c r="K46">
        <f t="shared" si="4"/>
        <v>161</v>
      </c>
      <c r="L46">
        <f t="shared" si="5"/>
        <v>239.90001525300099</v>
      </c>
      <c r="M46" s="5">
        <v>1883.6666666666599</v>
      </c>
      <c r="N46" s="5">
        <v>-105</v>
      </c>
      <c r="O46" s="5">
        <v>-198.570788795455</v>
      </c>
      <c r="Q46">
        <f t="shared" si="10"/>
        <v>3.1217518029329394</v>
      </c>
    </row>
    <row r="47" spans="1:17" x14ac:dyDescent="0.25">
      <c r="A47">
        <f t="shared" si="0"/>
        <v>1956.75</v>
      </c>
      <c r="B47">
        <f t="shared" si="1"/>
        <v>171</v>
      </c>
      <c r="C47">
        <f t="shared" si="2"/>
        <v>238.67397443730101</v>
      </c>
      <c r="D47">
        <f t="shared" si="6"/>
        <v>5</v>
      </c>
      <c r="E47">
        <f t="shared" si="7"/>
        <v>4.0262777273800339</v>
      </c>
      <c r="F47">
        <f t="shared" si="8"/>
        <v>7.333333333333333</v>
      </c>
      <c r="G47">
        <f t="shared" si="9"/>
        <v>5.5064560707210681</v>
      </c>
      <c r="H47">
        <f t="shared" ref="H47:I47" si="50">+AVERAGE(F45:F49)</f>
        <v>9.9</v>
      </c>
      <c r="I47">
        <f t="shared" si="50"/>
        <v>9.5134868819841074</v>
      </c>
      <c r="J47">
        <f t="shared" si="3"/>
        <v>1956.75</v>
      </c>
      <c r="K47">
        <f t="shared" si="4"/>
        <v>171</v>
      </c>
      <c r="L47">
        <f t="shared" si="5"/>
        <v>238.67397443730101</v>
      </c>
      <c r="M47" s="5">
        <v>1883.75</v>
      </c>
      <c r="N47" s="5">
        <v>-105</v>
      </c>
      <c r="O47" s="5">
        <v>-198.495073029759</v>
      </c>
      <c r="Q47">
        <f t="shared" si="10"/>
        <v>1.8268772626122649</v>
      </c>
    </row>
    <row r="48" spans="1:17" x14ac:dyDescent="0.25">
      <c r="A48">
        <f t="shared" si="0"/>
        <v>1956.8333333333301</v>
      </c>
      <c r="B48">
        <f t="shared" si="1"/>
        <v>171</v>
      </c>
      <c r="C48">
        <f t="shared" si="2"/>
        <v>229.395378166841</v>
      </c>
      <c r="D48">
        <f t="shared" si="6"/>
        <v>15</v>
      </c>
      <c r="E48">
        <f t="shared" si="7"/>
        <v>11.108923597639489</v>
      </c>
      <c r="F48">
        <f t="shared" si="8"/>
        <v>28.666666666666668</v>
      </c>
      <c r="G48">
        <f t="shared" si="9"/>
        <v>12.017445369026541</v>
      </c>
      <c r="H48">
        <f t="shared" ref="H48:I48" si="51">+AVERAGE(F46:F50)</f>
        <v>8.6666666666666679</v>
      </c>
      <c r="I48">
        <f t="shared" si="51"/>
        <v>10.510070746224056</v>
      </c>
      <c r="J48">
        <f t="shared" si="3"/>
        <v>1956.8333333333301</v>
      </c>
      <c r="K48">
        <f t="shared" si="4"/>
        <v>171</v>
      </c>
      <c r="L48">
        <f t="shared" si="5"/>
        <v>229.395378166841</v>
      </c>
      <c r="M48" s="5">
        <v>1883.8333333333301</v>
      </c>
      <c r="N48" s="5">
        <v>-105</v>
      </c>
      <c r="O48" s="5">
        <v>-182.20174235375799</v>
      </c>
      <c r="Q48">
        <f t="shared" si="10"/>
        <v>16.649221297640125</v>
      </c>
    </row>
    <row r="49" spans="1:17" x14ac:dyDescent="0.25">
      <c r="A49">
        <f t="shared" si="0"/>
        <v>1956.9166666666599</v>
      </c>
      <c r="B49">
        <f t="shared" si="1"/>
        <v>141</v>
      </c>
      <c r="C49">
        <f t="shared" si="2"/>
        <v>197.89893470110201</v>
      </c>
      <c r="D49">
        <f t="shared" si="6"/>
        <v>66</v>
      </c>
      <c r="E49">
        <f t="shared" si="7"/>
        <v>29.930218808830006</v>
      </c>
      <c r="F49">
        <f t="shared" si="8"/>
        <v>10.5</v>
      </c>
      <c r="G49">
        <f t="shared" si="9"/>
        <v>21.826054513436656</v>
      </c>
      <c r="H49">
        <f t="shared" ref="H49:I49" si="52">+AVERAGE(F47:F51)</f>
        <v>6.666666666666667</v>
      </c>
      <c r="I49">
        <f t="shared" si="52"/>
        <v>8.871794948483176</v>
      </c>
      <c r="J49">
        <f t="shared" si="3"/>
        <v>1956.9166666666599</v>
      </c>
      <c r="K49">
        <f t="shared" si="4"/>
        <v>141</v>
      </c>
      <c r="L49">
        <f t="shared" si="5"/>
        <v>197.89893470110201</v>
      </c>
      <c r="M49" s="5">
        <v>1883.9166666666599</v>
      </c>
      <c r="N49" s="5">
        <v>-105</v>
      </c>
      <c r="O49" s="5">
        <v>-159.610609205011</v>
      </c>
      <c r="Q49">
        <f t="shared" si="10"/>
        <v>11.326054513436656</v>
      </c>
    </row>
    <row r="50" spans="1:17" x14ac:dyDescent="0.25">
      <c r="A50">
        <f t="shared" si="0"/>
        <v>1957</v>
      </c>
      <c r="B50">
        <f t="shared" si="1"/>
        <v>-21</v>
      </c>
      <c r="C50">
        <f t="shared" si="2"/>
        <v>106.542053617703</v>
      </c>
      <c r="D50">
        <f t="shared" si="6"/>
        <v>-49.5</v>
      </c>
      <c r="E50">
        <f t="shared" si="7"/>
        <v>40.808562018917954</v>
      </c>
      <c r="F50">
        <f t="shared" si="8"/>
        <v>-3.6666666666666665</v>
      </c>
      <c r="G50">
        <f t="shared" si="9"/>
        <v>9.5786459750030808</v>
      </c>
      <c r="H50">
        <f t="shared" ref="H50:I50" si="53">+AVERAGE(F48:F52)</f>
        <v>4.033333333333335</v>
      </c>
      <c r="I50">
        <f t="shared" si="53"/>
        <v>3.6520080167374962</v>
      </c>
      <c r="J50">
        <f t="shared" si="3"/>
        <v>1957</v>
      </c>
      <c r="K50">
        <f t="shared" si="4"/>
        <v>-21</v>
      </c>
      <c r="L50">
        <f t="shared" si="5"/>
        <v>106.542053617703</v>
      </c>
      <c r="M50" s="5">
        <v>1884</v>
      </c>
      <c r="N50" s="5">
        <v>-105</v>
      </c>
      <c r="O50" s="5">
        <v>-138.52551010179201</v>
      </c>
      <c r="Q50">
        <f t="shared" si="10"/>
        <v>13.245312641669747</v>
      </c>
    </row>
    <row r="51" spans="1:17" x14ac:dyDescent="0.25">
      <c r="A51">
        <f t="shared" si="0"/>
        <v>1957.0833333333301</v>
      </c>
      <c r="B51">
        <f t="shared" si="1"/>
        <v>-84</v>
      </c>
      <c r="C51">
        <f t="shared" si="2"/>
        <v>-66.431951503531906</v>
      </c>
      <c r="D51">
        <f t="shared" si="6"/>
        <v>-27.5</v>
      </c>
      <c r="E51">
        <f t="shared" si="7"/>
        <v>-34.818858421486411</v>
      </c>
      <c r="F51">
        <f t="shared" si="8"/>
        <v>-9.5</v>
      </c>
      <c r="G51">
        <f t="shared" si="9"/>
        <v>-4.569627185771469</v>
      </c>
      <c r="H51">
        <f t="shared" ref="H51:I51" si="54">+AVERAGE(F49:F53)</f>
        <v>-1.4</v>
      </c>
      <c r="I51">
        <f t="shared" si="54"/>
        <v>-1.4993706107111753</v>
      </c>
      <c r="J51">
        <f t="shared" si="3"/>
        <v>1957.0833333333301</v>
      </c>
      <c r="K51">
        <f t="shared" si="4"/>
        <v>-84</v>
      </c>
      <c r="L51">
        <f t="shared" si="5"/>
        <v>-66.431951503531906</v>
      </c>
      <c r="M51" s="5">
        <v>1884.0833333333301</v>
      </c>
      <c r="N51" s="5">
        <v>-105</v>
      </c>
      <c r="O51" s="5">
        <v>-87.609887388335196</v>
      </c>
      <c r="Q51">
        <f t="shared" si="10"/>
        <v>4.930372814228531</v>
      </c>
    </row>
    <row r="52" spans="1:17" x14ac:dyDescent="0.25">
      <c r="A52">
        <f t="shared" si="0"/>
        <v>1957.1666666666599</v>
      </c>
      <c r="B52">
        <f t="shared" si="1"/>
        <v>-92</v>
      </c>
      <c r="C52">
        <f t="shared" si="2"/>
        <v>-169.76823978179399</v>
      </c>
      <c r="D52">
        <f t="shared" si="6"/>
        <v>48.5</v>
      </c>
      <c r="E52">
        <f t="shared" si="7"/>
        <v>-23.125805544074552</v>
      </c>
      <c r="F52">
        <f t="shared" si="8"/>
        <v>-5.833333333333333</v>
      </c>
      <c r="G52">
        <f t="shared" si="9"/>
        <v>-20.592478588007328</v>
      </c>
      <c r="H52">
        <f t="shared" ref="H52:I52" si="55">+AVERAGE(F50:F54)</f>
        <v>-6.8666666666666654</v>
      </c>
      <c r="I52">
        <f t="shared" si="55"/>
        <v>-7.595547490245548</v>
      </c>
      <c r="J52">
        <f t="shared" si="3"/>
        <v>1957.1666666666599</v>
      </c>
      <c r="K52">
        <f t="shared" si="4"/>
        <v>-92</v>
      </c>
      <c r="L52">
        <f t="shared" si="5"/>
        <v>-169.76823978179399</v>
      </c>
      <c r="M52" s="5">
        <v>1884.1666666666599</v>
      </c>
      <c r="N52" s="5">
        <v>-105</v>
      </c>
      <c r="O52" s="5">
        <v>-52.166730251240097</v>
      </c>
      <c r="Q52">
        <f t="shared" si="10"/>
        <v>14.759145254673996</v>
      </c>
    </row>
    <row r="53" spans="1:17" x14ac:dyDescent="0.25">
      <c r="A53">
        <f t="shared" si="0"/>
        <v>1957.25</v>
      </c>
      <c r="B53">
        <f t="shared" si="1"/>
        <v>-197</v>
      </c>
      <c r="C53">
        <f t="shared" si="2"/>
        <v>-226.85291697190701</v>
      </c>
      <c r="D53">
        <f t="shared" si="6"/>
        <v>-38.5</v>
      </c>
      <c r="E53">
        <f t="shared" si="7"/>
        <v>-19.277130739466514</v>
      </c>
      <c r="F53">
        <f t="shared" si="8"/>
        <v>1.5</v>
      </c>
      <c r="G53">
        <f t="shared" si="9"/>
        <v>-13.739447768216815</v>
      </c>
      <c r="H53">
        <f t="shared" ref="H53:I53" si="56">+AVERAGE(F51:F55)</f>
        <v>-6.8666666666666654</v>
      </c>
      <c r="I53">
        <f t="shared" si="56"/>
        <v>-10.265908046369949</v>
      </c>
      <c r="J53">
        <f t="shared" si="3"/>
        <v>1957.25</v>
      </c>
      <c r="K53">
        <f t="shared" si="4"/>
        <v>-197</v>
      </c>
      <c r="L53">
        <f t="shared" si="5"/>
        <v>-226.85291697190701</v>
      </c>
      <c r="M53" s="5">
        <v>1884.25</v>
      </c>
      <c r="N53" s="5">
        <v>-105</v>
      </c>
      <c r="O53" s="5">
        <v>-34.303766911657</v>
      </c>
      <c r="Q53">
        <f t="shared" si="10"/>
        <v>15.239447768216815</v>
      </c>
    </row>
    <row r="54" spans="1:17" x14ac:dyDescent="0.25">
      <c r="A54">
        <f t="shared" si="0"/>
        <v>1957.3333333333301</v>
      </c>
      <c r="B54">
        <f t="shared" si="1"/>
        <v>-225</v>
      </c>
      <c r="C54">
        <f t="shared" si="2"/>
        <v>-245.38333268308699</v>
      </c>
      <c r="D54">
        <f t="shared" si="6"/>
        <v>-5.5</v>
      </c>
      <c r="E54">
        <f t="shared" si="7"/>
        <v>-9.1199928472719876</v>
      </c>
      <c r="F54">
        <f t="shared" si="8"/>
        <v>-16.833333333333332</v>
      </c>
      <c r="G54">
        <f t="shared" si="9"/>
        <v>-8.6548298842352036</v>
      </c>
      <c r="H54">
        <f t="shared" ref="H54:I54" si="57">+AVERAGE(F52:F56)</f>
        <v>-5.0999999999999996</v>
      </c>
      <c r="I54">
        <f t="shared" si="57"/>
        <v>-9.1277768094295784</v>
      </c>
      <c r="J54">
        <f t="shared" si="3"/>
        <v>1957.3333333333301</v>
      </c>
      <c r="K54">
        <f t="shared" si="4"/>
        <v>-225</v>
      </c>
      <c r="L54">
        <f t="shared" si="5"/>
        <v>-245.38333268308699</v>
      </c>
      <c r="M54" s="5">
        <v>1884.3333333333301</v>
      </c>
      <c r="N54" s="5">
        <v>-105</v>
      </c>
      <c r="O54" s="5">
        <v>89.441145145787999</v>
      </c>
      <c r="Q54">
        <f t="shared" si="10"/>
        <v>8.1785034490981285</v>
      </c>
    </row>
    <row r="55" spans="1:17" x14ac:dyDescent="0.25">
      <c r="A55">
        <f t="shared" si="0"/>
        <v>1957.4166666666599</v>
      </c>
      <c r="B55">
        <f t="shared" si="1"/>
        <v>-242</v>
      </c>
      <c r="C55">
        <f t="shared" si="2"/>
        <v>-245.673762699723</v>
      </c>
      <c r="D55">
        <f t="shared" si="6"/>
        <v>-6.5</v>
      </c>
      <c r="E55">
        <f t="shared" si="7"/>
        <v>-4.0584884791435059</v>
      </c>
      <c r="F55">
        <f t="shared" si="8"/>
        <v>-3.6666666666666665</v>
      </c>
      <c r="G55">
        <f t="shared" si="9"/>
        <v>-3.773156805618934</v>
      </c>
      <c r="H55">
        <f t="shared" ref="H55:I55" si="58">+AVERAGE(F53:F57)</f>
        <v>-4.0666666666666673</v>
      </c>
      <c r="I55">
        <f t="shared" si="58"/>
        <v>-4.4608151934285392</v>
      </c>
      <c r="J55">
        <f t="shared" si="3"/>
        <v>1957.4166666666599</v>
      </c>
      <c r="K55">
        <f t="shared" si="4"/>
        <v>-242</v>
      </c>
      <c r="L55">
        <f t="shared" si="5"/>
        <v>-245.673762699723</v>
      </c>
      <c r="M55" s="5">
        <v>1884.4166666666599</v>
      </c>
      <c r="N55" s="5">
        <v>-105</v>
      </c>
      <c r="O55" s="5">
        <v>170.66400838076899</v>
      </c>
      <c r="Q55">
        <f t="shared" si="10"/>
        <v>0.10649013895226744</v>
      </c>
    </row>
    <row r="56" spans="1:17" x14ac:dyDescent="0.25">
      <c r="A56">
        <f t="shared" si="0"/>
        <v>1957.5</v>
      </c>
      <c r="B56">
        <f t="shared" si="1"/>
        <v>-246</v>
      </c>
      <c r="C56">
        <f t="shared" si="2"/>
        <v>-237.847215758072</v>
      </c>
      <c r="D56">
        <f t="shared" si="6"/>
        <v>1</v>
      </c>
      <c r="E56">
        <f t="shared" si="7"/>
        <v>-0.9708566946555095</v>
      </c>
      <c r="F56">
        <f t="shared" si="8"/>
        <v>-0.66666666666666663</v>
      </c>
      <c r="G56">
        <f t="shared" si="9"/>
        <v>1.121028998930395</v>
      </c>
      <c r="H56">
        <f t="shared" ref="H56:I56" si="59">+AVERAGE(F54:F58)</f>
        <v>-5.1000000000000005</v>
      </c>
      <c r="I56">
        <f t="shared" si="59"/>
        <v>-1.4955955788293358</v>
      </c>
      <c r="J56">
        <f t="shared" si="3"/>
        <v>1957.5</v>
      </c>
      <c r="K56">
        <f t="shared" si="4"/>
        <v>-246</v>
      </c>
      <c r="L56">
        <f t="shared" si="5"/>
        <v>-237.847215758072</v>
      </c>
      <c r="M56" s="5">
        <v>1884.5</v>
      </c>
      <c r="N56" s="5">
        <v>-105</v>
      </c>
      <c r="O56" s="5">
        <v>198.15446408068399</v>
      </c>
      <c r="Q56">
        <f t="shared" si="10"/>
        <v>1.7876956655970617</v>
      </c>
    </row>
    <row r="57" spans="1:17" x14ac:dyDescent="0.25">
      <c r="A57">
        <f t="shared" si="0"/>
        <v>1957.5833333333301</v>
      </c>
      <c r="B57">
        <f t="shared" si="1"/>
        <v>-252</v>
      </c>
      <c r="C57">
        <f t="shared" si="2"/>
        <v>-228.07895542711</v>
      </c>
      <c r="D57">
        <f t="shared" si="6"/>
        <v>3.5</v>
      </c>
      <c r="E57">
        <f t="shared" si="7"/>
        <v>9.2332039197879965</v>
      </c>
      <c r="F57">
        <f t="shared" si="8"/>
        <v>-0.66666666666666663</v>
      </c>
      <c r="G57">
        <f t="shared" si="9"/>
        <v>2.7423294919978618</v>
      </c>
      <c r="H57">
        <f t="shared" ref="H57:I57" si="60">+AVERAGE(F55:F59)</f>
        <v>-3.0666666666666664</v>
      </c>
      <c r="I57">
        <f t="shared" si="60"/>
        <v>-0.11662710236800193</v>
      </c>
      <c r="J57">
        <f t="shared" si="3"/>
        <v>1957.5833333333301</v>
      </c>
      <c r="K57">
        <f t="shared" si="4"/>
        <v>-252</v>
      </c>
      <c r="L57">
        <f t="shared" si="5"/>
        <v>-228.07895542711</v>
      </c>
      <c r="M57" s="5">
        <v>1884.5833333333301</v>
      </c>
      <c r="N57" s="5">
        <v>-105</v>
      </c>
      <c r="O57" s="5">
        <v>193.134942119058</v>
      </c>
      <c r="Q57">
        <f t="shared" si="10"/>
        <v>3.4089961586645283</v>
      </c>
    </row>
    <row r="58" spans="1:17" x14ac:dyDescent="0.25">
      <c r="A58">
        <f t="shared" si="0"/>
        <v>1957.6666666666599</v>
      </c>
      <c r="B58">
        <f t="shared" si="1"/>
        <v>-265</v>
      </c>
      <c r="C58">
        <f t="shared" si="2"/>
        <v>-236.777102935724</v>
      </c>
      <c r="D58">
        <f t="shared" si="6"/>
        <v>-6.5</v>
      </c>
      <c r="E58">
        <f t="shared" si="7"/>
        <v>2.0213883698594941</v>
      </c>
      <c r="F58">
        <f t="shared" si="8"/>
        <v>-3.6666666666666665</v>
      </c>
      <c r="G58">
        <f t="shared" si="9"/>
        <v>1.0866503047792018</v>
      </c>
      <c r="H58">
        <f t="shared" ref="H58:I58" si="61">+AVERAGE(F56:F60)</f>
        <v>-2.5666666666666669</v>
      </c>
      <c r="I58">
        <f t="shared" si="61"/>
        <v>0.21450908157666468</v>
      </c>
      <c r="J58">
        <f t="shared" si="3"/>
        <v>1957.6666666666599</v>
      </c>
      <c r="K58">
        <f t="shared" si="4"/>
        <v>-265</v>
      </c>
      <c r="L58">
        <f t="shared" si="5"/>
        <v>-236.777102935724</v>
      </c>
      <c r="M58" s="5">
        <v>1884.6666666666599</v>
      </c>
      <c r="N58" s="5">
        <v>-105</v>
      </c>
      <c r="O58" s="5">
        <v>139.270948077773</v>
      </c>
      <c r="Q58">
        <f t="shared" si="10"/>
        <v>4.7533169714458685</v>
      </c>
    </row>
    <row r="59" spans="1:17" x14ac:dyDescent="0.25">
      <c r="A59">
        <f t="shared" si="0"/>
        <v>1957.75</v>
      </c>
      <c r="B59">
        <f t="shared" si="1"/>
        <v>-265</v>
      </c>
      <c r="C59">
        <f t="shared" si="2"/>
        <v>-249.51802718405699</v>
      </c>
      <c r="D59">
        <f t="shared" si="6"/>
        <v>-8</v>
      </c>
      <c r="E59">
        <f t="shared" si="7"/>
        <v>-7.1796536467254839</v>
      </c>
      <c r="F59">
        <f t="shared" si="8"/>
        <v>-6.666666666666667</v>
      </c>
      <c r="G59">
        <f t="shared" si="9"/>
        <v>-1.759987501928534</v>
      </c>
      <c r="H59">
        <f t="shared" ref="H59:I59" si="62">+AVERAGE(F57:F61)</f>
        <v>-3.5666666666666664</v>
      </c>
      <c r="I59">
        <f t="shared" si="62"/>
        <v>-0.1139426056944558</v>
      </c>
      <c r="J59">
        <f t="shared" si="3"/>
        <v>1957.75</v>
      </c>
      <c r="K59">
        <f t="shared" si="4"/>
        <v>-265</v>
      </c>
      <c r="L59">
        <f t="shared" si="5"/>
        <v>-249.51802718405699</v>
      </c>
      <c r="M59" s="5">
        <v>1884.75</v>
      </c>
      <c r="N59" s="5">
        <v>-105</v>
      </c>
      <c r="O59" s="5">
        <v>49.417587372488001</v>
      </c>
      <c r="Q59">
        <f t="shared" si="10"/>
        <v>4.9066791647381329</v>
      </c>
    </row>
    <row r="60" spans="1:17" x14ac:dyDescent="0.25">
      <c r="A60">
        <f t="shared" si="0"/>
        <v>1957.8333333333301</v>
      </c>
      <c r="B60">
        <f t="shared" si="1"/>
        <v>-249</v>
      </c>
      <c r="C60">
        <f t="shared" si="2"/>
        <v>-247.89964413893901</v>
      </c>
      <c r="D60">
        <f t="shared" si="6"/>
        <v>-5.5</v>
      </c>
      <c r="E60">
        <f t="shared" si="7"/>
        <v>-1.4416878553660126</v>
      </c>
      <c r="F60">
        <f t="shared" si="8"/>
        <v>-1.1666666666666667</v>
      </c>
      <c r="G60">
        <f t="shared" si="9"/>
        <v>-2.1174758858956011</v>
      </c>
      <c r="H60">
        <f t="shared" ref="H60:I60" si="63">+AVERAGE(F58:F62)</f>
        <v>-2.9000000000000004</v>
      </c>
      <c r="I60">
        <f t="shared" si="63"/>
        <v>-0.58703946004696272</v>
      </c>
      <c r="J60">
        <f t="shared" si="3"/>
        <v>1957.8333333333301</v>
      </c>
      <c r="K60">
        <f t="shared" si="4"/>
        <v>-249</v>
      </c>
      <c r="L60">
        <f t="shared" si="5"/>
        <v>-247.89964413893901</v>
      </c>
      <c r="M60" s="5">
        <v>1884.8333333333301</v>
      </c>
      <c r="N60" s="5">
        <v>-105</v>
      </c>
      <c r="O60" s="5">
        <v>45.679691488407698</v>
      </c>
      <c r="Q60">
        <f t="shared" si="10"/>
        <v>0.95080921922893435</v>
      </c>
    </row>
    <row r="61" spans="1:17" x14ac:dyDescent="0.25">
      <c r="A61">
        <f t="shared" si="0"/>
        <v>1957.9166666666599</v>
      </c>
      <c r="B61">
        <f t="shared" si="1"/>
        <v>-222</v>
      </c>
      <c r="C61">
        <f t="shared" si="2"/>
        <v>-243.397885383089</v>
      </c>
      <c r="D61">
        <f t="shared" si="6"/>
        <v>10</v>
      </c>
      <c r="E61">
        <f t="shared" si="7"/>
        <v>0.68080692998299241</v>
      </c>
      <c r="F61">
        <f t="shared" si="8"/>
        <v>-5.666666666666667</v>
      </c>
      <c r="G61">
        <f t="shared" si="9"/>
        <v>-0.52122943742520722</v>
      </c>
      <c r="H61">
        <f t="shared" ref="H61:I61" si="64">+AVERAGE(F59:F63)</f>
        <v>-2.3333333333333335</v>
      </c>
      <c r="I61">
        <f t="shared" si="64"/>
        <v>-1.2518280232996843</v>
      </c>
      <c r="J61">
        <f t="shared" si="3"/>
        <v>1957.9166666666599</v>
      </c>
      <c r="K61">
        <f t="shared" si="4"/>
        <v>-222</v>
      </c>
      <c r="L61">
        <f t="shared" si="5"/>
        <v>-243.397885383089</v>
      </c>
      <c r="M61" s="5">
        <v>1884.9166666666599</v>
      </c>
      <c r="N61" s="5">
        <v>-105</v>
      </c>
      <c r="O61" s="5">
        <v>38.695042144869802</v>
      </c>
      <c r="Q61">
        <f t="shared" si="10"/>
        <v>5.1454372292414599</v>
      </c>
    </row>
    <row r="62" spans="1:17" x14ac:dyDescent="0.25">
      <c r="A62">
        <f t="shared" si="0"/>
        <v>1958</v>
      </c>
      <c r="B62">
        <f t="shared" si="1"/>
        <v>-215</v>
      </c>
      <c r="C62">
        <f t="shared" si="2"/>
        <v>-240.25774048720501</v>
      </c>
      <c r="D62">
        <f t="shared" si="6"/>
        <v>-21.5</v>
      </c>
      <c r="E62">
        <f t="shared" si="7"/>
        <v>-1.1937294649615069</v>
      </c>
      <c r="F62">
        <f t="shared" si="8"/>
        <v>2.6666666666666665</v>
      </c>
      <c r="G62">
        <f t="shared" si="9"/>
        <v>0.3768452202353274</v>
      </c>
      <c r="H62">
        <f t="shared" ref="H62:I62" si="65">+AVERAGE(F60:F64)</f>
        <v>-2.666666666666667</v>
      </c>
      <c r="I62">
        <f t="shared" si="65"/>
        <v>-3.2509381135371256</v>
      </c>
      <c r="J62">
        <f t="shared" si="3"/>
        <v>1958</v>
      </c>
      <c r="K62">
        <f t="shared" si="4"/>
        <v>-215</v>
      </c>
      <c r="L62">
        <f t="shared" si="5"/>
        <v>-240.25774048720501</v>
      </c>
      <c r="M62" s="5">
        <v>1885</v>
      </c>
      <c r="N62" s="5">
        <v>-105</v>
      </c>
      <c r="O62" s="5">
        <v>-38.280783246619599</v>
      </c>
      <c r="Q62">
        <f t="shared" si="10"/>
        <v>2.2898214464313389</v>
      </c>
    </row>
    <row r="63" spans="1:17" x14ac:dyDescent="0.25">
      <c r="A63">
        <f t="shared" si="0"/>
        <v>1958.0833333333301</v>
      </c>
      <c r="B63">
        <f t="shared" si="1"/>
        <v>-165</v>
      </c>
      <c r="C63">
        <f t="shared" si="2"/>
        <v>-234.73013666139801</v>
      </c>
      <c r="D63">
        <f t="shared" si="6"/>
        <v>19.5</v>
      </c>
      <c r="E63">
        <f t="shared" si="7"/>
        <v>1.9260921108609921</v>
      </c>
      <c r="F63">
        <f t="shared" si="8"/>
        <v>-0.83333333333333337</v>
      </c>
      <c r="G63">
        <f t="shared" si="9"/>
        <v>-2.2372925114844064</v>
      </c>
      <c r="H63">
        <f t="shared" ref="H63:I63" si="66">+AVERAGE(F61:F65)</f>
        <v>-6.5333333333333341</v>
      </c>
      <c r="I63">
        <f t="shared" si="66"/>
        <v>-8.8991931980620596</v>
      </c>
      <c r="J63">
        <f t="shared" si="3"/>
        <v>1958.0833333333301</v>
      </c>
      <c r="K63">
        <f t="shared" si="4"/>
        <v>-165</v>
      </c>
      <c r="L63">
        <f t="shared" si="5"/>
        <v>-234.73013666139801</v>
      </c>
      <c r="M63" s="5">
        <v>1885.0833333333301</v>
      </c>
      <c r="N63" s="5">
        <v>-105</v>
      </c>
      <c r="O63" s="5">
        <v>-113.00583446157501</v>
      </c>
      <c r="Q63">
        <f t="shared" si="10"/>
        <v>1.403959178151073</v>
      </c>
    </row>
    <row r="64" spans="1:17" x14ac:dyDescent="0.25">
      <c r="A64">
        <f t="shared" si="0"/>
        <v>1958.1666666666599</v>
      </c>
      <c r="B64">
        <f t="shared" si="1"/>
        <v>-154</v>
      </c>
      <c r="C64">
        <f t="shared" si="2"/>
        <v>-233.05471705731301</v>
      </c>
      <c r="D64">
        <f t="shared" si="6"/>
        <v>-0.5</v>
      </c>
      <c r="E64">
        <f t="shared" si="7"/>
        <v>-9.1222095639660097</v>
      </c>
      <c r="F64">
        <f t="shared" si="8"/>
        <v>-8.3333333333333339</v>
      </c>
      <c r="G64">
        <f t="shared" si="9"/>
        <v>-11.75553795311574</v>
      </c>
      <c r="H64">
        <f t="shared" ref="H64:I64" si="67">+AVERAGE(F62:F66)</f>
        <v>-5.2333333333333334</v>
      </c>
      <c r="I64">
        <f t="shared" si="67"/>
        <v>-10.456496277641177</v>
      </c>
      <c r="J64">
        <f t="shared" si="3"/>
        <v>1958.1666666666599</v>
      </c>
      <c r="K64">
        <f t="shared" si="4"/>
        <v>-154</v>
      </c>
      <c r="L64">
        <f t="shared" si="5"/>
        <v>-233.05471705731301</v>
      </c>
      <c r="M64" s="5">
        <v>1885.1666666666599</v>
      </c>
      <c r="N64" s="5">
        <v>-105</v>
      </c>
      <c r="O64" s="5">
        <v>-171.96877786801301</v>
      </c>
      <c r="Q64">
        <f t="shared" si="10"/>
        <v>3.4222046197824056</v>
      </c>
    </row>
    <row r="65" spans="1:17" x14ac:dyDescent="0.25">
      <c r="A65">
        <f t="shared" si="0"/>
        <v>1958.25</v>
      </c>
      <c r="B65">
        <f t="shared" si="1"/>
        <v>-142</v>
      </c>
      <c r="C65">
        <f t="shared" si="2"/>
        <v>-213.134878325296</v>
      </c>
      <c r="D65">
        <f t="shared" si="6"/>
        <v>-44</v>
      </c>
      <c r="E65">
        <f t="shared" si="7"/>
        <v>-36.887149871079004</v>
      </c>
      <c r="F65">
        <f t="shared" si="8"/>
        <v>-20.5</v>
      </c>
      <c r="G65">
        <f t="shared" si="9"/>
        <v>-30.358751308520272</v>
      </c>
      <c r="H65">
        <f t="shared" ref="H65:I65" si="68">+AVERAGE(F63:F67)</f>
        <v>-3.4</v>
      </c>
      <c r="I65">
        <f t="shared" si="68"/>
        <v>-8.7734934627695225</v>
      </c>
      <c r="J65">
        <f t="shared" si="3"/>
        <v>1958.25</v>
      </c>
      <c r="K65">
        <f t="shared" si="4"/>
        <v>-142</v>
      </c>
      <c r="L65">
        <f t="shared" si="5"/>
        <v>-213.134878325296</v>
      </c>
      <c r="M65" s="5">
        <v>1885.25</v>
      </c>
      <c r="N65" s="5">
        <v>-105</v>
      </c>
      <c r="O65" s="5">
        <v>-189.52110195790499</v>
      </c>
      <c r="Q65">
        <f t="shared" si="10"/>
        <v>9.8587513085202723</v>
      </c>
    </row>
    <row r="66" spans="1:17" x14ac:dyDescent="0.25">
      <c r="A66">
        <f t="shared" si="0"/>
        <v>1958.3333333333301</v>
      </c>
      <c r="B66">
        <f t="shared" si="1"/>
        <v>-42</v>
      </c>
      <c r="C66">
        <f t="shared" si="2"/>
        <v>-119.44073985112099</v>
      </c>
      <c r="D66">
        <f t="shared" si="6"/>
        <v>-17</v>
      </c>
      <c r="E66">
        <f t="shared" si="7"/>
        <v>-67.835957971905998</v>
      </c>
      <c r="F66">
        <f t="shared" si="8"/>
        <v>0.83333333333333337</v>
      </c>
      <c r="G66">
        <f t="shared" si="9"/>
        <v>-8.3077448353207952</v>
      </c>
      <c r="H66">
        <f t="shared" ref="H66:I66" si="69">+AVERAGE(F64:F68)</f>
        <v>0.43333333333333213</v>
      </c>
      <c r="I66">
        <f t="shared" si="69"/>
        <v>-2.358014985510799</v>
      </c>
      <c r="J66">
        <f t="shared" si="3"/>
        <v>1958.3333333333301</v>
      </c>
      <c r="K66">
        <f t="shared" si="4"/>
        <v>-42</v>
      </c>
      <c r="L66">
        <f t="shared" si="5"/>
        <v>-119.44073985112099</v>
      </c>
      <c r="M66" s="5">
        <v>1885.3333333333301</v>
      </c>
      <c r="N66" s="5">
        <v>-105</v>
      </c>
      <c r="O66" s="5">
        <v>-176.95046644426901</v>
      </c>
      <c r="Q66">
        <f t="shared" si="10"/>
        <v>9.1410781686541291</v>
      </c>
    </row>
    <row r="67" spans="1:17" x14ac:dyDescent="0.25">
      <c r="A67">
        <f t="shared" si="0"/>
        <v>1958.4166666666599</v>
      </c>
      <c r="B67">
        <f t="shared" si="1"/>
        <v>92</v>
      </c>
      <c r="C67">
        <f t="shared" si="2"/>
        <v>109.92531456686601</v>
      </c>
      <c r="D67">
        <f t="shared" si="6"/>
        <v>63.5</v>
      </c>
      <c r="E67">
        <f t="shared" si="7"/>
        <v>73.569064710532018</v>
      </c>
      <c r="F67">
        <f t="shared" si="8"/>
        <v>11.833333333333334</v>
      </c>
      <c r="G67">
        <f t="shared" si="9"/>
        <v>8.7918592945936034</v>
      </c>
      <c r="H67">
        <f t="shared" ref="H67:I67" si="70">+AVERAGE(F65:F69)</f>
        <v>1.6666666666666665</v>
      </c>
      <c r="I67">
        <f t="shared" si="70"/>
        <v>2.0803346886347756</v>
      </c>
      <c r="J67">
        <f t="shared" si="3"/>
        <v>1958.4166666666599</v>
      </c>
      <c r="K67">
        <f t="shared" si="4"/>
        <v>92</v>
      </c>
      <c r="L67">
        <f t="shared" si="5"/>
        <v>109.92531456686601</v>
      </c>
      <c r="M67" s="5">
        <v>1885.4166666666599</v>
      </c>
      <c r="N67" s="5">
        <v>-105</v>
      </c>
      <c r="O67" s="5">
        <v>-179.62605714685</v>
      </c>
      <c r="Q67">
        <f t="shared" si="10"/>
        <v>3.0414740387397305</v>
      </c>
    </row>
    <row r="68" spans="1:17" x14ac:dyDescent="0.25">
      <c r="A68">
        <f t="shared" ref="A68:A131" si="71">+J68</f>
        <v>1958.5</v>
      </c>
      <c r="B68">
        <f t="shared" ref="B68:B131" si="72">+K68</f>
        <v>99</v>
      </c>
      <c r="C68">
        <f t="shared" ref="C68:C131" si="73">+L68</f>
        <v>192.15323956378899</v>
      </c>
      <c r="D68">
        <f t="shared" si="6"/>
        <v>-11</v>
      </c>
      <c r="E68">
        <f t="shared" si="7"/>
        <v>27.236365616099988</v>
      </c>
      <c r="F68">
        <f t="shared" si="8"/>
        <v>18.333333333333332</v>
      </c>
      <c r="G68">
        <f t="shared" si="9"/>
        <v>29.840099874809205</v>
      </c>
      <c r="H68">
        <f t="shared" ref="H68:I68" si="74">+AVERAGE(F66:F70)</f>
        <v>5.833333333333333</v>
      </c>
      <c r="I68">
        <f t="shared" si="74"/>
        <v>8.9462036837870986</v>
      </c>
      <c r="J68">
        <f t="shared" ref="J68:J131" si="75">+$M944</f>
        <v>1958.5</v>
      </c>
      <c r="K68">
        <f t="shared" ref="K68:K131" si="76">+$N944</f>
        <v>99</v>
      </c>
      <c r="L68">
        <f t="shared" ref="L68:L131" si="77">+$O944</f>
        <v>192.15323956378899</v>
      </c>
      <c r="M68" s="5">
        <v>1885.5</v>
      </c>
      <c r="N68" s="5">
        <v>-105</v>
      </c>
      <c r="O68" s="5">
        <v>-196.73536573586699</v>
      </c>
      <c r="Q68">
        <f t="shared" si="10"/>
        <v>11.506766541475873</v>
      </c>
    </row>
    <row r="69" spans="1:17" x14ac:dyDescent="0.25">
      <c r="A69">
        <f t="shared" si="71"/>
        <v>1958.5833333333301</v>
      </c>
      <c r="B69">
        <f t="shared" si="72"/>
        <v>128</v>
      </c>
      <c r="C69">
        <f t="shared" si="73"/>
        <v>219.90843332851199</v>
      </c>
      <c r="D69">
        <f t="shared" ref="D69:D132" si="78">+B69-1/2*(B68+B70)</f>
        <v>2.5</v>
      </c>
      <c r="E69">
        <f t="shared" ref="E69:E132" si="79">+C69-1/2*(C68+C70)</f>
        <v>11.094944203902514</v>
      </c>
      <c r="F69">
        <f t="shared" si="8"/>
        <v>-2.1666666666666665</v>
      </c>
      <c r="G69">
        <f t="shared" si="9"/>
        <v>10.436210417612136</v>
      </c>
      <c r="H69">
        <f t="shared" ref="H69:I69" si="80">+AVERAGE(F67:F71)</f>
        <v>5.6</v>
      </c>
      <c r="I69">
        <f t="shared" si="80"/>
        <v>11.515317627001204</v>
      </c>
      <c r="J69">
        <f t="shared" si="75"/>
        <v>1958.5833333333301</v>
      </c>
      <c r="K69">
        <f t="shared" si="76"/>
        <v>128</v>
      </c>
      <c r="L69">
        <f t="shared" si="77"/>
        <v>219.90843332851199</v>
      </c>
      <c r="M69" s="5">
        <v>1885.5833333333301</v>
      </c>
      <c r="N69" s="5">
        <v>-105</v>
      </c>
      <c r="O69" s="5">
        <v>-213.53029705933</v>
      </c>
      <c r="Q69">
        <f t="shared" si="10"/>
        <v>12.602877084278802</v>
      </c>
    </row>
    <row r="70" spans="1:17" x14ac:dyDescent="0.25">
      <c r="A70">
        <f t="shared" si="71"/>
        <v>1958.6666666666599</v>
      </c>
      <c r="B70">
        <f t="shared" si="72"/>
        <v>152</v>
      </c>
      <c r="C70">
        <f t="shared" si="73"/>
        <v>225.47373868542999</v>
      </c>
      <c r="D70">
        <f t="shared" si="78"/>
        <v>2</v>
      </c>
      <c r="E70">
        <f t="shared" si="79"/>
        <v>0.80447924604300169</v>
      </c>
      <c r="F70">
        <f t="shared" ref="F70:F133" si="81">+AVERAGE(D69:D71)</f>
        <v>0.33333333333333331</v>
      </c>
      <c r="G70">
        <f t="shared" ref="G70:G133" si="82">+$H$1*AVERAGE(E69:E71)+$F$1</f>
        <v>3.9705936672413373</v>
      </c>
      <c r="H70">
        <f t="shared" ref="H70:I70" si="83">+AVERAGE(F68:F72)</f>
        <v>3.8999999999999995</v>
      </c>
      <c r="I70">
        <f t="shared" si="83"/>
        <v>11.251549101146699</v>
      </c>
      <c r="J70">
        <f t="shared" si="75"/>
        <v>1958.6666666666599</v>
      </c>
      <c r="K70">
        <f t="shared" si="76"/>
        <v>152</v>
      </c>
      <c r="L70">
        <f t="shared" si="77"/>
        <v>225.47373868542999</v>
      </c>
      <c r="M70" s="5">
        <v>1885.6666666666599</v>
      </c>
      <c r="N70" s="5">
        <v>-105</v>
      </c>
      <c r="O70" s="5">
        <v>-226.406563001466</v>
      </c>
      <c r="Q70">
        <f t="shared" ref="Q70:Q133" si="84">+ABS(F70-G70)</f>
        <v>3.6372603339080039</v>
      </c>
    </row>
    <row r="71" spans="1:17" x14ac:dyDescent="0.25">
      <c r="A71">
        <f t="shared" si="71"/>
        <v>1958.75</v>
      </c>
      <c r="B71">
        <f t="shared" si="72"/>
        <v>172</v>
      </c>
      <c r="C71">
        <f t="shared" si="73"/>
        <v>229.43008555026199</v>
      </c>
      <c r="D71">
        <f t="shared" si="78"/>
        <v>-3.5</v>
      </c>
      <c r="E71">
        <f t="shared" si="79"/>
        <v>2.9903028022094986</v>
      </c>
      <c r="F71">
        <f t="shared" si="81"/>
        <v>-0.33333333333333331</v>
      </c>
      <c r="G71">
        <f t="shared" si="82"/>
        <v>4.5378248807497359</v>
      </c>
      <c r="H71">
        <f t="shared" ref="H71:I71" si="85">+AVERAGE(F69:F73)</f>
        <v>3.2333333333333334</v>
      </c>
      <c r="I71">
        <f t="shared" si="85"/>
        <v>6.4248793232850172</v>
      </c>
      <c r="J71">
        <f t="shared" si="75"/>
        <v>1958.75</v>
      </c>
      <c r="K71">
        <f t="shared" si="76"/>
        <v>172</v>
      </c>
      <c r="L71">
        <f t="shared" si="77"/>
        <v>229.43008555026199</v>
      </c>
      <c r="M71" s="5">
        <v>1885.75</v>
      </c>
      <c r="N71" s="5">
        <v>-105</v>
      </c>
      <c r="O71" s="5">
        <v>-216.79425757415601</v>
      </c>
      <c r="Q71">
        <f t="shared" si="84"/>
        <v>4.8711582140830689</v>
      </c>
    </row>
    <row r="72" spans="1:17" x14ac:dyDescent="0.25">
      <c r="A72">
        <f t="shared" si="71"/>
        <v>1958.8333333333301</v>
      </c>
      <c r="B72">
        <f t="shared" si="72"/>
        <v>199</v>
      </c>
      <c r="C72">
        <f t="shared" si="73"/>
        <v>227.40582681067499</v>
      </c>
      <c r="D72">
        <f t="shared" si="78"/>
        <v>0.5</v>
      </c>
      <c r="E72">
        <f t="shared" si="79"/>
        <v>13.222061254559009</v>
      </c>
      <c r="F72">
        <f t="shared" si="81"/>
        <v>3.3333333333333335</v>
      </c>
      <c r="G72">
        <f t="shared" si="82"/>
        <v>7.473016665321075</v>
      </c>
      <c r="H72">
        <f t="shared" ref="H72:I72" si="86">+AVERAGE(F70:F74)</f>
        <v>4.833333333333333</v>
      </c>
      <c r="I72">
        <f t="shared" si="86"/>
        <v>4.5985376021386326</v>
      </c>
      <c r="J72">
        <f t="shared" si="75"/>
        <v>1958.8333333333301</v>
      </c>
      <c r="K72">
        <f t="shared" si="76"/>
        <v>199</v>
      </c>
      <c r="L72">
        <f t="shared" si="77"/>
        <v>227.40582681067499</v>
      </c>
      <c r="M72" s="5">
        <v>1885.8333333333301</v>
      </c>
      <c r="N72" s="5">
        <v>-105</v>
      </c>
      <c r="O72" s="5">
        <v>-190.976975136265</v>
      </c>
      <c r="Q72">
        <f t="shared" si="84"/>
        <v>4.139683331987742</v>
      </c>
    </row>
    <row r="73" spans="1:17" x14ac:dyDescent="0.25">
      <c r="A73">
        <f t="shared" si="71"/>
        <v>1958.9166666666599</v>
      </c>
      <c r="B73">
        <f t="shared" si="72"/>
        <v>225</v>
      </c>
      <c r="C73">
        <f t="shared" si="73"/>
        <v>198.93744556197001</v>
      </c>
      <c r="D73">
        <f t="shared" si="78"/>
        <v>13</v>
      </c>
      <c r="E73">
        <f t="shared" si="79"/>
        <v>11.811448438185522</v>
      </c>
      <c r="F73">
        <f t="shared" si="81"/>
        <v>15</v>
      </c>
      <c r="G73">
        <f t="shared" si="82"/>
        <v>5.7067509855008067</v>
      </c>
      <c r="H73">
        <f t="shared" ref="H73:I73" si="87">+AVERAGE(F71:F75)</f>
        <v>4.8666666666666663</v>
      </c>
      <c r="I73">
        <f t="shared" si="87"/>
        <v>3.1323930067540493</v>
      </c>
      <c r="J73">
        <f t="shared" si="75"/>
        <v>1958.9166666666599</v>
      </c>
      <c r="K73">
        <f t="shared" si="76"/>
        <v>225</v>
      </c>
      <c r="L73">
        <f t="shared" si="77"/>
        <v>198.93744556197001</v>
      </c>
      <c r="M73" s="5">
        <v>1885.9166666666599</v>
      </c>
      <c r="N73" s="5">
        <v>-105</v>
      </c>
      <c r="O73" s="5">
        <v>-179.66710407410599</v>
      </c>
      <c r="Q73">
        <f t="shared" si="84"/>
        <v>9.2932490144991924</v>
      </c>
    </row>
    <row r="74" spans="1:17" x14ac:dyDescent="0.25">
      <c r="A74">
        <f t="shared" si="71"/>
        <v>1959</v>
      </c>
      <c r="B74">
        <f t="shared" si="72"/>
        <v>225</v>
      </c>
      <c r="C74">
        <f t="shared" si="73"/>
        <v>146.84616743689401</v>
      </c>
      <c r="D74">
        <f t="shared" si="78"/>
        <v>31.5</v>
      </c>
      <c r="E74">
        <f t="shared" si="79"/>
        <v>-3.6331934971165083</v>
      </c>
      <c r="F74">
        <f t="shared" si="81"/>
        <v>5.833333333333333</v>
      </c>
      <c r="G74">
        <f t="shared" si="82"/>
        <v>1.3045018118802054</v>
      </c>
      <c r="H74">
        <f t="shared" ref="H74:I74" si="88">+AVERAGE(F72:F76)</f>
        <v>4.0999999999999996</v>
      </c>
      <c r="I74">
        <f t="shared" si="88"/>
        <v>3.4268968723783928</v>
      </c>
      <c r="J74">
        <f t="shared" si="75"/>
        <v>1959</v>
      </c>
      <c r="K74">
        <f t="shared" si="76"/>
        <v>225</v>
      </c>
      <c r="L74">
        <f t="shared" si="77"/>
        <v>146.84616743689401</v>
      </c>
      <c r="M74" s="5">
        <v>1886</v>
      </c>
      <c r="N74" s="5">
        <v>-105</v>
      </c>
      <c r="O74" s="5">
        <v>-165.70202857538499</v>
      </c>
      <c r="Q74">
        <f t="shared" si="84"/>
        <v>4.5288315214531281</v>
      </c>
    </row>
    <row r="75" spans="1:17" x14ac:dyDescent="0.25">
      <c r="A75">
        <f t="shared" si="71"/>
        <v>1959.0833333333301</v>
      </c>
      <c r="B75">
        <f t="shared" si="72"/>
        <v>162</v>
      </c>
      <c r="C75">
        <f t="shared" si="73"/>
        <v>102.02127630605101</v>
      </c>
      <c r="D75">
        <f t="shared" si="78"/>
        <v>-27</v>
      </c>
      <c r="E75">
        <f t="shared" si="79"/>
        <v>-3.286373146518244</v>
      </c>
      <c r="F75">
        <f t="shared" si="81"/>
        <v>0.5</v>
      </c>
      <c r="G75">
        <f t="shared" si="82"/>
        <v>-3.3601293096815747</v>
      </c>
      <c r="H75">
        <f t="shared" ref="H75:I75" si="89">+AVERAGE(F73:F77)</f>
        <v>8.3666666666666654</v>
      </c>
      <c r="I75">
        <f t="shared" si="89"/>
        <v>3.7483242839815616</v>
      </c>
      <c r="J75">
        <f t="shared" si="75"/>
        <v>1959.0833333333301</v>
      </c>
      <c r="K75">
        <f t="shared" si="76"/>
        <v>162</v>
      </c>
      <c r="L75">
        <f t="shared" si="77"/>
        <v>102.02127630605101</v>
      </c>
      <c r="M75" s="5">
        <v>1886.0833333333301</v>
      </c>
      <c r="N75" s="5">
        <v>-105</v>
      </c>
      <c r="O75" s="5">
        <v>-151.110467910361</v>
      </c>
      <c r="Q75">
        <f t="shared" si="84"/>
        <v>3.8601293096815747</v>
      </c>
    </row>
    <row r="76" spans="1:17" x14ac:dyDescent="0.25">
      <c r="A76">
        <f t="shared" si="71"/>
        <v>1959.1666666666599</v>
      </c>
      <c r="B76">
        <f t="shared" si="72"/>
        <v>153</v>
      </c>
      <c r="C76">
        <f t="shared" si="73"/>
        <v>63.769131468244503</v>
      </c>
      <c r="D76">
        <f t="shared" si="78"/>
        <v>-3</v>
      </c>
      <c r="E76">
        <f t="shared" si="79"/>
        <v>-5.6809182676711529</v>
      </c>
      <c r="F76">
        <f t="shared" si="81"/>
        <v>-4.166666666666667</v>
      </c>
      <c r="G76">
        <f t="shared" si="82"/>
        <v>6.0103442088714534</v>
      </c>
      <c r="H76">
        <f t="shared" ref="H76:I76" si="90">+AVERAGE(F74:F78)</f>
        <v>11.766666666666667</v>
      </c>
      <c r="I76">
        <f t="shared" si="90"/>
        <v>3.2308424853698212</v>
      </c>
      <c r="J76">
        <f t="shared" si="75"/>
        <v>1959.1666666666599</v>
      </c>
      <c r="K76">
        <f t="shared" si="76"/>
        <v>153</v>
      </c>
      <c r="L76">
        <f t="shared" si="77"/>
        <v>63.769131468244503</v>
      </c>
      <c r="M76" s="5">
        <v>1886.1666666666599</v>
      </c>
      <c r="N76" s="5">
        <v>-105</v>
      </c>
      <c r="O76" s="5">
        <v>-168.331019559651</v>
      </c>
      <c r="Q76">
        <f t="shared" si="84"/>
        <v>10.177010875538119</v>
      </c>
    </row>
    <row r="77" spans="1:17" x14ac:dyDescent="0.25">
      <c r="A77">
        <f t="shared" si="71"/>
        <v>1959.25</v>
      </c>
      <c r="B77">
        <f t="shared" si="72"/>
        <v>150</v>
      </c>
      <c r="C77">
        <f t="shared" si="73"/>
        <v>36.878823165780297</v>
      </c>
      <c r="D77">
        <f t="shared" si="78"/>
        <v>17.5</v>
      </c>
      <c r="E77">
        <f t="shared" si="79"/>
        <v>31.506082197457346</v>
      </c>
      <c r="F77">
        <f t="shared" si="81"/>
        <v>24.666666666666668</v>
      </c>
      <c r="G77">
        <f t="shared" si="82"/>
        <v>9.0801537233369185</v>
      </c>
      <c r="H77">
        <f t="shared" ref="H77:I77" si="91">+AVERAGE(F75:F79)</f>
        <v>11.266666666666667</v>
      </c>
      <c r="I77">
        <f t="shared" si="91"/>
        <v>1.4114791324404237</v>
      </c>
      <c r="J77">
        <f t="shared" si="75"/>
        <v>1959.25</v>
      </c>
      <c r="K77">
        <f t="shared" si="76"/>
        <v>150</v>
      </c>
      <c r="L77">
        <f t="shared" si="77"/>
        <v>36.878823165780297</v>
      </c>
      <c r="M77" s="5">
        <v>1886.25</v>
      </c>
      <c r="N77" s="5">
        <v>-105</v>
      </c>
      <c r="O77" s="5">
        <v>-183.76884398715501</v>
      </c>
      <c r="Q77">
        <f t="shared" si="84"/>
        <v>15.586512943329749</v>
      </c>
    </row>
    <row r="78" spans="1:17" x14ac:dyDescent="0.25">
      <c r="A78">
        <f t="shared" si="71"/>
        <v>1959.3333333333301</v>
      </c>
      <c r="B78">
        <f t="shared" si="72"/>
        <v>112</v>
      </c>
      <c r="C78">
        <f t="shared" si="73"/>
        <v>-53.023649531598601</v>
      </c>
      <c r="D78">
        <f t="shared" si="78"/>
        <v>59.5</v>
      </c>
      <c r="E78">
        <f t="shared" si="79"/>
        <v>8.2254125327272547</v>
      </c>
      <c r="F78">
        <f t="shared" si="81"/>
        <v>32</v>
      </c>
      <c r="G78">
        <f t="shared" si="82"/>
        <v>3.1193419924421035</v>
      </c>
      <c r="H78">
        <f t="shared" ref="H78:I78" si="92">+AVERAGE(F76:F80)</f>
        <v>5.9333333333333336</v>
      </c>
      <c r="I78">
        <f t="shared" si="92"/>
        <v>-0.11706581622708505</v>
      </c>
      <c r="J78">
        <f t="shared" si="75"/>
        <v>1959.3333333333301</v>
      </c>
      <c r="K78">
        <f t="shared" si="76"/>
        <v>112</v>
      </c>
      <c r="L78">
        <f t="shared" si="77"/>
        <v>-53.023649531598601</v>
      </c>
      <c r="M78" s="5">
        <v>1886.3333333333301</v>
      </c>
      <c r="N78" s="5">
        <v>-105</v>
      </c>
      <c r="O78" s="5">
        <v>-180.83759262634601</v>
      </c>
      <c r="Q78">
        <f t="shared" si="84"/>
        <v>28.880658007557898</v>
      </c>
    </row>
    <row r="79" spans="1:17" x14ac:dyDescent="0.25">
      <c r="A79">
        <f t="shared" si="71"/>
        <v>1959.4166666666599</v>
      </c>
      <c r="B79">
        <f t="shared" si="72"/>
        <v>-45</v>
      </c>
      <c r="C79">
        <f t="shared" si="73"/>
        <v>-159.376947294432</v>
      </c>
      <c r="D79">
        <f t="shared" si="78"/>
        <v>19</v>
      </c>
      <c r="E79">
        <f t="shared" si="79"/>
        <v>-28.033962258526714</v>
      </c>
      <c r="F79">
        <f t="shared" si="81"/>
        <v>3.3333333333333335</v>
      </c>
      <c r="G79">
        <f t="shared" si="82"/>
        <v>-7.7923149527667821</v>
      </c>
      <c r="H79">
        <f t="shared" ref="H79:I79" si="93">+AVERAGE(F77:F81)</f>
        <v>0.16666666666666857</v>
      </c>
      <c r="I79">
        <f t="shared" si="93"/>
        <v>-2.4067306385948144</v>
      </c>
      <c r="J79">
        <f t="shared" si="75"/>
        <v>1959.4166666666599</v>
      </c>
      <c r="K79">
        <f t="shared" si="76"/>
        <v>-45</v>
      </c>
      <c r="L79">
        <f t="shared" si="77"/>
        <v>-159.376947294432</v>
      </c>
      <c r="M79" s="5">
        <v>1886.4166666666599</v>
      </c>
      <c r="N79" s="5">
        <v>-105</v>
      </c>
      <c r="O79" s="5">
        <v>-139.39674325377101</v>
      </c>
      <c r="Q79">
        <f t="shared" si="84"/>
        <v>11.125648286100116</v>
      </c>
    </row>
    <row r="80" spans="1:17" x14ac:dyDescent="0.25">
      <c r="A80">
        <f t="shared" si="71"/>
        <v>1959.5</v>
      </c>
      <c r="B80">
        <f t="shared" si="72"/>
        <v>-240</v>
      </c>
      <c r="C80">
        <f t="shared" si="73"/>
        <v>-209.66232054021199</v>
      </c>
      <c r="D80">
        <f t="shared" si="78"/>
        <v>-68.5</v>
      </c>
      <c r="E80">
        <f t="shared" si="79"/>
        <v>-9.4126313470759726</v>
      </c>
      <c r="F80">
        <f t="shared" si="81"/>
        <v>-26.166666666666668</v>
      </c>
      <c r="G80">
        <f t="shared" si="82"/>
        <v>-11.002854053019117</v>
      </c>
      <c r="H80">
        <f t="shared" ref="H80:I80" si="94">+AVERAGE(F78:F82)</f>
        <v>-8.8000000000000007</v>
      </c>
      <c r="I80">
        <f t="shared" si="94"/>
        <v>-4.9936503485046497</v>
      </c>
      <c r="J80">
        <f t="shared" si="75"/>
        <v>1959.5</v>
      </c>
      <c r="K80">
        <f t="shared" si="76"/>
        <v>-240</v>
      </c>
      <c r="L80">
        <f t="shared" si="77"/>
        <v>-209.66232054021199</v>
      </c>
      <c r="M80" s="5">
        <v>1886.5</v>
      </c>
      <c r="N80" s="5">
        <v>-105</v>
      </c>
      <c r="O80" s="5">
        <v>47.037994443203203</v>
      </c>
      <c r="Q80">
        <f t="shared" si="84"/>
        <v>15.163812613647551</v>
      </c>
    </row>
    <row r="81" spans="1:17" x14ac:dyDescent="0.25">
      <c r="A81">
        <f t="shared" si="71"/>
        <v>1959.5833333333301</v>
      </c>
      <c r="B81">
        <f t="shared" si="72"/>
        <v>-298</v>
      </c>
      <c r="C81">
        <f t="shared" si="73"/>
        <v>-241.12243109184001</v>
      </c>
      <c r="D81">
        <f t="shared" si="78"/>
        <v>-29</v>
      </c>
      <c r="E81">
        <f t="shared" si="79"/>
        <v>-3.8141090932190025</v>
      </c>
      <c r="F81">
        <f t="shared" si="81"/>
        <v>-33</v>
      </c>
      <c r="G81">
        <f t="shared" si="82"/>
        <v>-5.4379799029671938</v>
      </c>
      <c r="H81">
        <f t="shared" ref="H81:I81" si="95">+AVERAGE(F79:F83)</f>
        <v>-16.666666666666664</v>
      </c>
      <c r="I81">
        <f t="shared" si="95"/>
        <v>-6.2972885060585924</v>
      </c>
      <c r="J81">
        <f t="shared" si="75"/>
        <v>1959.5833333333301</v>
      </c>
      <c r="K81">
        <f t="shared" si="76"/>
        <v>-298</v>
      </c>
      <c r="L81">
        <f t="shared" si="77"/>
        <v>-241.12243109184001</v>
      </c>
      <c r="M81" s="5">
        <v>1886.5833333333301</v>
      </c>
      <c r="N81" s="5">
        <v>-105</v>
      </c>
      <c r="O81" s="5">
        <v>151.02122645407701</v>
      </c>
      <c r="Q81">
        <f t="shared" si="84"/>
        <v>27.562020097032807</v>
      </c>
    </row>
    <row r="82" spans="1:17" x14ac:dyDescent="0.25">
      <c r="A82">
        <f t="shared" si="71"/>
        <v>1959.6666666666599</v>
      </c>
      <c r="B82">
        <f t="shared" si="72"/>
        <v>-298</v>
      </c>
      <c r="C82">
        <f t="shared" si="73"/>
        <v>-264.95432345703</v>
      </c>
      <c r="D82">
        <f t="shared" si="78"/>
        <v>-1.5</v>
      </c>
      <c r="E82">
        <f t="shared" si="79"/>
        <v>-7.1656841958320001</v>
      </c>
      <c r="F82">
        <f t="shared" si="81"/>
        <v>-20.166666666666668</v>
      </c>
      <c r="G82">
        <f t="shared" si="82"/>
        <v>-3.8544448262122617</v>
      </c>
      <c r="H82">
        <f t="shared" ref="H82:I82" si="96">+AVERAGE(F80:F84)</f>
        <v>-18.666666666666668</v>
      </c>
      <c r="I82">
        <f t="shared" si="96"/>
        <v>-5.3032150347963007</v>
      </c>
      <c r="J82">
        <f t="shared" si="75"/>
        <v>1959.6666666666599</v>
      </c>
      <c r="K82">
        <f t="shared" si="76"/>
        <v>-298</v>
      </c>
      <c r="L82">
        <f t="shared" si="77"/>
        <v>-264.95432345703</v>
      </c>
      <c r="M82" s="5">
        <v>1886.6666666666599</v>
      </c>
      <c r="N82" s="5">
        <v>-105</v>
      </c>
      <c r="O82" s="5">
        <v>159.17343892761301</v>
      </c>
      <c r="Q82">
        <f t="shared" si="84"/>
        <v>16.312221840454406</v>
      </c>
    </row>
    <row r="83" spans="1:17" x14ac:dyDescent="0.25">
      <c r="A83">
        <f t="shared" si="71"/>
        <v>1959.75</v>
      </c>
      <c r="B83">
        <f t="shared" si="72"/>
        <v>-295</v>
      </c>
      <c r="C83">
        <f t="shared" si="73"/>
        <v>-274.45484743055601</v>
      </c>
      <c r="D83">
        <f t="shared" si="78"/>
        <v>-30</v>
      </c>
      <c r="E83">
        <f t="shared" si="79"/>
        <v>-3.4743748092449778</v>
      </c>
      <c r="F83">
        <f t="shared" si="81"/>
        <v>-7.333333333333333</v>
      </c>
      <c r="G83">
        <f t="shared" si="82"/>
        <v>-3.3988487953276039</v>
      </c>
      <c r="H83">
        <f t="shared" ref="H83:I83" si="97">+AVERAGE(F81:F85)</f>
        <v>-12.733333333333334</v>
      </c>
      <c r="I83">
        <f t="shared" si="97"/>
        <v>-3.5337271234110643</v>
      </c>
      <c r="J83">
        <f t="shared" si="75"/>
        <v>1959.75</v>
      </c>
      <c r="K83">
        <f t="shared" si="76"/>
        <v>-295</v>
      </c>
      <c r="L83">
        <f t="shared" si="77"/>
        <v>-274.45484743055601</v>
      </c>
      <c r="M83" s="5">
        <v>1886.75</v>
      </c>
      <c r="N83" s="5">
        <v>-105</v>
      </c>
      <c r="O83" s="5">
        <v>150.22636661385101</v>
      </c>
      <c r="Q83">
        <f t="shared" si="84"/>
        <v>3.9344845380057292</v>
      </c>
    </row>
    <row r="84" spans="1:17" x14ac:dyDescent="0.25">
      <c r="A84">
        <f t="shared" si="71"/>
        <v>1959.8333333333301</v>
      </c>
      <c r="B84">
        <f t="shared" si="72"/>
        <v>-232</v>
      </c>
      <c r="C84">
        <f t="shared" si="73"/>
        <v>-277.00662178559202</v>
      </c>
      <c r="D84">
        <f t="shared" si="78"/>
        <v>9.5</v>
      </c>
      <c r="E84">
        <f t="shared" si="79"/>
        <v>-2.1056239774015353</v>
      </c>
      <c r="F84">
        <f t="shared" si="81"/>
        <v>-6.666666666666667</v>
      </c>
      <c r="G84">
        <f t="shared" si="82"/>
        <v>-2.8219475964553267</v>
      </c>
      <c r="H84">
        <f t="shared" ref="H84:I84" si="98">+AVERAGE(F82:F86)</f>
        <v>-5.1999999999999993</v>
      </c>
      <c r="I84">
        <f t="shared" si="98"/>
        <v>-2.6420193097441582</v>
      </c>
      <c r="J84">
        <f t="shared" si="75"/>
        <v>1959.8333333333301</v>
      </c>
      <c r="K84">
        <f t="shared" si="76"/>
        <v>-232</v>
      </c>
      <c r="L84">
        <f t="shared" si="77"/>
        <v>-277.00662178559202</v>
      </c>
      <c r="M84" s="5">
        <v>1886.8333333333301</v>
      </c>
      <c r="N84" s="5">
        <v>-105</v>
      </c>
      <c r="O84" s="5">
        <v>124.110623910852</v>
      </c>
      <c r="Q84">
        <f t="shared" si="84"/>
        <v>3.8447190702113403</v>
      </c>
    </row>
    <row r="85" spans="1:17" x14ac:dyDescent="0.25">
      <c r="A85">
        <f t="shared" si="71"/>
        <v>1959.9166666666599</v>
      </c>
      <c r="B85">
        <f t="shared" si="72"/>
        <v>-188</v>
      </c>
      <c r="C85">
        <f t="shared" si="73"/>
        <v>-275.34714818582501</v>
      </c>
      <c r="D85">
        <f t="shared" si="78"/>
        <v>0.5</v>
      </c>
      <c r="E85">
        <f t="shared" si="79"/>
        <v>-5.0023047000609608</v>
      </c>
      <c r="F85">
        <f t="shared" si="81"/>
        <v>3.5</v>
      </c>
      <c r="G85">
        <f t="shared" si="82"/>
        <v>-2.1554144960929382</v>
      </c>
      <c r="H85">
        <f t="shared" ref="H85:I85" si="99">+AVERAGE(F83:F87)</f>
        <v>-0.66666666666666663</v>
      </c>
      <c r="I85">
        <f t="shared" si="99"/>
        <v>-2.1204054497206686</v>
      </c>
      <c r="J85">
        <f t="shared" si="75"/>
        <v>1959.9166666666599</v>
      </c>
      <c r="K85">
        <f t="shared" si="76"/>
        <v>-188</v>
      </c>
      <c r="L85">
        <f t="shared" si="77"/>
        <v>-275.34714818582501</v>
      </c>
      <c r="M85" s="5">
        <v>1886.9166666666599</v>
      </c>
      <c r="N85" s="5">
        <v>-105</v>
      </c>
      <c r="O85" s="5">
        <v>62.790026086148998</v>
      </c>
      <c r="Q85">
        <f t="shared" si="84"/>
        <v>5.6554144960929378</v>
      </c>
    </row>
    <row r="86" spans="1:17" x14ac:dyDescent="0.25">
      <c r="A86">
        <f t="shared" si="71"/>
        <v>1960</v>
      </c>
      <c r="B86">
        <f t="shared" si="72"/>
        <v>-145</v>
      </c>
      <c r="C86">
        <f t="shared" si="73"/>
        <v>-263.68306518593602</v>
      </c>
      <c r="D86">
        <f t="shared" si="78"/>
        <v>0.5</v>
      </c>
      <c r="E86">
        <f t="shared" si="79"/>
        <v>-0.97487568288602233</v>
      </c>
      <c r="F86">
        <f t="shared" si="81"/>
        <v>4.666666666666667</v>
      </c>
      <c r="G86">
        <f t="shared" si="82"/>
        <v>-0.97944083463266152</v>
      </c>
      <c r="H86">
        <f t="shared" ref="H86:I86" si="100">+AVERAGE(F84:F88)</f>
        <v>-0.4</v>
      </c>
      <c r="I86">
        <f t="shared" si="100"/>
        <v>-2.3037709250826675</v>
      </c>
      <c r="J86">
        <f t="shared" si="75"/>
        <v>1960</v>
      </c>
      <c r="K86">
        <f t="shared" si="76"/>
        <v>-145</v>
      </c>
      <c r="L86">
        <f t="shared" si="77"/>
        <v>-263.68306518593602</v>
      </c>
      <c r="M86" s="5">
        <v>1887</v>
      </c>
      <c r="N86" s="5">
        <v>-105</v>
      </c>
      <c r="O86" s="5">
        <v>-32.016644319293803</v>
      </c>
      <c r="Q86">
        <f t="shared" si="84"/>
        <v>5.646107501299328</v>
      </c>
    </row>
    <row r="87" spans="1:17" x14ac:dyDescent="0.25">
      <c r="A87">
        <f t="shared" si="71"/>
        <v>1960.0833333333301</v>
      </c>
      <c r="B87">
        <f t="shared" si="72"/>
        <v>-103</v>
      </c>
      <c r="C87">
        <f t="shared" si="73"/>
        <v>-250.06923082027501</v>
      </c>
      <c r="D87">
        <f t="shared" si="78"/>
        <v>13</v>
      </c>
      <c r="E87">
        <f t="shared" si="79"/>
        <v>2.3042772530745026</v>
      </c>
      <c r="F87">
        <f t="shared" si="81"/>
        <v>2.5</v>
      </c>
      <c r="G87">
        <f t="shared" si="82"/>
        <v>-1.2463755260948119</v>
      </c>
      <c r="H87">
        <f t="shared" ref="H87:I87" si="101">+AVERAGE(F85:F89)</f>
        <v>-0.46666666666666645</v>
      </c>
      <c r="I87">
        <f t="shared" si="101"/>
        <v>-4.7549854443486499</v>
      </c>
      <c r="J87">
        <f t="shared" si="75"/>
        <v>1960.0833333333301</v>
      </c>
      <c r="K87">
        <f t="shared" si="76"/>
        <v>-103</v>
      </c>
      <c r="L87">
        <f t="shared" si="77"/>
        <v>-250.06923082027501</v>
      </c>
      <c r="M87" s="5">
        <v>1887.0833333333301</v>
      </c>
      <c r="N87" s="5">
        <v>-105</v>
      </c>
      <c r="O87" s="5">
        <v>-140.02865345867701</v>
      </c>
      <c r="Q87">
        <f t="shared" si="84"/>
        <v>3.7463755260948117</v>
      </c>
    </row>
    <row r="88" spans="1:17" x14ac:dyDescent="0.25">
      <c r="A88">
        <f t="shared" si="71"/>
        <v>1960.1666666666599</v>
      </c>
      <c r="B88">
        <f t="shared" si="72"/>
        <v>-87</v>
      </c>
      <c r="C88">
        <f t="shared" si="73"/>
        <v>-241.06395096076301</v>
      </c>
      <c r="D88">
        <f t="shared" si="78"/>
        <v>-6</v>
      </c>
      <c r="E88">
        <f t="shared" si="79"/>
        <v>-6.0033097930440249</v>
      </c>
      <c r="F88">
        <f t="shared" si="81"/>
        <v>-6</v>
      </c>
      <c r="G88">
        <f t="shared" si="82"/>
        <v>-4.3156761721375991</v>
      </c>
      <c r="H88">
        <f t="shared" ref="H88:I88" si="102">+AVERAGE(F86:F90)</f>
        <v>-2.5666666666666664</v>
      </c>
      <c r="I88">
        <f t="shared" si="102"/>
        <v>-8.7441480916210388</v>
      </c>
      <c r="J88">
        <f t="shared" si="75"/>
        <v>1960.1666666666599</v>
      </c>
      <c r="K88">
        <f t="shared" si="76"/>
        <v>-87</v>
      </c>
      <c r="L88">
        <f t="shared" si="77"/>
        <v>-241.06395096076301</v>
      </c>
      <c r="M88" s="5">
        <v>1887.1666666666599</v>
      </c>
      <c r="N88" s="5">
        <v>-105</v>
      </c>
      <c r="O88" s="5">
        <v>-199.700622458688</v>
      </c>
      <c r="Q88">
        <f t="shared" si="84"/>
        <v>1.6843238278624009</v>
      </c>
    </row>
    <row r="89" spans="1:17" x14ac:dyDescent="0.25">
      <c r="A89">
        <f t="shared" si="71"/>
        <v>1960.25</v>
      </c>
      <c r="B89">
        <f t="shared" si="72"/>
        <v>-59</v>
      </c>
      <c r="C89">
        <f t="shared" si="73"/>
        <v>-220.05205151516299</v>
      </c>
      <c r="D89">
        <f t="shared" si="78"/>
        <v>-25</v>
      </c>
      <c r="E89">
        <f t="shared" si="79"/>
        <v>-12.484753105546474</v>
      </c>
      <c r="F89">
        <f t="shared" si="81"/>
        <v>-7</v>
      </c>
      <c r="G89">
        <f t="shared" si="82"/>
        <v>-15.078020192785235</v>
      </c>
      <c r="H89">
        <f t="shared" ref="H89:I89" si="103">+AVERAGE(F87:F91)</f>
        <v>-1.0333333333333332</v>
      </c>
      <c r="I89">
        <f t="shared" si="103"/>
        <v>-8.5296870906918389</v>
      </c>
      <c r="J89">
        <f t="shared" si="75"/>
        <v>1960.25</v>
      </c>
      <c r="K89">
        <f t="shared" si="76"/>
        <v>-59</v>
      </c>
      <c r="L89">
        <f t="shared" si="77"/>
        <v>-220.05205151516299</v>
      </c>
      <c r="M89" s="5">
        <v>1887.25</v>
      </c>
      <c r="N89" s="5">
        <v>-105</v>
      </c>
      <c r="O89" s="5">
        <v>-207.36597976285299</v>
      </c>
      <c r="Q89">
        <f t="shared" si="84"/>
        <v>8.0780201927852353</v>
      </c>
    </row>
    <row r="90" spans="1:17" x14ac:dyDescent="0.25">
      <c r="A90">
        <f t="shared" si="71"/>
        <v>1960.3333333333301</v>
      </c>
      <c r="B90">
        <f t="shared" si="72"/>
        <v>19</v>
      </c>
      <c r="C90">
        <f t="shared" si="73"/>
        <v>-174.07064585846999</v>
      </c>
      <c r="D90">
        <f t="shared" si="78"/>
        <v>10</v>
      </c>
      <c r="E90">
        <f t="shared" si="79"/>
        <v>-38.054512824354134</v>
      </c>
      <c r="F90">
        <f t="shared" si="81"/>
        <v>-7</v>
      </c>
      <c r="G90">
        <f t="shared" si="82"/>
        <v>-22.101227732454884</v>
      </c>
      <c r="H90">
        <f t="shared" ref="H90:I90" si="104">+AVERAGE(F88:F92)</f>
        <v>0.4</v>
      </c>
      <c r="I90">
        <f t="shared" si="104"/>
        <v>-5.6630652465763633</v>
      </c>
      <c r="J90">
        <f t="shared" si="75"/>
        <v>1960.3333333333301</v>
      </c>
      <c r="K90">
        <f t="shared" si="76"/>
        <v>19</v>
      </c>
      <c r="L90">
        <f t="shared" si="77"/>
        <v>-174.07064585846999</v>
      </c>
      <c r="M90" s="5">
        <v>1887.3333333333301</v>
      </c>
      <c r="N90" s="5">
        <v>-105</v>
      </c>
      <c r="O90" s="5">
        <v>-185.123389240048</v>
      </c>
      <c r="Q90">
        <f t="shared" si="84"/>
        <v>15.101227732454884</v>
      </c>
    </row>
    <row r="91" spans="1:17" x14ac:dyDescent="0.25">
      <c r="A91">
        <f t="shared" si="71"/>
        <v>1960.4166666666599</v>
      </c>
      <c r="B91">
        <f t="shared" si="72"/>
        <v>77</v>
      </c>
      <c r="C91">
        <f t="shared" si="73"/>
        <v>-51.980214553068699</v>
      </c>
      <c r="D91">
        <f t="shared" si="78"/>
        <v>-6</v>
      </c>
      <c r="E91">
        <f t="shared" si="79"/>
        <v>-32.340338066805209</v>
      </c>
      <c r="F91">
        <f t="shared" si="81"/>
        <v>12.333333333333334</v>
      </c>
      <c r="G91">
        <f t="shared" si="82"/>
        <v>9.2864170013338798E-2</v>
      </c>
      <c r="H91">
        <f t="shared" ref="H91:I91" si="105">+AVERAGE(F89:F93)</f>
        <v>3.9666666666666672</v>
      </c>
      <c r="I91">
        <f t="shared" si="105"/>
        <v>-0.61745264386013043</v>
      </c>
      <c r="J91">
        <f t="shared" si="75"/>
        <v>1960.4166666666599</v>
      </c>
      <c r="K91">
        <f t="shared" si="76"/>
        <v>77</v>
      </c>
      <c r="L91">
        <f t="shared" si="77"/>
        <v>-51.980214553068699</v>
      </c>
      <c r="M91" s="5">
        <v>1887.4166666666599</v>
      </c>
      <c r="N91" s="5">
        <v>-105</v>
      </c>
      <c r="O91" s="5">
        <v>-127.56454582239699</v>
      </c>
      <c r="Q91">
        <f t="shared" si="84"/>
        <v>12.240469163319995</v>
      </c>
    </row>
    <row r="92" spans="1:17" x14ac:dyDescent="0.25">
      <c r="A92">
        <f t="shared" si="71"/>
        <v>1960.5</v>
      </c>
      <c r="B92">
        <f t="shared" si="72"/>
        <v>147</v>
      </c>
      <c r="C92">
        <f t="shared" si="73"/>
        <v>134.79089288594301</v>
      </c>
      <c r="D92">
        <f t="shared" si="78"/>
        <v>33</v>
      </c>
      <c r="E92">
        <f t="shared" si="79"/>
        <v>70.743091528709357</v>
      </c>
      <c r="F92">
        <f t="shared" si="81"/>
        <v>9.6666666666666661</v>
      </c>
      <c r="G92">
        <f t="shared" si="82"/>
        <v>13.08673369448257</v>
      </c>
      <c r="H92">
        <f t="shared" ref="H92:I92" si="106">+AVERAGE(F90:F94)</f>
        <v>5.7000000000000011</v>
      </c>
      <c r="I92">
        <f t="shared" si="106"/>
        <v>3.2152142139213185</v>
      </c>
      <c r="J92">
        <f t="shared" si="75"/>
        <v>1960.5</v>
      </c>
      <c r="K92">
        <f t="shared" si="76"/>
        <v>147</v>
      </c>
      <c r="L92">
        <f t="shared" si="77"/>
        <v>134.79089288594301</v>
      </c>
      <c r="M92" s="5">
        <v>1887.5</v>
      </c>
      <c r="N92" s="5">
        <v>-105</v>
      </c>
      <c r="O92" s="5">
        <v>-25.091286513464102</v>
      </c>
      <c r="Q92">
        <f t="shared" si="84"/>
        <v>3.4200670278159038</v>
      </c>
    </row>
    <row r="93" spans="1:17" x14ac:dyDescent="0.25">
      <c r="A93">
        <f t="shared" si="71"/>
        <v>1960.5833333333301</v>
      </c>
      <c r="B93">
        <f t="shared" si="72"/>
        <v>151</v>
      </c>
      <c r="C93">
        <f t="shared" si="73"/>
        <v>180.075817267536</v>
      </c>
      <c r="D93">
        <f t="shared" si="78"/>
        <v>2</v>
      </c>
      <c r="E93">
        <f t="shared" si="79"/>
        <v>10.672497892405488</v>
      </c>
      <c r="F93">
        <f t="shared" si="81"/>
        <v>11.833333333333334</v>
      </c>
      <c r="G93">
        <f t="shared" si="82"/>
        <v>20.912386841443563</v>
      </c>
      <c r="H93">
        <f t="shared" ref="H93:I93" si="107">+AVERAGE(F91:F95)</f>
        <v>8.4666666666666668</v>
      </c>
      <c r="I93">
        <f t="shared" si="107"/>
        <v>8.3277973330368837</v>
      </c>
      <c r="J93">
        <f t="shared" si="75"/>
        <v>1960.5833333333301</v>
      </c>
      <c r="K93">
        <f t="shared" si="76"/>
        <v>151</v>
      </c>
      <c r="L93">
        <f t="shared" si="77"/>
        <v>180.075817267536</v>
      </c>
      <c r="M93" s="5">
        <v>1887.5833333333301</v>
      </c>
      <c r="N93" s="5">
        <v>-105</v>
      </c>
      <c r="O93" s="5">
        <v>-2.06078885415821</v>
      </c>
      <c r="Q93">
        <f t="shared" si="84"/>
        <v>9.0790535081102295</v>
      </c>
    </row>
    <row r="94" spans="1:17" x14ac:dyDescent="0.25">
      <c r="A94">
        <f t="shared" si="71"/>
        <v>1960.6666666666599</v>
      </c>
      <c r="B94">
        <f t="shared" si="72"/>
        <v>151</v>
      </c>
      <c r="C94">
        <f t="shared" si="73"/>
        <v>204.01574586431801</v>
      </c>
      <c r="D94">
        <f t="shared" si="78"/>
        <v>0.5</v>
      </c>
      <c r="E94">
        <f t="shared" si="79"/>
        <v>-2.9941387657014786</v>
      </c>
      <c r="F94">
        <f t="shared" si="81"/>
        <v>1.6666666666666667</v>
      </c>
      <c r="G94">
        <f t="shared" si="82"/>
        <v>4.0853140961220031</v>
      </c>
      <c r="H94">
        <f t="shared" ref="H94:I94" si="108">+AVERAGE(F92:F96)</f>
        <v>7.7333333333333325</v>
      </c>
      <c r="I94">
        <f t="shared" si="108"/>
        <v>9.6169084902168294</v>
      </c>
      <c r="J94">
        <f t="shared" si="75"/>
        <v>1960.6666666666599</v>
      </c>
      <c r="K94">
        <f t="shared" si="76"/>
        <v>151</v>
      </c>
      <c r="L94">
        <f t="shared" si="77"/>
        <v>204.01574586431801</v>
      </c>
      <c r="M94" s="5">
        <v>1887.6666666666599</v>
      </c>
      <c r="N94" s="5">
        <v>-105</v>
      </c>
      <c r="O94" s="5">
        <v>-4.6369620022819502</v>
      </c>
      <c r="Q94">
        <f t="shared" si="84"/>
        <v>2.4186474294553362</v>
      </c>
    </row>
    <row r="95" spans="1:17" x14ac:dyDescent="0.25">
      <c r="A95">
        <f t="shared" si="71"/>
        <v>1960.75</v>
      </c>
      <c r="B95">
        <f t="shared" si="72"/>
        <v>150</v>
      </c>
      <c r="C95">
        <f t="shared" si="73"/>
        <v>233.943951992503</v>
      </c>
      <c r="D95">
        <f t="shared" si="78"/>
        <v>2.5</v>
      </c>
      <c r="E95">
        <f t="shared" si="79"/>
        <v>7.6415687337535019</v>
      </c>
      <c r="F95">
        <f t="shared" si="81"/>
        <v>6.833333333333333</v>
      </c>
      <c r="G95">
        <f t="shared" si="82"/>
        <v>3.4616878631229384</v>
      </c>
      <c r="H95">
        <f t="shared" ref="H95:I95" si="109">+AVERAGE(F93:F97)</f>
        <v>10.333333333333334</v>
      </c>
      <c r="I95">
        <f t="shared" si="109"/>
        <v>8.8103199054567121</v>
      </c>
      <c r="J95">
        <f t="shared" si="75"/>
        <v>1960.75</v>
      </c>
      <c r="K95">
        <f t="shared" si="76"/>
        <v>150</v>
      </c>
      <c r="L95">
        <f t="shared" si="77"/>
        <v>233.943951992503</v>
      </c>
      <c r="M95" s="5">
        <v>1887.75</v>
      </c>
      <c r="N95" s="5">
        <v>-105</v>
      </c>
      <c r="O95" s="5">
        <v>62.474193991110603</v>
      </c>
      <c r="Q95">
        <f t="shared" si="84"/>
        <v>3.3716454702103946</v>
      </c>
    </row>
    <row r="96" spans="1:17" x14ac:dyDescent="0.25">
      <c r="A96">
        <f t="shared" si="71"/>
        <v>1960.8333333333301</v>
      </c>
      <c r="B96">
        <f t="shared" si="72"/>
        <v>144</v>
      </c>
      <c r="C96">
        <f t="shared" si="73"/>
        <v>248.589020653181</v>
      </c>
      <c r="D96">
        <f t="shared" si="78"/>
        <v>17.5</v>
      </c>
      <c r="E96">
        <f t="shared" si="79"/>
        <v>8.3338995186589955</v>
      </c>
      <c r="F96">
        <f t="shared" si="81"/>
        <v>8.6666666666666661</v>
      </c>
      <c r="G96">
        <f t="shared" si="82"/>
        <v>6.5384199559130671</v>
      </c>
      <c r="H96">
        <f t="shared" ref="H96:I96" si="110">+AVERAGE(F94:F98)</f>
        <v>7.9999999999999982</v>
      </c>
      <c r="I96">
        <f t="shared" si="110"/>
        <v>6.8053796295723998</v>
      </c>
      <c r="J96">
        <f t="shared" si="75"/>
        <v>1960.8333333333301</v>
      </c>
      <c r="K96">
        <f t="shared" si="76"/>
        <v>144</v>
      </c>
      <c r="L96">
        <f t="shared" si="77"/>
        <v>248.589020653181</v>
      </c>
      <c r="M96" s="5">
        <v>1887.8333333333301</v>
      </c>
      <c r="N96" s="5">
        <v>-105</v>
      </c>
      <c r="O96" s="5">
        <v>72.419644103349498</v>
      </c>
      <c r="Q96">
        <f t="shared" si="84"/>
        <v>2.1282467107535989</v>
      </c>
    </row>
    <row r="97" spans="1:17" x14ac:dyDescent="0.25">
      <c r="A97">
        <f t="shared" si="71"/>
        <v>1960.9166666666599</v>
      </c>
      <c r="B97">
        <f t="shared" si="72"/>
        <v>103</v>
      </c>
      <c r="C97">
        <f t="shared" si="73"/>
        <v>246.566290276541</v>
      </c>
      <c r="D97">
        <f t="shared" si="78"/>
        <v>6</v>
      </c>
      <c r="E97">
        <f t="shared" si="79"/>
        <v>8.5436065822615035</v>
      </c>
      <c r="F97">
        <f t="shared" si="81"/>
        <v>22.666666666666668</v>
      </c>
      <c r="G97">
        <f t="shared" si="82"/>
        <v>9.0537907706819922</v>
      </c>
      <c r="H97">
        <f t="shared" ref="H97:I97" si="111">+AVERAGE(F95:F99)</f>
        <v>6.2000000000000011</v>
      </c>
      <c r="I97">
        <f t="shared" si="111"/>
        <v>6.9393025130504835</v>
      </c>
      <c r="J97">
        <f t="shared" si="75"/>
        <v>1960.9166666666599</v>
      </c>
      <c r="K97">
        <f t="shared" si="76"/>
        <v>103</v>
      </c>
      <c r="L97">
        <f t="shared" si="77"/>
        <v>246.566290276541</v>
      </c>
      <c r="M97" s="5">
        <v>1887.9166666666599</v>
      </c>
      <c r="N97" s="5">
        <v>-105</v>
      </c>
      <c r="O97" s="5">
        <v>8.9985175884042992</v>
      </c>
      <c r="Q97">
        <f t="shared" si="84"/>
        <v>13.612875895984676</v>
      </c>
    </row>
    <row r="98" spans="1:17" x14ac:dyDescent="0.25">
      <c r="A98">
        <f t="shared" si="71"/>
        <v>1961</v>
      </c>
      <c r="B98">
        <f t="shared" si="72"/>
        <v>50</v>
      </c>
      <c r="C98">
        <f t="shared" si="73"/>
        <v>227.45634673537799</v>
      </c>
      <c r="D98">
        <f t="shared" si="78"/>
        <v>44.5</v>
      </c>
      <c r="E98">
        <f t="shared" si="79"/>
        <v>17.074209289136974</v>
      </c>
      <c r="F98">
        <f t="shared" si="81"/>
        <v>0.16666666666666666</v>
      </c>
      <c r="G98">
        <f t="shared" si="82"/>
        <v>10.887685462022</v>
      </c>
      <c r="H98">
        <f t="shared" ref="H98:I98" si="112">+AVERAGE(F96:F100)</f>
        <v>2.6333333333333342</v>
      </c>
      <c r="I98">
        <f t="shared" si="112"/>
        <v>6.9102813004094941</v>
      </c>
      <c r="J98">
        <f t="shared" si="75"/>
        <v>1961</v>
      </c>
      <c r="K98">
        <f t="shared" si="76"/>
        <v>50</v>
      </c>
      <c r="L98">
        <f t="shared" si="77"/>
        <v>227.45634673537799</v>
      </c>
      <c r="M98" s="5">
        <v>1888</v>
      </c>
      <c r="N98" s="5">
        <v>-105</v>
      </c>
      <c r="O98" s="5">
        <v>-79.622723812637005</v>
      </c>
      <c r="Q98">
        <f t="shared" si="84"/>
        <v>10.721018795355334</v>
      </c>
    </row>
    <row r="99" spans="1:17" x14ac:dyDescent="0.25">
      <c r="A99">
        <f t="shared" si="71"/>
        <v>1961.0833333333301</v>
      </c>
      <c r="B99">
        <f t="shared" si="72"/>
        <v>-92</v>
      </c>
      <c r="C99">
        <f t="shared" si="73"/>
        <v>174.19798461594101</v>
      </c>
      <c r="D99">
        <f t="shared" si="78"/>
        <v>-50</v>
      </c>
      <c r="E99">
        <f t="shared" si="79"/>
        <v>15.211004611184023</v>
      </c>
      <c r="F99">
        <f t="shared" si="81"/>
        <v>-7.333333333333333</v>
      </c>
      <c r="G99">
        <f t="shared" si="82"/>
        <v>4.7549285135124251</v>
      </c>
      <c r="H99">
        <f t="shared" ref="H99:I99" si="113">+AVERAGE(F97:F101)</f>
        <v>0.43333333333333401</v>
      </c>
      <c r="I99">
        <f t="shared" si="113"/>
        <v>5.0085388229120253</v>
      </c>
      <c r="J99">
        <f t="shared" si="75"/>
        <v>1961.0833333333301</v>
      </c>
      <c r="K99">
        <f t="shared" si="76"/>
        <v>-92</v>
      </c>
      <c r="L99">
        <f t="shared" si="77"/>
        <v>174.19798461594101</v>
      </c>
      <c r="M99" s="5">
        <v>1888.0833333333301</v>
      </c>
      <c r="N99" s="5">
        <v>-105</v>
      </c>
      <c r="O99" s="5">
        <v>-138.84514510848899</v>
      </c>
      <c r="Q99">
        <f t="shared" si="84"/>
        <v>12.088261846845757</v>
      </c>
    </row>
    <row r="100" spans="1:17" x14ac:dyDescent="0.25">
      <c r="A100">
        <f t="shared" si="71"/>
        <v>1961.1666666666599</v>
      </c>
      <c r="B100">
        <f t="shared" si="72"/>
        <v>-134</v>
      </c>
      <c r="C100">
        <f t="shared" si="73"/>
        <v>90.517613274135996</v>
      </c>
      <c r="D100">
        <f t="shared" si="78"/>
        <v>-16.5</v>
      </c>
      <c r="E100">
        <f t="shared" si="79"/>
        <v>-14.454231974649403</v>
      </c>
      <c r="F100">
        <f t="shared" si="81"/>
        <v>-11</v>
      </c>
      <c r="G100">
        <f t="shared" si="82"/>
        <v>3.3165817999179801</v>
      </c>
      <c r="H100">
        <f t="shared" ref="H100:I100" si="114">+AVERAGE(F98:F102)</f>
        <v>-4.3999999999999995</v>
      </c>
      <c r="I100">
        <f t="shared" si="114"/>
        <v>2.9480166493445563</v>
      </c>
      <c r="J100">
        <f t="shared" si="75"/>
        <v>1961.1666666666599</v>
      </c>
      <c r="K100">
        <f t="shared" si="76"/>
        <v>-134</v>
      </c>
      <c r="L100">
        <f t="shared" si="77"/>
        <v>90.517613274135996</v>
      </c>
      <c r="M100" s="5">
        <v>1888.1666666666599</v>
      </c>
      <c r="N100" s="5">
        <v>-105</v>
      </c>
      <c r="O100" s="5">
        <v>-150.11071986553301</v>
      </c>
      <c r="Q100">
        <f t="shared" si="84"/>
        <v>14.31658179991798</v>
      </c>
    </row>
    <row r="101" spans="1:17" x14ac:dyDescent="0.25">
      <c r="A101">
        <f t="shared" si="71"/>
        <v>1961.25</v>
      </c>
      <c r="B101">
        <f t="shared" si="72"/>
        <v>-143</v>
      </c>
      <c r="C101">
        <f t="shared" si="73"/>
        <v>35.745705881629803</v>
      </c>
      <c r="D101">
        <f t="shared" si="78"/>
        <v>33.5</v>
      </c>
      <c r="E101">
        <f t="shared" si="79"/>
        <v>11.680409113157804</v>
      </c>
      <c r="F101">
        <f t="shared" si="81"/>
        <v>-2.3333333333333335</v>
      </c>
      <c r="G101">
        <f t="shared" si="82"/>
        <v>-2.9702924315742667</v>
      </c>
      <c r="H101">
        <f t="shared" ref="H101:I101" si="115">+AVERAGE(F99:F103)</f>
        <v>-7.0333333333333332</v>
      </c>
      <c r="I101">
        <f t="shared" si="115"/>
        <v>-0.12748537745770569</v>
      </c>
      <c r="J101">
        <f t="shared" si="75"/>
        <v>1961.25</v>
      </c>
      <c r="K101">
        <f t="shared" si="76"/>
        <v>-143</v>
      </c>
      <c r="L101">
        <f t="shared" si="77"/>
        <v>35.745705881629803</v>
      </c>
      <c r="M101" s="5">
        <v>1888.25</v>
      </c>
      <c r="N101" s="5">
        <v>-105</v>
      </c>
      <c r="O101" s="5">
        <v>-140.36728604172001</v>
      </c>
      <c r="Q101">
        <f t="shared" si="84"/>
        <v>0.63695909824093322</v>
      </c>
    </row>
    <row r="102" spans="1:17" x14ac:dyDescent="0.25">
      <c r="A102">
        <f t="shared" si="71"/>
        <v>1961.3333333333301</v>
      </c>
      <c r="B102">
        <f t="shared" si="72"/>
        <v>-219</v>
      </c>
      <c r="C102">
        <f t="shared" si="73"/>
        <v>-42.387019737191999</v>
      </c>
      <c r="D102">
        <f t="shared" si="78"/>
        <v>-24</v>
      </c>
      <c r="E102">
        <f t="shared" si="79"/>
        <v>-8.3647737569119016</v>
      </c>
      <c r="F102">
        <f t="shared" si="81"/>
        <v>-1.5</v>
      </c>
      <c r="G102">
        <f t="shared" si="82"/>
        <v>-1.2488200971553596</v>
      </c>
      <c r="H102">
        <f t="shared" ref="H102:I102" si="116">+AVERAGE(F100:F104)</f>
        <v>-6.9666666666666668</v>
      </c>
      <c r="I102">
        <f t="shared" si="116"/>
        <v>-2.2789771904637655</v>
      </c>
      <c r="J102">
        <f t="shared" si="75"/>
        <v>1961.3333333333301</v>
      </c>
      <c r="K102">
        <f t="shared" si="76"/>
        <v>-219</v>
      </c>
      <c r="L102">
        <f t="shared" si="77"/>
        <v>-42.387019737191999</v>
      </c>
      <c r="M102" s="5">
        <v>1888.3333333333301</v>
      </c>
      <c r="N102" s="5">
        <v>-105</v>
      </c>
      <c r="O102" s="5">
        <v>-151.79099082445799</v>
      </c>
      <c r="Q102">
        <f t="shared" si="84"/>
        <v>0.25117990284464042</v>
      </c>
    </row>
    <row r="103" spans="1:17" x14ac:dyDescent="0.25">
      <c r="A103">
        <f t="shared" si="71"/>
        <v>1961.4166666666599</v>
      </c>
      <c r="B103">
        <f t="shared" si="72"/>
        <v>-247</v>
      </c>
      <c r="C103">
        <f t="shared" si="73"/>
        <v>-103.79019784219</v>
      </c>
      <c r="D103">
        <f t="shared" si="78"/>
        <v>-14</v>
      </c>
      <c r="E103">
        <f t="shared" si="79"/>
        <v>-7.9987107205785009</v>
      </c>
      <c r="F103">
        <f t="shared" si="81"/>
        <v>-13</v>
      </c>
      <c r="G103">
        <f t="shared" si="82"/>
        <v>-4.4898246719893073</v>
      </c>
      <c r="H103">
        <f t="shared" ref="H103:I103" si="117">+AVERAGE(F101:F105)</f>
        <v>-5.7</v>
      </c>
      <c r="I103">
        <f t="shared" si="117"/>
        <v>-4.0341520824418415</v>
      </c>
      <c r="J103">
        <f t="shared" si="75"/>
        <v>1961.4166666666599</v>
      </c>
      <c r="K103">
        <f t="shared" si="76"/>
        <v>-247</v>
      </c>
      <c r="L103">
        <f t="shared" si="77"/>
        <v>-103.79019784219</v>
      </c>
      <c r="M103" s="5">
        <v>1888.4166666666599</v>
      </c>
      <c r="N103" s="5">
        <v>-105</v>
      </c>
      <c r="O103" s="5">
        <v>-145.85271163915499</v>
      </c>
      <c r="Q103">
        <f t="shared" si="84"/>
        <v>8.5101753280106927</v>
      </c>
    </row>
    <row r="104" spans="1:17" x14ac:dyDescent="0.25">
      <c r="A104">
        <f t="shared" si="71"/>
        <v>1961.5</v>
      </c>
      <c r="B104">
        <f t="shared" si="72"/>
        <v>-247</v>
      </c>
      <c r="C104">
        <f t="shared" si="73"/>
        <v>-149.195954506031</v>
      </c>
      <c r="D104">
        <f t="shared" si="78"/>
        <v>-1</v>
      </c>
      <c r="E104">
        <f t="shared" si="79"/>
        <v>-0.4733580424694992</v>
      </c>
      <c r="F104">
        <f t="shared" si="81"/>
        <v>-7</v>
      </c>
      <c r="G104">
        <f t="shared" si="82"/>
        <v>-6.0025305515178733</v>
      </c>
      <c r="H104">
        <f t="shared" ref="H104:I104" si="118">+AVERAGE(F102:F106)</f>
        <v>-5.166666666666667</v>
      </c>
      <c r="I104">
        <f t="shared" si="118"/>
        <v>-4.1136483262391499</v>
      </c>
      <c r="J104">
        <f t="shared" si="75"/>
        <v>1961.5</v>
      </c>
      <c r="K104">
        <f t="shared" si="76"/>
        <v>-247</v>
      </c>
      <c r="L104">
        <f t="shared" si="77"/>
        <v>-149.195954506031</v>
      </c>
      <c r="M104" s="5">
        <v>1888.5</v>
      </c>
      <c r="N104" s="5">
        <v>-105</v>
      </c>
      <c r="O104" s="5">
        <v>-115.83047433126001</v>
      </c>
      <c r="Q104">
        <f t="shared" si="84"/>
        <v>0.99746944848212671</v>
      </c>
    </row>
    <row r="105" spans="1:17" x14ac:dyDescent="0.25">
      <c r="A105">
        <f t="shared" si="71"/>
        <v>1961.5833333333301</v>
      </c>
      <c r="B105">
        <f t="shared" si="72"/>
        <v>-245</v>
      </c>
      <c r="C105">
        <f t="shared" si="73"/>
        <v>-193.65499508493301</v>
      </c>
      <c r="D105">
        <f t="shared" si="78"/>
        <v>-6</v>
      </c>
      <c r="E105">
        <f t="shared" si="79"/>
        <v>-14.037420805144023</v>
      </c>
      <c r="F105">
        <f t="shared" si="81"/>
        <v>-4.666666666666667</v>
      </c>
      <c r="G105">
        <f t="shared" si="82"/>
        <v>-5.4592926599724025</v>
      </c>
      <c r="H105">
        <f t="shared" ref="H105:I105" si="119">+AVERAGE(F103:F107)</f>
        <v>-4.4000000000000004</v>
      </c>
      <c r="I105">
        <f t="shared" si="119"/>
        <v>-3.7819364764631169</v>
      </c>
      <c r="J105">
        <f t="shared" si="75"/>
        <v>1961.5833333333301</v>
      </c>
      <c r="K105">
        <f t="shared" si="76"/>
        <v>-245</v>
      </c>
      <c r="L105">
        <f t="shared" si="77"/>
        <v>-193.65499508493301</v>
      </c>
      <c r="M105" s="5">
        <v>1888.5833333333301</v>
      </c>
      <c r="N105" s="5">
        <v>-105</v>
      </c>
      <c r="O105" s="5">
        <v>-116.679431747762</v>
      </c>
      <c r="Q105">
        <f t="shared" si="84"/>
        <v>0.79262599330573558</v>
      </c>
    </row>
    <row r="106" spans="1:17" x14ac:dyDescent="0.25">
      <c r="A106">
        <f t="shared" si="71"/>
        <v>1961.6666666666599</v>
      </c>
      <c r="B106">
        <f t="shared" si="72"/>
        <v>-231</v>
      </c>
      <c r="C106">
        <f t="shared" si="73"/>
        <v>-210.03919405354699</v>
      </c>
      <c r="D106">
        <f t="shared" si="78"/>
        <v>-7</v>
      </c>
      <c r="E106">
        <f t="shared" si="79"/>
        <v>-5.9615686272829862</v>
      </c>
      <c r="F106">
        <f t="shared" si="81"/>
        <v>0.33333333333333331</v>
      </c>
      <c r="G106">
        <f t="shared" si="82"/>
        <v>-3.3677736505608062</v>
      </c>
      <c r="H106">
        <f t="shared" ref="H106:I106" si="120">+AVERAGE(F104:F108)</f>
        <v>-1.8333333333333333</v>
      </c>
      <c r="I106">
        <f t="shared" si="120"/>
        <v>-2.5889148583912291</v>
      </c>
      <c r="J106">
        <f t="shared" si="75"/>
        <v>1961.6666666666599</v>
      </c>
      <c r="K106">
        <f t="shared" si="76"/>
        <v>-231</v>
      </c>
      <c r="L106">
        <f t="shared" si="77"/>
        <v>-210.03919405354699</v>
      </c>
      <c r="M106" s="5">
        <v>1888.6666666666599</v>
      </c>
      <c r="N106" s="5">
        <v>-105</v>
      </c>
      <c r="O106" s="5">
        <v>-137.57726908296601</v>
      </c>
      <c r="Q106">
        <f t="shared" si="84"/>
        <v>3.7011069838941397</v>
      </c>
    </row>
    <row r="107" spans="1:17" x14ac:dyDescent="0.25">
      <c r="A107">
        <f t="shared" si="71"/>
        <v>1961.75</v>
      </c>
      <c r="B107">
        <f t="shared" si="72"/>
        <v>-203</v>
      </c>
      <c r="C107">
        <f t="shared" si="73"/>
        <v>-214.50025576759501</v>
      </c>
      <c r="D107">
        <f t="shared" si="78"/>
        <v>14</v>
      </c>
      <c r="E107">
        <f t="shared" si="79"/>
        <v>7.3698382428239881</v>
      </c>
      <c r="F107">
        <f t="shared" si="81"/>
        <v>2.3333333333333335</v>
      </c>
      <c r="G107">
        <f t="shared" si="82"/>
        <v>0.40973915172480702</v>
      </c>
      <c r="H107">
        <f t="shared" ref="H107:I107" si="121">+AVERAGE(F105:F109)</f>
        <v>-0.4333333333333334</v>
      </c>
      <c r="I107">
        <f t="shared" si="121"/>
        <v>-1.5596486321017589</v>
      </c>
      <c r="J107">
        <f t="shared" si="75"/>
        <v>1961.75</v>
      </c>
      <c r="K107">
        <f t="shared" si="76"/>
        <v>-203</v>
      </c>
      <c r="L107">
        <f t="shared" si="77"/>
        <v>-214.50025576759501</v>
      </c>
      <c r="M107" s="5">
        <v>1888.75</v>
      </c>
      <c r="N107" s="5">
        <v>-105</v>
      </c>
      <c r="O107" s="5">
        <v>-176.41159963641999</v>
      </c>
      <c r="Q107">
        <f t="shared" si="84"/>
        <v>1.9235941816085265</v>
      </c>
    </row>
    <row r="108" spans="1:17" x14ac:dyDescent="0.25">
      <c r="A108">
        <f t="shared" si="71"/>
        <v>1961.8333333333301</v>
      </c>
      <c r="B108">
        <f t="shared" si="72"/>
        <v>-203</v>
      </c>
      <c r="C108">
        <f t="shared" si="73"/>
        <v>-233.700993967291</v>
      </c>
      <c r="D108">
        <f t="shared" si="78"/>
        <v>0</v>
      </c>
      <c r="E108">
        <f t="shared" si="79"/>
        <v>0.12825220342702437</v>
      </c>
      <c r="F108">
        <f t="shared" si="81"/>
        <v>-0.16666666666666666</v>
      </c>
      <c r="G108">
        <f t="shared" si="82"/>
        <v>1.4752834183701302</v>
      </c>
      <c r="H108">
        <f t="shared" ref="H108:I108" si="122">+AVERAGE(F106:F110)</f>
        <v>3.3333333333333395E-2</v>
      </c>
      <c r="I108">
        <f t="shared" si="122"/>
        <v>-0.87711950261962424</v>
      </c>
      <c r="J108">
        <f t="shared" si="75"/>
        <v>1961.8333333333301</v>
      </c>
      <c r="K108">
        <f t="shared" si="76"/>
        <v>-203</v>
      </c>
      <c r="L108">
        <f t="shared" si="77"/>
        <v>-233.700993967291</v>
      </c>
      <c r="M108" s="5">
        <v>1888.8333333333301</v>
      </c>
      <c r="N108" s="5">
        <v>-105</v>
      </c>
      <c r="O108" s="5">
        <v>-220.317597202797</v>
      </c>
      <c r="Q108">
        <f t="shared" si="84"/>
        <v>1.641950085036797</v>
      </c>
    </row>
    <row r="109" spans="1:17" x14ac:dyDescent="0.25">
      <c r="A109">
        <f t="shared" si="71"/>
        <v>1961.9166666666599</v>
      </c>
      <c r="B109">
        <f t="shared" si="72"/>
        <v>-203</v>
      </c>
      <c r="C109">
        <f t="shared" si="73"/>
        <v>-253.15823657384101</v>
      </c>
      <c r="D109">
        <f t="shared" si="78"/>
        <v>-14.5</v>
      </c>
      <c r="E109">
        <f t="shared" si="79"/>
        <v>-1.9657776273630247</v>
      </c>
      <c r="F109">
        <f t="shared" si="81"/>
        <v>0</v>
      </c>
      <c r="G109">
        <f t="shared" si="82"/>
        <v>-0.85619942007052341</v>
      </c>
      <c r="H109">
        <f t="shared" ref="H109:I109" si="123">+AVERAGE(F107:F111)</f>
        <v>0.73333333333333339</v>
      </c>
      <c r="I109">
        <f t="shared" si="123"/>
        <v>-0.69634846147737794</v>
      </c>
      <c r="J109">
        <f t="shared" si="75"/>
        <v>1961.9166666666599</v>
      </c>
      <c r="K109">
        <f t="shared" si="76"/>
        <v>-203</v>
      </c>
      <c r="L109">
        <f t="shared" si="77"/>
        <v>-253.15823657384101</v>
      </c>
      <c r="M109" s="5">
        <v>1888.9166666666599</v>
      </c>
      <c r="N109" s="5">
        <v>-105</v>
      </c>
      <c r="O109" s="5">
        <v>-238.55086624148501</v>
      </c>
      <c r="Q109">
        <f t="shared" si="84"/>
        <v>0.85619942007052341</v>
      </c>
    </row>
    <row r="110" spans="1:17" x14ac:dyDescent="0.25">
      <c r="A110">
        <f t="shared" si="71"/>
        <v>1962</v>
      </c>
      <c r="B110">
        <f t="shared" si="72"/>
        <v>-174</v>
      </c>
      <c r="C110">
        <f t="shared" si="73"/>
        <v>-268.683923925665</v>
      </c>
      <c r="D110">
        <f t="shared" si="78"/>
        <v>14.5</v>
      </c>
      <c r="E110">
        <f t="shared" si="79"/>
        <v>-1.3732224013284622</v>
      </c>
      <c r="F110">
        <f t="shared" si="81"/>
        <v>-2.3333333333333335</v>
      </c>
      <c r="G110">
        <f t="shared" si="82"/>
        <v>-2.0466470125617282</v>
      </c>
      <c r="H110">
        <f t="shared" ref="H110:I110" si="124">+AVERAGE(F108:F112)</f>
        <v>-2.2666666666666666</v>
      </c>
      <c r="I110">
        <f t="shared" si="124"/>
        <v>-1.4738710360968177</v>
      </c>
      <c r="J110">
        <f t="shared" si="75"/>
        <v>1962</v>
      </c>
      <c r="K110">
        <f t="shared" si="76"/>
        <v>-174</v>
      </c>
      <c r="L110">
        <f t="shared" si="77"/>
        <v>-268.683923925665</v>
      </c>
      <c r="M110" s="5">
        <v>1889</v>
      </c>
      <c r="N110" s="5">
        <v>-105</v>
      </c>
      <c r="O110" s="5">
        <v>-241.30026522034001</v>
      </c>
      <c r="Q110">
        <f t="shared" si="84"/>
        <v>0.28668632077160527</v>
      </c>
    </row>
    <row r="111" spans="1:17" x14ac:dyDescent="0.25">
      <c r="A111">
        <f t="shared" si="71"/>
        <v>1962.0833333333301</v>
      </c>
      <c r="B111">
        <f t="shared" si="72"/>
        <v>-174</v>
      </c>
      <c r="C111">
        <f t="shared" si="73"/>
        <v>-281.46316647483201</v>
      </c>
      <c r="D111">
        <f t="shared" si="78"/>
        <v>-7</v>
      </c>
      <c r="E111">
        <f t="shared" si="79"/>
        <v>-4.335926268414994</v>
      </c>
      <c r="F111">
        <f t="shared" si="81"/>
        <v>3.8333333333333335</v>
      </c>
      <c r="G111">
        <f t="shared" si="82"/>
        <v>-2.4639184448495755</v>
      </c>
      <c r="H111">
        <f t="shared" ref="H111:I111" si="125">+AVERAGE(F109:F113)</f>
        <v>-6.2333333333333325</v>
      </c>
      <c r="I111">
        <f t="shared" si="125"/>
        <v>-3.107676433800683</v>
      </c>
      <c r="J111">
        <f t="shared" si="75"/>
        <v>1962.0833333333301</v>
      </c>
      <c r="K111">
        <f t="shared" si="76"/>
        <v>-174</v>
      </c>
      <c r="L111">
        <f t="shared" si="77"/>
        <v>-281.46316647483201</v>
      </c>
      <c r="M111" s="5">
        <v>1889.0833333333301</v>
      </c>
      <c r="N111" s="5">
        <v>-105</v>
      </c>
      <c r="O111" s="5">
        <v>-238.89608968095399</v>
      </c>
      <c r="Q111">
        <f t="shared" si="84"/>
        <v>6.2972517781829094</v>
      </c>
    </row>
    <row r="112" spans="1:17" x14ac:dyDescent="0.25">
      <c r="A112">
        <f t="shared" si="71"/>
        <v>1962.1666666666599</v>
      </c>
      <c r="B112">
        <f t="shared" si="72"/>
        <v>-160</v>
      </c>
      <c r="C112">
        <f t="shared" si="73"/>
        <v>-285.57055648716897</v>
      </c>
      <c r="D112">
        <f t="shared" si="78"/>
        <v>4</v>
      </c>
      <c r="E112">
        <f t="shared" si="79"/>
        <v>-3.53054549844245</v>
      </c>
      <c r="F112">
        <f t="shared" si="81"/>
        <v>-12.666666666666666</v>
      </c>
      <c r="G112">
        <f t="shared" si="82"/>
        <v>-3.4778737213723923</v>
      </c>
      <c r="H112">
        <f t="shared" ref="H112:I112" si="126">+AVERAGE(F110:F114)</f>
        <v>-8.2666666666666657</v>
      </c>
      <c r="I112">
        <f t="shared" si="126"/>
        <v>-5.7795791969118868</v>
      </c>
      <c r="J112">
        <f t="shared" si="75"/>
        <v>1962.1666666666599</v>
      </c>
      <c r="K112">
        <f t="shared" si="76"/>
        <v>-160</v>
      </c>
      <c r="L112">
        <f t="shared" si="77"/>
        <v>-285.57055648716897</v>
      </c>
      <c r="M112" s="5">
        <v>1889.1666666666599</v>
      </c>
      <c r="N112" s="5">
        <v>-105</v>
      </c>
      <c r="O112" s="5">
        <v>-222.65220150264599</v>
      </c>
      <c r="Q112">
        <f t="shared" si="84"/>
        <v>9.1887929452942743</v>
      </c>
    </row>
    <row r="113" spans="1:17" x14ac:dyDescent="0.25">
      <c r="A113">
        <f t="shared" si="71"/>
        <v>1962.25</v>
      </c>
      <c r="B113">
        <f t="shared" si="72"/>
        <v>-154</v>
      </c>
      <c r="C113">
        <f t="shared" si="73"/>
        <v>-282.61685550262098</v>
      </c>
      <c r="D113">
        <f t="shared" si="78"/>
        <v>-35</v>
      </c>
      <c r="E113">
        <f t="shared" si="79"/>
        <v>-5.1755546882890258</v>
      </c>
      <c r="F113">
        <f t="shared" si="81"/>
        <v>-20</v>
      </c>
      <c r="G113">
        <f t="shared" si="82"/>
        <v>-6.693743570149195</v>
      </c>
      <c r="H113">
        <f t="shared" ref="H113:I113" si="127">+AVERAGE(F111:F115)</f>
        <v>-6.0666666666666673</v>
      </c>
      <c r="I113">
        <f t="shared" si="127"/>
        <v>-8.7463055395025062</v>
      </c>
      <c r="J113">
        <f t="shared" si="75"/>
        <v>1962.25</v>
      </c>
      <c r="K113">
        <f t="shared" si="76"/>
        <v>-154</v>
      </c>
      <c r="L113">
        <f t="shared" si="77"/>
        <v>-282.61685550262098</v>
      </c>
      <c r="M113" s="5">
        <v>1889.25</v>
      </c>
      <c r="N113" s="5">
        <v>-105</v>
      </c>
      <c r="O113" s="5">
        <v>-194.27697496036799</v>
      </c>
      <c r="Q113">
        <f t="shared" si="84"/>
        <v>13.306256429850805</v>
      </c>
    </row>
    <row r="114" spans="1:17" x14ac:dyDescent="0.25">
      <c r="A114">
        <f t="shared" si="71"/>
        <v>1962.3333333333301</v>
      </c>
      <c r="B114">
        <f t="shared" si="72"/>
        <v>-78</v>
      </c>
      <c r="C114">
        <f t="shared" si="73"/>
        <v>-269.31204514149499</v>
      </c>
      <c r="D114">
        <f t="shared" si="78"/>
        <v>-29</v>
      </c>
      <c r="E114">
        <f t="shared" si="79"/>
        <v>-16.395438201328005</v>
      </c>
      <c r="F114">
        <f t="shared" si="81"/>
        <v>-10.166666666666666</v>
      </c>
      <c r="G114">
        <f t="shared" si="82"/>
        <v>-14.215713235626541</v>
      </c>
      <c r="H114">
        <f t="shared" ref="H114:I114" si="128">+AVERAGE(F112:F116)</f>
        <v>-3.1333333333333329</v>
      </c>
      <c r="I114">
        <f t="shared" si="128"/>
        <v>-8.9336488061594448</v>
      </c>
      <c r="J114">
        <f t="shared" si="75"/>
        <v>1962.3333333333301</v>
      </c>
      <c r="K114">
        <f t="shared" si="76"/>
        <v>-78</v>
      </c>
      <c r="L114">
        <f t="shared" si="77"/>
        <v>-269.31204514149499</v>
      </c>
      <c r="M114" s="5">
        <v>1889.3333333333301</v>
      </c>
      <c r="N114" s="5">
        <v>-105</v>
      </c>
      <c r="O114" s="5">
        <v>-146.66779399887</v>
      </c>
      <c r="Q114">
        <f t="shared" si="84"/>
        <v>4.0490465689598754</v>
      </c>
    </row>
    <row r="115" spans="1:17" x14ac:dyDescent="0.25">
      <c r="A115">
        <f t="shared" si="71"/>
        <v>1962.4166666666599</v>
      </c>
      <c r="B115">
        <f t="shared" si="72"/>
        <v>56</v>
      </c>
      <c r="C115">
        <f t="shared" si="73"/>
        <v>-223.21635837771299</v>
      </c>
      <c r="D115">
        <f t="shared" si="78"/>
        <v>33.5</v>
      </c>
      <c r="E115">
        <f t="shared" si="79"/>
        <v>-31.7379317439825</v>
      </c>
      <c r="F115">
        <f t="shared" si="81"/>
        <v>8.6666666666666661</v>
      </c>
      <c r="G115">
        <f t="shared" si="82"/>
        <v>-16.880278725514827</v>
      </c>
      <c r="H115">
        <f t="shared" ref="H115:I115" si="129">+AVERAGE(F113:F117)</f>
        <v>1.4666666666666668</v>
      </c>
      <c r="I115">
        <f t="shared" si="129"/>
        <v>-6.3842342635824014</v>
      </c>
      <c r="J115">
        <f t="shared" si="75"/>
        <v>1962.4166666666599</v>
      </c>
      <c r="K115">
        <f t="shared" si="76"/>
        <v>56</v>
      </c>
      <c r="L115">
        <f t="shared" si="77"/>
        <v>-223.21635837771299</v>
      </c>
      <c r="M115" s="5">
        <v>1889.4166666666599</v>
      </c>
      <c r="N115" s="5">
        <v>-105</v>
      </c>
      <c r="O115" s="5">
        <v>-21.632444166951601</v>
      </c>
      <c r="Q115">
        <f t="shared" si="84"/>
        <v>25.546945392181492</v>
      </c>
    </row>
    <row r="116" spans="1:17" x14ac:dyDescent="0.25">
      <c r="A116">
        <f t="shared" si="71"/>
        <v>1962.5</v>
      </c>
      <c r="B116">
        <f t="shared" si="72"/>
        <v>123</v>
      </c>
      <c r="C116">
        <f t="shared" si="73"/>
        <v>-113.64480812596599</v>
      </c>
      <c r="D116">
        <f t="shared" si="78"/>
        <v>21.5</v>
      </c>
      <c r="E116">
        <f t="shared" si="79"/>
        <v>-15.167675275370101</v>
      </c>
      <c r="F116">
        <f t="shared" si="81"/>
        <v>18.5</v>
      </c>
      <c r="G116">
        <f t="shared" si="82"/>
        <v>-3.4006347781342678</v>
      </c>
      <c r="H116">
        <f t="shared" ref="H116:I116" si="130">+AVERAGE(F114:F118)</f>
        <v>5.5333333333333332</v>
      </c>
      <c r="I116">
        <f t="shared" si="130"/>
        <v>-2.2385694057219436</v>
      </c>
      <c r="J116">
        <f t="shared" si="75"/>
        <v>1962.5</v>
      </c>
      <c r="K116">
        <f t="shared" si="76"/>
        <v>123</v>
      </c>
      <c r="L116">
        <f t="shared" si="77"/>
        <v>-113.64480812596599</v>
      </c>
      <c r="M116" s="5">
        <v>1889.5</v>
      </c>
      <c r="N116" s="5">
        <v>-105</v>
      </c>
      <c r="O116" s="5">
        <v>60.712177455859397</v>
      </c>
      <c r="Q116">
        <f t="shared" si="84"/>
        <v>21.900634778134268</v>
      </c>
    </row>
    <row r="117" spans="1:17" x14ac:dyDescent="0.25">
      <c r="A117">
        <f t="shared" si="71"/>
        <v>1962.5833333333301</v>
      </c>
      <c r="B117">
        <f t="shared" si="72"/>
        <v>147</v>
      </c>
      <c r="C117">
        <f t="shared" si="73"/>
        <v>26.262092676521199</v>
      </c>
      <c r="D117">
        <f t="shared" si="78"/>
        <v>0.5</v>
      </c>
      <c r="E117">
        <f t="shared" si="79"/>
        <v>34.153226601349097</v>
      </c>
      <c r="F117">
        <f t="shared" si="81"/>
        <v>10.333333333333334</v>
      </c>
      <c r="G117">
        <f t="shared" si="82"/>
        <v>9.269198991512825</v>
      </c>
      <c r="H117">
        <f t="shared" ref="H117:I117" si="131">+AVERAGE(F115:F119)</f>
        <v>8.3333333333333339</v>
      </c>
      <c r="I117">
        <f t="shared" si="131"/>
        <v>1.7439090865402966</v>
      </c>
      <c r="J117">
        <f t="shared" si="75"/>
        <v>1962.5833333333301</v>
      </c>
      <c r="K117">
        <f t="shared" si="76"/>
        <v>147</v>
      </c>
      <c r="L117">
        <f t="shared" si="77"/>
        <v>26.262092676521199</v>
      </c>
      <c r="M117" s="5">
        <v>1889.5833333333301</v>
      </c>
      <c r="N117" s="5">
        <v>-105</v>
      </c>
      <c r="O117" s="5">
        <v>1.7227688142969699</v>
      </c>
      <c r="Q117">
        <f t="shared" si="84"/>
        <v>1.0641343418205089</v>
      </c>
    </row>
    <row r="118" spans="1:17" x14ac:dyDescent="0.25">
      <c r="A118">
        <f t="shared" si="71"/>
        <v>1962.6666666666599</v>
      </c>
      <c r="B118">
        <f t="shared" si="72"/>
        <v>170</v>
      </c>
      <c r="C118">
        <f t="shared" si="73"/>
        <v>97.862540276310199</v>
      </c>
      <c r="D118">
        <f t="shared" si="78"/>
        <v>9</v>
      </c>
      <c r="E118">
        <f t="shared" si="79"/>
        <v>15.773944892194095</v>
      </c>
      <c r="F118">
        <f t="shared" si="81"/>
        <v>0.33333333333333331</v>
      </c>
      <c r="G118">
        <f t="shared" si="82"/>
        <v>14.034580719153093</v>
      </c>
      <c r="H118">
        <f t="shared" ref="H118:I118" si="132">+AVERAGE(F116:F120)</f>
        <v>7.1</v>
      </c>
      <c r="I118">
        <f t="shared" si="132"/>
        <v>6.1722495365022692</v>
      </c>
      <c r="J118">
        <f t="shared" si="75"/>
        <v>1962.6666666666599</v>
      </c>
      <c r="K118">
        <f t="shared" si="76"/>
        <v>170</v>
      </c>
      <c r="L118">
        <f t="shared" si="77"/>
        <v>97.862540276310199</v>
      </c>
      <c r="M118" s="5">
        <v>1889.6666666666599</v>
      </c>
      <c r="N118" s="5">
        <v>-105</v>
      </c>
      <c r="O118" s="5">
        <v>-21.045997012068199</v>
      </c>
      <c r="Q118">
        <f t="shared" si="84"/>
        <v>13.701247385819759</v>
      </c>
    </row>
    <row r="119" spans="1:17" x14ac:dyDescent="0.25">
      <c r="A119">
        <f t="shared" si="71"/>
        <v>1962.75</v>
      </c>
      <c r="B119">
        <f t="shared" si="72"/>
        <v>175</v>
      </c>
      <c r="C119">
        <f t="shared" si="73"/>
        <v>137.915098091711</v>
      </c>
      <c r="D119">
        <f t="shared" si="78"/>
        <v>-8.5</v>
      </c>
      <c r="E119">
        <f t="shared" si="79"/>
        <v>2.7025062032809046</v>
      </c>
      <c r="F119">
        <f t="shared" si="81"/>
        <v>3.8333333333333335</v>
      </c>
      <c r="G119">
        <f t="shared" si="82"/>
        <v>5.6966792256846626</v>
      </c>
      <c r="H119">
        <f t="shared" ref="H119:I119" si="133">+AVERAGE(F117:F121)</f>
        <v>4.1333333333333337</v>
      </c>
      <c r="I119">
        <f t="shared" si="133"/>
        <v>8.2612070346545359</v>
      </c>
      <c r="J119">
        <f t="shared" si="75"/>
        <v>1962.75</v>
      </c>
      <c r="K119">
        <f t="shared" si="76"/>
        <v>175</v>
      </c>
      <c r="L119">
        <f t="shared" si="77"/>
        <v>137.915098091711</v>
      </c>
      <c r="M119" s="5">
        <v>1889.75</v>
      </c>
      <c r="N119" s="5">
        <v>-105</v>
      </c>
      <c r="O119" s="5">
        <v>59.449668190533401</v>
      </c>
      <c r="Q119">
        <f t="shared" si="84"/>
        <v>1.8633458923513291</v>
      </c>
    </row>
    <row r="120" spans="1:17" x14ac:dyDescent="0.25">
      <c r="A120">
        <f t="shared" si="71"/>
        <v>1962.8333333333301</v>
      </c>
      <c r="B120">
        <f t="shared" si="72"/>
        <v>197</v>
      </c>
      <c r="C120">
        <f t="shared" si="73"/>
        <v>172.56264350055</v>
      </c>
      <c r="D120">
        <f t="shared" si="78"/>
        <v>11</v>
      </c>
      <c r="E120">
        <f t="shared" si="79"/>
        <v>2.8860960008424854</v>
      </c>
      <c r="F120">
        <f t="shared" si="81"/>
        <v>2.5</v>
      </c>
      <c r="G120">
        <f t="shared" si="82"/>
        <v>5.2614235242950373</v>
      </c>
      <c r="H120">
        <f t="shared" ref="H120:I120" si="134">+AVERAGE(F118:F122)</f>
        <v>0.70000000000000018</v>
      </c>
      <c r="I120">
        <f t="shared" si="134"/>
        <v>7.1815412296400254</v>
      </c>
      <c r="J120">
        <f t="shared" si="75"/>
        <v>1962.8333333333301</v>
      </c>
      <c r="K120">
        <f t="shared" si="76"/>
        <v>197</v>
      </c>
      <c r="L120">
        <f t="shared" si="77"/>
        <v>172.56264350055</v>
      </c>
      <c r="M120" s="5">
        <v>1889.8333333333301</v>
      </c>
      <c r="N120" s="5">
        <v>-105</v>
      </c>
      <c r="O120" s="5">
        <v>144.50222131984299</v>
      </c>
      <c r="Q120">
        <f t="shared" si="84"/>
        <v>2.7614235242950373</v>
      </c>
    </row>
    <row r="121" spans="1:17" x14ac:dyDescent="0.25">
      <c r="A121">
        <f t="shared" si="71"/>
        <v>1962.9166666666599</v>
      </c>
      <c r="B121">
        <f t="shared" si="72"/>
        <v>197</v>
      </c>
      <c r="C121">
        <f t="shared" si="73"/>
        <v>201.43799690770399</v>
      </c>
      <c r="D121">
        <f t="shared" si="78"/>
        <v>5</v>
      </c>
      <c r="E121">
        <f t="shared" si="79"/>
        <v>14.141736011982999</v>
      </c>
      <c r="F121">
        <f t="shared" si="81"/>
        <v>3.6666666666666665</v>
      </c>
      <c r="G121">
        <f t="shared" si="82"/>
        <v>7.0441527126270636</v>
      </c>
      <c r="H121">
        <f t="shared" ref="H121:I121" si="135">+AVERAGE(F119:F123)</f>
        <v>0.30000000000000004</v>
      </c>
      <c r="I121">
        <f t="shared" si="135"/>
        <v>3.9687332721446369</v>
      </c>
      <c r="J121">
        <f t="shared" si="75"/>
        <v>1962.9166666666599</v>
      </c>
      <c r="K121">
        <f t="shared" si="76"/>
        <v>197</v>
      </c>
      <c r="L121">
        <f t="shared" si="77"/>
        <v>201.43799690770399</v>
      </c>
      <c r="M121" s="5">
        <v>1889.9166666666599</v>
      </c>
      <c r="N121" s="5">
        <v>-105</v>
      </c>
      <c r="O121" s="5">
        <v>189.46283140585101</v>
      </c>
      <c r="Q121">
        <f t="shared" si="84"/>
        <v>3.377486045960397</v>
      </c>
    </row>
    <row r="122" spans="1:17" x14ac:dyDescent="0.25">
      <c r="A122">
        <f t="shared" si="71"/>
        <v>1963</v>
      </c>
      <c r="B122">
        <f t="shared" si="72"/>
        <v>187</v>
      </c>
      <c r="C122">
        <f t="shared" si="73"/>
        <v>202.02987829089199</v>
      </c>
      <c r="D122">
        <f t="shared" si="78"/>
        <v>-5</v>
      </c>
      <c r="E122">
        <f t="shared" si="79"/>
        <v>9.3877406595260027</v>
      </c>
      <c r="F122">
        <f t="shared" si="81"/>
        <v>-6.833333333333333</v>
      </c>
      <c r="G122">
        <f t="shared" si="82"/>
        <v>3.870869966440273</v>
      </c>
      <c r="H122">
        <f t="shared" ref="H122:I122" si="136">+AVERAGE(F120:F124)</f>
        <v>-0.3000000000000001</v>
      </c>
      <c r="I122">
        <f t="shared" si="136"/>
        <v>1.821978471602185</v>
      </c>
      <c r="J122">
        <f t="shared" si="75"/>
        <v>1963</v>
      </c>
      <c r="K122">
        <f t="shared" si="76"/>
        <v>187</v>
      </c>
      <c r="L122">
        <f t="shared" si="77"/>
        <v>202.02987829089199</v>
      </c>
      <c r="M122" s="5">
        <v>1890</v>
      </c>
      <c r="N122" s="5">
        <v>-105</v>
      </c>
      <c r="O122" s="5">
        <v>188.308313014367</v>
      </c>
      <c r="Q122">
        <f t="shared" si="84"/>
        <v>10.704203299773607</v>
      </c>
    </row>
    <row r="123" spans="1:17" x14ac:dyDescent="0.25">
      <c r="A123">
        <f t="shared" si="71"/>
        <v>1963.0833333333301</v>
      </c>
      <c r="B123">
        <f t="shared" si="72"/>
        <v>187</v>
      </c>
      <c r="C123">
        <f t="shared" si="73"/>
        <v>183.84627835502801</v>
      </c>
      <c r="D123">
        <f t="shared" si="78"/>
        <v>-20.5</v>
      </c>
      <c r="E123">
        <f t="shared" si="79"/>
        <v>-9.0137142973579785</v>
      </c>
      <c r="F123">
        <f t="shared" si="81"/>
        <v>-1.6666666666666667</v>
      </c>
      <c r="G123">
        <f t="shared" si="82"/>
        <v>-2.0294590683238538</v>
      </c>
      <c r="H123">
        <f t="shared" ref="H123:I123" si="137">+AVERAGE(F121:F125)</f>
        <v>0.93333333333333324</v>
      </c>
      <c r="I123">
        <f t="shared" si="137"/>
        <v>0.48459683834312395</v>
      </c>
      <c r="J123">
        <f t="shared" si="75"/>
        <v>1963.0833333333301</v>
      </c>
      <c r="K123">
        <f t="shared" si="76"/>
        <v>187</v>
      </c>
      <c r="L123">
        <f t="shared" si="77"/>
        <v>183.84627835502801</v>
      </c>
      <c r="M123" s="5">
        <v>1890.0833333333301</v>
      </c>
      <c r="N123" s="5">
        <v>-105</v>
      </c>
      <c r="O123" s="5">
        <v>163.43140738644701</v>
      </c>
      <c r="Q123">
        <f t="shared" si="84"/>
        <v>0.36279240165718707</v>
      </c>
    </row>
    <row r="124" spans="1:17" x14ac:dyDescent="0.25">
      <c r="A124">
        <f t="shared" si="71"/>
        <v>1963.1666666666599</v>
      </c>
      <c r="B124">
        <f t="shared" si="72"/>
        <v>228</v>
      </c>
      <c r="C124">
        <f t="shared" si="73"/>
        <v>183.69010701388001</v>
      </c>
      <c r="D124">
        <f t="shared" si="78"/>
        <v>20.5</v>
      </c>
      <c r="E124">
        <f t="shared" si="79"/>
        <v>-7.9844978683824763</v>
      </c>
      <c r="F124">
        <f t="shared" si="81"/>
        <v>0.83333333333333337</v>
      </c>
      <c r="G124">
        <f t="shared" si="82"/>
        <v>-5.0370947770275967</v>
      </c>
      <c r="H124">
        <f t="shared" ref="H124:I124" si="138">+AVERAGE(F122:F126)</f>
        <v>3.6</v>
      </c>
      <c r="I124">
        <f t="shared" si="138"/>
        <v>6.288904234699047E-2</v>
      </c>
      <c r="J124">
        <f t="shared" si="75"/>
        <v>1963.1666666666599</v>
      </c>
      <c r="K124">
        <f t="shared" si="76"/>
        <v>228</v>
      </c>
      <c r="L124">
        <f t="shared" si="77"/>
        <v>183.69010701388001</v>
      </c>
      <c r="M124" s="5">
        <v>1890.1666666666599</v>
      </c>
      <c r="N124" s="5">
        <v>-105</v>
      </c>
      <c r="O124" s="5">
        <v>151.33467512121399</v>
      </c>
      <c r="Q124">
        <f t="shared" si="84"/>
        <v>5.8704281103609297</v>
      </c>
    </row>
    <row r="125" spans="1:17" x14ac:dyDescent="0.25">
      <c r="A125">
        <f t="shared" si="71"/>
        <v>1963.25</v>
      </c>
      <c r="B125">
        <f t="shared" si="72"/>
        <v>228</v>
      </c>
      <c r="C125">
        <f t="shared" si="73"/>
        <v>199.50293140949699</v>
      </c>
      <c r="D125">
        <f t="shared" si="78"/>
        <v>2.5</v>
      </c>
      <c r="E125">
        <f t="shared" si="79"/>
        <v>-1.8908932481130307</v>
      </c>
      <c r="F125">
        <f t="shared" si="81"/>
        <v>8.6666666666666661</v>
      </c>
      <c r="G125">
        <f t="shared" si="82"/>
        <v>-1.4254846420002651</v>
      </c>
      <c r="H125">
        <f t="shared" ref="H125:I125" si="139">+AVERAGE(F123:F127)</f>
        <v>11.466666666666665</v>
      </c>
      <c r="I125">
        <f t="shared" si="139"/>
        <v>1.9100322438265906</v>
      </c>
      <c r="J125">
        <f t="shared" si="75"/>
        <v>1963.25</v>
      </c>
      <c r="K125">
        <f t="shared" si="76"/>
        <v>228</v>
      </c>
      <c r="L125">
        <f t="shared" si="77"/>
        <v>199.50293140949699</v>
      </c>
      <c r="M125" s="5">
        <v>1890.25</v>
      </c>
      <c r="N125" s="5">
        <v>-105</v>
      </c>
      <c r="O125" s="5">
        <v>135.04368377502499</v>
      </c>
      <c r="Q125">
        <f t="shared" si="84"/>
        <v>10.092151308666931</v>
      </c>
    </row>
    <row r="126" spans="1:17" x14ac:dyDescent="0.25">
      <c r="A126">
        <f t="shared" si="71"/>
        <v>1963.3333333333301</v>
      </c>
      <c r="B126">
        <f t="shared" si="72"/>
        <v>223</v>
      </c>
      <c r="C126">
        <f t="shared" si="73"/>
        <v>219.09754230134001</v>
      </c>
      <c r="D126">
        <f t="shared" si="78"/>
        <v>3</v>
      </c>
      <c r="E126">
        <f t="shared" si="79"/>
        <v>4.5298237089945133</v>
      </c>
      <c r="F126">
        <f t="shared" si="81"/>
        <v>17</v>
      </c>
      <c r="G126">
        <f t="shared" si="82"/>
        <v>4.9356137326463951</v>
      </c>
      <c r="H126">
        <f t="shared" ref="H126:I126" si="140">+AVERAGE(F124:F128)</f>
        <v>13.133333333333335</v>
      </c>
      <c r="I126">
        <f t="shared" si="140"/>
        <v>7.2700383229458554</v>
      </c>
      <c r="J126">
        <f t="shared" si="75"/>
        <v>1963.3333333333301</v>
      </c>
      <c r="K126">
        <f t="shared" si="76"/>
        <v>223</v>
      </c>
      <c r="L126">
        <f t="shared" si="77"/>
        <v>219.09754230134001</v>
      </c>
      <c r="M126" s="5">
        <v>1890.3333333333301</v>
      </c>
      <c r="N126" s="5">
        <v>-105</v>
      </c>
      <c r="O126" s="5">
        <v>109.506121418832</v>
      </c>
      <c r="Q126">
        <f t="shared" si="84"/>
        <v>12.064386267353605</v>
      </c>
    </row>
    <row r="127" spans="1:17" x14ac:dyDescent="0.25">
      <c r="A127">
        <f t="shared" si="71"/>
        <v>1963.4166666666599</v>
      </c>
      <c r="B127">
        <f t="shared" si="72"/>
        <v>212</v>
      </c>
      <c r="C127">
        <f t="shared" si="73"/>
        <v>229.63250577519401</v>
      </c>
      <c r="D127">
        <f t="shared" si="78"/>
        <v>45.5</v>
      </c>
      <c r="E127">
        <f t="shared" si="79"/>
        <v>15.869621036542497</v>
      </c>
      <c r="F127">
        <f t="shared" si="81"/>
        <v>32.5</v>
      </c>
      <c r="G127">
        <f t="shared" si="82"/>
        <v>13.106585973838273</v>
      </c>
      <c r="H127">
        <f t="shared" ref="H127:I127" si="141">+AVERAGE(F125:F129)</f>
        <v>10.533333333333333</v>
      </c>
      <c r="I127">
        <f t="shared" si="141"/>
        <v>10.447255579868429</v>
      </c>
      <c r="J127">
        <f t="shared" si="75"/>
        <v>1963.4166666666599</v>
      </c>
      <c r="K127">
        <f t="shared" si="76"/>
        <v>212</v>
      </c>
      <c r="L127">
        <f t="shared" si="77"/>
        <v>229.63250577519401</v>
      </c>
      <c r="M127" s="5">
        <v>1890.4166666666599</v>
      </c>
      <c r="N127" s="5">
        <v>-105</v>
      </c>
      <c r="O127" s="5">
        <v>83.835566187769103</v>
      </c>
      <c r="Q127">
        <f t="shared" si="84"/>
        <v>19.393414026161729</v>
      </c>
    </row>
    <row r="128" spans="1:17" x14ac:dyDescent="0.25">
      <c r="A128">
        <f t="shared" si="71"/>
        <v>1963.5</v>
      </c>
      <c r="B128">
        <f t="shared" si="72"/>
        <v>110</v>
      </c>
      <c r="C128">
        <f t="shared" si="73"/>
        <v>208.428227175963</v>
      </c>
      <c r="D128">
        <f t="shared" si="78"/>
        <v>49</v>
      </c>
      <c r="E128">
        <f t="shared" si="79"/>
        <v>28.750252656356508</v>
      </c>
      <c r="F128">
        <f t="shared" si="81"/>
        <v>6.666666666666667</v>
      </c>
      <c r="G128">
        <f t="shared" si="82"/>
        <v>24.770571327272471</v>
      </c>
      <c r="H128">
        <f t="shared" ref="H128:I128" si="142">+AVERAGE(F126:F130)</f>
        <v>2.2999999999999998</v>
      </c>
      <c r="I128">
        <f t="shared" si="142"/>
        <v>9.6142138580836818</v>
      </c>
      <c r="J128">
        <f t="shared" si="75"/>
        <v>1963.5</v>
      </c>
      <c r="K128">
        <f t="shared" si="76"/>
        <v>110</v>
      </c>
      <c r="L128">
        <f t="shared" si="77"/>
        <v>208.428227175963</v>
      </c>
      <c r="M128" s="5">
        <v>1890.5</v>
      </c>
      <c r="N128" s="5">
        <v>-105</v>
      </c>
      <c r="O128" s="5">
        <v>1.34939121848795</v>
      </c>
      <c r="Q128">
        <f t="shared" si="84"/>
        <v>18.103904660605803</v>
      </c>
    </row>
    <row r="129" spans="1:17" x14ac:dyDescent="0.25">
      <c r="A129">
        <f t="shared" si="71"/>
        <v>1963.5833333333301</v>
      </c>
      <c r="B129">
        <f t="shared" si="72"/>
        <v>-90</v>
      </c>
      <c r="C129">
        <f t="shared" si="73"/>
        <v>129.72344326401901</v>
      </c>
      <c r="D129">
        <f t="shared" si="78"/>
        <v>-74.5</v>
      </c>
      <c r="E129">
        <f t="shared" si="79"/>
        <v>48.269768784372758</v>
      </c>
      <c r="F129">
        <f t="shared" si="81"/>
        <v>-12.166666666666666</v>
      </c>
      <c r="G129">
        <f t="shared" si="82"/>
        <v>10.848991507585268</v>
      </c>
      <c r="H129">
        <f t="shared" ref="H129:I129" si="143">+AVERAGE(F127:F131)</f>
        <v>-2.8</v>
      </c>
      <c r="I129">
        <f t="shared" si="143"/>
        <v>4.5304154333990292</v>
      </c>
      <c r="J129">
        <f t="shared" si="75"/>
        <v>1963.5833333333301</v>
      </c>
      <c r="K129">
        <f t="shared" si="76"/>
        <v>-90</v>
      </c>
      <c r="L129">
        <f t="shared" si="77"/>
        <v>129.72344326401901</v>
      </c>
      <c r="M129" s="5">
        <v>1890.5833333333301</v>
      </c>
      <c r="N129" s="5">
        <v>-105</v>
      </c>
      <c r="O129" s="5">
        <v>-62.637444402548098</v>
      </c>
      <c r="Q129">
        <f t="shared" si="84"/>
        <v>23.015658174251932</v>
      </c>
    </row>
    <row r="130" spans="1:17" x14ac:dyDescent="0.25">
      <c r="A130">
        <f t="shared" si="71"/>
        <v>1963.6666666666599</v>
      </c>
      <c r="B130">
        <f t="shared" si="72"/>
        <v>-141</v>
      </c>
      <c r="C130">
        <f t="shared" si="73"/>
        <v>-45.520878216670503</v>
      </c>
      <c r="D130">
        <f t="shared" si="78"/>
        <v>-11</v>
      </c>
      <c r="E130">
        <f t="shared" si="79"/>
        <v>-36.336303287284515</v>
      </c>
      <c r="F130">
        <f t="shared" si="81"/>
        <v>-32.5</v>
      </c>
      <c r="G130">
        <f t="shared" si="82"/>
        <v>-5.5906932509239997</v>
      </c>
      <c r="H130">
        <f t="shared" ref="H130:I130" si="144">+AVERAGE(F128:F132)</f>
        <v>-10.266666666666667</v>
      </c>
      <c r="I130">
        <f t="shared" si="144"/>
        <v>-9.3931289495066045E-2</v>
      </c>
      <c r="J130">
        <f t="shared" si="75"/>
        <v>1963.6666666666599</v>
      </c>
      <c r="K130">
        <f t="shared" si="76"/>
        <v>-141</v>
      </c>
      <c r="L130">
        <f t="shared" si="77"/>
        <v>-45.520878216670503</v>
      </c>
      <c r="M130" s="5">
        <v>1890.6666666666599</v>
      </c>
      <c r="N130" s="5">
        <v>-105</v>
      </c>
      <c r="O130" s="5">
        <v>-52.909604811636399</v>
      </c>
      <c r="Q130">
        <f t="shared" si="84"/>
        <v>26.909306749076002</v>
      </c>
    </row>
    <row r="131" spans="1:17" x14ac:dyDescent="0.25">
      <c r="A131">
        <f t="shared" si="71"/>
        <v>1963.75</v>
      </c>
      <c r="B131">
        <f t="shared" si="72"/>
        <v>-170</v>
      </c>
      <c r="C131">
        <f t="shared" si="73"/>
        <v>-148.09259312279099</v>
      </c>
      <c r="D131">
        <f t="shared" si="78"/>
        <v>-12</v>
      </c>
      <c r="E131">
        <f t="shared" si="79"/>
        <v>-32.89856518805324</v>
      </c>
      <c r="F131">
        <f t="shared" si="81"/>
        <v>-8.5</v>
      </c>
      <c r="G131">
        <f t="shared" si="82"/>
        <v>-20.483378390776867</v>
      </c>
      <c r="H131">
        <f t="shared" ref="H131:I131" si="145">+AVERAGE(F129:F133)</f>
        <v>-12.933333333333334</v>
      </c>
      <c r="I131">
        <f t="shared" si="145"/>
        <v>-5.6104322870767076</v>
      </c>
      <c r="J131">
        <f t="shared" si="75"/>
        <v>1963.75</v>
      </c>
      <c r="K131">
        <f t="shared" si="76"/>
        <v>-170</v>
      </c>
      <c r="L131">
        <f t="shared" si="77"/>
        <v>-148.09259312279099</v>
      </c>
      <c r="M131" s="5">
        <v>1890.75</v>
      </c>
      <c r="N131" s="5">
        <v>-105</v>
      </c>
      <c r="O131" s="5">
        <v>-78.833560090828499</v>
      </c>
      <c r="Q131">
        <f t="shared" si="84"/>
        <v>11.983378390776867</v>
      </c>
    </row>
    <row r="132" spans="1:17" x14ac:dyDescent="0.25">
      <c r="A132">
        <f t="shared" ref="A132:A195" si="146">+J132</f>
        <v>1963.8333333333301</v>
      </c>
      <c r="B132">
        <f t="shared" ref="B132:B195" si="147">+K132</f>
        <v>-175</v>
      </c>
      <c r="C132">
        <f t="shared" ref="C132:C195" si="148">+L132</f>
        <v>-184.867177652805</v>
      </c>
      <c r="D132">
        <f t="shared" si="78"/>
        <v>-2.5</v>
      </c>
      <c r="E132">
        <f t="shared" si="79"/>
        <v>-7.5778004900755036</v>
      </c>
      <c r="F132">
        <f t="shared" si="81"/>
        <v>-4.833333333333333</v>
      </c>
      <c r="G132">
        <f t="shared" si="82"/>
        <v>-10.015147640632204</v>
      </c>
      <c r="H132">
        <f t="shared" ref="H132:I132" si="149">+AVERAGE(F130:F134)</f>
        <v>-10.5</v>
      </c>
      <c r="I132">
        <f t="shared" si="149"/>
        <v>-8.1553994044369098</v>
      </c>
      <c r="J132">
        <f t="shared" ref="J132:J195" si="150">+$M1008</f>
        <v>1963.8333333333301</v>
      </c>
      <c r="K132">
        <f t="shared" ref="K132:K195" si="151">+$N1008</f>
        <v>-175</v>
      </c>
      <c r="L132">
        <f t="shared" ref="L132:L195" si="152">+$O1008</f>
        <v>-184.867177652805</v>
      </c>
      <c r="M132" s="5">
        <v>1890.8333333333301</v>
      </c>
      <c r="N132" s="5">
        <v>-105</v>
      </c>
      <c r="O132" s="5">
        <v>-139.627158270916</v>
      </c>
      <c r="Q132">
        <f t="shared" si="84"/>
        <v>5.1818143072988709</v>
      </c>
    </row>
    <row r="133" spans="1:17" x14ac:dyDescent="0.25">
      <c r="A133">
        <f t="shared" si="146"/>
        <v>1963.9166666666599</v>
      </c>
      <c r="B133">
        <f t="shared" si="147"/>
        <v>-175</v>
      </c>
      <c r="C133">
        <f t="shared" si="148"/>
        <v>-206.486161202668</v>
      </c>
      <c r="D133">
        <f t="shared" ref="D133:D196" si="153">+B133-1/2*(B132+B134)</f>
        <v>0</v>
      </c>
      <c r="E133">
        <f t="shared" ref="E133:E196" si="154">+C133-1/2*(C132+C134)</f>
        <v>2.9195620257579833</v>
      </c>
      <c r="F133">
        <f t="shared" si="81"/>
        <v>-6.666666666666667</v>
      </c>
      <c r="G133">
        <f t="shared" si="82"/>
        <v>-2.8119336606357366</v>
      </c>
      <c r="H133">
        <f t="shared" ref="H133:I133" si="155">+AVERAGE(F131:F135)</f>
        <v>-3.3666666666666663</v>
      </c>
      <c r="I133">
        <f t="shared" si="155"/>
        <v>-7.4973279446698964</v>
      </c>
      <c r="J133">
        <f t="shared" si="150"/>
        <v>1963.9166666666599</v>
      </c>
      <c r="K133">
        <f t="shared" si="151"/>
        <v>-175</v>
      </c>
      <c r="L133">
        <f t="shared" si="152"/>
        <v>-206.486161202668</v>
      </c>
      <c r="M133" s="5">
        <v>1890.9166666666599</v>
      </c>
      <c r="N133" s="5">
        <v>-105</v>
      </c>
      <c r="O133" s="5">
        <v>-201.94071270456899</v>
      </c>
      <c r="Q133">
        <f t="shared" si="84"/>
        <v>3.8547330060309304</v>
      </c>
    </row>
    <row r="134" spans="1:17" x14ac:dyDescent="0.25">
      <c r="A134">
        <f t="shared" si="146"/>
        <v>1964</v>
      </c>
      <c r="B134">
        <f t="shared" si="147"/>
        <v>-175</v>
      </c>
      <c r="C134">
        <f t="shared" si="148"/>
        <v>-233.944268804047</v>
      </c>
      <c r="D134">
        <f t="shared" si="153"/>
        <v>-17.5</v>
      </c>
      <c r="E134">
        <f t="shared" si="154"/>
        <v>-5.8865127630664915</v>
      </c>
      <c r="F134">
        <f t="shared" ref="F134:F197" si="156">+AVERAGE(D133:D135)</f>
        <v>0</v>
      </c>
      <c r="G134">
        <f t="shared" ref="G134:G197" si="157">+$H$1*AVERAGE(E133:E135)+$F$1</f>
        <v>-1.8758440792157369</v>
      </c>
      <c r="H134">
        <f t="shared" ref="H134:I134" si="158">+AVERAGE(F132:F136)</f>
        <v>-0.1666666666666668</v>
      </c>
      <c r="I134">
        <f t="shared" si="158"/>
        <v>-3.7902935694352684</v>
      </c>
      <c r="J134">
        <f t="shared" si="150"/>
        <v>1964</v>
      </c>
      <c r="K134">
        <f t="shared" si="151"/>
        <v>-175</v>
      </c>
      <c r="L134">
        <f t="shared" si="152"/>
        <v>-233.944268804047</v>
      </c>
      <c r="M134" s="5">
        <v>1891</v>
      </c>
      <c r="N134" s="5">
        <v>-105</v>
      </c>
      <c r="O134" s="5">
        <v>-251.02890742186099</v>
      </c>
      <c r="Q134">
        <f t="shared" ref="Q134:Q197" si="159">+ABS(F134-G134)</f>
        <v>1.8758440792157369</v>
      </c>
    </row>
    <row r="135" spans="1:17" x14ac:dyDescent="0.25">
      <c r="A135">
        <f t="shared" si="146"/>
        <v>1964.0833333333301</v>
      </c>
      <c r="B135">
        <f t="shared" si="147"/>
        <v>-140</v>
      </c>
      <c r="C135">
        <f t="shared" si="148"/>
        <v>-249.62935087929301</v>
      </c>
      <c r="D135">
        <f t="shared" si="153"/>
        <v>17.5</v>
      </c>
      <c r="E135">
        <f t="shared" si="154"/>
        <v>-4.0674645597505048</v>
      </c>
      <c r="F135">
        <f t="shared" si="156"/>
        <v>3.1666666666666665</v>
      </c>
      <c r="G135">
        <f t="shared" si="157"/>
        <v>-2.3003359520889339</v>
      </c>
      <c r="H135">
        <f t="shared" ref="H135:I135" si="160">+AVERAGE(F133:F137)</f>
        <v>0.79999999999999993</v>
      </c>
      <c r="I135">
        <f t="shared" si="160"/>
        <v>-2.3400561116786669</v>
      </c>
      <c r="J135">
        <f t="shared" si="150"/>
        <v>1964.0833333333301</v>
      </c>
      <c r="K135">
        <f t="shared" si="151"/>
        <v>-140</v>
      </c>
      <c r="L135">
        <f t="shared" si="152"/>
        <v>-249.62935087929301</v>
      </c>
      <c r="M135" s="5">
        <v>1891.0833333333301</v>
      </c>
      <c r="N135" s="5">
        <v>-105</v>
      </c>
      <c r="O135" s="5">
        <v>-274.26721649798998</v>
      </c>
      <c r="Q135">
        <f t="shared" si="159"/>
        <v>5.4670026187556005</v>
      </c>
    </row>
    <row r="136" spans="1:17" x14ac:dyDescent="0.25">
      <c r="A136">
        <f t="shared" si="146"/>
        <v>1964.1666666666599</v>
      </c>
      <c r="B136">
        <f t="shared" si="147"/>
        <v>-140</v>
      </c>
      <c r="C136">
        <f t="shared" si="148"/>
        <v>-257.17950383503802</v>
      </c>
      <c r="D136">
        <f t="shared" si="153"/>
        <v>9.5</v>
      </c>
      <c r="E136">
        <f t="shared" si="154"/>
        <v>1.3277175024834946</v>
      </c>
      <c r="F136">
        <f t="shared" si="156"/>
        <v>7.5</v>
      </c>
      <c r="G136">
        <f t="shared" si="157"/>
        <v>-1.9482065146037333</v>
      </c>
      <c r="H136">
        <f t="shared" ref="H136:I136" si="161">+AVERAGE(F134:F138)</f>
        <v>1.4</v>
      </c>
      <c r="I136">
        <f t="shared" si="161"/>
        <v>-2.5645029723873329</v>
      </c>
      <c r="J136">
        <f t="shared" si="150"/>
        <v>1964.1666666666599</v>
      </c>
      <c r="K136">
        <f t="shared" si="151"/>
        <v>-140</v>
      </c>
      <c r="L136">
        <f t="shared" si="152"/>
        <v>-257.17950383503802</v>
      </c>
      <c r="M136" s="5">
        <v>1891.1666666666599</v>
      </c>
      <c r="N136" s="5">
        <v>-105</v>
      </c>
      <c r="O136" s="5">
        <v>-284.233807913573</v>
      </c>
      <c r="Q136">
        <f t="shared" si="159"/>
        <v>9.4482065146037328</v>
      </c>
    </row>
    <row r="137" spans="1:17" x14ac:dyDescent="0.25">
      <c r="A137">
        <f t="shared" si="146"/>
        <v>1964.25</v>
      </c>
      <c r="B137">
        <f t="shared" si="147"/>
        <v>-159</v>
      </c>
      <c r="C137">
        <f t="shared" si="148"/>
        <v>-267.38509179574999</v>
      </c>
      <c r="D137">
        <f t="shared" si="153"/>
        <v>-4.5</v>
      </c>
      <c r="E137">
        <f t="shared" si="154"/>
        <v>-4.5660273724969898</v>
      </c>
      <c r="F137">
        <f t="shared" si="156"/>
        <v>0</v>
      </c>
      <c r="G137">
        <f t="shared" si="157"/>
        <v>-2.7639603518491942</v>
      </c>
      <c r="H137">
        <f t="shared" ref="H137:I137" si="162">+AVERAGE(F135:F139)</f>
        <v>0.26666666666666661</v>
      </c>
      <c r="I137">
        <f t="shared" si="162"/>
        <v>-2.8114745498519991</v>
      </c>
      <c r="J137">
        <f t="shared" si="150"/>
        <v>1964.25</v>
      </c>
      <c r="K137">
        <f t="shared" si="151"/>
        <v>-159</v>
      </c>
      <c r="L137">
        <f t="shared" si="152"/>
        <v>-267.38509179574999</v>
      </c>
      <c r="M137" s="5">
        <v>1891.25</v>
      </c>
      <c r="N137" s="5">
        <v>-105</v>
      </c>
      <c r="O137" s="5">
        <v>-289.127646436921</v>
      </c>
      <c r="Q137">
        <f t="shared" si="159"/>
        <v>2.7639603518491942</v>
      </c>
    </row>
    <row r="138" spans="1:17" x14ac:dyDescent="0.25">
      <c r="A138">
        <f t="shared" si="146"/>
        <v>1964.3333333333301</v>
      </c>
      <c r="B138">
        <f t="shared" si="147"/>
        <v>-169</v>
      </c>
      <c r="C138">
        <f t="shared" si="148"/>
        <v>-268.45862501146797</v>
      </c>
      <c r="D138">
        <f t="shared" si="153"/>
        <v>-5</v>
      </c>
      <c r="E138">
        <f t="shared" si="154"/>
        <v>-7.1265414494209836</v>
      </c>
      <c r="F138">
        <f t="shared" si="156"/>
        <v>-3.6666666666666665</v>
      </c>
      <c r="G138">
        <f t="shared" si="157"/>
        <v>-3.9341679641790659</v>
      </c>
      <c r="H138">
        <f t="shared" ref="H138:I138" si="163">+AVERAGE(F136:F140)</f>
        <v>-0.7</v>
      </c>
      <c r="I138">
        <f t="shared" si="163"/>
        <v>-2.2975008103172527</v>
      </c>
      <c r="J138">
        <f t="shared" si="150"/>
        <v>1964.3333333333301</v>
      </c>
      <c r="K138">
        <f t="shared" si="151"/>
        <v>-169</v>
      </c>
      <c r="L138">
        <f t="shared" si="152"/>
        <v>-268.45862501146797</v>
      </c>
      <c r="M138" s="5">
        <v>1891.3333333333301</v>
      </c>
      <c r="N138" s="5">
        <v>-105</v>
      </c>
      <c r="O138" s="5">
        <v>-281.77014005751801</v>
      </c>
      <c r="Q138">
        <f t="shared" si="159"/>
        <v>0.26750129751239937</v>
      </c>
    </row>
    <row r="139" spans="1:17" x14ac:dyDescent="0.25">
      <c r="A139">
        <f t="shared" si="146"/>
        <v>1964.4166666666599</v>
      </c>
      <c r="B139">
        <f t="shared" si="147"/>
        <v>-169</v>
      </c>
      <c r="C139">
        <f t="shared" si="148"/>
        <v>-255.27907532834399</v>
      </c>
      <c r="D139">
        <f t="shared" si="153"/>
        <v>-1.5</v>
      </c>
      <c r="E139">
        <f t="shared" si="154"/>
        <v>-3.0605610437535233</v>
      </c>
      <c r="F139">
        <f t="shared" si="156"/>
        <v>-5.666666666666667</v>
      </c>
      <c r="G139">
        <f t="shared" si="157"/>
        <v>-3.1107019665390681</v>
      </c>
      <c r="H139">
        <f t="shared" ref="H139:I139" si="164">+AVERAGE(F137:F141)</f>
        <v>-1.9333333333333331</v>
      </c>
      <c r="I139">
        <f t="shared" si="164"/>
        <v>-1.3183248014466122</v>
      </c>
      <c r="J139">
        <f t="shared" si="150"/>
        <v>1964.4166666666599</v>
      </c>
      <c r="K139">
        <f t="shared" si="151"/>
        <v>-169</v>
      </c>
      <c r="L139">
        <f t="shared" si="152"/>
        <v>-255.27907532834399</v>
      </c>
      <c r="M139" s="5">
        <v>1891.4166666666599</v>
      </c>
      <c r="N139" s="5">
        <v>-105</v>
      </c>
      <c r="O139" s="5">
        <v>-257.42815022394097</v>
      </c>
      <c r="Q139">
        <f t="shared" si="159"/>
        <v>2.5559647001275989</v>
      </c>
    </row>
    <row r="140" spans="1:17" x14ac:dyDescent="0.25">
      <c r="A140">
        <f t="shared" si="146"/>
        <v>1964.5</v>
      </c>
      <c r="B140">
        <f t="shared" si="147"/>
        <v>-166</v>
      </c>
      <c r="C140">
        <f t="shared" si="148"/>
        <v>-235.97840355771299</v>
      </c>
      <c r="D140">
        <f t="shared" si="153"/>
        <v>-10.5</v>
      </c>
      <c r="E140">
        <f t="shared" si="154"/>
        <v>-1.4780298813469983</v>
      </c>
      <c r="F140">
        <f t="shared" si="156"/>
        <v>-1.6666666666666667</v>
      </c>
      <c r="G140">
        <f t="shared" si="157"/>
        <v>0.26953274558479734</v>
      </c>
      <c r="H140">
        <f t="shared" ref="H140:I140" si="165">+AVERAGE(F138:F142)</f>
        <v>-1.5333333333333332</v>
      </c>
      <c r="I140">
        <f t="shared" si="165"/>
        <v>-0.71826827488397149</v>
      </c>
      <c r="J140">
        <f t="shared" si="150"/>
        <v>1964.5</v>
      </c>
      <c r="K140">
        <f t="shared" si="151"/>
        <v>-166</v>
      </c>
      <c r="L140">
        <f t="shared" si="152"/>
        <v>-235.97840355771299</v>
      </c>
      <c r="M140" s="5">
        <v>1891.5</v>
      </c>
      <c r="N140" s="5">
        <v>-105</v>
      </c>
      <c r="O140" s="5">
        <v>-222.672047920495</v>
      </c>
      <c r="Q140">
        <f t="shared" si="159"/>
        <v>1.9361994122514641</v>
      </c>
    </row>
    <row r="141" spans="1:17" x14ac:dyDescent="0.25">
      <c r="A141">
        <f t="shared" si="146"/>
        <v>1964.5833333333301</v>
      </c>
      <c r="B141">
        <f t="shared" si="147"/>
        <v>-142</v>
      </c>
      <c r="C141">
        <f t="shared" si="148"/>
        <v>-213.721672024388</v>
      </c>
      <c r="D141">
        <f t="shared" si="153"/>
        <v>7</v>
      </c>
      <c r="E141">
        <f t="shared" si="154"/>
        <v>5.5493387210435117</v>
      </c>
      <c r="F141">
        <f t="shared" si="156"/>
        <v>1.3333333333333333</v>
      </c>
      <c r="G141">
        <f t="shared" si="157"/>
        <v>2.9476735297494696</v>
      </c>
      <c r="H141">
        <f t="shared" ref="H141:I141" si="166">+AVERAGE(F139:F143)</f>
        <v>-0.50000000000000022</v>
      </c>
      <c r="I141">
        <f t="shared" si="166"/>
        <v>-0.86630070623143784</v>
      </c>
      <c r="J141">
        <f t="shared" si="150"/>
        <v>1964.5833333333301</v>
      </c>
      <c r="K141">
        <f t="shared" si="151"/>
        <v>-142</v>
      </c>
      <c r="L141">
        <f t="shared" si="152"/>
        <v>-213.721672024388</v>
      </c>
      <c r="M141" s="5">
        <v>1891.5833333333301</v>
      </c>
      <c r="N141" s="5">
        <v>-105</v>
      </c>
      <c r="O141" s="5">
        <v>-182.65100508692299</v>
      </c>
      <c r="Q141">
        <f t="shared" si="159"/>
        <v>1.6143401964161364</v>
      </c>
    </row>
    <row r="142" spans="1:17" x14ac:dyDescent="0.25">
      <c r="A142">
        <f t="shared" si="146"/>
        <v>1964.6666666666599</v>
      </c>
      <c r="B142">
        <f t="shared" si="147"/>
        <v>-132</v>
      </c>
      <c r="C142">
        <f t="shared" si="148"/>
        <v>-202.56361793315</v>
      </c>
      <c r="D142">
        <f t="shared" si="153"/>
        <v>7.5</v>
      </c>
      <c r="E142">
        <f t="shared" si="154"/>
        <v>6.9824668968639969</v>
      </c>
      <c r="F142">
        <f t="shared" si="156"/>
        <v>2</v>
      </c>
      <c r="G142">
        <f t="shared" si="157"/>
        <v>0.23632228096400923</v>
      </c>
      <c r="H142">
        <f t="shared" ref="H142:I142" si="167">+AVERAGE(F140:F144)</f>
        <v>0.33333333333333331</v>
      </c>
      <c r="I142">
        <f t="shared" si="167"/>
        <v>-1.1482360742409294</v>
      </c>
      <c r="J142">
        <f t="shared" si="150"/>
        <v>1964.6666666666599</v>
      </c>
      <c r="K142">
        <f t="shared" si="151"/>
        <v>-132</v>
      </c>
      <c r="L142">
        <f t="shared" si="152"/>
        <v>-202.56361793315</v>
      </c>
      <c r="M142" s="5">
        <v>1891.6666666666599</v>
      </c>
      <c r="N142" s="5">
        <v>-105</v>
      </c>
      <c r="O142" s="5">
        <v>-146.36410182355201</v>
      </c>
      <c r="Q142">
        <f t="shared" si="159"/>
        <v>1.7636777190359907</v>
      </c>
    </row>
    <row r="143" spans="1:17" x14ac:dyDescent="0.25">
      <c r="A143">
        <f t="shared" si="146"/>
        <v>1964.75</v>
      </c>
      <c r="B143">
        <f t="shared" si="147"/>
        <v>-137</v>
      </c>
      <c r="C143">
        <f t="shared" si="148"/>
        <v>-205.37049763563999</v>
      </c>
      <c r="D143">
        <f t="shared" si="153"/>
        <v>-8.5</v>
      </c>
      <c r="E143">
        <f t="shared" si="154"/>
        <v>-11.645597064292474</v>
      </c>
      <c r="F143">
        <f t="shared" si="156"/>
        <v>1.5</v>
      </c>
      <c r="G143">
        <f t="shared" si="157"/>
        <v>-4.6743301209163972</v>
      </c>
      <c r="H143">
        <f t="shared" ref="H143:I143" si="168">+AVERAGE(F141:F145)</f>
        <v>0.79999999999999993</v>
      </c>
      <c r="I143">
        <f t="shared" si="168"/>
        <v>-1.0649107083454372</v>
      </c>
      <c r="J143">
        <f t="shared" si="150"/>
        <v>1964.75</v>
      </c>
      <c r="K143">
        <f t="shared" si="151"/>
        <v>-137</v>
      </c>
      <c r="L143">
        <f t="shared" si="152"/>
        <v>-205.37049763563999</v>
      </c>
      <c r="M143" s="5">
        <v>1891.75</v>
      </c>
      <c r="N143" s="5">
        <v>-105</v>
      </c>
      <c r="O143" s="5">
        <v>-90.5392873560087</v>
      </c>
      <c r="Q143">
        <f t="shared" si="159"/>
        <v>6.1743301209163972</v>
      </c>
    </row>
    <row r="144" spans="1:17" x14ac:dyDescent="0.25">
      <c r="A144">
        <f t="shared" si="146"/>
        <v>1964.8333333333301</v>
      </c>
      <c r="B144">
        <f t="shared" si="147"/>
        <v>-125</v>
      </c>
      <c r="C144">
        <f t="shared" si="148"/>
        <v>-184.88618320954501</v>
      </c>
      <c r="D144">
        <f t="shared" si="153"/>
        <v>5.5</v>
      </c>
      <c r="E144">
        <f t="shared" si="154"/>
        <v>-12.865607786008013</v>
      </c>
      <c r="F144">
        <f t="shared" si="156"/>
        <v>-1.5</v>
      </c>
      <c r="G144">
        <f t="shared" si="157"/>
        <v>-4.5203788065865265</v>
      </c>
      <c r="H144">
        <f t="shared" ref="H144:I144" si="169">+AVERAGE(F142:F146)</f>
        <v>-6.6666666666666693E-2</v>
      </c>
      <c r="I144">
        <f t="shared" si="169"/>
        <v>-4.6165424721274204E-2</v>
      </c>
      <c r="J144">
        <f t="shared" si="150"/>
        <v>1964.8333333333301</v>
      </c>
      <c r="K144">
        <f t="shared" si="151"/>
        <v>-125</v>
      </c>
      <c r="L144">
        <f t="shared" si="152"/>
        <v>-184.88618320954501</v>
      </c>
      <c r="M144" s="5">
        <v>1891.8333333333301</v>
      </c>
      <c r="N144" s="5">
        <v>-105</v>
      </c>
      <c r="O144" s="5">
        <v>93.900612979098696</v>
      </c>
      <c r="Q144">
        <f t="shared" si="159"/>
        <v>3.0203788065865265</v>
      </c>
    </row>
    <row r="145" spans="1:17" x14ac:dyDescent="0.25">
      <c r="A145">
        <f t="shared" si="146"/>
        <v>1964.9166666666599</v>
      </c>
      <c r="B145">
        <f t="shared" si="147"/>
        <v>-124</v>
      </c>
      <c r="C145">
        <f t="shared" si="148"/>
        <v>-138.670653211434</v>
      </c>
      <c r="D145">
        <f t="shared" si="153"/>
        <v>-1.5</v>
      </c>
      <c r="E145">
        <f t="shared" si="154"/>
        <v>7.5597843256010151</v>
      </c>
      <c r="F145">
        <f t="shared" si="156"/>
        <v>0.66666666666666663</v>
      </c>
      <c r="G145">
        <f t="shared" si="157"/>
        <v>0.686159575062258</v>
      </c>
      <c r="H145">
        <f t="shared" ref="H145:I145" si="170">+AVERAGE(F143:F147)</f>
        <v>-1.1666666666666667</v>
      </c>
      <c r="I145">
        <f t="shared" si="170"/>
        <v>0.77614495892152513</v>
      </c>
      <c r="J145">
        <f t="shared" si="150"/>
        <v>1964.9166666666599</v>
      </c>
      <c r="K145">
        <f t="shared" si="151"/>
        <v>-124</v>
      </c>
      <c r="L145">
        <f t="shared" si="152"/>
        <v>-138.670653211434</v>
      </c>
      <c r="M145" s="5">
        <v>1891.9166666666599</v>
      </c>
      <c r="N145" s="5">
        <v>-105</v>
      </c>
      <c r="O145" s="5">
        <v>173.23102930132501</v>
      </c>
      <c r="Q145">
        <f t="shared" si="159"/>
        <v>1.9492908395591368E-2</v>
      </c>
    </row>
    <row r="146" spans="1:17" x14ac:dyDescent="0.25">
      <c r="A146">
        <f t="shared" si="146"/>
        <v>1965</v>
      </c>
      <c r="B146">
        <f t="shared" si="147"/>
        <v>-120</v>
      </c>
      <c r="C146">
        <f t="shared" si="148"/>
        <v>-107.57469186452499</v>
      </c>
      <c r="D146">
        <f t="shared" si="153"/>
        <v>-2</v>
      </c>
      <c r="E146">
        <f t="shared" si="154"/>
        <v>7.8789218668904653</v>
      </c>
      <c r="F146">
        <f t="shared" si="156"/>
        <v>-3</v>
      </c>
      <c r="G146">
        <f t="shared" si="157"/>
        <v>8.0413999478702873</v>
      </c>
      <c r="H146">
        <f t="shared" ref="H146:I146" si="171">+AVERAGE(F144:F148)</f>
        <v>-5.2</v>
      </c>
      <c r="I146">
        <f t="shared" si="171"/>
        <v>-1.5687667780920331</v>
      </c>
      <c r="J146">
        <f t="shared" si="150"/>
        <v>1965</v>
      </c>
      <c r="K146">
        <f t="shared" si="151"/>
        <v>-120</v>
      </c>
      <c r="L146">
        <f t="shared" si="152"/>
        <v>-107.57469186452499</v>
      </c>
      <c r="M146" s="5">
        <v>1892</v>
      </c>
      <c r="N146" s="5">
        <v>-105</v>
      </c>
      <c r="O146" s="5">
        <v>181.29942331764701</v>
      </c>
      <c r="Q146">
        <f t="shared" si="159"/>
        <v>11.041399947870287</v>
      </c>
    </row>
    <row r="147" spans="1:17" x14ac:dyDescent="0.25">
      <c r="A147">
        <f t="shared" si="146"/>
        <v>1965.0833333333301</v>
      </c>
      <c r="B147">
        <f t="shared" si="147"/>
        <v>-112</v>
      </c>
      <c r="C147">
        <f t="shared" si="148"/>
        <v>-92.236574251396902</v>
      </c>
      <c r="D147">
        <f t="shared" si="153"/>
        <v>-5.5</v>
      </c>
      <c r="E147">
        <f t="shared" si="154"/>
        <v>14.716543612022093</v>
      </c>
      <c r="F147">
        <f t="shared" si="156"/>
        <v>-3.5</v>
      </c>
      <c r="G147">
        <f t="shared" si="157"/>
        <v>4.3478741991780039</v>
      </c>
      <c r="H147">
        <f t="shared" ref="H147:I147" si="172">+AVERAGE(F145:F149)</f>
        <v>-7.1</v>
      </c>
      <c r="I147">
        <f t="shared" si="172"/>
        <v>-4.3305089061669317</v>
      </c>
      <c r="J147">
        <f t="shared" si="150"/>
        <v>1965.0833333333301</v>
      </c>
      <c r="K147">
        <f t="shared" si="151"/>
        <v>-112</v>
      </c>
      <c r="L147">
        <f t="shared" si="152"/>
        <v>-92.236574251396902</v>
      </c>
      <c r="M147" s="5">
        <v>1892.0833333333301</v>
      </c>
      <c r="N147" s="5">
        <v>-105</v>
      </c>
      <c r="O147" s="5">
        <v>171.23005762549599</v>
      </c>
      <c r="Q147">
        <f t="shared" si="159"/>
        <v>7.8478741991780039</v>
      </c>
    </row>
    <row r="148" spans="1:17" x14ac:dyDescent="0.25">
      <c r="A148">
        <f t="shared" si="146"/>
        <v>1965.1666666666599</v>
      </c>
      <c r="B148">
        <f t="shared" si="147"/>
        <v>-93</v>
      </c>
      <c r="C148">
        <f t="shared" si="148"/>
        <v>-106.331543862313</v>
      </c>
      <c r="D148">
        <f t="shared" si="153"/>
        <v>-3</v>
      </c>
      <c r="E148">
        <f t="shared" si="154"/>
        <v>-6.290937231995045</v>
      </c>
      <c r="F148">
        <f t="shared" si="156"/>
        <v>-18.666666666666668</v>
      </c>
      <c r="G148">
        <f t="shared" si="157"/>
        <v>-16.398888805984189</v>
      </c>
      <c r="H148">
        <f t="shared" ref="H148:I148" si="173">+AVERAGE(F146:F150)</f>
        <v>-7.2666666666666675</v>
      </c>
      <c r="I148">
        <f t="shared" si="173"/>
        <v>-5.4034585979435166</v>
      </c>
      <c r="J148">
        <f t="shared" si="150"/>
        <v>1965.1666666666599</v>
      </c>
      <c r="K148">
        <f t="shared" si="151"/>
        <v>-93</v>
      </c>
      <c r="L148">
        <f t="shared" si="152"/>
        <v>-106.331543862313</v>
      </c>
      <c r="M148" s="5">
        <v>1892.1666666666599</v>
      </c>
      <c r="N148" s="5">
        <v>-105</v>
      </c>
      <c r="O148" s="5">
        <v>157.55330671210399</v>
      </c>
      <c r="Q148">
        <f t="shared" si="159"/>
        <v>2.2677778606824788</v>
      </c>
    </row>
    <row r="149" spans="1:17" x14ac:dyDescent="0.25">
      <c r="A149">
        <f t="shared" si="146"/>
        <v>1965.25</v>
      </c>
      <c r="B149">
        <f t="shared" si="147"/>
        <v>-68</v>
      </c>
      <c r="C149">
        <f t="shared" si="148"/>
        <v>-107.844639009239</v>
      </c>
      <c r="D149">
        <f t="shared" si="153"/>
        <v>-47.5</v>
      </c>
      <c r="E149">
        <f t="shared" si="154"/>
        <v>-69.921439402467755</v>
      </c>
      <c r="F149">
        <f t="shared" si="156"/>
        <v>-11</v>
      </c>
      <c r="G149">
        <f t="shared" si="157"/>
        <v>-18.329089446961017</v>
      </c>
      <c r="H149">
        <f t="shared" ref="H149:I149" si="174">+AVERAGE(F147:F151)</f>
        <v>-3.3000000000000007</v>
      </c>
      <c r="I149">
        <f t="shared" si="174"/>
        <v>-3.5716975270031881</v>
      </c>
      <c r="J149">
        <f t="shared" si="150"/>
        <v>1965.25</v>
      </c>
      <c r="K149">
        <f t="shared" si="151"/>
        <v>-68</v>
      </c>
      <c r="L149">
        <f t="shared" si="152"/>
        <v>-107.844639009239</v>
      </c>
      <c r="M149" s="5">
        <v>1892.25</v>
      </c>
      <c r="N149" s="5">
        <v>-105</v>
      </c>
      <c r="O149" s="5">
        <v>165.70701248992501</v>
      </c>
      <c r="Q149">
        <f t="shared" si="159"/>
        <v>7.3290894469610173</v>
      </c>
    </row>
    <row r="150" spans="1:17" x14ac:dyDescent="0.25">
      <c r="A150">
        <f t="shared" si="146"/>
        <v>1965.3333333333301</v>
      </c>
      <c r="B150">
        <f t="shared" si="147"/>
        <v>52</v>
      </c>
      <c r="C150">
        <f t="shared" si="148"/>
        <v>30.4851446487705</v>
      </c>
      <c r="D150">
        <f t="shared" si="153"/>
        <v>17.5</v>
      </c>
      <c r="E150">
        <f t="shared" si="154"/>
        <v>7.4782912083590034</v>
      </c>
      <c r="F150">
        <f t="shared" si="156"/>
        <v>-0.16666666666666666</v>
      </c>
      <c r="G150">
        <f t="shared" si="157"/>
        <v>-4.6785888838206668</v>
      </c>
      <c r="H150">
        <f t="shared" ref="H150:I150" si="175">+AVERAGE(F148:F152)</f>
        <v>9.9999999999999284E-2</v>
      </c>
      <c r="I150">
        <f t="shared" si="175"/>
        <v>-1.1142629033268556</v>
      </c>
      <c r="J150">
        <f t="shared" si="150"/>
        <v>1965.3333333333301</v>
      </c>
      <c r="K150">
        <f t="shared" si="151"/>
        <v>52</v>
      </c>
      <c r="L150">
        <f t="shared" si="152"/>
        <v>30.4851446487705</v>
      </c>
      <c r="M150" s="5">
        <v>1892.3333333333301</v>
      </c>
      <c r="N150" s="5">
        <v>-105</v>
      </c>
      <c r="O150" s="5">
        <v>204.44344481709501</v>
      </c>
      <c r="Q150">
        <f t="shared" si="159"/>
        <v>4.5119222171539999</v>
      </c>
    </row>
    <row r="151" spans="1:17" x14ac:dyDescent="0.25">
      <c r="A151">
        <f t="shared" si="146"/>
        <v>1965.4166666666599</v>
      </c>
      <c r="B151">
        <f t="shared" si="147"/>
        <v>137</v>
      </c>
      <c r="C151">
        <f t="shared" si="148"/>
        <v>153.858345890062</v>
      </c>
      <c r="D151">
        <f t="shared" si="153"/>
        <v>29.5</v>
      </c>
      <c r="E151">
        <f t="shared" si="154"/>
        <v>44.89843987978125</v>
      </c>
      <c r="F151">
        <f t="shared" si="156"/>
        <v>16.833333333333332</v>
      </c>
      <c r="G151">
        <f t="shared" si="157"/>
        <v>17.200205302571931</v>
      </c>
      <c r="H151">
        <f t="shared" ref="H151:I151" si="176">+AVERAGE(F149:F153)</f>
        <v>3.7666666666666666</v>
      </c>
      <c r="I151">
        <f t="shared" si="176"/>
        <v>2.8811035004459815</v>
      </c>
      <c r="J151">
        <f t="shared" si="150"/>
        <v>1965.4166666666599</v>
      </c>
      <c r="K151">
        <f t="shared" si="151"/>
        <v>137</v>
      </c>
      <c r="L151">
        <f t="shared" si="152"/>
        <v>153.858345890062</v>
      </c>
      <c r="M151" s="5">
        <v>1892.4166666666599</v>
      </c>
      <c r="N151" s="5">
        <v>-105</v>
      </c>
      <c r="O151" s="5">
        <v>224.26535050440901</v>
      </c>
      <c r="Q151">
        <f t="shared" si="159"/>
        <v>0.36687196923859844</v>
      </c>
    </row>
    <row r="152" spans="1:17" x14ac:dyDescent="0.25">
      <c r="A152">
        <f t="shared" si="146"/>
        <v>1965.5</v>
      </c>
      <c r="B152">
        <f t="shared" si="147"/>
        <v>163</v>
      </c>
      <c r="C152">
        <f t="shared" si="148"/>
        <v>187.43466737179099</v>
      </c>
      <c r="D152">
        <f t="shared" si="153"/>
        <v>3.5</v>
      </c>
      <c r="E152">
        <f t="shared" si="154"/>
        <v>12.124038796504493</v>
      </c>
      <c r="F152">
        <f t="shared" si="156"/>
        <v>13.5</v>
      </c>
      <c r="G152">
        <f t="shared" si="157"/>
        <v>16.635047317559664</v>
      </c>
      <c r="H152">
        <f t="shared" ref="H152:I152" si="177">+AVERAGE(F150:F154)</f>
        <v>6.5333333333333332</v>
      </c>
      <c r="I152">
        <f t="shared" si="177"/>
        <v>6.3688331286168252</v>
      </c>
      <c r="J152">
        <f t="shared" si="150"/>
        <v>1965.5</v>
      </c>
      <c r="K152">
        <f t="shared" si="151"/>
        <v>163</v>
      </c>
      <c r="L152">
        <f t="shared" si="152"/>
        <v>187.43466737179099</v>
      </c>
      <c r="M152" s="5">
        <v>1892.5</v>
      </c>
      <c r="N152" s="5">
        <v>-105</v>
      </c>
      <c r="O152" s="5">
        <v>219.72912581767201</v>
      </c>
      <c r="Q152">
        <f t="shared" si="159"/>
        <v>3.135047317559664</v>
      </c>
    </row>
    <row r="153" spans="1:17" x14ac:dyDescent="0.25">
      <c r="A153">
        <f t="shared" si="146"/>
        <v>1965.5833333333301</v>
      </c>
      <c r="B153">
        <f t="shared" si="147"/>
        <v>182</v>
      </c>
      <c r="C153">
        <f t="shared" si="148"/>
        <v>196.762911260511</v>
      </c>
      <c r="D153">
        <f t="shared" si="153"/>
        <v>7.5</v>
      </c>
      <c r="E153">
        <f t="shared" si="154"/>
        <v>5.3589487645629958</v>
      </c>
      <c r="F153">
        <f t="shared" si="156"/>
        <v>-0.33333333333333331</v>
      </c>
      <c r="G153">
        <f t="shared" si="157"/>
        <v>3.5779432128799957</v>
      </c>
      <c r="H153">
        <f t="shared" ref="H153:I153" si="178">+AVERAGE(F151:F155)</f>
        <v>6.4333333333333345</v>
      </c>
      <c r="I153">
        <f t="shared" si="178"/>
        <v>7.412616158819759</v>
      </c>
      <c r="J153">
        <f t="shared" si="150"/>
        <v>1965.5833333333301</v>
      </c>
      <c r="K153">
        <f t="shared" si="151"/>
        <v>182</v>
      </c>
      <c r="L153">
        <f t="shared" si="152"/>
        <v>196.762911260511</v>
      </c>
      <c r="M153" s="5">
        <v>1892.5833333333301</v>
      </c>
      <c r="N153" s="5">
        <v>-105</v>
      </c>
      <c r="O153" s="5">
        <v>200.83840658118601</v>
      </c>
      <c r="Q153">
        <f t="shared" si="159"/>
        <v>3.9112765462133292</v>
      </c>
    </row>
    <row r="154" spans="1:17" x14ac:dyDescent="0.25">
      <c r="A154">
        <f t="shared" si="146"/>
        <v>1965.6666666666599</v>
      </c>
      <c r="B154">
        <f t="shared" si="147"/>
        <v>186</v>
      </c>
      <c r="C154">
        <f t="shared" si="148"/>
        <v>195.37325762010499</v>
      </c>
      <c r="D154">
        <f t="shared" si="153"/>
        <v>-12</v>
      </c>
      <c r="E154">
        <f t="shared" si="154"/>
        <v>-4.0657005127675063</v>
      </c>
      <c r="F154">
        <f t="shared" si="156"/>
        <v>2.8333333333333335</v>
      </c>
      <c r="G154">
        <f t="shared" si="157"/>
        <v>-0.89044130610679995</v>
      </c>
      <c r="H154">
        <f t="shared" ref="H154:I154" si="179">+AVERAGE(F152:F156)</f>
        <v>4</v>
      </c>
      <c r="I154">
        <f t="shared" si="179"/>
        <v>5.1128824621204938</v>
      </c>
      <c r="J154">
        <f t="shared" si="150"/>
        <v>1965.6666666666599</v>
      </c>
      <c r="K154">
        <f t="shared" si="151"/>
        <v>186</v>
      </c>
      <c r="L154">
        <f t="shared" si="152"/>
        <v>195.37325762010499</v>
      </c>
      <c r="M154" s="5">
        <v>1892.6666666666599</v>
      </c>
      <c r="N154" s="5">
        <v>-105</v>
      </c>
      <c r="O154" s="5">
        <v>160.68896623272099</v>
      </c>
      <c r="Q154">
        <f t="shared" si="159"/>
        <v>3.7237746394401334</v>
      </c>
    </row>
    <row r="155" spans="1:17" x14ac:dyDescent="0.25">
      <c r="A155">
        <f t="shared" si="146"/>
        <v>1965.75</v>
      </c>
      <c r="B155">
        <f t="shared" si="147"/>
        <v>214</v>
      </c>
      <c r="C155">
        <f t="shared" si="148"/>
        <v>202.115005005234</v>
      </c>
      <c r="D155">
        <f t="shared" si="153"/>
        <v>13</v>
      </c>
      <c r="E155">
        <f t="shared" si="154"/>
        <v>-4.632403149695989</v>
      </c>
      <c r="F155">
        <f t="shared" si="156"/>
        <v>-0.66666666666666663</v>
      </c>
      <c r="G155">
        <f t="shared" si="157"/>
        <v>0.54032626719400312</v>
      </c>
      <c r="H155">
        <f t="shared" ref="H155:I155" si="180">+AVERAGE(F153:F157)</f>
        <v>2.2666666666666666</v>
      </c>
      <c r="I155">
        <f t="shared" si="180"/>
        <v>3.9791770673783744</v>
      </c>
      <c r="J155">
        <f t="shared" si="150"/>
        <v>1965.75</v>
      </c>
      <c r="K155">
        <f t="shared" si="151"/>
        <v>214</v>
      </c>
      <c r="L155">
        <f t="shared" si="152"/>
        <v>202.115005005234</v>
      </c>
      <c r="M155" s="5">
        <v>1892.75</v>
      </c>
      <c r="N155" s="5">
        <v>-105</v>
      </c>
      <c r="O155" s="5">
        <v>100.540126967731</v>
      </c>
      <c r="Q155">
        <f t="shared" si="159"/>
        <v>1.2069929338606697</v>
      </c>
    </row>
    <row r="156" spans="1:17" x14ac:dyDescent="0.25">
      <c r="A156">
        <f t="shared" si="146"/>
        <v>1965.8333333333301</v>
      </c>
      <c r="B156">
        <f t="shared" si="147"/>
        <v>216</v>
      </c>
      <c r="C156">
        <f t="shared" si="148"/>
        <v>218.12155868975501</v>
      </c>
      <c r="D156">
        <f t="shared" si="153"/>
        <v>-3</v>
      </c>
      <c r="E156">
        <f t="shared" si="154"/>
        <v>10.724327164441007</v>
      </c>
      <c r="F156">
        <f t="shared" si="156"/>
        <v>4.666666666666667</v>
      </c>
      <c r="G156">
        <f t="shared" si="157"/>
        <v>5.7015368190756064</v>
      </c>
      <c r="H156">
        <f t="shared" ref="H156:I156" si="181">+AVERAGE(F154:F158)</f>
        <v>5.7666666666666675</v>
      </c>
      <c r="I156">
        <f t="shared" si="181"/>
        <v>7.5825230519112354</v>
      </c>
      <c r="J156">
        <f t="shared" si="150"/>
        <v>1965.8333333333301</v>
      </c>
      <c r="K156">
        <f t="shared" si="151"/>
        <v>216</v>
      </c>
      <c r="L156">
        <f t="shared" si="152"/>
        <v>218.12155868975501</v>
      </c>
      <c r="M156" s="5">
        <v>1892.8333333333301</v>
      </c>
      <c r="N156" s="5">
        <v>-105</v>
      </c>
      <c r="O156" s="5">
        <v>13.7129204883153</v>
      </c>
      <c r="Q156">
        <f t="shared" si="159"/>
        <v>1.0348701524089394</v>
      </c>
    </row>
    <row r="157" spans="1:17" x14ac:dyDescent="0.25">
      <c r="A157">
        <f t="shared" si="146"/>
        <v>1965.9166666666599</v>
      </c>
      <c r="B157">
        <f t="shared" si="147"/>
        <v>224</v>
      </c>
      <c r="C157">
        <f t="shared" si="148"/>
        <v>212.679458045394</v>
      </c>
      <c r="D157">
        <f t="shared" si="153"/>
        <v>4</v>
      </c>
      <c r="E157">
        <f t="shared" si="154"/>
        <v>15.288839056788504</v>
      </c>
      <c r="F157">
        <f t="shared" si="156"/>
        <v>4.833333333333333</v>
      </c>
      <c r="G157">
        <f t="shared" si="157"/>
        <v>10.966520343849069</v>
      </c>
      <c r="H157">
        <f t="shared" ref="H157:I157" si="182">+AVERAGE(F155:F159)</f>
        <v>9.7666666666666657</v>
      </c>
      <c r="I157">
        <f t="shared" si="182"/>
        <v>9.5839396618533907</v>
      </c>
      <c r="J157">
        <f t="shared" si="150"/>
        <v>1965.9166666666599</v>
      </c>
      <c r="K157">
        <f t="shared" si="151"/>
        <v>224</v>
      </c>
      <c r="L157">
        <f t="shared" si="152"/>
        <v>212.679458045394</v>
      </c>
      <c r="M157" s="5">
        <v>1892.9166666666599</v>
      </c>
      <c r="N157" s="5">
        <v>-105</v>
      </c>
      <c r="O157" s="5">
        <v>-142.45305792532699</v>
      </c>
      <c r="Q157">
        <f t="shared" si="159"/>
        <v>6.1331870105157362</v>
      </c>
    </row>
    <row r="158" spans="1:17" x14ac:dyDescent="0.25">
      <c r="A158">
        <f t="shared" si="146"/>
        <v>1966</v>
      </c>
      <c r="B158">
        <f t="shared" si="147"/>
        <v>224</v>
      </c>
      <c r="C158">
        <f t="shared" si="148"/>
        <v>176.65967928745599</v>
      </c>
      <c r="D158">
        <f t="shared" si="153"/>
        <v>13.5</v>
      </c>
      <c r="E158">
        <f t="shared" si="154"/>
        <v>15.111285068204495</v>
      </c>
      <c r="F158">
        <f t="shared" si="156"/>
        <v>17.166666666666668</v>
      </c>
      <c r="G158">
        <f t="shared" si="157"/>
        <v>21.594673135544298</v>
      </c>
      <c r="H158">
        <f t="shared" ref="H158:I158" si="183">+AVERAGE(F156:F160)</f>
        <v>13.233333333333334</v>
      </c>
      <c r="I158">
        <f t="shared" si="183"/>
        <v>8.5996302517456318</v>
      </c>
      <c r="J158">
        <f t="shared" si="150"/>
        <v>1966</v>
      </c>
      <c r="K158">
        <f t="shared" si="151"/>
        <v>224</v>
      </c>
      <c r="L158">
        <f t="shared" si="152"/>
        <v>176.65967928745599</v>
      </c>
      <c r="M158" s="5">
        <v>1893</v>
      </c>
      <c r="N158" s="5">
        <v>-105</v>
      </c>
      <c r="O158" s="5">
        <v>-217.25617881767201</v>
      </c>
      <c r="Q158">
        <f t="shared" si="159"/>
        <v>4.4280064688776299</v>
      </c>
    </row>
    <row r="159" spans="1:17" x14ac:dyDescent="0.25">
      <c r="A159">
        <f t="shared" si="146"/>
        <v>1966.0833333333301</v>
      </c>
      <c r="B159">
        <f t="shared" si="147"/>
        <v>197</v>
      </c>
      <c r="C159">
        <f t="shared" si="148"/>
        <v>110.417330393109</v>
      </c>
      <c r="D159">
        <f t="shared" si="153"/>
        <v>34</v>
      </c>
      <c r="E159">
        <f t="shared" si="154"/>
        <v>50.579900133298104</v>
      </c>
      <c r="F159">
        <f t="shared" si="156"/>
        <v>22.833333333333332</v>
      </c>
      <c r="G159">
        <f t="shared" si="157"/>
        <v>9.1166417436039762</v>
      </c>
      <c r="H159">
        <f t="shared" ref="H159:I159" si="184">+AVERAGE(F157:F161)</f>
        <v>11.766666666666667</v>
      </c>
      <c r="I159">
        <f t="shared" si="184"/>
        <v>3.3845963133312793</v>
      </c>
      <c r="J159">
        <f t="shared" si="150"/>
        <v>1966.0833333333301</v>
      </c>
      <c r="K159">
        <f t="shared" si="151"/>
        <v>197</v>
      </c>
      <c r="L159">
        <f t="shared" si="152"/>
        <v>110.417330393109</v>
      </c>
      <c r="M159" s="5">
        <v>1893.0833333333301</v>
      </c>
      <c r="N159" s="5">
        <v>-105</v>
      </c>
      <c r="O159" s="5">
        <v>-243.04765141522401</v>
      </c>
      <c r="Q159">
        <f t="shared" si="159"/>
        <v>13.716691589729356</v>
      </c>
    </row>
    <row r="160" spans="1:17" x14ac:dyDescent="0.25">
      <c r="A160">
        <f t="shared" si="146"/>
        <v>1966.1666666666599</v>
      </c>
      <c r="B160">
        <f t="shared" si="147"/>
        <v>102</v>
      </c>
      <c r="C160">
        <f t="shared" si="148"/>
        <v>-56.984818767834199</v>
      </c>
      <c r="D160">
        <f t="shared" si="153"/>
        <v>21</v>
      </c>
      <c r="E160">
        <f t="shared" si="154"/>
        <v>-31.503778662987692</v>
      </c>
      <c r="F160">
        <f t="shared" si="156"/>
        <v>16.666666666666668</v>
      </c>
      <c r="G160">
        <f t="shared" si="157"/>
        <v>-4.3812207833447969</v>
      </c>
      <c r="H160">
        <f t="shared" ref="H160:I160" si="185">+AVERAGE(F158:F162)</f>
        <v>6.6333333333333346</v>
      </c>
      <c r="I160">
        <f t="shared" si="185"/>
        <v>-1.7616450784222628</v>
      </c>
      <c r="J160">
        <f t="shared" si="150"/>
        <v>1966.1666666666599</v>
      </c>
      <c r="K160">
        <f t="shared" si="151"/>
        <v>102</v>
      </c>
      <c r="L160">
        <f t="shared" si="152"/>
        <v>-56.984818767834199</v>
      </c>
      <c r="M160" s="5">
        <v>1893.1666666666599</v>
      </c>
      <c r="N160" s="5">
        <v>-105</v>
      </c>
      <c r="O160" s="5">
        <v>-256.84389462303699</v>
      </c>
      <c r="Q160">
        <f t="shared" si="159"/>
        <v>21.047887450011466</v>
      </c>
    </row>
    <row r="161" spans="1:17" x14ac:dyDescent="0.25">
      <c r="A161">
        <f t="shared" si="146"/>
        <v>1966.25</v>
      </c>
      <c r="B161">
        <f t="shared" si="147"/>
        <v>-35</v>
      </c>
      <c r="C161">
        <f t="shared" si="148"/>
        <v>-161.37941060280201</v>
      </c>
      <c r="D161">
        <f t="shared" si="153"/>
        <v>-5</v>
      </c>
      <c r="E161">
        <f t="shared" si="154"/>
        <v>-35.505699407853399</v>
      </c>
      <c r="F161">
        <f t="shared" si="156"/>
        <v>-2.6666666666666665</v>
      </c>
      <c r="G161">
        <f t="shared" si="157"/>
        <v>-20.373632872996154</v>
      </c>
      <c r="H161">
        <f t="shared" ref="H161:I161" si="186">+AVERAGE(F159:F163)</f>
        <v>-0.8666666666666657</v>
      </c>
      <c r="I161">
        <f t="shared" si="186"/>
        <v>-7.5416390620062161</v>
      </c>
      <c r="J161">
        <f t="shared" si="150"/>
        <v>1966.25</v>
      </c>
      <c r="K161">
        <f t="shared" si="151"/>
        <v>-35</v>
      </c>
      <c r="L161">
        <f t="shared" si="152"/>
        <v>-161.37941060280201</v>
      </c>
      <c r="M161" s="5">
        <v>1893.25</v>
      </c>
      <c r="N161" s="5">
        <v>-105</v>
      </c>
      <c r="O161" s="5">
        <v>-261.65296780262202</v>
      </c>
      <c r="Q161">
        <f t="shared" si="159"/>
        <v>17.706966206329486</v>
      </c>
    </row>
    <row r="162" spans="1:17" x14ac:dyDescent="0.25">
      <c r="A162">
        <f t="shared" si="146"/>
        <v>1966.3333333333301</v>
      </c>
      <c r="B162">
        <f t="shared" si="147"/>
        <v>-162</v>
      </c>
      <c r="C162">
        <f t="shared" si="148"/>
        <v>-194.76260362206301</v>
      </c>
      <c r="D162">
        <f t="shared" si="153"/>
        <v>-24</v>
      </c>
      <c r="E162">
        <f t="shared" si="154"/>
        <v>-9.3916452028944946</v>
      </c>
      <c r="F162">
        <f t="shared" si="156"/>
        <v>-20.833333333333332</v>
      </c>
      <c r="G162">
        <f t="shared" si="157"/>
        <v>-14.764686614918638</v>
      </c>
      <c r="H162">
        <f t="shared" ref="H162:I162" si="187">+AVERAGE(F160:F164)</f>
        <v>-8.0666666666666664</v>
      </c>
      <c r="I162">
        <f t="shared" si="187"/>
        <v>-9.5542094426717572</v>
      </c>
      <c r="J162">
        <f t="shared" si="150"/>
        <v>1966.3333333333301</v>
      </c>
      <c r="K162">
        <f t="shared" si="151"/>
        <v>-162</v>
      </c>
      <c r="L162">
        <f t="shared" si="152"/>
        <v>-194.76260362206301</v>
      </c>
      <c r="M162" s="5">
        <v>1893.3333333333301</v>
      </c>
      <c r="N162" s="5">
        <v>-105</v>
      </c>
      <c r="O162" s="5">
        <v>-254.47701517957299</v>
      </c>
      <c r="Q162">
        <f t="shared" si="159"/>
        <v>6.0686467184146942</v>
      </c>
    </row>
    <row r="163" spans="1:17" x14ac:dyDescent="0.25">
      <c r="A163">
        <f t="shared" si="146"/>
        <v>1966.4166666666599</v>
      </c>
      <c r="B163">
        <f t="shared" si="147"/>
        <v>-241</v>
      </c>
      <c r="C163">
        <f t="shared" si="148"/>
        <v>-209.36250623553499</v>
      </c>
      <c r="D163">
        <f t="shared" si="153"/>
        <v>-33.5</v>
      </c>
      <c r="E163">
        <f t="shared" si="154"/>
        <v>-10.47023019519699</v>
      </c>
      <c r="F163">
        <f t="shared" si="156"/>
        <v>-20.333333333333332</v>
      </c>
      <c r="G163">
        <f t="shared" si="157"/>
        <v>-7.3052967823754678</v>
      </c>
      <c r="H163">
        <f t="shared" ref="H163:I163" si="188">+AVERAGE(F161:F165)</f>
        <v>-11.566666666666666</v>
      </c>
      <c r="I163">
        <f t="shared" si="188"/>
        <v>-7.8217545693414667</v>
      </c>
      <c r="J163">
        <f t="shared" si="150"/>
        <v>1966.4166666666599</v>
      </c>
      <c r="K163">
        <f t="shared" si="151"/>
        <v>-241</v>
      </c>
      <c r="L163">
        <f t="shared" si="152"/>
        <v>-209.36250623553499</v>
      </c>
      <c r="M163" s="5">
        <v>1893.4166666666599</v>
      </c>
      <c r="N163" s="5">
        <v>-105</v>
      </c>
      <c r="O163" s="5">
        <v>-242.07469201383199</v>
      </c>
      <c r="Q163">
        <f t="shared" si="159"/>
        <v>13.028036550957864</v>
      </c>
    </row>
    <row r="164" spans="1:17" x14ac:dyDescent="0.25">
      <c r="A164">
        <f t="shared" si="146"/>
        <v>1966.5</v>
      </c>
      <c r="B164">
        <f t="shared" si="147"/>
        <v>-253</v>
      </c>
      <c r="C164">
        <f t="shared" si="148"/>
        <v>-203.021948458613</v>
      </c>
      <c r="D164">
        <f t="shared" si="153"/>
        <v>-3.5</v>
      </c>
      <c r="E164">
        <f t="shared" si="154"/>
        <v>-7.5329875358165168</v>
      </c>
      <c r="F164">
        <f t="shared" si="156"/>
        <v>-13.166666666666666</v>
      </c>
      <c r="G164">
        <f t="shared" si="157"/>
        <v>-0.94621015972373557</v>
      </c>
      <c r="H164">
        <f t="shared" ref="H164:I164" si="189">+AVERAGE(F162:F166)</f>
        <v>-11.2</v>
      </c>
      <c r="I164">
        <f t="shared" si="189"/>
        <v>-2.5184550597350599</v>
      </c>
      <c r="J164">
        <f t="shared" si="150"/>
        <v>1966.5</v>
      </c>
      <c r="K164">
        <f t="shared" si="151"/>
        <v>-253</v>
      </c>
      <c r="L164">
        <f t="shared" si="152"/>
        <v>-203.021948458613</v>
      </c>
      <c r="M164" s="5">
        <v>1893.5</v>
      </c>
      <c r="N164" s="5">
        <v>-105</v>
      </c>
      <c r="O164" s="5">
        <v>-224.08957515709</v>
      </c>
      <c r="Q164">
        <f t="shared" si="159"/>
        <v>12.220456506942931</v>
      </c>
    </row>
    <row r="165" spans="1:17" x14ac:dyDescent="0.25">
      <c r="A165">
        <f t="shared" si="146"/>
        <v>1966.5833333333301</v>
      </c>
      <c r="B165">
        <f t="shared" si="147"/>
        <v>-258</v>
      </c>
      <c r="C165">
        <f t="shared" si="148"/>
        <v>-181.61541561005799</v>
      </c>
      <c r="D165">
        <f t="shared" si="153"/>
        <v>-2.5</v>
      </c>
      <c r="E165">
        <f t="shared" si="154"/>
        <v>14.454929632049499</v>
      </c>
      <c r="F165">
        <f t="shared" si="156"/>
        <v>-0.83333333333333337</v>
      </c>
      <c r="G165">
        <f t="shared" si="157"/>
        <v>4.2810535833066679</v>
      </c>
      <c r="H165">
        <f t="shared" ref="H165:I165" si="190">+AVERAGE(F163:F167)</f>
        <v>-7.4333333333333345</v>
      </c>
      <c r="I165">
        <f t="shared" si="190"/>
        <v>0.82572405259747028</v>
      </c>
      <c r="J165">
        <f t="shared" si="150"/>
        <v>1966.5833333333301</v>
      </c>
      <c r="K165">
        <f t="shared" si="151"/>
        <v>-258</v>
      </c>
      <c r="L165">
        <f t="shared" si="152"/>
        <v>-181.61541561005799</v>
      </c>
      <c r="M165" s="5">
        <v>1893.5833333333301</v>
      </c>
      <c r="N165" s="5">
        <v>-105</v>
      </c>
      <c r="O165" s="5">
        <v>-213.981168448879</v>
      </c>
      <c r="Q165">
        <f t="shared" si="159"/>
        <v>5.1143869166400009</v>
      </c>
    </row>
    <row r="166" spans="1:17" x14ac:dyDescent="0.25">
      <c r="A166">
        <f t="shared" si="146"/>
        <v>1966.6666666666599</v>
      </c>
      <c r="B166">
        <f t="shared" si="147"/>
        <v>-258</v>
      </c>
      <c r="C166">
        <f t="shared" si="148"/>
        <v>-189.11874202560199</v>
      </c>
      <c r="D166">
        <f t="shared" si="153"/>
        <v>3.5</v>
      </c>
      <c r="E166">
        <f t="shared" si="154"/>
        <v>9.1320088411670213</v>
      </c>
      <c r="F166">
        <f t="shared" si="156"/>
        <v>-0.83333333333333337</v>
      </c>
      <c r="G166">
        <f t="shared" si="157"/>
        <v>6.1428646750358746</v>
      </c>
      <c r="H166">
        <f t="shared" ref="H166:I166" si="191">+AVERAGE(F164:F168)</f>
        <v>-3.6000000000000005</v>
      </c>
      <c r="I166">
        <f t="shared" si="191"/>
        <v>1.8177070502919244</v>
      </c>
      <c r="J166">
        <f t="shared" si="150"/>
        <v>1966.6666666666599</v>
      </c>
      <c r="K166">
        <f t="shared" si="151"/>
        <v>-258</v>
      </c>
      <c r="L166">
        <f t="shared" si="152"/>
        <v>-189.11874202560199</v>
      </c>
      <c r="M166" s="5">
        <v>1893.6666666666599</v>
      </c>
      <c r="N166" s="5">
        <v>-105</v>
      </c>
      <c r="O166" s="5">
        <v>-230.14803998495699</v>
      </c>
      <c r="Q166">
        <f t="shared" si="159"/>
        <v>6.9761980083692077</v>
      </c>
    </row>
    <row r="167" spans="1:17" x14ac:dyDescent="0.25">
      <c r="A167">
        <f t="shared" si="146"/>
        <v>1966.75</v>
      </c>
      <c r="B167">
        <f t="shared" si="147"/>
        <v>-265</v>
      </c>
      <c r="C167">
        <f t="shared" si="148"/>
        <v>-214.88608612348</v>
      </c>
      <c r="D167">
        <f t="shared" si="153"/>
        <v>-3.5</v>
      </c>
      <c r="E167">
        <f t="shared" si="154"/>
        <v>-0.55119594183199183</v>
      </c>
      <c r="F167">
        <f t="shared" si="156"/>
        <v>-2</v>
      </c>
      <c r="G167">
        <f t="shared" si="157"/>
        <v>1.9562089467440122</v>
      </c>
      <c r="H167">
        <f t="shared" ref="H167:I167" si="192">+AVERAGE(F165:F169)</f>
        <v>-0.96666666666666679</v>
      </c>
      <c r="I167">
        <f t="shared" si="192"/>
        <v>1.3154728146983783</v>
      </c>
      <c r="J167">
        <f t="shared" si="150"/>
        <v>1966.75</v>
      </c>
      <c r="K167">
        <f t="shared" si="151"/>
        <v>-265</v>
      </c>
      <c r="L167">
        <f t="shared" si="152"/>
        <v>-214.88608612348</v>
      </c>
      <c r="M167" s="5">
        <v>1893.75</v>
      </c>
      <c r="N167" s="5">
        <v>-105</v>
      </c>
      <c r="O167" s="5">
        <v>-238.25807252269499</v>
      </c>
      <c r="Q167">
        <f t="shared" si="159"/>
        <v>3.9562089467440122</v>
      </c>
    </row>
    <row r="168" spans="1:17" x14ac:dyDescent="0.25">
      <c r="A168">
        <f t="shared" si="146"/>
        <v>1966.8333333333301</v>
      </c>
      <c r="B168">
        <f t="shared" si="147"/>
        <v>-265</v>
      </c>
      <c r="C168">
        <f t="shared" si="148"/>
        <v>-239.551038337694</v>
      </c>
      <c r="D168">
        <f t="shared" si="153"/>
        <v>-6</v>
      </c>
      <c r="E168">
        <f t="shared" si="154"/>
        <v>-1.2450293490449837</v>
      </c>
      <c r="F168">
        <f t="shared" si="156"/>
        <v>-1.1666666666666667</v>
      </c>
      <c r="G168">
        <f t="shared" si="157"/>
        <v>-2.345381793903198</v>
      </c>
      <c r="H168">
        <f t="shared" ref="H168:I168" si="193">+AVERAGE(F166:F170)</f>
        <v>-0.5</v>
      </c>
      <c r="I168">
        <f t="shared" si="193"/>
        <v>-0.14985551112444995</v>
      </c>
      <c r="J168">
        <f t="shared" si="150"/>
        <v>1966.8333333333301</v>
      </c>
      <c r="K168">
        <f t="shared" si="151"/>
        <v>-265</v>
      </c>
      <c r="L168">
        <f t="shared" si="152"/>
        <v>-239.551038337694</v>
      </c>
      <c r="M168" s="5">
        <v>1893.8333333333301</v>
      </c>
      <c r="N168" s="5">
        <v>-105</v>
      </c>
      <c r="O168" s="5">
        <v>-223.706182340422</v>
      </c>
      <c r="Q168">
        <f t="shared" si="159"/>
        <v>1.1787151272365313</v>
      </c>
    </row>
    <row r="169" spans="1:17" x14ac:dyDescent="0.25">
      <c r="A169">
        <f t="shared" si="146"/>
        <v>1966.9166666666599</v>
      </c>
      <c r="B169">
        <f t="shared" si="147"/>
        <v>-253</v>
      </c>
      <c r="C169">
        <f t="shared" si="148"/>
        <v>-261.725931853818</v>
      </c>
      <c r="D169">
        <f t="shared" si="153"/>
        <v>6</v>
      </c>
      <c r="E169">
        <f t="shared" si="154"/>
        <v>-6.9989564362600163</v>
      </c>
      <c r="F169">
        <f t="shared" si="156"/>
        <v>0</v>
      </c>
      <c r="G169">
        <f t="shared" si="157"/>
        <v>-3.4573813376914666</v>
      </c>
      <c r="H169">
        <f t="shared" ref="H169:I169" si="194">+AVERAGE(F167:F171)</f>
        <v>-1.6666666666666667</v>
      </c>
      <c r="I169">
        <f t="shared" si="194"/>
        <v>-1.8420408288107182</v>
      </c>
      <c r="J169">
        <f t="shared" si="150"/>
        <v>1966.9166666666599</v>
      </c>
      <c r="K169">
        <f t="shared" si="151"/>
        <v>-253</v>
      </c>
      <c r="L169">
        <f t="shared" si="152"/>
        <v>-261.725931853818</v>
      </c>
      <c r="M169" s="5">
        <v>1893.9166666666599</v>
      </c>
      <c r="N169" s="5">
        <v>-105</v>
      </c>
      <c r="O169" s="5">
        <v>-193.21445640117599</v>
      </c>
      <c r="Q169">
        <f t="shared" si="159"/>
        <v>3.4573813376914666</v>
      </c>
    </row>
    <row r="170" spans="1:17" x14ac:dyDescent="0.25">
      <c r="A170">
        <f t="shared" si="146"/>
        <v>1967</v>
      </c>
      <c r="B170">
        <f t="shared" si="147"/>
        <v>-253</v>
      </c>
      <c r="C170">
        <f t="shared" si="148"/>
        <v>-269.90291249742199</v>
      </c>
      <c r="D170">
        <f t="shared" si="153"/>
        <v>0</v>
      </c>
      <c r="E170">
        <f t="shared" si="154"/>
        <v>-4.7211942310379982</v>
      </c>
      <c r="F170">
        <f t="shared" si="156"/>
        <v>1.5</v>
      </c>
      <c r="G170">
        <f t="shared" si="157"/>
        <v>-3.045588045807472</v>
      </c>
      <c r="H170">
        <f t="shared" ref="H170:I170" si="195">+AVERAGE(F168:F172)</f>
        <v>-1.4000000000000001</v>
      </c>
      <c r="I170">
        <f t="shared" si="195"/>
        <v>-2.9724040720977869</v>
      </c>
      <c r="J170">
        <f t="shared" si="150"/>
        <v>1967</v>
      </c>
      <c r="K170">
        <f t="shared" si="151"/>
        <v>-253</v>
      </c>
      <c r="L170">
        <f t="shared" si="152"/>
        <v>-269.90291249742199</v>
      </c>
      <c r="M170" s="5">
        <v>1894</v>
      </c>
      <c r="N170" s="5">
        <v>-105</v>
      </c>
      <c r="O170" s="5">
        <v>-136.49668254639101</v>
      </c>
      <c r="Q170">
        <f t="shared" si="159"/>
        <v>4.545588045807472</v>
      </c>
    </row>
    <row r="171" spans="1:17" x14ac:dyDescent="0.25">
      <c r="A171">
        <f t="shared" si="146"/>
        <v>1967.0833333333301</v>
      </c>
      <c r="B171">
        <f t="shared" si="147"/>
        <v>-253</v>
      </c>
      <c r="C171">
        <f t="shared" si="148"/>
        <v>-268.63750467894999</v>
      </c>
      <c r="D171">
        <f t="shared" si="153"/>
        <v>-1.5</v>
      </c>
      <c r="E171">
        <f t="shared" si="154"/>
        <v>0.2991954955199958</v>
      </c>
      <c r="F171">
        <f t="shared" si="156"/>
        <v>-6.666666666666667</v>
      </c>
      <c r="G171">
        <f t="shared" si="157"/>
        <v>-2.3180619133954679</v>
      </c>
      <c r="H171">
        <f t="shared" ref="H171:I171" si="196">+AVERAGE(F169:F173)</f>
        <v>-2.666666666666667</v>
      </c>
      <c r="I171">
        <f t="shared" si="196"/>
        <v>-4.0263847958129872</v>
      </c>
      <c r="J171">
        <f t="shared" si="150"/>
        <v>1967.0833333333301</v>
      </c>
      <c r="K171">
        <f t="shared" si="151"/>
        <v>-253</v>
      </c>
      <c r="L171">
        <f t="shared" si="152"/>
        <v>-268.63750467894999</v>
      </c>
      <c r="M171" s="5">
        <v>1894.0833333333301</v>
      </c>
      <c r="N171" s="5">
        <v>-105</v>
      </c>
      <c r="O171" s="5">
        <v>-81.220579881970806</v>
      </c>
      <c r="Q171">
        <f t="shared" si="159"/>
        <v>4.3486047532711991</v>
      </c>
    </row>
    <row r="172" spans="1:17" x14ac:dyDescent="0.25">
      <c r="A172">
        <f t="shared" si="146"/>
        <v>1967.1666666666599</v>
      </c>
      <c r="B172">
        <f t="shared" si="147"/>
        <v>-250</v>
      </c>
      <c r="C172">
        <f t="shared" si="148"/>
        <v>-267.97048785151799</v>
      </c>
      <c r="D172">
        <f t="shared" si="153"/>
        <v>-18.5</v>
      </c>
      <c r="E172">
        <f t="shared" si="154"/>
        <v>-4.2707334397150021</v>
      </c>
      <c r="F172">
        <f t="shared" si="156"/>
        <v>-0.66666666666666663</v>
      </c>
      <c r="G172">
        <f t="shared" si="157"/>
        <v>-3.6956072696913305</v>
      </c>
      <c r="H172">
        <f t="shared" ref="H172:I172" si="197">+AVERAGE(F170:F174)</f>
        <v>-5.0999999999999996</v>
      </c>
      <c r="I172">
        <f t="shared" si="197"/>
        <v>-6.1586583350746427</v>
      </c>
      <c r="J172">
        <f t="shared" si="150"/>
        <v>1967.1666666666599</v>
      </c>
      <c r="K172">
        <f t="shared" si="151"/>
        <v>-250</v>
      </c>
      <c r="L172">
        <f t="shared" si="152"/>
        <v>-267.97048785151799</v>
      </c>
      <c r="M172" s="5">
        <v>1894.1666666666599</v>
      </c>
      <c r="N172" s="5">
        <v>-105</v>
      </c>
      <c r="O172" s="5">
        <v>-90.152786291406699</v>
      </c>
      <c r="Q172">
        <f t="shared" si="159"/>
        <v>3.0289406030246639</v>
      </c>
    </row>
    <row r="173" spans="1:17" x14ac:dyDescent="0.25">
      <c r="A173">
        <f t="shared" si="146"/>
        <v>1967.25</v>
      </c>
      <c r="B173">
        <f t="shared" si="147"/>
        <v>-210</v>
      </c>
      <c r="C173">
        <f t="shared" si="148"/>
        <v>-258.76200414465598</v>
      </c>
      <c r="D173">
        <f t="shared" si="153"/>
        <v>18</v>
      </c>
      <c r="E173">
        <f t="shared" si="154"/>
        <v>-9.8869893171474814</v>
      </c>
      <c r="F173">
        <f t="shared" si="156"/>
        <v>-7.5</v>
      </c>
      <c r="G173">
        <f t="shared" si="157"/>
        <v>-7.6152854124792002</v>
      </c>
      <c r="H173">
        <f t="shared" ref="H173:I173" si="198">+AVERAGE(F171:F175)</f>
        <v>-8.2666666666666675</v>
      </c>
      <c r="I173">
        <f t="shared" si="198"/>
        <v>-7.067823245273007</v>
      </c>
      <c r="J173">
        <f t="shared" si="150"/>
        <v>1967.25</v>
      </c>
      <c r="K173">
        <f t="shared" si="151"/>
        <v>-210</v>
      </c>
      <c r="L173">
        <f t="shared" si="152"/>
        <v>-258.76200414465598</v>
      </c>
      <c r="M173" s="5">
        <v>1894.25</v>
      </c>
      <c r="N173" s="5">
        <v>-105</v>
      </c>
      <c r="O173" s="5">
        <v>-54.756359832086197</v>
      </c>
      <c r="Q173">
        <f t="shared" si="159"/>
        <v>0.11528541247920021</v>
      </c>
    </row>
    <row r="174" spans="1:17" x14ac:dyDescent="0.25">
      <c r="A174">
        <f t="shared" si="146"/>
        <v>1967.3333333333301</v>
      </c>
      <c r="B174">
        <f t="shared" si="147"/>
        <v>-206</v>
      </c>
      <c r="C174">
        <f t="shared" si="148"/>
        <v>-229.779541803499</v>
      </c>
      <c r="D174">
        <f t="shared" si="153"/>
        <v>-22</v>
      </c>
      <c r="E174">
        <f t="shared" si="154"/>
        <v>-14.399597539934518</v>
      </c>
      <c r="F174">
        <f t="shared" si="156"/>
        <v>-12.166666666666666</v>
      </c>
      <c r="G174">
        <f t="shared" si="157"/>
        <v>-14.118749033999743</v>
      </c>
      <c r="H174">
        <f t="shared" ref="H174:I174" si="199">+AVERAGE(F172:F176)</f>
        <v>-5.833333333333333</v>
      </c>
      <c r="I174">
        <f t="shared" si="199"/>
        <v>-4.4152833841000714</v>
      </c>
      <c r="J174">
        <f t="shared" si="150"/>
        <v>1967.3333333333301</v>
      </c>
      <c r="K174">
        <f t="shared" si="151"/>
        <v>-206</v>
      </c>
      <c r="L174">
        <f t="shared" si="152"/>
        <v>-229.779541803499</v>
      </c>
      <c r="M174" s="5">
        <v>1894.3333333333301</v>
      </c>
      <c r="N174" s="5">
        <v>-105</v>
      </c>
      <c r="O174" s="5">
        <v>87.684125580976598</v>
      </c>
      <c r="Q174">
        <f t="shared" si="159"/>
        <v>1.9520823673330767</v>
      </c>
    </row>
    <row r="175" spans="1:17" x14ac:dyDescent="0.25">
      <c r="A175">
        <f t="shared" si="146"/>
        <v>1967.4166666666599</v>
      </c>
      <c r="B175">
        <f t="shared" si="147"/>
        <v>-158</v>
      </c>
      <c r="C175">
        <f t="shared" si="148"/>
        <v>-171.99788438247299</v>
      </c>
      <c r="D175">
        <f t="shared" si="153"/>
        <v>-32.5</v>
      </c>
      <c r="E175">
        <f t="shared" si="154"/>
        <v>-28.658722020417031</v>
      </c>
      <c r="F175">
        <f t="shared" si="156"/>
        <v>-14.333333333333334</v>
      </c>
      <c r="G175">
        <f t="shared" si="157"/>
        <v>-7.5914125967992963</v>
      </c>
      <c r="H175">
        <f t="shared" ref="H175:I175" si="200">+AVERAGE(F173:F177)</f>
        <v>-1.7333333333333336</v>
      </c>
      <c r="I175">
        <f t="shared" si="200"/>
        <v>-2.2674874483985938</v>
      </c>
      <c r="J175">
        <f t="shared" si="150"/>
        <v>1967.4166666666599</v>
      </c>
      <c r="K175">
        <f t="shared" si="151"/>
        <v>-158</v>
      </c>
      <c r="L175">
        <f t="shared" si="152"/>
        <v>-171.99788438247299</v>
      </c>
      <c r="M175" s="5">
        <v>1894.4166666666599</v>
      </c>
      <c r="N175" s="5">
        <v>-105</v>
      </c>
      <c r="O175" s="5">
        <v>164.78707903733601</v>
      </c>
      <c r="Q175">
        <f t="shared" si="159"/>
        <v>6.7419207365340377</v>
      </c>
    </row>
    <row r="176" spans="1:17" x14ac:dyDescent="0.25">
      <c r="A176">
        <f t="shared" si="146"/>
        <v>1967.5</v>
      </c>
      <c r="B176">
        <f t="shared" si="147"/>
        <v>-45</v>
      </c>
      <c r="C176">
        <f t="shared" si="148"/>
        <v>-56.898782920612902</v>
      </c>
      <c r="D176">
        <f t="shared" si="153"/>
        <v>11.5</v>
      </c>
      <c r="E176">
        <f t="shared" si="154"/>
        <v>14.59052232235419</v>
      </c>
      <c r="F176">
        <f t="shared" si="156"/>
        <v>5.5</v>
      </c>
      <c r="G176">
        <f t="shared" si="157"/>
        <v>10.944637392469209</v>
      </c>
      <c r="H176">
        <f t="shared" ref="H176:I176" si="201">+AVERAGE(F174:F178)</f>
        <v>2.5333333333333332</v>
      </c>
      <c r="I176">
        <f t="shared" si="201"/>
        <v>-0.45124711786256438</v>
      </c>
      <c r="J176">
        <f t="shared" si="150"/>
        <v>1967.5</v>
      </c>
      <c r="K176">
        <f t="shared" si="151"/>
        <v>-45</v>
      </c>
      <c r="L176">
        <f t="shared" si="152"/>
        <v>-56.898782920612902</v>
      </c>
      <c r="M176" s="5">
        <v>1894.5</v>
      </c>
      <c r="N176" s="5">
        <v>-105</v>
      </c>
      <c r="O176" s="5">
        <v>197.83773938684001</v>
      </c>
      <c r="Q176">
        <f t="shared" si="159"/>
        <v>5.4446373924692093</v>
      </c>
    </row>
    <row r="177" spans="1:17" x14ac:dyDescent="0.25">
      <c r="A177">
        <f t="shared" si="146"/>
        <v>1967.5833333333301</v>
      </c>
      <c r="B177">
        <f t="shared" si="147"/>
        <v>45</v>
      </c>
      <c r="C177">
        <f t="shared" si="148"/>
        <v>29.019273896538799</v>
      </c>
      <c r="D177">
        <f t="shared" si="153"/>
        <v>37.5</v>
      </c>
      <c r="E177">
        <f t="shared" si="154"/>
        <v>55.110589919822374</v>
      </c>
      <c r="F177">
        <f t="shared" si="156"/>
        <v>19.833333333333332</v>
      </c>
      <c r="G177">
        <f t="shared" si="157"/>
        <v>7.043372408816059</v>
      </c>
      <c r="H177">
        <f t="shared" ref="H177:I177" si="202">+AVERAGE(F175:F179)</f>
        <v>4.4333333333333327</v>
      </c>
      <c r="I177">
        <f t="shared" si="202"/>
        <v>0.94131255568172922</v>
      </c>
      <c r="J177">
        <f t="shared" si="150"/>
        <v>1967.5833333333301</v>
      </c>
      <c r="K177">
        <f t="shared" si="151"/>
        <v>45</v>
      </c>
      <c r="L177">
        <f t="shared" si="152"/>
        <v>29.019273896538799</v>
      </c>
      <c r="M177" s="5">
        <v>1894.5833333333301</v>
      </c>
      <c r="N177" s="5">
        <v>-105</v>
      </c>
      <c r="O177" s="5">
        <v>195.73486062305801</v>
      </c>
      <c r="Q177">
        <f t="shared" si="159"/>
        <v>12.789960924517274</v>
      </c>
    </row>
    <row r="178" spans="1:17" x14ac:dyDescent="0.25">
      <c r="A178">
        <f t="shared" si="146"/>
        <v>1967.6666666666599</v>
      </c>
      <c r="B178">
        <f t="shared" si="147"/>
        <v>60</v>
      </c>
      <c r="C178">
        <f t="shared" si="148"/>
        <v>4.7161508740457601</v>
      </c>
      <c r="D178">
        <f t="shared" si="153"/>
        <v>10.5</v>
      </c>
      <c r="E178">
        <f t="shared" si="154"/>
        <v>-43.288465709116345</v>
      </c>
      <c r="F178">
        <f t="shared" si="156"/>
        <v>13.833333333333334</v>
      </c>
      <c r="G178">
        <f t="shared" si="157"/>
        <v>1.4659162402009487</v>
      </c>
      <c r="H178">
        <f t="shared" ref="H178:I178" si="203">+AVERAGE(F176:F180)</f>
        <v>7.1</v>
      </c>
      <c r="I178">
        <f t="shared" si="203"/>
        <v>3.7091718025469391</v>
      </c>
      <c r="J178">
        <f t="shared" si="150"/>
        <v>1967.6666666666599</v>
      </c>
      <c r="K178">
        <f t="shared" si="151"/>
        <v>60</v>
      </c>
      <c r="L178">
        <f t="shared" si="152"/>
        <v>4.7161508740457601</v>
      </c>
      <c r="M178" s="5">
        <v>1894.6666666666599</v>
      </c>
      <c r="N178" s="5">
        <v>-105</v>
      </c>
      <c r="O178" s="5">
        <v>171.95482858106601</v>
      </c>
      <c r="Q178">
        <f t="shared" si="159"/>
        <v>12.367417093132385</v>
      </c>
    </row>
    <row r="179" spans="1:17" x14ac:dyDescent="0.25">
      <c r="A179">
        <f t="shared" si="146"/>
        <v>1967.75</v>
      </c>
      <c r="B179">
        <f t="shared" si="147"/>
        <v>54</v>
      </c>
      <c r="C179">
        <f t="shared" si="148"/>
        <v>66.989959269785402</v>
      </c>
      <c r="D179">
        <f t="shared" si="153"/>
        <v>-6.5</v>
      </c>
      <c r="E179">
        <f t="shared" si="154"/>
        <v>-6.3249383099524721</v>
      </c>
      <c r="F179">
        <f t="shared" si="156"/>
        <v>-2.6666666666666665</v>
      </c>
      <c r="G179">
        <f t="shared" si="157"/>
        <v>-7.1559506662782741</v>
      </c>
      <c r="H179">
        <f t="shared" ref="H179:I179" si="204">+AVERAGE(F177:F181)</f>
        <v>5.8666666666666654</v>
      </c>
      <c r="I179">
        <f t="shared" si="204"/>
        <v>3.414406586395379</v>
      </c>
      <c r="J179">
        <f t="shared" si="150"/>
        <v>1967.75</v>
      </c>
      <c r="K179">
        <f t="shared" si="151"/>
        <v>54</v>
      </c>
      <c r="L179">
        <f t="shared" si="152"/>
        <v>66.989959269785402</v>
      </c>
      <c r="M179" s="5">
        <v>1894.75</v>
      </c>
      <c r="N179" s="5">
        <v>-105</v>
      </c>
      <c r="O179" s="5">
        <v>171.01693917026401</v>
      </c>
      <c r="Q179">
        <f t="shared" si="159"/>
        <v>4.4892839996116081</v>
      </c>
    </row>
    <row r="180" spans="1:17" x14ac:dyDescent="0.25">
      <c r="A180">
        <f t="shared" si="146"/>
        <v>1967.8333333333301</v>
      </c>
      <c r="B180">
        <f t="shared" si="147"/>
        <v>61</v>
      </c>
      <c r="C180">
        <f t="shared" si="148"/>
        <v>141.91364428543</v>
      </c>
      <c r="D180">
        <f t="shared" si="153"/>
        <v>-12</v>
      </c>
      <c r="E180">
        <f t="shared" si="154"/>
        <v>22.778589020525288</v>
      </c>
      <c r="F180">
        <f t="shared" si="156"/>
        <v>-1</v>
      </c>
      <c r="G180">
        <f t="shared" si="157"/>
        <v>6.2478836375267521</v>
      </c>
      <c r="H180">
        <f t="shared" ref="H180:I180" si="205">+AVERAGE(F178:F182)</f>
        <v>2.9333333333333336</v>
      </c>
      <c r="I180">
        <f t="shared" si="205"/>
        <v>2.7173720183095007</v>
      </c>
      <c r="J180">
        <f t="shared" si="150"/>
        <v>1967.8333333333301</v>
      </c>
      <c r="K180">
        <f t="shared" si="151"/>
        <v>61</v>
      </c>
      <c r="L180">
        <f t="shared" si="152"/>
        <v>141.91364428543</v>
      </c>
      <c r="M180" s="5">
        <v>1894.8333333333301</v>
      </c>
      <c r="N180" s="5">
        <v>-105</v>
      </c>
      <c r="O180" s="5">
        <v>173.63694988675201</v>
      </c>
      <c r="Q180">
        <f t="shared" si="159"/>
        <v>7.2478836375267521</v>
      </c>
    </row>
    <row r="181" spans="1:17" x14ac:dyDescent="0.25">
      <c r="A181">
        <f t="shared" si="146"/>
        <v>1967.9166666666599</v>
      </c>
      <c r="B181">
        <f t="shared" si="147"/>
        <v>92</v>
      </c>
      <c r="C181">
        <f t="shared" si="148"/>
        <v>171.28015126002401</v>
      </c>
      <c r="D181">
        <f t="shared" si="153"/>
        <v>15.5</v>
      </c>
      <c r="E181">
        <f t="shared" si="154"/>
        <v>6.9759129301525036</v>
      </c>
      <c r="F181">
        <f t="shared" si="156"/>
        <v>-0.66666666666666663</v>
      </c>
      <c r="G181">
        <f t="shared" si="157"/>
        <v>9.4708113117114117</v>
      </c>
      <c r="H181">
        <f t="shared" ref="H181:I181" si="206">+AVERAGE(F179:F183)</f>
        <v>-1.3333333333333333</v>
      </c>
      <c r="I181">
        <f t="shared" si="206"/>
        <v>2.4166325316730974</v>
      </c>
      <c r="J181">
        <f t="shared" si="150"/>
        <v>1967.9166666666599</v>
      </c>
      <c r="K181">
        <f t="shared" si="151"/>
        <v>92</v>
      </c>
      <c r="L181">
        <f t="shared" si="152"/>
        <v>171.28015126002401</v>
      </c>
      <c r="M181" s="5">
        <v>1894.9166666666599</v>
      </c>
      <c r="N181" s="5">
        <v>-105</v>
      </c>
      <c r="O181" s="5">
        <v>141.20360796972199</v>
      </c>
      <c r="Q181">
        <f t="shared" si="159"/>
        <v>10.137477978378078</v>
      </c>
    </row>
    <row r="182" spans="1:17" x14ac:dyDescent="0.25">
      <c r="A182">
        <f t="shared" si="146"/>
        <v>1968</v>
      </c>
      <c r="B182">
        <f t="shared" si="147"/>
        <v>92</v>
      </c>
      <c r="C182">
        <f t="shared" si="148"/>
        <v>186.69483237431299</v>
      </c>
      <c r="D182">
        <f t="shared" si="153"/>
        <v>-5.5</v>
      </c>
      <c r="E182">
        <f t="shared" si="154"/>
        <v>5.7610404682399974</v>
      </c>
      <c r="F182">
        <f t="shared" si="156"/>
        <v>5.166666666666667</v>
      </c>
      <c r="G182">
        <f t="shared" si="157"/>
        <v>3.5581995683866658</v>
      </c>
      <c r="H182">
        <f t="shared" ref="H182:I182" si="207">+AVERAGE(F180:F184)</f>
        <v>-0.43333333333333324</v>
      </c>
      <c r="I182">
        <f t="shared" si="207"/>
        <v>3.7899064609166984</v>
      </c>
      <c r="J182">
        <f t="shared" si="150"/>
        <v>1968</v>
      </c>
      <c r="K182">
        <f t="shared" si="151"/>
        <v>92</v>
      </c>
      <c r="L182">
        <f t="shared" si="152"/>
        <v>186.69483237431299</v>
      </c>
      <c r="M182" s="5">
        <v>1895</v>
      </c>
      <c r="N182" s="5">
        <v>-105</v>
      </c>
      <c r="O182" s="5">
        <v>62.094026055904301</v>
      </c>
      <c r="Q182">
        <f t="shared" si="159"/>
        <v>1.6084670982800011</v>
      </c>
    </row>
    <row r="183" spans="1:17" x14ac:dyDescent="0.25">
      <c r="A183">
        <f t="shared" si="146"/>
        <v>1968.0833333333301</v>
      </c>
      <c r="B183">
        <f t="shared" si="147"/>
        <v>103</v>
      </c>
      <c r="C183">
        <f t="shared" si="148"/>
        <v>190.58743255212201</v>
      </c>
      <c r="D183">
        <f t="shared" si="153"/>
        <v>5.5</v>
      </c>
      <c r="E183">
        <f t="shared" si="154"/>
        <v>0.60629498305749507</v>
      </c>
      <c r="F183">
        <f t="shared" si="156"/>
        <v>-7.5</v>
      </c>
      <c r="G183">
        <f t="shared" si="157"/>
        <v>-3.7781192981068065E-2</v>
      </c>
      <c r="H183">
        <f t="shared" ref="H183:I183" si="208">+AVERAGE(F181:F185)</f>
        <v>-0.4</v>
      </c>
      <c r="I183">
        <f t="shared" si="208"/>
        <v>2.8362882979647615</v>
      </c>
      <c r="J183">
        <f t="shared" si="150"/>
        <v>1968.0833333333301</v>
      </c>
      <c r="K183">
        <f t="shared" si="151"/>
        <v>103</v>
      </c>
      <c r="L183">
        <f t="shared" si="152"/>
        <v>190.58743255212201</v>
      </c>
      <c r="M183" s="5">
        <v>1895.0833333333301</v>
      </c>
      <c r="N183" s="5">
        <v>-105</v>
      </c>
      <c r="O183" s="5">
        <v>-96.219711392977402</v>
      </c>
      <c r="Q183">
        <f t="shared" si="159"/>
        <v>7.4622188070189317</v>
      </c>
    </row>
    <row r="184" spans="1:17" x14ac:dyDescent="0.25">
      <c r="A184">
        <f t="shared" si="146"/>
        <v>1968.1666666666599</v>
      </c>
      <c r="B184">
        <f t="shared" si="147"/>
        <v>103</v>
      </c>
      <c r="C184">
        <f t="shared" si="148"/>
        <v>193.26744276381601</v>
      </c>
      <c r="D184">
        <f t="shared" si="153"/>
        <v>-22.5</v>
      </c>
      <c r="E184">
        <f t="shared" si="154"/>
        <v>-6.5090149249764977</v>
      </c>
      <c r="F184">
        <f t="shared" si="156"/>
        <v>1.8333333333333333</v>
      </c>
      <c r="G184">
        <f t="shared" si="157"/>
        <v>-0.2895810200602682</v>
      </c>
      <c r="H184">
        <f t="shared" ref="H184:I184" si="209">+AVERAGE(F182:F186)</f>
        <v>1</v>
      </c>
      <c r="I184">
        <f t="shared" si="209"/>
        <v>1.6751126149255988</v>
      </c>
      <c r="J184">
        <f t="shared" si="150"/>
        <v>1968.1666666666599</v>
      </c>
      <c r="K184">
        <f t="shared" si="151"/>
        <v>103</v>
      </c>
      <c r="L184">
        <f t="shared" si="152"/>
        <v>193.26744276381601</v>
      </c>
      <c r="M184" s="5">
        <v>1895.1666666666599</v>
      </c>
      <c r="N184" s="5">
        <v>-105</v>
      </c>
      <c r="O184" s="5">
        <v>-175.191851952294</v>
      </c>
      <c r="Q184">
        <f t="shared" si="159"/>
        <v>2.1229143533936012</v>
      </c>
    </row>
    <row r="185" spans="1:17" x14ac:dyDescent="0.25">
      <c r="A185">
        <f t="shared" si="146"/>
        <v>1968.25</v>
      </c>
      <c r="B185">
        <f t="shared" si="147"/>
        <v>148</v>
      </c>
      <c r="C185">
        <f t="shared" si="148"/>
        <v>208.965482825463</v>
      </c>
      <c r="D185">
        <f t="shared" si="153"/>
        <v>22.5</v>
      </c>
      <c r="E185">
        <f t="shared" si="154"/>
        <v>4.8167911166929969</v>
      </c>
      <c r="F185">
        <f t="shared" si="156"/>
        <v>-0.83333333333333337</v>
      </c>
      <c r="G185">
        <f t="shared" si="157"/>
        <v>1.4797928227670658</v>
      </c>
      <c r="H185">
        <f t="shared" ref="H185:I185" si="210">+AVERAGE(F183:F187)</f>
        <v>-1.4666666666666668</v>
      </c>
      <c r="I185">
        <f t="shared" si="210"/>
        <v>1.8027180206385858</v>
      </c>
      <c r="J185">
        <f t="shared" si="150"/>
        <v>1968.25</v>
      </c>
      <c r="K185">
        <f t="shared" si="151"/>
        <v>148</v>
      </c>
      <c r="L185">
        <f t="shared" si="152"/>
        <v>208.965482825463</v>
      </c>
      <c r="M185" s="5">
        <v>1895.25</v>
      </c>
      <c r="N185" s="5">
        <v>-105</v>
      </c>
      <c r="O185" s="5">
        <v>-202.866770989971</v>
      </c>
      <c r="Q185">
        <f t="shared" si="159"/>
        <v>2.3131261561003993</v>
      </c>
    </row>
    <row r="186" spans="1:17" x14ac:dyDescent="0.25">
      <c r="A186">
        <f t="shared" si="146"/>
        <v>1968.3333333333301</v>
      </c>
      <c r="B186">
        <f t="shared" si="147"/>
        <v>148</v>
      </c>
      <c r="C186">
        <f t="shared" si="148"/>
        <v>215.029940653724</v>
      </c>
      <c r="D186">
        <f t="shared" si="153"/>
        <v>-2.5</v>
      </c>
      <c r="E186">
        <f t="shared" si="154"/>
        <v>7.2414468936599974</v>
      </c>
      <c r="F186">
        <f t="shared" si="156"/>
        <v>6.333333333333333</v>
      </c>
      <c r="G186">
        <f t="shared" si="157"/>
        <v>3.6649328965155976</v>
      </c>
      <c r="H186">
        <f t="shared" ref="H186:I186" si="211">+AVERAGE(F184:F188)</f>
        <v>-1.1657341758564144E-16</v>
      </c>
      <c r="I186">
        <f t="shared" si="211"/>
        <v>2.5859765462507722</v>
      </c>
      <c r="J186">
        <f t="shared" si="150"/>
        <v>1968.3333333333301</v>
      </c>
      <c r="K186">
        <f t="shared" si="151"/>
        <v>148</v>
      </c>
      <c r="L186">
        <f t="shared" si="152"/>
        <v>215.029940653724</v>
      </c>
      <c r="M186" s="5">
        <v>1895.3333333333301</v>
      </c>
      <c r="N186" s="5">
        <v>-105</v>
      </c>
      <c r="O186" s="5">
        <v>-221.580923487034</v>
      </c>
      <c r="Q186">
        <f t="shared" si="159"/>
        <v>2.6684004368177354</v>
      </c>
    </row>
    <row r="187" spans="1:17" x14ac:dyDescent="0.25">
      <c r="A187">
        <f t="shared" si="146"/>
        <v>1968.4166666666599</v>
      </c>
      <c r="B187">
        <f t="shared" si="147"/>
        <v>153</v>
      </c>
      <c r="C187">
        <f t="shared" si="148"/>
        <v>206.611504694665</v>
      </c>
      <c r="D187">
        <f t="shared" si="153"/>
        <v>-1</v>
      </c>
      <c r="E187">
        <f t="shared" si="154"/>
        <v>1.6852603515804958</v>
      </c>
      <c r="F187">
        <f t="shared" si="156"/>
        <v>-7.166666666666667</v>
      </c>
      <c r="G187">
        <f t="shared" si="157"/>
        <v>4.1962265969516013</v>
      </c>
      <c r="H187">
        <f t="shared" ref="H187:I187" si="212">+AVERAGE(F185:F189)</f>
        <v>-0.10000000000000009</v>
      </c>
      <c r="I187">
        <f t="shared" si="212"/>
        <v>3.5785593442172763</v>
      </c>
      <c r="J187">
        <f t="shared" si="150"/>
        <v>1968.4166666666599</v>
      </c>
      <c r="K187">
        <f t="shared" si="151"/>
        <v>153</v>
      </c>
      <c r="L187">
        <f t="shared" si="152"/>
        <v>206.611504694665</v>
      </c>
      <c r="M187" s="5">
        <v>1895.4166666666599</v>
      </c>
      <c r="N187" s="5">
        <v>-105</v>
      </c>
      <c r="O187" s="5">
        <v>-227.848512909292</v>
      </c>
      <c r="Q187">
        <f t="shared" si="159"/>
        <v>11.362893263618268</v>
      </c>
    </row>
    <row r="188" spans="1:17" x14ac:dyDescent="0.25">
      <c r="A188">
        <f t="shared" si="146"/>
        <v>1968.5</v>
      </c>
      <c r="B188">
        <f t="shared" si="147"/>
        <v>160</v>
      </c>
      <c r="C188">
        <f t="shared" si="148"/>
        <v>194.82254803244501</v>
      </c>
      <c r="D188">
        <f t="shared" si="153"/>
        <v>-18</v>
      </c>
      <c r="E188">
        <f t="shared" si="154"/>
        <v>6.8091424933280109</v>
      </c>
      <c r="F188">
        <f t="shared" si="156"/>
        <v>-0.16666666666666666</v>
      </c>
      <c r="G188">
        <f t="shared" si="157"/>
        <v>3.8785114350798646</v>
      </c>
      <c r="H188">
        <f t="shared" ref="H188:I188" si="213">+AVERAGE(F186:F190)</f>
        <v>1.5</v>
      </c>
      <c r="I188">
        <f t="shared" si="213"/>
        <v>7.4467776378277843</v>
      </c>
      <c r="J188">
        <f t="shared" si="150"/>
        <v>1968.5</v>
      </c>
      <c r="K188">
        <f t="shared" si="151"/>
        <v>160</v>
      </c>
      <c r="L188">
        <f t="shared" si="152"/>
        <v>194.82254803244501</v>
      </c>
      <c r="M188" s="5">
        <v>1895.5</v>
      </c>
      <c r="N188" s="5">
        <v>-105</v>
      </c>
      <c r="O188" s="5">
        <v>-210.62074243865399</v>
      </c>
      <c r="Q188">
        <f t="shared" si="159"/>
        <v>4.0451781017465311</v>
      </c>
    </row>
    <row r="189" spans="1:17" x14ac:dyDescent="0.25">
      <c r="A189">
        <f t="shared" si="146"/>
        <v>1968.5833333333301</v>
      </c>
      <c r="B189">
        <f t="shared" si="147"/>
        <v>203</v>
      </c>
      <c r="C189">
        <f t="shared" si="148"/>
        <v>169.415306383569</v>
      </c>
      <c r="D189">
        <f t="shared" si="153"/>
        <v>18.5</v>
      </c>
      <c r="E189">
        <f t="shared" si="154"/>
        <v>6.0500150366409855</v>
      </c>
      <c r="F189">
        <f t="shared" si="156"/>
        <v>1.3333333333333333</v>
      </c>
      <c r="G189">
        <f t="shared" si="157"/>
        <v>4.6733329697722494</v>
      </c>
      <c r="H189">
        <f t="shared" ref="H189:I189" si="214">+AVERAGE(F187:F191)</f>
        <v>3.9666666666666672</v>
      </c>
      <c r="I189">
        <f t="shared" si="214"/>
        <v>8.7784180006374637</v>
      </c>
      <c r="J189">
        <f t="shared" si="150"/>
        <v>1968.5833333333301</v>
      </c>
      <c r="K189">
        <f t="shared" si="151"/>
        <v>203</v>
      </c>
      <c r="L189">
        <f t="shared" si="152"/>
        <v>169.415306383569</v>
      </c>
      <c r="M189" s="5">
        <v>1895.5833333333301</v>
      </c>
      <c r="N189" s="5">
        <v>-105</v>
      </c>
      <c r="O189" s="5">
        <v>-189.05865277329099</v>
      </c>
      <c r="Q189">
        <f t="shared" si="159"/>
        <v>3.3399996364389164</v>
      </c>
    </row>
    <row r="190" spans="1:17" x14ac:dyDescent="0.25">
      <c r="A190">
        <f t="shared" si="146"/>
        <v>1968.6666666666599</v>
      </c>
      <c r="B190">
        <f t="shared" si="147"/>
        <v>209</v>
      </c>
      <c r="C190">
        <f t="shared" si="148"/>
        <v>131.90803466141099</v>
      </c>
      <c r="D190">
        <f t="shared" si="153"/>
        <v>3.5</v>
      </c>
      <c r="E190">
        <f t="shared" si="154"/>
        <v>4.6658411066769361</v>
      </c>
      <c r="F190">
        <f t="shared" si="156"/>
        <v>7.166666666666667</v>
      </c>
      <c r="G190">
        <f t="shared" si="157"/>
        <v>20.820884290819606</v>
      </c>
      <c r="H190">
        <f t="shared" ref="H190:I190" si="215">+AVERAGE(F188:F192)</f>
        <v>7.666666666666667</v>
      </c>
      <c r="I190">
        <f t="shared" si="215"/>
        <v>7.8249070558500531</v>
      </c>
      <c r="J190">
        <f t="shared" si="150"/>
        <v>1968.6666666666599</v>
      </c>
      <c r="K190">
        <f t="shared" si="151"/>
        <v>209</v>
      </c>
      <c r="L190">
        <f t="shared" si="152"/>
        <v>131.90803466141099</v>
      </c>
      <c r="M190" s="5">
        <v>1895.6666666666599</v>
      </c>
      <c r="N190" s="5">
        <v>-105</v>
      </c>
      <c r="O190" s="5">
        <v>-171.17445783888701</v>
      </c>
      <c r="Q190">
        <f t="shared" si="159"/>
        <v>13.654217624152938</v>
      </c>
    </row>
    <row r="191" spans="1:17" x14ac:dyDescent="0.25">
      <c r="A191">
        <f t="shared" si="146"/>
        <v>1968.75</v>
      </c>
      <c r="B191">
        <f t="shared" si="147"/>
        <v>208</v>
      </c>
      <c r="C191">
        <f t="shared" si="148"/>
        <v>85.069080725899099</v>
      </c>
      <c r="D191">
        <f t="shared" si="153"/>
        <v>-0.5</v>
      </c>
      <c r="E191">
        <f t="shared" si="154"/>
        <v>67.362459947255601</v>
      </c>
      <c r="F191">
        <f t="shared" si="156"/>
        <v>18.666666666666668</v>
      </c>
      <c r="G191">
        <f t="shared" si="157"/>
        <v>10.323134710563998</v>
      </c>
      <c r="H191">
        <f t="shared" ref="H191:I191" si="216">+AVERAGE(F189:F193)</f>
        <v>12.433333333333334</v>
      </c>
      <c r="I191">
        <f t="shared" si="216"/>
        <v>2.7702166634949053</v>
      </c>
      <c r="J191">
        <f t="shared" si="150"/>
        <v>1968.75</v>
      </c>
      <c r="K191">
        <f t="shared" si="151"/>
        <v>208</v>
      </c>
      <c r="L191">
        <f t="shared" si="152"/>
        <v>85.069080725899099</v>
      </c>
      <c r="M191" s="5">
        <v>1895.75</v>
      </c>
      <c r="N191" s="5">
        <v>-105</v>
      </c>
      <c r="O191" s="5">
        <v>-149.189799481189</v>
      </c>
      <c r="Q191">
        <f t="shared" si="159"/>
        <v>8.3435319561026695</v>
      </c>
    </row>
    <row r="192" spans="1:17" x14ac:dyDescent="0.25">
      <c r="A192">
        <f t="shared" si="146"/>
        <v>1968.8333333333301</v>
      </c>
      <c r="B192">
        <f t="shared" si="147"/>
        <v>208</v>
      </c>
      <c r="C192">
        <f t="shared" si="148"/>
        <v>-96.494793104124</v>
      </c>
      <c r="D192">
        <f t="shared" si="153"/>
        <v>53</v>
      </c>
      <c r="E192">
        <f t="shared" si="154"/>
        <v>-33.316545889317545</v>
      </c>
      <c r="F192">
        <f t="shared" si="156"/>
        <v>11.333333333333334</v>
      </c>
      <c r="G192">
        <f t="shared" si="157"/>
        <v>-0.5713281269854501</v>
      </c>
      <c r="H192">
        <f t="shared" ref="H192:I192" si="217">+AVERAGE(F190:F194)</f>
        <v>10.533333333333335</v>
      </c>
      <c r="I192">
        <f t="shared" si="217"/>
        <v>-0.97738468111538812</v>
      </c>
      <c r="J192">
        <f t="shared" si="150"/>
        <v>1968.8333333333301</v>
      </c>
      <c r="K192">
        <f t="shared" si="151"/>
        <v>208</v>
      </c>
      <c r="L192">
        <f t="shared" si="152"/>
        <v>-96.494793104124</v>
      </c>
      <c r="M192" s="5">
        <v>1895.8333333333301</v>
      </c>
      <c r="N192" s="5">
        <v>-105</v>
      </c>
      <c r="O192" s="5">
        <v>-153.00325527095501</v>
      </c>
      <c r="Q192">
        <f t="shared" si="159"/>
        <v>11.904661460318785</v>
      </c>
    </row>
    <row r="193" spans="1:17" x14ac:dyDescent="0.25">
      <c r="A193">
        <f t="shared" si="146"/>
        <v>1968.9166666666599</v>
      </c>
      <c r="B193">
        <f t="shared" si="147"/>
        <v>102</v>
      </c>
      <c r="C193">
        <f t="shared" si="148"/>
        <v>-211.42557515551201</v>
      </c>
      <c r="D193">
        <f t="shared" si="153"/>
        <v>-18.5</v>
      </c>
      <c r="E193">
        <f t="shared" si="154"/>
        <v>-36.188394534133494</v>
      </c>
      <c r="F193">
        <f t="shared" si="156"/>
        <v>23.666666666666668</v>
      </c>
      <c r="G193">
        <f t="shared" si="157"/>
        <v>-21.394940526695883</v>
      </c>
      <c r="H193">
        <f t="shared" ref="H193:I193" si="218">+AVERAGE(F191:F195)</f>
        <v>8.2333333333333343</v>
      </c>
      <c r="I193">
        <f t="shared" si="218"/>
        <v>-6.2210672706146735</v>
      </c>
      <c r="J193">
        <f t="shared" si="150"/>
        <v>1968.9166666666599</v>
      </c>
      <c r="K193">
        <f t="shared" si="151"/>
        <v>102</v>
      </c>
      <c r="L193">
        <f t="shared" si="152"/>
        <v>-211.42557515551201</v>
      </c>
      <c r="M193" s="5">
        <v>1895.9166666666599</v>
      </c>
      <c r="N193" s="5">
        <v>-105</v>
      </c>
      <c r="O193" s="5">
        <v>-158.593785929277</v>
      </c>
      <c r="Q193">
        <f t="shared" si="159"/>
        <v>45.061607193362548</v>
      </c>
    </row>
    <row r="194" spans="1:17" x14ac:dyDescent="0.25">
      <c r="A194">
        <f t="shared" si="146"/>
        <v>1969</v>
      </c>
      <c r="B194">
        <f t="shared" si="147"/>
        <v>33</v>
      </c>
      <c r="C194">
        <f t="shared" si="148"/>
        <v>-253.979568138633</v>
      </c>
      <c r="D194">
        <f t="shared" si="153"/>
        <v>36.5</v>
      </c>
      <c r="E194">
        <f t="shared" si="154"/>
        <v>-10.726086551658511</v>
      </c>
      <c r="F194">
        <f t="shared" si="156"/>
        <v>-8.1666666666666661</v>
      </c>
      <c r="G194">
        <f t="shared" si="157"/>
        <v>-14.064673753279212</v>
      </c>
      <c r="H194">
        <f t="shared" ref="H194:I194" si="219">+AVERAGE(F192:F196)</f>
        <v>1.3333333333333339</v>
      </c>
      <c r="I194">
        <f t="shared" si="219"/>
        <v>-8.8616945698449161</v>
      </c>
      <c r="J194">
        <f t="shared" si="150"/>
        <v>1969</v>
      </c>
      <c r="K194">
        <f t="shared" si="151"/>
        <v>33</v>
      </c>
      <c r="L194">
        <f t="shared" si="152"/>
        <v>-253.979568138633</v>
      </c>
      <c r="M194" s="5">
        <v>1896</v>
      </c>
      <c r="N194" s="5">
        <v>-105</v>
      </c>
      <c r="O194" s="5">
        <v>-147.07733399110299</v>
      </c>
      <c r="Q194">
        <f t="shared" si="159"/>
        <v>5.8980070866125462</v>
      </c>
    </row>
    <row r="195" spans="1:17" x14ac:dyDescent="0.25">
      <c r="A195">
        <f t="shared" si="146"/>
        <v>1969.0833333333301</v>
      </c>
      <c r="B195">
        <f t="shared" si="147"/>
        <v>-109</v>
      </c>
      <c r="C195">
        <f t="shared" si="148"/>
        <v>-275.081388018437</v>
      </c>
      <c r="D195">
        <f t="shared" si="153"/>
        <v>-42.5</v>
      </c>
      <c r="E195">
        <f t="shared" si="154"/>
        <v>-5.8280454890050351</v>
      </c>
      <c r="F195">
        <f t="shared" si="156"/>
        <v>-4.333333333333333</v>
      </c>
      <c r="G195">
        <f t="shared" si="157"/>
        <v>-5.3975286566768172</v>
      </c>
      <c r="H195">
        <f t="shared" ref="H195:I195" si="220">+AVERAGE(F193:F197)</f>
        <v>-2.833333333333333</v>
      </c>
      <c r="I195">
        <f t="shared" si="220"/>
        <v>-9.2292899079096671</v>
      </c>
      <c r="J195">
        <f t="shared" si="150"/>
        <v>1969.0833333333301</v>
      </c>
      <c r="K195">
        <f t="shared" si="151"/>
        <v>-109</v>
      </c>
      <c r="L195">
        <f t="shared" si="152"/>
        <v>-275.081388018437</v>
      </c>
      <c r="M195" s="5">
        <v>1896.0833333333301</v>
      </c>
      <c r="N195" s="5">
        <v>-105</v>
      </c>
      <c r="O195" s="5">
        <v>-161.26873576743901</v>
      </c>
      <c r="Q195">
        <f t="shared" si="159"/>
        <v>1.0641953233434842</v>
      </c>
    </row>
    <row r="196" spans="1:17" x14ac:dyDescent="0.25">
      <c r="A196">
        <f t="shared" ref="A196:A259" si="221">+J196</f>
        <v>1969.1666666666599</v>
      </c>
      <c r="B196">
        <f t="shared" ref="B196:B259" si="222">+K196</f>
        <v>-166</v>
      </c>
      <c r="C196">
        <f t="shared" ref="C196:C259" si="223">+L196</f>
        <v>-284.52711692023098</v>
      </c>
      <c r="D196">
        <f t="shared" si="153"/>
        <v>-7</v>
      </c>
      <c r="E196">
        <f t="shared" si="154"/>
        <v>-3.6866004218745161</v>
      </c>
      <c r="F196">
        <f t="shared" si="156"/>
        <v>-15.833333333333334</v>
      </c>
      <c r="G196">
        <f t="shared" si="157"/>
        <v>-2.8800017855872131</v>
      </c>
      <c r="H196">
        <f t="shared" ref="H196:I196" si="224">+AVERAGE(F194:F198)</f>
        <v>-9</v>
      </c>
      <c r="I196">
        <f t="shared" si="224"/>
        <v>-5.4572625648750499</v>
      </c>
      <c r="J196">
        <f t="shared" ref="J196:J259" si="225">+$M1072</f>
        <v>1969.1666666666599</v>
      </c>
      <c r="K196">
        <f t="shared" ref="K196:K259" si="226">+$N1072</f>
        <v>-166</v>
      </c>
      <c r="L196">
        <f t="shared" ref="L196:L259" si="227">+$O1072</f>
        <v>-284.52711692023098</v>
      </c>
      <c r="M196" s="5">
        <v>1896.1666666666599</v>
      </c>
      <c r="N196" s="5">
        <v>-105</v>
      </c>
      <c r="O196" s="5">
        <v>-185.941247022629</v>
      </c>
      <c r="Q196">
        <f t="shared" si="159"/>
        <v>12.953331547746121</v>
      </c>
    </row>
    <row r="197" spans="1:17" x14ac:dyDescent="0.25">
      <c r="A197">
        <f t="shared" si="221"/>
        <v>1969.25</v>
      </c>
      <c r="B197">
        <f t="shared" si="222"/>
        <v>-209</v>
      </c>
      <c r="C197">
        <f t="shared" si="223"/>
        <v>-286.59964497827599</v>
      </c>
      <c r="D197">
        <f t="shared" ref="D197:D260" si="228">+B197-1/2*(B196+B198)</f>
        <v>2</v>
      </c>
      <c r="E197">
        <f t="shared" ref="E197:E260" si="229">+C197-1/2*(C196+C198)</f>
        <v>-1.2853607850724984</v>
      </c>
      <c r="F197">
        <f t="shared" si="156"/>
        <v>-9.5</v>
      </c>
      <c r="G197">
        <f t="shared" si="157"/>
        <v>-2.4093048173092031</v>
      </c>
      <c r="H197">
        <f t="shared" ref="H197:I197" si="230">+AVERAGE(F195:F199)</f>
        <v>-9.3000000000000007</v>
      </c>
      <c r="I197">
        <f t="shared" si="230"/>
        <v>-2.9080317593233151</v>
      </c>
      <c r="J197">
        <f t="shared" si="225"/>
        <v>1969.25</v>
      </c>
      <c r="K197">
        <f t="shared" si="226"/>
        <v>-209</v>
      </c>
      <c r="L197">
        <f t="shared" si="227"/>
        <v>-286.59964497827599</v>
      </c>
      <c r="M197" s="5">
        <v>1896.25</v>
      </c>
      <c r="N197" s="5">
        <v>-105</v>
      </c>
      <c r="O197" s="5">
        <v>-195.75717864686001</v>
      </c>
      <c r="Q197">
        <f t="shared" si="159"/>
        <v>7.0906951826907969</v>
      </c>
    </row>
    <row r="198" spans="1:17" x14ac:dyDescent="0.25">
      <c r="A198">
        <f t="shared" si="221"/>
        <v>1969.3333333333301</v>
      </c>
      <c r="B198">
        <f t="shared" si="222"/>
        <v>-256</v>
      </c>
      <c r="C198">
        <f t="shared" si="223"/>
        <v>-286.101451466176</v>
      </c>
      <c r="D198">
        <f t="shared" si="228"/>
        <v>-23.5</v>
      </c>
      <c r="E198">
        <f t="shared" si="229"/>
        <v>-4.0629318579624965</v>
      </c>
      <c r="F198">
        <f t="shared" ref="F198:F261" si="231">+AVERAGE(D197:D199)</f>
        <v>-7.166666666666667</v>
      </c>
      <c r="G198">
        <f t="shared" ref="G198:G261" si="232">+$H$1*AVERAGE(E197:E199)+$F$1</f>
        <v>-2.5348038115228064</v>
      </c>
      <c r="H198">
        <f t="shared" ref="H198:I198" si="233">+AVERAGE(F196:F200)</f>
        <v>-8.5</v>
      </c>
      <c r="I198">
        <f t="shared" si="233"/>
        <v>-1.9113784170159807</v>
      </c>
      <c r="J198">
        <f t="shared" si="225"/>
        <v>1969.3333333333301</v>
      </c>
      <c r="K198">
        <f t="shared" si="226"/>
        <v>-256</v>
      </c>
      <c r="L198">
        <f t="shared" si="227"/>
        <v>-286.101451466176</v>
      </c>
      <c r="M198" s="5">
        <v>1896.3333333333301</v>
      </c>
      <c r="N198" s="5">
        <v>-105</v>
      </c>
      <c r="O198" s="5">
        <v>-186.63298798531699</v>
      </c>
      <c r="Q198">
        <f t="shared" ref="Q198:Q261" si="234">+ABS(F198-G198)</f>
        <v>4.6318628551438605</v>
      </c>
    </row>
    <row r="199" spans="1:17" x14ac:dyDescent="0.25">
      <c r="A199">
        <f t="shared" si="221"/>
        <v>1969.4166666666599</v>
      </c>
      <c r="B199">
        <f t="shared" si="222"/>
        <v>-256</v>
      </c>
      <c r="C199">
        <f t="shared" si="223"/>
        <v>-277.47739423815102</v>
      </c>
      <c r="D199">
        <f t="shared" si="228"/>
        <v>0</v>
      </c>
      <c r="E199">
        <f t="shared" si="229"/>
        <v>-4.1572216501755292</v>
      </c>
      <c r="F199">
        <f t="shared" si="231"/>
        <v>-9.6666666666666661</v>
      </c>
      <c r="G199">
        <f t="shared" si="232"/>
        <v>-1.3185197255205368</v>
      </c>
      <c r="H199">
        <f t="shared" ref="H199:I199" si="235">+AVERAGE(F197:F201)</f>
        <v>-6.4666666666666668</v>
      </c>
      <c r="I199">
        <f t="shared" si="235"/>
        <v>-1.7873571311209648</v>
      </c>
      <c r="J199">
        <f t="shared" si="225"/>
        <v>1969.4166666666599</v>
      </c>
      <c r="K199">
        <f t="shared" si="226"/>
        <v>-256</v>
      </c>
      <c r="L199">
        <f t="shared" si="227"/>
        <v>-277.47739423815102</v>
      </c>
      <c r="M199" s="5">
        <v>1896.4166666666599</v>
      </c>
      <c r="N199" s="5">
        <v>-105</v>
      </c>
      <c r="O199" s="5">
        <v>-116.88368748734</v>
      </c>
      <c r="Q199">
        <f t="shared" si="234"/>
        <v>8.3481469411461298</v>
      </c>
    </row>
    <row r="200" spans="1:17" x14ac:dyDescent="0.25">
      <c r="A200">
        <f t="shared" si="221"/>
        <v>1969.5</v>
      </c>
      <c r="B200">
        <f t="shared" si="222"/>
        <v>-256</v>
      </c>
      <c r="C200">
        <f t="shared" si="223"/>
        <v>-260.53889370977498</v>
      </c>
      <c r="D200">
        <f t="shared" si="228"/>
        <v>-5.5</v>
      </c>
      <c r="E200">
        <f t="shared" si="229"/>
        <v>3.2757045374360132</v>
      </c>
      <c r="F200">
        <f t="shared" si="231"/>
        <v>-0.33333333333333331</v>
      </c>
      <c r="G200">
        <f t="shared" si="232"/>
        <v>-0.41426194514014397</v>
      </c>
      <c r="H200">
        <f t="shared" ref="H200:I200" si="236">+AVERAGE(F198:F202)</f>
        <v>-4.7333333333333325</v>
      </c>
      <c r="I200">
        <f t="shared" si="236"/>
        <v>-3.0241239991383795</v>
      </c>
      <c r="J200">
        <f t="shared" si="225"/>
        <v>1969.5</v>
      </c>
      <c r="K200">
        <f t="shared" si="226"/>
        <v>-256</v>
      </c>
      <c r="L200">
        <f t="shared" si="227"/>
        <v>-260.53889370977498</v>
      </c>
      <c r="M200" s="5">
        <v>1896.5</v>
      </c>
      <c r="N200" s="5">
        <v>-105</v>
      </c>
      <c r="O200" s="5">
        <v>48.003347414015501</v>
      </c>
      <c r="Q200">
        <f t="shared" si="234"/>
        <v>8.0928611806810657E-2</v>
      </c>
    </row>
    <row r="201" spans="1:17" x14ac:dyDescent="0.25">
      <c r="A201">
        <f t="shared" si="221"/>
        <v>1969.5833333333301</v>
      </c>
      <c r="B201">
        <f t="shared" si="222"/>
        <v>-245</v>
      </c>
      <c r="C201">
        <f t="shared" si="223"/>
        <v>-250.151802256271</v>
      </c>
      <c r="D201">
        <f t="shared" si="228"/>
        <v>4.5</v>
      </c>
      <c r="E201">
        <f t="shared" si="229"/>
        <v>-0.67196518153602369</v>
      </c>
      <c r="F201">
        <f t="shared" si="231"/>
        <v>-5.666666666666667</v>
      </c>
      <c r="G201">
        <f t="shared" si="232"/>
        <v>-2.2598953561121333</v>
      </c>
      <c r="H201">
        <f t="shared" ref="H201:I201" si="237">+AVERAGE(F199:F203)</f>
        <v>-6.0666666666666673</v>
      </c>
      <c r="I201">
        <f t="shared" si="237"/>
        <v>-7.3190626399566669</v>
      </c>
      <c r="J201">
        <f t="shared" si="225"/>
        <v>1969.5833333333301</v>
      </c>
      <c r="K201">
        <f t="shared" si="226"/>
        <v>-245</v>
      </c>
      <c r="L201">
        <f t="shared" si="227"/>
        <v>-250.151802256271</v>
      </c>
      <c r="M201" s="5">
        <v>1896.5833333333301</v>
      </c>
      <c r="N201" s="5">
        <v>-105</v>
      </c>
      <c r="O201" s="5">
        <v>70.125784578029297</v>
      </c>
      <c r="Q201">
        <f t="shared" si="234"/>
        <v>3.4067713105545336</v>
      </c>
    </row>
    <row r="202" spans="1:17" x14ac:dyDescent="0.25">
      <c r="A202">
        <f t="shared" si="221"/>
        <v>1969.6666666666599</v>
      </c>
      <c r="B202">
        <f t="shared" si="222"/>
        <v>-243</v>
      </c>
      <c r="C202">
        <f t="shared" si="223"/>
        <v>-238.42078043969499</v>
      </c>
      <c r="D202">
        <f t="shared" si="228"/>
        <v>-16</v>
      </c>
      <c r="E202">
        <f t="shared" si="229"/>
        <v>-11.07834694132049</v>
      </c>
      <c r="F202">
        <f t="shared" si="231"/>
        <v>-0.83333333333333337</v>
      </c>
      <c r="G202">
        <f t="shared" si="232"/>
        <v>-8.5931391573962781</v>
      </c>
      <c r="H202">
        <f t="shared" ref="H202:I202" si="238">+AVERAGE(F200:F204)</f>
        <v>-4.9000000000000004</v>
      </c>
      <c r="I202">
        <f t="shared" si="238"/>
        <v>-8.4373467138340601</v>
      </c>
      <c r="J202">
        <f t="shared" si="225"/>
        <v>1969.6666666666599</v>
      </c>
      <c r="K202">
        <f t="shared" si="226"/>
        <v>-243</v>
      </c>
      <c r="L202">
        <f t="shared" si="227"/>
        <v>-238.42078043969499</v>
      </c>
      <c r="M202" s="5">
        <v>1896.6666666666599</v>
      </c>
      <c r="N202" s="5">
        <v>-105</v>
      </c>
      <c r="O202" s="5">
        <v>27.394992784826101</v>
      </c>
      <c r="Q202">
        <f t="shared" si="234"/>
        <v>7.7598058240629451</v>
      </c>
    </row>
    <row r="203" spans="1:17" x14ac:dyDescent="0.25">
      <c r="A203">
        <f t="shared" si="221"/>
        <v>1969.75</v>
      </c>
      <c r="B203">
        <f t="shared" si="222"/>
        <v>-209</v>
      </c>
      <c r="C203">
        <f t="shared" si="223"/>
        <v>-204.53306474047801</v>
      </c>
      <c r="D203">
        <f t="shared" si="228"/>
        <v>9</v>
      </c>
      <c r="E203">
        <f t="shared" si="229"/>
        <v>-20.473959717379529</v>
      </c>
      <c r="F203">
        <f t="shared" si="231"/>
        <v>-13.833333333333334</v>
      </c>
      <c r="G203">
        <f t="shared" si="232"/>
        <v>-24.009497015614244</v>
      </c>
      <c r="H203">
        <f t="shared" ref="H203:I203" si="239">+AVERAGE(F201:F205)</f>
        <v>-5.7</v>
      </c>
      <c r="I203">
        <f t="shared" si="239"/>
        <v>-6.5530859250026978</v>
      </c>
      <c r="J203">
        <f t="shared" si="225"/>
        <v>1969.75</v>
      </c>
      <c r="K203">
        <f t="shared" si="226"/>
        <v>-209</v>
      </c>
      <c r="L203">
        <f t="shared" si="227"/>
        <v>-204.53306474047801</v>
      </c>
      <c r="M203" s="5">
        <v>1896.75</v>
      </c>
      <c r="N203" s="5">
        <v>-105</v>
      </c>
      <c r="O203" s="5">
        <v>-8.0535446665303301</v>
      </c>
      <c r="Q203">
        <f t="shared" si="234"/>
        <v>10.17616368228091</v>
      </c>
    </row>
    <row r="204" spans="1:17" x14ac:dyDescent="0.25">
      <c r="A204">
        <f t="shared" si="221"/>
        <v>1969.8333333333301</v>
      </c>
      <c r="B204">
        <f t="shared" si="222"/>
        <v>-193</v>
      </c>
      <c r="C204">
        <f t="shared" si="223"/>
        <v>-129.697429606502</v>
      </c>
      <c r="D204">
        <f t="shared" si="228"/>
        <v>-34.5</v>
      </c>
      <c r="E204">
        <f t="shared" si="229"/>
        <v>-58.483307149853388</v>
      </c>
      <c r="F204">
        <f t="shared" si="231"/>
        <v>-3.8333333333333335</v>
      </c>
      <c r="G204">
        <f t="shared" si="232"/>
        <v>-6.9099400949075012</v>
      </c>
      <c r="H204">
        <f t="shared" ref="H204:I204" si="240">+AVERAGE(F202:F206)</f>
        <v>-3.4333333333333327</v>
      </c>
      <c r="I204">
        <f t="shared" si="240"/>
        <v>-1.2954176360932883</v>
      </c>
      <c r="J204">
        <f t="shared" si="225"/>
        <v>1969.8333333333301</v>
      </c>
      <c r="K204">
        <f t="shared" si="226"/>
        <v>-193</v>
      </c>
      <c r="L204">
        <f t="shared" si="227"/>
        <v>-129.697429606502</v>
      </c>
      <c r="M204" s="5">
        <v>1896.8333333333301</v>
      </c>
      <c r="N204" s="5">
        <v>-105</v>
      </c>
      <c r="O204" s="5">
        <v>-52.145852282579703</v>
      </c>
      <c r="Q204">
        <f t="shared" si="234"/>
        <v>3.0766067615741677</v>
      </c>
    </row>
    <row r="205" spans="1:17" x14ac:dyDescent="0.25">
      <c r="A205">
        <f t="shared" si="221"/>
        <v>1969.9166666666599</v>
      </c>
      <c r="B205">
        <f t="shared" si="222"/>
        <v>-108</v>
      </c>
      <c r="C205">
        <f t="shared" si="223"/>
        <v>62.104819827180798</v>
      </c>
      <c r="D205">
        <f t="shared" si="228"/>
        <v>14</v>
      </c>
      <c r="E205">
        <f t="shared" si="229"/>
        <v>53.044991511329791</v>
      </c>
      <c r="F205">
        <f t="shared" si="231"/>
        <v>-4.333333333333333</v>
      </c>
      <c r="G205">
        <f t="shared" si="232"/>
        <v>9.007041999016673</v>
      </c>
      <c r="H205">
        <f t="shared" ref="H205:I205" si="241">+AVERAGE(F203:F207)</f>
        <v>-2</v>
      </c>
      <c r="I205">
        <f t="shared" si="241"/>
        <v>2.0086518487671206</v>
      </c>
      <c r="J205">
        <f t="shared" si="225"/>
        <v>1969.9166666666599</v>
      </c>
      <c r="K205">
        <f t="shared" si="226"/>
        <v>-108</v>
      </c>
      <c r="L205">
        <f t="shared" si="227"/>
        <v>62.104819827180798</v>
      </c>
      <c r="M205" s="5">
        <v>1896.9166666666599</v>
      </c>
      <c r="N205" s="5">
        <v>-105</v>
      </c>
      <c r="O205" s="5">
        <v>-81.015428528709506</v>
      </c>
      <c r="Q205">
        <f t="shared" si="234"/>
        <v>13.340375332350007</v>
      </c>
    </row>
    <row r="206" spans="1:17" x14ac:dyDescent="0.25">
      <c r="A206">
        <f t="shared" si="221"/>
        <v>1970</v>
      </c>
      <c r="B206">
        <f t="shared" si="222"/>
        <v>-51</v>
      </c>
      <c r="C206">
        <f t="shared" si="223"/>
        <v>147.81708623820401</v>
      </c>
      <c r="D206">
        <f t="shared" si="228"/>
        <v>7.5</v>
      </c>
      <c r="E206">
        <f t="shared" si="229"/>
        <v>39.21472313483612</v>
      </c>
      <c r="F206">
        <f t="shared" si="231"/>
        <v>5.666666666666667</v>
      </c>
      <c r="G206">
        <f t="shared" si="232"/>
        <v>24.028446088434908</v>
      </c>
      <c r="H206">
        <f t="shared" ref="H206:I206" si="242">+AVERAGE(F204:F208)</f>
        <v>6.6666666666666791E-2</v>
      </c>
      <c r="I206">
        <f t="shared" si="242"/>
        <v>6.4387672339911148</v>
      </c>
      <c r="J206">
        <f t="shared" si="225"/>
        <v>1970</v>
      </c>
      <c r="K206">
        <f t="shared" si="226"/>
        <v>-51</v>
      </c>
      <c r="L206">
        <f t="shared" si="227"/>
        <v>147.81708623820401</v>
      </c>
      <c r="M206" s="5">
        <v>1897</v>
      </c>
      <c r="N206" s="5">
        <v>-105</v>
      </c>
      <c r="O206" s="5">
        <v>-122.53750583596199</v>
      </c>
      <c r="Q206">
        <f t="shared" si="234"/>
        <v>18.36177942176824</v>
      </c>
    </row>
    <row r="207" spans="1:17" x14ac:dyDescent="0.25">
      <c r="A207">
        <f t="shared" si="221"/>
        <v>1970.0833333333301</v>
      </c>
      <c r="B207">
        <f t="shared" si="222"/>
        <v>-9</v>
      </c>
      <c r="C207">
        <f t="shared" si="223"/>
        <v>155.09990637955499</v>
      </c>
      <c r="D207">
        <f t="shared" si="228"/>
        <v>-4.5</v>
      </c>
      <c r="E207">
        <f t="shared" si="229"/>
        <v>-2.1530418145350154</v>
      </c>
      <c r="F207">
        <f t="shared" si="231"/>
        <v>6.333333333333333</v>
      </c>
      <c r="G207">
        <f t="shared" si="232"/>
        <v>7.9272082669057644</v>
      </c>
      <c r="H207">
        <f t="shared" ref="H207:I207" si="243">+AVERAGE(F205:F209)</f>
        <v>1.5666666666666669</v>
      </c>
      <c r="I207">
        <f t="shared" si="243"/>
        <v>7.7000246138874688</v>
      </c>
      <c r="J207">
        <f t="shared" si="225"/>
        <v>1970.0833333333301</v>
      </c>
      <c r="K207">
        <f t="shared" si="226"/>
        <v>-9</v>
      </c>
      <c r="L207">
        <f t="shared" si="227"/>
        <v>155.09990637955499</v>
      </c>
      <c r="M207" s="5">
        <v>1897.0833333333301</v>
      </c>
      <c r="N207" s="5">
        <v>-105</v>
      </c>
      <c r="O207" s="5">
        <v>-161.08875701306999</v>
      </c>
      <c r="Q207">
        <f t="shared" si="234"/>
        <v>1.5938749335724314</v>
      </c>
    </row>
    <row r="208" spans="1:17" x14ac:dyDescent="0.25">
      <c r="A208">
        <f t="shared" si="221"/>
        <v>1970.1666666666599</v>
      </c>
      <c r="B208">
        <f t="shared" si="222"/>
        <v>42</v>
      </c>
      <c r="C208">
        <f t="shared" si="223"/>
        <v>166.68881014997601</v>
      </c>
      <c r="D208">
        <f t="shared" si="228"/>
        <v>16</v>
      </c>
      <c r="E208">
        <f t="shared" si="229"/>
        <v>-7.3346503194044885</v>
      </c>
      <c r="F208">
        <f t="shared" si="231"/>
        <v>-3.5</v>
      </c>
      <c r="G208">
        <f t="shared" si="232"/>
        <v>-1.8589200894942679</v>
      </c>
      <c r="H208">
        <f t="shared" ref="H208:I208" si="244">+AVERAGE(F206:F210)</f>
        <v>2</v>
      </c>
      <c r="I208">
        <f t="shared" si="244"/>
        <v>6.61349052179696</v>
      </c>
      <c r="J208">
        <f t="shared" si="225"/>
        <v>1970.1666666666599</v>
      </c>
      <c r="K208">
        <f t="shared" si="226"/>
        <v>42</v>
      </c>
      <c r="L208">
        <f t="shared" si="227"/>
        <v>166.68881014997601</v>
      </c>
      <c r="M208" s="5">
        <v>1897.1666666666599</v>
      </c>
      <c r="N208" s="5">
        <v>-105</v>
      </c>
      <c r="O208" s="5">
        <v>-147.252603303423</v>
      </c>
      <c r="Q208">
        <f t="shared" si="234"/>
        <v>1.6410799105057321</v>
      </c>
    </row>
    <row r="209" spans="1:17" x14ac:dyDescent="0.25">
      <c r="A209">
        <f t="shared" si="221"/>
        <v>1970.25</v>
      </c>
      <c r="B209">
        <f t="shared" si="222"/>
        <v>61</v>
      </c>
      <c r="C209">
        <f t="shared" si="223"/>
        <v>192.947014559206</v>
      </c>
      <c r="D209">
        <f t="shared" si="228"/>
        <v>-22</v>
      </c>
      <c r="E209">
        <f t="shared" si="229"/>
        <v>2.5167417983359996</v>
      </c>
      <c r="F209">
        <f t="shared" si="231"/>
        <v>3.6666666666666665</v>
      </c>
      <c r="G209">
        <f t="shared" si="232"/>
        <v>-0.6036531954257347</v>
      </c>
      <c r="H209">
        <f t="shared" ref="H209:I209" si="245">+AVERAGE(F207:F211)</f>
        <v>2.8333333333333335</v>
      </c>
      <c r="I209">
        <f t="shared" si="245"/>
        <v>2.8474936771553128</v>
      </c>
      <c r="J209">
        <f t="shared" si="225"/>
        <v>1970.25</v>
      </c>
      <c r="K209">
        <f t="shared" si="226"/>
        <v>61</v>
      </c>
      <c r="L209">
        <f t="shared" si="227"/>
        <v>192.947014559206</v>
      </c>
      <c r="M209" s="5">
        <v>1897.25</v>
      </c>
      <c r="N209" s="5">
        <v>-105</v>
      </c>
      <c r="O209" s="5">
        <v>-91.2384858174931</v>
      </c>
      <c r="Q209">
        <f t="shared" si="234"/>
        <v>4.2703198620924017</v>
      </c>
    </row>
    <row r="210" spans="1:17" x14ac:dyDescent="0.25">
      <c r="A210">
        <f t="shared" si="221"/>
        <v>1970.3333333333301</v>
      </c>
      <c r="B210">
        <f t="shared" si="222"/>
        <v>124</v>
      </c>
      <c r="C210">
        <f t="shared" si="223"/>
        <v>214.17173537176399</v>
      </c>
      <c r="D210">
        <f t="shared" si="228"/>
        <v>17</v>
      </c>
      <c r="E210">
        <f t="shared" si="229"/>
        <v>2.554209038221984</v>
      </c>
      <c r="F210">
        <f t="shared" si="231"/>
        <v>-2.1666666666666665</v>
      </c>
      <c r="G210">
        <f t="shared" si="232"/>
        <v>3.5743715385641361</v>
      </c>
      <c r="H210">
        <f t="shared" ref="H210:I210" si="246">+AVERAGE(F208:F212)</f>
        <v>2.1333333333333337</v>
      </c>
      <c r="I210">
        <f t="shared" si="246"/>
        <v>1.9278657519102673</v>
      </c>
      <c r="J210">
        <f t="shared" si="225"/>
        <v>1970.3333333333301</v>
      </c>
      <c r="K210">
        <f t="shared" si="226"/>
        <v>124</v>
      </c>
      <c r="L210">
        <f t="shared" si="227"/>
        <v>214.17173537176399</v>
      </c>
      <c r="M210" s="5">
        <v>1897.3333333333301</v>
      </c>
      <c r="N210" s="5">
        <v>-105</v>
      </c>
      <c r="O210" s="5">
        <v>-35.458213705059798</v>
      </c>
      <c r="Q210">
        <f t="shared" si="234"/>
        <v>5.7410382052308027</v>
      </c>
    </row>
    <row r="211" spans="1:17" x14ac:dyDescent="0.25">
      <c r="A211">
        <f t="shared" si="221"/>
        <v>1970.4166666666599</v>
      </c>
      <c r="B211">
        <f t="shared" si="222"/>
        <v>153</v>
      </c>
      <c r="C211">
        <f t="shared" si="223"/>
        <v>230.28803810787801</v>
      </c>
      <c r="D211">
        <f t="shared" si="228"/>
        <v>-1.5</v>
      </c>
      <c r="E211">
        <f t="shared" si="229"/>
        <v>8.332942433057525</v>
      </c>
      <c r="F211">
        <f t="shared" si="231"/>
        <v>9.8333333333333339</v>
      </c>
      <c r="G211">
        <f t="shared" si="232"/>
        <v>5.1984618652266672</v>
      </c>
      <c r="H211">
        <f t="shared" ref="H211:I211" si="247">+AVERAGE(F209:F213)</f>
        <v>3.2</v>
      </c>
      <c r="I211">
        <f t="shared" si="247"/>
        <v>2.3064573727275475</v>
      </c>
      <c r="J211">
        <f t="shared" si="225"/>
        <v>1970.4166666666599</v>
      </c>
      <c r="K211">
        <f t="shared" si="226"/>
        <v>153</v>
      </c>
      <c r="L211">
        <f t="shared" si="227"/>
        <v>230.28803810787801</v>
      </c>
      <c r="M211" s="5">
        <v>1897.4166666666599</v>
      </c>
      <c r="N211" s="5">
        <v>-105</v>
      </c>
      <c r="O211" s="5">
        <v>25.766597485932401</v>
      </c>
      <c r="Q211">
        <f t="shared" si="234"/>
        <v>4.6348714681066667</v>
      </c>
    </row>
    <row r="212" spans="1:17" x14ac:dyDescent="0.25">
      <c r="A212">
        <f t="shared" si="221"/>
        <v>1970.5</v>
      </c>
      <c r="B212">
        <f t="shared" si="222"/>
        <v>185</v>
      </c>
      <c r="C212">
        <f t="shared" si="223"/>
        <v>229.73845597787701</v>
      </c>
      <c r="D212">
        <f t="shared" si="228"/>
        <v>14</v>
      </c>
      <c r="E212">
        <f t="shared" si="229"/>
        <v>8.6070805233204908</v>
      </c>
      <c r="F212">
        <f t="shared" si="231"/>
        <v>2.8333333333333335</v>
      </c>
      <c r="G212">
        <f t="shared" si="232"/>
        <v>3.3290686406805357</v>
      </c>
      <c r="H212">
        <f t="shared" ref="H212:I212" si="248">+AVERAGE(F210:F214)</f>
        <v>2.6000000000000005</v>
      </c>
      <c r="I212">
        <f t="shared" si="248"/>
        <v>2.4845683767517346</v>
      </c>
      <c r="J212">
        <f t="shared" si="225"/>
        <v>1970.5</v>
      </c>
      <c r="K212">
        <f t="shared" si="226"/>
        <v>185</v>
      </c>
      <c r="L212">
        <f t="shared" si="227"/>
        <v>229.73845597787701</v>
      </c>
      <c r="M212" s="5">
        <v>1897.5</v>
      </c>
      <c r="N212" s="5">
        <v>-105</v>
      </c>
      <c r="O212" s="5">
        <v>21.305294904348202</v>
      </c>
      <c r="Q212">
        <f t="shared" si="234"/>
        <v>0.49573530734720217</v>
      </c>
    </row>
    <row r="213" spans="1:17" x14ac:dyDescent="0.25">
      <c r="A213">
        <f t="shared" si="221"/>
        <v>1970.5833333333301</v>
      </c>
      <c r="B213">
        <f t="shared" si="222"/>
        <v>189</v>
      </c>
      <c r="C213">
        <f t="shared" si="223"/>
        <v>211.974712801235</v>
      </c>
      <c r="D213">
        <f t="shared" si="228"/>
        <v>-4</v>
      </c>
      <c r="E213">
        <f t="shared" si="229"/>
        <v>-4.4560155538260062</v>
      </c>
      <c r="F213">
        <f t="shared" si="231"/>
        <v>1.8333333333333333</v>
      </c>
      <c r="G213">
        <f t="shared" si="232"/>
        <v>3.4038014592132036E-2</v>
      </c>
      <c r="H213">
        <f t="shared" ref="H213:I213" si="249">+AVERAGE(F211:F215)</f>
        <v>3.9333333333333336</v>
      </c>
      <c r="I213">
        <f t="shared" si="249"/>
        <v>3.4466156932371748</v>
      </c>
      <c r="J213">
        <f t="shared" si="225"/>
        <v>1970.5833333333301</v>
      </c>
      <c r="K213">
        <f t="shared" si="226"/>
        <v>189</v>
      </c>
      <c r="L213">
        <f t="shared" si="227"/>
        <v>211.974712801235</v>
      </c>
      <c r="M213" s="5">
        <v>1897.5833333333301</v>
      </c>
      <c r="N213" s="5">
        <v>-105</v>
      </c>
      <c r="O213" s="5">
        <v>-26.8455191285098</v>
      </c>
      <c r="Q213">
        <f t="shared" si="234"/>
        <v>1.7992953187412013</v>
      </c>
    </row>
    <row r="214" spans="1:17" x14ac:dyDescent="0.25">
      <c r="A214">
        <f t="shared" si="221"/>
        <v>1970.6666666666599</v>
      </c>
      <c r="B214">
        <f t="shared" si="222"/>
        <v>201</v>
      </c>
      <c r="C214">
        <f t="shared" si="223"/>
        <v>203.123000732245</v>
      </c>
      <c r="D214">
        <f t="shared" si="228"/>
        <v>-4.5</v>
      </c>
      <c r="E214">
        <f t="shared" si="229"/>
        <v>-4.0234224147739894</v>
      </c>
      <c r="F214">
        <f t="shared" si="231"/>
        <v>0.66666666666666663</v>
      </c>
      <c r="G214">
        <f t="shared" si="232"/>
        <v>0.28690182469520098</v>
      </c>
      <c r="H214">
        <f t="shared" ref="H214:I214" si="250">+AVERAGE(F212:F216)</f>
        <v>6.7666666666666675</v>
      </c>
      <c r="I214">
        <f t="shared" si="250"/>
        <v>8.8225242142129332</v>
      </c>
      <c r="J214">
        <f t="shared" si="225"/>
        <v>1970.6666666666599</v>
      </c>
      <c r="K214">
        <f t="shared" si="226"/>
        <v>201</v>
      </c>
      <c r="L214">
        <f t="shared" si="227"/>
        <v>203.123000732245</v>
      </c>
      <c r="M214" s="5">
        <v>1897.6666666666599</v>
      </c>
      <c r="N214" s="5">
        <v>-105</v>
      </c>
      <c r="O214" s="5">
        <v>6.9429430444754399</v>
      </c>
      <c r="Q214">
        <f t="shared" si="234"/>
        <v>0.37976484197146565</v>
      </c>
    </row>
    <row r="215" spans="1:17" x14ac:dyDescent="0.25">
      <c r="A215">
        <f t="shared" si="221"/>
        <v>1970.75</v>
      </c>
      <c r="B215">
        <f t="shared" si="222"/>
        <v>222</v>
      </c>
      <c r="C215">
        <f t="shared" si="223"/>
        <v>202.31813349280301</v>
      </c>
      <c r="D215">
        <f t="shared" si="228"/>
        <v>10.5</v>
      </c>
      <c r="E215">
        <f t="shared" si="229"/>
        <v>9.5553198112069992</v>
      </c>
      <c r="F215">
        <f t="shared" si="231"/>
        <v>4.5</v>
      </c>
      <c r="G215">
        <f t="shared" si="232"/>
        <v>8.3846081209913343</v>
      </c>
      <c r="H215">
        <f t="shared" ref="H215:I215" si="251">+AVERAGE(F213:F217)</f>
        <v>11.433333333333334</v>
      </c>
      <c r="I215">
        <f t="shared" si="251"/>
        <v>10.205303981760666</v>
      </c>
      <c r="J215">
        <f t="shared" si="225"/>
        <v>1970.75</v>
      </c>
      <c r="K215">
        <f t="shared" si="226"/>
        <v>222</v>
      </c>
      <c r="L215">
        <f t="shared" si="227"/>
        <v>202.31813349280301</v>
      </c>
      <c r="M215" s="5">
        <v>1897.75</v>
      </c>
      <c r="N215" s="5">
        <v>-105</v>
      </c>
      <c r="O215" s="5">
        <v>32.829963555405797</v>
      </c>
      <c r="Q215">
        <f t="shared" si="234"/>
        <v>3.8846081209913343</v>
      </c>
    </row>
    <row r="216" spans="1:17" x14ac:dyDescent="0.25">
      <c r="A216">
        <f t="shared" si="221"/>
        <v>1970.8333333333301</v>
      </c>
      <c r="B216">
        <f t="shared" si="222"/>
        <v>222</v>
      </c>
      <c r="C216">
        <f t="shared" si="223"/>
        <v>182.402626630947</v>
      </c>
      <c r="D216">
        <f t="shared" si="228"/>
        <v>7.5</v>
      </c>
      <c r="E216">
        <f t="shared" si="229"/>
        <v>25.910383057284491</v>
      </c>
      <c r="F216">
        <f t="shared" si="231"/>
        <v>24</v>
      </c>
      <c r="G216">
        <f t="shared" si="232"/>
        <v>32.078004470105462</v>
      </c>
      <c r="H216">
        <f t="shared" ref="H216:I216" si="252">+AVERAGE(F214:F218)</f>
        <v>13.133333333333335</v>
      </c>
      <c r="I216">
        <f t="shared" si="252"/>
        <v>9.0392741029534385</v>
      </c>
      <c r="J216">
        <f t="shared" si="225"/>
        <v>1970.8333333333301</v>
      </c>
      <c r="K216">
        <f t="shared" si="226"/>
        <v>222</v>
      </c>
      <c r="L216">
        <f t="shared" si="227"/>
        <v>182.402626630947</v>
      </c>
      <c r="M216" s="5">
        <v>1897.8333333333301</v>
      </c>
      <c r="N216" s="5">
        <v>-105</v>
      </c>
      <c r="O216" s="5">
        <v>-27.832737530117999</v>
      </c>
      <c r="Q216">
        <f t="shared" si="234"/>
        <v>8.0780044701054621</v>
      </c>
    </row>
    <row r="217" spans="1:17" x14ac:dyDescent="0.25">
      <c r="A217">
        <f t="shared" si="221"/>
        <v>1970.9166666666599</v>
      </c>
      <c r="B217">
        <f t="shared" si="222"/>
        <v>207</v>
      </c>
      <c r="C217">
        <f t="shared" si="223"/>
        <v>110.666353654522</v>
      </c>
      <c r="D217">
        <f t="shared" si="228"/>
        <v>54</v>
      </c>
      <c r="E217">
        <f t="shared" si="229"/>
        <v>84.826813894403998</v>
      </c>
      <c r="F217">
        <f t="shared" si="231"/>
        <v>26.166666666666668</v>
      </c>
      <c r="G217">
        <f t="shared" si="232"/>
        <v>10.242967478419201</v>
      </c>
      <c r="H217">
        <f t="shared" ref="H217:I217" si="253">+AVERAGE(F215:F219)</f>
        <v>10.8</v>
      </c>
      <c r="I217">
        <f t="shared" si="253"/>
        <v>2.9156942741123983</v>
      </c>
      <c r="J217">
        <f t="shared" si="225"/>
        <v>1970.9166666666599</v>
      </c>
      <c r="K217">
        <f t="shared" si="226"/>
        <v>207</v>
      </c>
      <c r="L217">
        <f t="shared" si="227"/>
        <v>110.666353654522</v>
      </c>
      <c r="M217" s="5">
        <v>1897.9166666666599</v>
      </c>
      <c r="N217" s="5">
        <v>-105</v>
      </c>
      <c r="O217" s="5">
        <v>-97.571175343583306</v>
      </c>
      <c r="Q217">
        <f t="shared" si="234"/>
        <v>15.923699188247467</v>
      </c>
    </row>
    <row r="218" spans="1:17" x14ac:dyDescent="0.25">
      <c r="A218">
        <f t="shared" si="221"/>
        <v>1971</v>
      </c>
      <c r="B218">
        <f t="shared" si="222"/>
        <v>84</v>
      </c>
      <c r="C218">
        <f t="shared" si="223"/>
        <v>-130.723547110711</v>
      </c>
      <c r="D218">
        <f t="shared" si="228"/>
        <v>17</v>
      </c>
      <c r="E218">
        <f t="shared" si="229"/>
        <v>-72.326068907616488</v>
      </c>
      <c r="F218">
        <f t="shared" si="231"/>
        <v>10.333333333333334</v>
      </c>
      <c r="G218">
        <f t="shared" si="232"/>
        <v>-5.7961113794440058</v>
      </c>
      <c r="H218">
        <f t="shared" ref="H218:I218" si="254">+AVERAGE(F216:F220)</f>
        <v>5.2000000000000011</v>
      </c>
      <c r="I218">
        <f t="shared" si="254"/>
        <v>-1.1877976580204845</v>
      </c>
      <c r="J218">
        <f t="shared" si="225"/>
        <v>1971</v>
      </c>
      <c r="K218">
        <f t="shared" si="226"/>
        <v>84</v>
      </c>
      <c r="L218">
        <f t="shared" si="227"/>
        <v>-130.723547110711</v>
      </c>
      <c r="M218" s="5">
        <v>1898</v>
      </c>
      <c r="N218" s="5">
        <v>-105</v>
      </c>
      <c r="O218" s="5">
        <v>-158.85925642152</v>
      </c>
      <c r="Q218">
        <f t="shared" si="234"/>
        <v>16.129444712777339</v>
      </c>
    </row>
    <row r="219" spans="1:17" x14ac:dyDescent="0.25">
      <c r="A219">
        <f t="shared" si="221"/>
        <v>1971.0833333333301</v>
      </c>
      <c r="B219">
        <f t="shared" si="222"/>
        <v>-73</v>
      </c>
      <c r="C219">
        <f t="shared" si="223"/>
        <v>-227.46131006071101</v>
      </c>
      <c r="D219">
        <f t="shared" si="228"/>
        <v>-40</v>
      </c>
      <c r="E219">
        <f t="shared" si="229"/>
        <v>-34.236162659702529</v>
      </c>
      <c r="F219">
        <f t="shared" si="231"/>
        <v>-11</v>
      </c>
      <c r="G219">
        <f t="shared" si="232"/>
        <v>-30.330997319510004</v>
      </c>
      <c r="H219">
        <f t="shared" ref="H219:I219" si="255">+AVERAGE(F217:F221)</f>
        <v>-1.7</v>
      </c>
      <c r="I219">
        <f t="shared" si="255"/>
        <v>-8.5122329107855794</v>
      </c>
      <c r="J219">
        <f t="shared" si="225"/>
        <v>1971.0833333333301</v>
      </c>
      <c r="K219">
        <f t="shared" si="226"/>
        <v>-73</v>
      </c>
      <c r="L219">
        <f t="shared" si="227"/>
        <v>-227.46131006071101</v>
      </c>
      <c r="M219" s="5">
        <v>1898.0833333333301</v>
      </c>
      <c r="N219" s="5">
        <v>-105</v>
      </c>
      <c r="O219" s="5">
        <v>-191.94098510153401</v>
      </c>
      <c r="Q219">
        <f t="shared" si="234"/>
        <v>19.330997319510004</v>
      </c>
    </row>
    <row r="220" spans="1:17" x14ac:dyDescent="0.25">
      <c r="A220">
        <f t="shared" si="221"/>
        <v>1971.1666666666599</v>
      </c>
      <c r="B220">
        <f t="shared" si="222"/>
        <v>-150</v>
      </c>
      <c r="C220">
        <f t="shared" si="223"/>
        <v>-255.726747691306</v>
      </c>
      <c r="D220">
        <f t="shared" si="228"/>
        <v>-10</v>
      </c>
      <c r="E220">
        <f t="shared" si="229"/>
        <v>-7.1790083808434986</v>
      </c>
      <c r="F220">
        <f t="shared" si="231"/>
        <v>-23.5</v>
      </c>
      <c r="G220">
        <f t="shared" si="232"/>
        <v>-12.132851539673077</v>
      </c>
      <c r="H220">
        <f t="shared" ref="H220:I220" si="256">+AVERAGE(F218:F222)</f>
        <v>-8.7333333333333325</v>
      </c>
      <c r="I220">
        <f t="shared" si="256"/>
        <v>-11.120050381583633</v>
      </c>
      <c r="J220">
        <f t="shared" si="225"/>
        <v>1971.1666666666599</v>
      </c>
      <c r="K220">
        <f t="shared" si="226"/>
        <v>-150</v>
      </c>
      <c r="L220">
        <f t="shared" si="227"/>
        <v>-255.726747691306</v>
      </c>
      <c r="M220" s="5">
        <v>1898.1666666666599</v>
      </c>
      <c r="N220" s="5">
        <v>-105</v>
      </c>
      <c r="O220" s="5">
        <v>-199.87032643154899</v>
      </c>
      <c r="Q220">
        <f t="shared" si="234"/>
        <v>11.367148460326923</v>
      </c>
    </row>
    <row r="221" spans="1:17" x14ac:dyDescent="0.25">
      <c r="A221">
        <f t="shared" si="221"/>
        <v>1971.25</v>
      </c>
      <c r="B221">
        <f t="shared" si="222"/>
        <v>-207</v>
      </c>
      <c r="C221">
        <f t="shared" si="223"/>
        <v>-269.63416856021399</v>
      </c>
      <c r="D221">
        <f t="shared" si="228"/>
        <v>-20.5</v>
      </c>
      <c r="E221">
        <f t="shared" si="229"/>
        <v>-4.0830222332280073</v>
      </c>
      <c r="F221">
        <f t="shared" si="231"/>
        <v>-10.5</v>
      </c>
      <c r="G221">
        <f t="shared" si="232"/>
        <v>-4.544171793720011</v>
      </c>
      <c r="H221">
        <f t="shared" ref="H221:I221" si="257">+AVERAGE(F219:F223)</f>
        <v>-10.5</v>
      </c>
      <c r="I221">
        <f t="shared" si="257"/>
        <v>-10.203401407872029</v>
      </c>
      <c r="J221">
        <f t="shared" si="225"/>
        <v>1971.25</v>
      </c>
      <c r="K221">
        <f t="shared" si="226"/>
        <v>-207</v>
      </c>
      <c r="L221">
        <f t="shared" si="227"/>
        <v>-269.63416856021399</v>
      </c>
      <c r="M221" s="5">
        <v>1898.25</v>
      </c>
      <c r="N221" s="5">
        <v>-105</v>
      </c>
      <c r="O221" s="5">
        <v>-210.97401699369601</v>
      </c>
      <c r="Q221">
        <f t="shared" si="234"/>
        <v>5.955828206279989</v>
      </c>
    </row>
    <row r="222" spans="1:17" x14ac:dyDescent="0.25">
      <c r="A222">
        <f t="shared" si="221"/>
        <v>1971.3333333333301</v>
      </c>
      <c r="B222">
        <f t="shared" si="222"/>
        <v>-223</v>
      </c>
      <c r="C222">
        <f t="shared" si="223"/>
        <v>-275.37554496266603</v>
      </c>
      <c r="D222">
        <f t="shared" si="228"/>
        <v>-1</v>
      </c>
      <c r="E222">
        <f t="shared" si="229"/>
        <v>-5.7786136123785354</v>
      </c>
      <c r="F222">
        <f t="shared" si="231"/>
        <v>-9</v>
      </c>
      <c r="G222">
        <f t="shared" si="232"/>
        <v>-2.7961198755710637</v>
      </c>
      <c r="H222">
        <f t="shared" ref="H222:I222" si="258">+AVERAGE(F220:F224)</f>
        <v>-8.7666666666666675</v>
      </c>
      <c r="I222">
        <f t="shared" si="258"/>
        <v>-4.086074817572344</v>
      </c>
      <c r="J222">
        <f t="shared" si="225"/>
        <v>1971.3333333333301</v>
      </c>
      <c r="K222">
        <f t="shared" si="226"/>
        <v>-223</v>
      </c>
      <c r="L222">
        <f t="shared" si="227"/>
        <v>-275.37554496266603</v>
      </c>
      <c r="M222" s="5">
        <v>1898.3333333333301</v>
      </c>
      <c r="N222" s="5">
        <v>-105</v>
      </c>
      <c r="O222" s="5">
        <v>-209.250483163686</v>
      </c>
      <c r="Q222">
        <f t="shared" si="234"/>
        <v>6.2038801244289363</v>
      </c>
    </row>
    <row r="223" spans="1:17" x14ac:dyDescent="0.25">
      <c r="A223">
        <f t="shared" si="221"/>
        <v>1971.4166666666599</v>
      </c>
      <c r="B223">
        <f t="shared" si="222"/>
        <v>-237</v>
      </c>
      <c r="C223">
        <f t="shared" si="223"/>
        <v>-269.55969414036099</v>
      </c>
      <c r="D223">
        <f t="shared" si="228"/>
        <v>-5.5</v>
      </c>
      <c r="E223">
        <f t="shared" si="229"/>
        <v>-0.62381368778494561</v>
      </c>
      <c r="F223">
        <f t="shared" si="231"/>
        <v>1.5</v>
      </c>
      <c r="G223">
        <f t="shared" si="232"/>
        <v>-1.2128665108859877</v>
      </c>
      <c r="H223">
        <f t="shared" ref="H223:I223" si="259">+AVERAGE(F221:F225)</f>
        <v>-5.0333333333333332</v>
      </c>
      <c r="I223">
        <f t="shared" si="259"/>
        <v>-1.5270111234671415</v>
      </c>
      <c r="J223">
        <f t="shared" si="225"/>
        <v>1971.4166666666599</v>
      </c>
      <c r="K223">
        <f t="shared" si="226"/>
        <v>-237</v>
      </c>
      <c r="L223">
        <f t="shared" si="227"/>
        <v>-269.55969414036099</v>
      </c>
      <c r="M223" s="5">
        <v>1898.4166666666599</v>
      </c>
      <c r="N223" s="5">
        <v>-105</v>
      </c>
      <c r="O223" s="5">
        <v>-166.28510133350599</v>
      </c>
      <c r="Q223">
        <f t="shared" si="234"/>
        <v>2.7128665108859877</v>
      </c>
    </row>
    <row r="224" spans="1:17" x14ac:dyDescent="0.25">
      <c r="A224">
        <f t="shared" si="221"/>
        <v>1971.5</v>
      </c>
      <c r="B224">
        <f t="shared" si="222"/>
        <v>-240</v>
      </c>
      <c r="C224">
        <f t="shared" si="223"/>
        <v>-262.496215942486</v>
      </c>
      <c r="D224">
        <f t="shared" si="228"/>
        <v>11</v>
      </c>
      <c r="E224">
        <f t="shared" si="229"/>
        <v>1.854177884341027</v>
      </c>
      <c r="F224">
        <f t="shared" si="231"/>
        <v>-2.3333333333333335</v>
      </c>
      <c r="G224">
        <f t="shared" si="232"/>
        <v>0.25563563198841927</v>
      </c>
      <c r="H224">
        <f t="shared" ref="H224:I224" si="260">+AVERAGE(F222:F226)</f>
        <v>-4.0666666666666673</v>
      </c>
      <c r="I224">
        <f t="shared" si="260"/>
        <v>-0.84358360513372654</v>
      </c>
      <c r="J224">
        <f t="shared" si="225"/>
        <v>1971.5</v>
      </c>
      <c r="K224">
        <f t="shared" si="226"/>
        <v>-240</v>
      </c>
      <c r="L224">
        <f t="shared" si="227"/>
        <v>-262.496215942486</v>
      </c>
      <c r="M224" s="5">
        <v>1898.5</v>
      </c>
      <c r="N224" s="5">
        <v>-105</v>
      </c>
      <c r="O224" s="5">
        <v>-98.920578177116298</v>
      </c>
      <c r="Q224">
        <f t="shared" si="234"/>
        <v>2.5889689653217527</v>
      </c>
    </row>
    <row r="225" spans="1:17" x14ac:dyDescent="0.25">
      <c r="A225">
        <f t="shared" si="221"/>
        <v>1971.5833333333301</v>
      </c>
      <c r="B225">
        <f t="shared" si="222"/>
        <v>-265</v>
      </c>
      <c r="C225">
        <f t="shared" si="223"/>
        <v>-259.14109351329301</v>
      </c>
      <c r="D225">
        <f t="shared" si="228"/>
        <v>-12.5</v>
      </c>
      <c r="E225">
        <f t="shared" si="229"/>
        <v>-0.27173057659950928</v>
      </c>
      <c r="F225">
        <f t="shared" si="231"/>
        <v>-4.833333333333333</v>
      </c>
      <c r="G225">
        <f t="shared" si="232"/>
        <v>0.66246693085293673</v>
      </c>
      <c r="H225">
        <f t="shared" ref="H225:I225" si="261">+AVERAGE(F223:F227)</f>
        <v>-2.2666666666666666</v>
      </c>
      <c r="I225">
        <f t="shared" si="261"/>
        <v>-1.0237186478407954</v>
      </c>
      <c r="J225">
        <f t="shared" si="225"/>
        <v>1971.5833333333301</v>
      </c>
      <c r="K225">
        <f t="shared" si="226"/>
        <v>-265</v>
      </c>
      <c r="L225">
        <f t="shared" si="227"/>
        <v>-259.14109351329301</v>
      </c>
      <c r="M225" s="5">
        <v>1898.5833333333301</v>
      </c>
      <c r="N225" s="5">
        <v>-105</v>
      </c>
      <c r="O225" s="5">
        <v>-57.995450851742902</v>
      </c>
      <c r="Q225">
        <f t="shared" si="234"/>
        <v>5.4958002641862702</v>
      </c>
    </row>
    <row r="226" spans="1:17" x14ac:dyDescent="0.25">
      <c r="A226">
        <f t="shared" si="221"/>
        <v>1971.6666666666599</v>
      </c>
      <c r="B226">
        <f t="shared" si="222"/>
        <v>-265</v>
      </c>
      <c r="C226">
        <f t="shared" si="223"/>
        <v>-255.24250993090101</v>
      </c>
      <c r="D226">
        <f t="shared" si="228"/>
        <v>-13</v>
      </c>
      <c r="E226">
        <f t="shared" si="229"/>
        <v>0.90180368295699509</v>
      </c>
      <c r="F226">
        <f t="shared" si="231"/>
        <v>-5.666666666666667</v>
      </c>
      <c r="G226">
        <f t="shared" si="232"/>
        <v>-1.1270342020529369</v>
      </c>
      <c r="H226">
        <f t="shared" ref="H226:I226" si="262">+AVERAGE(F224:F228)</f>
        <v>-2.1333333333333333</v>
      </c>
      <c r="I226">
        <f t="shared" si="262"/>
        <v>-1.5713960441795192</v>
      </c>
      <c r="J226">
        <f t="shared" si="225"/>
        <v>1971.6666666666599</v>
      </c>
      <c r="K226">
        <f t="shared" si="226"/>
        <v>-265</v>
      </c>
      <c r="L226">
        <f t="shared" si="227"/>
        <v>-255.24250993090101</v>
      </c>
      <c r="M226" s="5">
        <v>1898.6666666666599</v>
      </c>
      <c r="N226" s="5">
        <v>-105</v>
      </c>
      <c r="O226" s="5">
        <v>-62.782583688288597</v>
      </c>
      <c r="Q226">
        <f t="shared" si="234"/>
        <v>4.5396324646137298</v>
      </c>
    </row>
    <row r="227" spans="1:17" x14ac:dyDescent="0.25">
      <c r="A227">
        <f t="shared" si="221"/>
        <v>1971.75</v>
      </c>
      <c r="B227">
        <f t="shared" si="222"/>
        <v>-239</v>
      </c>
      <c r="C227">
        <f t="shared" si="223"/>
        <v>-253.14753371442299</v>
      </c>
      <c r="D227">
        <f t="shared" si="228"/>
        <v>8.5</v>
      </c>
      <c r="E227">
        <f t="shared" si="229"/>
        <v>-4.8564513640559994</v>
      </c>
      <c r="F227">
        <f t="shared" si="231"/>
        <v>0</v>
      </c>
      <c r="G227">
        <f t="shared" si="232"/>
        <v>-3.6967950891064074</v>
      </c>
      <c r="H227">
        <f t="shared" ref="H227:I227" si="263">+AVERAGE(F225:F229)</f>
        <v>-1.9333333333333336</v>
      </c>
      <c r="I227">
        <f t="shared" si="263"/>
        <v>-2.1021685797962162</v>
      </c>
      <c r="J227">
        <f t="shared" si="225"/>
        <v>1971.75</v>
      </c>
      <c r="K227">
        <f t="shared" si="226"/>
        <v>-239</v>
      </c>
      <c r="L227">
        <f t="shared" si="227"/>
        <v>-253.14753371442299</v>
      </c>
      <c r="M227" s="5">
        <v>1898.75</v>
      </c>
      <c r="N227" s="5">
        <v>-105</v>
      </c>
      <c r="O227" s="5">
        <v>-110.168438645169</v>
      </c>
      <c r="Q227">
        <f t="shared" si="234"/>
        <v>3.6967950891064074</v>
      </c>
    </row>
    <row r="228" spans="1:17" x14ac:dyDescent="0.25">
      <c r="A228">
        <f t="shared" si="221"/>
        <v>1971.8333333333301</v>
      </c>
      <c r="B228">
        <f t="shared" si="222"/>
        <v>-230</v>
      </c>
      <c r="C228">
        <f t="shared" si="223"/>
        <v>-241.339654769833</v>
      </c>
      <c r="D228">
        <f t="shared" si="228"/>
        <v>4.5</v>
      </c>
      <c r="E228">
        <f t="shared" si="229"/>
        <v>-9.9083339030500213</v>
      </c>
      <c r="F228">
        <f t="shared" si="231"/>
        <v>2.1666666666666665</v>
      </c>
      <c r="G228">
        <f t="shared" si="232"/>
        <v>-3.9512534925796068</v>
      </c>
      <c r="H228">
        <f t="shared" ref="H228:I228" si="264">+AVERAGE(F226:F230)</f>
        <v>-1.3666666666666667</v>
      </c>
      <c r="I228">
        <f t="shared" si="264"/>
        <v>-2.8628700681016159</v>
      </c>
      <c r="J228">
        <f t="shared" si="225"/>
        <v>1971.8333333333301</v>
      </c>
      <c r="K228">
        <f t="shared" si="226"/>
        <v>-230</v>
      </c>
      <c r="L228">
        <f t="shared" si="227"/>
        <v>-241.339654769833</v>
      </c>
      <c r="M228" s="5">
        <v>1898.8333333333301</v>
      </c>
      <c r="N228" s="5">
        <v>-105</v>
      </c>
      <c r="O228" s="5">
        <v>-129.28771272889901</v>
      </c>
      <c r="Q228">
        <f t="shared" si="234"/>
        <v>6.1179201592462729</v>
      </c>
    </row>
    <row r="229" spans="1:17" x14ac:dyDescent="0.25">
      <c r="A229">
        <f t="shared" si="221"/>
        <v>1971.9166666666599</v>
      </c>
      <c r="B229">
        <f t="shared" si="222"/>
        <v>-230</v>
      </c>
      <c r="C229">
        <f t="shared" si="223"/>
        <v>-209.715108019143</v>
      </c>
      <c r="D229">
        <f t="shared" si="228"/>
        <v>-6.5</v>
      </c>
      <c r="E229">
        <f t="shared" si="229"/>
        <v>-5.2415330067503874E-2</v>
      </c>
      <c r="F229">
        <f t="shared" si="231"/>
        <v>-1.3333333333333333</v>
      </c>
      <c r="G229">
        <f t="shared" si="232"/>
        <v>-2.3982270460950685</v>
      </c>
      <c r="H229">
        <f t="shared" ref="H229:I229" si="265">+AVERAGE(F227:F231)</f>
        <v>-0.10000000000000002</v>
      </c>
      <c r="I229">
        <f t="shared" si="265"/>
        <v>-5.3219275748078161</v>
      </c>
      <c r="J229">
        <f t="shared" si="225"/>
        <v>1971.9166666666599</v>
      </c>
      <c r="K229">
        <f t="shared" si="226"/>
        <v>-230</v>
      </c>
      <c r="L229">
        <f t="shared" si="227"/>
        <v>-209.715108019143</v>
      </c>
      <c r="M229" s="5">
        <v>1898.9166666666599</v>
      </c>
      <c r="N229" s="5">
        <v>-105</v>
      </c>
      <c r="O229" s="5">
        <v>-130.19757707681299</v>
      </c>
      <c r="Q229">
        <f t="shared" si="234"/>
        <v>1.0648937127617353</v>
      </c>
    </row>
    <row r="230" spans="1:17" x14ac:dyDescent="0.25">
      <c r="A230">
        <f t="shared" si="221"/>
        <v>1972</v>
      </c>
      <c r="B230">
        <f t="shared" si="222"/>
        <v>-217</v>
      </c>
      <c r="C230">
        <f t="shared" si="223"/>
        <v>-177.98573060831799</v>
      </c>
      <c r="D230">
        <f t="shared" si="228"/>
        <v>-2</v>
      </c>
      <c r="E230">
        <f t="shared" si="229"/>
        <v>0.96739781026101923</v>
      </c>
      <c r="F230">
        <f t="shared" si="231"/>
        <v>-2</v>
      </c>
      <c r="G230">
        <f t="shared" si="232"/>
        <v>-3.141040510674058</v>
      </c>
      <c r="H230">
        <f t="shared" ref="H230:I230" si="266">+AVERAGE(F228:F232)</f>
        <v>-0.66666666666666674</v>
      </c>
      <c r="I230">
        <f t="shared" si="266"/>
        <v>-7.5812123252136248</v>
      </c>
      <c r="J230">
        <f t="shared" si="225"/>
        <v>1972</v>
      </c>
      <c r="K230">
        <f t="shared" si="226"/>
        <v>-217</v>
      </c>
      <c r="L230">
        <f t="shared" si="227"/>
        <v>-177.98573060831799</v>
      </c>
      <c r="M230" s="5">
        <v>1899</v>
      </c>
      <c r="N230" s="5">
        <v>-105</v>
      </c>
      <c r="O230" s="5">
        <v>-162.26132900924301</v>
      </c>
      <c r="Q230">
        <f t="shared" si="234"/>
        <v>1.141040510674058</v>
      </c>
    </row>
    <row r="231" spans="1:17" x14ac:dyDescent="0.25">
      <c r="A231">
        <f t="shared" si="221"/>
        <v>1972.0833333333301</v>
      </c>
      <c r="B231">
        <f t="shared" si="222"/>
        <v>-200</v>
      </c>
      <c r="C231">
        <f t="shared" si="223"/>
        <v>-148.19114881801499</v>
      </c>
      <c r="D231">
        <f t="shared" si="228"/>
        <v>2.5</v>
      </c>
      <c r="E231">
        <f t="shared" si="229"/>
        <v>-12.693884395221232</v>
      </c>
      <c r="F231">
        <f t="shared" si="231"/>
        <v>0.66666666666666663</v>
      </c>
      <c r="G231">
        <f t="shared" si="232"/>
        <v>-13.422321735583939</v>
      </c>
      <c r="H231">
        <f t="shared" ref="H231:I231" si="267">+AVERAGE(F229:F233)</f>
        <v>-8.2666666666666675</v>
      </c>
      <c r="I231">
        <f t="shared" si="267"/>
        <v>-6.8949373395645681</v>
      </c>
      <c r="J231">
        <f t="shared" si="225"/>
        <v>1972.0833333333301</v>
      </c>
      <c r="K231">
        <f t="shared" si="226"/>
        <v>-200</v>
      </c>
      <c r="L231">
        <f t="shared" si="227"/>
        <v>-148.19114881801499</v>
      </c>
      <c r="M231" s="5">
        <v>1899.0833333333301</v>
      </c>
      <c r="N231" s="5">
        <v>-105</v>
      </c>
      <c r="O231" s="5">
        <v>-181.685706349203</v>
      </c>
      <c r="Q231">
        <f t="shared" si="234"/>
        <v>14.088988402250605</v>
      </c>
    </row>
    <row r="232" spans="1:17" x14ac:dyDescent="0.25">
      <c r="A232">
        <f t="shared" si="221"/>
        <v>1972.1666666666599</v>
      </c>
      <c r="B232">
        <f t="shared" si="222"/>
        <v>-188</v>
      </c>
      <c r="C232">
        <f t="shared" si="223"/>
        <v>-93.008798237269502</v>
      </c>
      <c r="D232">
        <f t="shared" si="228"/>
        <v>1.5</v>
      </c>
      <c r="E232">
        <f t="shared" si="229"/>
        <v>-38.607219923479555</v>
      </c>
      <c r="F232">
        <f t="shared" si="231"/>
        <v>-2.8333333333333335</v>
      </c>
      <c r="G232">
        <f t="shared" si="232"/>
        <v>-14.993218841135452</v>
      </c>
      <c r="H232">
        <f t="shared" ref="H232:I232" si="268">+AVERAGE(F230:F234)</f>
        <v>-9.1666666666666679</v>
      </c>
      <c r="I232">
        <f t="shared" si="268"/>
        <v>-3.2862617452595115</v>
      </c>
      <c r="J232">
        <f t="shared" si="225"/>
        <v>1972.1666666666599</v>
      </c>
      <c r="K232">
        <f t="shared" si="226"/>
        <v>-188</v>
      </c>
      <c r="L232">
        <f t="shared" si="227"/>
        <v>-93.008798237269502</v>
      </c>
      <c r="M232" s="5">
        <v>1899.1666666666599</v>
      </c>
      <c r="N232" s="5">
        <v>-105</v>
      </c>
      <c r="O232" s="5">
        <v>-167.79654043847</v>
      </c>
      <c r="Q232">
        <f t="shared" si="234"/>
        <v>12.159885507802118</v>
      </c>
    </row>
    <row r="233" spans="1:17" x14ac:dyDescent="0.25">
      <c r="A233">
        <f t="shared" si="221"/>
        <v>1972.25</v>
      </c>
      <c r="B233">
        <f t="shared" si="222"/>
        <v>-179</v>
      </c>
      <c r="C233">
        <f t="shared" si="223"/>
        <v>39.387992190435099</v>
      </c>
      <c r="D233">
        <f t="shared" si="228"/>
        <v>-12.5</v>
      </c>
      <c r="E233">
        <f t="shared" si="229"/>
        <v>-4.9234663355571513</v>
      </c>
      <c r="F233">
        <f t="shared" si="231"/>
        <v>-35.833333333333336</v>
      </c>
      <c r="G233">
        <f t="shared" si="232"/>
        <v>-0.51987856433433044</v>
      </c>
      <c r="H233">
        <f t="shared" ref="H233:I233" si="269">+AVERAGE(F231:F235)</f>
        <v>-8.1333333333333346</v>
      </c>
      <c r="I233">
        <f t="shared" si="269"/>
        <v>1.2006704735225771</v>
      </c>
      <c r="J233">
        <f t="shared" si="225"/>
        <v>1972.25</v>
      </c>
      <c r="K233">
        <f t="shared" si="226"/>
        <v>-179</v>
      </c>
      <c r="L233">
        <f t="shared" si="227"/>
        <v>39.387992190435099</v>
      </c>
      <c r="M233" s="5">
        <v>1899.25</v>
      </c>
      <c r="N233" s="5">
        <v>-105</v>
      </c>
      <c r="O233" s="5">
        <v>-124.05293712066501</v>
      </c>
      <c r="Q233">
        <f t="shared" si="234"/>
        <v>35.313454768999009</v>
      </c>
    </row>
    <row r="234" spans="1:17" x14ac:dyDescent="0.25">
      <c r="A234">
        <f t="shared" si="221"/>
        <v>1972.3333333333301</v>
      </c>
      <c r="B234">
        <f t="shared" si="222"/>
        <v>-145</v>
      </c>
      <c r="C234">
        <f t="shared" si="223"/>
        <v>181.631715289254</v>
      </c>
      <c r="D234">
        <f t="shared" si="228"/>
        <v>-96.5</v>
      </c>
      <c r="E234">
        <f t="shared" si="229"/>
        <v>41.581141642782967</v>
      </c>
      <c r="F234">
        <f t="shared" si="231"/>
        <v>-5.833333333333333</v>
      </c>
      <c r="G234">
        <f t="shared" si="232"/>
        <v>15.645150925430213</v>
      </c>
      <c r="H234">
        <f t="shared" ref="H234:I234" si="270">+AVERAGE(F232:F236)</f>
        <v>-0.8333333333333357</v>
      </c>
      <c r="I234">
        <f t="shared" si="270"/>
        <v>5.7588977125953109</v>
      </c>
      <c r="J234">
        <f t="shared" si="225"/>
        <v>1972.3333333333301</v>
      </c>
      <c r="K234">
        <f t="shared" si="226"/>
        <v>-145</v>
      </c>
      <c r="L234">
        <f t="shared" si="227"/>
        <v>181.631715289254</v>
      </c>
      <c r="M234" s="5">
        <v>1899.3333333333301</v>
      </c>
      <c r="N234" s="5">
        <v>-105</v>
      </c>
      <c r="O234" s="5">
        <v>14.2184838324153</v>
      </c>
      <c r="Q234">
        <f t="shared" si="234"/>
        <v>21.478484258763547</v>
      </c>
    </row>
    <row r="235" spans="1:17" x14ac:dyDescent="0.25">
      <c r="A235">
        <f t="shared" si="221"/>
        <v>1972.4166666666599</v>
      </c>
      <c r="B235">
        <f t="shared" si="222"/>
        <v>82</v>
      </c>
      <c r="C235">
        <f t="shared" si="223"/>
        <v>240.71315510250699</v>
      </c>
      <c r="D235">
        <f t="shared" si="228"/>
        <v>91.5</v>
      </c>
      <c r="E235">
        <f t="shared" si="229"/>
        <v>22.011640663137484</v>
      </c>
      <c r="F235">
        <f t="shared" si="231"/>
        <v>3.1666666666666665</v>
      </c>
      <c r="G235">
        <f t="shared" si="232"/>
        <v>19.293620583236393</v>
      </c>
      <c r="H235">
        <f t="shared" ref="H235:I235" si="271">+AVERAGE(F233:F237)</f>
        <v>0.56666666666666488</v>
      </c>
      <c r="I235">
        <f t="shared" si="271"/>
        <v>9.5926533577074125</v>
      </c>
      <c r="J235">
        <f t="shared" si="225"/>
        <v>1972.4166666666599</v>
      </c>
      <c r="K235">
        <f t="shared" si="226"/>
        <v>82</v>
      </c>
      <c r="L235">
        <f t="shared" si="227"/>
        <v>240.71315510250699</v>
      </c>
      <c r="M235" s="5">
        <v>1899.4166666666599</v>
      </c>
      <c r="N235" s="5">
        <v>-105</v>
      </c>
      <c r="O235" s="5">
        <v>109.303750980343</v>
      </c>
      <c r="Q235">
        <f t="shared" si="234"/>
        <v>16.126953916569725</v>
      </c>
    </row>
    <row r="236" spans="1:17" x14ac:dyDescent="0.25">
      <c r="A236">
        <f t="shared" si="221"/>
        <v>1972.5</v>
      </c>
      <c r="B236">
        <f t="shared" si="222"/>
        <v>126</v>
      </c>
      <c r="C236">
        <f t="shared" si="223"/>
        <v>255.771313589485</v>
      </c>
      <c r="D236">
        <f t="shared" si="228"/>
        <v>14.5</v>
      </c>
      <c r="E236">
        <f t="shared" si="229"/>
        <v>8.7582948812160168</v>
      </c>
      <c r="F236">
        <f t="shared" si="231"/>
        <v>37.166666666666664</v>
      </c>
      <c r="G236">
        <f t="shared" si="232"/>
        <v>9.3688144597797258</v>
      </c>
      <c r="H236">
        <f t="shared" ref="H236:I236" si="272">+AVERAGE(F234:F238)</f>
        <v>8.1</v>
      </c>
      <c r="I236">
        <f t="shared" si="272"/>
        <v>9.9743953983635834</v>
      </c>
      <c r="J236">
        <f t="shared" si="225"/>
        <v>1972.5</v>
      </c>
      <c r="K236">
        <f t="shared" si="226"/>
        <v>126</v>
      </c>
      <c r="L236">
        <f t="shared" si="227"/>
        <v>255.771313589485</v>
      </c>
      <c r="M236" s="5">
        <v>1899.5</v>
      </c>
      <c r="N236" s="5">
        <v>-105</v>
      </c>
      <c r="O236" s="5">
        <v>75.170227379273001</v>
      </c>
      <c r="Q236">
        <f t="shared" si="234"/>
        <v>27.797852206886937</v>
      </c>
    </row>
    <row r="237" spans="1:17" x14ac:dyDescent="0.25">
      <c r="A237">
        <f t="shared" si="221"/>
        <v>1972.5833333333301</v>
      </c>
      <c r="B237">
        <f t="shared" si="222"/>
        <v>141</v>
      </c>
      <c r="C237">
        <f t="shared" si="223"/>
        <v>253.31288231403099</v>
      </c>
      <c r="D237">
        <f t="shared" si="228"/>
        <v>5.5</v>
      </c>
      <c r="E237">
        <f t="shared" si="229"/>
        <v>4.3631186798204737</v>
      </c>
      <c r="F237">
        <f t="shared" si="231"/>
        <v>4.166666666666667</v>
      </c>
      <c r="G237">
        <f t="shared" si="232"/>
        <v>4.1755593844250596</v>
      </c>
      <c r="H237">
        <f t="shared" ref="H237:I237" si="273">+AVERAGE(F235:F239)</f>
        <v>9.5333333333333332</v>
      </c>
      <c r="I237">
        <f t="shared" si="273"/>
        <v>7.4241747195565555</v>
      </c>
      <c r="J237">
        <f t="shared" si="225"/>
        <v>1972.5833333333301</v>
      </c>
      <c r="K237">
        <f t="shared" si="226"/>
        <v>141</v>
      </c>
      <c r="L237">
        <f t="shared" si="227"/>
        <v>253.31288231403099</v>
      </c>
      <c r="M237" s="5">
        <v>1899.5833333333301</v>
      </c>
      <c r="N237" s="5">
        <v>-105</v>
      </c>
      <c r="O237" s="5">
        <v>-15.582263657410399</v>
      </c>
      <c r="Q237">
        <f t="shared" si="234"/>
        <v>8.8927177583926209E-3</v>
      </c>
    </row>
    <row r="238" spans="1:17" x14ac:dyDescent="0.25">
      <c r="A238">
        <f t="shared" si="221"/>
        <v>1972.6666666666599</v>
      </c>
      <c r="B238">
        <f t="shared" si="222"/>
        <v>145</v>
      </c>
      <c r="C238">
        <f t="shared" si="223"/>
        <v>242.12821367893599</v>
      </c>
      <c r="D238">
        <f t="shared" si="228"/>
        <v>-7.5</v>
      </c>
      <c r="E238">
        <f t="shared" si="229"/>
        <v>2.5369341305574835</v>
      </c>
      <c r="F238">
        <f t="shared" si="231"/>
        <v>1.8333333333333333</v>
      </c>
      <c r="G238">
        <f t="shared" si="232"/>
        <v>1.3888316389465294</v>
      </c>
      <c r="H238">
        <f t="shared" ref="H238:I238" si="274">+AVERAGE(F236:F240)</f>
        <v>12.766666666666666</v>
      </c>
      <c r="I238">
        <f t="shared" si="274"/>
        <v>7.1830992675028877</v>
      </c>
      <c r="J238">
        <f t="shared" si="225"/>
        <v>1972.6666666666599</v>
      </c>
      <c r="K238">
        <f t="shared" si="226"/>
        <v>145</v>
      </c>
      <c r="L238">
        <f t="shared" si="227"/>
        <v>242.12821367893599</v>
      </c>
      <c r="M238" s="5">
        <v>1899.6666666666599</v>
      </c>
      <c r="N238" s="5">
        <v>-105</v>
      </c>
      <c r="O238" s="5">
        <v>-25.935180330800801</v>
      </c>
      <c r="Q238">
        <f t="shared" si="234"/>
        <v>0.44450169438680387</v>
      </c>
    </row>
    <row r="239" spans="1:17" x14ac:dyDescent="0.25">
      <c r="A239">
        <f t="shared" si="221"/>
        <v>1972.75</v>
      </c>
      <c r="B239">
        <f t="shared" si="222"/>
        <v>164</v>
      </c>
      <c r="C239">
        <f t="shared" si="223"/>
        <v>225.869676782726</v>
      </c>
      <c r="D239">
        <f t="shared" si="228"/>
        <v>7.5</v>
      </c>
      <c r="E239">
        <f t="shared" si="229"/>
        <v>-1.6919341643284724</v>
      </c>
      <c r="F239">
        <f t="shared" si="231"/>
        <v>1.3333333333333333</v>
      </c>
      <c r="G239">
        <f t="shared" si="232"/>
        <v>2.8940475313950706</v>
      </c>
      <c r="H239">
        <f t="shared" ref="H239:I239" si="275">+AVERAGE(F237:F241)</f>
        <v>13.133333333333331</v>
      </c>
      <c r="I239">
        <f t="shared" si="275"/>
        <v>10.155500401603788</v>
      </c>
      <c r="J239">
        <f t="shared" si="225"/>
        <v>1972.75</v>
      </c>
      <c r="K239">
        <f t="shared" si="226"/>
        <v>164</v>
      </c>
      <c r="L239">
        <f t="shared" si="227"/>
        <v>225.869676782726</v>
      </c>
      <c r="M239" s="5">
        <v>1899.75</v>
      </c>
      <c r="N239" s="5">
        <v>-105</v>
      </c>
      <c r="O239" s="5">
        <v>55.578891198173302</v>
      </c>
      <c r="Q239">
        <f t="shared" si="234"/>
        <v>1.5607141980617374</v>
      </c>
    </row>
    <row r="240" spans="1:17" x14ac:dyDescent="0.25">
      <c r="A240">
        <f t="shared" si="221"/>
        <v>1972.8333333333301</v>
      </c>
      <c r="B240">
        <f t="shared" si="222"/>
        <v>168</v>
      </c>
      <c r="C240">
        <f t="shared" si="223"/>
        <v>212.99500821517299</v>
      </c>
      <c r="D240">
        <f t="shared" si="228"/>
        <v>4</v>
      </c>
      <c r="E240">
        <f t="shared" si="229"/>
        <v>10.007678276502503</v>
      </c>
      <c r="F240">
        <f t="shared" si="231"/>
        <v>19.333333333333332</v>
      </c>
      <c r="G240">
        <f t="shared" si="232"/>
        <v>18.088243322968051</v>
      </c>
      <c r="H240">
        <f t="shared" ref="H240:I240" si="276">+AVERAGE(F238:F242)</f>
        <v>13.766666666666666</v>
      </c>
      <c r="I240">
        <f t="shared" si="276"/>
        <v>10.01271900289083</v>
      </c>
      <c r="J240">
        <f t="shared" si="225"/>
        <v>1972.8333333333301</v>
      </c>
      <c r="K240">
        <f t="shared" si="226"/>
        <v>168</v>
      </c>
      <c r="L240">
        <f t="shared" si="227"/>
        <v>212.99500821517299</v>
      </c>
      <c r="M240" s="5">
        <v>1899.8333333333301</v>
      </c>
      <c r="N240" s="5">
        <v>-105</v>
      </c>
      <c r="O240" s="5">
        <v>138.39587246022401</v>
      </c>
      <c r="Q240">
        <f t="shared" si="234"/>
        <v>1.2450900103652813</v>
      </c>
    </row>
    <row r="241" spans="1:17" x14ac:dyDescent="0.25">
      <c r="A241">
        <f t="shared" si="221"/>
        <v>1972.9166666666599</v>
      </c>
      <c r="B241">
        <f t="shared" si="222"/>
        <v>164</v>
      </c>
      <c r="C241">
        <f t="shared" si="223"/>
        <v>180.10498309461499</v>
      </c>
      <c r="D241">
        <f t="shared" si="228"/>
        <v>46.5</v>
      </c>
      <c r="E241">
        <f t="shared" si="229"/>
        <v>59.515168348956152</v>
      </c>
      <c r="F241">
        <f t="shared" si="231"/>
        <v>39</v>
      </c>
      <c r="G241">
        <f t="shared" si="232"/>
        <v>24.230820130284229</v>
      </c>
      <c r="H241">
        <f t="shared" ref="H241:I241" si="277">+AVERAGE(F239:F243)</f>
        <v>10.166666666666666</v>
      </c>
      <c r="I241">
        <f t="shared" si="277"/>
        <v>6.4485427261151953</v>
      </c>
      <c r="J241">
        <f t="shared" si="225"/>
        <v>1972.9166666666599</v>
      </c>
      <c r="K241">
        <f t="shared" si="226"/>
        <v>164</v>
      </c>
      <c r="L241">
        <f t="shared" si="227"/>
        <v>180.10498309461499</v>
      </c>
      <c r="M241" s="5">
        <v>1899.9166666666599</v>
      </c>
      <c r="N241" s="5">
        <v>-105</v>
      </c>
      <c r="O241" s="5">
        <v>151.368121956984</v>
      </c>
      <c r="Q241">
        <f t="shared" si="234"/>
        <v>14.769179869715771</v>
      </c>
    </row>
    <row r="242" spans="1:17" x14ac:dyDescent="0.25">
      <c r="A242">
        <f t="shared" si="221"/>
        <v>1973</v>
      </c>
      <c r="B242">
        <f t="shared" si="222"/>
        <v>67</v>
      </c>
      <c r="C242">
        <f t="shared" si="223"/>
        <v>28.1846212761447</v>
      </c>
      <c r="D242">
        <f t="shared" si="228"/>
        <v>66.5</v>
      </c>
      <c r="E242">
        <f t="shared" si="229"/>
        <v>21.342728863107201</v>
      </c>
      <c r="F242">
        <f t="shared" si="231"/>
        <v>7.333333333333333</v>
      </c>
      <c r="G242">
        <f t="shared" si="232"/>
        <v>3.4616523908602668</v>
      </c>
      <c r="H242">
        <f t="shared" ref="H242:I242" si="278">+AVERAGE(F240:F244)</f>
        <v>2.2333333333333298</v>
      </c>
      <c r="I242">
        <f t="shared" si="278"/>
        <v>0.94581900932448382</v>
      </c>
      <c r="J242">
        <f t="shared" si="225"/>
        <v>1973</v>
      </c>
      <c r="K242">
        <f t="shared" si="226"/>
        <v>67</v>
      </c>
      <c r="L242">
        <f t="shared" si="227"/>
        <v>28.1846212761447</v>
      </c>
      <c r="M242" s="5">
        <v>1900</v>
      </c>
      <c r="N242" s="5">
        <v>-105</v>
      </c>
      <c r="O242" s="5">
        <v>86.925059810613803</v>
      </c>
      <c r="Q242">
        <f t="shared" si="234"/>
        <v>3.8716809424730663</v>
      </c>
    </row>
    <row r="243" spans="1:17" x14ac:dyDescent="0.25">
      <c r="A243">
        <f t="shared" si="221"/>
        <v>1973.0833333333301</v>
      </c>
      <c r="B243">
        <f t="shared" si="222"/>
        <v>-163</v>
      </c>
      <c r="C243">
        <f t="shared" si="223"/>
        <v>-166.42119826854</v>
      </c>
      <c r="D243">
        <f t="shared" si="228"/>
        <v>-91</v>
      </c>
      <c r="E243">
        <f t="shared" si="229"/>
        <v>-67.876700746337349</v>
      </c>
      <c r="F243">
        <f t="shared" si="231"/>
        <v>-16.166666666666668</v>
      </c>
      <c r="G243">
        <f t="shared" si="232"/>
        <v>-16.432049744931639</v>
      </c>
      <c r="H243">
        <f t="shared" ref="H243:I243" si="279">+AVERAGE(F241:F245)</f>
        <v>-2.3666666666666667</v>
      </c>
      <c r="I243">
        <f t="shared" si="279"/>
        <v>-4.1061889741472068</v>
      </c>
      <c r="J243">
        <f t="shared" si="225"/>
        <v>1973.0833333333301</v>
      </c>
      <c r="K243">
        <f t="shared" si="226"/>
        <v>-163</v>
      </c>
      <c r="L243">
        <f t="shared" si="227"/>
        <v>-166.42119826854</v>
      </c>
      <c r="M243" s="5">
        <v>1900.0833333333301</v>
      </c>
      <c r="N243" s="5">
        <v>-105</v>
      </c>
      <c r="O243" s="5">
        <v>-45.705257531072</v>
      </c>
      <c r="Q243">
        <f t="shared" si="234"/>
        <v>0.26538307826497132</v>
      </c>
    </row>
    <row r="244" spans="1:17" x14ac:dyDescent="0.25">
      <c r="A244">
        <f t="shared" si="221"/>
        <v>1973.1666666666599</v>
      </c>
      <c r="B244">
        <f t="shared" si="222"/>
        <v>-211</v>
      </c>
      <c r="C244">
        <f t="shared" si="223"/>
        <v>-225.27361632054999</v>
      </c>
      <c r="D244">
        <f t="shared" si="228"/>
        <v>-24</v>
      </c>
      <c r="E244">
        <f t="shared" si="229"/>
        <v>-15.086214660263494</v>
      </c>
      <c r="F244">
        <f t="shared" si="231"/>
        <v>-38.333333333333336</v>
      </c>
      <c r="G244">
        <f t="shared" si="232"/>
        <v>-24.619571052558491</v>
      </c>
      <c r="H244">
        <f t="shared" ref="H244:I244" si="280">+AVERAGE(F242:F246)</f>
        <v>-10.166666666666668</v>
      </c>
      <c r="I244">
        <f t="shared" si="280"/>
        <v>-9.5858520576094666</v>
      </c>
      <c r="J244">
        <f t="shared" si="225"/>
        <v>1973.1666666666599</v>
      </c>
      <c r="K244">
        <f t="shared" si="226"/>
        <v>-211</v>
      </c>
      <c r="L244">
        <f t="shared" si="227"/>
        <v>-225.27361632054999</v>
      </c>
      <c r="M244" s="5">
        <v>1900.1666666666599</v>
      </c>
      <c r="N244" s="5">
        <v>-105</v>
      </c>
      <c r="O244" s="5">
        <v>-144.69771429622401</v>
      </c>
      <c r="Q244">
        <f t="shared" si="234"/>
        <v>13.713762280774844</v>
      </c>
    </row>
    <row r="245" spans="1:17" x14ac:dyDescent="0.25">
      <c r="A245">
        <f t="shared" si="221"/>
        <v>1973.25</v>
      </c>
      <c r="B245">
        <f t="shared" si="222"/>
        <v>-211</v>
      </c>
      <c r="C245">
        <f t="shared" si="223"/>
        <v>-253.953605052033</v>
      </c>
      <c r="D245">
        <f t="shared" si="228"/>
        <v>0</v>
      </c>
      <c r="E245">
        <f t="shared" si="229"/>
        <v>-9.360476040493495</v>
      </c>
      <c r="F245">
        <f t="shared" si="231"/>
        <v>-3.6666666666666665</v>
      </c>
      <c r="G245">
        <f t="shared" si="232"/>
        <v>-7.171796594390397</v>
      </c>
      <c r="H245">
        <f t="shared" ref="H245:I245" si="281">+AVERAGE(F243:F247)</f>
        <v>-12.6</v>
      </c>
      <c r="I245">
        <f t="shared" si="281"/>
        <v>-10.558669621579705</v>
      </c>
      <c r="J245">
        <f t="shared" si="225"/>
        <v>1973.25</v>
      </c>
      <c r="K245">
        <f t="shared" si="226"/>
        <v>-211</v>
      </c>
      <c r="L245">
        <f t="shared" si="227"/>
        <v>-253.953605052033</v>
      </c>
      <c r="M245" s="5">
        <v>1900.25</v>
      </c>
      <c r="N245" s="5">
        <v>-105</v>
      </c>
      <c r="O245" s="5">
        <v>-206.019292012758</v>
      </c>
      <c r="Q245">
        <f t="shared" si="234"/>
        <v>3.5051299277237304</v>
      </c>
    </row>
    <row r="246" spans="1:17" x14ac:dyDescent="0.25">
      <c r="A246">
        <f t="shared" si="221"/>
        <v>1973.3333333333301</v>
      </c>
      <c r="B246">
        <f t="shared" si="222"/>
        <v>-211</v>
      </c>
      <c r="C246">
        <f t="shared" si="223"/>
        <v>-263.91264170252902</v>
      </c>
      <c r="D246">
        <f t="shared" si="228"/>
        <v>13</v>
      </c>
      <c r="E246">
        <f t="shared" si="229"/>
        <v>-2.447546528206999</v>
      </c>
      <c r="F246">
        <f t="shared" si="231"/>
        <v>0</v>
      </c>
      <c r="G246">
        <f t="shared" si="232"/>
        <v>-3.1674952870270623</v>
      </c>
      <c r="H246">
        <f t="shared" ref="H246:I246" si="282">+AVERAGE(F244:F248)</f>
        <v>-10.4</v>
      </c>
      <c r="I246">
        <f t="shared" si="282"/>
        <v>-7.4288595829696691</v>
      </c>
      <c r="J246">
        <f t="shared" si="225"/>
        <v>1973.3333333333301</v>
      </c>
      <c r="K246">
        <f t="shared" si="226"/>
        <v>-211</v>
      </c>
      <c r="L246">
        <f t="shared" si="227"/>
        <v>-263.91264170252902</v>
      </c>
      <c r="M246" s="5">
        <v>1900.3333333333301</v>
      </c>
      <c r="N246" s="5">
        <v>-105</v>
      </c>
      <c r="O246" s="5">
        <v>-228.42046792464299</v>
      </c>
      <c r="Q246">
        <f t="shared" si="234"/>
        <v>3.1674952870270623</v>
      </c>
    </row>
    <row r="247" spans="1:17" x14ac:dyDescent="0.25">
      <c r="A247">
        <f t="shared" si="221"/>
        <v>1973.4166666666599</v>
      </c>
      <c r="B247">
        <f t="shared" si="222"/>
        <v>-237</v>
      </c>
      <c r="C247">
        <f t="shared" si="223"/>
        <v>-268.97658529661101</v>
      </c>
      <c r="D247">
        <f t="shared" si="228"/>
        <v>-13</v>
      </c>
      <c r="E247">
        <f t="shared" si="229"/>
        <v>-7.0084757650988649E-2</v>
      </c>
      <c r="F247">
        <f t="shared" si="231"/>
        <v>-4.833333333333333</v>
      </c>
      <c r="G247">
        <f t="shared" si="232"/>
        <v>-1.4024354289909298</v>
      </c>
      <c r="H247">
        <f t="shared" ref="H247:I247" si="283">+AVERAGE(F245:F249)</f>
        <v>-3.166666666666667</v>
      </c>
      <c r="I247">
        <f t="shared" si="283"/>
        <v>-2.6766825974553847</v>
      </c>
      <c r="J247">
        <f t="shared" si="225"/>
        <v>1973.4166666666599</v>
      </c>
      <c r="K247">
        <f t="shared" si="226"/>
        <v>-237</v>
      </c>
      <c r="L247">
        <f t="shared" si="227"/>
        <v>-268.97658529661101</v>
      </c>
      <c r="M247" s="5">
        <v>1900.4166666666599</v>
      </c>
      <c r="N247" s="5">
        <v>-105</v>
      </c>
      <c r="O247" s="5">
        <v>-234.11886828973999</v>
      </c>
      <c r="Q247">
        <f t="shared" si="234"/>
        <v>3.4308979043424035</v>
      </c>
    </row>
    <row r="248" spans="1:17" x14ac:dyDescent="0.25">
      <c r="A248">
        <f t="shared" si="221"/>
        <v>1973.5</v>
      </c>
      <c r="B248">
        <f t="shared" si="222"/>
        <v>-237</v>
      </c>
      <c r="C248">
        <f t="shared" si="223"/>
        <v>-273.90035937539102</v>
      </c>
      <c r="D248">
        <f t="shared" si="228"/>
        <v>-14.5</v>
      </c>
      <c r="E248">
        <f t="shared" si="229"/>
        <v>-2.7415015728579988</v>
      </c>
      <c r="F248">
        <f t="shared" si="231"/>
        <v>-5.166666666666667</v>
      </c>
      <c r="G248">
        <f t="shared" si="232"/>
        <v>-0.78299955188146375</v>
      </c>
      <c r="H248">
        <f t="shared" ref="H248:I248" si="284">+AVERAGE(F246:F250)</f>
        <v>-1.4666666666666666</v>
      </c>
      <c r="I248">
        <f t="shared" si="284"/>
        <v>-1.5107993816131178</v>
      </c>
      <c r="J248">
        <f t="shared" si="225"/>
        <v>1973.5</v>
      </c>
      <c r="K248">
        <f t="shared" si="226"/>
        <v>-237</v>
      </c>
      <c r="L248">
        <f t="shared" si="227"/>
        <v>-273.90035937539102</v>
      </c>
      <c r="M248" s="5">
        <v>1900.5</v>
      </c>
      <c r="N248" s="5">
        <v>-105</v>
      </c>
      <c r="O248" s="5">
        <v>-231.01206562859099</v>
      </c>
      <c r="Q248">
        <f t="shared" si="234"/>
        <v>4.3836671147852035</v>
      </c>
    </row>
    <row r="249" spans="1:17" x14ac:dyDescent="0.25">
      <c r="A249">
        <f t="shared" si="221"/>
        <v>1973.5833333333301</v>
      </c>
      <c r="B249">
        <f t="shared" si="222"/>
        <v>-208</v>
      </c>
      <c r="C249">
        <f t="shared" si="223"/>
        <v>-273.34113030845498</v>
      </c>
      <c r="D249">
        <f t="shared" si="228"/>
        <v>12</v>
      </c>
      <c r="E249">
        <f t="shared" si="229"/>
        <v>-0.12466198904650128</v>
      </c>
      <c r="F249">
        <f t="shared" si="231"/>
        <v>-2.1666666666666665</v>
      </c>
      <c r="G249">
        <f t="shared" si="232"/>
        <v>-0.85868612498707086</v>
      </c>
      <c r="H249">
        <f t="shared" ref="H249:I249" si="285">+AVERAGE(F247:F251)</f>
        <v>-2.6333333333333333</v>
      </c>
      <c r="I249">
        <f t="shared" si="285"/>
        <v>-1.2810259185874384</v>
      </c>
      <c r="J249">
        <f t="shared" si="225"/>
        <v>1973.5833333333301</v>
      </c>
      <c r="K249">
        <f t="shared" si="226"/>
        <v>-208</v>
      </c>
      <c r="L249">
        <f t="shared" si="227"/>
        <v>-273.34113030845498</v>
      </c>
      <c r="M249" s="5">
        <v>1900.5833333333301</v>
      </c>
      <c r="N249" s="5">
        <v>-105</v>
      </c>
      <c r="O249" s="5">
        <v>-217.46893337894801</v>
      </c>
      <c r="Q249">
        <f t="shared" si="234"/>
        <v>1.3079805416795955</v>
      </c>
    </row>
    <row r="250" spans="1:17" x14ac:dyDescent="0.25">
      <c r="A250">
        <f t="shared" si="221"/>
        <v>1973.6666666666599</v>
      </c>
      <c r="B250">
        <f t="shared" si="222"/>
        <v>-203</v>
      </c>
      <c r="C250">
        <f t="shared" si="223"/>
        <v>-272.53257726342599</v>
      </c>
      <c r="D250">
        <f t="shared" si="228"/>
        <v>-4</v>
      </c>
      <c r="E250">
        <f t="shared" si="229"/>
        <v>-0.35390940679701544</v>
      </c>
      <c r="F250">
        <f t="shared" si="231"/>
        <v>4.833333333333333</v>
      </c>
      <c r="G250">
        <f t="shared" si="232"/>
        <v>-1.3423805151790626</v>
      </c>
      <c r="H250">
        <f t="shared" ref="H250:I250" si="286">+AVERAGE(F248:F252)</f>
        <v>-2.4</v>
      </c>
      <c r="I250">
        <f t="shared" si="286"/>
        <v>-1.5901319468545294</v>
      </c>
      <c r="J250">
        <f t="shared" si="225"/>
        <v>1973.6666666666599</v>
      </c>
      <c r="K250">
        <f t="shared" si="226"/>
        <v>-203</v>
      </c>
      <c r="L250">
        <f t="shared" si="227"/>
        <v>-272.53257726342599</v>
      </c>
      <c r="M250" s="5">
        <v>1900.6666666666599</v>
      </c>
      <c r="N250" s="5">
        <v>-105</v>
      </c>
      <c r="O250" s="5">
        <v>-214.45217771870301</v>
      </c>
      <c r="Q250">
        <f t="shared" si="234"/>
        <v>6.1757138485123955</v>
      </c>
    </row>
    <row r="251" spans="1:17" x14ac:dyDescent="0.25">
      <c r="A251">
        <f t="shared" si="221"/>
        <v>1973.75</v>
      </c>
      <c r="B251">
        <f t="shared" si="222"/>
        <v>-190</v>
      </c>
      <c r="C251">
        <f t="shared" si="223"/>
        <v>-271.01620540480297</v>
      </c>
      <c r="D251">
        <f t="shared" si="228"/>
        <v>6.5</v>
      </c>
      <c r="E251">
        <f t="shared" si="229"/>
        <v>-4.5553555360779683</v>
      </c>
      <c r="F251">
        <f t="shared" si="231"/>
        <v>-5.833333333333333</v>
      </c>
      <c r="G251">
        <f t="shared" si="232"/>
        <v>-2.0186279718986651</v>
      </c>
      <c r="H251">
        <f t="shared" ref="H251:I251" si="287">+AVERAGE(F249:F253)</f>
        <v>-2.1666666666666665</v>
      </c>
      <c r="I251">
        <f t="shared" si="287"/>
        <v>-2.2939662287857829</v>
      </c>
      <c r="J251">
        <f t="shared" si="225"/>
        <v>1973.75</v>
      </c>
      <c r="K251">
        <f t="shared" si="226"/>
        <v>-190</v>
      </c>
      <c r="L251">
        <f t="shared" si="227"/>
        <v>-271.01620540480297</v>
      </c>
      <c r="M251" s="5">
        <v>1900.75</v>
      </c>
      <c r="N251" s="5">
        <v>-105</v>
      </c>
      <c r="O251" s="5">
        <v>-219.26196779036701</v>
      </c>
      <c r="Q251">
        <f t="shared" si="234"/>
        <v>3.814705361434668</v>
      </c>
    </row>
    <row r="252" spans="1:17" x14ac:dyDescent="0.25">
      <c r="A252">
        <f t="shared" si="221"/>
        <v>1973.8333333333301</v>
      </c>
      <c r="B252">
        <f t="shared" si="222"/>
        <v>-190</v>
      </c>
      <c r="C252">
        <f t="shared" si="223"/>
        <v>-260.38912247402402</v>
      </c>
      <c r="D252">
        <f t="shared" si="228"/>
        <v>-20</v>
      </c>
      <c r="E252">
        <f t="shared" si="229"/>
        <v>-2.6605899517450098</v>
      </c>
      <c r="F252">
        <f t="shared" si="231"/>
        <v>-3.6666666666666665</v>
      </c>
      <c r="G252">
        <f t="shared" si="232"/>
        <v>-2.9479655703263843</v>
      </c>
      <c r="H252">
        <f t="shared" ref="H252:I252" si="288">+AVERAGE(F250:F254)</f>
        <v>-0.8999999999999998</v>
      </c>
      <c r="I252">
        <f t="shared" si="288"/>
        <v>-2.5881077885899413</v>
      </c>
      <c r="J252">
        <f t="shared" si="225"/>
        <v>1973.8333333333301</v>
      </c>
      <c r="K252">
        <f t="shared" si="226"/>
        <v>-190</v>
      </c>
      <c r="L252">
        <f t="shared" si="227"/>
        <v>-260.38912247402402</v>
      </c>
      <c r="M252" s="5">
        <v>1900.8333333333301</v>
      </c>
      <c r="N252" s="5">
        <v>-105</v>
      </c>
      <c r="O252" s="5">
        <v>-213.143763305042</v>
      </c>
      <c r="Q252">
        <f t="shared" si="234"/>
        <v>0.71870109634028223</v>
      </c>
    </row>
    <row r="253" spans="1:17" x14ac:dyDescent="0.25">
      <c r="A253">
        <f t="shared" si="221"/>
        <v>1973.9166666666599</v>
      </c>
      <c r="B253">
        <f t="shared" si="222"/>
        <v>-150</v>
      </c>
      <c r="C253">
        <f t="shared" si="223"/>
        <v>-244.44085963975499</v>
      </c>
      <c r="D253">
        <f t="shared" si="228"/>
        <v>2.5</v>
      </c>
      <c r="E253">
        <f t="shared" si="229"/>
        <v>-3.8389254009009619</v>
      </c>
      <c r="F253">
        <f t="shared" si="231"/>
        <v>-4</v>
      </c>
      <c r="G253">
        <f t="shared" si="232"/>
        <v>-4.3021709615377324</v>
      </c>
      <c r="H253">
        <f t="shared" ref="H253:I253" si="289">+AVERAGE(F251:F255)</f>
        <v>-0.76666666666666639</v>
      </c>
      <c r="I253">
        <f t="shared" si="289"/>
        <v>-2.77651144365925</v>
      </c>
      <c r="J253">
        <f t="shared" si="225"/>
        <v>1973.9166666666599</v>
      </c>
      <c r="K253">
        <f t="shared" si="226"/>
        <v>-150</v>
      </c>
      <c r="L253">
        <f t="shared" si="227"/>
        <v>-244.44085963975499</v>
      </c>
      <c r="M253" s="5">
        <v>1900.9166666666599</v>
      </c>
      <c r="N253" s="5">
        <v>-105</v>
      </c>
      <c r="O253" s="5">
        <v>-213.05635840066401</v>
      </c>
      <c r="Q253">
        <f t="shared" si="234"/>
        <v>0.30217096153773237</v>
      </c>
    </row>
    <row r="254" spans="1:17" x14ac:dyDescent="0.25">
      <c r="A254">
        <f t="shared" si="221"/>
        <v>1974</v>
      </c>
      <c r="B254">
        <f t="shared" si="222"/>
        <v>-115</v>
      </c>
      <c r="C254">
        <f t="shared" si="223"/>
        <v>-220.81474600368401</v>
      </c>
      <c r="D254">
        <f t="shared" si="228"/>
        <v>5.5</v>
      </c>
      <c r="E254">
        <f t="shared" si="229"/>
        <v>-9.6336257531205263</v>
      </c>
      <c r="F254">
        <f t="shared" si="231"/>
        <v>4.166666666666667</v>
      </c>
      <c r="G254">
        <f t="shared" si="232"/>
        <v>-2.3293939240078618</v>
      </c>
      <c r="H254">
        <f t="shared" ref="H254:I254" si="290">+AVERAGE(F252:F256)</f>
        <v>-2.0666666666666664</v>
      </c>
      <c r="I254">
        <f t="shared" si="290"/>
        <v>-6.2534581683079935</v>
      </c>
      <c r="J254">
        <f t="shared" si="225"/>
        <v>1974</v>
      </c>
      <c r="K254">
        <f t="shared" si="226"/>
        <v>-115</v>
      </c>
      <c r="L254">
        <f t="shared" si="227"/>
        <v>-220.81474600368401</v>
      </c>
      <c r="M254" s="5">
        <v>1901</v>
      </c>
      <c r="N254" s="5">
        <v>-105</v>
      </c>
      <c r="O254" s="5">
        <v>-219.27514272797401</v>
      </c>
      <c r="Q254">
        <f t="shared" si="234"/>
        <v>6.4960605906745288</v>
      </c>
    </row>
    <row r="255" spans="1:17" x14ac:dyDescent="0.25">
      <c r="A255">
        <f t="shared" si="221"/>
        <v>1974.0833333333301</v>
      </c>
      <c r="B255">
        <f t="shared" si="222"/>
        <v>-91</v>
      </c>
      <c r="C255">
        <f t="shared" si="223"/>
        <v>-177.921380861372</v>
      </c>
      <c r="D255">
        <f t="shared" si="228"/>
        <v>4.5</v>
      </c>
      <c r="E255">
        <f t="shared" si="229"/>
        <v>4.7373239389920059</v>
      </c>
      <c r="F255">
        <f t="shared" si="231"/>
        <v>5.5</v>
      </c>
      <c r="G255">
        <f t="shared" si="232"/>
        <v>-2.2843987905256049</v>
      </c>
      <c r="H255">
        <f t="shared" ref="H255:I255" si="291">+AVERAGE(F253:F257)</f>
        <v>-4.0333333333333332</v>
      </c>
      <c r="I255">
        <f t="shared" si="291"/>
        <v>-7.7499063970477327</v>
      </c>
      <c r="J255">
        <f t="shared" si="225"/>
        <v>1974.0833333333301</v>
      </c>
      <c r="K255">
        <f t="shared" si="226"/>
        <v>-91</v>
      </c>
      <c r="L255">
        <f t="shared" si="227"/>
        <v>-177.921380861372</v>
      </c>
      <c r="M255" s="5">
        <v>1901.0833333333301</v>
      </c>
      <c r="N255" s="5">
        <v>-105</v>
      </c>
      <c r="O255" s="5">
        <v>-218.423742178602</v>
      </c>
      <c r="Q255">
        <f t="shared" si="234"/>
        <v>7.7843987905256053</v>
      </c>
    </row>
    <row r="256" spans="1:17" x14ac:dyDescent="0.25">
      <c r="A256">
        <f t="shared" si="221"/>
        <v>1974.1666666666599</v>
      </c>
      <c r="B256">
        <f t="shared" si="222"/>
        <v>-76</v>
      </c>
      <c r="C256">
        <f t="shared" si="223"/>
        <v>-144.50266359704401</v>
      </c>
      <c r="D256">
        <f t="shared" si="228"/>
        <v>6.5</v>
      </c>
      <c r="E256">
        <f t="shared" si="229"/>
        <v>-3.6701936503424974</v>
      </c>
      <c r="F256">
        <f t="shared" si="231"/>
        <v>-12.333333333333334</v>
      </c>
      <c r="G256">
        <f t="shared" si="232"/>
        <v>-19.403361595142385</v>
      </c>
      <c r="H256">
        <f t="shared" ref="H256:I256" si="292">+AVERAGE(F254:F258)</f>
        <v>-5.0666666666666655</v>
      </c>
      <c r="I256">
        <f t="shared" si="292"/>
        <v>-6.9042215724942633</v>
      </c>
      <c r="J256">
        <f t="shared" si="225"/>
        <v>1974.1666666666599</v>
      </c>
      <c r="K256">
        <f t="shared" si="226"/>
        <v>-76</v>
      </c>
      <c r="L256">
        <f t="shared" si="227"/>
        <v>-144.50266359704401</v>
      </c>
      <c r="M256" s="5">
        <v>1901.1666666666599</v>
      </c>
      <c r="N256" s="5">
        <v>-105</v>
      </c>
      <c r="O256" s="5">
        <v>-214.189747864276</v>
      </c>
      <c r="Q256">
        <f t="shared" si="234"/>
        <v>7.0700282618090515</v>
      </c>
    </row>
    <row r="257" spans="1:17" x14ac:dyDescent="0.25">
      <c r="A257">
        <f t="shared" si="221"/>
        <v>1974.25</v>
      </c>
      <c r="B257">
        <f t="shared" si="222"/>
        <v>-74</v>
      </c>
      <c r="C257">
        <f t="shared" si="223"/>
        <v>-103.743559032031</v>
      </c>
      <c r="D257">
        <f t="shared" si="228"/>
        <v>-48</v>
      </c>
      <c r="E257">
        <f t="shared" si="229"/>
        <v>-73.829736270433443</v>
      </c>
      <c r="F257">
        <f t="shared" si="231"/>
        <v>-13.5</v>
      </c>
      <c r="G257">
        <f t="shared" si="232"/>
        <v>-10.430206714025077</v>
      </c>
      <c r="H257">
        <f t="shared" ref="H257:I257" si="293">+AVERAGE(F255:F259)</f>
        <v>-2.8666666666666667</v>
      </c>
      <c r="I257">
        <f t="shared" si="293"/>
        <v>-1.7551549624713616</v>
      </c>
      <c r="J257">
        <f t="shared" si="225"/>
        <v>1974.25</v>
      </c>
      <c r="K257">
        <f t="shared" si="226"/>
        <v>-74</v>
      </c>
      <c r="L257">
        <f t="shared" si="227"/>
        <v>-103.743559032031</v>
      </c>
      <c r="M257" s="5">
        <v>1901.25</v>
      </c>
      <c r="N257" s="5">
        <v>-105</v>
      </c>
      <c r="O257" s="5">
        <v>-172.641816387978</v>
      </c>
      <c r="Q257">
        <f t="shared" si="234"/>
        <v>3.0697932859749226</v>
      </c>
    </row>
    <row r="258" spans="1:17" x14ac:dyDescent="0.25">
      <c r="A258">
        <f t="shared" si="221"/>
        <v>1974.3333333333301</v>
      </c>
      <c r="B258">
        <f t="shared" si="222"/>
        <v>24</v>
      </c>
      <c r="C258">
        <f t="shared" si="223"/>
        <v>84.675018073848904</v>
      </c>
      <c r="D258">
        <f t="shared" si="228"/>
        <v>1</v>
      </c>
      <c r="E258">
        <f t="shared" si="229"/>
        <v>38.3866547431819</v>
      </c>
      <c r="F258">
        <f t="shared" si="231"/>
        <v>-9.1666666666666661</v>
      </c>
      <c r="G258">
        <f t="shared" si="232"/>
        <v>-7.3746838770392745E-2</v>
      </c>
      <c r="H258">
        <f t="shared" ref="H258:I258" si="294">+AVERAGE(F256:F260)</f>
        <v>-1.0666666666666671</v>
      </c>
      <c r="I258">
        <f t="shared" si="294"/>
        <v>1.8385958668728812</v>
      </c>
      <c r="J258">
        <f t="shared" si="225"/>
        <v>1974.3333333333301</v>
      </c>
      <c r="K258">
        <f t="shared" si="226"/>
        <v>24</v>
      </c>
      <c r="L258">
        <f t="shared" si="227"/>
        <v>84.675018073848904</v>
      </c>
      <c r="M258" s="5">
        <v>1901.3333333333301</v>
      </c>
      <c r="N258" s="5">
        <v>-105</v>
      </c>
      <c r="O258" s="5">
        <v>64.595964975772404</v>
      </c>
      <c r="Q258">
        <f t="shared" si="234"/>
        <v>9.0929198278962726</v>
      </c>
    </row>
    <row r="259" spans="1:17" x14ac:dyDescent="0.25">
      <c r="A259">
        <f t="shared" si="221"/>
        <v>1974.4166666666599</v>
      </c>
      <c r="B259">
        <f t="shared" si="222"/>
        <v>120</v>
      </c>
      <c r="C259">
        <f t="shared" si="223"/>
        <v>196.32028569336501</v>
      </c>
      <c r="D259">
        <f t="shared" si="228"/>
        <v>19.5</v>
      </c>
      <c r="E259">
        <f t="shared" si="229"/>
        <v>35.16653088186257</v>
      </c>
      <c r="F259">
        <f t="shared" si="231"/>
        <v>15.166666666666666</v>
      </c>
      <c r="G259">
        <f t="shared" si="232"/>
        <v>23.41593912610665</v>
      </c>
      <c r="H259">
        <f t="shared" ref="H259:I259" si="295">+AVERAGE(F257:F261)</f>
        <v>3.3</v>
      </c>
      <c r="I259">
        <f t="shared" si="295"/>
        <v>7.0346247665948756</v>
      </c>
      <c r="J259">
        <f t="shared" si="225"/>
        <v>1974.4166666666599</v>
      </c>
      <c r="K259">
        <f t="shared" si="226"/>
        <v>120</v>
      </c>
      <c r="L259">
        <f t="shared" si="227"/>
        <v>196.32028569336501</v>
      </c>
      <c r="M259" s="5">
        <v>1901.4166666666599</v>
      </c>
      <c r="N259" s="5">
        <v>-105</v>
      </c>
      <c r="O259" s="5">
        <v>199.67780512549899</v>
      </c>
      <c r="Q259">
        <f t="shared" si="234"/>
        <v>8.2492724594399842</v>
      </c>
    </row>
    <row r="260" spans="1:17" x14ac:dyDescent="0.25">
      <c r="A260">
        <f t="shared" ref="A260:A323" si="296">+J260</f>
        <v>1974.5</v>
      </c>
      <c r="B260">
        <f t="shared" ref="B260:B323" si="297">+K260</f>
        <v>177</v>
      </c>
      <c r="C260">
        <f t="shared" ref="C260:C323" si="298">+L260</f>
        <v>237.63249154915599</v>
      </c>
      <c r="D260">
        <f t="shared" si="228"/>
        <v>25</v>
      </c>
      <c r="E260">
        <f t="shared" si="229"/>
        <v>14.256586097855461</v>
      </c>
      <c r="F260">
        <f t="shared" si="231"/>
        <v>14.5</v>
      </c>
      <c r="G260">
        <f t="shared" si="232"/>
        <v>15.68435535619561</v>
      </c>
      <c r="H260">
        <f t="shared" ref="H260:I260" si="299">+AVERAGE(F258:F262)</f>
        <v>6.4333333333333327</v>
      </c>
      <c r="I260">
        <f t="shared" si="299"/>
        <v>9.462009199188584</v>
      </c>
      <c r="J260">
        <f t="shared" ref="J260:J323" si="300">+$M1136</f>
        <v>1974.5</v>
      </c>
      <c r="K260">
        <f t="shared" ref="K260:K323" si="301">+$N1136</f>
        <v>177</v>
      </c>
      <c r="L260">
        <f t="shared" ref="L260:L323" si="302">+$O1136</f>
        <v>237.63249154915599</v>
      </c>
      <c r="M260" s="5">
        <v>1901.5</v>
      </c>
      <c r="N260" s="5">
        <v>-105</v>
      </c>
      <c r="O260" s="5">
        <v>231.248429794543</v>
      </c>
      <c r="Q260">
        <f t="shared" si="234"/>
        <v>1.1843553561956099</v>
      </c>
    </row>
    <row r="261" spans="1:17" x14ac:dyDescent="0.25">
      <c r="A261">
        <f t="shared" si="296"/>
        <v>1974.5833333333301</v>
      </c>
      <c r="B261">
        <f t="shared" si="297"/>
        <v>184</v>
      </c>
      <c r="C261">
        <f t="shared" si="298"/>
        <v>250.43152520923601</v>
      </c>
      <c r="D261">
        <f t="shared" ref="D261:D324" si="303">+B261-1/2*(B260+B262)</f>
        <v>-1</v>
      </c>
      <c r="E261">
        <f t="shared" ref="E261:E324" si="304">+C261-1/2*(C260+C262)</f>
        <v>9.3932156060155023</v>
      </c>
      <c r="F261">
        <f t="shared" si="231"/>
        <v>9.5</v>
      </c>
      <c r="G261">
        <f t="shared" si="232"/>
        <v>6.5767829034675902</v>
      </c>
      <c r="H261">
        <f t="shared" ref="H261:I261" si="305">+AVERAGE(F259:F263)</f>
        <v>8.5666666666666664</v>
      </c>
      <c r="I261">
        <f t="shared" si="305"/>
        <v>9.5159796164162884</v>
      </c>
      <c r="J261">
        <f t="shared" si="300"/>
        <v>1974.5833333333301</v>
      </c>
      <c r="K261">
        <f t="shared" si="301"/>
        <v>184</v>
      </c>
      <c r="L261">
        <f t="shared" si="302"/>
        <v>250.43152520923601</v>
      </c>
      <c r="M261" s="5">
        <v>1901.5833333333301</v>
      </c>
      <c r="N261" s="5">
        <v>-105</v>
      </c>
      <c r="O261" s="5">
        <v>232.95571484643199</v>
      </c>
      <c r="Q261">
        <f t="shared" si="234"/>
        <v>2.9232170965324098</v>
      </c>
    </row>
    <row r="262" spans="1:17" x14ac:dyDescent="0.25">
      <c r="A262">
        <f t="shared" si="296"/>
        <v>1974.6666666666599</v>
      </c>
      <c r="B262">
        <f t="shared" si="297"/>
        <v>193</v>
      </c>
      <c r="C262">
        <f t="shared" si="298"/>
        <v>244.44412765728501</v>
      </c>
      <c r="D262">
        <f t="shared" si="303"/>
        <v>4.5</v>
      </c>
      <c r="E262">
        <f t="shared" si="304"/>
        <v>1.0131341841324968</v>
      </c>
      <c r="F262">
        <f t="shared" ref="F262:F325" si="306">+AVERAGE(D261:D263)</f>
        <v>2.1666666666666665</v>
      </c>
      <c r="G262">
        <f t="shared" ref="G262:G325" si="307">+$H$1*AVERAGE(E261:E263)+$F$1</f>
        <v>1.7067154489434644</v>
      </c>
      <c r="H262">
        <f t="shared" ref="H262:I262" si="308">+AVERAGE(F260:F264)</f>
        <v>5.2666666666666675</v>
      </c>
      <c r="I262">
        <f t="shared" si="308"/>
        <v>5.130137178154186</v>
      </c>
      <c r="J262">
        <f t="shared" si="300"/>
        <v>1974.6666666666599</v>
      </c>
      <c r="K262">
        <f t="shared" si="301"/>
        <v>193</v>
      </c>
      <c r="L262">
        <f t="shared" si="302"/>
        <v>244.44412765728501</v>
      </c>
      <c r="M262" s="5">
        <v>1901.6666666666599</v>
      </c>
      <c r="N262" s="5">
        <v>-105</v>
      </c>
      <c r="O262" s="5">
        <v>217.39388262214101</v>
      </c>
      <c r="Q262">
        <f t="shared" ref="Q262:Q325" si="309">+ABS(F262-G262)</f>
        <v>0.45995121772320213</v>
      </c>
    </row>
    <row r="263" spans="1:17" x14ac:dyDescent="0.25">
      <c r="A263">
        <f t="shared" si="296"/>
        <v>1974.75</v>
      </c>
      <c r="B263">
        <f t="shared" si="297"/>
        <v>193</v>
      </c>
      <c r="C263">
        <f t="shared" si="298"/>
        <v>236.43046173706901</v>
      </c>
      <c r="D263">
        <f t="shared" si="303"/>
        <v>3</v>
      </c>
      <c r="E263">
        <f t="shared" si="304"/>
        <v>-4.0061668566100082</v>
      </c>
      <c r="F263">
        <f t="shared" si="306"/>
        <v>1.5</v>
      </c>
      <c r="G263">
        <f t="shared" si="307"/>
        <v>0.19610524736813206</v>
      </c>
      <c r="H263">
        <f t="shared" ref="H263:I263" si="310">+AVERAGE(F261:F265)</f>
        <v>2.1666666666666665</v>
      </c>
      <c r="I263">
        <f t="shared" si="310"/>
        <v>2.9888762247678384</v>
      </c>
      <c r="J263">
        <f t="shared" si="300"/>
        <v>1974.75</v>
      </c>
      <c r="K263">
        <f t="shared" si="301"/>
        <v>193</v>
      </c>
      <c r="L263">
        <f t="shared" si="302"/>
        <v>236.43046173706901</v>
      </c>
      <c r="M263" s="5">
        <v>1901.75</v>
      </c>
      <c r="N263" s="5">
        <v>-105</v>
      </c>
      <c r="O263" s="5">
        <v>213.586250268995</v>
      </c>
      <c r="Q263">
        <f t="shared" si="309"/>
        <v>1.303894752631868</v>
      </c>
    </row>
    <row r="264" spans="1:17" x14ac:dyDescent="0.25">
      <c r="A264">
        <f t="shared" si="296"/>
        <v>1974.8333333333301</v>
      </c>
      <c r="B264">
        <f t="shared" si="297"/>
        <v>187</v>
      </c>
      <c r="C264">
        <f t="shared" si="298"/>
        <v>236.429129530073</v>
      </c>
      <c r="D264">
        <f t="shared" si="303"/>
        <v>-3</v>
      </c>
      <c r="E264">
        <f t="shared" si="304"/>
        <v>3.7284273501080065</v>
      </c>
      <c r="F264">
        <f t="shared" si="306"/>
        <v>-1.3333333333333333</v>
      </c>
      <c r="G264">
        <f t="shared" si="307"/>
        <v>1.4867269347961383</v>
      </c>
      <c r="H264">
        <f t="shared" ref="H264:I264" si="311">+AVERAGE(F262:F266)</f>
        <v>2.2666666666666666</v>
      </c>
      <c r="I264">
        <f t="shared" si="311"/>
        <v>4.1439457399337645</v>
      </c>
      <c r="J264">
        <f t="shared" si="300"/>
        <v>1974.8333333333301</v>
      </c>
      <c r="K264">
        <f t="shared" si="301"/>
        <v>187</v>
      </c>
      <c r="L264">
        <f t="shared" si="302"/>
        <v>236.429129530073</v>
      </c>
      <c r="M264" s="5">
        <v>1901.8333333333301</v>
      </c>
      <c r="N264" s="5">
        <v>-105</v>
      </c>
      <c r="O264" s="5">
        <v>224.194502778528</v>
      </c>
      <c r="Q264">
        <f t="shared" si="309"/>
        <v>2.8200602681294713</v>
      </c>
    </row>
    <row r="265" spans="1:17" x14ac:dyDescent="0.25">
      <c r="A265">
        <f t="shared" si="296"/>
        <v>1974.9166666666599</v>
      </c>
      <c r="B265">
        <f t="shared" si="297"/>
        <v>187</v>
      </c>
      <c r="C265">
        <f t="shared" si="298"/>
        <v>228.970942622861</v>
      </c>
      <c r="D265">
        <f t="shared" si="303"/>
        <v>-4</v>
      </c>
      <c r="E265">
        <f t="shared" si="304"/>
        <v>5.8529655119875201</v>
      </c>
      <c r="F265">
        <f t="shared" si="306"/>
        <v>-1</v>
      </c>
      <c r="G265">
        <f t="shared" si="307"/>
        <v>4.9780505892638685</v>
      </c>
      <c r="H265">
        <f t="shared" ref="H265:I265" si="312">+AVERAGE(F263:F267)</f>
        <v>7.2666666666666675</v>
      </c>
      <c r="I265">
        <f t="shared" si="312"/>
        <v>7.5682470393788579</v>
      </c>
      <c r="J265">
        <f t="shared" si="300"/>
        <v>1974.9166666666599</v>
      </c>
      <c r="K265">
        <f t="shared" si="301"/>
        <v>187</v>
      </c>
      <c r="L265">
        <f t="shared" si="302"/>
        <v>228.970942622861</v>
      </c>
      <c r="M265" s="5">
        <v>1901.9166666666599</v>
      </c>
      <c r="N265" s="5">
        <v>-105</v>
      </c>
      <c r="O265" s="5">
        <v>217.86758569056599</v>
      </c>
      <c r="Q265">
        <f t="shared" si="309"/>
        <v>5.9780505892638685</v>
      </c>
    </row>
    <row r="266" spans="1:17" x14ac:dyDescent="0.25">
      <c r="A266">
        <f t="shared" si="296"/>
        <v>1975</v>
      </c>
      <c r="B266">
        <f t="shared" si="297"/>
        <v>195</v>
      </c>
      <c r="C266">
        <f t="shared" si="298"/>
        <v>209.806824691674</v>
      </c>
      <c r="D266">
        <f t="shared" si="303"/>
        <v>4</v>
      </c>
      <c r="E266">
        <f t="shared" si="304"/>
        <v>9.0862968476439789</v>
      </c>
      <c r="F266">
        <f t="shared" si="306"/>
        <v>10</v>
      </c>
      <c r="G266">
        <f t="shared" si="307"/>
        <v>12.352130479297216</v>
      </c>
      <c r="H266">
        <f t="shared" ref="H266:I266" si="313">+AVERAGE(F264:F268)</f>
        <v>11.466666666666667</v>
      </c>
      <c r="I266">
        <f t="shared" si="313"/>
        <v>8.6041118495863227</v>
      </c>
      <c r="J266">
        <f t="shared" si="300"/>
        <v>1975</v>
      </c>
      <c r="K266">
        <f t="shared" si="301"/>
        <v>195</v>
      </c>
      <c r="L266">
        <f t="shared" si="302"/>
        <v>209.806824691674</v>
      </c>
      <c r="M266" s="5">
        <v>1902</v>
      </c>
      <c r="N266" s="5">
        <v>-105</v>
      </c>
      <c r="O266" s="5">
        <v>188.17417528261799</v>
      </c>
      <c r="Q266">
        <f t="shared" si="309"/>
        <v>2.352130479297216</v>
      </c>
    </row>
    <row r="267" spans="1:17" x14ac:dyDescent="0.25">
      <c r="A267">
        <f t="shared" si="296"/>
        <v>1975.0833333333301</v>
      </c>
      <c r="B267">
        <f t="shared" si="297"/>
        <v>195</v>
      </c>
      <c r="C267">
        <f t="shared" si="298"/>
        <v>172.470113065199</v>
      </c>
      <c r="D267">
        <f t="shared" si="303"/>
        <v>30</v>
      </c>
      <c r="E267">
        <f t="shared" si="304"/>
        <v>31.381226937733061</v>
      </c>
      <c r="F267">
        <f t="shared" si="306"/>
        <v>27.166666666666668</v>
      </c>
      <c r="G267">
        <f t="shared" si="307"/>
        <v>18.828221946168934</v>
      </c>
      <c r="H267">
        <f t="shared" ref="H267:I267" si="314">+AVERAGE(F265:F269)</f>
        <v>11.166666666666668</v>
      </c>
      <c r="I267">
        <f t="shared" si="314"/>
        <v>7.187316997850159</v>
      </c>
      <c r="J267">
        <f t="shared" si="300"/>
        <v>1975.0833333333301</v>
      </c>
      <c r="K267">
        <f t="shared" si="301"/>
        <v>195</v>
      </c>
      <c r="L267">
        <f t="shared" si="302"/>
        <v>172.470113065199</v>
      </c>
      <c r="M267" s="5">
        <v>1902.0833333333301</v>
      </c>
      <c r="N267" s="5">
        <v>-105</v>
      </c>
      <c r="O267" s="5">
        <v>115.46731523339299</v>
      </c>
      <c r="Q267">
        <f t="shared" si="309"/>
        <v>8.3384447204977334</v>
      </c>
    </row>
    <row r="268" spans="1:17" x14ac:dyDescent="0.25">
      <c r="A268">
        <f t="shared" si="296"/>
        <v>1975.1666666666599</v>
      </c>
      <c r="B268">
        <f t="shared" si="297"/>
        <v>135</v>
      </c>
      <c r="C268">
        <f t="shared" si="298"/>
        <v>72.3709475632579</v>
      </c>
      <c r="D268">
        <f t="shared" si="303"/>
        <v>47.5</v>
      </c>
      <c r="E268">
        <f t="shared" si="304"/>
        <v>30.138308512756453</v>
      </c>
      <c r="F268">
        <f t="shared" si="306"/>
        <v>22.5</v>
      </c>
      <c r="G268">
        <f t="shared" si="307"/>
        <v>5.3754292984054572</v>
      </c>
      <c r="H268">
        <f t="shared" ref="H268:I268" si="315">+AVERAGE(F266:F270)</f>
        <v>8.7666666666666675</v>
      </c>
      <c r="I268">
        <f t="shared" si="315"/>
        <v>2.753373345152931</v>
      </c>
      <c r="J268">
        <f t="shared" si="300"/>
        <v>1975.1666666666599</v>
      </c>
      <c r="K268">
        <f t="shared" si="301"/>
        <v>135</v>
      </c>
      <c r="L268">
        <f t="shared" si="302"/>
        <v>72.3709475632579</v>
      </c>
      <c r="M268" s="5">
        <v>1902.1666666666599</v>
      </c>
      <c r="N268" s="5">
        <v>-105</v>
      </c>
      <c r="O268" s="5">
        <v>-84.828480051871594</v>
      </c>
      <c r="Q268">
        <f t="shared" si="309"/>
        <v>17.124570701594543</v>
      </c>
    </row>
    <row r="269" spans="1:17" x14ac:dyDescent="0.25">
      <c r="A269">
        <f t="shared" si="296"/>
        <v>1975.25</v>
      </c>
      <c r="B269">
        <f t="shared" si="297"/>
        <v>-20</v>
      </c>
      <c r="C269">
        <f t="shared" si="298"/>
        <v>-88.004834964196107</v>
      </c>
      <c r="D269">
        <f t="shared" si="303"/>
        <v>-10</v>
      </c>
      <c r="E269">
        <f t="shared" si="304"/>
        <v>-41.361675581469051</v>
      </c>
      <c r="F269">
        <f t="shared" si="306"/>
        <v>-2.8333333333333335</v>
      </c>
      <c r="G269">
        <f t="shared" si="307"/>
        <v>-5.597247323884682</v>
      </c>
      <c r="H269">
        <f t="shared" ref="H269:I269" si="316">+AVERAGE(F267:F271)</f>
        <v>2.2666666666666671</v>
      </c>
      <c r="I269">
        <f t="shared" si="316"/>
        <v>-1.3469711384566967</v>
      </c>
      <c r="J269">
        <f t="shared" si="300"/>
        <v>1975.25</v>
      </c>
      <c r="K269">
        <f t="shared" si="301"/>
        <v>-20</v>
      </c>
      <c r="L269">
        <f t="shared" si="302"/>
        <v>-88.004834964196107</v>
      </c>
      <c r="M269" s="5">
        <v>1902.25</v>
      </c>
      <c r="N269" s="5">
        <v>-105</v>
      </c>
      <c r="O269" s="5">
        <v>-172.37835355247199</v>
      </c>
      <c r="Q269">
        <f t="shared" si="309"/>
        <v>2.7639139905513486</v>
      </c>
    </row>
    <row r="270" spans="1:17" x14ac:dyDescent="0.25">
      <c r="A270">
        <f t="shared" si="296"/>
        <v>1975.3333333333301</v>
      </c>
      <c r="B270">
        <f t="shared" si="297"/>
        <v>-155</v>
      </c>
      <c r="C270">
        <f t="shared" si="298"/>
        <v>-165.65726632871201</v>
      </c>
      <c r="D270">
        <f t="shared" si="303"/>
        <v>-46</v>
      </c>
      <c r="E270">
        <f t="shared" si="304"/>
        <v>-9.7663103958549584</v>
      </c>
      <c r="F270">
        <f t="shared" si="306"/>
        <v>-13</v>
      </c>
      <c r="G270">
        <f t="shared" si="307"/>
        <v>-17.19166767422227</v>
      </c>
      <c r="H270">
        <f t="shared" ref="H270:I270" si="317">+AVERAGE(F268:F272)</f>
        <v>-5.1666666666666661</v>
      </c>
      <c r="I270">
        <f t="shared" si="317"/>
        <v>-6.4330055452535246</v>
      </c>
      <c r="J270">
        <f t="shared" si="300"/>
        <v>1975.3333333333301</v>
      </c>
      <c r="K270">
        <f t="shared" si="301"/>
        <v>-155</v>
      </c>
      <c r="L270">
        <f t="shared" si="302"/>
        <v>-165.65726632871201</v>
      </c>
      <c r="M270" s="5">
        <v>1902.3333333333301</v>
      </c>
      <c r="N270" s="5">
        <v>-105</v>
      </c>
      <c r="O270" s="5">
        <v>-207.51811320201199</v>
      </c>
      <c r="Q270">
        <f t="shared" si="309"/>
        <v>4.1916676742222698</v>
      </c>
    </row>
    <row r="271" spans="1:17" x14ac:dyDescent="0.25">
      <c r="A271">
        <f t="shared" si="296"/>
        <v>1975.4166666666599</v>
      </c>
      <c r="B271">
        <f t="shared" si="297"/>
        <v>-198</v>
      </c>
      <c r="C271">
        <f t="shared" si="298"/>
        <v>-223.777076901518</v>
      </c>
      <c r="D271">
        <f t="shared" si="303"/>
        <v>17</v>
      </c>
      <c r="E271">
        <f t="shared" si="304"/>
        <v>-13.340767801009491</v>
      </c>
      <c r="F271">
        <f t="shared" si="306"/>
        <v>-22.5</v>
      </c>
      <c r="G271">
        <f t="shared" si="307"/>
        <v>-8.1495919387509215</v>
      </c>
      <c r="H271">
        <f t="shared" ref="H271:I271" si="318">+AVERAGE(F269:F273)</f>
        <v>-12.266666666666667</v>
      </c>
      <c r="I271">
        <f t="shared" si="318"/>
        <v>-8.3817301003954423</v>
      </c>
      <c r="J271">
        <f t="shared" si="300"/>
        <v>1975.4166666666599</v>
      </c>
      <c r="K271">
        <f t="shared" si="301"/>
        <v>-198</v>
      </c>
      <c r="L271">
        <f t="shared" si="302"/>
        <v>-223.777076901518</v>
      </c>
      <c r="M271" s="5">
        <v>1902.4166666666599</v>
      </c>
      <c r="N271" s="5">
        <v>-105</v>
      </c>
      <c r="O271" s="5">
        <v>-231.670143805621</v>
      </c>
      <c r="Q271">
        <f t="shared" si="309"/>
        <v>14.350408061249079</v>
      </c>
    </row>
    <row r="272" spans="1:17" x14ac:dyDescent="0.25">
      <c r="A272">
        <f t="shared" si="296"/>
        <v>1975.5</v>
      </c>
      <c r="B272">
        <f t="shared" si="297"/>
        <v>-275</v>
      </c>
      <c r="C272">
        <f t="shared" si="298"/>
        <v>-255.21535187230501</v>
      </c>
      <c r="D272">
        <f t="shared" si="303"/>
        <v>-38.5</v>
      </c>
      <c r="E272">
        <f t="shared" si="304"/>
        <v>-7.4538915734515001</v>
      </c>
      <c r="F272">
        <f t="shared" si="306"/>
        <v>-10</v>
      </c>
      <c r="G272">
        <f t="shared" si="307"/>
        <v>-6.6019500878152035</v>
      </c>
      <c r="H272">
        <f t="shared" ref="H272:I272" si="319">+AVERAGE(F270:F274)</f>
        <v>-11.766666666666667</v>
      </c>
      <c r="I272">
        <f t="shared" si="319"/>
        <v>-7.7507455263714107</v>
      </c>
      <c r="J272">
        <f t="shared" si="300"/>
        <v>1975.5</v>
      </c>
      <c r="K272">
        <f t="shared" si="301"/>
        <v>-275</v>
      </c>
      <c r="L272">
        <f t="shared" si="302"/>
        <v>-255.21535187230501</v>
      </c>
      <c r="M272" s="5">
        <v>1902.5</v>
      </c>
      <c r="N272" s="5">
        <v>-105</v>
      </c>
      <c r="O272" s="5">
        <v>-239.997281973176</v>
      </c>
      <c r="Q272">
        <f t="shared" si="309"/>
        <v>3.3980499121847965</v>
      </c>
    </row>
    <row r="273" spans="1:17" x14ac:dyDescent="0.25">
      <c r="A273">
        <f t="shared" si="296"/>
        <v>1975.5833333333301</v>
      </c>
      <c r="B273">
        <f t="shared" si="297"/>
        <v>-275</v>
      </c>
      <c r="C273">
        <f t="shared" si="298"/>
        <v>-271.74584369618901</v>
      </c>
      <c r="D273">
        <f t="shared" si="303"/>
        <v>-8.5</v>
      </c>
      <c r="E273">
        <f t="shared" si="304"/>
        <v>-3.9626534548460199</v>
      </c>
      <c r="F273">
        <f t="shared" si="306"/>
        <v>-13</v>
      </c>
      <c r="G273">
        <f t="shared" si="307"/>
        <v>-4.3681934773041347</v>
      </c>
      <c r="H273">
        <f t="shared" ref="H273:I273" si="320">+AVERAGE(F271:F275)</f>
        <v>-8.6</v>
      </c>
      <c r="I273">
        <f t="shared" si="320"/>
        <v>-4.4257369018075439</v>
      </c>
      <c r="J273">
        <f t="shared" si="300"/>
        <v>1975.5833333333301</v>
      </c>
      <c r="K273">
        <f t="shared" si="301"/>
        <v>-275</v>
      </c>
      <c r="L273">
        <f t="shared" si="302"/>
        <v>-271.74584369618901</v>
      </c>
      <c r="M273" s="5">
        <v>1902.5833333333301</v>
      </c>
      <c r="N273" s="5">
        <v>-105</v>
      </c>
      <c r="O273" s="5">
        <v>-246.10551420082899</v>
      </c>
      <c r="Q273">
        <f t="shared" si="309"/>
        <v>8.6318065226958645</v>
      </c>
    </row>
    <row r="274" spans="1:17" x14ac:dyDescent="0.25">
      <c r="A274">
        <f t="shared" si="296"/>
        <v>1975.6666666666599</v>
      </c>
      <c r="B274">
        <f t="shared" si="297"/>
        <v>-258</v>
      </c>
      <c r="C274">
        <f t="shared" si="298"/>
        <v>-280.35102861038098</v>
      </c>
      <c r="D274">
        <f t="shared" si="303"/>
        <v>8</v>
      </c>
      <c r="E274">
        <f t="shared" si="304"/>
        <v>-4.9641805115929856</v>
      </c>
      <c r="F274">
        <f t="shared" si="306"/>
        <v>-0.33333333333333331</v>
      </c>
      <c r="G274">
        <f t="shared" si="307"/>
        <v>-2.4423244537645288</v>
      </c>
      <c r="H274">
        <f t="shared" ref="H274:I274" si="321">+AVERAGE(F272:F276)</f>
        <v>-4.0666666666666664</v>
      </c>
      <c r="I274">
        <f t="shared" si="321"/>
        <v>-2.7363880911907974</v>
      </c>
      <c r="J274">
        <f t="shared" si="300"/>
        <v>1975.6666666666599</v>
      </c>
      <c r="K274">
        <f t="shared" si="301"/>
        <v>-258</v>
      </c>
      <c r="L274">
        <f t="shared" si="302"/>
        <v>-280.35102861038098</v>
      </c>
      <c r="M274" s="5">
        <v>1902.6666666666599</v>
      </c>
      <c r="N274" s="5">
        <v>-105</v>
      </c>
      <c r="O274" s="5">
        <v>-258.45063490342199</v>
      </c>
      <c r="Q274">
        <f t="shared" si="309"/>
        <v>2.1089911204311953</v>
      </c>
    </row>
    <row r="275" spans="1:17" x14ac:dyDescent="0.25">
      <c r="A275">
        <f t="shared" si="296"/>
        <v>1975.75</v>
      </c>
      <c r="B275">
        <f t="shared" si="297"/>
        <v>-257</v>
      </c>
      <c r="C275">
        <f t="shared" si="298"/>
        <v>-279.02785250138697</v>
      </c>
      <c r="D275">
        <f t="shared" si="303"/>
        <v>-0.5</v>
      </c>
      <c r="E275">
        <f t="shared" si="304"/>
        <v>-0.23188273517797597</v>
      </c>
      <c r="F275">
        <f t="shared" si="306"/>
        <v>2.8333333333333335</v>
      </c>
      <c r="G275">
        <f t="shared" si="307"/>
        <v>-0.56662455140293178</v>
      </c>
      <c r="H275">
        <f t="shared" ref="H275:I275" si="322">+AVERAGE(F273:F277)</f>
        <v>-2.7</v>
      </c>
      <c r="I275">
        <f t="shared" si="322"/>
        <v>-1.4177830571401302</v>
      </c>
      <c r="J275">
        <f t="shared" si="300"/>
        <v>1975.75</v>
      </c>
      <c r="K275">
        <f t="shared" si="301"/>
        <v>-257</v>
      </c>
      <c r="L275">
        <f t="shared" si="302"/>
        <v>-279.02785250138697</v>
      </c>
      <c r="M275" s="5">
        <v>1902.75</v>
      </c>
      <c r="N275" s="5">
        <v>-105</v>
      </c>
      <c r="O275" s="5">
        <v>-266.98841508596598</v>
      </c>
      <c r="Q275">
        <f t="shared" si="309"/>
        <v>3.3999578847362653</v>
      </c>
    </row>
    <row r="276" spans="1:17" x14ac:dyDescent="0.25">
      <c r="A276">
        <f t="shared" si="296"/>
        <v>1975.8333333333301</v>
      </c>
      <c r="B276">
        <f t="shared" si="297"/>
        <v>-255</v>
      </c>
      <c r="C276">
        <f t="shared" si="298"/>
        <v>-277.24091092203702</v>
      </c>
      <c r="D276">
        <f t="shared" si="303"/>
        <v>1</v>
      </c>
      <c r="E276">
        <f t="shared" si="304"/>
        <v>3.0712211790099673</v>
      </c>
      <c r="F276">
        <f t="shared" si="306"/>
        <v>0.16666666666666666</v>
      </c>
      <c r="G276">
        <f t="shared" si="307"/>
        <v>0.29715211433281186</v>
      </c>
      <c r="H276">
        <f t="shared" ref="H276:I276" si="323">+AVERAGE(F274:F278)</f>
        <v>-0.26666666666666672</v>
      </c>
      <c r="I276">
        <f t="shared" si="323"/>
        <v>-0.70206186774716728</v>
      </c>
      <c r="J276">
        <f t="shared" si="300"/>
        <v>1975.8333333333301</v>
      </c>
      <c r="K276">
        <f t="shared" si="301"/>
        <v>-255</v>
      </c>
      <c r="L276">
        <f t="shared" si="302"/>
        <v>-277.24091092203702</v>
      </c>
      <c r="M276" s="5">
        <v>1902.8333333333301</v>
      </c>
      <c r="N276" s="5">
        <v>-105</v>
      </c>
      <c r="O276" s="5">
        <v>-276.157625242726</v>
      </c>
      <c r="Q276">
        <f t="shared" si="309"/>
        <v>0.1304854476661452</v>
      </c>
    </row>
    <row r="277" spans="1:17" x14ac:dyDescent="0.25">
      <c r="A277">
        <f t="shared" si="296"/>
        <v>1975.9166666666599</v>
      </c>
      <c r="B277">
        <f t="shared" si="297"/>
        <v>-255</v>
      </c>
      <c r="C277">
        <f t="shared" si="298"/>
        <v>-281.59641170070699</v>
      </c>
      <c r="D277">
        <f t="shared" si="303"/>
        <v>0</v>
      </c>
      <c r="E277">
        <f t="shared" si="304"/>
        <v>-1.7250180150839469</v>
      </c>
      <c r="F277">
        <f t="shared" si="306"/>
        <v>-3.1666666666666665</v>
      </c>
      <c r="G277">
        <f t="shared" si="307"/>
        <v>-8.9249175618685214E-3</v>
      </c>
      <c r="H277">
        <f t="shared" ref="H277:I277" si="324">+AVERAGE(F275:F279)</f>
        <v>-0.23333333333333331</v>
      </c>
      <c r="I277">
        <f t="shared" si="324"/>
        <v>-0.46221445565991426</v>
      </c>
      <c r="J277">
        <f t="shared" si="300"/>
        <v>1975.9166666666599</v>
      </c>
      <c r="K277">
        <f t="shared" si="301"/>
        <v>-255</v>
      </c>
      <c r="L277">
        <f t="shared" si="302"/>
        <v>-281.59641170070699</v>
      </c>
      <c r="M277" s="5">
        <v>1902.9166666666599</v>
      </c>
      <c r="N277" s="5">
        <v>-105</v>
      </c>
      <c r="O277" s="5">
        <v>-285.54951822777701</v>
      </c>
      <c r="Q277">
        <f t="shared" si="309"/>
        <v>3.1577417491047979</v>
      </c>
    </row>
    <row r="278" spans="1:17" x14ac:dyDescent="0.25">
      <c r="A278">
        <f t="shared" si="296"/>
        <v>1976</v>
      </c>
      <c r="B278">
        <f t="shared" si="297"/>
        <v>-255</v>
      </c>
      <c r="C278">
        <f t="shared" si="298"/>
        <v>-282.50187644920902</v>
      </c>
      <c r="D278">
        <f t="shared" si="303"/>
        <v>-10.5</v>
      </c>
      <c r="E278">
        <f t="shared" si="304"/>
        <v>-1.3796716047830273</v>
      </c>
      <c r="F278">
        <f t="shared" si="306"/>
        <v>-0.83333333333333337</v>
      </c>
      <c r="G278">
        <f t="shared" si="307"/>
        <v>-0.78958753033931928</v>
      </c>
      <c r="H278">
        <f t="shared" ref="H278:I278" si="325">+AVERAGE(F276:F280)</f>
        <v>-0.9</v>
      </c>
      <c r="I278">
        <f t="shared" si="325"/>
        <v>-0.89339364644975239</v>
      </c>
      <c r="J278">
        <f t="shared" si="300"/>
        <v>1976</v>
      </c>
      <c r="K278">
        <f t="shared" si="301"/>
        <v>-255</v>
      </c>
      <c r="L278">
        <f t="shared" si="302"/>
        <v>-282.50187644920902</v>
      </c>
      <c r="M278" s="5">
        <v>1903</v>
      </c>
      <c r="N278" s="5">
        <v>-105</v>
      </c>
      <c r="O278" s="5">
        <v>-287.71825467116997</v>
      </c>
      <c r="Q278">
        <f t="shared" si="309"/>
        <v>4.3745802994014094E-2</v>
      </c>
    </row>
    <row r="279" spans="1:17" x14ac:dyDescent="0.25">
      <c r="A279">
        <f t="shared" si="296"/>
        <v>1976.0833333333301</v>
      </c>
      <c r="B279">
        <f t="shared" si="297"/>
        <v>-234</v>
      </c>
      <c r="C279">
        <f t="shared" si="298"/>
        <v>-280.64799798814499</v>
      </c>
      <c r="D279">
        <f t="shared" si="303"/>
        <v>8</v>
      </c>
      <c r="E279">
        <f t="shared" si="304"/>
        <v>0.14373638109452713</v>
      </c>
      <c r="F279">
        <f t="shared" si="306"/>
        <v>-0.16666666666666666</v>
      </c>
      <c r="G279">
        <f t="shared" si="307"/>
        <v>-1.2430873933282633</v>
      </c>
      <c r="H279">
        <f t="shared" ref="H279:I279" si="326">+AVERAGE(F277:F281)</f>
        <v>-3.0666666666666664</v>
      </c>
      <c r="I279">
        <f t="shared" si="326"/>
        <v>-2.8591055668520995</v>
      </c>
      <c r="J279">
        <f t="shared" si="300"/>
        <v>1976.0833333333301</v>
      </c>
      <c r="K279">
        <f t="shared" si="301"/>
        <v>-234</v>
      </c>
      <c r="L279">
        <f t="shared" si="302"/>
        <v>-280.64799798814499</v>
      </c>
      <c r="M279" s="5">
        <v>1903.0833333333301</v>
      </c>
      <c r="N279" s="5">
        <v>-105</v>
      </c>
      <c r="O279" s="5">
        <v>-287.14182091515198</v>
      </c>
      <c r="Q279">
        <f t="shared" si="309"/>
        <v>1.0764207266615966</v>
      </c>
    </row>
    <row r="280" spans="1:17" x14ac:dyDescent="0.25">
      <c r="A280">
        <f t="shared" si="296"/>
        <v>1976.1666666666599</v>
      </c>
      <c r="B280">
        <f t="shared" si="297"/>
        <v>-229</v>
      </c>
      <c r="C280">
        <f t="shared" si="298"/>
        <v>-279.08159228927002</v>
      </c>
      <c r="D280">
        <f t="shared" si="303"/>
        <v>2</v>
      </c>
      <c r="E280">
        <f t="shared" si="304"/>
        <v>-3.4256425012924865</v>
      </c>
      <c r="F280">
        <f t="shared" si="306"/>
        <v>-0.5</v>
      </c>
      <c r="G280">
        <f t="shared" si="307"/>
        <v>-2.7225205053521222</v>
      </c>
      <c r="H280">
        <f t="shared" ref="H280:I280" si="327">+AVERAGE(F278:F282)</f>
        <v>-8.2666666666666675</v>
      </c>
      <c r="I280">
        <f t="shared" si="327"/>
        <v>-10.9230170555781</v>
      </c>
      <c r="J280">
        <f t="shared" si="300"/>
        <v>1976.1666666666599</v>
      </c>
      <c r="K280">
        <f t="shared" si="301"/>
        <v>-229</v>
      </c>
      <c r="L280">
        <f t="shared" si="302"/>
        <v>-279.08159228927002</v>
      </c>
      <c r="M280" s="5">
        <v>1903.1666666666599</v>
      </c>
      <c r="N280" s="5">
        <v>-105</v>
      </c>
      <c r="O280" s="5">
        <v>-285.100410818206</v>
      </c>
      <c r="Q280">
        <f t="shared" si="309"/>
        <v>2.2225205053521222</v>
      </c>
    </row>
    <row r="281" spans="1:17" x14ac:dyDescent="0.25">
      <c r="A281">
        <f t="shared" si="296"/>
        <v>1976.25</v>
      </c>
      <c r="B281">
        <f t="shared" si="297"/>
        <v>-228</v>
      </c>
      <c r="C281">
        <f t="shared" si="298"/>
        <v>-270.66390158781002</v>
      </c>
      <c r="D281">
        <f t="shared" si="303"/>
        <v>-11.5</v>
      </c>
      <c r="E281">
        <f t="shared" si="304"/>
        <v>-6.9275457748724989</v>
      </c>
      <c r="F281">
        <f t="shared" si="306"/>
        <v>-10.666666666666666</v>
      </c>
      <c r="G281">
        <f t="shared" si="307"/>
        <v>-9.5314074876789245</v>
      </c>
      <c r="H281">
        <f t="shared" ref="H281:I281" si="328">+AVERAGE(F279:F283)</f>
        <v>-9.7666666666666675</v>
      </c>
      <c r="I281">
        <f t="shared" si="328"/>
        <v>-12.62875251682426</v>
      </c>
      <c r="J281">
        <f t="shared" si="300"/>
        <v>1976.25</v>
      </c>
      <c r="K281">
        <f t="shared" si="301"/>
        <v>-228</v>
      </c>
      <c r="L281">
        <f t="shared" si="302"/>
        <v>-270.66390158781002</v>
      </c>
      <c r="M281" s="5">
        <v>1903.25</v>
      </c>
      <c r="N281" s="5">
        <v>-105</v>
      </c>
      <c r="O281" s="5">
        <v>-271.19703775922898</v>
      </c>
      <c r="Q281">
        <f t="shared" si="309"/>
        <v>1.1352591789877415</v>
      </c>
    </row>
    <row r="282" spans="1:17" x14ac:dyDescent="0.25">
      <c r="A282">
        <f t="shared" si="296"/>
        <v>1976.3333333333301</v>
      </c>
      <c r="B282">
        <f t="shared" si="297"/>
        <v>-204</v>
      </c>
      <c r="C282">
        <f t="shared" si="298"/>
        <v>-248.39111933660499</v>
      </c>
      <c r="D282">
        <f t="shared" si="303"/>
        <v>-22.5</v>
      </c>
      <c r="E282">
        <f t="shared" si="304"/>
        <v>-25.389589802630979</v>
      </c>
      <c r="F282">
        <f t="shared" si="306"/>
        <v>-29.166666666666668</v>
      </c>
      <c r="G282">
        <f t="shared" si="307"/>
        <v>-40.328482361191867</v>
      </c>
      <c r="H282">
        <f t="shared" ref="H282:I282" si="329">+AVERAGE(F280:F284)</f>
        <v>-7.4333333333333345</v>
      </c>
      <c r="I282">
        <f t="shared" si="329"/>
        <v>-11.004165284914581</v>
      </c>
      <c r="J282">
        <f t="shared" si="300"/>
        <v>1976.3333333333301</v>
      </c>
      <c r="K282">
        <f t="shared" si="301"/>
        <v>-204</v>
      </c>
      <c r="L282">
        <f t="shared" si="302"/>
        <v>-248.39111933660499</v>
      </c>
      <c r="M282" s="5">
        <v>1903.3333333333301</v>
      </c>
      <c r="N282" s="5">
        <v>-105</v>
      </c>
      <c r="O282" s="5">
        <v>-230.33526171662001</v>
      </c>
      <c r="Q282">
        <f t="shared" si="309"/>
        <v>11.161815694525199</v>
      </c>
    </row>
    <row r="283" spans="1:17" x14ac:dyDescent="0.25">
      <c r="A283">
        <f t="shared" si="296"/>
        <v>1976.4166666666599</v>
      </c>
      <c r="B283">
        <f t="shared" si="297"/>
        <v>-135</v>
      </c>
      <c r="C283">
        <f t="shared" si="298"/>
        <v>-175.339157480138</v>
      </c>
      <c r="D283">
        <f t="shared" si="303"/>
        <v>-53.5</v>
      </c>
      <c r="E283">
        <f t="shared" si="304"/>
        <v>-118.914673276966</v>
      </c>
      <c r="F283">
        <f t="shared" si="306"/>
        <v>-8.3333333333333339</v>
      </c>
      <c r="G283">
        <f t="shared" si="307"/>
        <v>-9.3182648365701315</v>
      </c>
      <c r="H283">
        <f t="shared" ref="H283:I283" si="330">+AVERAGE(F281:F285)</f>
        <v>-2.4000000000000008</v>
      </c>
      <c r="I283">
        <f t="shared" si="330"/>
        <v>-2.3652082565145038</v>
      </c>
      <c r="J283">
        <f t="shared" si="300"/>
        <v>1976.4166666666599</v>
      </c>
      <c r="K283">
        <f t="shared" si="301"/>
        <v>-135</v>
      </c>
      <c r="L283">
        <f t="shared" si="302"/>
        <v>-175.339157480138</v>
      </c>
      <c r="M283" s="5">
        <v>1903.4166666666599</v>
      </c>
      <c r="N283" s="5">
        <v>-105</v>
      </c>
      <c r="O283" s="5">
        <v>-75.460220489680296</v>
      </c>
      <c r="Q283">
        <f t="shared" si="309"/>
        <v>0.98493150323679757</v>
      </c>
    </row>
    <row r="284" spans="1:17" x14ac:dyDescent="0.25">
      <c r="A284">
        <f t="shared" si="296"/>
        <v>1976.5</v>
      </c>
      <c r="B284">
        <f t="shared" si="297"/>
        <v>41</v>
      </c>
      <c r="C284">
        <f t="shared" si="298"/>
        <v>135.54215093026099</v>
      </c>
      <c r="D284">
        <f t="shared" si="303"/>
        <v>51</v>
      </c>
      <c r="E284">
        <f t="shared" si="304"/>
        <v>109.36076994245899</v>
      </c>
      <c r="F284">
        <f t="shared" si="306"/>
        <v>11.5</v>
      </c>
      <c r="G284">
        <f t="shared" si="307"/>
        <v>6.8798487662201344</v>
      </c>
      <c r="H284">
        <f t="shared" ref="H284:I284" si="331">+AVERAGE(F282:F286)</f>
        <v>2.8000000000000003</v>
      </c>
      <c r="I284">
        <f t="shared" si="331"/>
        <v>2.0715413987538405</v>
      </c>
      <c r="J284">
        <f t="shared" si="300"/>
        <v>1976.5</v>
      </c>
      <c r="K284">
        <f t="shared" si="301"/>
        <v>41</v>
      </c>
      <c r="L284">
        <f t="shared" si="302"/>
        <v>135.54215093026099</v>
      </c>
      <c r="M284" s="5">
        <v>1903.5</v>
      </c>
      <c r="N284" s="5">
        <v>-105</v>
      </c>
      <c r="O284" s="5">
        <v>185.78063782316801</v>
      </c>
      <c r="Q284">
        <f t="shared" si="309"/>
        <v>4.6201512337798656</v>
      </c>
    </row>
    <row r="285" spans="1:17" x14ac:dyDescent="0.25">
      <c r="A285">
        <f t="shared" si="296"/>
        <v>1976.5833333333301</v>
      </c>
      <c r="B285">
        <f t="shared" si="297"/>
        <v>115</v>
      </c>
      <c r="C285">
        <f t="shared" si="298"/>
        <v>227.701919455742</v>
      </c>
      <c r="D285">
        <f t="shared" si="303"/>
        <v>37</v>
      </c>
      <c r="E285">
        <f t="shared" si="304"/>
        <v>35.353336207832513</v>
      </c>
      <c r="F285">
        <f t="shared" si="306"/>
        <v>24.666666666666668</v>
      </c>
      <c r="G285">
        <f t="shared" si="307"/>
        <v>40.472264636648269</v>
      </c>
      <c r="H285">
        <f t="shared" ref="H285:I285" si="332">+AVERAGE(F283:F287)</f>
        <v>7.7333333333333343</v>
      </c>
      <c r="I285">
        <f t="shared" si="332"/>
        <v>10.974945601977973</v>
      </c>
      <c r="J285">
        <f t="shared" si="300"/>
        <v>1976.5833333333301</v>
      </c>
      <c r="K285">
        <f t="shared" si="301"/>
        <v>115</v>
      </c>
      <c r="L285">
        <f t="shared" si="302"/>
        <v>227.701919455742</v>
      </c>
      <c r="M285" s="5">
        <v>1903.5833333333301</v>
      </c>
      <c r="N285" s="5">
        <v>-105</v>
      </c>
      <c r="O285" s="5">
        <v>225.41090174369</v>
      </c>
      <c r="Q285">
        <f t="shared" si="309"/>
        <v>15.805597969981601</v>
      </c>
    </row>
    <row r="286" spans="1:17" x14ac:dyDescent="0.25">
      <c r="A286">
        <f t="shared" si="296"/>
        <v>1976.6666666666599</v>
      </c>
      <c r="B286">
        <f t="shared" si="297"/>
        <v>115</v>
      </c>
      <c r="C286">
        <f t="shared" si="298"/>
        <v>249.15501556555799</v>
      </c>
      <c r="D286">
        <f t="shared" si="303"/>
        <v>-14</v>
      </c>
      <c r="E286">
        <f t="shared" si="304"/>
        <v>7.05688623713948</v>
      </c>
      <c r="F286">
        <f t="shared" si="306"/>
        <v>15.333333333333334</v>
      </c>
      <c r="G286">
        <f t="shared" si="307"/>
        <v>12.652340788662794</v>
      </c>
      <c r="H286">
        <f t="shared" ref="H286:I286" si="333">+AVERAGE(F284:F288)</f>
        <v>10.333333333333334</v>
      </c>
      <c r="I286">
        <f t="shared" si="333"/>
        <v>13.369427908148078</v>
      </c>
      <c r="J286">
        <f t="shared" si="300"/>
        <v>1976.6666666666599</v>
      </c>
      <c r="K286">
        <f t="shared" si="301"/>
        <v>115</v>
      </c>
      <c r="L286">
        <f t="shared" si="302"/>
        <v>249.15501556555799</v>
      </c>
      <c r="M286" s="5">
        <v>1903.6666666666599</v>
      </c>
      <c r="N286" s="5">
        <v>-105</v>
      </c>
      <c r="O286" s="5">
        <v>231.17082500505899</v>
      </c>
      <c r="Q286">
        <f t="shared" si="309"/>
        <v>2.6809925446705396</v>
      </c>
    </row>
    <row r="287" spans="1:17" x14ac:dyDescent="0.25">
      <c r="A287">
        <f t="shared" si="296"/>
        <v>1976.75</v>
      </c>
      <c r="B287">
        <f t="shared" si="297"/>
        <v>143</v>
      </c>
      <c r="C287">
        <f t="shared" si="298"/>
        <v>256.49433920109499</v>
      </c>
      <c r="D287">
        <f t="shared" si="303"/>
        <v>23</v>
      </c>
      <c r="E287">
        <f t="shared" si="304"/>
        <v>5.0360555125134852</v>
      </c>
      <c r="F287">
        <f t="shared" si="306"/>
        <v>-4.5</v>
      </c>
      <c r="G287">
        <f t="shared" si="307"/>
        <v>4.1885386549287889</v>
      </c>
      <c r="H287">
        <f t="shared" ref="H287:I287" si="334">+AVERAGE(F285:F289)</f>
        <v>7.0666666666666655</v>
      </c>
      <c r="I287">
        <f t="shared" si="334"/>
        <v>12.501055975338154</v>
      </c>
      <c r="J287">
        <f t="shared" si="300"/>
        <v>1976.75</v>
      </c>
      <c r="K287">
        <f t="shared" si="301"/>
        <v>143</v>
      </c>
      <c r="L287">
        <f t="shared" si="302"/>
        <v>256.49433920109499</v>
      </c>
      <c r="M287" s="5">
        <v>1903.75</v>
      </c>
      <c r="N287" s="5">
        <v>-105</v>
      </c>
      <c r="O287" s="5">
        <v>241.34134337983201</v>
      </c>
      <c r="Q287">
        <f t="shared" si="309"/>
        <v>8.688538654928788</v>
      </c>
    </row>
    <row r="288" spans="1:17" x14ac:dyDescent="0.25">
      <c r="A288">
        <f t="shared" si="296"/>
        <v>1976.8333333333301</v>
      </c>
      <c r="B288">
        <f t="shared" si="297"/>
        <v>125</v>
      </c>
      <c r="C288">
        <f t="shared" si="298"/>
        <v>253.76155181160499</v>
      </c>
      <c r="D288">
        <f t="shared" si="303"/>
        <v>-22.5</v>
      </c>
      <c r="E288">
        <f t="shared" si="304"/>
        <v>3.6140782063299923</v>
      </c>
      <c r="F288">
        <f t="shared" si="306"/>
        <v>4.666666666666667</v>
      </c>
      <c r="G288">
        <f t="shared" si="307"/>
        <v>2.654146694280394</v>
      </c>
      <c r="H288">
        <f t="shared" ref="H288:I288" si="335">+AVERAGE(F286:F290)</f>
        <v>2.9666666666666672</v>
      </c>
      <c r="I288">
        <f t="shared" si="335"/>
        <v>4.6001314939050078</v>
      </c>
      <c r="J288">
        <f t="shared" si="300"/>
        <v>1976.8333333333301</v>
      </c>
      <c r="K288">
        <f t="shared" si="301"/>
        <v>125</v>
      </c>
      <c r="L288">
        <f t="shared" si="302"/>
        <v>253.76155181160499</v>
      </c>
      <c r="M288" s="5">
        <v>1903.8333333333301</v>
      </c>
      <c r="N288" s="5">
        <v>-105</v>
      </c>
      <c r="O288" s="5">
        <v>253.87671508245199</v>
      </c>
      <c r="Q288">
        <f t="shared" si="309"/>
        <v>2.012519972386273</v>
      </c>
    </row>
    <row r="289" spans="1:17" x14ac:dyDescent="0.25">
      <c r="A289">
        <f t="shared" si="296"/>
        <v>1976.9166666666599</v>
      </c>
      <c r="B289">
        <f t="shared" si="297"/>
        <v>152</v>
      </c>
      <c r="C289">
        <f t="shared" si="298"/>
        <v>243.800608009455</v>
      </c>
      <c r="D289">
        <f t="shared" si="303"/>
        <v>13.5</v>
      </c>
      <c r="E289">
        <f t="shared" si="304"/>
        <v>1.3029163847079985</v>
      </c>
      <c r="F289">
        <f t="shared" si="306"/>
        <v>-4.833333333333333</v>
      </c>
      <c r="G289">
        <f t="shared" si="307"/>
        <v>2.537989102170529</v>
      </c>
      <c r="H289">
        <f t="shared" ref="H289:I289" si="336">+AVERAGE(F287:F291)</f>
        <v>-0.2666666666666665</v>
      </c>
      <c r="I289">
        <f t="shared" si="336"/>
        <v>1.4921243708119967</v>
      </c>
      <c r="J289">
        <f t="shared" si="300"/>
        <v>1976.9166666666599</v>
      </c>
      <c r="K289">
        <f t="shared" si="301"/>
        <v>152</v>
      </c>
      <c r="L289">
        <f t="shared" si="302"/>
        <v>243.800608009455</v>
      </c>
      <c r="M289" s="5">
        <v>1903.9166666666599</v>
      </c>
      <c r="N289" s="5">
        <v>-105</v>
      </c>
      <c r="O289" s="5">
        <v>264.43166975409002</v>
      </c>
      <c r="Q289">
        <f t="shared" si="309"/>
        <v>7.3713224355038616</v>
      </c>
    </row>
    <row r="290" spans="1:17" x14ac:dyDescent="0.25">
      <c r="A290">
        <f t="shared" si="296"/>
        <v>1977</v>
      </c>
      <c r="B290">
        <f t="shared" si="297"/>
        <v>152</v>
      </c>
      <c r="C290">
        <f t="shared" si="298"/>
        <v>231.23383143788899</v>
      </c>
      <c r="D290">
        <f t="shared" si="303"/>
        <v>-5.5</v>
      </c>
      <c r="E290">
        <f t="shared" si="304"/>
        <v>4.6004645421014914</v>
      </c>
      <c r="F290">
        <f t="shared" si="306"/>
        <v>4.166666666666667</v>
      </c>
      <c r="G290">
        <f t="shared" si="307"/>
        <v>0.96764222948253664</v>
      </c>
      <c r="H290">
        <f t="shared" ref="H290:I290" si="337">+AVERAGE(F288:F292)</f>
        <v>0.83333333333333359</v>
      </c>
      <c r="I290">
        <f t="shared" si="337"/>
        <v>-0.15195129887162678</v>
      </c>
      <c r="J290">
        <f t="shared" si="300"/>
        <v>1977</v>
      </c>
      <c r="K290">
        <f t="shared" si="301"/>
        <v>152</v>
      </c>
      <c r="L290">
        <f t="shared" si="302"/>
        <v>231.23383143788899</v>
      </c>
      <c r="M290" s="5">
        <v>1904</v>
      </c>
      <c r="N290" s="5">
        <v>-105</v>
      </c>
      <c r="O290" s="5">
        <v>270.61504708146799</v>
      </c>
      <c r="Q290">
        <f t="shared" si="309"/>
        <v>3.1990244371841303</v>
      </c>
    </row>
    <row r="291" spans="1:17" x14ac:dyDescent="0.25">
      <c r="A291">
        <f t="shared" si="296"/>
        <v>1977.0833333333301</v>
      </c>
      <c r="B291">
        <f t="shared" si="297"/>
        <v>163</v>
      </c>
      <c r="C291">
        <f t="shared" si="298"/>
        <v>209.46612578212</v>
      </c>
      <c r="D291">
        <f t="shared" si="303"/>
        <v>4.5</v>
      </c>
      <c r="E291">
        <f t="shared" si="304"/>
        <v>-2.2747225662499773</v>
      </c>
      <c r="F291">
        <f t="shared" si="306"/>
        <v>-0.83333333333333337</v>
      </c>
      <c r="G291">
        <f t="shared" si="307"/>
        <v>-2.8876948268022642</v>
      </c>
      <c r="H291">
        <f t="shared" ref="H291:I291" si="338">+AVERAGE(F289:F293)</f>
        <v>-3.333333333333325E-2</v>
      </c>
      <c r="I291">
        <f t="shared" si="338"/>
        <v>-1.0209064274455462</v>
      </c>
      <c r="J291">
        <f t="shared" si="300"/>
        <v>1977.0833333333301</v>
      </c>
      <c r="K291">
        <f t="shared" si="301"/>
        <v>163</v>
      </c>
      <c r="L291">
        <f t="shared" si="302"/>
        <v>209.46612578212</v>
      </c>
      <c r="M291" s="5">
        <v>1904.0833333333301</v>
      </c>
      <c r="N291" s="5">
        <v>-105</v>
      </c>
      <c r="O291" s="5">
        <v>268.30161896540301</v>
      </c>
      <c r="Q291">
        <f t="shared" si="309"/>
        <v>2.0543614934689307</v>
      </c>
    </row>
    <row r="292" spans="1:17" x14ac:dyDescent="0.25">
      <c r="A292">
        <f t="shared" si="296"/>
        <v>1977.1666666666599</v>
      </c>
      <c r="B292">
        <f t="shared" si="297"/>
        <v>165</v>
      </c>
      <c r="C292">
        <f t="shared" si="298"/>
        <v>192.24786525885099</v>
      </c>
      <c r="D292">
        <f t="shared" si="303"/>
        <v>-1.5</v>
      </c>
      <c r="E292">
        <f t="shared" si="304"/>
        <v>-13.154597576360004</v>
      </c>
      <c r="F292">
        <f t="shared" si="306"/>
        <v>1</v>
      </c>
      <c r="G292">
        <f t="shared" si="307"/>
        <v>-4.0318396934893297</v>
      </c>
      <c r="H292">
        <f t="shared" ref="H292:I292" si="339">+AVERAGE(F290:F294)</f>
        <v>1.5666666666666669</v>
      </c>
      <c r="I292">
        <f t="shared" si="339"/>
        <v>-0.27574572143175846</v>
      </c>
      <c r="J292">
        <f t="shared" si="300"/>
        <v>1977.1666666666599</v>
      </c>
      <c r="K292">
        <f t="shared" si="301"/>
        <v>165</v>
      </c>
      <c r="L292">
        <f t="shared" si="302"/>
        <v>192.24786525885099</v>
      </c>
      <c r="M292" s="5">
        <v>1904.1666666666599</v>
      </c>
      <c r="N292" s="5">
        <v>-105</v>
      </c>
      <c r="O292" s="5">
        <v>261.30949262283798</v>
      </c>
      <c r="Q292">
        <f t="shared" si="309"/>
        <v>5.0318396934893297</v>
      </c>
    </row>
    <row r="293" spans="1:17" x14ac:dyDescent="0.25">
      <c r="A293">
        <f t="shared" si="296"/>
        <v>1977.25</v>
      </c>
      <c r="B293">
        <f t="shared" si="297"/>
        <v>170</v>
      </c>
      <c r="C293">
        <f t="shared" si="298"/>
        <v>201.33879988830199</v>
      </c>
      <c r="D293">
        <f t="shared" si="303"/>
        <v>0</v>
      </c>
      <c r="E293">
        <f t="shared" si="304"/>
        <v>0.30992129202499541</v>
      </c>
      <c r="F293">
        <f t="shared" si="306"/>
        <v>0.33333333333333331</v>
      </c>
      <c r="G293">
        <f t="shared" si="307"/>
        <v>-1.690628948589203</v>
      </c>
      <c r="H293">
        <f t="shared" ref="H293:I293" si="340">+AVERAGE(F291:F295)</f>
        <v>5.0999999999999996</v>
      </c>
      <c r="I293">
        <f t="shared" si="340"/>
        <v>5.1992631482938902</v>
      </c>
      <c r="J293">
        <f t="shared" si="300"/>
        <v>1977.25</v>
      </c>
      <c r="K293">
        <f t="shared" si="301"/>
        <v>170</v>
      </c>
      <c r="L293">
        <f t="shared" si="302"/>
        <v>201.33879988830199</v>
      </c>
      <c r="M293" s="5">
        <v>1904.25</v>
      </c>
      <c r="N293" s="5">
        <v>-105</v>
      </c>
      <c r="O293" s="5">
        <v>251.89539405843101</v>
      </c>
      <c r="Q293">
        <f t="shared" si="309"/>
        <v>2.0239622819225365</v>
      </c>
    </row>
    <row r="294" spans="1:17" x14ac:dyDescent="0.25">
      <c r="A294">
        <f t="shared" si="296"/>
        <v>1977.3333333333301</v>
      </c>
      <c r="B294">
        <f t="shared" si="297"/>
        <v>175</v>
      </c>
      <c r="C294">
        <f t="shared" si="298"/>
        <v>209.809891933703</v>
      </c>
      <c r="D294">
        <f t="shared" si="303"/>
        <v>2.5</v>
      </c>
      <c r="E294">
        <f t="shared" si="304"/>
        <v>6.5048177271254985</v>
      </c>
      <c r="F294">
        <f t="shared" si="306"/>
        <v>3.1666666666666665</v>
      </c>
      <c r="G294">
        <f t="shared" si="307"/>
        <v>6.2637926322394684</v>
      </c>
      <c r="H294">
        <f t="shared" ref="H294:I294" si="341">+AVERAGE(F292:F296)</f>
        <v>6.9</v>
      </c>
      <c r="I294">
        <f t="shared" si="341"/>
        <v>9.5680112134970159</v>
      </c>
      <c r="J294">
        <f t="shared" si="300"/>
        <v>1977.3333333333301</v>
      </c>
      <c r="K294">
        <f t="shared" si="301"/>
        <v>175</v>
      </c>
      <c r="L294">
        <f t="shared" si="302"/>
        <v>209.809891933703</v>
      </c>
      <c r="M294" s="5">
        <v>1904.3333333333301</v>
      </c>
      <c r="N294" s="5">
        <v>-105</v>
      </c>
      <c r="O294" s="5">
        <v>228.89861969650201</v>
      </c>
      <c r="Q294">
        <f t="shared" si="309"/>
        <v>3.0971259655728018</v>
      </c>
    </row>
    <row r="295" spans="1:17" x14ac:dyDescent="0.25">
      <c r="A295">
        <f t="shared" si="296"/>
        <v>1977.4166666666599</v>
      </c>
      <c r="B295">
        <f t="shared" si="297"/>
        <v>175</v>
      </c>
      <c r="C295">
        <f t="shared" si="298"/>
        <v>205.27134852485301</v>
      </c>
      <c r="D295">
        <f t="shared" si="303"/>
        <v>7</v>
      </c>
      <c r="E295">
        <f t="shared" si="304"/>
        <v>16.674483351747512</v>
      </c>
      <c r="F295">
        <f t="shared" si="306"/>
        <v>21.833333333333332</v>
      </c>
      <c r="G295">
        <f t="shared" si="307"/>
        <v>28.342686578110779</v>
      </c>
      <c r="H295">
        <f t="shared" ref="H295:I295" si="342">+AVERAGE(F293:F297)</f>
        <v>10.733333333333334</v>
      </c>
      <c r="I295">
        <f t="shared" si="342"/>
        <v>10.260418351179682</v>
      </c>
      <c r="J295">
        <f t="shared" si="300"/>
        <v>1977.4166666666599</v>
      </c>
      <c r="K295">
        <f t="shared" si="301"/>
        <v>175</v>
      </c>
      <c r="L295">
        <f t="shared" si="302"/>
        <v>205.27134852485301</v>
      </c>
      <c r="M295" s="5">
        <v>1904.4166666666599</v>
      </c>
      <c r="N295" s="5">
        <v>-105</v>
      </c>
      <c r="O295" s="5">
        <v>177.232291040001</v>
      </c>
      <c r="Q295">
        <f t="shared" si="309"/>
        <v>6.5093532447774471</v>
      </c>
    </row>
    <row r="296" spans="1:17" x14ac:dyDescent="0.25">
      <c r="A296">
        <f t="shared" si="296"/>
        <v>1977.5</v>
      </c>
      <c r="B296">
        <f t="shared" si="297"/>
        <v>161</v>
      </c>
      <c r="C296">
        <f t="shared" si="298"/>
        <v>167.383838412508</v>
      </c>
      <c r="D296">
        <f t="shared" si="303"/>
        <v>56</v>
      </c>
      <c r="E296">
        <f t="shared" si="304"/>
        <v>83.1057735890424</v>
      </c>
      <c r="F296">
        <f t="shared" si="306"/>
        <v>8.1666666666666661</v>
      </c>
      <c r="G296">
        <f t="shared" si="307"/>
        <v>18.956045499213364</v>
      </c>
      <c r="H296">
        <f t="shared" ref="H296:I296" si="343">+AVERAGE(F294:F298)</f>
        <v>7.9333333333333327</v>
      </c>
      <c r="I296">
        <f t="shared" si="343"/>
        <v>5.7536660914499267</v>
      </c>
      <c r="J296">
        <f t="shared" si="300"/>
        <v>1977.5</v>
      </c>
      <c r="K296">
        <f t="shared" si="301"/>
        <v>161</v>
      </c>
      <c r="L296">
        <f t="shared" si="302"/>
        <v>167.383838412508</v>
      </c>
      <c r="M296" s="5">
        <v>1904.5</v>
      </c>
      <c r="N296" s="5">
        <v>-105</v>
      </c>
      <c r="O296" s="5">
        <v>14.0167939121687</v>
      </c>
      <c r="Q296">
        <f t="shared" si="309"/>
        <v>10.789378832546697</v>
      </c>
    </row>
    <row r="297" spans="1:17" x14ac:dyDescent="0.25">
      <c r="A297">
        <f t="shared" si="296"/>
        <v>1977.5833333333301</v>
      </c>
      <c r="B297">
        <f t="shared" si="297"/>
        <v>35</v>
      </c>
      <c r="C297">
        <f t="shared" si="298"/>
        <v>-36.715218877921799</v>
      </c>
      <c r="D297">
        <f t="shared" si="303"/>
        <v>-38.5</v>
      </c>
      <c r="E297">
        <f t="shared" si="304"/>
        <v>-28.695086318739797</v>
      </c>
      <c r="F297">
        <f t="shared" si="306"/>
        <v>20.166666666666668</v>
      </c>
      <c r="G297">
        <f t="shared" si="307"/>
        <v>-0.56980400507599904</v>
      </c>
      <c r="H297">
        <f t="shared" ref="H297:I297" si="344">+AVERAGE(F295:F299)</f>
        <v>6.7333333333333343</v>
      </c>
      <c r="I297">
        <f t="shared" si="344"/>
        <v>1.0935620977924572</v>
      </c>
      <c r="J297">
        <f t="shared" si="300"/>
        <v>1977.5833333333301</v>
      </c>
      <c r="K297">
        <f t="shared" si="301"/>
        <v>35</v>
      </c>
      <c r="L297">
        <f t="shared" si="302"/>
        <v>-36.715218877921799</v>
      </c>
      <c r="M297" s="5">
        <v>1904.5833333333301</v>
      </c>
      <c r="N297" s="5">
        <v>-105</v>
      </c>
      <c r="O297" s="5">
        <v>-192.77764128739301</v>
      </c>
      <c r="Q297">
        <f t="shared" si="309"/>
        <v>20.736470671742666</v>
      </c>
    </row>
    <row r="298" spans="1:17" x14ac:dyDescent="0.25">
      <c r="A298">
        <f t="shared" si="296"/>
        <v>1977.6666666666599</v>
      </c>
      <c r="B298">
        <f t="shared" si="297"/>
        <v>-14</v>
      </c>
      <c r="C298">
        <f t="shared" si="298"/>
        <v>-183.424103530872</v>
      </c>
      <c r="D298">
        <f t="shared" si="303"/>
        <v>43</v>
      </c>
      <c r="E298">
        <f t="shared" si="304"/>
        <v>-56.547452289337599</v>
      </c>
      <c r="F298">
        <f t="shared" si="306"/>
        <v>-13.666666666666666</v>
      </c>
      <c r="G298">
        <f t="shared" si="307"/>
        <v>-24.22439024723797</v>
      </c>
      <c r="H298">
        <f t="shared" ref="H298:I298" si="345">+AVERAGE(F296:F300)</f>
        <v>-0.46666666666666606</v>
      </c>
      <c r="I298">
        <f t="shared" si="345"/>
        <v>-5.0782299056095921</v>
      </c>
      <c r="J298">
        <f t="shared" si="300"/>
        <v>1977.6666666666599</v>
      </c>
      <c r="K298">
        <f t="shared" si="301"/>
        <v>-14</v>
      </c>
      <c r="L298">
        <f t="shared" si="302"/>
        <v>-183.424103530872</v>
      </c>
      <c r="M298" s="5">
        <v>1904.6666666666599</v>
      </c>
      <c r="N298" s="5">
        <v>-105</v>
      </c>
      <c r="O298" s="5">
        <v>-246.85703453503399</v>
      </c>
      <c r="Q298">
        <f t="shared" si="309"/>
        <v>10.557723580571304</v>
      </c>
    </row>
    <row r="299" spans="1:17" x14ac:dyDescent="0.25">
      <c r="A299">
        <f t="shared" si="296"/>
        <v>1977.75</v>
      </c>
      <c r="B299">
        <f t="shared" si="297"/>
        <v>-149</v>
      </c>
      <c r="C299">
        <f t="shared" si="298"/>
        <v>-217.03808360514699</v>
      </c>
      <c r="D299">
        <f t="shared" si="303"/>
        <v>-45.5</v>
      </c>
      <c r="E299">
        <f t="shared" si="304"/>
        <v>-5.5989248190649903</v>
      </c>
      <c r="F299">
        <f t="shared" si="306"/>
        <v>-2.8333333333333335</v>
      </c>
      <c r="G299">
        <f t="shared" si="307"/>
        <v>-17.036727336047889</v>
      </c>
      <c r="H299">
        <f t="shared" ref="H299:I299" si="346">+AVERAGE(F297:F301)</f>
        <v>-3.5666666666666664</v>
      </c>
      <c r="I299">
        <f t="shared" si="346"/>
        <v>-9.1758326582397043</v>
      </c>
      <c r="J299">
        <f t="shared" si="300"/>
        <v>1977.75</v>
      </c>
      <c r="K299">
        <f t="shared" si="301"/>
        <v>-149</v>
      </c>
      <c r="L299">
        <f t="shared" si="302"/>
        <v>-217.03808360514699</v>
      </c>
      <c r="M299" s="5">
        <v>1904.75</v>
      </c>
      <c r="N299" s="5">
        <v>-105</v>
      </c>
      <c r="O299" s="5">
        <v>-268.30580667825302</v>
      </c>
      <c r="Q299">
        <f t="shared" si="309"/>
        <v>14.203394002714555</v>
      </c>
    </row>
    <row r="300" spans="1:17" x14ac:dyDescent="0.25">
      <c r="A300">
        <f t="shared" si="296"/>
        <v>1977.8333333333301</v>
      </c>
      <c r="B300">
        <f t="shared" si="297"/>
        <v>-193</v>
      </c>
      <c r="C300">
        <f t="shared" si="298"/>
        <v>-239.454214041292</v>
      </c>
      <c r="D300">
        <f t="shared" si="303"/>
        <v>-6</v>
      </c>
      <c r="E300">
        <f t="shared" si="304"/>
        <v>-1.7413504017769981</v>
      </c>
      <c r="F300">
        <f t="shared" si="306"/>
        <v>-14.166666666666666</v>
      </c>
      <c r="G300">
        <f t="shared" si="307"/>
        <v>-2.5162734388994679</v>
      </c>
      <c r="H300">
        <f t="shared" ref="H300:I300" si="347">+AVERAGE(F298:F302)</f>
        <v>-9.3666666666666671</v>
      </c>
      <c r="I300">
        <f t="shared" si="347"/>
        <v>-9.493218753451437</v>
      </c>
      <c r="J300">
        <f t="shared" si="300"/>
        <v>1977.8333333333301</v>
      </c>
      <c r="K300">
        <f t="shared" si="301"/>
        <v>-193</v>
      </c>
      <c r="L300">
        <f t="shared" si="302"/>
        <v>-239.454214041292</v>
      </c>
      <c r="M300" s="5">
        <v>1904.8333333333301</v>
      </c>
      <c r="N300" s="5">
        <v>-105</v>
      </c>
      <c r="O300" s="5">
        <v>-285.83908153503103</v>
      </c>
      <c r="Q300">
        <f t="shared" si="309"/>
        <v>11.650393227767198</v>
      </c>
    </row>
    <row r="301" spans="1:17" x14ac:dyDescent="0.25">
      <c r="A301">
        <f t="shared" si="296"/>
        <v>1977.9166666666599</v>
      </c>
      <c r="B301">
        <f t="shared" si="297"/>
        <v>-225</v>
      </c>
      <c r="C301">
        <f t="shared" si="298"/>
        <v>-258.38764367388302</v>
      </c>
      <c r="D301">
        <f t="shared" si="303"/>
        <v>9</v>
      </c>
      <c r="E301">
        <f t="shared" si="304"/>
        <v>-2.0957501750310144</v>
      </c>
      <c r="F301">
        <f t="shared" si="306"/>
        <v>-7.333333333333333</v>
      </c>
      <c r="G301">
        <f t="shared" si="307"/>
        <v>-1.5319682639371954</v>
      </c>
      <c r="H301">
        <f t="shared" ref="H301:I301" si="348">+AVERAGE(F299:F303)</f>
        <v>-9</v>
      </c>
      <c r="I301">
        <f t="shared" si="348"/>
        <v>-5.026766926204294</v>
      </c>
      <c r="J301">
        <f t="shared" si="300"/>
        <v>1977.9166666666599</v>
      </c>
      <c r="K301">
        <f t="shared" si="301"/>
        <v>-225</v>
      </c>
      <c r="L301">
        <f t="shared" si="302"/>
        <v>-258.38764367388302</v>
      </c>
      <c r="M301" s="5">
        <v>1904.9166666666599</v>
      </c>
      <c r="N301" s="5">
        <v>-105</v>
      </c>
      <c r="O301" s="5">
        <v>-297.71790923667697</v>
      </c>
      <c r="Q301">
        <f t="shared" si="309"/>
        <v>5.8013650693961374</v>
      </c>
    </row>
    <row r="302" spans="1:17" x14ac:dyDescent="0.25">
      <c r="A302">
        <f t="shared" si="296"/>
        <v>1978</v>
      </c>
      <c r="B302">
        <f t="shared" si="297"/>
        <v>-275</v>
      </c>
      <c r="C302">
        <f t="shared" si="298"/>
        <v>-273.12957295641201</v>
      </c>
      <c r="D302">
        <f t="shared" si="303"/>
        <v>-25</v>
      </c>
      <c r="E302">
        <f t="shared" si="304"/>
        <v>-1.9077804129564697</v>
      </c>
      <c r="F302">
        <f t="shared" si="306"/>
        <v>-8.8333333333333339</v>
      </c>
      <c r="G302">
        <f t="shared" si="307"/>
        <v>-2.1567344811346629</v>
      </c>
      <c r="H302">
        <f t="shared" ref="H302:I302" si="349">+AVERAGE(F300:F304)</f>
        <v>-8.8666666666666671</v>
      </c>
      <c r="I302">
        <f t="shared" si="349"/>
        <v>-1.838655372328875</v>
      </c>
      <c r="J302">
        <f t="shared" si="300"/>
        <v>1978</v>
      </c>
      <c r="K302">
        <f t="shared" si="301"/>
        <v>-275</v>
      </c>
      <c r="L302">
        <f t="shared" si="302"/>
        <v>-273.12957295641201</v>
      </c>
      <c r="M302" s="5">
        <v>1905</v>
      </c>
      <c r="N302" s="5">
        <v>-105</v>
      </c>
      <c r="O302" s="5">
        <v>-304.98919358942902</v>
      </c>
      <c r="Q302">
        <f t="shared" si="309"/>
        <v>6.676598852198671</v>
      </c>
    </row>
    <row r="303" spans="1:17" x14ac:dyDescent="0.25">
      <c r="A303">
        <f t="shared" si="296"/>
        <v>1978.0833333333301</v>
      </c>
      <c r="B303">
        <f t="shared" si="297"/>
        <v>-275</v>
      </c>
      <c r="C303">
        <f t="shared" si="298"/>
        <v>-284.05594141302799</v>
      </c>
      <c r="D303">
        <f t="shared" si="303"/>
        <v>-10.5</v>
      </c>
      <c r="E303">
        <f t="shared" si="304"/>
        <v>-4.0842237162675019</v>
      </c>
      <c r="F303">
        <f t="shared" si="306"/>
        <v>-11.833333333333334</v>
      </c>
      <c r="G303">
        <f t="shared" si="307"/>
        <v>-1.8921311110022545</v>
      </c>
      <c r="H303">
        <f t="shared" ref="H303:I303" si="350">+AVERAGE(F301:F305)</f>
        <v>-5.3666666666666671</v>
      </c>
      <c r="I303">
        <f t="shared" si="350"/>
        <v>-1.5013062671488708</v>
      </c>
      <c r="J303">
        <f t="shared" si="300"/>
        <v>1978.0833333333301</v>
      </c>
      <c r="K303">
        <f t="shared" si="301"/>
        <v>-275</v>
      </c>
      <c r="L303">
        <f t="shared" si="302"/>
        <v>-284.05594141302799</v>
      </c>
      <c r="M303" s="5">
        <v>1905.0833333333301</v>
      </c>
      <c r="N303" s="5">
        <v>-105</v>
      </c>
      <c r="O303" s="5">
        <v>-310.30207178630201</v>
      </c>
      <c r="Q303">
        <f t="shared" si="309"/>
        <v>9.9412022223310785</v>
      </c>
    </row>
    <row r="304" spans="1:17" x14ac:dyDescent="0.25">
      <c r="A304">
        <f t="shared" si="296"/>
        <v>1978.1666666666599</v>
      </c>
      <c r="B304">
        <f t="shared" si="297"/>
        <v>-254</v>
      </c>
      <c r="C304">
        <f t="shared" si="298"/>
        <v>-286.81386243710898</v>
      </c>
      <c r="D304">
        <f t="shared" si="303"/>
        <v>0</v>
      </c>
      <c r="E304">
        <f t="shared" si="304"/>
        <v>-1.1034875370344821</v>
      </c>
      <c r="F304">
        <f t="shared" si="306"/>
        <v>-2.1666666666666665</v>
      </c>
      <c r="G304">
        <f t="shared" si="307"/>
        <v>-1.0961695666707933</v>
      </c>
      <c r="H304">
        <f t="shared" ref="H304:I304" si="351">+AVERAGE(F302:F306)</f>
        <v>-3.666666666666667</v>
      </c>
      <c r="I304">
        <f t="shared" si="351"/>
        <v>-1.5017803028928181</v>
      </c>
      <c r="J304">
        <f t="shared" si="300"/>
        <v>1978.1666666666599</v>
      </c>
      <c r="K304">
        <f t="shared" si="301"/>
        <v>-254</v>
      </c>
      <c r="L304">
        <f t="shared" si="302"/>
        <v>-286.81386243710898</v>
      </c>
      <c r="M304" s="5">
        <v>1905.1666666666599</v>
      </c>
      <c r="N304" s="5">
        <v>-105</v>
      </c>
      <c r="O304" s="5">
        <v>-312.46598657569598</v>
      </c>
      <c r="Q304">
        <f t="shared" si="309"/>
        <v>1.0704970999958732</v>
      </c>
    </row>
    <row r="305" spans="1:17" x14ac:dyDescent="0.25">
      <c r="A305">
        <f t="shared" si="296"/>
        <v>1978.25</v>
      </c>
      <c r="B305">
        <f t="shared" si="297"/>
        <v>-233</v>
      </c>
      <c r="C305">
        <f t="shared" si="298"/>
        <v>-287.364808387121</v>
      </c>
      <c r="D305">
        <f t="shared" si="303"/>
        <v>4</v>
      </c>
      <c r="E305">
        <f t="shared" si="304"/>
        <v>1.0770753782865086</v>
      </c>
      <c r="F305">
        <f t="shared" si="306"/>
        <v>3.3333333333333335</v>
      </c>
      <c r="G305">
        <f t="shared" si="307"/>
        <v>-0.82952791299944695</v>
      </c>
      <c r="H305">
        <f t="shared" ref="H305:I305" si="352">+AVERAGE(F303:F307)</f>
        <v>-1.9666666666666668</v>
      </c>
      <c r="I305">
        <f t="shared" si="352"/>
        <v>-1.5725427391095916</v>
      </c>
      <c r="J305">
        <f t="shared" si="300"/>
        <v>1978.25</v>
      </c>
      <c r="K305">
        <f t="shared" si="301"/>
        <v>-233</v>
      </c>
      <c r="L305">
        <f t="shared" si="302"/>
        <v>-287.364808387121</v>
      </c>
      <c r="M305" s="5">
        <v>1905.25</v>
      </c>
      <c r="N305" s="5">
        <v>-105</v>
      </c>
      <c r="O305" s="5">
        <v>-313.33049216892499</v>
      </c>
      <c r="Q305">
        <f t="shared" si="309"/>
        <v>4.1628612463327803</v>
      </c>
    </row>
    <row r="306" spans="1:17" x14ac:dyDescent="0.25">
      <c r="A306">
        <f t="shared" si="296"/>
        <v>1978.3333333333301</v>
      </c>
      <c r="B306">
        <f t="shared" si="297"/>
        <v>-220</v>
      </c>
      <c r="C306">
        <f t="shared" si="298"/>
        <v>-290.06990509370598</v>
      </c>
      <c r="D306">
        <f t="shared" si="303"/>
        <v>6</v>
      </c>
      <c r="E306">
        <f t="shared" si="304"/>
        <v>-3.0843175149999524</v>
      </c>
      <c r="F306">
        <f t="shared" si="306"/>
        <v>1.1666666666666667</v>
      </c>
      <c r="G306">
        <f t="shared" si="307"/>
        <v>-1.5343384426569324</v>
      </c>
      <c r="H306">
        <f t="shared" ref="H306:I306" si="353">+AVERAGE(F304:F308)</f>
        <v>0.4333333333333334</v>
      </c>
      <c r="I306">
        <f t="shared" si="353"/>
        <v>-1.9542076978555951</v>
      </c>
      <c r="J306">
        <f t="shared" si="300"/>
        <v>1978.3333333333301</v>
      </c>
      <c r="K306">
        <f t="shared" si="301"/>
        <v>-220</v>
      </c>
      <c r="L306">
        <f t="shared" si="302"/>
        <v>-290.06990509370598</v>
      </c>
      <c r="M306" s="5">
        <v>1905.3333333333301</v>
      </c>
      <c r="N306" s="5">
        <v>-105</v>
      </c>
      <c r="O306" s="5">
        <v>-311.63957984827402</v>
      </c>
      <c r="Q306">
        <f t="shared" si="309"/>
        <v>2.7010051093235994</v>
      </c>
    </row>
    <row r="307" spans="1:17" x14ac:dyDescent="0.25">
      <c r="A307">
        <f t="shared" si="296"/>
        <v>1978.4166666666599</v>
      </c>
      <c r="B307">
        <f t="shared" si="297"/>
        <v>-219</v>
      </c>
      <c r="C307">
        <f t="shared" si="298"/>
        <v>-286.606366770291</v>
      </c>
      <c r="D307">
        <f t="shared" si="303"/>
        <v>-6.5</v>
      </c>
      <c r="E307">
        <f t="shared" si="304"/>
        <v>-3.7465270232500529</v>
      </c>
      <c r="F307">
        <f t="shared" si="306"/>
        <v>-0.33333333333333331</v>
      </c>
      <c r="G307">
        <f t="shared" si="307"/>
        <v>-2.5105466622185304</v>
      </c>
      <c r="H307">
        <f t="shared" ref="H307:I307" si="354">+AVERAGE(F305:F309)</f>
        <v>1.0000000000000002</v>
      </c>
      <c r="I307">
        <f t="shared" si="354"/>
        <v>-2.8255606933992747</v>
      </c>
      <c r="J307">
        <f t="shared" si="300"/>
        <v>1978.4166666666599</v>
      </c>
      <c r="K307">
        <f t="shared" si="301"/>
        <v>-219</v>
      </c>
      <c r="L307">
        <f t="shared" si="302"/>
        <v>-286.606366770291</v>
      </c>
      <c r="M307" s="5">
        <v>1905.4166666666599</v>
      </c>
      <c r="N307" s="5">
        <v>-105</v>
      </c>
      <c r="O307" s="5">
        <v>-299.40094561491497</v>
      </c>
      <c r="Q307">
        <f t="shared" si="309"/>
        <v>2.1772133288851969</v>
      </c>
    </row>
    <row r="308" spans="1:17" x14ac:dyDescent="0.25">
      <c r="A308">
        <f t="shared" si="296"/>
        <v>1978.5</v>
      </c>
      <c r="B308">
        <f t="shared" si="297"/>
        <v>-205</v>
      </c>
      <c r="C308">
        <f t="shared" si="298"/>
        <v>-275.64977440037597</v>
      </c>
      <c r="D308">
        <f t="shared" si="303"/>
        <v>-0.5</v>
      </c>
      <c r="E308">
        <f t="shared" si="304"/>
        <v>-2.5837054450694836</v>
      </c>
      <c r="F308">
        <f t="shared" si="306"/>
        <v>0.16666666666666666</v>
      </c>
      <c r="G308">
        <f t="shared" si="307"/>
        <v>-3.8004559047322726</v>
      </c>
      <c r="H308">
        <f t="shared" ref="H308:I308" si="355">+AVERAGE(F306:F310)</f>
        <v>0.16666666666666671</v>
      </c>
      <c r="I308">
        <f t="shared" si="355"/>
        <v>-4.0914908415642657</v>
      </c>
      <c r="J308">
        <f t="shared" si="300"/>
        <v>1978.5</v>
      </c>
      <c r="K308">
        <f t="shared" si="301"/>
        <v>-205</v>
      </c>
      <c r="L308">
        <f t="shared" si="302"/>
        <v>-275.64977440037597</v>
      </c>
      <c r="M308" s="5">
        <v>1905.5</v>
      </c>
      <c r="N308" s="5">
        <v>-105</v>
      </c>
      <c r="O308" s="5">
        <v>-269.50603771693301</v>
      </c>
      <c r="Q308">
        <f t="shared" si="309"/>
        <v>3.9671225713989391</v>
      </c>
    </row>
    <row r="309" spans="1:17" x14ac:dyDescent="0.25">
      <c r="A309">
        <f t="shared" si="296"/>
        <v>1978.5833333333301</v>
      </c>
      <c r="B309">
        <f t="shared" si="297"/>
        <v>-190</v>
      </c>
      <c r="C309">
        <f t="shared" si="298"/>
        <v>-259.52577114032198</v>
      </c>
      <c r="D309">
        <f t="shared" si="303"/>
        <v>7.5</v>
      </c>
      <c r="E309">
        <f t="shared" si="304"/>
        <v>-7.9214771744264851</v>
      </c>
      <c r="F309">
        <f t="shared" si="306"/>
        <v>0.66666666666666663</v>
      </c>
      <c r="G309">
        <f t="shared" si="307"/>
        <v>-5.4529345443891923</v>
      </c>
      <c r="H309">
        <f t="shared" ref="H309:I309" si="356">+AVERAGE(F307:F311)</f>
        <v>-0.3</v>
      </c>
      <c r="I309">
        <f t="shared" si="356"/>
        <v>-6.8347185002245228</v>
      </c>
      <c r="J309">
        <f t="shared" si="300"/>
        <v>1978.5833333333301</v>
      </c>
      <c r="K309">
        <f t="shared" si="301"/>
        <v>-190</v>
      </c>
      <c r="L309">
        <f t="shared" si="302"/>
        <v>-259.52577114032198</v>
      </c>
      <c r="M309" s="5">
        <v>1905.5833333333301</v>
      </c>
      <c r="N309" s="5">
        <v>-105</v>
      </c>
      <c r="O309" s="5">
        <v>-211.114815582391</v>
      </c>
      <c r="Q309">
        <f t="shared" si="309"/>
        <v>6.1196012110558593</v>
      </c>
    </row>
    <row r="310" spans="1:17" x14ac:dyDescent="0.25">
      <c r="A310">
        <f t="shared" si="296"/>
        <v>1978.6666666666599</v>
      </c>
      <c r="B310">
        <f t="shared" si="297"/>
        <v>-190</v>
      </c>
      <c r="C310">
        <f t="shared" si="298"/>
        <v>-227.55881353141501</v>
      </c>
      <c r="D310">
        <f t="shared" si="303"/>
        <v>-5</v>
      </c>
      <c r="E310">
        <f t="shared" si="304"/>
        <v>-9.9433219219635021</v>
      </c>
      <c r="F310">
        <f t="shared" si="306"/>
        <v>-0.83333333333333337</v>
      </c>
      <c r="G310">
        <f t="shared" si="307"/>
        <v>-7.1591786538243998</v>
      </c>
      <c r="H310">
        <f t="shared" ref="H310:I310" si="357">+AVERAGE(F308:F312)</f>
        <v>-0.26666666666666672</v>
      </c>
      <c r="I310">
        <f t="shared" si="357"/>
        <v>-7.0763875311762403</v>
      </c>
      <c r="J310">
        <f t="shared" si="300"/>
        <v>1978.6666666666599</v>
      </c>
      <c r="K310">
        <f t="shared" si="301"/>
        <v>-190</v>
      </c>
      <c r="L310">
        <f t="shared" si="302"/>
        <v>-227.55881353141501</v>
      </c>
      <c r="M310" s="5">
        <v>1905.6666666666599</v>
      </c>
      <c r="N310" s="5">
        <v>-105</v>
      </c>
      <c r="O310" s="5">
        <v>-54.290387512649801</v>
      </c>
      <c r="Q310">
        <f t="shared" si="309"/>
        <v>6.3258453204910667</v>
      </c>
    </row>
    <row r="311" spans="1:17" x14ac:dyDescent="0.25">
      <c r="A311">
        <f t="shared" si="296"/>
        <v>1978.75</v>
      </c>
      <c r="B311">
        <f t="shared" si="297"/>
        <v>-180</v>
      </c>
      <c r="C311">
        <f t="shared" si="298"/>
        <v>-175.70521207858101</v>
      </c>
      <c r="D311">
        <f t="shared" si="303"/>
        <v>-5</v>
      </c>
      <c r="E311">
        <f t="shared" si="304"/>
        <v>-8.9821208554515124</v>
      </c>
      <c r="F311">
        <f t="shared" si="306"/>
        <v>-1.1666666666666667</v>
      </c>
      <c r="G311">
        <f t="shared" si="307"/>
        <v>-15.250476735958216</v>
      </c>
      <c r="H311">
        <f t="shared" ref="H311:I311" si="358">+AVERAGE(F309:F313)</f>
        <v>0.36666666666666664</v>
      </c>
      <c r="I311">
        <f t="shared" si="358"/>
        <v>-5.2248150059163994</v>
      </c>
      <c r="J311">
        <f t="shared" si="300"/>
        <v>1978.75</v>
      </c>
      <c r="K311">
        <f t="shared" si="301"/>
        <v>-180</v>
      </c>
      <c r="L311">
        <f t="shared" si="302"/>
        <v>-175.70521207858101</v>
      </c>
      <c r="M311" s="5">
        <v>1905.75</v>
      </c>
      <c r="N311" s="5">
        <v>-105</v>
      </c>
      <c r="O311" s="5">
        <v>150.693114873638</v>
      </c>
      <c r="Q311">
        <f t="shared" si="309"/>
        <v>14.08381006929155</v>
      </c>
    </row>
    <row r="312" spans="1:17" x14ac:dyDescent="0.25">
      <c r="A312">
        <f t="shared" si="296"/>
        <v>1978.8333333333301</v>
      </c>
      <c r="B312">
        <f t="shared" si="297"/>
        <v>-160</v>
      </c>
      <c r="C312">
        <f t="shared" si="298"/>
        <v>-105.887368914844</v>
      </c>
      <c r="D312">
        <f t="shared" si="303"/>
        <v>6.5</v>
      </c>
      <c r="E312">
        <f t="shared" si="304"/>
        <v>-38.263844982428296</v>
      </c>
      <c r="F312">
        <f t="shared" si="306"/>
        <v>-0.16666666666666666</v>
      </c>
      <c r="G312">
        <f t="shared" si="307"/>
        <v>-3.718891816977123</v>
      </c>
      <c r="H312">
        <f t="shared" ref="H312:I312" si="359">+AVERAGE(F310:F314)</f>
        <v>0.46666666666666679</v>
      </c>
      <c r="I312">
        <f t="shared" si="359"/>
        <v>-1.1848830123285452</v>
      </c>
      <c r="J312">
        <f t="shared" si="300"/>
        <v>1978.8333333333301</v>
      </c>
      <c r="K312">
        <f t="shared" si="301"/>
        <v>-160</v>
      </c>
      <c r="L312">
        <f t="shared" si="302"/>
        <v>-105.887368914844</v>
      </c>
      <c r="M312" s="5">
        <v>1905.8333333333301</v>
      </c>
      <c r="N312" s="5">
        <v>-105</v>
      </c>
      <c r="O312" s="5">
        <v>209.279798714805</v>
      </c>
      <c r="Q312">
        <f t="shared" si="309"/>
        <v>3.5522251503104565</v>
      </c>
    </row>
    <row r="313" spans="1:17" x14ac:dyDescent="0.25">
      <c r="A313">
        <f t="shared" si="296"/>
        <v>1978.9166666666599</v>
      </c>
      <c r="B313">
        <f t="shared" si="297"/>
        <v>-153</v>
      </c>
      <c r="C313">
        <f t="shared" si="298"/>
        <v>40.458164213749598</v>
      </c>
      <c r="D313">
        <f t="shared" si="303"/>
        <v>-2</v>
      </c>
      <c r="E313">
        <f t="shared" si="304"/>
        <v>33.300121524215598</v>
      </c>
      <c r="F313">
        <f t="shared" si="306"/>
        <v>3.3333333333333335</v>
      </c>
      <c r="G313">
        <f t="shared" si="307"/>
        <v>5.4574067215669366</v>
      </c>
      <c r="H313">
        <f t="shared" ref="H313:I313" si="360">+AVERAGE(F311:F315)</f>
        <v>-2.7333333333333329</v>
      </c>
      <c r="I313">
        <f t="shared" si="360"/>
        <v>1.5422892896436244</v>
      </c>
      <c r="J313">
        <f t="shared" si="300"/>
        <v>1978.9166666666599</v>
      </c>
      <c r="K313">
        <f t="shared" si="301"/>
        <v>-153</v>
      </c>
      <c r="L313">
        <f t="shared" si="302"/>
        <v>40.458164213749598</v>
      </c>
      <c r="M313" s="5">
        <v>1905.9166666666599</v>
      </c>
      <c r="N313" s="5">
        <v>-105</v>
      </c>
      <c r="O313" s="5">
        <v>239.90032025941301</v>
      </c>
      <c r="Q313">
        <f t="shared" si="309"/>
        <v>2.1240733882336031</v>
      </c>
    </row>
    <row r="314" spans="1:17" x14ac:dyDescent="0.25">
      <c r="A314">
        <f t="shared" si="296"/>
        <v>1979</v>
      </c>
      <c r="B314">
        <f t="shared" si="297"/>
        <v>-142</v>
      </c>
      <c r="C314">
        <f t="shared" si="298"/>
        <v>120.203454293912</v>
      </c>
      <c r="D314">
        <f t="shared" si="303"/>
        <v>5.5</v>
      </c>
      <c r="E314">
        <f t="shared" si="304"/>
        <v>25.428998664088709</v>
      </c>
      <c r="F314">
        <f t="shared" si="306"/>
        <v>1.1666666666666667</v>
      </c>
      <c r="G314">
        <f t="shared" si="307"/>
        <v>14.746725423550075</v>
      </c>
      <c r="H314">
        <f t="shared" ref="H314:I314" si="361">+AVERAGE(F312:F316)</f>
        <v>-4.9000000000000004</v>
      </c>
      <c r="I314">
        <f t="shared" si="361"/>
        <v>4.6432638932124402</v>
      </c>
      <c r="J314">
        <f t="shared" si="300"/>
        <v>1979</v>
      </c>
      <c r="K314">
        <f t="shared" si="301"/>
        <v>-142</v>
      </c>
      <c r="L314">
        <f t="shared" si="302"/>
        <v>120.203454293912</v>
      </c>
      <c r="M314" s="5">
        <v>1906</v>
      </c>
      <c r="N314" s="5">
        <v>-105</v>
      </c>
      <c r="O314" s="5">
        <v>250.80192395912701</v>
      </c>
      <c r="Q314">
        <f t="shared" si="309"/>
        <v>13.580058756883409</v>
      </c>
    </row>
    <row r="315" spans="1:17" x14ac:dyDescent="0.25">
      <c r="A315">
        <f t="shared" si="296"/>
        <v>1979.0833333333301</v>
      </c>
      <c r="B315">
        <f t="shared" si="297"/>
        <v>-142</v>
      </c>
      <c r="C315">
        <f t="shared" si="298"/>
        <v>149.09074704589699</v>
      </c>
      <c r="D315">
        <f t="shared" si="303"/>
        <v>0</v>
      </c>
      <c r="E315">
        <f t="shared" si="304"/>
        <v>-3.4288998499915238</v>
      </c>
      <c r="F315">
        <f t="shared" si="306"/>
        <v>-16.833333333333332</v>
      </c>
      <c r="G315">
        <f t="shared" si="307"/>
        <v>6.4766828560364509</v>
      </c>
      <c r="H315">
        <f t="shared" ref="H315:I315" si="362">+AVERAGE(F313:F317)</f>
        <v>-7.833333333333333</v>
      </c>
      <c r="I315">
        <f t="shared" si="362"/>
        <v>5.8195001594306639</v>
      </c>
      <c r="J315">
        <f t="shared" si="300"/>
        <v>1979.0833333333301</v>
      </c>
      <c r="K315">
        <f t="shared" si="301"/>
        <v>-142</v>
      </c>
      <c r="L315">
        <f t="shared" si="302"/>
        <v>149.09074704589699</v>
      </c>
      <c r="M315" s="5">
        <v>1906.0833333333301</v>
      </c>
      <c r="N315" s="5">
        <v>-105</v>
      </c>
      <c r="O315" s="5">
        <v>252.21367694326099</v>
      </c>
      <c r="Q315">
        <f t="shared" si="309"/>
        <v>23.310016189369783</v>
      </c>
    </row>
    <row r="316" spans="1:17" x14ac:dyDescent="0.25">
      <c r="A316">
        <f t="shared" si="296"/>
        <v>1979.1666666666599</v>
      </c>
      <c r="B316">
        <f t="shared" si="297"/>
        <v>-142</v>
      </c>
      <c r="C316">
        <f t="shared" si="298"/>
        <v>184.83583949786501</v>
      </c>
      <c r="D316">
        <f t="shared" si="303"/>
        <v>-56</v>
      </c>
      <c r="E316">
        <f t="shared" si="304"/>
        <v>2.2874618960395026</v>
      </c>
      <c r="F316">
        <f t="shared" si="306"/>
        <v>-12</v>
      </c>
      <c r="G316">
        <f t="shared" si="307"/>
        <v>0.25439628188585933</v>
      </c>
      <c r="H316">
        <f t="shared" ref="H316:I316" si="363">+AVERAGE(F314:F318)</f>
        <v>-5.4333333333333327</v>
      </c>
      <c r="I316">
        <f t="shared" si="363"/>
        <v>5.4937954994001048</v>
      </c>
      <c r="J316">
        <f t="shared" si="300"/>
        <v>1979.1666666666599</v>
      </c>
      <c r="K316">
        <f t="shared" si="301"/>
        <v>-142</v>
      </c>
      <c r="L316">
        <f t="shared" si="302"/>
        <v>184.83583949786501</v>
      </c>
      <c r="M316" s="5">
        <v>1906.1666666666599</v>
      </c>
      <c r="N316" s="5">
        <v>-105</v>
      </c>
      <c r="O316" s="5">
        <v>256.74301796351699</v>
      </c>
      <c r="Q316">
        <f t="shared" si="309"/>
        <v>12.254396281885858</v>
      </c>
    </row>
    <row r="317" spans="1:17" x14ac:dyDescent="0.25">
      <c r="A317">
        <f t="shared" si="296"/>
        <v>1979.25</v>
      </c>
      <c r="B317">
        <f t="shared" si="297"/>
        <v>-30</v>
      </c>
      <c r="C317">
        <f t="shared" si="298"/>
        <v>216.006008157754</v>
      </c>
      <c r="D317">
        <f t="shared" si="303"/>
        <v>20</v>
      </c>
      <c r="E317">
        <f t="shared" si="304"/>
        <v>2.0954240110239937</v>
      </c>
      <c r="F317">
        <f t="shared" si="306"/>
        <v>-14.833333333333334</v>
      </c>
      <c r="G317">
        <f t="shared" si="307"/>
        <v>2.1622895141139984</v>
      </c>
      <c r="H317">
        <f t="shared" ref="H317:I317" si="364">+AVERAGE(F315:F319)</f>
        <v>-3.5333333333333328</v>
      </c>
      <c r="I317">
        <f t="shared" si="364"/>
        <v>3.6065614524427807</v>
      </c>
      <c r="J317">
        <f t="shared" si="300"/>
        <v>1979.25</v>
      </c>
      <c r="K317">
        <f t="shared" si="301"/>
        <v>-30</v>
      </c>
      <c r="L317">
        <f t="shared" si="302"/>
        <v>216.006008157754</v>
      </c>
      <c r="M317" s="5">
        <v>1906.25</v>
      </c>
      <c r="N317" s="5">
        <v>-105</v>
      </c>
      <c r="O317" s="5">
        <v>263.44492273009001</v>
      </c>
      <c r="Q317">
        <f t="shared" si="309"/>
        <v>16.995622847447333</v>
      </c>
    </row>
    <row r="318" spans="1:17" x14ac:dyDescent="0.25">
      <c r="A318">
        <f t="shared" si="296"/>
        <v>1979.3333333333301</v>
      </c>
      <c r="B318">
        <f t="shared" si="297"/>
        <v>42</v>
      </c>
      <c r="C318">
        <f t="shared" si="298"/>
        <v>242.985328795595</v>
      </c>
      <c r="D318">
        <f t="shared" si="303"/>
        <v>-8.5</v>
      </c>
      <c r="E318">
        <f t="shared" si="304"/>
        <v>3.7256997708639972</v>
      </c>
      <c r="F318">
        <f t="shared" si="306"/>
        <v>15.333333333333334</v>
      </c>
      <c r="G318">
        <f t="shared" si="307"/>
        <v>3.828883421414139</v>
      </c>
      <c r="H318">
        <f t="shared" ref="H318:I318" si="365">+AVERAGE(F316:F320)</f>
        <v>2.4666666666666659</v>
      </c>
      <c r="I318">
        <f t="shared" si="365"/>
        <v>3.3260715675306889</v>
      </c>
      <c r="J318">
        <f t="shared" si="300"/>
        <v>1979.3333333333301</v>
      </c>
      <c r="K318">
        <f t="shared" si="301"/>
        <v>42</v>
      </c>
      <c r="L318">
        <f t="shared" si="302"/>
        <v>242.985328795595</v>
      </c>
      <c r="M318" s="5">
        <v>1906.3333333333301</v>
      </c>
      <c r="N318" s="5">
        <v>-105</v>
      </c>
      <c r="O318" s="5">
        <v>272.11775348824801</v>
      </c>
      <c r="Q318">
        <f t="shared" si="309"/>
        <v>11.504449911919195</v>
      </c>
    </row>
    <row r="319" spans="1:17" x14ac:dyDescent="0.25">
      <c r="A319">
        <f t="shared" si="296"/>
        <v>1979.4166666666599</v>
      </c>
      <c r="B319">
        <f t="shared" si="297"/>
        <v>131</v>
      </c>
      <c r="C319">
        <f t="shared" si="298"/>
        <v>262.51324989170803</v>
      </c>
      <c r="D319">
        <f t="shared" si="303"/>
        <v>34.5</v>
      </c>
      <c r="E319">
        <f t="shared" si="304"/>
        <v>8.5371890484150299</v>
      </c>
      <c r="F319">
        <f t="shared" si="306"/>
        <v>10.666666666666666</v>
      </c>
      <c r="G319">
        <f t="shared" si="307"/>
        <v>5.3105551887634572</v>
      </c>
      <c r="H319">
        <f t="shared" ref="H319:I319" si="366">+AVERAGE(F317:F321)</f>
        <v>5.333333333333333</v>
      </c>
      <c r="I319">
        <f t="shared" si="366"/>
        <v>3.7668107937971946</v>
      </c>
      <c r="J319">
        <f t="shared" si="300"/>
        <v>1979.4166666666599</v>
      </c>
      <c r="K319">
        <f t="shared" si="301"/>
        <v>131</v>
      </c>
      <c r="L319">
        <f t="shared" si="302"/>
        <v>262.51324989170803</v>
      </c>
      <c r="M319" s="5">
        <v>1906.4166666666599</v>
      </c>
      <c r="N319" s="5">
        <v>-105</v>
      </c>
      <c r="O319" s="5">
        <v>279.79615343665398</v>
      </c>
      <c r="Q319">
        <f t="shared" si="309"/>
        <v>5.3561114779032089</v>
      </c>
    </row>
    <row r="320" spans="1:17" x14ac:dyDescent="0.25">
      <c r="A320">
        <f t="shared" si="296"/>
        <v>1979.5</v>
      </c>
      <c r="B320">
        <f t="shared" si="297"/>
        <v>151</v>
      </c>
      <c r="C320">
        <f t="shared" si="298"/>
        <v>264.96679289099097</v>
      </c>
      <c r="D320">
        <f t="shared" si="303"/>
        <v>6</v>
      </c>
      <c r="E320">
        <f t="shared" si="304"/>
        <v>7.6516931385839371</v>
      </c>
      <c r="F320">
        <f t="shared" si="306"/>
        <v>13.166666666666666</v>
      </c>
      <c r="G320">
        <f t="shared" si="307"/>
        <v>5.0742334314759923</v>
      </c>
      <c r="H320">
        <f t="shared" ref="H320:I320" si="367">+AVERAGE(F318:F322)</f>
        <v>8.7666666666666675</v>
      </c>
      <c r="I320">
        <f t="shared" si="367"/>
        <v>3.1834227085834885</v>
      </c>
      <c r="J320">
        <f t="shared" si="300"/>
        <v>1979.5</v>
      </c>
      <c r="K320">
        <f t="shared" si="301"/>
        <v>151</v>
      </c>
      <c r="L320">
        <f t="shared" si="302"/>
        <v>264.96679289099097</v>
      </c>
      <c r="M320" s="5">
        <v>1906.5</v>
      </c>
      <c r="N320" s="5">
        <v>-105</v>
      </c>
      <c r="O320" s="5">
        <v>278.907865709178</v>
      </c>
      <c r="Q320">
        <f t="shared" si="309"/>
        <v>8.0924332351906738</v>
      </c>
    </row>
    <row r="321" spans="1:17" x14ac:dyDescent="0.25">
      <c r="A321">
        <f t="shared" si="296"/>
        <v>1979.5833333333301</v>
      </c>
      <c r="B321">
        <f t="shared" si="297"/>
        <v>159</v>
      </c>
      <c r="C321">
        <f t="shared" si="298"/>
        <v>252.11694961310599</v>
      </c>
      <c r="D321">
        <f t="shared" si="303"/>
        <v>-1</v>
      </c>
      <c r="E321">
        <f t="shared" si="304"/>
        <v>2.8394931810360049</v>
      </c>
      <c r="F321">
        <f t="shared" si="306"/>
        <v>2.3333333333333335</v>
      </c>
      <c r="G321">
        <f t="shared" si="307"/>
        <v>2.4580924132183859</v>
      </c>
      <c r="H321">
        <f t="shared" ref="H321:I321" si="368">+AVERAGE(F319:F323)</f>
        <v>6.1333333333333329</v>
      </c>
      <c r="I321">
        <f t="shared" si="368"/>
        <v>2.2931258286430358</v>
      </c>
      <c r="J321">
        <f t="shared" si="300"/>
        <v>1979.5833333333301</v>
      </c>
      <c r="K321">
        <f t="shared" si="301"/>
        <v>159</v>
      </c>
      <c r="L321">
        <f t="shared" si="302"/>
        <v>252.11694961310599</v>
      </c>
      <c r="M321" s="5">
        <v>1906.5833333333301</v>
      </c>
      <c r="N321" s="5">
        <v>-105</v>
      </c>
      <c r="O321" s="5">
        <v>269.26148172278499</v>
      </c>
      <c r="Q321">
        <f t="shared" si="309"/>
        <v>0.12475907988505242</v>
      </c>
    </row>
    <row r="322" spans="1:17" x14ac:dyDescent="0.25">
      <c r="A322">
        <f t="shared" si="296"/>
        <v>1979.6666666666599</v>
      </c>
      <c r="B322">
        <f t="shared" si="297"/>
        <v>169</v>
      </c>
      <c r="C322">
        <f t="shared" si="298"/>
        <v>233.58811997314899</v>
      </c>
      <c r="D322">
        <f t="shared" si="303"/>
        <v>2</v>
      </c>
      <c r="E322">
        <f t="shared" si="304"/>
        <v>-1.2733397700509954</v>
      </c>
      <c r="F322">
        <f t="shared" si="306"/>
        <v>2.3333333333333335</v>
      </c>
      <c r="G322">
        <f t="shared" si="307"/>
        <v>-0.75465091195452871</v>
      </c>
      <c r="H322">
        <f t="shared" ref="H322:I322" si="369">+AVERAGE(F320:F324)</f>
        <v>8.0666666666666664</v>
      </c>
      <c r="I322">
        <f t="shared" si="369"/>
        <v>2.9708855467771462</v>
      </c>
      <c r="J322">
        <f t="shared" si="300"/>
        <v>1979.6666666666599</v>
      </c>
      <c r="K322">
        <f t="shared" si="301"/>
        <v>169</v>
      </c>
      <c r="L322">
        <f t="shared" si="302"/>
        <v>233.58811997314899</v>
      </c>
      <c r="M322" s="5">
        <v>1906.6666666666599</v>
      </c>
      <c r="N322" s="5">
        <v>-105</v>
      </c>
      <c r="O322" s="5">
        <v>253.514988334338</v>
      </c>
      <c r="Q322">
        <f t="shared" si="309"/>
        <v>3.0879842452878621</v>
      </c>
    </row>
    <row r="323" spans="1:17" x14ac:dyDescent="0.25">
      <c r="A323">
        <f t="shared" si="296"/>
        <v>1979.75</v>
      </c>
      <c r="B323">
        <f t="shared" si="297"/>
        <v>175</v>
      </c>
      <c r="C323">
        <f t="shared" si="298"/>
        <v>217.60596987329399</v>
      </c>
      <c r="D323">
        <f t="shared" si="303"/>
        <v>6</v>
      </c>
      <c r="E323">
        <f t="shared" si="304"/>
        <v>-4.396094330814492</v>
      </c>
      <c r="F323">
        <f t="shared" si="306"/>
        <v>2.1666666666666665</v>
      </c>
      <c r="G323">
        <f t="shared" si="307"/>
        <v>-0.62260097828812677</v>
      </c>
      <c r="H323">
        <f t="shared" ref="H323:I323" si="370">+AVERAGE(F321:F325)</f>
        <v>11.3</v>
      </c>
      <c r="I323">
        <f t="shared" si="370"/>
        <v>8.0766722840205905</v>
      </c>
      <c r="J323">
        <f t="shared" si="300"/>
        <v>1979.75</v>
      </c>
      <c r="K323">
        <f t="shared" si="301"/>
        <v>175</v>
      </c>
      <c r="L323">
        <f t="shared" si="302"/>
        <v>217.60596987329399</v>
      </c>
      <c r="M323" s="5">
        <v>1906.75</v>
      </c>
      <c r="N323" s="5">
        <v>-105</v>
      </c>
      <c r="O323" s="5">
        <v>221.982150405048</v>
      </c>
      <c r="Q323">
        <f t="shared" si="309"/>
        <v>2.7892676449547933</v>
      </c>
    </row>
    <row r="324" spans="1:17" x14ac:dyDescent="0.25">
      <c r="A324">
        <f t="shared" ref="A324:A387" si="371">+J324</f>
        <v>1979.8333333333301</v>
      </c>
      <c r="B324">
        <f t="shared" ref="B324:B387" si="372">+K324</f>
        <v>169</v>
      </c>
      <c r="C324">
        <f t="shared" ref="C324:C387" si="373">+L324</f>
        <v>210.41600843506799</v>
      </c>
      <c r="D324">
        <f t="shared" si="303"/>
        <v>-1.5</v>
      </c>
      <c r="E324">
        <f t="shared" si="304"/>
        <v>3.3346804322850119</v>
      </c>
      <c r="F324">
        <f t="shared" si="306"/>
        <v>20.333333333333332</v>
      </c>
      <c r="G324">
        <f t="shared" si="307"/>
        <v>8.6993537794340074</v>
      </c>
      <c r="H324">
        <f t="shared" ref="H324:I324" si="374">+AVERAGE(F322:F326)</f>
        <v>10.966666666666665</v>
      </c>
      <c r="I324">
        <f t="shared" si="374"/>
        <v>9.5021738828884335</v>
      </c>
      <c r="J324">
        <f t="shared" ref="J324:J387" si="375">+$M1200</f>
        <v>1979.8333333333301</v>
      </c>
      <c r="K324">
        <f t="shared" ref="K324:K387" si="376">+$N1200</f>
        <v>169</v>
      </c>
      <c r="L324">
        <f t="shared" ref="L324:L387" si="377">+$O1200</f>
        <v>210.41600843506799</v>
      </c>
      <c r="M324" s="5">
        <v>1906.8333333333301</v>
      </c>
      <c r="N324" s="5">
        <v>-105</v>
      </c>
      <c r="O324" s="5">
        <v>137.02757860856099</v>
      </c>
      <c r="Q324">
        <f t="shared" si="309"/>
        <v>11.633979553899325</v>
      </c>
    </row>
    <row r="325" spans="1:17" x14ac:dyDescent="0.25">
      <c r="A325">
        <f t="shared" si="371"/>
        <v>1979.9166666666599</v>
      </c>
      <c r="B325">
        <f t="shared" si="372"/>
        <v>166</v>
      </c>
      <c r="C325">
        <f t="shared" si="373"/>
        <v>196.55668613227201</v>
      </c>
      <c r="D325">
        <f t="shared" ref="D325:D388" si="378">+B325-1/2*(B324+B326)</f>
        <v>56.5</v>
      </c>
      <c r="E325">
        <f t="shared" ref="E325:E388" si="379">+C325-1/2*(C324+C326)</f>
        <v>33.683990571407008</v>
      </c>
      <c r="F325">
        <f t="shared" si="306"/>
        <v>29.333333333333332</v>
      </c>
      <c r="G325">
        <f t="shared" si="307"/>
        <v>30.603167117693211</v>
      </c>
      <c r="H325">
        <f t="shared" ref="H325:I325" si="380">+AVERAGE(F323:F327)</f>
        <v>8.6333333333333311</v>
      </c>
      <c r="I325">
        <f t="shared" si="380"/>
        <v>8.5531717077680334</v>
      </c>
      <c r="J325">
        <f t="shared" si="375"/>
        <v>1979.9166666666599</v>
      </c>
      <c r="K325">
        <f t="shared" si="376"/>
        <v>166</v>
      </c>
      <c r="L325">
        <f t="shared" si="377"/>
        <v>196.55668613227201</v>
      </c>
      <c r="M325" s="5">
        <v>1906.9166666666599</v>
      </c>
      <c r="N325" s="5">
        <v>-105</v>
      </c>
      <c r="O325" s="5">
        <v>-143.93315914873401</v>
      </c>
      <c r="Q325">
        <f t="shared" si="309"/>
        <v>1.2698337843598786</v>
      </c>
    </row>
    <row r="326" spans="1:17" x14ac:dyDescent="0.25">
      <c r="A326">
        <f t="shared" si="371"/>
        <v>1980</v>
      </c>
      <c r="B326">
        <f t="shared" si="372"/>
        <v>50</v>
      </c>
      <c r="C326">
        <f t="shared" si="373"/>
        <v>115.329382686662</v>
      </c>
      <c r="D326">
        <f t="shared" si="378"/>
        <v>33</v>
      </c>
      <c r="E326">
        <f t="shared" si="379"/>
        <v>77.743205687657507</v>
      </c>
      <c r="F326">
        <f t="shared" ref="F326:F389" si="381">+AVERAGE(D325:D327)</f>
        <v>0.66666666666666663</v>
      </c>
      <c r="G326">
        <f t="shared" ref="G326:G389" si="382">+$H$1*AVERAGE(E325:E327)+$F$1</f>
        <v>9.5856004075576049</v>
      </c>
      <c r="H326">
        <f t="shared" ref="H326:I326" si="383">+AVERAGE(F324:F328)</f>
        <v>2.8999999999999986</v>
      </c>
      <c r="I326">
        <f t="shared" si="383"/>
        <v>2.8672772084956835</v>
      </c>
      <c r="J326">
        <f t="shared" si="375"/>
        <v>1980</v>
      </c>
      <c r="K326">
        <f t="shared" si="376"/>
        <v>50</v>
      </c>
      <c r="L326">
        <f t="shared" si="377"/>
        <v>115.329382686662</v>
      </c>
      <c r="M326" s="5">
        <v>1907</v>
      </c>
      <c r="N326" s="5">
        <v>-105</v>
      </c>
      <c r="O326" s="5">
        <v>-253.394703909605</v>
      </c>
      <c r="Q326">
        <f t="shared" ref="Q326:Q389" si="384">+ABS(F326-G326)</f>
        <v>8.9189337408909388</v>
      </c>
    </row>
    <row r="327" spans="1:17" x14ac:dyDescent="0.25">
      <c r="A327">
        <f t="shared" si="371"/>
        <v>1980.0833333333301</v>
      </c>
      <c r="B327">
        <f t="shared" si="372"/>
        <v>-132</v>
      </c>
      <c r="C327">
        <f t="shared" si="373"/>
        <v>-121.384332134263</v>
      </c>
      <c r="D327">
        <f t="shared" si="378"/>
        <v>-87.5</v>
      </c>
      <c r="E327">
        <f t="shared" si="379"/>
        <v>-75.481194730723502</v>
      </c>
      <c r="F327">
        <f t="shared" si="381"/>
        <v>-9.3333333333333339</v>
      </c>
      <c r="G327">
        <f t="shared" si="382"/>
        <v>-5.4996617875565335</v>
      </c>
      <c r="H327">
        <f t="shared" ref="H327:I327" si="385">+AVERAGE(F325:F329)</f>
        <v>-1.1666666666666672</v>
      </c>
      <c r="I327">
        <f t="shared" si="385"/>
        <v>-0.92491038154842575</v>
      </c>
      <c r="J327">
        <f t="shared" si="375"/>
        <v>1980.0833333333301</v>
      </c>
      <c r="K327">
        <f t="shared" si="376"/>
        <v>-132</v>
      </c>
      <c r="L327">
        <f t="shared" si="377"/>
        <v>-121.384332134263</v>
      </c>
      <c r="M327" s="5">
        <v>1907.0833333333301</v>
      </c>
      <c r="N327" s="5">
        <v>-105</v>
      </c>
      <c r="O327" s="5">
        <v>-286.06634264046602</v>
      </c>
      <c r="Q327">
        <f t="shared" si="384"/>
        <v>3.8336715457768005</v>
      </c>
    </row>
    <row r="328" spans="1:17" x14ac:dyDescent="0.25">
      <c r="A328">
        <f t="shared" si="371"/>
        <v>1980.1666666666599</v>
      </c>
      <c r="B328">
        <f t="shared" si="372"/>
        <v>-139</v>
      </c>
      <c r="C328">
        <f t="shared" si="373"/>
        <v>-207.13565749374101</v>
      </c>
      <c r="D328">
        <f t="shared" si="378"/>
        <v>26.5</v>
      </c>
      <c r="E328">
        <f t="shared" si="379"/>
        <v>-22.885742660271006</v>
      </c>
      <c r="F328">
        <f t="shared" si="381"/>
        <v>-26.5</v>
      </c>
      <c r="G328">
        <f t="shared" si="382"/>
        <v>-29.052073474649873</v>
      </c>
      <c r="H328">
        <f t="shared" ref="H328:I328" si="386">+AVERAGE(F326:F330)</f>
        <v>-8.0666666666666664</v>
      </c>
      <c r="I328">
        <f t="shared" si="386"/>
        <v>-7.9021458866019767</v>
      </c>
      <c r="J328">
        <f t="shared" si="375"/>
        <v>1980.1666666666599</v>
      </c>
      <c r="K328">
        <f t="shared" si="376"/>
        <v>-139</v>
      </c>
      <c r="L328">
        <f t="shared" si="377"/>
        <v>-207.13565749374101</v>
      </c>
      <c r="M328" s="5">
        <v>1907.1666666666599</v>
      </c>
      <c r="N328" s="5">
        <v>-105</v>
      </c>
      <c r="O328" s="5">
        <v>-297.27090555132702</v>
      </c>
      <c r="Q328">
        <f t="shared" si="384"/>
        <v>2.5520734746498732</v>
      </c>
    </row>
    <row r="329" spans="1:17" x14ac:dyDescent="0.25">
      <c r="A329">
        <f t="shared" si="371"/>
        <v>1980.25</v>
      </c>
      <c r="B329">
        <f t="shared" si="372"/>
        <v>-199</v>
      </c>
      <c r="C329">
        <f t="shared" si="373"/>
        <v>-247.11549753267701</v>
      </c>
      <c r="D329">
        <f t="shared" si="378"/>
        <v>-18.5</v>
      </c>
      <c r="E329">
        <f t="shared" si="379"/>
        <v>-10.578338138942513</v>
      </c>
      <c r="F329">
        <f t="shared" si="381"/>
        <v>0</v>
      </c>
      <c r="G329">
        <f t="shared" si="382"/>
        <v>-10.26158417078654</v>
      </c>
      <c r="H329">
        <f t="shared" ref="H329:I329" si="387">+AVERAGE(F327:F331)</f>
        <v>-8.9666666666666668</v>
      </c>
      <c r="I329">
        <f t="shared" si="387"/>
        <v>-10.287032586826303</v>
      </c>
      <c r="J329">
        <f t="shared" si="375"/>
        <v>1980.25</v>
      </c>
      <c r="K329">
        <f t="shared" si="376"/>
        <v>-199</v>
      </c>
      <c r="L329">
        <f t="shared" si="377"/>
        <v>-247.11549753267701</v>
      </c>
      <c r="M329" s="5">
        <v>1907.25</v>
      </c>
      <c r="N329" s="5">
        <v>-105</v>
      </c>
      <c r="O329" s="5">
        <v>-305.08990632708401</v>
      </c>
      <c r="Q329">
        <f t="shared" si="384"/>
        <v>10.26158417078654</v>
      </c>
    </row>
    <row r="330" spans="1:17" x14ac:dyDescent="0.25">
      <c r="A330">
        <f t="shared" si="371"/>
        <v>1980.3333333333301</v>
      </c>
      <c r="B330">
        <f t="shared" si="372"/>
        <v>-222</v>
      </c>
      <c r="C330">
        <f t="shared" si="373"/>
        <v>-265.93866129372799</v>
      </c>
      <c r="D330">
        <f t="shared" si="378"/>
        <v>-8</v>
      </c>
      <c r="E330">
        <f t="shared" si="379"/>
        <v>-5.0168598412359984</v>
      </c>
      <c r="F330">
        <f t="shared" si="381"/>
        <v>-5.166666666666667</v>
      </c>
      <c r="G330">
        <f t="shared" si="382"/>
        <v>-4.2830104075745421</v>
      </c>
      <c r="H330">
        <f t="shared" ref="H330:I330" si="388">+AVERAGE(F328:F332)</f>
        <v>-7.4</v>
      </c>
      <c r="I330">
        <f t="shared" si="388"/>
        <v>-9.5675209468789699</v>
      </c>
      <c r="J330">
        <f t="shared" si="375"/>
        <v>1980.3333333333301</v>
      </c>
      <c r="K330">
        <f t="shared" si="376"/>
        <v>-222</v>
      </c>
      <c r="L330">
        <f t="shared" si="377"/>
        <v>-265.93866129372799</v>
      </c>
      <c r="M330" s="5">
        <v>1907.3333333333301</v>
      </c>
      <c r="N330" s="5">
        <v>-105</v>
      </c>
      <c r="O330" s="5">
        <v>-310.00787486950998</v>
      </c>
      <c r="Q330">
        <f t="shared" si="384"/>
        <v>0.88365625909212486</v>
      </c>
    </row>
    <row r="331" spans="1:17" x14ac:dyDescent="0.25">
      <c r="A331">
        <f t="shared" si="371"/>
        <v>1980.4166666666599</v>
      </c>
      <c r="B331">
        <f t="shared" si="372"/>
        <v>-229</v>
      </c>
      <c r="C331">
        <f t="shared" si="373"/>
        <v>-274.72810537230703</v>
      </c>
      <c r="D331">
        <f t="shared" si="378"/>
        <v>11</v>
      </c>
      <c r="E331">
        <f t="shared" si="379"/>
        <v>-0.46609104822601921</v>
      </c>
      <c r="F331">
        <f t="shared" si="381"/>
        <v>-3.8333333333333335</v>
      </c>
      <c r="G331">
        <f t="shared" si="382"/>
        <v>-2.3388330935640171</v>
      </c>
      <c r="H331">
        <f t="shared" ref="H331:I331" si="389">+AVERAGE(F329:F333)</f>
        <v>-3.7333333333333329</v>
      </c>
      <c r="I331">
        <f t="shared" si="389"/>
        <v>-4.0956482063714779</v>
      </c>
      <c r="J331">
        <f t="shared" si="375"/>
        <v>1980.4166666666599</v>
      </c>
      <c r="K331">
        <f t="shared" si="376"/>
        <v>-229</v>
      </c>
      <c r="L331">
        <f t="shared" si="377"/>
        <v>-274.72810537230703</v>
      </c>
      <c r="M331" s="5">
        <v>1907.4166666666599</v>
      </c>
      <c r="N331" s="5">
        <v>-105</v>
      </c>
      <c r="O331" s="5">
        <v>-311.89770198164598</v>
      </c>
      <c r="Q331">
        <f t="shared" si="384"/>
        <v>1.4945002397693163</v>
      </c>
    </row>
    <row r="332" spans="1:17" x14ac:dyDescent="0.25">
      <c r="A332">
        <f t="shared" si="371"/>
        <v>1980.5</v>
      </c>
      <c r="B332">
        <f t="shared" si="372"/>
        <v>-258</v>
      </c>
      <c r="C332">
        <f t="shared" si="373"/>
        <v>-282.58536735443403</v>
      </c>
      <c r="D332">
        <f t="shared" si="378"/>
        <v>-14.5</v>
      </c>
      <c r="E332">
        <f t="shared" si="379"/>
        <v>-3.287673211403046</v>
      </c>
      <c r="F332">
        <f t="shared" si="381"/>
        <v>-1.5</v>
      </c>
      <c r="G332">
        <f t="shared" si="382"/>
        <v>-1.9021035878198747</v>
      </c>
      <c r="H332">
        <f t="shared" ref="H332:I332" si="390">+AVERAGE(F330:F334)</f>
        <v>-3.9333333333333327</v>
      </c>
      <c r="I332">
        <f t="shared" si="390"/>
        <v>-2.1978893431687299</v>
      </c>
      <c r="J332">
        <f t="shared" si="375"/>
        <v>1980.5</v>
      </c>
      <c r="K332">
        <f t="shared" si="376"/>
        <v>-258</v>
      </c>
      <c r="L332">
        <f t="shared" si="377"/>
        <v>-282.58536735443403</v>
      </c>
      <c r="M332" s="5">
        <v>1907.5</v>
      </c>
      <c r="N332" s="5">
        <v>-105</v>
      </c>
      <c r="O332" s="5">
        <v>-312.64854931353898</v>
      </c>
      <c r="Q332">
        <f t="shared" si="384"/>
        <v>0.40210358781987465</v>
      </c>
    </row>
    <row r="333" spans="1:17" x14ac:dyDescent="0.25">
      <c r="A333">
        <f t="shared" si="371"/>
        <v>1980.5833333333301</v>
      </c>
      <c r="B333">
        <f t="shared" si="372"/>
        <v>-258</v>
      </c>
      <c r="C333">
        <f t="shared" si="373"/>
        <v>-283.86728291375499</v>
      </c>
      <c r="D333">
        <f t="shared" si="378"/>
        <v>-1</v>
      </c>
      <c r="E333">
        <f t="shared" si="379"/>
        <v>-3.3791241946954642</v>
      </c>
      <c r="F333">
        <f t="shared" si="381"/>
        <v>-8.1666666666666661</v>
      </c>
      <c r="G333">
        <f t="shared" si="382"/>
        <v>-1.6927097721124182</v>
      </c>
      <c r="H333">
        <f t="shared" ref="H333:I333" si="391">+AVERAGE(F331:F335)</f>
        <v>-3.3</v>
      </c>
      <c r="I333">
        <f t="shared" si="391"/>
        <v>-1.1790822907100089</v>
      </c>
      <c r="J333">
        <f t="shared" si="375"/>
        <v>1980.5833333333301</v>
      </c>
      <c r="K333">
        <f t="shared" si="376"/>
        <v>-258</v>
      </c>
      <c r="L333">
        <f t="shared" si="377"/>
        <v>-283.86728291375499</v>
      </c>
      <c r="M333" s="5">
        <v>1907.5833333333301</v>
      </c>
      <c r="N333" s="5">
        <v>-105</v>
      </c>
      <c r="O333" s="5">
        <v>-309.81715592545902</v>
      </c>
      <c r="Q333">
        <f t="shared" si="384"/>
        <v>6.4739568945542478</v>
      </c>
    </row>
    <row r="334" spans="1:17" x14ac:dyDescent="0.25">
      <c r="A334">
        <f t="shared" si="371"/>
        <v>1980.6666666666599</v>
      </c>
      <c r="B334">
        <f t="shared" si="372"/>
        <v>-256</v>
      </c>
      <c r="C334">
        <f t="shared" si="373"/>
        <v>-278.39095008368503</v>
      </c>
      <c r="D334">
        <f t="shared" si="378"/>
        <v>-9</v>
      </c>
      <c r="E334">
        <f t="shared" si="379"/>
        <v>0.31913576067694294</v>
      </c>
      <c r="F334">
        <f t="shared" si="381"/>
        <v>-1</v>
      </c>
      <c r="G334">
        <f t="shared" si="382"/>
        <v>-0.77278985477279705</v>
      </c>
      <c r="H334">
        <f t="shared" ref="H334:I334" si="392">+AVERAGE(F332:F336)</f>
        <v>-2</v>
      </c>
      <c r="I334">
        <f t="shared" si="392"/>
        <v>-0.37078019041824528</v>
      </c>
      <c r="J334">
        <f t="shared" si="375"/>
        <v>1980.6666666666599</v>
      </c>
      <c r="K334">
        <f t="shared" si="376"/>
        <v>-256</v>
      </c>
      <c r="L334">
        <f t="shared" si="377"/>
        <v>-278.39095008368503</v>
      </c>
      <c r="M334" s="5">
        <v>1907.6666666666599</v>
      </c>
      <c r="N334" s="5">
        <v>-105</v>
      </c>
      <c r="O334" s="5">
        <v>-303.47687187906803</v>
      </c>
      <c r="Q334">
        <f t="shared" si="384"/>
        <v>0.22721014522720295</v>
      </c>
    </row>
    <row r="335" spans="1:17" x14ac:dyDescent="0.25">
      <c r="A335">
        <f t="shared" si="371"/>
        <v>1980.75</v>
      </c>
      <c r="B335">
        <f t="shared" si="372"/>
        <v>-236</v>
      </c>
      <c r="C335">
        <f t="shared" si="373"/>
        <v>-273.55288877496901</v>
      </c>
      <c r="D335">
        <f t="shared" si="378"/>
        <v>7</v>
      </c>
      <c r="E335">
        <f t="shared" si="379"/>
        <v>0.16202647862053254</v>
      </c>
      <c r="F335">
        <f t="shared" si="381"/>
        <v>-2</v>
      </c>
      <c r="G335">
        <f t="shared" si="382"/>
        <v>0.81102485471906227</v>
      </c>
      <c r="H335">
        <f t="shared" ref="H335:I335" si="393">+AVERAGE(F333:F337)</f>
        <v>-1.7</v>
      </c>
      <c r="I335">
        <f t="shared" si="393"/>
        <v>0.23154646173965071</v>
      </c>
      <c r="J335">
        <f t="shared" si="375"/>
        <v>1980.75</v>
      </c>
      <c r="K335">
        <f t="shared" si="376"/>
        <v>-236</v>
      </c>
      <c r="L335">
        <f t="shared" si="377"/>
        <v>-273.55288877496901</v>
      </c>
      <c r="M335" s="5">
        <v>1907.75</v>
      </c>
      <c r="N335" s="5">
        <v>-105</v>
      </c>
      <c r="O335" s="5">
        <v>-295.11005538618798</v>
      </c>
      <c r="Q335">
        <f t="shared" si="384"/>
        <v>2.8110248547190624</v>
      </c>
    </row>
    <row r="336" spans="1:17" x14ac:dyDescent="0.25">
      <c r="A336">
        <f t="shared" si="371"/>
        <v>1980.8333333333301</v>
      </c>
      <c r="B336">
        <f t="shared" si="372"/>
        <v>-230</v>
      </c>
      <c r="C336">
        <f t="shared" si="373"/>
        <v>-269.03888042349399</v>
      </c>
      <c r="D336">
        <f t="shared" si="378"/>
        <v>-4</v>
      </c>
      <c r="E336">
        <f t="shared" si="379"/>
        <v>2.5601809658990078</v>
      </c>
      <c r="F336">
        <f t="shared" si="381"/>
        <v>2.6666666666666665</v>
      </c>
      <c r="G336">
        <f t="shared" si="382"/>
        <v>1.7026774078948013</v>
      </c>
      <c r="H336">
        <f t="shared" ref="H336:I336" si="394">+AVERAGE(F334:F338)</f>
        <v>6.6666666666666624E-2</v>
      </c>
      <c r="I336">
        <f t="shared" si="394"/>
        <v>0.53578680655938726</v>
      </c>
      <c r="J336">
        <f t="shared" si="375"/>
        <v>1980.8333333333301</v>
      </c>
      <c r="K336">
        <f t="shared" si="376"/>
        <v>-230</v>
      </c>
      <c r="L336">
        <f t="shared" si="377"/>
        <v>-269.03888042349399</v>
      </c>
      <c r="M336" s="5">
        <v>1907.8333333333301</v>
      </c>
      <c r="N336" s="5">
        <v>-105</v>
      </c>
      <c r="O336" s="5">
        <v>-278.52910496984401</v>
      </c>
      <c r="Q336">
        <f t="shared" si="384"/>
        <v>0.96398925877186525</v>
      </c>
    </row>
    <row r="337" spans="1:17" x14ac:dyDescent="0.25">
      <c r="A337">
        <f t="shared" si="371"/>
        <v>1980.9166666666599</v>
      </c>
      <c r="B337">
        <f t="shared" si="372"/>
        <v>-216</v>
      </c>
      <c r="C337">
        <f t="shared" si="373"/>
        <v>-269.645234003817</v>
      </c>
      <c r="D337">
        <f t="shared" si="378"/>
        <v>5</v>
      </c>
      <c r="E337">
        <f t="shared" si="379"/>
        <v>3.6628328350859647</v>
      </c>
      <c r="F337">
        <f t="shared" si="381"/>
        <v>0</v>
      </c>
      <c r="G337">
        <f t="shared" si="382"/>
        <v>1.1095296729696051</v>
      </c>
      <c r="H337">
        <f t="shared" ref="H337:I337" si="395">+AVERAGE(F335:F339)</f>
        <v>0</v>
      </c>
      <c r="I337">
        <f t="shared" si="395"/>
        <v>0.26252785060989481</v>
      </c>
      <c r="J337">
        <f t="shared" si="375"/>
        <v>1980.9166666666599</v>
      </c>
      <c r="K337">
        <f t="shared" si="376"/>
        <v>-216</v>
      </c>
      <c r="L337">
        <f t="shared" si="377"/>
        <v>-269.645234003817</v>
      </c>
      <c r="M337" s="5">
        <v>1907.9166666666599</v>
      </c>
      <c r="N337" s="5">
        <v>-105</v>
      </c>
      <c r="O337" s="5">
        <v>-250.46975829329301</v>
      </c>
      <c r="Q337">
        <f t="shared" si="384"/>
        <v>1.1095296729696051</v>
      </c>
    </row>
    <row r="338" spans="1:17" x14ac:dyDescent="0.25">
      <c r="A338">
        <f t="shared" si="371"/>
        <v>1981</v>
      </c>
      <c r="B338">
        <f t="shared" si="372"/>
        <v>-212</v>
      </c>
      <c r="C338">
        <f t="shared" si="373"/>
        <v>-277.57725325431198</v>
      </c>
      <c r="D338">
        <f t="shared" si="378"/>
        <v>-1</v>
      </c>
      <c r="E338">
        <f t="shared" si="379"/>
        <v>-2.0622775273489538</v>
      </c>
      <c r="F338">
        <f t="shared" si="381"/>
        <v>0.66666666666666663</v>
      </c>
      <c r="G338">
        <f t="shared" si="382"/>
        <v>-0.17150804801373551</v>
      </c>
      <c r="H338">
        <f t="shared" ref="H338:I338" si="396">+AVERAGE(F336:F340)</f>
        <v>-3.3333333333333347E-2</v>
      </c>
      <c r="I338">
        <f t="shared" si="396"/>
        <v>-1.1650822444843714</v>
      </c>
      <c r="J338">
        <f t="shared" si="375"/>
        <v>1981</v>
      </c>
      <c r="K338">
        <f t="shared" si="376"/>
        <v>-212</v>
      </c>
      <c r="L338">
        <f t="shared" si="377"/>
        <v>-277.57725325431198</v>
      </c>
      <c r="M338" s="5">
        <v>1908</v>
      </c>
      <c r="N338" s="5">
        <v>-105</v>
      </c>
      <c r="O338" s="5">
        <v>-213.19558084734999</v>
      </c>
      <c r="Q338">
        <f t="shared" si="384"/>
        <v>0.83817471468040217</v>
      </c>
    </row>
    <row r="339" spans="1:17" x14ac:dyDescent="0.25">
      <c r="A339">
        <f t="shared" si="371"/>
        <v>1981.0833333333301</v>
      </c>
      <c r="B339">
        <f t="shared" si="372"/>
        <v>-206</v>
      </c>
      <c r="C339">
        <f t="shared" si="373"/>
        <v>-281.38471745010901</v>
      </c>
      <c r="D339">
        <f t="shared" si="378"/>
        <v>-2</v>
      </c>
      <c r="E339">
        <f t="shared" si="379"/>
        <v>-2.243710487788519</v>
      </c>
      <c r="F339">
        <f t="shared" si="381"/>
        <v>-1.3333333333333333</v>
      </c>
      <c r="G339">
        <f t="shared" si="382"/>
        <v>-2.139084634520259</v>
      </c>
      <c r="H339">
        <f t="shared" ref="H339:I339" si="397">+AVERAGE(F337:F341)</f>
        <v>-6.7666666666666675</v>
      </c>
      <c r="I339">
        <f t="shared" si="397"/>
        <v>-7.4038673854639772</v>
      </c>
      <c r="J339">
        <f t="shared" si="375"/>
        <v>1981.0833333333301</v>
      </c>
      <c r="K339">
        <f t="shared" si="376"/>
        <v>-206</v>
      </c>
      <c r="L339">
        <f t="shared" si="377"/>
        <v>-281.38471745010901</v>
      </c>
      <c r="M339" s="5">
        <v>1908.0833333333301</v>
      </c>
      <c r="N339" s="5">
        <v>-105</v>
      </c>
      <c r="O339" s="5">
        <v>-141.83060541265499</v>
      </c>
      <c r="Q339">
        <f t="shared" si="384"/>
        <v>0.80575130118692573</v>
      </c>
    </row>
    <row r="340" spans="1:17" x14ac:dyDescent="0.25">
      <c r="A340">
        <f t="shared" si="371"/>
        <v>1981.1666666666599</v>
      </c>
      <c r="B340">
        <f t="shared" si="372"/>
        <v>-196</v>
      </c>
      <c r="C340">
        <f t="shared" si="373"/>
        <v>-280.70476067032899</v>
      </c>
      <c r="D340">
        <f t="shared" si="378"/>
        <v>-1</v>
      </c>
      <c r="E340">
        <f t="shared" si="379"/>
        <v>-3.7155793643134984</v>
      </c>
      <c r="F340">
        <f t="shared" si="381"/>
        <v>-2.1666666666666665</v>
      </c>
      <c r="G340">
        <f t="shared" si="382"/>
        <v>-6.327025620752269</v>
      </c>
      <c r="H340">
        <f t="shared" ref="H340:I340" si="398">+AVERAGE(F338:F342)</f>
        <v>-9.8666666666666671</v>
      </c>
      <c r="I340">
        <f t="shared" si="398"/>
        <v>-13.013877627960289</v>
      </c>
      <c r="J340">
        <f t="shared" si="375"/>
        <v>1981.1666666666599</v>
      </c>
      <c r="K340">
        <f t="shared" si="376"/>
        <v>-196</v>
      </c>
      <c r="L340">
        <f t="shared" si="377"/>
        <v>-280.70476067032899</v>
      </c>
      <c r="M340" s="5">
        <v>1908.1666666666599</v>
      </c>
      <c r="N340" s="5">
        <v>-105</v>
      </c>
      <c r="O340" s="5">
        <v>17.561435949027601</v>
      </c>
      <c r="Q340">
        <f t="shared" si="384"/>
        <v>4.1603589540856021</v>
      </c>
    </row>
    <row r="341" spans="1:17" x14ac:dyDescent="0.25">
      <c r="A341">
        <f t="shared" si="371"/>
        <v>1981.25</v>
      </c>
      <c r="B341">
        <f t="shared" si="372"/>
        <v>-184</v>
      </c>
      <c r="C341">
        <f t="shared" si="373"/>
        <v>-272.59364516192198</v>
      </c>
      <c r="D341">
        <f t="shared" si="378"/>
        <v>-3.5</v>
      </c>
      <c r="E341">
        <f t="shared" si="379"/>
        <v>-17.767056225718989</v>
      </c>
      <c r="F341">
        <f t="shared" si="381"/>
        <v>-31</v>
      </c>
      <c r="G341">
        <f t="shared" si="382"/>
        <v>-29.491248297003224</v>
      </c>
      <c r="H341">
        <f t="shared" ref="H341:I341" si="399">+AVERAGE(F339:F343)</f>
        <v>-10.3</v>
      </c>
      <c r="I341">
        <f t="shared" si="399"/>
        <v>-12.867473235646532</v>
      </c>
      <c r="J341">
        <f t="shared" si="375"/>
        <v>1981.25</v>
      </c>
      <c r="K341">
        <f t="shared" si="376"/>
        <v>-184</v>
      </c>
      <c r="L341">
        <f t="shared" si="377"/>
        <v>-272.59364516192198</v>
      </c>
      <c r="M341" s="5">
        <v>1908.25</v>
      </c>
      <c r="N341" s="5">
        <v>-105</v>
      </c>
      <c r="O341" s="5">
        <v>154.801497155238</v>
      </c>
      <c r="Q341">
        <f t="shared" si="384"/>
        <v>1.5087517029967756</v>
      </c>
    </row>
    <row r="342" spans="1:17" x14ac:dyDescent="0.25">
      <c r="A342">
        <f t="shared" si="371"/>
        <v>1981.3333333333301</v>
      </c>
      <c r="B342">
        <f t="shared" si="372"/>
        <v>-165</v>
      </c>
      <c r="C342">
        <f t="shared" si="373"/>
        <v>-228.948417202077</v>
      </c>
      <c r="D342">
        <f t="shared" si="378"/>
        <v>-88.5</v>
      </c>
      <c r="E342">
        <f t="shared" si="379"/>
        <v>-89.109545523729594</v>
      </c>
      <c r="F342">
        <f t="shared" si="381"/>
        <v>-15.5</v>
      </c>
      <c r="G342">
        <f t="shared" si="382"/>
        <v>-26.94052153951197</v>
      </c>
      <c r="H342">
        <f t="shared" ref="H342:I342" si="400">+AVERAGE(F340:F344)</f>
        <v>-3.7999999999999994</v>
      </c>
      <c r="I342">
        <f t="shared" si="400"/>
        <v>-6.7157705595822579</v>
      </c>
      <c r="J342">
        <f t="shared" si="375"/>
        <v>1981.3333333333301</v>
      </c>
      <c r="K342">
        <f t="shared" si="376"/>
        <v>-165</v>
      </c>
      <c r="L342">
        <f t="shared" si="377"/>
        <v>-228.948417202077</v>
      </c>
      <c r="M342" s="5">
        <v>1908.3333333333301</v>
      </c>
      <c r="N342" s="5">
        <v>-105</v>
      </c>
      <c r="O342" s="5">
        <v>231.059746138874</v>
      </c>
      <c r="Q342">
        <f t="shared" si="384"/>
        <v>11.44052153951197</v>
      </c>
    </row>
    <row r="343" spans="1:17" x14ac:dyDescent="0.25">
      <c r="A343">
        <f t="shared" si="371"/>
        <v>1981.4166666666599</v>
      </c>
      <c r="B343">
        <f t="shared" si="372"/>
        <v>31</v>
      </c>
      <c r="C343">
        <f t="shared" si="373"/>
        <v>-7.0840981947728103</v>
      </c>
      <c r="D343">
        <f t="shared" si="378"/>
        <v>45.5</v>
      </c>
      <c r="E343">
        <f t="shared" si="379"/>
        <v>5.8496459762786905</v>
      </c>
      <c r="F343">
        <f t="shared" si="381"/>
        <v>-1.5</v>
      </c>
      <c r="G343">
        <f t="shared" si="382"/>
        <v>0.56051391355506819</v>
      </c>
      <c r="H343">
        <f t="shared" ref="H343:I343" si="401">+AVERAGE(F341:F345)</f>
        <v>3.3333333333333569E-2</v>
      </c>
      <c r="I343">
        <f t="shared" si="401"/>
        <v>0.15442107546547063</v>
      </c>
      <c r="J343">
        <f t="shared" si="375"/>
        <v>1981.4166666666599</v>
      </c>
      <c r="K343">
        <f t="shared" si="376"/>
        <v>31</v>
      </c>
      <c r="L343">
        <f t="shared" si="377"/>
        <v>-7.0840981947728103</v>
      </c>
      <c r="M343" s="5">
        <v>1908.4166666666599</v>
      </c>
      <c r="N343" s="5">
        <v>-105</v>
      </c>
      <c r="O343" s="5">
        <v>264.488291188917</v>
      </c>
      <c r="Q343">
        <f t="shared" si="384"/>
        <v>2.0605139135550683</v>
      </c>
    </row>
    <row r="344" spans="1:17" x14ac:dyDescent="0.25">
      <c r="A344">
        <f t="shared" si="371"/>
        <v>1981.5</v>
      </c>
      <c r="B344">
        <f t="shared" si="372"/>
        <v>136</v>
      </c>
      <c r="C344">
        <f t="shared" si="373"/>
        <v>203.08092885997399</v>
      </c>
      <c r="D344">
        <f t="shared" si="378"/>
        <v>38.5</v>
      </c>
      <c r="E344">
        <f t="shared" si="379"/>
        <v>85.361826723282405</v>
      </c>
      <c r="F344">
        <f t="shared" si="381"/>
        <v>31.166666666666668</v>
      </c>
      <c r="G344">
        <f t="shared" si="382"/>
        <v>28.619428745801102</v>
      </c>
      <c r="H344">
        <f t="shared" ref="H344:I344" si="402">+AVERAGE(F342:F346)</f>
        <v>6.9</v>
      </c>
      <c r="I344">
        <f t="shared" si="402"/>
        <v>6.9307418881837135</v>
      </c>
      <c r="J344">
        <f t="shared" si="375"/>
        <v>1981.5</v>
      </c>
      <c r="K344">
        <f t="shared" si="376"/>
        <v>136</v>
      </c>
      <c r="L344">
        <f t="shared" si="377"/>
        <v>203.08092885997399</v>
      </c>
      <c r="M344" s="5">
        <v>1908.5</v>
      </c>
      <c r="N344" s="5">
        <v>-105</v>
      </c>
      <c r="O344" s="5">
        <v>275.637680351624</v>
      </c>
      <c r="Q344">
        <f t="shared" si="384"/>
        <v>2.547237920865566</v>
      </c>
    </row>
    <row r="345" spans="1:17" x14ac:dyDescent="0.25">
      <c r="A345">
        <f t="shared" si="371"/>
        <v>1981.5833333333301</v>
      </c>
      <c r="B345">
        <f t="shared" si="372"/>
        <v>164</v>
      </c>
      <c r="C345">
        <f t="shared" si="373"/>
        <v>242.522302468156</v>
      </c>
      <c r="D345">
        <f t="shared" si="378"/>
        <v>9.5</v>
      </c>
      <c r="E345">
        <f t="shared" si="379"/>
        <v>16.111385097193022</v>
      </c>
      <c r="F345">
        <f t="shared" si="381"/>
        <v>17</v>
      </c>
      <c r="G345">
        <f t="shared" si="382"/>
        <v>28.023932554486375</v>
      </c>
      <c r="H345">
        <f t="shared" ref="H345:I345" si="403">+AVERAGE(F343:F347)</f>
        <v>10.100000000000001</v>
      </c>
      <c r="I345">
        <f t="shared" si="403"/>
        <v>12.431582673111466</v>
      </c>
      <c r="J345">
        <f t="shared" si="375"/>
        <v>1981.5833333333301</v>
      </c>
      <c r="K345">
        <f t="shared" si="376"/>
        <v>164</v>
      </c>
      <c r="L345">
        <f t="shared" si="377"/>
        <v>242.522302468156</v>
      </c>
      <c r="M345" s="5">
        <v>1908.5833333333301</v>
      </c>
      <c r="N345" s="5">
        <v>-105</v>
      </c>
      <c r="O345" s="5">
        <v>277.44326586630302</v>
      </c>
      <c r="Q345">
        <f t="shared" si="384"/>
        <v>11.023932554486375</v>
      </c>
    </row>
    <row r="346" spans="1:17" x14ac:dyDescent="0.25">
      <c r="A346">
        <f t="shared" si="371"/>
        <v>1981.6666666666599</v>
      </c>
      <c r="B346">
        <f t="shared" si="372"/>
        <v>173</v>
      </c>
      <c r="C346">
        <f t="shared" si="373"/>
        <v>249.74090588195199</v>
      </c>
      <c r="D346">
        <f t="shared" si="378"/>
        <v>3</v>
      </c>
      <c r="E346">
        <f t="shared" si="379"/>
        <v>3.6165352588484723</v>
      </c>
      <c r="F346">
        <f t="shared" si="381"/>
        <v>3.3333333333333335</v>
      </c>
      <c r="G346">
        <f t="shared" si="382"/>
        <v>4.3903557665879971</v>
      </c>
      <c r="H346">
        <f t="shared" ref="H346:I346" si="404">+AVERAGE(F344:F348)</f>
        <v>10.266666666666669</v>
      </c>
      <c r="I346">
        <f t="shared" si="404"/>
        <v>12.464067495155572</v>
      </c>
      <c r="J346">
        <f t="shared" si="375"/>
        <v>1981.6666666666599</v>
      </c>
      <c r="K346">
        <f t="shared" si="376"/>
        <v>173</v>
      </c>
      <c r="L346">
        <f t="shared" si="377"/>
        <v>249.74090588195199</v>
      </c>
      <c r="M346" s="5">
        <v>1908.6666666666599</v>
      </c>
      <c r="N346" s="5">
        <v>-105</v>
      </c>
      <c r="O346" s="5">
        <v>273.48139322274602</v>
      </c>
      <c r="Q346">
        <f t="shared" si="384"/>
        <v>1.0570224332546636</v>
      </c>
    </row>
    <row r="347" spans="1:17" x14ac:dyDescent="0.25">
      <c r="A347">
        <f t="shared" si="371"/>
        <v>1981.75</v>
      </c>
      <c r="B347">
        <f t="shared" si="372"/>
        <v>176</v>
      </c>
      <c r="C347">
        <f t="shared" si="373"/>
        <v>249.726438778051</v>
      </c>
      <c r="D347">
        <f t="shared" si="378"/>
        <v>-2.5</v>
      </c>
      <c r="E347">
        <f t="shared" si="379"/>
        <v>-3.2640862313365062</v>
      </c>
      <c r="F347">
        <f t="shared" si="381"/>
        <v>0.5</v>
      </c>
      <c r="G347">
        <f t="shared" si="382"/>
        <v>0.56368238512679159</v>
      </c>
      <c r="H347">
        <f t="shared" ref="H347:I347" si="405">+AVERAGE(F345:F349)</f>
        <v>4.2999999999999989</v>
      </c>
      <c r="I347">
        <f t="shared" si="405"/>
        <v>7.1412451290580963</v>
      </c>
      <c r="J347">
        <f t="shared" si="375"/>
        <v>1981.75</v>
      </c>
      <c r="K347">
        <f t="shared" si="376"/>
        <v>176</v>
      </c>
      <c r="L347">
        <f t="shared" si="377"/>
        <v>249.726438778051</v>
      </c>
      <c r="M347" s="5">
        <v>1908.75</v>
      </c>
      <c r="N347" s="5">
        <v>-105</v>
      </c>
      <c r="O347" s="5">
        <v>269.39251056848002</v>
      </c>
      <c r="Q347">
        <f t="shared" si="384"/>
        <v>6.3682385126791585E-2</v>
      </c>
    </row>
    <row r="348" spans="1:17" x14ac:dyDescent="0.25">
      <c r="A348">
        <f t="shared" si="371"/>
        <v>1981.8333333333301</v>
      </c>
      <c r="B348">
        <f t="shared" si="372"/>
        <v>184</v>
      </c>
      <c r="C348">
        <f t="shared" si="373"/>
        <v>256.24014413682301</v>
      </c>
      <c r="D348">
        <f t="shared" si="378"/>
        <v>1</v>
      </c>
      <c r="E348">
        <f t="shared" si="379"/>
        <v>1.7613599167135021</v>
      </c>
      <c r="F348">
        <f t="shared" si="381"/>
        <v>-0.66666666666666663</v>
      </c>
      <c r="G348">
        <f t="shared" si="382"/>
        <v>0.72293802377559291</v>
      </c>
      <c r="H348">
        <f t="shared" ref="H348:I348" si="406">+AVERAGE(F346:F350)</f>
        <v>0.83333333333333337</v>
      </c>
      <c r="I348">
        <f t="shared" si="406"/>
        <v>1.9424852504604195</v>
      </c>
      <c r="J348">
        <f t="shared" si="375"/>
        <v>1981.8333333333301</v>
      </c>
      <c r="K348">
        <f t="shared" si="376"/>
        <v>184</v>
      </c>
      <c r="L348">
        <f t="shared" si="377"/>
        <v>256.24014413682301</v>
      </c>
      <c r="M348" s="5">
        <v>1908.8333333333301</v>
      </c>
      <c r="N348" s="5">
        <v>-105</v>
      </c>
      <c r="O348" s="5">
        <v>268.76623474055498</v>
      </c>
      <c r="Q348">
        <f t="shared" si="384"/>
        <v>1.3896046904422596</v>
      </c>
    </row>
    <row r="349" spans="1:17" x14ac:dyDescent="0.25">
      <c r="A349">
        <f t="shared" si="371"/>
        <v>1981.9166666666599</v>
      </c>
      <c r="B349">
        <f t="shared" si="372"/>
        <v>190</v>
      </c>
      <c r="C349">
        <f t="shared" si="373"/>
        <v>259.23112966216797</v>
      </c>
      <c r="D349">
        <f t="shared" si="378"/>
        <v>-0.5</v>
      </c>
      <c r="E349">
        <f t="shared" si="379"/>
        <v>4.2137439037814772</v>
      </c>
      <c r="F349">
        <f t="shared" si="381"/>
        <v>1.3333333333333333</v>
      </c>
      <c r="G349">
        <f t="shared" si="382"/>
        <v>2.0053169153137258</v>
      </c>
      <c r="H349">
        <f t="shared" ref="H349:I349" si="407">+AVERAGE(F347:F351)</f>
        <v>0.4</v>
      </c>
      <c r="I349">
        <f t="shared" si="407"/>
        <v>1.1419386671178595</v>
      </c>
      <c r="J349">
        <f t="shared" si="375"/>
        <v>1981.9166666666599</v>
      </c>
      <c r="K349">
        <f t="shared" si="376"/>
        <v>190</v>
      </c>
      <c r="L349">
        <f t="shared" si="377"/>
        <v>259.23112966216797</v>
      </c>
      <c r="M349" s="5">
        <v>1908.9166666666599</v>
      </c>
      <c r="N349" s="5">
        <v>-105</v>
      </c>
      <c r="O349" s="5">
        <v>260.97440288248703</v>
      </c>
      <c r="Q349">
        <f t="shared" si="384"/>
        <v>0.67198358198039254</v>
      </c>
    </row>
    <row r="350" spans="1:17" x14ac:dyDescent="0.25">
      <c r="A350">
        <f t="shared" si="371"/>
        <v>1982</v>
      </c>
      <c r="B350">
        <f t="shared" si="372"/>
        <v>197</v>
      </c>
      <c r="C350">
        <f t="shared" si="373"/>
        <v>253.79462737994999</v>
      </c>
      <c r="D350">
        <f t="shared" si="378"/>
        <v>3.5</v>
      </c>
      <c r="E350">
        <f t="shared" si="379"/>
        <v>1.544834611931492</v>
      </c>
      <c r="F350">
        <f t="shared" si="381"/>
        <v>-0.33333333333333331</v>
      </c>
      <c r="G350">
        <f t="shared" si="382"/>
        <v>2.0301331614979898</v>
      </c>
      <c r="H350">
        <f t="shared" ref="H350:I350" si="408">+AVERAGE(F348:F352)</f>
        <v>0.3</v>
      </c>
      <c r="I350">
        <f t="shared" si="408"/>
        <v>0.76939321078860778</v>
      </c>
      <c r="J350">
        <f t="shared" si="375"/>
        <v>1982</v>
      </c>
      <c r="K350">
        <f t="shared" si="376"/>
        <v>197</v>
      </c>
      <c r="L350">
        <f t="shared" si="377"/>
        <v>253.79462737994999</v>
      </c>
      <c r="M350" s="5">
        <v>1909</v>
      </c>
      <c r="N350" s="5">
        <v>-105</v>
      </c>
      <c r="O350" s="5">
        <v>238.93233275562201</v>
      </c>
      <c r="Q350">
        <f t="shared" si="384"/>
        <v>2.3634664948313233</v>
      </c>
    </row>
    <row r="351" spans="1:17" x14ac:dyDescent="0.25">
      <c r="A351">
        <f t="shared" si="371"/>
        <v>1982.0833333333301</v>
      </c>
      <c r="B351">
        <f t="shared" si="372"/>
        <v>197</v>
      </c>
      <c r="C351">
        <f t="shared" si="373"/>
        <v>245.26845587386899</v>
      </c>
      <c r="D351">
        <f t="shared" si="378"/>
        <v>-4</v>
      </c>
      <c r="E351">
        <f t="shared" si="379"/>
        <v>1.8544208399044919</v>
      </c>
      <c r="F351">
        <f t="shared" si="381"/>
        <v>1.1666666666666667</v>
      </c>
      <c r="G351">
        <f t="shared" si="382"/>
        <v>0.38762284987519707</v>
      </c>
      <c r="H351">
        <f t="shared" ref="H351:I351" si="409">+AVERAGE(F349:F353)</f>
        <v>1.3333333333333335</v>
      </c>
      <c r="I351">
        <f t="shared" si="409"/>
        <v>0.69825776514514171</v>
      </c>
      <c r="J351">
        <f t="shared" si="375"/>
        <v>1982.0833333333301</v>
      </c>
      <c r="K351">
        <f t="shared" si="376"/>
        <v>197</v>
      </c>
      <c r="L351">
        <f t="shared" si="377"/>
        <v>245.26845587386899</v>
      </c>
      <c r="M351" s="5">
        <v>1909.0833333333301</v>
      </c>
      <c r="N351" s="5">
        <v>-105</v>
      </c>
      <c r="O351" s="5">
        <v>205.913661899593</v>
      </c>
      <c r="Q351">
        <f t="shared" si="384"/>
        <v>0.77904381679146972</v>
      </c>
    </row>
    <row r="352" spans="1:17" x14ac:dyDescent="0.25">
      <c r="A352">
        <f t="shared" si="371"/>
        <v>1982.1666666666599</v>
      </c>
      <c r="B352">
        <f t="shared" si="372"/>
        <v>205</v>
      </c>
      <c r="C352">
        <f t="shared" si="373"/>
        <v>233.033442687979</v>
      </c>
      <c r="D352">
        <f t="shared" si="378"/>
        <v>4</v>
      </c>
      <c r="E352">
        <f t="shared" si="379"/>
        <v>-1.9456697648039949</v>
      </c>
      <c r="F352">
        <f t="shared" si="381"/>
        <v>0</v>
      </c>
      <c r="G352">
        <f t="shared" si="382"/>
        <v>-1.2990448965194674</v>
      </c>
      <c r="H352">
        <f t="shared" ref="H352:I352" si="410">+AVERAGE(F350:F354)</f>
        <v>1.3333333333333335</v>
      </c>
      <c r="I352">
        <f t="shared" si="410"/>
        <v>1.7818401040266889</v>
      </c>
      <c r="J352">
        <f t="shared" si="375"/>
        <v>1982.1666666666599</v>
      </c>
      <c r="K352">
        <f t="shared" si="376"/>
        <v>205</v>
      </c>
      <c r="L352">
        <f t="shared" si="377"/>
        <v>233.033442687979</v>
      </c>
      <c r="M352" s="5">
        <v>1909.1666666666599</v>
      </c>
      <c r="N352" s="5">
        <v>-105</v>
      </c>
      <c r="O352" s="5">
        <v>153.96162135415801</v>
      </c>
      <c r="Q352">
        <f t="shared" si="384"/>
        <v>1.2990448965194674</v>
      </c>
    </row>
    <row r="353" spans="1:17" x14ac:dyDescent="0.25">
      <c r="A353">
        <f t="shared" si="371"/>
        <v>1982.25</v>
      </c>
      <c r="B353">
        <f t="shared" si="372"/>
        <v>205</v>
      </c>
      <c r="C353">
        <f t="shared" si="373"/>
        <v>224.68976903169701</v>
      </c>
      <c r="D353">
        <f t="shared" si="378"/>
        <v>0</v>
      </c>
      <c r="E353">
        <f t="shared" si="379"/>
        <v>-4.7801694370484995</v>
      </c>
      <c r="F353">
        <f t="shared" si="381"/>
        <v>4.5</v>
      </c>
      <c r="G353">
        <f t="shared" si="382"/>
        <v>0.36726079555826346</v>
      </c>
      <c r="H353">
        <f t="shared" ref="H353:I353" si="411">+AVERAGE(F351:F355)</f>
        <v>6</v>
      </c>
      <c r="I353">
        <f t="shared" si="411"/>
        <v>7.5741211749180506</v>
      </c>
      <c r="J353">
        <f t="shared" si="375"/>
        <v>1982.25</v>
      </c>
      <c r="K353">
        <f t="shared" si="376"/>
        <v>205</v>
      </c>
      <c r="L353">
        <f t="shared" si="377"/>
        <v>224.68976903169701</v>
      </c>
      <c r="M353" s="5">
        <v>1909.25</v>
      </c>
      <c r="N353" s="5">
        <v>-105</v>
      </c>
      <c r="O353" s="5">
        <v>69.451438998231097</v>
      </c>
      <c r="Q353">
        <f t="shared" si="384"/>
        <v>4.1327392044417364</v>
      </c>
    </row>
    <row r="354" spans="1:17" x14ac:dyDescent="0.25">
      <c r="A354">
        <f t="shared" si="371"/>
        <v>1982.3333333333301</v>
      </c>
      <c r="B354">
        <f t="shared" si="372"/>
        <v>205</v>
      </c>
      <c r="C354">
        <f t="shared" si="373"/>
        <v>225.90643424951199</v>
      </c>
      <c r="D354">
        <f t="shared" si="378"/>
        <v>9.5</v>
      </c>
      <c r="E354">
        <f t="shared" si="379"/>
        <v>8.1030671851959823</v>
      </c>
      <c r="F354">
        <f t="shared" si="381"/>
        <v>1.3333333333333333</v>
      </c>
      <c r="G354">
        <f t="shared" si="382"/>
        <v>7.4232286097214617</v>
      </c>
      <c r="H354">
        <f t="shared" ref="H354:I354" si="412">+AVERAGE(F352:F356)</f>
        <v>12.366666666666665</v>
      </c>
      <c r="I354">
        <f t="shared" si="412"/>
        <v>10.64271913684453</v>
      </c>
      <c r="J354">
        <f t="shared" si="375"/>
        <v>1982.3333333333301</v>
      </c>
      <c r="K354">
        <f t="shared" si="376"/>
        <v>205</v>
      </c>
      <c r="L354">
        <f t="shared" si="377"/>
        <v>225.90643424951199</v>
      </c>
      <c r="M354" s="5">
        <v>1909.3333333333301</v>
      </c>
      <c r="N354" s="5">
        <v>-105</v>
      </c>
      <c r="O354" s="5">
        <v>-74.156604352026605</v>
      </c>
      <c r="Q354">
        <f t="shared" si="384"/>
        <v>6.0898952763881287</v>
      </c>
    </row>
    <row r="355" spans="1:17" x14ac:dyDescent="0.25">
      <c r="A355">
        <f t="shared" si="371"/>
        <v>1982.4166666666599</v>
      </c>
      <c r="B355">
        <f t="shared" si="372"/>
        <v>186</v>
      </c>
      <c r="C355">
        <f t="shared" si="373"/>
        <v>210.916965096935</v>
      </c>
      <c r="D355">
        <f t="shared" si="378"/>
        <v>-5.5</v>
      </c>
      <c r="E355">
        <f t="shared" si="379"/>
        <v>24.514209538307995</v>
      </c>
      <c r="F355">
        <f t="shared" si="381"/>
        <v>23</v>
      </c>
      <c r="G355">
        <f t="shared" si="382"/>
        <v>30.991538515954797</v>
      </c>
      <c r="H355">
        <f t="shared" ref="H355:I355" si="413">+AVERAGE(F353:F357)</f>
        <v>13.666666666666666</v>
      </c>
      <c r="I355">
        <f t="shared" si="413"/>
        <v>10.282386499934825</v>
      </c>
      <c r="J355">
        <f t="shared" si="375"/>
        <v>1982.4166666666599</v>
      </c>
      <c r="K355">
        <f t="shared" si="376"/>
        <v>186</v>
      </c>
      <c r="L355">
        <f t="shared" si="377"/>
        <v>210.916965096935</v>
      </c>
      <c r="M355" s="5">
        <v>1909.4166666666599</v>
      </c>
      <c r="N355" s="5">
        <v>-105</v>
      </c>
      <c r="O355" s="5">
        <v>-195.21891382647701</v>
      </c>
      <c r="Q355">
        <f t="shared" si="384"/>
        <v>7.9915385159547974</v>
      </c>
    </row>
    <row r="356" spans="1:17" x14ac:dyDescent="0.25">
      <c r="A356">
        <f t="shared" si="371"/>
        <v>1982.5</v>
      </c>
      <c r="B356">
        <f t="shared" si="372"/>
        <v>178</v>
      </c>
      <c r="C356">
        <f t="shared" si="373"/>
        <v>146.899076867742</v>
      </c>
      <c r="D356">
        <f t="shared" si="378"/>
        <v>65</v>
      </c>
      <c r="E356">
        <f t="shared" si="379"/>
        <v>83.600992711326498</v>
      </c>
      <c r="F356">
        <f t="shared" si="381"/>
        <v>33</v>
      </c>
      <c r="G356">
        <f t="shared" si="382"/>
        <v>15.730612659507598</v>
      </c>
      <c r="H356">
        <f t="shared" ref="H356:I356" si="414">+AVERAGE(F354:F358)</f>
        <v>8.1666666666666661</v>
      </c>
      <c r="I356">
        <f t="shared" si="414"/>
        <v>4.4508571635779992</v>
      </c>
      <c r="J356">
        <f t="shared" si="375"/>
        <v>1982.5</v>
      </c>
      <c r="K356">
        <f t="shared" si="376"/>
        <v>178</v>
      </c>
      <c r="L356">
        <f t="shared" si="377"/>
        <v>146.899076867742</v>
      </c>
      <c r="M356" s="5">
        <v>1909.5</v>
      </c>
      <c r="N356" s="5">
        <v>-105</v>
      </c>
      <c r="O356" s="5">
        <v>-254.646947064057</v>
      </c>
      <c r="Q356">
        <f t="shared" si="384"/>
        <v>17.269387340492401</v>
      </c>
    </row>
    <row r="357" spans="1:17" x14ac:dyDescent="0.25">
      <c r="A357">
        <f t="shared" si="371"/>
        <v>1982.5833333333301</v>
      </c>
      <c r="B357">
        <f t="shared" si="372"/>
        <v>40</v>
      </c>
      <c r="C357">
        <f t="shared" si="373"/>
        <v>-84.320796784104004</v>
      </c>
      <c r="D357">
        <f t="shared" si="378"/>
        <v>39.5</v>
      </c>
      <c r="E357">
        <f t="shared" si="379"/>
        <v>-49.125404776481005</v>
      </c>
      <c r="F357">
        <f t="shared" si="381"/>
        <v>6.5</v>
      </c>
      <c r="G357">
        <f t="shared" si="382"/>
        <v>-3.1007080810680012</v>
      </c>
      <c r="H357">
        <f t="shared" ref="H357:I357" si="415">+AVERAGE(F355:F359)</f>
        <v>1.2666666666666671</v>
      </c>
      <c r="I357">
        <f t="shared" si="415"/>
        <v>-0.26790089314082621</v>
      </c>
      <c r="J357">
        <f t="shared" si="375"/>
        <v>1982.5833333333301</v>
      </c>
      <c r="K357">
        <f t="shared" si="376"/>
        <v>40</v>
      </c>
      <c r="L357">
        <f t="shared" si="377"/>
        <v>-84.320796784104004</v>
      </c>
      <c r="M357" s="5">
        <v>1909.5833333333301</v>
      </c>
      <c r="N357" s="5">
        <v>-105</v>
      </c>
      <c r="O357" s="5">
        <v>-280.40613022633198</v>
      </c>
      <c r="Q357">
        <f t="shared" si="384"/>
        <v>9.6007080810680012</v>
      </c>
    </row>
    <row r="358" spans="1:17" x14ac:dyDescent="0.25">
      <c r="A358">
        <f t="shared" si="371"/>
        <v>1982.6666666666599</v>
      </c>
      <c r="B358">
        <f t="shared" si="372"/>
        <v>-177</v>
      </c>
      <c r="C358">
        <f t="shared" si="373"/>
        <v>-217.28986088298799</v>
      </c>
      <c r="D358">
        <f t="shared" si="378"/>
        <v>-85</v>
      </c>
      <c r="E358">
        <f t="shared" si="379"/>
        <v>-46.103243238850496</v>
      </c>
      <c r="F358">
        <f t="shared" si="381"/>
        <v>-23</v>
      </c>
      <c r="G358">
        <f t="shared" si="382"/>
        <v>-28.790385886225859</v>
      </c>
      <c r="H358">
        <f t="shared" ref="H358:I358" si="416">+AVERAGE(F356:F360)</f>
        <v>-4.2333333333333325</v>
      </c>
      <c r="I358">
        <f t="shared" si="416"/>
        <v>-7.4132434557196776</v>
      </c>
      <c r="J358">
        <f t="shared" si="375"/>
        <v>1982.6666666666599</v>
      </c>
      <c r="K358">
        <f t="shared" si="376"/>
        <v>-177</v>
      </c>
      <c r="L358">
        <f t="shared" si="377"/>
        <v>-217.28986088298799</v>
      </c>
      <c r="M358" s="5">
        <v>1909.6666666666599</v>
      </c>
      <c r="N358" s="5">
        <v>-105</v>
      </c>
      <c r="O358" s="5">
        <v>-293.41367847651998</v>
      </c>
      <c r="Q358">
        <f t="shared" si="384"/>
        <v>5.7903858862258595</v>
      </c>
    </row>
    <row r="359" spans="1:17" x14ac:dyDescent="0.25">
      <c r="A359">
        <f t="shared" si="371"/>
        <v>1982.75</v>
      </c>
      <c r="B359">
        <f t="shared" si="372"/>
        <v>-224</v>
      </c>
      <c r="C359">
        <f t="shared" si="373"/>
        <v>-258.05243850417099</v>
      </c>
      <c r="D359">
        <f t="shared" si="378"/>
        <v>-23.5</v>
      </c>
      <c r="E359">
        <f t="shared" si="379"/>
        <v>-12.735299058015471</v>
      </c>
      <c r="F359">
        <f t="shared" si="381"/>
        <v>-33.166666666666664</v>
      </c>
      <c r="G359">
        <f t="shared" si="382"/>
        <v>-16.170561673872665</v>
      </c>
      <c r="H359">
        <f t="shared" ref="H359:I359" si="417">+AVERAGE(F357:F361)</f>
        <v>-10.833333333333332</v>
      </c>
      <c r="I359">
        <f t="shared" si="417"/>
        <v>-10.983268338633678</v>
      </c>
      <c r="J359">
        <f t="shared" si="375"/>
        <v>1982.75</v>
      </c>
      <c r="K359">
        <f t="shared" si="376"/>
        <v>-224</v>
      </c>
      <c r="L359">
        <f t="shared" si="377"/>
        <v>-258.05243850417099</v>
      </c>
      <c r="M359" s="5">
        <v>1909.75</v>
      </c>
      <c r="N359" s="5">
        <v>-105</v>
      </c>
      <c r="O359" s="5">
        <v>-296.41607038569799</v>
      </c>
      <c r="Q359">
        <f t="shared" si="384"/>
        <v>16.996104992793999</v>
      </c>
    </row>
    <row r="360" spans="1:17" x14ac:dyDescent="0.25">
      <c r="A360">
        <f t="shared" si="371"/>
        <v>1982.8333333333301</v>
      </c>
      <c r="B360">
        <f t="shared" si="372"/>
        <v>-224</v>
      </c>
      <c r="C360">
        <f t="shared" si="373"/>
        <v>-273.34441800932302</v>
      </c>
      <c r="D360">
        <f t="shared" si="378"/>
        <v>9</v>
      </c>
      <c r="E360">
        <f t="shared" si="379"/>
        <v>-1.8010639801565276</v>
      </c>
      <c r="F360">
        <f t="shared" si="381"/>
        <v>-4.5</v>
      </c>
      <c r="G360">
        <f t="shared" si="382"/>
        <v>-4.7351742969394612</v>
      </c>
      <c r="H360">
        <f t="shared" ref="H360:I360" si="418">+AVERAGE(F358:F362)</f>
        <v>-12.933333333333332</v>
      </c>
      <c r="I360">
        <f t="shared" si="418"/>
        <v>-10.620125977807463</v>
      </c>
      <c r="J360">
        <f t="shared" si="375"/>
        <v>1982.8333333333301</v>
      </c>
      <c r="K360">
        <f t="shared" si="376"/>
        <v>-224</v>
      </c>
      <c r="L360">
        <f t="shared" si="377"/>
        <v>-273.34441800932302</v>
      </c>
      <c r="M360" s="5">
        <v>1909.8333333333301</v>
      </c>
      <c r="N360" s="5">
        <v>-105</v>
      </c>
      <c r="O360" s="5">
        <v>-293.86016563901302</v>
      </c>
      <c r="Q360">
        <f t="shared" si="384"/>
        <v>0.23517429693946124</v>
      </c>
    </row>
    <row r="361" spans="1:17" x14ac:dyDescent="0.25">
      <c r="A361">
        <f t="shared" si="371"/>
        <v>1982.9166666666599</v>
      </c>
      <c r="B361">
        <f t="shared" si="372"/>
        <v>-242</v>
      </c>
      <c r="C361">
        <f t="shared" si="373"/>
        <v>-285.03426955416199</v>
      </c>
      <c r="D361">
        <f t="shared" si="378"/>
        <v>1</v>
      </c>
      <c r="E361">
        <f t="shared" si="379"/>
        <v>-3.2205405753509808</v>
      </c>
      <c r="F361">
        <f t="shared" si="381"/>
        <v>0</v>
      </c>
      <c r="G361">
        <f t="shared" si="382"/>
        <v>-2.1195117550624065</v>
      </c>
      <c r="H361">
        <f t="shared" ref="H361:I361" si="419">+AVERAGE(F359:F363)</f>
        <v>-9.5666666666666664</v>
      </c>
      <c r="I361">
        <f t="shared" si="419"/>
        <v>-4.9340652903313309</v>
      </c>
      <c r="J361">
        <f t="shared" si="375"/>
        <v>1982.9166666666599</v>
      </c>
      <c r="K361">
        <f t="shared" si="376"/>
        <v>-242</v>
      </c>
      <c r="L361">
        <f t="shared" si="377"/>
        <v>-285.03426955416199</v>
      </c>
      <c r="M361" s="5">
        <v>1909.9166666666599</v>
      </c>
      <c r="N361" s="5">
        <v>-105</v>
      </c>
      <c r="O361" s="5">
        <v>-294.36239990969602</v>
      </c>
      <c r="Q361">
        <f t="shared" si="384"/>
        <v>2.1195117550624065</v>
      </c>
    </row>
    <row r="362" spans="1:17" x14ac:dyDescent="0.25">
      <c r="A362">
        <f t="shared" si="371"/>
        <v>1983</v>
      </c>
      <c r="B362">
        <f t="shared" si="372"/>
        <v>-262</v>
      </c>
      <c r="C362">
        <f t="shared" si="373"/>
        <v>-290.28303994829901</v>
      </c>
      <c r="D362">
        <f t="shared" si="378"/>
        <v>-10</v>
      </c>
      <c r="E362">
        <f t="shared" si="379"/>
        <v>-2.9265645259765165</v>
      </c>
      <c r="F362">
        <f t="shared" si="381"/>
        <v>-4</v>
      </c>
      <c r="G362">
        <f t="shared" si="382"/>
        <v>-1.2849962769369236</v>
      </c>
      <c r="H362">
        <f t="shared" ref="H362:I362" si="420">+AVERAGE(F360:F364)</f>
        <v>-3.1333333333333337</v>
      </c>
      <c r="I362">
        <f t="shared" si="420"/>
        <v>-1.7103342330803719</v>
      </c>
      <c r="J362">
        <f t="shared" si="375"/>
        <v>1983</v>
      </c>
      <c r="K362">
        <f t="shared" si="376"/>
        <v>-262</v>
      </c>
      <c r="L362">
        <f t="shared" si="377"/>
        <v>-290.28303994829901</v>
      </c>
      <c r="M362" s="5">
        <v>1910</v>
      </c>
      <c r="N362" s="5">
        <v>-105</v>
      </c>
      <c r="O362" s="5">
        <v>-296.34483503562501</v>
      </c>
      <c r="Q362">
        <f t="shared" si="384"/>
        <v>2.7150037230630764</v>
      </c>
    </row>
    <row r="363" spans="1:17" x14ac:dyDescent="0.25">
      <c r="A363">
        <f t="shared" si="371"/>
        <v>1983.0833333333301</v>
      </c>
      <c r="B363">
        <f t="shared" si="372"/>
        <v>-262</v>
      </c>
      <c r="C363">
        <f t="shared" si="373"/>
        <v>-289.67868129048298</v>
      </c>
      <c r="D363">
        <f t="shared" si="378"/>
        <v>-3</v>
      </c>
      <c r="E363">
        <f t="shared" si="379"/>
        <v>1.3283690628140334</v>
      </c>
      <c r="F363">
        <f t="shared" si="381"/>
        <v>-6.166666666666667</v>
      </c>
      <c r="G363">
        <f t="shared" si="382"/>
        <v>-0.3600824488451963</v>
      </c>
      <c r="H363">
        <f t="shared" ref="H363:I363" si="421">+AVERAGE(F361:F365)</f>
        <v>-2.7</v>
      </c>
      <c r="I363">
        <f t="shared" si="421"/>
        <v>-0.97662467983949386</v>
      </c>
      <c r="J363">
        <f t="shared" si="375"/>
        <v>1983.0833333333301</v>
      </c>
      <c r="K363">
        <f t="shared" si="376"/>
        <v>-262</v>
      </c>
      <c r="L363">
        <f t="shared" si="377"/>
        <v>-289.67868129048298</v>
      </c>
      <c r="M363" s="5">
        <v>1910.0833333333301</v>
      </c>
      <c r="N363" s="5">
        <v>-105</v>
      </c>
      <c r="O363" s="5">
        <v>-299.519053016979</v>
      </c>
      <c r="Q363">
        <f t="shared" si="384"/>
        <v>5.8065842178214711</v>
      </c>
    </row>
    <row r="364" spans="1:17" x14ac:dyDescent="0.25">
      <c r="A364">
        <f t="shared" si="371"/>
        <v>1983.1666666666599</v>
      </c>
      <c r="B364">
        <f t="shared" si="372"/>
        <v>-256</v>
      </c>
      <c r="C364">
        <f t="shared" si="373"/>
        <v>-291.73106075829497</v>
      </c>
      <c r="D364">
        <f t="shared" si="378"/>
        <v>-5.5</v>
      </c>
      <c r="E364">
        <f t="shared" si="379"/>
        <v>0.24788627999299706</v>
      </c>
      <c r="F364">
        <f t="shared" si="381"/>
        <v>-1</v>
      </c>
      <c r="G364">
        <f t="shared" si="382"/>
        <v>-5.190638761787341E-2</v>
      </c>
      <c r="H364">
        <f t="shared" ref="H364:I364" si="422">+AVERAGE(F362:F366)</f>
        <v>-7.7333333333333343</v>
      </c>
      <c r="I364">
        <f t="shared" si="422"/>
        <v>-1.1001095961106391</v>
      </c>
      <c r="J364">
        <f t="shared" si="375"/>
        <v>1983.1666666666599</v>
      </c>
      <c r="K364">
        <f t="shared" si="376"/>
        <v>-256</v>
      </c>
      <c r="L364">
        <f t="shared" si="377"/>
        <v>-291.73106075829497</v>
      </c>
      <c r="M364" s="5">
        <v>1910.1666666666599</v>
      </c>
      <c r="N364" s="5">
        <v>-105</v>
      </c>
      <c r="O364" s="5">
        <v>-305.52095423357702</v>
      </c>
      <c r="Q364">
        <f t="shared" si="384"/>
        <v>0.94809361238212664</v>
      </c>
    </row>
    <row r="365" spans="1:17" x14ac:dyDescent="0.25">
      <c r="A365">
        <f t="shared" si="371"/>
        <v>1983.25</v>
      </c>
      <c r="B365">
        <f t="shared" si="372"/>
        <v>-239</v>
      </c>
      <c r="C365">
        <f t="shared" si="373"/>
        <v>-294.27921278609301</v>
      </c>
      <c r="D365">
        <f t="shared" si="378"/>
        <v>5.5</v>
      </c>
      <c r="E365">
        <f t="shared" si="379"/>
        <v>-1.7709042963740558</v>
      </c>
      <c r="F365">
        <f t="shared" si="381"/>
        <v>-2.3333333333333335</v>
      </c>
      <c r="G365">
        <f t="shared" si="382"/>
        <v>-1.0666265307350691</v>
      </c>
      <c r="H365">
        <f t="shared" ref="H365:I365" si="423">+AVERAGE(F363:F367)</f>
        <v>-9.8000000000000007</v>
      </c>
      <c r="I365">
        <f t="shared" si="423"/>
        <v>-1.5995529739348786</v>
      </c>
      <c r="J365">
        <f t="shared" si="375"/>
        <v>1983.25</v>
      </c>
      <c r="K365">
        <f t="shared" si="376"/>
        <v>-239</v>
      </c>
      <c r="L365">
        <f t="shared" si="377"/>
        <v>-294.27921278609301</v>
      </c>
      <c r="M365" s="5">
        <v>1910.25</v>
      </c>
      <c r="N365" s="5">
        <v>-105</v>
      </c>
      <c r="O365" s="5">
        <v>-306.46042540270503</v>
      </c>
      <c r="Q365">
        <f t="shared" si="384"/>
        <v>1.2667068025982644</v>
      </c>
    </row>
    <row r="366" spans="1:17" x14ac:dyDescent="0.25">
      <c r="A366">
        <f t="shared" si="371"/>
        <v>1983.3333333333301</v>
      </c>
      <c r="B366">
        <f t="shared" si="372"/>
        <v>-233</v>
      </c>
      <c r="C366">
        <f t="shared" si="373"/>
        <v>-293.285556221143</v>
      </c>
      <c r="D366">
        <f t="shared" si="378"/>
        <v>-7</v>
      </c>
      <c r="E366">
        <f t="shared" si="379"/>
        <v>-2.4768314738754498</v>
      </c>
      <c r="F366">
        <f t="shared" si="381"/>
        <v>-25.166666666666668</v>
      </c>
      <c r="G366">
        <f t="shared" si="382"/>
        <v>-2.7369363364181329</v>
      </c>
      <c r="H366">
        <f t="shared" ref="H366:I366" si="424">+AVERAGE(F364:F368)</f>
        <v>-8.7333333333333343</v>
      </c>
      <c r="I366">
        <f t="shared" si="424"/>
        <v>-2.1415217185134665</v>
      </c>
      <c r="J366">
        <f t="shared" si="375"/>
        <v>1983.3333333333301</v>
      </c>
      <c r="K366">
        <f t="shared" si="376"/>
        <v>-233</v>
      </c>
      <c r="L366">
        <f t="shared" si="377"/>
        <v>-293.285556221143</v>
      </c>
      <c r="M366" s="5">
        <v>1910.3333333333301</v>
      </c>
      <c r="N366" s="5">
        <v>-105</v>
      </c>
      <c r="O366" s="5">
        <v>-296.06883911626301</v>
      </c>
      <c r="Q366">
        <f t="shared" si="384"/>
        <v>22.429730330248535</v>
      </c>
    </row>
    <row r="367" spans="1:17" x14ac:dyDescent="0.25">
      <c r="A367">
        <f t="shared" si="371"/>
        <v>1983.4166666666599</v>
      </c>
      <c r="B367">
        <f t="shared" si="372"/>
        <v>-213</v>
      </c>
      <c r="C367">
        <f t="shared" si="373"/>
        <v>-287.33823670844203</v>
      </c>
      <c r="D367">
        <f t="shared" si="378"/>
        <v>-74</v>
      </c>
      <c r="E367">
        <f t="shared" si="379"/>
        <v>-6.0157754913184931</v>
      </c>
      <c r="F367">
        <f t="shared" si="381"/>
        <v>-14.333333333333334</v>
      </c>
      <c r="G367">
        <f t="shared" si="382"/>
        <v>-3.7822131660581215</v>
      </c>
      <c r="H367">
        <f t="shared" ref="H367:I367" si="425">+AVERAGE(F365:F369)</f>
        <v>-3.6666666666666679</v>
      </c>
      <c r="I367">
        <f t="shared" si="425"/>
        <v>-3.1868910016023468</v>
      </c>
      <c r="J367">
        <f t="shared" si="375"/>
        <v>1983.4166666666599</v>
      </c>
      <c r="K367">
        <f t="shared" si="376"/>
        <v>-213</v>
      </c>
      <c r="L367">
        <f t="shared" si="377"/>
        <v>-287.33823670844203</v>
      </c>
      <c r="M367" s="5">
        <v>1910.4166666666599</v>
      </c>
      <c r="N367" s="5">
        <v>-105</v>
      </c>
      <c r="O367" s="5">
        <v>-264.65650199560099</v>
      </c>
      <c r="Q367">
        <f t="shared" si="384"/>
        <v>10.551120167275212</v>
      </c>
    </row>
    <row r="368" spans="1:17" x14ac:dyDescent="0.25">
      <c r="A368">
        <f t="shared" si="371"/>
        <v>1983.5</v>
      </c>
      <c r="B368">
        <f t="shared" si="372"/>
        <v>-45</v>
      </c>
      <c r="C368">
        <f t="shared" si="373"/>
        <v>-269.35936621310401</v>
      </c>
      <c r="D368">
        <f t="shared" si="378"/>
        <v>38</v>
      </c>
      <c r="E368">
        <f t="shared" si="379"/>
        <v>-5.6906924075240113</v>
      </c>
      <c r="F368">
        <f t="shared" si="381"/>
        <v>-0.83333333333333337</v>
      </c>
      <c r="G368">
        <f t="shared" si="382"/>
        <v>-3.0699261717381359</v>
      </c>
      <c r="H368">
        <f t="shared" ref="H368:I368" si="426">+AVERAGE(F366:F370)</f>
        <v>-0.2666666666666675</v>
      </c>
      <c r="I368">
        <f t="shared" si="426"/>
        <v>-6.650424437514566</v>
      </c>
      <c r="J368">
        <f t="shared" si="375"/>
        <v>1983.5</v>
      </c>
      <c r="K368">
        <f t="shared" si="376"/>
        <v>-45</v>
      </c>
      <c r="L368">
        <f t="shared" si="377"/>
        <v>-269.35936621310401</v>
      </c>
      <c r="M368" s="5">
        <v>1910.5</v>
      </c>
      <c r="N368" s="5">
        <v>-105</v>
      </c>
      <c r="O368" s="5">
        <v>-158.04962724621001</v>
      </c>
      <c r="Q368">
        <f t="shared" si="384"/>
        <v>2.2365928384048024</v>
      </c>
    </row>
    <row r="369" spans="1:17" x14ac:dyDescent="0.25">
      <c r="A369">
        <f t="shared" si="371"/>
        <v>1983.5833333333301</v>
      </c>
      <c r="B369">
        <f t="shared" si="372"/>
        <v>47</v>
      </c>
      <c r="C369">
        <f t="shared" si="373"/>
        <v>-239.999110902718</v>
      </c>
      <c r="D369">
        <f t="shared" si="378"/>
        <v>33.5</v>
      </c>
      <c r="E369">
        <f t="shared" si="379"/>
        <v>0.19424475482449566</v>
      </c>
      <c r="F369">
        <f t="shared" si="381"/>
        <v>24.333333333333332</v>
      </c>
      <c r="G369">
        <f t="shared" si="382"/>
        <v>-5.2787528030622752</v>
      </c>
      <c r="H369">
        <f t="shared" ref="H369:I369" si="427">+AVERAGE(F367:F371)</f>
        <v>3.9666666666666659</v>
      </c>
      <c r="I369">
        <f t="shared" si="427"/>
        <v>-8.7988839184896541</v>
      </c>
      <c r="J369">
        <f t="shared" si="375"/>
        <v>1983.5833333333301</v>
      </c>
      <c r="K369">
        <f t="shared" si="376"/>
        <v>47</v>
      </c>
      <c r="L369">
        <f t="shared" si="377"/>
        <v>-239.999110902718</v>
      </c>
      <c r="M369" s="5">
        <v>1910.5833333333301</v>
      </c>
      <c r="N369" s="5">
        <v>-105</v>
      </c>
      <c r="O369" s="5">
        <v>136.04375328769899</v>
      </c>
      <c r="Q369">
        <f t="shared" si="384"/>
        <v>29.612086136395607</v>
      </c>
    </row>
    <row r="370" spans="1:17" x14ac:dyDescent="0.25">
      <c r="A370">
        <f t="shared" si="371"/>
        <v>1983.6666666666599</v>
      </c>
      <c r="B370">
        <f t="shared" si="372"/>
        <v>72</v>
      </c>
      <c r="C370">
        <f t="shared" si="373"/>
        <v>-211.02734510198101</v>
      </c>
      <c r="D370">
        <f t="shared" si="378"/>
        <v>1.5</v>
      </c>
      <c r="E370">
        <f t="shared" si="379"/>
        <v>-14.298875358784016</v>
      </c>
      <c r="F370">
        <f t="shared" si="381"/>
        <v>14.666666666666666</v>
      </c>
      <c r="G370">
        <f t="shared" si="382"/>
        <v>-18.384293710296163</v>
      </c>
      <c r="H370">
        <f t="shared" ref="H370:I370" si="428">+AVERAGE(F368:F372)</f>
        <v>7.4666666666666659</v>
      </c>
      <c r="I370">
        <f t="shared" si="428"/>
        <v>-7.8249241615060567</v>
      </c>
      <c r="J370">
        <f t="shared" si="375"/>
        <v>1983.6666666666599</v>
      </c>
      <c r="K370">
        <f t="shared" si="376"/>
        <v>72</v>
      </c>
      <c r="L370">
        <f t="shared" si="377"/>
        <v>-211.02734510198101</v>
      </c>
      <c r="M370" s="5">
        <v>1910.6666666666599</v>
      </c>
      <c r="N370" s="5">
        <v>-105</v>
      </c>
      <c r="O370" s="5">
        <v>206.66717060870499</v>
      </c>
      <c r="Q370">
        <f t="shared" si="384"/>
        <v>33.050960376962827</v>
      </c>
    </row>
    <row r="371" spans="1:17" x14ac:dyDescent="0.25">
      <c r="A371">
        <f t="shared" si="371"/>
        <v>1983.75</v>
      </c>
      <c r="B371">
        <f t="shared" si="372"/>
        <v>94</v>
      </c>
      <c r="C371">
        <f t="shared" si="373"/>
        <v>-153.45782858367599</v>
      </c>
      <c r="D371">
        <f t="shared" si="378"/>
        <v>9</v>
      </c>
      <c r="E371">
        <f t="shared" si="379"/>
        <v>-54.83647080965109</v>
      </c>
      <c r="F371">
        <f t="shared" si="381"/>
        <v>-4</v>
      </c>
      <c r="G371">
        <f t="shared" si="382"/>
        <v>-13.479233741293578</v>
      </c>
      <c r="H371">
        <f t="shared" ref="H371:I371" si="429">+AVERAGE(F369:F373)</f>
        <v>7.1</v>
      </c>
      <c r="I371">
        <f t="shared" si="429"/>
        <v>-3.0368030643909565</v>
      </c>
      <c r="J371">
        <f t="shared" si="375"/>
        <v>1983.75</v>
      </c>
      <c r="K371">
        <f t="shared" si="376"/>
        <v>94</v>
      </c>
      <c r="L371">
        <f t="shared" si="377"/>
        <v>-153.45782858367599</v>
      </c>
      <c r="M371" s="5">
        <v>1910.75</v>
      </c>
      <c r="N371" s="5">
        <v>-105</v>
      </c>
      <c r="O371" s="5">
        <v>238.70350296395401</v>
      </c>
      <c r="Q371">
        <f t="shared" si="384"/>
        <v>9.4792337412935783</v>
      </c>
    </row>
    <row r="372" spans="1:17" x14ac:dyDescent="0.25">
      <c r="A372">
        <f t="shared" si="371"/>
        <v>1983.8333333333301</v>
      </c>
      <c r="B372">
        <f t="shared" si="372"/>
        <v>98</v>
      </c>
      <c r="C372">
        <f t="shared" si="373"/>
        <v>13.7846295539312</v>
      </c>
      <c r="D372">
        <f t="shared" si="378"/>
        <v>-22.5</v>
      </c>
      <c r="E372">
        <f t="shared" si="379"/>
        <v>18.588219638584196</v>
      </c>
      <c r="F372">
        <f t="shared" si="381"/>
        <v>3.1666666666666665</v>
      </c>
      <c r="G372">
        <f t="shared" si="382"/>
        <v>1.0875856188598656</v>
      </c>
      <c r="H372">
        <f t="shared" ref="H372:I372" si="430">+AVERAGE(F370:F374)</f>
        <v>3.6</v>
      </c>
      <c r="I372">
        <f t="shared" si="430"/>
        <v>1.7697776218675727</v>
      </c>
      <c r="J372">
        <f t="shared" si="375"/>
        <v>1983.8333333333301</v>
      </c>
      <c r="K372">
        <f t="shared" si="376"/>
        <v>98</v>
      </c>
      <c r="L372">
        <f t="shared" si="377"/>
        <v>13.7846295539312</v>
      </c>
      <c r="M372" s="5">
        <v>1910.8333333333301</v>
      </c>
      <c r="N372" s="5">
        <v>-105</v>
      </c>
      <c r="O372" s="5">
        <v>256.02116135236503</v>
      </c>
      <c r="Q372">
        <f t="shared" si="384"/>
        <v>2.0790810478068007</v>
      </c>
    </row>
    <row r="373" spans="1:17" x14ac:dyDescent="0.25">
      <c r="A373">
        <f t="shared" si="371"/>
        <v>1983.9166666666599</v>
      </c>
      <c r="B373">
        <f t="shared" si="372"/>
        <v>147</v>
      </c>
      <c r="C373">
        <f t="shared" si="373"/>
        <v>143.85064841437</v>
      </c>
      <c r="D373">
        <f t="shared" si="378"/>
        <v>23</v>
      </c>
      <c r="E373">
        <f t="shared" si="379"/>
        <v>40.326697241791393</v>
      </c>
      <c r="F373">
        <f t="shared" si="381"/>
        <v>-2.6666666666666665</v>
      </c>
      <c r="G373">
        <f t="shared" si="382"/>
        <v>20.870679313837364</v>
      </c>
      <c r="H373">
        <f t="shared" ref="H373:I373" si="431">+AVERAGE(F371:F375)</f>
        <v>0.76666666666666661</v>
      </c>
      <c r="I373">
        <f t="shared" si="431"/>
        <v>6.5788179149764598</v>
      </c>
      <c r="J373">
        <f t="shared" si="375"/>
        <v>1983.9166666666599</v>
      </c>
      <c r="K373">
        <f t="shared" si="376"/>
        <v>147</v>
      </c>
      <c r="L373">
        <f t="shared" si="377"/>
        <v>143.85064841437</v>
      </c>
      <c r="M373" s="5">
        <v>1910.9166666666599</v>
      </c>
      <c r="N373" s="5">
        <v>-105</v>
      </c>
      <c r="O373" s="5">
        <v>259.671336361898</v>
      </c>
      <c r="Q373">
        <f t="shared" si="384"/>
        <v>23.537345980504032</v>
      </c>
    </row>
    <row r="374" spans="1:17" x14ac:dyDescent="0.25">
      <c r="A374">
        <f t="shared" si="371"/>
        <v>1984</v>
      </c>
      <c r="B374">
        <f t="shared" si="372"/>
        <v>150</v>
      </c>
      <c r="C374">
        <f t="shared" si="373"/>
        <v>193.263272791226</v>
      </c>
      <c r="D374">
        <f t="shared" si="378"/>
        <v>-8.5</v>
      </c>
      <c r="E374">
        <f t="shared" si="379"/>
        <v>19.350130546514521</v>
      </c>
      <c r="F374">
        <f t="shared" si="381"/>
        <v>6.833333333333333</v>
      </c>
      <c r="G374">
        <f t="shared" si="382"/>
        <v>18.754150628230374</v>
      </c>
      <c r="H374">
        <f t="shared" ref="H374:I374" si="432">+AVERAGE(F372:F376)</f>
        <v>2.0666666666666664</v>
      </c>
      <c r="I374">
        <f t="shared" si="432"/>
        <v>8.9465926940715477</v>
      </c>
      <c r="J374">
        <f t="shared" si="375"/>
        <v>1984</v>
      </c>
      <c r="K374">
        <f t="shared" si="376"/>
        <v>150</v>
      </c>
      <c r="L374">
        <f t="shared" si="377"/>
        <v>193.263272791226</v>
      </c>
      <c r="M374" s="5">
        <v>1911</v>
      </c>
      <c r="N374" s="5">
        <v>-105</v>
      </c>
      <c r="O374" s="5">
        <v>255.91881096636999</v>
      </c>
      <c r="Q374">
        <f t="shared" si="384"/>
        <v>11.920817294897041</v>
      </c>
    </row>
    <row r="375" spans="1:17" x14ac:dyDescent="0.25">
      <c r="A375">
        <f t="shared" si="371"/>
        <v>1984.0833333333301</v>
      </c>
      <c r="B375">
        <f t="shared" si="372"/>
        <v>170</v>
      </c>
      <c r="C375">
        <f t="shared" si="373"/>
        <v>203.97563607505299</v>
      </c>
      <c r="D375">
        <f t="shared" si="378"/>
        <v>6</v>
      </c>
      <c r="E375">
        <f t="shared" si="379"/>
        <v>10.651237067557986</v>
      </c>
      <c r="F375">
        <f t="shared" si="381"/>
        <v>0.5</v>
      </c>
      <c r="G375">
        <f t="shared" si="382"/>
        <v>5.6609077552482709</v>
      </c>
      <c r="H375">
        <f t="shared" ref="H375:I375" si="433">+AVERAGE(F373:F377)</f>
        <v>0.59999999999999987</v>
      </c>
      <c r="I375">
        <f t="shared" si="433"/>
        <v>7.9199170126998952</v>
      </c>
      <c r="J375">
        <f t="shared" si="375"/>
        <v>1984.0833333333301</v>
      </c>
      <c r="K375">
        <f t="shared" si="376"/>
        <v>170</v>
      </c>
      <c r="L375">
        <f t="shared" si="377"/>
        <v>203.97563607505299</v>
      </c>
      <c r="M375" s="5">
        <v>1911.0833333333301</v>
      </c>
      <c r="N375" s="5">
        <v>-105</v>
      </c>
      <c r="O375" s="5">
        <v>244.847663310097</v>
      </c>
      <c r="Q375">
        <f t="shared" si="384"/>
        <v>5.1609077552482709</v>
      </c>
    </row>
    <row r="376" spans="1:17" x14ac:dyDescent="0.25">
      <c r="A376">
        <f t="shared" si="371"/>
        <v>1984.1666666666599</v>
      </c>
      <c r="B376">
        <f t="shared" si="372"/>
        <v>178</v>
      </c>
      <c r="C376">
        <f t="shared" si="373"/>
        <v>193.38552522376401</v>
      </c>
      <c r="D376">
        <f t="shared" si="378"/>
        <v>4</v>
      </c>
      <c r="E376">
        <f t="shared" si="379"/>
        <v>-8.7729635318914916</v>
      </c>
      <c r="F376">
        <f t="shared" si="381"/>
        <v>2.5</v>
      </c>
      <c r="G376">
        <f t="shared" si="382"/>
        <v>-1.6403598458181325</v>
      </c>
      <c r="H376">
        <f t="shared" ref="H376:I376" si="434">+AVERAGE(F374:F378)</f>
        <v>0.29999999999999966</v>
      </c>
      <c r="I376">
        <f t="shared" si="434"/>
        <v>3.6053206390440735</v>
      </c>
      <c r="J376">
        <f t="shared" si="375"/>
        <v>1984.1666666666599</v>
      </c>
      <c r="K376">
        <f t="shared" si="376"/>
        <v>178</v>
      </c>
      <c r="L376">
        <f t="shared" si="377"/>
        <v>193.38552522376401</v>
      </c>
      <c r="M376" s="5">
        <v>1911.1666666666599</v>
      </c>
      <c r="N376" s="5">
        <v>-105</v>
      </c>
      <c r="O376" s="5">
        <v>234.76547442366399</v>
      </c>
      <c r="Q376">
        <f t="shared" si="384"/>
        <v>4.1403598458181321</v>
      </c>
    </row>
    <row r="377" spans="1:17" x14ac:dyDescent="0.25">
      <c r="A377">
        <f t="shared" si="371"/>
        <v>1984.25</v>
      </c>
      <c r="B377">
        <f t="shared" si="372"/>
        <v>178</v>
      </c>
      <c r="C377">
        <f t="shared" si="373"/>
        <v>200.34134143625801</v>
      </c>
      <c r="D377">
        <f t="shared" si="378"/>
        <v>-2.5</v>
      </c>
      <c r="E377">
        <f t="shared" si="379"/>
        <v>-8.0296229574844915</v>
      </c>
      <c r="F377">
        <f t="shared" si="381"/>
        <v>-4.166666666666667</v>
      </c>
      <c r="G377">
        <f t="shared" si="382"/>
        <v>-4.045792787998403</v>
      </c>
      <c r="H377">
        <f t="shared" ref="H377:I377" si="435">+AVERAGE(F375:F379)</f>
        <v>-0.90000000000000013</v>
      </c>
      <c r="I377">
        <f t="shared" si="435"/>
        <v>0.49964241951157123</v>
      </c>
      <c r="J377">
        <f t="shared" si="375"/>
        <v>1984.25</v>
      </c>
      <c r="K377">
        <f t="shared" si="376"/>
        <v>178</v>
      </c>
      <c r="L377">
        <f t="shared" si="377"/>
        <v>200.34134143625801</v>
      </c>
      <c r="M377" s="5">
        <v>1911.25</v>
      </c>
      <c r="N377" s="5">
        <v>-105</v>
      </c>
      <c r="O377" s="5">
        <v>244.375974296843</v>
      </c>
      <c r="Q377">
        <f t="shared" si="384"/>
        <v>0.12087387866826393</v>
      </c>
    </row>
    <row r="378" spans="1:17" x14ac:dyDescent="0.25">
      <c r="A378">
        <f t="shared" si="371"/>
        <v>1984.3333333333301</v>
      </c>
      <c r="B378">
        <f t="shared" si="372"/>
        <v>183</v>
      </c>
      <c r="C378">
        <f t="shared" si="373"/>
        <v>223.35640356372099</v>
      </c>
      <c r="D378">
        <f t="shared" si="378"/>
        <v>-14</v>
      </c>
      <c r="E378">
        <f t="shared" si="379"/>
        <v>1.6308635343819731</v>
      </c>
      <c r="F378">
        <f t="shared" si="381"/>
        <v>-4.166666666666667</v>
      </c>
      <c r="G378">
        <f t="shared" si="382"/>
        <v>-0.70230255444174272</v>
      </c>
      <c r="H378">
        <f t="shared" ref="H378:I378" si="436">+AVERAGE(F376:F380)</f>
        <v>0.29999999999999982</v>
      </c>
      <c r="I378">
        <f t="shared" si="436"/>
        <v>0.16810740975938349</v>
      </c>
      <c r="J378">
        <f t="shared" si="375"/>
        <v>1984.3333333333301</v>
      </c>
      <c r="K378">
        <f t="shared" si="376"/>
        <v>183</v>
      </c>
      <c r="L378">
        <f t="shared" si="377"/>
        <v>223.35640356372099</v>
      </c>
      <c r="M378" s="5">
        <v>1911.3333333333301</v>
      </c>
      <c r="N378" s="5">
        <v>-105</v>
      </c>
      <c r="O378" s="5">
        <v>257.85226060320502</v>
      </c>
      <c r="Q378">
        <f t="shared" si="384"/>
        <v>3.4643641122249242</v>
      </c>
    </row>
    <row r="379" spans="1:17" x14ac:dyDescent="0.25">
      <c r="A379">
        <f t="shared" si="371"/>
        <v>1984.4166666666599</v>
      </c>
      <c r="B379">
        <f t="shared" si="372"/>
        <v>216</v>
      </c>
      <c r="C379">
        <f t="shared" si="373"/>
        <v>243.10973862242</v>
      </c>
      <c r="D379">
        <f t="shared" si="378"/>
        <v>4</v>
      </c>
      <c r="E379">
        <f t="shared" si="379"/>
        <v>3.7651248439459835</v>
      </c>
      <c r="F379">
        <f t="shared" si="381"/>
        <v>0.83333333333333337</v>
      </c>
      <c r="G379">
        <f t="shared" si="382"/>
        <v>3.225759530567863</v>
      </c>
      <c r="H379">
        <f t="shared" ref="H379:I379" si="437">+AVERAGE(F377:F381)</f>
        <v>0.79999999999999982</v>
      </c>
      <c r="I379">
        <f t="shared" si="437"/>
        <v>1.0851039293260782</v>
      </c>
      <c r="J379">
        <f t="shared" si="375"/>
        <v>1984.4166666666599</v>
      </c>
      <c r="K379">
        <f t="shared" si="376"/>
        <v>216</v>
      </c>
      <c r="L379">
        <f t="shared" si="377"/>
        <v>243.10973862242</v>
      </c>
      <c r="M379" s="5">
        <v>1911.4166666666599</v>
      </c>
      <c r="N379" s="5">
        <v>-105</v>
      </c>
      <c r="O379" s="5">
        <v>262.575478884723</v>
      </c>
      <c r="Q379">
        <f t="shared" si="384"/>
        <v>2.3924261972345295</v>
      </c>
    </row>
    <row r="380" spans="1:17" x14ac:dyDescent="0.25">
      <c r="A380">
        <f t="shared" si="371"/>
        <v>1984.5</v>
      </c>
      <c r="B380">
        <f t="shared" si="372"/>
        <v>241</v>
      </c>
      <c r="C380">
        <f t="shared" si="373"/>
        <v>255.33282399322701</v>
      </c>
      <c r="D380">
        <f t="shared" si="378"/>
        <v>12.5</v>
      </c>
      <c r="E380">
        <f t="shared" si="379"/>
        <v>6.7006098613015297</v>
      </c>
      <c r="F380">
        <f t="shared" si="381"/>
        <v>6.5</v>
      </c>
      <c r="G380">
        <f t="shared" si="382"/>
        <v>4.0032327064873323</v>
      </c>
      <c r="H380">
        <f t="shared" ref="H380:I380" si="438">+AVERAGE(F378:F382)</f>
        <v>3.4333333333333327</v>
      </c>
      <c r="I380">
        <f t="shared" si="438"/>
        <v>2.5489925508206657</v>
      </c>
      <c r="J380">
        <f t="shared" si="375"/>
        <v>1984.5</v>
      </c>
      <c r="K380">
        <f t="shared" si="376"/>
        <v>241</v>
      </c>
      <c r="L380">
        <f t="shared" si="377"/>
        <v>255.33282399322701</v>
      </c>
      <c r="M380" s="5">
        <v>1911.5</v>
      </c>
      <c r="N380" s="5">
        <v>-105</v>
      </c>
      <c r="O380" s="5">
        <v>256.758327680653</v>
      </c>
      <c r="Q380">
        <f t="shared" si="384"/>
        <v>2.4967672935126677</v>
      </c>
    </row>
    <row r="381" spans="1:17" x14ac:dyDescent="0.25">
      <c r="A381">
        <f t="shared" si="371"/>
        <v>1984.5833333333301</v>
      </c>
      <c r="B381">
        <f t="shared" si="372"/>
        <v>241</v>
      </c>
      <c r="C381">
        <f t="shared" si="373"/>
        <v>254.15468964143099</v>
      </c>
      <c r="D381">
        <f t="shared" si="378"/>
        <v>3</v>
      </c>
      <c r="E381">
        <f t="shared" si="379"/>
        <v>4.5463879440799815</v>
      </c>
      <c r="F381">
        <f t="shared" si="381"/>
        <v>5</v>
      </c>
      <c r="G381">
        <f t="shared" si="382"/>
        <v>2.9446227520153418</v>
      </c>
      <c r="H381">
        <f t="shared" ref="H381:I381" si="439">+AVERAGE(F379:F383)</f>
        <v>12.7</v>
      </c>
      <c r="I381">
        <f t="shared" si="439"/>
        <v>4.6951601090058954</v>
      </c>
      <c r="J381">
        <f t="shared" si="375"/>
        <v>1984.5833333333301</v>
      </c>
      <c r="K381">
        <f t="shared" si="376"/>
        <v>241</v>
      </c>
      <c r="L381">
        <f t="shared" si="377"/>
        <v>254.15468964143099</v>
      </c>
      <c r="M381" s="5">
        <v>1911.5833333333301</v>
      </c>
      <c r="N381" s="5">
        <v>-105</v>
      </c>
      <c r="O381" s="5">
        <v>227.04032037128201</v>
      </c>
      <c r="Q381">
        <f t="shared" si="384"/>
        <v>2.0553772479846582</v>
      </c>
    </row>
    <row r="382" spans="1:17" x14ac:dyDescent="0.25">
      <c r="A382">
        <f t="shared" si="371"/>
        <v>1984.6666666666599</v>
      </c>
      <c r="B382">
        <f t="shared" si="372"/>
        <v>235</v>
      </c>
      <c r="C382">
        <f t="shared" si="373"/>
        <v>243.88377940147501</v>
      </c>
      <c r="D382">
        <f t="shared" si="378"/>
        <v>-0.5</v>
      </c>
      <c r="E382">
        <f t="shared" si="379"/>
        <v>-0.20466248532397913</v>
      </c>
      <c r="F382">
        <f t="shared" si="381"/>
        <v>9</v>
      </c>
      <c r="G382">
        <f t="shared" si="382"/>
        <v>3.2736503194745334</v>
      </c>
      <c r="H382">
        <f t="shared" ref="H382:I382" si="440">+AVERAGE(F380:F384)</f>
        <v>15.266666666666666</v>
      </c>
      <c r="I382">
        <f t="shared" si="440"/>
        <v>9.7866419968025387</v>
      </c>
      <c r="J382">
        <f t="shared" si="375"/>
        <v>1984.6666666666599</v>
      </c>
      <c r="K382">
        <f t="shared" si="376"/>
        <v>235</v>
      </c>
      <c r="L382">
        <f t="shared" si="377"/>
        <v>243.88377940147501</v>
      </c>
      <c r="M382" s="5">
        <v>1911.6666666666599</v>
      </c>
      <c r="N382" s="5">
        <v>-105</v>
      </c>
      <c r="O382" s="5">
        <v>140.82913228355</v>
      </c>
      <c r="Q382">
        <f t="shared" si="384"/>
        <v>5.7263496805254661</v>
      </c>
    </row>
    <row r="383" spans="1:17" x14ac:dyDescent="0.25">
      <c r="A383">
        <f t="shared" si="371"/>
        <v>1984.75</v>
      </c>
      <c r="B383">
        <f t="shared" si="372"/>
        <v>230</v>
      </c>
      <c r="C383">
        <f t="shared" si="373"/>
        <v>234.02219413216699</v>
      </c>
      <c r="D383">
        <f t="shared" si="378"/>
        <v>24.5</v>
      </c>
      <c r="E383">
        <f t="shared" si="379"/>
        <v>7.9344632392734979</v>
      </c>
      <c r="F383">
        <f t="shared" si="381"/>
        <v>42.166666666666664</v>
      </c>
      <c r="G383">
        <f t="shared" si="382"/>
        <v>10.028535236484407</v>
      </c>
      <c r="H383">
        <f t="shared" ref="H383:I383" si="441">+AVERAGE(F381:F385)</f>
        <v>12.9</v>
      </c>
      <c r="I383">
        <f t="shared" si="441"/>
        <v>10.981143092569019</v>
      </c>
      <c r="J383">
        <f t="shared" si="375"/>
        <v>1984.75</v>
      </c>
      <c r="K383">
        <f t="shared" si="376"/>
        <v>230</v>
      </c>
      <c r="L383">
        <f t="shared" si="377"/>
        <v>234.02219413216699</v>
      </c>
      <c r="M383" s="5">
        <v>1911.75</v>
      </c>
      <c r="N383" s="5">
        <v>-105</v>
      </c>
      <c r="O383" s="5">
        <v>-68.614629391393905</v>
      </c>
      <c r="Q383">
        <f t="shared" si="384"/>
        <v>32.138131430182256</v>
      </c>
    </row>
    <row r="384" spans="1:17" x14ac:dyDescent="0.25">
      <c r="A384">
        <f t="shared" si="371"/>
        <v>1984.8333333333301</v>
      </c>
      <c r="B384">
        <f t="shared" si="372"/>
        <v>176</v>
      </c>
      <c r="C384">
        <f t="shared" si="373"/>
        <v>208.291682384312</v>
      </c>
      <c r="D384">
        <f t="shared" si="378"/>
        <v>102.5</v>
      </c>
      <c r="E384">
        <f t="shared" si="379"/>
        <v>29.877206382867001</v>
      </c>
      <c r="F384">
        <f t="shared" si="381"/>
        <v>13.666666666666666</v>
      </c>
      <c r="G384">
        <f t="shared" si="382"/>
        <v>28.683168969551073</v>
      </c>
      <c r="H384">
        <f t="shared" ref="H384:I384" si="442">+AVERAGE(F382:F386)</f>
        <v>4.0333333333333314</v>
      </c>
      <c r="I384">
        <f t="shared" si="442"/>
        <v>9.0447278436719749</v>
      </c>
      <c r="J384">
        <f t="shared" si="375"/>
        <v>1984.8333333333301</v>
      </c>
      <c r="K384">
        <f t="shared" si="376"/>
        <v>176</v>
      </c>
      <c r="L384">
        <f t="shared" si="377"/>
        <v>208.291682384312</v>
      </c>
      <c r="M384" s="5">
        <v>1911.8333333333301</v>
      </c>
      <c r="N384" s="5">
        <v>-105</v>
      </c>
      <c r="O384" s="5">
        <v>-190.422959035915</v>
      </c>
      <c r="Q384">
        <f t="shared" si="384"/>
        <v>15.016502302884406</v>
      </c>
    </row>
    <row r="385" spans="1:17" x14ac:dyDescent="0.25">
      <c r="A385">
        <f t="shared" si="371"/>
        <v>1984.9166666666599</v>
      </c>
      <c r="B385">
        <f t="shared" si="372"/>
        <v>-83</v>
      </c>
      <c r="C385">
        <f t="shared" si="373"/>
        <v>122.806757870723</v>
      </c>
      <c r="D385">
        <f t="shared" si="378"/>
        <v>-86</v>
      </c>
      <c r="E385">
        <f t="shared" si="379"/>
        <v>69.750214013676015</v>
      </c>
      <c r="F385">
        <f t="shared" si="381"/>
        <v>-5.333333333333333</v>
      </c>
      <c r="G385">
        <f t="shared" si="382"/>
        <v>9.975738185319738</v>
      </c>
      <c r="H385">
        <f t="shared" ref="H385:I385" si="443">+AVERAGE(F383:F387)</f>
        <v>0.23333333333333145</v>
      </c>
      <c r="I385">
        <f t="shared" si="443"/>
        <v>2.7667356963016561</v>
      </c>
      <c r="J385">
        <f t="shared" si="375"/>
        <v>1984.9166666666599</v>
      </c>
      <c r="K385">
        <f t="shared" si="376"/>
        <v>-83</v>
      </c>
      <c r="L385">
        <f t="shared" si="377"/>
        <v>122.806757870723</v>
      </c>
      <c r="M385" s="5">
        <v>1911.9166666666599</v>
      </c>
      <c r="N385" s="5">
        <v>-105</v>
      </c>
      <c r="O385" s="5">
        <v>-240.66770994093</v>
      </c>
      <c r="Q385">
        <f t="shared" si="384"/>
        <v>15.30907151865307</v>
      </c>
    </row>
    <row r="386" spans="1:17" x14ac:dyDescent="0.25">
      <c r="A386">
        <f t="shared" si="371"/>
        <v>1985</v>
      </c>
      <c r="B386">
        <f t="shared" si="372"/>
        <v>-170</v>
      </c>
      <c r="C386">
        <f t="shared" si="373"/>
        <v>-102.178594670218</v>
      </c>
      <c r="D386">
        <f t="shared" si="378"/>
        <v>-32.5</v>
      </c>
      <c r="E386">
        <f t="shared" si="379"/>
        <v>-62.218402201594003</v>
      </c>
      <c r="F386">
        <f t="shared" si="381"/>
        <v>-39.333333333333336</v>
      </c>
      <c r="G386">
        <f t="shared" si="382"/>
        <v>-6.7374534924698652</v>
      </c>
      <c r="H386">
        <f t="shared" ref="H386:I386" si="444">+AVERAGE(F384:F388)</f>
        <v>-8.8666666666666671</v>
      </c>
      <c r="I386">
        <f t="shared" si="444"/>
        <v>-1.5288271012371719</v>
      </c>
      <c r="J386">
        <f t="shared" si="375"/>
        <v>1985</v>
      </c>
      <c r="K386">
        <f t="shared" si="376"/>
        <v>-170</v>
      </c>
      <c r="L386">
        <f t="shared" si="377"/>
        <v>-102.178594670218</v>
      </c>
      <c r="M386" s="5">
        <v>1912</v>
      </c>
      <c r="N386" s="5">
        <v>-105</v>
      </c>
      <c r="O386" s="5">
        <v>-261.07759655752898</v>
      </c>
      <c r="Q386">
        <f t="shared" si="384"/>
        <v>32.595879840863468</v>
      </c>
    </row>
    <row r="387" spans="1:17" x14ac:dyDescent="0.25">
      <c r="A387">
        <f t="shared" si="371"/>
        <v>1985.0833333333301</v>
      </c>
      <c r="B387">
        <f t="shared" si="372"/>
        <v>-192</v>
      </c>
      <c r="C387">
        <f t="shared" si="373"/>
        <v>-202.72714280797101</v>
      </c>
      <c r="D387">
        <f t="shared" si="378"/>
        <v>0.5</v>
      </c>
      <c r="E387">
        <f t="shared" si="379"/>
        <v>-32.797262408844006</v>
      </c>
      <c r="F387">
        <f t="shared" si="381"/>
        <v>-10</v>
      </c>
      <c r="G387">
        <f t="shared" si="382"/>
        <v>-28.116310417377072</v>
      </c>
      <c r="H387">
        <f t="shared" ref="H387:I387" si="445">+AVERAGE(F385:F389)</f>
        <v>-12.433333333333334</v>
      </c>
      <c r="I387">
        <f t="shared" si="445"/>
        <v>-7.9855015981590141</v>
      </c>
      <c r="J387">
        <f t="shared" si="375"/>
        <v>1985.0833333333301</v>
      </c>
      <c r="K387">
        <f t="shared" si="376"/>
        <v>-192</v>
      </c>
      <c r="L387">
        <f t="shared" si="377"/>
        <v>-202.72714280797101</v>
      </c>
      <c r="M387" s="5">
        <v>1912.0833333333301</v>
      </c>
      <c r="N387" s="5">
        <v>-105</v>
      </c>
      <c r="O387" s="5">
        <v>-275.28917671281101</v>
      </c>
      <c r="Q387">
        <f t="shared" si="384"/>
        <v>18.116310417377072</v>
      </c>
    </row>
    <row r="388" spans="1:17" x14ac:dyDescent="0.25">
      <c r="A388">
        <f t="shared" ref="A388:A451" si="446">+J388</f>
        <v>1985.1666666666599</v>
      </c>
      <c r="B388">
        <f t="shared" ref="B388:B451" si="447">+K388</f>
        <v>-215</v>
      </c>
      <c r="C388">
        <f t="shared" ref="C388:C451" si="448">+L388</f>
        <v>-237.68116612803601</v>
      </c>
      <c r="D388">
        <f t="shared" si="378"/>
        <v>2</v>
      </c>
      <c r="E388">
        <f t="shared" si="379"/>
        <v>-10.420499454726013</v>
      </c>
      <c r="F388">
        <f t="shared" si="381"/>
        <v>-3.3333333333333335</v>
      </c>
      <c r="G388">
        <f t="shared" si="382"/>
        <v>-11.449278751209734</v>
      </c>
      <c r="H388">
        <f t="shared" ref="H388:I388" si="449">+AVERAGE(F386:F390)</f>
        <v>-13</v>
      </c>
      <c r="I388">
        <f t="shared" si="449"/>
        <v>-10.423113486932587</v>
      </c>
      <c r="J388">
        <f t="shared" ref="J388:J451" si="450">+$M1264</f>
        <v>1985.1666666666599</v>
      </c>
      <c r="K388">
        <f t="shared" ref="K388:K451" si="451">+$N1264</f>
        <v>-215</v>
      </c>
      <c r="L388">
        <f t="shared" ref="L388:L451" si="452">+$O1264</f>
        <v>-237.68116612803601</v>
      </c>
      <c r="M388" s="5">
        <v>1912.1666666666599</v>
      </c>
      <c r="N388" s="5">
        <v>-105</v>
      </c>
      <c r="O388" s="5">
        <v>-286.41957165256298</v>
      </c>
      <c r="Q388">
        <f t="shared" si="384"/>
        <v>8.1159454178764001</v>
      </c>
    </row>
    <row r="389" spans="1:17" x14ac:dyDescent="0.25">
      <c r="A389">
        <f t="shared" si="446"/>
        <v>1985.25</v>
      </c>
      <c r="B389">
        <f t="shared" si="447"/>
        <v>-242</v>
      </c>
      <c r="C389">
        <f t="shared" si="448"/>
        <v>-251.79419053864899</v>
      </c>
      <c r="D389">
        <f t="shared" ref="D389:D452" si="453">+B389-1/2*(B388+B390)</f>
        <v>-12.5</v>
      </c>
      <c r="E389">
        <f t="shared" ref="E389:E452" si="454">+C389-1/2*(C388+C390)</f>
        <v>0.28296654653351538</v>
      </c>
      <c r="F389">
        <f t="shared" si="381"/>
        <v>-4.166666666666667</v>
      </c>
      <c r="G389">
        <f t="shared" si="382"/>
        <v>-3.600203515058138</v>
      </c>
      <c r="H389">
        <f t="shared" ref="H389:I389" si="455">+AVERAGE(F387:F391)</f>
        <v>-5.6999999999999993</v>
      </c>
      <c r="I389">
        <f t="shared" si="455"/>
        <v>-9.5807707736426373</v>
      </c>
      <c r="J389">
        <f t="shared" si="450"/>
        <v>1985.25</v>
      </c>
      <c r="K389">
        <f t="shared" si="451"/>
        <v>-242</v>
      </c>
      <c r="L389">
        <f t="shared" si="452"/>
        <v>-251.79419053864899</v>
      </c>
      <c r="M389" s="5">
        <v>1912.25</v>
      </c>
      <c r="N389" s="5">
        <v>-105</v>
      </c>
      <c r="O389" s="5">
        <v>-294.62992461160002</v>
      </c>
      <c r="Q389">
        <f t="shared" si="384"/>
        <v>0.566463151608529</v>
      </c>
    </row>
    <row r="390" spans="1:17" x14ac:dyDescent="0.25">
      <c r="A390">
        <f t="shared" si="446"/>
        <v>1985.3333333333301</v>
      </c>
      <c r="B390">
        <f t="shared" si="447"/>
        <v>-244</v>
      </c>
      <c r="C390">
        <f t="shared" si="448"/>
        <v>-266.473148042329</v>
      </c>
      <c r="D390">
        <f t="shared" si="453"/>
        <v>-2</v>
      </c>
      <c r="E390">
        <f t="shared" si="454"/>
        <v>-3.3632302732755193</v>
      </c>
      <c r="F390">
        <f t="shared" ref="F390:F453" si="456">+AVERAGE(D389:D391)</f>
        <v>-8.1666666666666661</v>
      </c>
      <c r="G390">
        <f t="shared" ref="G390:G453" si="457">+$H$1*AVERAGE(E389:E391)+$F$1</f>
        <v>-2.2123212585481196</v>
      </c>
      <c r="H390">
        <f t="shared" ref="H390:I390" si="458">+AVERAGE(F388:F392)</f>
        <v>-3.8666666666666663</v>
      </c>
      <c r="I390">
        <f t="shared" si="458"/>
        <v>-4.3765780755844741</v>
      </c>
      <c r="J390">
        <f t="shared" si="450"/>
        <v>1985.3333333333301</v>
      </c>
      <c r="K390">
        <f t="shared" si="451"/>
        <v>-244</v>
      </c>
      <c r="L390">
        <f t="shared" si="452"/>
        <v>-266.473148042329</v>
      </c>
      <c r="M390" s="5">
        <v>1912.3333333333301</v>
      </c>
      <c r="N390" s="5">
        <v>-105</v>
      </c>
      <c r="O390" s="5">
        <v>-301.35774993229398</v>
      </c>
      <c r="Q390">
        <f t="shared" ref="Q390:Q453" si="459">+ABS(F390-G390)</f>
        <v>5.954345408118547</v>
      </c>
    </row>
    <row r="391" spans="1:17" x14ac:dyDescent="0.25">
      <c r="A391">
        <f t="shared" si="446"/>
        <v>1985.4166666666599</v>
      </c>
      <c r="B391">
        <f t="shared" si="447"/>
        <v>-242</v>
      </c>
      <c r="C391">
        <f t="shared" si="448"/>
        <v>-274.42564499945797</v>
      </c>
      <c r="D391">
        <f t="shared" si="453"/>
        <v>-10</v>
      </c>
      <c r="E391">
        <f t="shared" si="454"/>
        <v>-5.2159409928134437</v>
      </c>
      <c r="F391">
        <f t="shared" si="456"/>
        <v>-2.8333333333333335</v>
      </c>
      <c r="G391">
        <f t="shared" si="457"/>
        <v>-2.5257399260201208</v>
      </c>
      <c r="H391">
        <f t="shared" ref="H391:I391" si="460">+AVERAGE(F389:F393)</f>
        <v>-2.4666666666666668</v>
      </c>
      <c r="I391">
        <f t="shared" si="460"/>
        <v>-2.326002840498127</v>
      </c>
      <c r="J391">
        <f t="shared" si="450"/>
        <v>1985.4166666666599</v>
      </c>
      <c r="K391">
        <f t="shared" si="451"/>
        <v>-242</v>
      </c>
      <c r="L391">
        <f t="shared" si="452"/>
        <v>-274.42564499945797</v>
      </c>
      <c r="M391" s="5">
        <v>1912.4166666666599</v>
      </c>
      <c r="N391" s="5">
        <v>-105</v>
      </c>
      <c r="O391" s="5">
        <v>-300.82926765378198</v>
      </c>
      <c r="Q391">
        <f t="shared" si="459"/>
        <v>0.30759340731321272</v>
      </c>
    </row>
    <row r="392" spans="1:17" x14ac:dyDescent="0.25">
      <c r="A392">
        <f t="shared" si="446"/>
        <v>1985.5</v>
      </c>
      <c r="B392">
        <f t="shared" si="447"/>
        <v>-220</v>
      </c>
      <c r="C392">
        <f t="shared" si="448"/>
        <v>-271.94625997096</v>
      </c>
      <c r="D392">
        <f t="shared" si="453"/>
        <v>3.5</v>
      </c>
      <c r="E392">
        <f t="shared" si="454"/>
        <v>-0.89235345648648945</v>
      </c>
      <c r="F392">
        <f t="shared" si="456"/>
        <v>-0.83333333333333337</v>
      </c>
      <c r="G392">
        <f t="shared" si="457"/>
        <v>-2.0953469270862572</v>
      </c>
      <c r="H392">
        <f t="shared" ref="H392:I392" si="461">+AVERAGE(F390:F394)</f>
        <v>-0.90000000000000036</v>
      </c>
      <c r="I392">
        <f t="shared" si="461"/>
        <v>-1.5792004416659651</v>
      </c>
      <c r="J392">
        <f t="shared" si="450"/>
        <v>1985.5</v>
      </c>
      <c r="K392">
        <f t="shared" si="451"/>
        <v>-220</v>
      </c>
      <c r="L392">
        <f t="shared" si="452"/>
        <v>-271.94625997096</v>
      </c>
      <c r="M392" s="5">
        <v>1912.5</v>
      </c>
      <c r="N392" s="5">
        <v>-105</v>
      </c>
      <c r="O392" s="5">
        <v>-292.647311012123</v>
      </c>
      <c r="Q392">
        <f t="shared" si="459"/>
        <v>1.2620135937529238</v>
      </c>
    </row>
    <row r="393" spans="1:17" x14ac:dyDescent="0.25">
      <c r="A393">
        <f t="shared" si="446"/>
        <v>1985.5833333333301</v>
      </c>
      <c r="B393">
        <f t="shared" si="447"/>
        <v>-205</v>
      </c>
      <c r="C393">
        <f t="shared" si="448"/>
        <v>-267.68216802948899</v>
      </c>
      <c r="D393">
        <f t="shared" si="453"/>
        <v>4</v>
      </c>
      <c r="E393">
        <f t="shared" si="454"/>
        <v>-1.7492565272735305</v>
      </c>
      <c r="F393">
        <f t="shared" si="456"/>
        <v>3.6666666666666665</v>
      </c>
      <c r="G393">
        <f t="shared" si="457"/>
        <v>-1.1964025757779988</v>
      </c>
      <c r="H393">
        <f t="shared" ref="H393:I393" si="462">+AVERAGE(F391:F395)</f>
        <v>1.0333333333333332</v>
      </c>
      <c r="I393">
        <f t="shared" si="462"/>
        <v>-1.0137696750845531</v>
      </c>
      <c r="J393">
        <f t="shared" si="450"/>
        <v>1985.5833333333301</v>
      </c>
      <c r="K393">
        <f t="shared" si="451"/>
        <v>-205</v>
      </c>
      <c r="L393">
        <f t="shared" si="452"/>
        <v>-267.68216802948899</v>
      </c>
      <c r="M393" s="5">
        <v>1912.5833333333301</v>
      </c>
      <c r="N393" s="5">
        <v>-105</v>
      </c>
      <c r="O393" s="5">
        <v>-285.540197288191</v>
      </c>
      <c r="Q393">
        <f t="shared" si="459"/>
        <v>4.8630692424446655</v>
      </c>
    </row>
    <row r="394" spans="1:17" x14ac:dyDescent="0.25">
      <c r="A394">
        <f t="shared" si="446"/>
        <v>1985.6666666666599</v>
      </c>
      <c r="B394">
        <f t="shared" si="447"/>
        <v>-198</v>
      </c>
      <c r="C394">
        <f t="shared" si="448"/>
        <v>-259.91956303347098</v>
      </c>
      <c r="D394">
        <f t="shared" si="453"/>
        <v>3.5</v>
      </c>
      <c r="E394">
        <f t="shared" si="454"/>
        <v>-1.8448996754074756</v>
      </c>
      <c r="F394">
        <f t="shared" si="456"/>
        <v>3.6666666666666665</v>
      </c>
      <c r="G394">
        <f t="shared" si="457"/>
        <v>0.13380847910267069</v>
      </c>
      <c r="H394">
        <f t="shared" ref="H394:I394" si="463">+AVERAGE(F392:F396)</f>
        <v>2.166666666666667</v>
      </c>
      <c r="I394">
        <f t="shared" si="463"/>
        <v>-0.34907870138508779</v>
      </c>
      <c r="J394">
        <f t="shared" si="450"/>
        <v>1985.6666666666599</v>
      </c>
      <c r="K394">
        <f t="shared" si="451"/>
        <v>-198</v>
      </c>
      <c r="L394">
        <f t="shared" si="452"/>
        <v>-259.91956303347098</v>
      </c>
      <c r="M394" s="5">
        <v>1912.6666666666599</v>
      </c>
      <c r="N394" s="5">
        <v>-105</v>
      </c>
      <c r="O394" s="5">
        <v>-279.20694397055303</v>
      </c>
      <c r="Q394">
        <f t="shared" si="459"/>
        <v>3.5328581875639959</v>
      </c>
    </row>
    <row r="395" spans="1:17" x14ac:dyDescent="0.25">
      <c r="A395">
        <f t="shared" si="446"/>
        <v>1985.75</v>
      </c>
      <c r="B395">
        <f t="shared" si="447"/>
        <v>-198</v>
      </c>
      <c r="C395">
        <f t="shared" si="448"/>
        <v>-248.46715868663799</v>
      </c>
      <c r="D395">
        <f t="shared" si="453"/>
        <v>3.5</v>
      </c>
      <c r="E395">
        <f t="shared" si="454"/>
        <v>4.0959379993160212</v>
      </c>
      <c r="F395">
        <f t="shared" si="456"/>
        <v>1.5</v>
      </c>
      <c r="G395">
        <f t="shared" si="457"/>
        <v>0.61483257435894156</v>
      </c>
      <c r="H395">
        <f t="shared" ref="H395:I395" si="464">+AVERAGE(F393:F397)</f>
        <v>3.0666666666666664</v>
      </c>
      <c r="I395">
        <f t="shared" si="464"/>
        <v>0.25406246044475067</v>
      </c>
      <c r="J395">
        <f t="shared" si="450"/>
        <v>1985.75</v>
      </c>
      <c r="K395">
        <f t="shared" si="451"/>
        <v>-198</v>
      </c>
      <c r="L395">
        <f t="shared" si="452"/>
        <v>-248.46715868663799</v>
      </c>
      <c r="M395" s="5">
        <v>1912.75</v>
      </c>
      <c r="N395" s="5">
        <v>-105</v>
      </c>
      <c r="O395" s="5">
        <v>-267.96309295049201</v>
      </c>
      <c r="Q395">
        <f t="shared" si="459"/>
        <v>0.88516742564105844</v>
      </c>
    </row>
    <row r="396" spans="1:17" x14ac:dyDescent="0.25">
      <c r="A396">
        <f t="shared" si="446"/>
        <v>1985.8333333333301</v>
      </c>
      <c r="B396">
        <f t="shared" si="447"/>
        <v>-205</v>
      </c>
      <c r="C396">
        <f t="shared" si="448"/>
        <v>-245.20663033843701</v>
      </c>
      <c r="D396">
        <f t="shared" si="453"/>
        <v>-2.5</v>
      </c>
      <c r="E396">
        <f t="shared" si="454"/>
        <v>5.4583829937485007E-2</v>
      </c>
      <c r="F396">
        <f t="shared" si="456"/>
        <v>2.8333333333333335</v>
      </c>
      <c r="G396">
        <f t="shared" si="457"/>
        <v>0.7977149424772052</v>
      </c>
      <c r="H396">
        <f t="shared" ref="H396:I396" si="465">+AVERAGE(F394:F398)</f>
        <v>2.2666666666666666</v>
      </c>
      <c r="I396">
        <f t="shared" si="465"/>
        <v>0.58203443377835207</v>
      </c>
      <c r="J396">
        <f t="shared" si="450"/>
        <v>1985.8333333333301</v>
      </c>
      <c r="K396">
        <f t="shared" si="451"/>
        <v>-205</v>
      </c>
      <c r="L396">
        <f t="shared" si="452"/>
        <v>-245.20663033843701</v>
      </c>
      <c r="M396" s="5">
        <v>1912.8333333333301</v>
      </c>
      <c r="N396" s="5">
        <v>-105</v>
      </c>
      <c r="O396" s="5">
        <v>-249.476969265706</v>
      </c>
      <c r="Q396">
        <f t="shared" si="459"/>
        <v>2.0356183908561283</v>
      </c>
    </row>
    <row r="397" spans="1:17" x14ac:dyDescent="0.25">
      <c r="A397">
        <f t="shared" si="446"/>
        <v>1985.9166666666599</v>
      </c>
      <c r="B397">
        <f t="shared" si="447"/>
        <v>-207</v>
      </c>
      <c r="C397">
        <f t="shared" si="448"/>
        <v>-242.055269650111</v>
      </c>
      <c r="D397">
        <f t="shared" si="453"/>
        <v>7.5</v>
      </c>
      <c r="E397">
        <f t="shared" si="454"/>
        <v>-1.159090794963987</v>
      </c>
      <c r="F397">
        <f t="shared" si="456"/>
        <v>3.6666666666666665</v>
      </c>
      <c r="G397">
        <f t="shared" si="457"/>
        <v>0.92035888206293448</v>
      </c>
      <c r="H397">
        <f t="shared" ref="H397:I397" si="466">+AVERAGE(F395:F399)</f>
        <v>0.76666666666666672</v>
      </c>
      <c r="I397">
        <f t="shared" si="466"/>
        <v>0.36164553886520634</v>
      </c>
      <c r="J397">
        <f t="shared" si="450"/>
        <v>1985.9166666666599</v>
      </c>
      <c r="K397">
        <f t="shared" si="451"/>
        <v>-207</v>
      </c>
      <c r="L397">
        <f t="shared" si="452"/>
        <v>-242.055269650111</v>
      </c>
      <c r="M397" s="5">
        <v>1912.9166666666599</v>
      </c>
      <c r="N397" s="5">
        <v>-105</v>
      </c>
      <c r="O397" s="5">
        <v>-204.988042868283</v>
      </c>
      <c r="Q397">
        <f t="shared" si="459"/>
        <v>2.746307784603732</v>
      </c>
    </row>
    <row r="398" spans="1:17" x14ac:dyDescent="0.25">
      <c r="A398">
        <f t="shared" si="446"/>
        <v>1986</v>
      </c>
      <c r="B398">
        <f t="shared" si="447"/>
        <v>-224</v>
      </c>
      <c r="C398">
        <f t="shared" si="448"/>
        <v>-236.58572737185699</v>
      </c>
      <c r="D398">
        <f t="shared" si="453"/>
        <v>6</v>
      </c>
      <c r="E398">
        <f t="shared" si="454"/>
        <v>4.5558527727625062</v>
      </c>
      <c r="F398">
        <f t="shared" si="456"/>
        <v>-0.33333333333333331</v>
      </c>
      <c r="G398">
        <f t="shared" si="457"/>
        <v>0.44345729089000846</v>
      </c>
      <c r="H398">
        <f t="shared" ref="H398:I398" si="467">+AVERAGE(F396:F400)</f>
        <v>-1.7</v>
      </c>
      <c r="I398">
        <f t="shared" si="467"/>
        <v>-0.8722739436793534</v>
      </c>
      <c r="J398">
        <f t="shared" si="450"/>
        <v>1986</v>
      </c>
      <c r="K398">
        <f t="shared" si="451"/>
        <v>-224</v>
      </c>
      <c r="L398">
        <f t="shared" si="452"/>
        <v>-236.58572737185699</v>
      </c>
      <c r="M398" s="5">
        <v>1913</v>
      </c>
      <c r="N398" s="5">
        <v>-105</v>
      </c>
      <c r="O398" s="5">
        <v>-109.223212447059</v>
      </c>
      <c r="Q398">
        <f t="shared" si="459"/>
        <v>0.77679062422334177</v>
      </c>
    </row>
    <row r="399" spans="1:17" x14ac:dyDescent="0.25">
      <c r="A399">
        <f t="shared" si="446"/>
        <v>1986.0833333333301</v>
      </c>
      <c r="B399">
        <f t="shared" si="447"/>
        <v>-253</v>
      </c>
      <c r="C399">
        <f t="shared" si="448"/>
        <v>-240.22789063912799</v>
      </c>
      <c r="D399">
        <f t="shared" si="453"/>
        <v>-14.5</v>
      </c>
      <c r="E399">
        <f t="shared" si="454"/>
        <v>-1.7337971369609875</v>
      </c>
      <c r="F399">
        <f t="shared" si="456"/>
        <v>-3.8333333333333335</v>
      </c>
      <c r="G399">
        <f t="shared" si="457"/>
        <v>-0.96813599546305795</v>
      </c>
      <c r="H399">
        <f t="shared" ref="H399:I399" si="468">+AVERAGE(F397:F401)</f>
        <v>-7.2</v>
      </c>
      <c r="I399">
        <f t="shared" si="468"/>
        <v>-5.1892513091711567</v>
      </c>
      <c r="J399">
        <f t="shared" si="450"/>
        <v>1986.0833333333301</v>
      </c>
      <c r="K399">
        <f t="shared" si="451"/>
        <v>-253</v>
      </c>
      <c r="L399">
        <f t="shared" si="452"/>
        <v>-240.22789063912799</v>
      </c>
      <c r="M399" s="5">
        <v>1913.0833333333301</v>
      </c>
      <c r="N399" s="5">
        <v>-105</v>
      </c>
      <c r="O399" s="5">
        <v>20.890734351650199</v>
      </c>
      <c r="Q399">
        <f t="shared" si="459"/>
        <v>2.8651973378702755</v>
      </c>
    </row>
    <row r="400" spans="1:17" x14ac:dyDescent="0.25">
      <c r="A400">
        <f t="shared" si="446"/>
        <v>1986.1666666666599</v>
      </c>
      <c r="B400">
        <f t="shared" si="447"/>
        <v>-253</v>
      </c>
      <c r="C400">
        <f t="shared" si="448"/>
        <v>-240.40245963247699</v>
      </c>
      <c r="D400">
        <f t="shared" si="453"/>
        <v>-3</v>
      </c>
      <c r="E400">
        <f t="shared" si="454"/>
        <v>-6.4525656187879861</v>
      </c>
      <c r="F400">
        <f t="shared" si="456"/>
        <v>-10.833333333333334</v>
      </c>
      <c r="G400">
        <f t="shared" si="457"/>
        <v>-5.554764838363857</v>
      </c>
      <c r="H400">
        <f t="shared" ref="H400:I400" si="469">+AVERAGE(F398:F402)</f>
        <v>-12.8</v>
      </c>
      <c r="I400">
        <f t="shared" si="469"/>
        <v>-9.9497250303930862</v>
      </c>
      <c r="J400">
        <f t="shared" si="450"/>
        <v>1986.1666666666599</v>
      </c>
      <c r="K400">
        <f t="shared" si="451"/>
        <v>-253</v>
      </c>
      <c r="L400">
        <f t="shared" si="452"/>
        <v>-240.40245963247699</v>
      </c>
      <c r="M400" s="5">
        <v>1913.1666666666599</v>
      </c>
      <c r="N400" s="5">
        <v>-105</v>
      </c>
      <c r="O400" s="5">
        <v>122.99176763464</v>
      </c>
      <c r="Q400">
        <f t="shared" si="459"/>
        <v>5.2785684949694769</v>
      </c>
    </row>
    <row r="401" spans="1:17" x14ac:dyDescent="0.25">
      <c r="A401">
        <f t="shared" si="446"/>
        <v>1986.25</v>
      </c>
      <c r="B401">
        <f t="shared" si="447"/>
        <v>-247</v>
      </c>
      <c r="C401">
        <f t="shared" si="448"/>
        <v>-227.67189738824999</v>
      </c>
      <c r="D401">
        <f t="shared" si="453"/>
        <v>-15</v>
      </c>
      <c r="E401">
        <f t="shared" si="454"/>
        <v>-12.644005388115488</v>
      </c>
      <c r="F401">
        <f t="shared" si="456"/>
        <v>-24.666666666666668</v>
      </c>
      <c r="G401">
        <f t="shared" si="457"/>
        <v>-20.787171884981809</v>
      </c>
      <c r="H401">
        <f t="shared" ref="H401:I401" si="470">+AVERAGE(F399:F403)</f>
        <v>-12.700000000000001</v>
      </c>
      <c r="I401">
        <f t="shared" si="470"/>
        <v>-9.7064566904108229</v>
      </c>
      <c r="J401">
        <f t="shared" si="450"/>
        <v>1986.25</v>
      </c>
      <c r="K401">
        <f t="shared" si="451"/>
        <v>-247</v>
      </c>
      <c r="L401">
        <f t="shared" si="452"/>
        <v>-227.67189738824999</v>
      </c>
      <c r="M401" s="5">
        <v>1913.25</v>
      </c>
      <c r="N401" s="5">
        <v>-105</v>
      </c>
      <c r="O401" s="5">
        <v>188.49928618081699</v>
      </c>
      <c r="Q401">
        <f t="shared" si="459"/>
        <v>3.8794947816848584</v>
      </c>
    </row>
    <row r="402" spans="1:17" x14ac:dyDescent="0.25">
      <c r="A402">
        <f t="shared" si="446"/>
        <v>1986.3333333333301</v>
      </c>
      <c r="B402">
        <f t="shared" si="447"/>
        <v>-211</v>
      </c>
      <c r="C402">
        <f t="shared" si="448"/>
        <v>-189.65332436779201</v>
      </c>
      <c r="D402">
        <f t="shared" si="453"/>
        <v>-56</v>
      </c>
      <c r="E402">
        <f t="shared" si="454"/>
        <v>-58.855323561778306</v>
      </c>
      <c r="F402">
        <f t="shared" si="456"/>
        <v>-24.333333333333332</v>
      </c>
      <c r="G402">
        <f t="shared" si="457"/>
        <v>-22.882009724046718</v>
      </c>
      <c r="H402">
        <f t="shared" ref="H402:I402" si="471">+AVERAGE(F400:F404)</f>
        <v>-7.1</v>
      </c>
      <c r="I402">
        <f t="shared" si="471"/>
        <v>-5.4861889554980623</v>
      </c>
      <c r="J402">
        <f t="shared" si="450"/>
        <v>1986.3333333333301</v>
      </c>
      <c r="K402">
        <f t="shared" si="451"/>
        <v>-211</v>
      </c>
      <c r="L402">
        <f t="shared" si="452"/>
        <v>-189.65332436779201</v>
      </c>
      <c r="M402" s="5">
        <v>1913.3333333333301</v>
      </c>
      <c r="N402" s="5">
        <v>-105</v>
      </c>
      <c r="O402" s="5">
        <v>229.27390622785899</v>
      </c>
      <c r="Q402">
        <f t="shared" si="459"/>
        <v>1.4513236092866144</v>
      </c>
    </row>
    <row r="403" spans="1:17" x14ac:dyDescent="0.25">
      <c r="A403">
        <f t="shared" si="446"/>
        <v>1986.4166666666599</v>
      </c>
      <c r="B403">
        <f t="shared" si="447"/>
        <v>-63</v>
      </c>
      <c r="C403">
        <f t="shared" si="448"/>
        <v>-33.924104223777398</v>
      </c>
      <c r="D403">
        <f t="shared" si="453"/>
        <v>-2</v>
      </c>
      <c r="E403">
        <f t="shared" si="454"/>
        <v>-14.308207515281389</v>
      </c>
      <c r="F403">
        <f t="shared" si="456"/>
        <v>0.16666666666666666</v>
      </c>
      <c r="G403">
        <f t="shared" si="457"/>
        <v>1.6597989908013309</v>
      </c>
      <c r="H403">
        <f t="shared" ref="H403:I403" si="472">+AVERAGE(F401:F405)</f>
        <v>6.666666666666643E-2</v>
      </c>
      <c r="I403">
        <f t="shared" si="472"/>
        <v>0.44535451957037397</v>
      </c>
      <c r="J403">
        <f t="shared" si="450"/>
        <v>1986.4166666666599</v>
      </c>
      <c r="K403">
        <f t="shared" si="451"/>
        <v>-63</v>
      </c>
      <c r="L403">
        <f t="shared" si="452"/>
        <v>-33.924104223777398</v>
      </c>
      <c r="M403" s="5">
        <v>1913.4166666666599</v>
      </c>
      <c r="N403" s="5">
        <v>-105</v>
      </c>
      <c r="O403" s="5">
        <v>256.83165868962698</v>
      </c>
      <c r="Q403">
        <f t="shared" si="459"/>
        <v>1.4931323241346641</v>
      </c>
    </row>
    <row r="404" spans="1:17" x14ac:dyDescent="0.25">
      <c r="A404">
        <f t="shared" si="446"/>
        <v>1986.5</v>
      </c>
      <c r="B404">
        <f t="shared" si="447"/>
        <v>89</v>
      </c>
      <c r="C404">
        <f t="shared" si="448"/>
        <v>150.42153095079999</v>
      </c>
      <c r="D404">
        <f t="shared" si="453"/>
        <v>58.5</v>
      </c>
      <c r="E404">
        <f t="shared" si="454"/>
        <v>79.387777292564692</v>
      </c>
      <c r="F404">
        <f t="shared" si="456"/>
        <v>24.166666666666668</v>
      </c>
      <c r="G404">
        <f t="shared" si="457"/>
        <v>20.133202679100748</v>
      </c>
      <c r="H404">
        <f t="shared" ref="H404:I404" si="473">+AVERAGE(F402:F406)</f>
        <v>5.9333333333333345</v>
      </c>
      <c r="I404">
        <f t="shared" si="473"/>
        <v>5.4374149129846838</v>
      </c>
      <c r="J404">
        <f t="shared" si="450"/>
        <v>1986.5</v>
      </c>
      <c r="K404">
        <f t="shared" si="451"/>
        <v>89</v>
      </c>
      <c r="L404">
        <f t="shared" si="452"/>
        <v>150.42153095079999</v>
      </c>
      <c r="M404" s="5">
        <v>1913.5</v>
      </c>
      <c r="N404" s="5">
        <v>-105</v>
      </c>
      <c r="O404" s="5">
        <v>267.21996354580801</v>
      </c>
      <c r="Q404">
        <f t="shared" si="459"/>
        <v>4.03346398756592</v>
      </c>
    </row>
    <row r="405" spans="1:17" x14ac:dyDescent="0.25">
      <c r="A405">
        <f t="shared" si="446"/>
        <v>1986.5833333333301</v>
      </c>
      <c r="B405">
        <f t="shared" si="447"/>
        <v>124</v>
      </c>
      <c r="C405">
        <f t="shared" si="448"/>
        <v>175.99161154024799</v>
      </c>
      <c r="D405">
        <f t="shared" si="453"/>
        <v>16</v>
      </c>
      <c r="E405">
        <f t="shared" si="454"/>
        <v>10.419940269344494</v>
      </c>
      <c r="F405">
        <f t="shared" si="456"/>
        <v>25</v>
      </c>
      <c r="G405">
        <f t="shared" si="457"/>
        <v>24.102952536978322</v>
      </c>
      <c r="H405">
        <f t="shared" ref="H405:I405" si="474">+AVERAGE(F403:F407)</f>
        <v>10.466666666666667</v>
      </c>
      <c r="I405">
        <f t="shared" si="474"/>
        <v>10.432539268598216</v>
      </c>
      <c r="J405">
        <f t="shared" si="450"/>
        <v>1986.5833333333301</v>
      </c>
      <c r="K405">
        <f t="shared" si="451"/>
        <v>124</v>
      </c>
      <c r="L405">
        <f t="shared" si="452"/>
        <v>175.99161154024799</v>
      </c>
      <c r="M405" s="5">
        <v>1913.5833333333301</v>
      </c>
      <c r="N405" s="5">
        <v>-105</v>
      </c>
      <c r="O405" s="5">
        <v>264.07989234280097</v>
      </c>
      <c r="Q405">
        <f t="shared" si="459"/>
        <v>0.89704746302167848</v>
      </c>
    </row>
    <row r="406" spans="1:17" x14ac:dyDescent="0.25">
      <c r="A406">
        <f t="shared" si="446"/>
        <v>1986.6666666666599</v>
      </c>
      <c r="B406">
        <f t="shared" si="447"/>
        <v>127</v>
      </c>
      <c r="C406">
        <f t="shared" si="448"/>
        <v>180.721811591007</v>
      </c>
      <c r="D406">
        <f t="shared" si="453"/>
        <v>0.5</v>
      </c>
      <c r="E406">
        <f t="shared" si="454"/>
        <v>0.57835445175950895</v>
      </c>
      <c r="F406">
        <f t="shared" si="456"/>
        <v>4.666666666666667</v>
      </c>
      <c r="G406">
        <f t="shared" si="457"/>
        <v>4.1731300820897337</v>
      </c>
      <c r="H406">
        <f t="shared" ref="H406:I406" si="475">+AVERAGE(F404:F408)</f>
        <v>10.3</v>
      </c>
      <c r="I406">
        <f t="shared" si="475"/>
        <v>11.034405361803415</v>
      </c>
      <c r="J406">
        <f t="shared" si="450"/>
        <v>1986.6666666666599</v>
      </c>
      <c r="K406">
        <f t="shared" si="451"/>
        <v>127</v>
      </c>
      <c r="L406">
        <f t="shared" si="452"/>
        <v>180.721811591007</v>
      </c>
      <c r="M406" s="5">
        <v>1913.6666666666599</v>
      </c>
      <c r="N406" s="5">
        <v>-105</v>
      </c>
      <c r="O406" s="5">
        <v>258.35782278287002</v>
      </c>
      <c r="Q406">
        <f t="shared" si="459"/>
        <v>0.49353658457693328</v>
      </c>
    </row>
    <row r="407" spans="1:17" x14ac:dyDescent="0.25">
      <c r="A407">
        <f t="shared" si="446"/>
        <v>1986.75</v>
      </c>
      <c r="B407">
        <f t="shared" si="447"/>
        <v>129</v>
      </c>
      <c r="C407">
        <f t="shared" si="448"/>
        <v>184.29530273824699</v>
      </c>
      <c r="D407">
        <f t="shared" si="453"/>
        <v>-2.5</v>
      </c>
      <c r="E407">
        <f t="shared" si="454"/>
        <v>4.6509430867324966</v>
      </c>
      <c r="F407">
        <f t="shared" si="456"/>
        <v>-1.6666666666666667</v>
      </c>
      <c r="G407">
        <f t="shared" si="457"/>
        <v>2.0936120540209386</v>
      </c>
      <c r="H407">
        <f t="shared" ref="H407:I407" si="476">+AVERAGE(F405:F409)</f>
        <v>5.5</v>
      </c>
      <c r="I407">
        <f t="shared" si="476"/>
        <v>7.5232072171897215</v>
      </c>
      <c r="J407">
        <f t="shared" si="450"/>
        <v>1986.75</v>
      </c>
      <c r="K407">
        <f t="shared" si="451"/>
        <v>129</v>
      </c>
      <c r="L407">
        <f t="shared" si="452"/>
        <v>184.29530273824699</v>
      </c>
      <c r="M407" s="5">
        <v>1913.75</v>
      </c>
      <c r="N407" s="5">
        <v>-105</v>
      </c>
      <c r="O407" s="5">
        <v>252.431520278395</v>
      </c>
      <c r="Q407">
        <f t="shared" si="459"/>
        <v>3.7602787206876052</v>
      </c>
    </row>
    <row r="408" spans="1:17" x14ac:dyDescent="0.25">
      <c r="A408">
        <f t="shared" si="446"/>
        <v>1986.8333333333301</v>
      </c>
      <c r="B408">
        <f t="shared" si="447"/>
        <v>136</v>
      </c>
      <c r="C408">
        <f t="shared" si="448"/>
        <v>178.56690771202199</v>
      </c>
      <c r="D408">
        <f t="shared" si="453"/>
        <v>-3</v>
      </c>
      <c r="E408">
        <f t="shared" si="454"/>
        <v>2.6217476640865129</v>
      </c>
      <c r="F408">
        <f t="shared" si="456"/>
        <v>-0.66666666666666663</v>
      </c>
      <c r="G408">
        <f t="shared" si="457"/>
        <v>4.6691294568273332</v>
      </c>
      <c r="H408">
        <f t="shared" ref="H408:I408" si="477">+AVERAGE(F406:F410)</f>
        <v>0.93333333333333324</v>
      </c>
      <c r="I408">
        <f t="shared" si="477"/>
        <v>1.0561489103125905</v>
      </c>
      <c r="J408">
        <f t="shared" si="450"/>
        <v>1986.8333333333301</v>
      </c>
      <c r="K408">
        <f t="shared" si="451"/>
        <v>136</v>
      </c>
      <c r="L408">
        <f t="shared" si="452"/>
        <v>178.56690771202199</v>
      </c>
      <c r="M408" s="5">
        <v>1913.8333333333301</v>
      </c>
      <c r="N408" s="5">
        <v>-105</v>
      </c>
      <c r="O408" s="5">
        <v>240.81757564259499</v>
      </c>
      <c r="Q408">
        <f t="shared" si="459"/>
        <v>5.3357961234940001</v>
      </c>
    </row>
    <row r="409" spans="1:17" x14ac:dyDescent="0.25">
      <c r="A409">
        <f t="shared" si="446"/>
        <v>1986.9166666666599</v>
      </c>
      <c r="B409">
        <f t="shared" si="447"/>
        <v>149</v>
      </c>
      <c r="C409">
        <f t="shared" si="448"/>
        <v>167.59501735762399</v>
      </c>
      <c r="D409">
        <f t="shared" si="453"/>
        <v>3.5</v>
      </c>
      <c r="E409">
        <f t="shared" si="454"/>
        <v>10.236544712283489</v>
      </c>
      <c r="F409">
        <f t="shared" si="456"/>
        <v>0.16666666666666666</v>
      </c>
      <c r="G409">
        <f t="shared" si="457"/>
        <v>2.5772119560322762</v>
      </c>
      <c r="H409">
        <f t="shared" ref="H409:I409" si="478">+AVERAGE(F407:F411)</f>
        <v>6.6666666666666569E-2</v>
      </c>
      <c r="I409">
        <f t="shared" si="478"/>
        <v>-1.7996386880539681</v>
      </c>
      <c r="J409">
        <f t="shared" si="450"/>
        <v>1986.9166666666599</v>
      </c>
      <c r="K409">
        <f t="shared" si="451"/>
        <v>149</v>
      </c>
      <c r="L409">
        <f t="shared" si="452"/>
        <v>167.59501735762399</v>
      </c>
      <c r="M409" s="5">
        <v>1913.9166666666599</v>
      </c>
      <c r="N409" s="5">
        <v>-105</v>
      </c>
      <c r="O409" s="5">
        <v>219.71828741519101</v>
      </c>
      <c r="Q409">
        <f t="shared" si="459"/>
        <v>2.4105452893656096</v>
      </c>
    </row>
    <row r="410" spans="1:17" x14ac:dyDescent="0.25">
      <c r="A410">
        <f t="shared" si="446"/>
        <v>1987</v>
      </c>
      <c r="B410">
        <f t="shared" si="447"/>
        <v>155</v>
      </c>
      <c r="C410">
        <f t="shared" si="448"/>
        <v>136.15003757865901</v>
      </c>
      <c r="D410">
        <f t="shared" si="453"/>
        <v>0</v>
      </c>
      <c r="E410">
        <f t="shared" si="454"/>
        <v>-3.1937475412489675</v>
      </c>
      <c r="F410">
        <f t="shared" si="456"/>
        <v>2.1666666666666665</v>
      </c>
      <c r="G410">
        <f t="shared" si="457"/>
        <v>-8.2323389974073287</v>
      </c>
      <c r="H410">
        <f t="shared" ref="H410:I410" si="479">+AVERAGE(F408:F412)</f>
        <v>0.6</v>
      </c>
      <c r="I410">
        <f t="shared" si="479"/>
        <v>-3.3167993608462352</v>
      </c>
      <c r="J410">
        <f t="shared" si="450"/>
        <v>1987</v>
      </c>
      <c r="K410">
        <f t="shared" si="451"/>
        <v>155</v>
      </c>
      <c r="L410">
        <f t="shared" si="452"/>
        <v>136.15003757865901</v>
      </c>
      <c r="M410" s="5">
        <v>1914</v>
      </c>
      <c r="N410" s="5">
        <v>-105</v>
      </c>
      <c r="O410" s="5">
        <v>163.69734932437299</v>
      </c>
      <c r="Q410">
        <f t="shared" si="459"/>
        <v>10.399005664073995</v>
      </c>
    </row>
    <row r="411" spans="1:17" x14ac:dyDescent="0.25">
      <c r="A411">
        <f t="shared" si="446"/>
        <v>1987.0833333333301</v>
      </c>
      <c r="B411">
        <f t="shared" si="447"/>
        <v>161</v>
      </c>
      <c r="C411">
        <f t="shared" si="448"/>
        <v>111.092552882192</v>
      </c>
      <c r="D411">
        <f t="shared" si="453"/>
        <v>3</v>
      </c>
      <c r="E411">
        <f t="shared" si="454"/>
        <v>-37.914068411312002</v>
      </c>
      <c r="F411">
        <f t="shared" si="456"/>
        <v>0.33333333333333331</v>
      </c>
      <c r="G411">
        <f t="shared" si="457"/>
        <v>-10.10580790974306</v>
      </c>
      <c r="H411">
        <f t="shared" ref="H411:I411" si="480">+AVERAGE(F409:F413)</f>
        <v>0.8</v>
      </c>
      <c r="I411">
        <f t="shared" si="480"/>
        <v>-2.8446392186103671</v>
      </c>
      <c r="J411">
        <f t="shared" si="450"/>
        <v>1987.0833333333301</v>
      </c>
      <c r="K411">
        <f t="shared" si="451"/>
        <v>161</v>
      </c>
      <c r="L411">
        <f t="shared" si="452"/>
        <v>111.092552882192</v>
      </c>
      <c r="M411" s="5">
        <v>1914.0833333333301</v>
      </c>
      <c r="N411" s="5">
        <v>-105</v>
      </c>
      <c r="O411" s="5">
        <v>-8.3156147685772801</v>
      </c>
      <c r="Q411">
        <f t="shared" si="459"/>
        <v>10.439141243076394</v>
      </c>
    </row>
    <row r="412" spans="1:17" x14ac:dyDescent="0.25">
      <c r="A412">
        <f t="shared" si="446"/>
        <v>1987.1666666666599</v>
      </c>
      <c r="B412">
        <f t="shared" si="447"/>
        <v>161</v>
      </c>
      <c r="C412">
        <f t="shared" si="448"/>
        <v>161.86320500834901</v>
      </c>
      <c r="D412">
        <f t="shared" si="453"/>
        <v>-2</v>
      </c>
      <c r="E412">
        <f t="shared" si="454"/>
        <v>3.2110362910244987</v>
      </c>
      <c r="F412">
        <f t="shared" si="456"/>
        <v>1</v>
      </c>
      <c r="G412">
        <f t="shared" si="457"/>
        <v>-5.4921913099403961</v>
      </c>
      <c r="H412">
        <f t="shared" ref="H412:I412" si="481">+AVERAGE(F410:F414)</f>
        <v>1.6</v>
      </c>
      <c r="I412">
        <f t="shared" si="481"/>
        <v>-1.2014206894430874</v>
      </c>
      <c r="J412">
        <f t="shared" si="450"/>
        <v>1987.1666666666599</v>
      </c>
      <c r="K412">
        <f t="shared" si="451"/>
        <v>161</v>
      </c>
      <c r="L412">
        <f t="shared" si="452"/>
        <v>161.86320500834901</v>
      </c>
      <c r="M412" s="5">
        <v>1914.1666666666599</v>
      </c>
      <c r="N412" s="5">
        <v>-105</v>
      </c>
      <c r="O412" s="5">
        <v>-150.41072235460899</v>
      </c>
      <c r="Q412">
        <f t="shared" si="459"/>
        <v>6.4921913099403961</v>
      </c>
    </row>
    <row r="413" spans="1:17" x14ac:dyDescent="0.25">
      <c r="A413">
        <f t="shared" si="446"/>
        <v>1987.25</v>
      </c>
      <c r="B413">
        <f t="shared" si="447"/>
        <v>165</v>
      </c>
      <c r="C413">
        <f t="shared" si="448"/>
        <v>206.211784552457</v>
      </c>
      <c r="D413">
        <f t="shared" si="453"/>
        <v>2</v>
      </c>
      <c r="E413">
        <f t="shared" si="454"/>
        <v>14.107314708011018</v>
      </c>
      <c r="F413">
        <f t="shared" si="456"/>
        <v>0.33333333333333331</v>
      </c>
      <c r="G413">
        <f t="shared" si="457"/>
        <v>7.0299301680066719</v>
      </c>
      <c r="H413">
        <f t="shared" ref="H413:I413" si="482">+AVERAGE(F411:F415)</f>
        <v>7.3</v>
      </c>
      <c r="I413">
        <f t="shared" si="482"/>
        <v>3.6923137641307306</v>
      </c>
      <c r="J413">
        <f t="shared" si="450"/>
        <v>1987.25</v>
      </c>
      <c r="K413">
        <f t="shared" si="451"/>
        <v>165</v>
      </c>
      <c r="L413">
        <f t="shared" si="452"/>
        <v>206.211784552457</v>
      </c>
      <c r="M413" s="5">
        <v>1914.25</v>
      </c>
      <c r="N413" s="5">
        <v>-105</v>
      </c>
      <c r="O413" s="5">
        <v>-219.591145022533</v>
      </c>
      <c r="Q413">
        <f t="shared" si="459"/>
        <v>6.6965968346733389</v>
      </c>
    </row>
    <row r="414" spans="1:17" x14ac:dyDescent="0.25">
      <c r="A414">
        <f t="shared" si="446"/>
        <v>1987.3333333333301</v>
      </c>
      <c r="B414">
        <f t="shared" si="447"/>
        <v>165</v>
      </c>
      <c r="C414">
        <f t="shared" si="448"/>
        <v>222.34573468054299</v>
      </c>
      <c r="D414">
        <f t="shared" si="453"/>
        <v>1</v>
      </c>
      <c r="E414">
        <f t="shared" si="454"/>
        <v>9.0438871309895035</v>
      </c>
      <c r="F414">
        <f t="shared" si="456"/>
        <v>4.166666666666667</v>
      </c>
      <c r="G414">
        <f t="shared" si="457"/>
        <v>10.793304601868675</v>
      </c>
      <c r="H414">
        <f t="shared" ref="H414:I414" si="483">+AVERAGE(F412:F416)</f>
        <v>12.333333333333334</v>
      </c>
      <c r="I414">
        <f t="shared" si="483"/>
        <v>9.341194544900171</v>
      </c>
      <c r="J414">
        <f t="shared" si="450"/>
        <v>1987.3333333333301</v>
      </c>
      <c r="K414">
        <f t="shared" si="451"/>
        <v>165</v>
      </c>
      <c r="L414">
        <f t="shared" si="452"/>
        <v>222.34573468054299</v>
      </c>
      <c r="M414" s="5">
        <v>1914.3333333333301</v>
      </c>
      <c r="N414" s="5">
        <v>-105</v>
      </c>
      <c r="O414" s="5">
        <v>-258.142552377811</v>
      </c>
      <c r="Q414">
        <f t="shared" si="459"/>
        <v>6.6266379352020079</v>
      </c>
    </row>
    <row r="415" spans="1:17" x14ac:dyDescent="0.25">
      <c r="A415">
        <f t="shared" si="446"/>
        <v>1987.4166666666599</v>
      </c>
      <c r="B415">
        <f t="shared" si="447"/>
        <v>163</v>
      </c>
      <c r="C415">
        <f t="shared" si="448"/>
        <v>220.39191054665</v>
      </c>
      <c r="D415">
        <f t="shared" si="453"/>
        <v>9.5</v>
      </c>
      <c r="E415">
        <f t="shared" si="454"/>
        <v>17.323690418007004</v>
      </c>
      <c r="F415">
        <f t="shared" si="456"/>
        <v>30.666666666666668</v>
      </c>
      <c r="G415">
        <f t="shared" si="457"/>
        <v>16.23633327046176</v>
      </c>
      <c r="H415">
        <f t="shared" ref="H415:I415" si="484">+AVERAGE(F413:F417)</f>
        <v>12.266666666666667</v>
      </c>
      <c r="I415">
        <f t="shared" si="484"/>
        <v>11.093687397389337</v>
      </c>
      <c r="J415">
        <f t="shared" si="450"/>
        <v>1987.4166666666599</v>
      </c>
      <c r="K415">
        <f t="shared" si="451"/>
        <v>163</v>
      </c>
      <c r="L415">
        <f t="shared" si="452"/>
        <v>220.39191054665</v>
      </c>
      <c r="M415" s="5">
        <v>1914.4166666666599</v>
      </c>
      <c r="N415" s="5">
        <v>-105</v>
      </c>
      <c r="O415" s="5">
        <v>-271.80887095456302</v>
      </c>
      <c r="Q415">
        <f t="shared" si="459"/>
        <v>14.430333396204908</v>
      </c>
    </row>
    <row r="416" spans="1:17" x14ac:dyDescent="0.25">
      <c r="A416">
        <f t="shared" si="446"/>
        <v>1987.5</v>
      </c>
      <c r="B416">
        <f t="shared" si="447"/>
        <v>142</v>
      </c>
      <c r="C416">
        <f t="shared" si="448"/>
        <v>183.79070557674299</v>
      </c>
      <c r="D416">
        <f t="shared" si="453"/>
        <v>81.5</v>
      </c>
      <c r="E416">
        <f t="shared" si="454"/>
        <v>34.518672215235085</v>
      </c>
      <c r="F416">
        <f t="shared" si="456"/>
        <v>25.5</v>
      </c>
      <c r="G416">
        <f t="shared" si="457"/>
        <v>18.138595994104147</v>
      </c>
      <c r="H416">
        <f t="shared" ref="H416:I416" si="485">+AVERAGE(F414:F418)</f>
        <v>6.0666666666666664</v>
      </c>
      <c r="I416">
        <f t="shared" si="485"/>
        <v>7.7255973512549279</v>
      </c>
      <c r="J416">
        <f t="shared" si="450"/>
        <v>1987.5</v>
      </c>
      <c r="K416">
        <f t="shared" si="451"/>
        <v>142</v>
      </c>
      <c r="L416">
        <f t="shared" si="452"/>
        <v>183.79070557674299</v>
      </c>
      <c r="M416" s="5">
        <v>1914.5</v>
      </c>
      <c r="N416" s="5">
        <v>-105</v>
      </c>
      <c r="O416" s="5">
        <v>-275.71075483306799</v>
      </c>
      <c r="Q416">
        <f t="shared" si="459"/>
        <v>7.361404005895853</v>
      </c>
    </row>
    <row r="417" spans="1:17" x14ac:dyDescent="0.25">
      <c r="A417">
        <f t="shared" si="446"/>
        <v>1987.5833333333301</v>
      </c>
      <c r="B417">
        <f t="shared" si="447"/>
        <v>-42</v>
      </c>
      <c r="C417">
        <f t="shared" si="448"/>
        <v>78.152156176365807</v>
      </c>
      <c r="D417">
        <f t="shared" si="453"/>
        <v>-14.5</v>
      </c>
      <c r="E417">
        <f t="shared" si="454"/>
        <v>16.177372344648461</v>
      </c>
      <c r="F417">
        <f t="shared" si="456"/>
        <v>0.66666666666666663</v>
      </c>
      <c r="G417">
        <f t="shared" si="457"/>
        <v>3.2702729525054246</v>
      </c>
      <c r="H417">
        <f t="shared" ref="H417:I417" si="486">+AVERAGE(F415:F419)</f>
        <v>-1.2666666666666664</v>
      </c>
      <c r="I417">
        <f t="shared" si="486"/>
        <v>2.3785673483319103</v>
      </c>
      <c r="J417">
        <f t="shared" si="450"/>
        <v>1987.5833333333301</v>
      </c>
      <c r="K417">
        <f t="shared" si="451"/>
        <v>-42</v>
      </c>
      <c r="L417">
        <f t="shared" si="452"/>
        <v>78.152156176365807</v>
      </c>
      <c r="M417" s="5">
        <v>1914.5833333333301</v>
      </c>
      <c r="N417" s="5">
        <v>-105</v>
      </c>
      <c r="O417" s="5">
        <v>-272.73343580609099</v>
      </c>
      <c r="Q417">
        <f t="shared" si="459"/>
        <v>2.6036062858387581</v>
      </c>
    </row>
    <row r="418" spans="1:17" x14ac:dyDescent="0.25">
      <c r="A418">
        <f t="shared" si="446"/>
        <v>1987.6666666666599</v>
      </c>
      <c r="B418">
        <f t="shared" si="447"/>
        <v>-197</v>
      </c>
      <c r="C418">
        <f t="shared" si="448"/>
        <v>-59.841137913308302</v>
      </c>
      <c r="D418">
        <f t="shared" si="453"/>
        <v>-65</v>
      </c>
      <c r="E418">
        <f t="shared" si="454"/>
        <v>-38.432520987988205</v>
      </c>
      <c r="F418">
        <f t="shared" si="456"/>
        <v>-30.666666666666668</v>
      </c>
      <c r="G418">
        <f t="shared" si="457"/>
        <v>-9.8105200626653595</v>
      </c>
      <c r="H418">
        <f t="shared" ref="H418:I418" si="487">+AVERAGE(F416:F420)</f>
        <v>-8.9</v>
      </c>
      <c r="I418">
        <f t="shared" si="487"/>
        <v>-1.6224799353004311</v>
      </c>
      <c r="J418">
        <f t="shared" si="450"/>
        <v>1987.6666666666599</v>
      </c>
      <c r="K418">
        <f t="shared" si="451"/>
        <v>-197</v>
      </c>
      <c r="L418">
        <f t="shared" si="452"/>
        <v>-59.841137913308302</v>
      </c>
      <c r="M418" s="5">
        <v>1914.6666666666599</v>
      </c>
      <c r="N418" s="5">
        <v>-105</v>
      </c>
      <c r="O418" s="5">
        <v>-262.852104145532</v>
      </c>
      <c r="Q418">
        <f t="shared" si="459"/>
        <v>20.85614660400131</v>
      </c>
    </row>
    <row r="419" spans="1:17" x14ac:dyDescent="0.25">
      <c r="A419">
        <f t="shared" si="446"/>
        <v>1987.75</v>
      </c>
      <c r="B419">
        <f t="shared" si="447"/>
        <v>-222</v>
      </c>
      <c r="C419">
        <f t="shared" si="448"/>
        <v>-120.969390027006</v>
      </c>
      <c r="D419">
        <f t="shared" si="453"/>
        <v>-12.5</v>
      </c>
      <c r="E419">
        <f t="shared" si="454"/>
        <v>-14.53430159165535</v>
      </c>
      <c r="F419">
        <f t="shared" si="456"/>
        <v>-32.5</v>
      </c>
      <c r="G419">
        <f t="shared" si="457"/>
        <v>-15.941845412746416</v>
      </c>
      <c r="H419">
        <f t="shared" ref="H419:I419" si="488">+AVERAGE(F417:F421)</f>
        <v>-14.1</v>
      </c>
      <c r="I419">
        <f t="shared" si="488"/>
        <v>-5.3276116630705941</v>
      </c>
      <c r="J419">
        <f t="shared" si="450"/>
        <v>1987.75</v>
      </c>
      <c r="K419">
        <f t="shared" si="451"/>
        <v>-222</v>
      </c>
      <c r="L419">
        <f t="shared" si="452"/>
        <v>-120.969390027006</v>
      </c>
      <c r="M419" s="5">
        <v>1914.75</v>
      </c>
      <c r="N419" s="5">
        <v>-105</v>
      </c>
      <c r="O419" s="5">
        <v>-258.34114241028198</v>
      </c>
      <c r="Q419">
        <f t="shared" si="459"/>
        <v>16.558154587253583</v>
      </c>
    </row>
    <row r="420" spans="1:17" x14ac:dyDescent="0.25">
      <c r="A420">
        <f t="shared" si="446"/>
        <v>1987.8333333333301</v>
      </c>
      <c r="B420">
        <f t="shared" si="447"/>
        <v>-222</v>
      </c>
      <c r="C420">
        <f t="shared" si="448"/>
        <v>-153.029038957393</v>
      </c>
      <c r="D420">
        <f t="shared" si="453"/>
        <v>-20</v>
      </c>
      <c r="E420">
        <f t="shared" si="454"/>
        <v>-6.8150977181554993</v>
      </c>
      <c r="F420">
        <f t="shared" si="456"/>
        <v>-7.5</v>
      </c>
      <c r="G420">
        <f t="shared" si="457"/>
        <v>-3.7689031476999539</v>
      </c>
      <c r="H420">
        <f t="shared" ref="H420:I420" si="489">+AVERAGE(F418:F422)</f>
        <v>-12.9</v>
      </c>
      <c r="I420">
        <f t="shared" si="489"/>
        <v>-5.8845609552694924</v>
      </c>
      <c r="J420">
        <f t="shared" si="450"/>
        <v>1987.8333333333301</v>
      </c>
      <c r="K420">
        <f t="shared" si="451"/>
        <v>-222</v>
      </c>
      <c r="L420">
        <f t="shared" si="452"/>
        <v>-153.029038957393</v>
      </c>
      <c r="M420" s="5">
        <v>1914.8333333333301</v>
      </c>
      <c r="N420" s="5">
        <v>-105</v>
      </c>
      <c r="O420" s="5">
        <v>-258.02456801924598</v>
      </c>
      <c r="Q420">
        <f t="shared" si="459"/>
        <v>3.7310968523000461</v>
      </c>
    </row>
    <row r="421" spans="1:17" x14ac:dyDescent="0.25">
      <c r="A421">
        <f t="shared" si="446"/>
        <v>1987.9166666666599</v>
      </c>
      <c r="B421">
        <f t="shared" si="447"/>
        <v>-182</v>
      </c>
      <c r="C421">
        <f t="shared" si="448"/>
        <v>-171.458492451469</v>
      </c>
      <c r="D421">
        <f t="shared" si="453"/>
        <v>10</v>
      </c>
      <c r="E421">
        <f t="shared" si="454"/>
        <v>7.2160125059360212</v>
      </c>
      <c r="F421">
        <f t="shared" si="456"/>
        <v>-0.5</v>
      </c>
      <c r="G421">
        <f t="shared" si="457"/>
        <v>-0.38706264474666718</v>
      </c>
      <c r="H421">
        <f t="shared" ref="H421:I421" si="490">+AVERAGE(F419:F423)</f>
        <v>-5.5666666666666673</v>
      </c>
      <c r="I421">
        <f t="shared" si="490"/>
        <v>-4.2322915686694618</v>
      </c>
      <c r="J421">
        <f t="shared" si="450"/>
        <v>1987.9166666666599</v>
      </c>
      <c r="K421">
        <f t="shared" si="451"/>
        <v>-182</v>
      </c>
      <c r="L421">
        <f t="shared" si="452"/>
        <v>-171.458492451469</v>
      </c>
      <c r="M421" s="5">
        <v>1914.9166666666599</v>
      </c>
      <c r="N421" s="5">
        <v>-105</v>
      </c>
      <c r="O421" s="5">
        <v>-255.02148318449201</v>
      </c>
      <c r="Q421">
        <f t="shared" si="459"/>
        <v>0.11293735525333282</v>
      </c>
    </row>
    <row r="422" spans="1:17" x14ac:dyDescent="0.25">
      <c r="A422">
        <f t="shared" si="446"/>
        <v>1988</v>
      </c>
      <c r="B422">
        <f t="shared" si="447"/>
        <v>-162</v>
      </c>
      <c r="C422">
        <f t="shared" si="448"/>
        <v>-204.31997095741701</v>
      </c>
      <c r="D422">
        <f t="shared" si="453"/>
        <v>8.5</v>
      </c>
      <c r="E422">
        <f t="shared" si="454"/>
        <v>-1.8523997055805239</v>
      </c>
      <c r="F422">
        <f t="shared" si="456"/>
        <v>6.666666666666667</v>
      </c>
      <c r="G422">
        <f t="shared" si="457"/>
        <v>0.48552649151093497</v>
      </c>
      <c r="H422">
        <f t="shared" ref="H422:I422" si="491">+AVERAGE(F420:F424)</f>
        <v>1.0333333333333334</v>
      </c>
      <c r="I422">
        <f t="shared" si="491"/>
        <v>-1.5869546604590323</v>
      </c>
      <c r="J422">
        <f t="shared" si="450"/>
        <v>1988</v>
      </c>
      <c r="K422">
        <f t="shared" si="451"/>
        <v>-162</v>
      </c>
      <c r="L422">
        <f t="shared" si="452"/>
        <v>-204.31997095741701</v>
      </c>
      <c r="M422" s="5">
        <v>1915</v>
      </c>
      <c r="N422" s="5">
        <v>-105</v>
      </c>
      <c r="O422" s="5">
        <v>-255.927419347908</v>
      </c>
      <c r="Q422">
        <f t="shared" si="459"/>
        <v>6.1811401751557318</v>
      </c>
    </row>
    <row r="423" spans="1:17" x14ac:dyDescent="0.25">
      <c r="A423">
        <f t="shared" si="446"/>
        <v>1988.0833333333301</v>
      </c>
      <c r="B423">
        <f t="shared" si="447"/>
        <v>-159</v>
      </c>
      <c r="C423">
        <f t="shared" si="448"/>
        <v>-233.47665005220401</v>
      </c>
      <c r="D423">
        <f t="shared" si="453"/>
        <v>1.5</v>
      </c>
      <c r="E423">
        <f t="shared" si="454"/>
        <v>-3.5428884571894912</v>
      </c>
      <c r="F423">
        <f t="shared" si="456"/>
        <v>6</v>
      </c>
      <c r="G423">
        <f t="shared" si="457"/>
        <v>-1.5491731296652083</v>
      </c>
      <c r="H423">
        <f t="shared" ref="H423:I423" si="492">+AVERAGE(F421:F425)</f>
        <v>1.8666666666666667</v>
      </c>
      <c r="I423">
        <f t="shared" si="492"/>
        <v>-1.5521008597486421</v>
      </c>
      <c r="J423">
        <f t="shared" si="450"/>
        <v>1988.0833333333301</v>
      </c>
      <c r="K423">
        <f t="shared" si="451"/>
        <v>-159</v>
      </c>
      <c r="L423">
        <f t="shared" si="452"/>
        <v>-233.47665005220401</v>
      </c>
      <c r="M423" s="5">
        <v>1915.0833333333301</v>
      </c>
      <c r="N423" s="5">
        <v>-105</v>
      </c>
      <c r="O423" s="5">
        <v>-254.94635118481099</v>
      </c>
      <c r="Q423">
        <f t="shared" si="459"/>
        <v>7.549173129665208</v>
      </c>
    </row>
    <row r="424" spans="1:17" x14ac:dyDescent="0.25">
      <c r="A424">
        <f t="shared" si="446"/>
        <v>1988.1666666666599</v>
      </c>
      <c r="B424">
        <f t="shared" si="447"/>
        <v>-159</v>
      </c>
      <c r="C424">
        <f t="shared" si="448"/>
        <v>-255.54755223261199</v>
      </c>
      <c r="D424">
        <f t="shared" si="453"/>
        <v>8</v>
      </c>
      <c r="E424">
        <f t="shared" si="454"/>
        <v>-0.41411107347451548</v>
      </c>
      <c r="F424">
        <f t="shared" si="456"/>
        <v>0.5</v>
      </c>
      <c r="G424">
        <f t="shared" si="457"/>
        <v>-2.7151608716942675</v>
      </c>
      <c r="H424">
        <f t="shared" ref="H424:I424" si="493">+AVERAGE(F422:F426)</f>
        <v>-1</v>
      </c>
      <c r="I424">
        <f t="shared" si="493"/>
        <v>-2.28061842251851</v>
      </c>
      <c r="J424">
        <f t="shared" si="450"/>
        <v>1988.1666666666599</v>
      </c>
      <c r="K424">
        <f t="shared" si="451"/>
        <v>-159</v>
      </c>
      <c r="L424">
        <f t="shared" si="452"/>
        <v>-255.54755223261199</v>
      </c>
      <c r="M424" s="5">
        <v>1915.1666666666599</v>
      </c>
      <c r="N424" s="5">
        <v>-105</v>
      </c>
      <c r="O424" s="5">
        <v>-248.42852102380701</v>
      </c>
      <c r="Q424">
        <f t="shared" si="459"/>
        <v>3.2151608716942675</v>
      </c>
    </row>
    <row r="425" spans="1:17" x14ac:dyDescent="0.25">
      <c r="A425">
        <f t="shared" si="446"/>
        <v>1988.25</v>
      </c>
      <c r="B425">
        <f t="shared" si="447"/>
        <v>-175</v>
      </c>
      <c r="C425">
        <f t="shared" si="448"/>
        <v>-276.79023226607097</v>
      </c>
      <c r="D425">
        <f t="shared" si="453"/>
        <v>-8</v>
      </c>
      <c r="E425">
        <f t="shared" si="454"/>
        <v>-6.2248537381894948</v>
      </c>
      <c r="F425">
        <f t="shared" si="456"/>
        <v>-3.3333333333333335</v>
      </c>
      <c r="G425">
        <f t="shared" si="457"/>
        <v>-3.5946341441480025</v>
      </c>
      <c r="H425">
        <f t="shared" ref="H425:I425" si="494">+AVERAGE(F423:F427)</f>
        <v>-3.666666666666667</v>
      </c>
      <c r="I425">
        <f t="shared" si="494"/>
        <v>-2.9027047340862966</v>
      </c>
      <c r="J425">
        <f t="shared" si="450"/>
        <v>1988.25</v>
      </c>
      <c r="K425">
        <f t="shared" si="451"/>
        <v>-175</v>
      </c>
      <c r="L425">
        <f t="shared" si="452"/>
        <v>-276.79023226607097</v>
      </c>
      <c r="M425" s="5">
        <v>1915.25</v>
      </c>
      <c r="N425" s="5">
        <v>-105</v>
      </c>
      <c r="O425" s="5">
        <v>-238.843884098269</v>
      </c>
      <c r="Q425">
        <f t="shared" si="459"/>
        <v>0.26130081081466905</v>
      </c>
    </row>
    <row r="426" spans="1:17" x14ac:dyDescent="0.25">
      <c r="A426">
        <f t="shared" si="446"/>
        <v>1988.3333333333301</v>
      </c>
      <c r="B426">
        <f t="shared" si="447"/>
        <v>-175</v>
      </c>
      <c r="C426">
        <f t="shared" si="448"/>
        <v>-285.58320482315099</v>
      </c>
      <c r="D426">
        <f t="shared" si="453"/>
        <v>-10</v>
      </c>
      <c r="E426">
        <f t="shared" si="454"/>
        <v>-6.8409132288909973</v>
      </c>
      <c r="F426">
        <f t="shared" si="456"/>
        <v>-14.833333333333334</v>
      </c>
      <c r="G426">
        <f t="shared" si="457"/>
        <v>-4.0296504585960067</v>
      </c>
      <c r="H426">
        <f t="shared" ref="H426:I426" si="495">+AVERAGE(F424:F428)</f>
        <v>-4.2000000000000011</v>
      </c>
      <c r="I426">
        <f t="shared" si="495"/>
        <v>-2.8500538049031503</v>
      </c>
      <c r="J426">
        <f t="shared" si="450"/>
        <v>1988.3333333333301</v>
      </c>
      <c r="K426">
        <f t="shared" si="451"/>
        <v>-175</v>
      </c>
      <c r="L426">
        <f t="shared" si="452"/>
        <v>-285.58320482315099</v>
      </c>
      <c r="M426" s="5">
        <v>1915.3333333333301</v>
      </c>
      <c r="N426" s="5">
        <v>-105</v>
      </c>
      <c r="O426" s="5">
        <v>-196.71226319717599</v>
      </c>
      <c r="Q426">
        <f t="shared" si="459"/>
        <v>10.803682874737326</v>
      </c>
    </row>
    <row r="427" spans="1:17" x14ac:dyDescent="0.25">
      <c r="A427">
        <f t="shared" si="446"/>
        <v>1988.4166666666599</v>
      </c>
      <c r="B427">
        <f t="shared" si="447"/>
        <v>-155</v>
      </c>
      <c r="C427">
        <f t="shared" si="448"/>
        <v>-280.69435092244902</v>
      </c>
      <c r="D427">
        <f t="shared" si="453"/>
        <v>-26.5</v>
      </c>
      <c r="E427">
        <f t="shared" si="454"/>
        <v>-2.0454222526545323</v>
      </c>
      <c r="F427">
        <f t="shared" si="456"/>
        <v>-6.666666666666667</v>
      </c>
      <c r="G427">
        <f t="shared" si="457"/>
        <v>-2.6249050663279987</v>
      </c>
      <c r="H427">
        <f t="shared" ref="H427:I427" si="496">+AVERAGE(F425:F429)</f>
        <v>-1.8666666666666676</v>
      </c>
      <c r="I427">
        <f t="shared" si="496"/>
        <v>-2.5684159168837901</v>
      </c>
      <c r="J427">
        <f t="shared" si="450"/>
        <v>1988.4166666666599</v>
      </c>
      <c r="K427">
        <f t="shared" si="451"/>
        <v>-155</v>
      </c>
      <c r="L427">
        <f t="shared" si="452"/>
        <v>-280.69435092244902</v>
      </c>
      <c r="M427" s="5">
        <v>1915.4166666666599</v>
      </c>
      <c r="N427" s="5">
        <v>-105</v>
      </c>
      <c r="O427" s="5">
        <v>-25.486645325130102</v>
      </c>
      <c r="Q427">
        <f t="shared" si="459"/>
        <v>4.0417616003386687</v>
      </c>
    </row>
    <row r="428" spans="1:17" x14ac:dyDescent="0.25">
      <c r="A428">
        <f t="shared" si="446"/>
        <v>1988.5</v>
      </c>
      <c r="B428">
        <f t="shared" si="447"/>
        <v>-82</v>
      </c>
      <c r="C428">
        <f t="shared" si="448"/>
        <v>-271.71465251643798</v>
      </c>
      <c r="D428">
        <f t="shared" si="453"/>
        <v>16.5</v>
      </c>
      <c r="E428">
        <f t="shared" si="454"/>
        <v>-0.95705851718446411</v>
      </c>
      <c r="F428">
        <f t="shared" si="456"/>
        <v>3.3333333333333335</v>
      </c>
      <c r="G428">
        <f t="shared" si="457"/>
        <v>-1.2859184837494773</v>
      </c>
      <c r="H428">
        <f t="shared" ref="H428:I428" si="497">+AVERAGE(F426:F430)</f>
        <v>-0.46666666666666706</v>
      </c>
      <c r="I428">
        <f t="shared" si="497"/>
        <v>-2.6565381195324855</v>
      </c>
      <c r="J428">
        <f t="shared" si="450"/>
        <v>1988.5</v>
      </c>
      <c r="K428">
        <f t="shared" si="451"/>
        <v>-82</v>
      </c>
      <c r="L428">
        <f t="shared" si="452"/>
        <v>-271.71465251643798</v>
      </c>
      <c r="M428" s="5">
        <v>1915.5</v>
      </c>
      <c r="N428" s="5">
        <v>-105</v>
      </c>
      <c r="O428" s="5">
        <v>150.77098748385799</v>
      </c>
      <c r="Q428">
        <f t="shared" si="459"/>
        <v>4.6192518170828105</v>
      </c>
    </row>
    <row r="429" spans="1:17" x14ac:dyDescent="0.25">
      <c r="A429">
        <f t="shared" si="446"/>
        <v>1988.5833333333301</v>
      </c>
      <c r="B429">
        <f t="shared" si="447"/>
        <v>-42</v>
      </c>
      <c r="C429">
        <f t="shared" si="448"/>
        <v>-260.82083707605801</v>
      </c>
      <c r="D429">
        <f t="shared" si="453"/>
        <v>20</v>
      </c>
      <c r="E429">
        <f t="shared" si="454"/>
        <v>-1.8197135442215426</v>
      </c>
      <c r="F429">
        <f t="shared" si="456"/>
        <v>12.166666666666666</v>
      </c>
      <c r="G429">
        <f t="shared" si="457"/>
        <v>-1.3069714315974656</v>
      </c>
      <c r="H429">
        <f t="shared" ref="H429:I429" si="498">+AVERAGE(F427:F431)</f>
        <v>1.8999999999999997</v>
      </c>
      <c r="I429">
        <f t="shared" si="498"/>
        <v>-2.7350851302840833</v>
      </c>
      <c r="J429">
        <f t="shared" si="450"/>
        <v>1988.5833333333301</v>
      </c>
      <c r="K429">
        <f t="shared" si="451"/>
        <v>-42</v>
      </c>
      <c r="L429">
        <f t="shared" si="452"/>
        <v>-260.82083707605801</v>
      </c>
      <c r="M429" s="5">
        <v>1915.5833333333301</v>
      </c>
      <c r="N429" s="5">
        <v>-105</v>
      </c>
      <c r="O429" s="5">
        <v>193.65223913220501</v>
      </c>
      <c r="Q429">
        <f t="shared" si="459"/>
        <v>13.473638098264132</v>
      </c>
    </row>
    <row r="430" spans="1:17" x14ac:dyDescent="0.25">
      <c r="A430">
        <f t="shared" si="446"/>
        <v>1988.6666666666599</v>
      </c>
      <c r="B430">
        <f t="shared" si="447"/>
        <v>-42</v>
      </c>
      <c r="C430">
        <f t="shared" si="448"/>
        <v>-246.28759454723499</v>
      </c>
      <c r="D430">
        <f t="shared" si="453"/>
        <v>0</v>
      </c>
      <c r="E430">
        <f t="shared" si="454"/>
        <v>-2.1243708070844889</v>
      </c>
      <c r="F430">
        <f t="shared" si="456"/>
        <v>3.6666666666666665</v>
      </c>
      <c r="G430">
        <f t="shared" si="457"/>
        <v>-4.0352451573914783</v>
      </c>
      <c r="H430">
        <f t="shared" ref="H430:I430" si="499">+AVERAGE(F428:F432)</f>
        <v>3.2333333333333334</v>
      </c>
      <c r="I430">
        <f t="shared" si="499"/>
        <v>-1.2211406142250176</v>
      </c>
      <c r="J430">
        <f t="shared" si="450"/>
        <v>1988.6666666666599</v>
      </c>
      <c r="K430">
        <f t="shared" si="451"/>
        <v>-42</v>
      </c>
      <c r="L430">
        <f t="shared" si="452"/>
        <v>-246.28759454723499</v>
      </c>
      <c r="M430" s="5">
        <v>1915.6666666666599</v>
      </c>
      <c r="N430" s="5">
        <v>-105</v>
      </c>
      <c r="O430" s="5">
        <v>209.66188159773901</v>
      </c>
      <c r="Q430">
        <f t="shared" si="459"/>
        <v>7.7019118240581452</v>
      </c>
    </row>
    <row r="431" spans="1:17" x14ac:dyDescent="0.25">
      <c r="A431">
        <f t="shared" si="446"/>
        <v>1988.75</v>
      </c>
      <c r="B431">
        <f t="shared" si="447"/>
        <v>-42</v>
      </c>
      <c r="C431">
        <f t="shared" si="448"/>
        <v>-227.50561040424299</v>
      </c>
      <c r="D431">
        <f t="shared" si="453"/>
        <v>-9</v>
      </c>
      <c r="E431">
        <f t="shared" si="454"/>
        <v>-11.18808498891201</v>
      </c>
      <c r="F431">
        <f t="shared" si="456"/>
        <v>-3</v>
      </c>
      <c r="G431">
        <f t="shared" si="457"/>
        <v>-4.4223855123539959</v>
      </c>
      <c r="H431">
        <f t="shared" ref="H431:I431" si="500">+AVERAGE(F429:F433)</f>
        <v>3.6666666666666665</v>
      </c>
      <c r="I431">
        <f t="shared" si="500"/>
        <v>0.82802851870327676</v>
      </c>
      <c r="J431">
        <f t="shared" si="450"/>
        <v>1988.75</v>
      </c>
      <c r="K431">
        <f t="shared" si="451"/>
        <v>-42</v>
      </c>
      <c r="L431">
        <f t="shared" si="452"/>
        <v>-227.50561040424299</v>
      </c>
      <c r="M431" s="5">
        <v>1915.75</v>
      </c>
      <c r="N431" s="5">
        <v>-105</v>
      </c>
      <c r="O431" s="5">
        <v>215.18785699428801</v>
      </c>
      <c r="Q431">
        <f t="shared" si="459"/>
        <v>1.4223855123539959</v>
      </c>
    </row>
    <row r="432" spans="1:17" x14ac:dyDescent="0.25">
      <c r="A432">
        <f t="shared" si="446"/>
        <v>1988.8333333333301</v>
      </c>
      <c r="B432">
        <f t="shared" si="447"/>
        <v>-24</v>
      </c>
      <c r="C432">
        <f t="shared" si="448"/>
        <v>-186.34745628342699</v>
      </c>
      <c r="D432">
        <f t="shared" si="453"/>
        <v>0</v>
      </c>
      <c r="E432">
        <f t="shared" si="454"/>
        <v>-3.2714898753309853</v>
      </c>
      <c r="F432">
        <f t="shared" si="456"/>
        <v>0</v>
      </c>
      <c r="G432">
        <f t="shared" si="457"/>
        <v>4.9448175139673296</v>
      </c>
      <c r="H432">
        <f t="shared" ref="H432:I432" si="501">+AVERAGE(F430:F434)</f>
        <v>3.3</v>
      </c>
      <c r="I432">
        <f t="shared" si="501"/>
        <v>2.2148887047870889</v>
      </c>
      <c r="J432">
        <f t="shared" si="450"/>
        <v>1988.8333333333301</v>
      </c>
      <c r="K432">
        <f t="shared" si="451"/>
        <v>-24</v>
      </c>
      <c r="L432">
        <f t="shared" si="452"/>
        <v>-186.34745628342699</v>
      </c>
      <c r="M432" s="5">
        <v>1915.8333333333301</v>
      </c>
      <c r="N432" s="5">
        <v>-105</v>
      </c>
      <c r="O432" s="5">
        <v>221.827590472569</v>
      </c>
      <c r="Q432">
        <f t="shared" si="459"/>
        <v>4.9448175139673296</v>
      </c>
    </row>
    <row r="433" spans="1:17" x14ac:dyDescent="0.25">
      <c r="A433">
        <f t="shared" si="446"/>
        <v>1988.9166666666599</v>
      </c>
      <c r="B433">
        <f t="shared" si="447"/>
        <v>-6</v>
      </c>
      <c r="C433">
        <f t="shared" si="448"/>
        <v>-138.646322411949</v>
      </c>
      <c r="D433">
        <f t="shared" si="453"/>
        <v>9</v>
      </c>
      <c r="E433">
        <f t="shared" si="454"/>
        <v>33.00264054162048</v>
      </c>
      <c r="F433">
        <f t="shared" si="456"/>
        <v>5.5</v>
      </c>
      <c r="G433">
        <f t="shared" si="457"/>
        <v>8.9599271808919934</v>
      </c>
      <c r="H433">
        <f t="shared" ref="H433:I433" si="502">+AVERAGE(F431:F435)</f>
        <v>2.5666666666666669</v>
      </c>
      <c r="I433">
        <f t="shared" si="502"/>
        <v>0.71433299182959653</v>
      </c>
      <c r="J433">
        <f t="shared" si="450"/>
        <v>1988.9166666666599</v>
      </c>
      <c r="K433">
        <f t="shared" si="451"/>
        <v>-6</v>
      </c>
      <c r="L433">
        <f t="shared" si="452"/>
        <v>-138.646322411949</v>
      </c>
      <c r="M433" s="5">
        <v>1915.9166666666599</v>
      </c>
      <c r="N433" s="5">
        <v>-105</v>
      </c>
      <c r="O433" s="5">
        <v>213.80412988577001</v>
      </c>
      <c r="Q433">
        <f t="shared" si="459"/>
        <v>3.4599271808919934</v>
      </c>
    </row>
    <row r="434" spans="1:17" x14ac:dyDescent="0.25">
      <c r="A434">
        <f t="shared" si="446"/>
        <v>1989</v>
      </c>
      <c r="B434">
        <f t="shared" si="447"/>
        <v>-6</v>
      </c>
      <c r="C434">
        <f t="shared" si="448"/>
        <v>-156.950469623712</v>
      </c>
      <c r="D434">
        <f t="shared" si="453"/>
        <v>7.5</v>
      </c>
      <c r="E434">
        <f t="shared" si="454"/>
        <v>3.868576262055484</v>
      </c>
      <c r="F434">
        <f t="shared" si="456"/>
        <v>10.333333333333334</v>
      </c>
      <c r="G434">
        <f t="shared" si="457"/>
        <v>5.6273294988215952</v>
      </c>
      <c r="H434">
        <f t="shared" ref="H434:I434" si="503">+AVERAGE(F432:F436)</f>
        <v>-0.99999999999999967</v>
      </c>
      <c r="I434">
        <f t="shared" si="503"/>
        <v>-5.7337569974342717</v>
      </c>
      <c r="J434">
        <f t="shared" si="450"/>
        <v>1989</v>
      </c>
      <c r="K434">
        <f t="shared" si="451"/>
        <v>-6</v>
      </c>
      <c r="L434">
        <f t="shared" si="452"/>
        <v>-156.950469623712</v>
      </c>
      <c r="M434" s="5">
        <v>1916</v>
      </c>
      <c r="N434" s="5">
        <v>-105</v>
      </c>
      <c r="O434" s="5">
        <v>168.083853823054</v>
      </c>
      <c r="Q434">
        <f t="shared" si="459"/>
        <v>4.7060038345117388</v>
      </c>
    </row>
    <row r="435" spans="1:17" x14ac:dyDescent="0.25">
      <c r="A435">
        <f t="shared" si="446"/>
        <v>1989.0833333333301</v>
      </c>
      <c r="B435">
        <f t="shared" si="447"/>
        <v>-21</v>
      </c>
      <c r="C435">
        <f t="shared" si="448"/>
        <v>-182.99176935958599</v>
      </c>
      <c r="D435">
        <f t="shared" si="453"/>
        <v>14.5</v>
      </c>
      <c r="E435">
        <f t="shared" si="454"/>
        <v>-15.768731183094985</v>
      </c>
      <c r="F435">
        <f t="shared" si="456"/>
        <v>0</v>
      </c>
      <c r="G435">
        <f t="shared" si="457"/>
        <v>-11.53802372217894</v>
      </c>
      <c r="H435">
        <f t="shared" ref="H435:I435" si="504">+AVERAGE(F433:F437)</f>
        <v>-5.8</v>
      </c>
      <c r="I435">
        <f t="shared" si="504"/>
        <v>-8.7836312948963506</v>
      </c>
      <c r="J435">
        <f t="shared" si="450"/>
        <v>1989.0833333333301</v>
      </c>
      <c r="K435">
        <f t="shared" si="451"/>
        <v>-21</v>
      </c>
      <c r="L435">
        <f t="shared" si="452"/>
        <v>-182.99176935958599</v>
      </c>
      <c r="M435" s="5">
        <v>1916.0833333333301</v>
      </c>
      <c r="N435" s="5">
        <v>-105</v>
      </c>
      <c r="O435" s="5">
        <v>96.9902825696646</v>
      </c>
      <c r="Q435">
        <f t="shared" si="459"/>
        <v>11.53802372217894</v>
      </c>
    </row>
    <row r="436" spans="1:17" x14ac:dyDescent="0.25">
      <c r="A436">
        <f t="shared" si="446"/>
        <v>1989.1666666666599</v>
      </c>
      <c r="B436">
        <f t="shared" si="447"/>
        <v>-65</v>
      </c>
      <c r="C436">
        <f t="shared" si="448"/>
        <v>-177.49560672927001</v>
      </c>
      <c r="D436">
        <f t="shared" si="453"/>
        <v>-22</v>
      </c>
      <c r="E436">
        <f t="shared" si="454"/>
        <v>-31.367434037131517</v>
      </c>
      <c r="F436">
        <f t="shared" si="456"/>
        <v>-20.833333333333332</v>
      </c>
      <c r="G436">
        <f t="shared" si="457"/>
        <v>-36.662835458673335</v>
      </c>
      <c r="H436">
        <f t="shared" ref="H436:I436" si="505">+AVERAGE(F434:F438)</f>
        <v>-7.9333333333333327</v>
      </c>
      <c r="I436">
        <f t="shared" si="505"/>
        <v>-9.2831693633901367</v>
      </c>
      <c r="J436">
        <f t="shared" si="450"/>
        <v>1989.1666666666599</v>
      </c>
      <c r="K436">
        <f t="shared" si="451"/>
        <v>-65</v>
      </c>
      <c r="L436">
        <f t="shared" si="452"/>
        <v>-177.49560672927001</v>
      </c>
      <c r="M436" s="5">
        <v>1916.1666666666599</v>
      </c>
      <c r="N436" s="5">
        <v>-105</v>
      </c>
      <c r="O436" s="5">
        <v>51.940136307062303</v>
      </c>
      <c r="Q436">
        <f t="shared" si="459"/>
        <v>15.829502125340003</v>
      </c>
    </row>
    <row r="437" spans="1:17" x14ac:dyDescent="0.25">
      <c r="A437">
        <f t="shared" si="446"/>
        <v>1989.25</v>
      </c>
      <c r="B437">
        <f t="shared" si="447"/>
        <v>-65</v>
      </c>
      <c r="C437">
        <f t="shared" si="448"/>
        <v>-109.264576024691</v>
      </c>
      <c r="D437">
        <f t="shared" si="453"/>
        <v>-55</v>
      </c>
      <c r="E437">
        <f t="shared" si="454"/>
        <v>-90.349467749798492</v>
      </c>
      <c r="F437">
        <f t="shared" si="456"/>
        <v>-24</v>
      </c>
      <c r="G437">
        <f t="shared" si="457"/>
        <v>-10.30455397334307</v>
      </c>
      <c r="H437">
        <f t="shared" ref="H437:I437" si="506">+AVERAGE(F435:F439)</f>
        <v>-6.9666666666666659</v>
      </c>
      <c r="I437">
        <f t="shared" si="506"/>
        <v>-3.9214753562786155</v>
      </c>
      <c r="J437">
        <f t="shared" si="450"/>
        <v>1989.25</v>
      </c>
      <c r="K437">
        <f t="shared" si="451"/>
        <v>-65</v>
      </c>
      <c r="L437">
        <f t="shared" si="452"/>
        <v>-109.264576024691</v>
      </c>
      <c r="M437" s="5">
        <v>1916.25</v>
      </c>
      <c r="N437" s="5">
        <v>-105</v>
      </c>
      <c r="O437" s="5">
        <v>46.5574357083864</v>
      </c>
      <c r="Q437">
        <f t="shared" si="459"/>
        <v>13.69544602665693</v>
      </c>
    </row>
    <row r="438" spans="1:17" x14ac:dyDescent="0.25">
      <c r="A438">
        <f t="shared" si="446"/>
        <v>1989.3333333333301</v>
      </c>
      <c r="B438">
        <f t="shared" si="447"/>
        <v>45</v>
      </c>
      <c r="C438">
        <f t="shared" si="448"/>
        <v>139.665390179485</v>
      </c>
      <c r="D438">
        <f t="shared" si="453"/>
        <v>5</v>
      </c>
      <c r="E438">
        <f t="shared" si="454"/>
        <v>83.074824386893496</v>
      </c>
      <c r="F438">
        <f t="shared" si="456"/>
        <v>-5.166666666666667</v>
      </c>
      <c r="G438">
        <f t="shared" si="457"/>
        <v>6.4622368384230686</v>
      </c>
      <c r="H438">
        <f t="shared" ref="H438:I438" si="507">+AVERAGE(F436:F440)</f>
        <v>-3.833333333333333</v>
      </c>
      <c r="I438">
        <f t="shared" si="507"/>
        <v>0.55553269747175871</v>
      </c>
      <c r="J438">
        <f t="shared" si="450"/>
        <v>1989.3333333333301</v>
      </c>
      <c r="K438">
        <f t="shared" si="451"/>
        <v>45</v>
      </c>
      <c r="L438">
        <f t="shared" si="452"/>
        <v>139.665390179485</v>
      </c>
      <c r="M438" s="5">
        <v>1916.3333333333301</v>
      </c>
      <c r="N438" s="5">
        <v>-105</v>
      </c>
      <c r="O438" s="5">
        <v>82.8272333497939</v>
      </c>
      <c r="Q438">
        <f t="shared" si="459"/>
        <v>11.628903505089735</v>
      </c>
    </row>
    <row r="439" spans="1:17" x14ac:dyDescent="0.25">
      <c r="A439">
        <f t="shared" si="446"/>
        <v>1989.4166666666599</v>
      </c>
      <c r="B439">
        <f t="shared" si="447"/>
        <v>145</v>
      </c>
      <c r="C439">
        <f t="shared" si="448"/>
        <v>222.44570760987401</v>
      </c>
      <c r="D439">
        <f t="shared" si="453"/>
        <v>34.5</v>
      </c>
      <c r="E439">
        <f t="shared" si="454"/>
        <v>31.5080315069915</v>
      </c>
      <c r="F439">
        <f t="shared" si="456"/>
        <v>15.166666666666666</v>
      </c>
      <c r="G439">
        <f t="shared" si="457"/>
        <v>32.4357995343792</v>
      </c>
      <c r="H439">
        <f t="shared" ref="H439:I439" si="508">+AVERAGE(F437:F441)</f>
        <v>1.3333333333333328</v>
      </c>
      <c r="I439">
        <f t="shared" si="508"/>
        <v>8.3893693469041306</v>
      </c>
      <c r="J439">
        <f t="shared" si="450"/>
        <v>1989.4166666666599</v>
      </c>
      <c r="K439">
        <f t="shared" si="451"/>
        <v>145</v>
      </c>
      <c r="L439">
        <f t="shared" si="452"/>
        <v>222.44570760987401</v>
      </c>
      <c r="M439" s="5">
        <v>1916.4166666666599</v>
      </c>
      <c r="N439" s="5">
        <v>-105</v>
      </c>
      <c r="O439" s="5">
        <v>69.774777146670203</v>
      </c>
      <c r="Q439">
        <f t="shared" si="459"/>
        <v>17.269132867712536</v>
      </c>
    </row>
    <row r="440" spans="1:17" x14ac:dyDescent="0.25">
      <c r="A440">
        <f t="shared" si="446"/>
        <v>1989.5</v>
      </c>
      <c r="B440">
        <f t="shared" si="447"/>
        <v>176</v>
      </c>
      <c r="C440">
        <f t="shared" si="448"/>
        <v>242.20996202628001</v>
      </c>
      <c r="D440">
        <f t="shared" si="453"/>
        <v>6</v>
      </c>
      <c r="E440">
        <f t="shared" si="454"/>
        <v>7.0513923600369992</v>
      </c>
      <c r="F440">
        <f t="shared" si="456"/>
        <v>15.666666666666666</v>
      </c>
      <c r="G440">
        <f t="shared" si="457"/>
        <v>10.847016546572931</v>
      </c>
      <c r="H440">
        <f t="shared" ref="H440:I440" si="509">+AVERAGE(F438:F442)</f>
        <v>6.7666666666666657</v>
      </c>
      <c r="I440">
        <f t="shared" si="509"/>
        <v>10.546993705450131</v>
      </c>
      <c r="J440">
        <f t="shared" si="450"/>
        <v>1989.5</v>
      </c>
      <c r="K440">
        <f t="shared" si="451"/>
        <v>176</v>
      </c>
      <c r="L440">
        <f t="shared" si="452"/>
        <v>242.20996202628001</v>
      </c>
      <c r="M440" s="5">
        <v>1916.5</v>
      </c>
      <c r="N440" s="5">
        <v>-105</v>
      </c>
      <c r="O440" s="5">
        <v>-53.209333146500803</v>
      </c>
      <c r="Q440">
        <f t="shared" si="459"/>
        <v>4.8196501200937352</v>
      </c>
    </row>
    <row r="441" spans="1:17" x14ac:dyDescent="0.25">
      <c r="A441">
        <f t="shared" si="446"/>
        <v>1989.5833333333301</v>
      </c>
      <c r="B441">
        <f t="shared" si="447"/>
        <v>195</v>
      </c>
      <c r="C441">
        <f t="shared" si="448"/>
        <v>247.87143172261199</v>
      </c>
      <c r="D441">
        <f t="shared" si="453"/>
        <v>6.5</v>
      </c>
      <c r="E441">
        <f t="shared" si="454"/>
        <v>2.1168881826199879</v>
      </c>
      <c r="F441">
        <f t="shared" si="456"/>
        <v>5</v>
      </c>
      <c r="G441">
        <f t="shared" si="457"/>
        <v>2.506347788488529</v>
      </c>
      <c r="H441">
        <f t="shared" ref="H441:I441" si="510">+AVERAGE(F439:F443)</f>
        <v>8.0333333333333314</v>
      </c>
      <c r="I441">
        <f t="shared" si="510"/>
        <v>9.5404010931115444</v>
      </c>
      <c r="J441">
        <f t="shared" si="450"/>
        <v>1989.5833333333301</v>
      </c>
      <c r="K441">
        <f t="shared" si="451"/>
        <v>195</v>
      </c>
      <c r="L441">
        <f t="shared" si="452"/>
        <v>247.87143172261199</v>
      </c>
      <c r="M441" s="5">
        <v>1916.5833333333301</v>
      </c>
      <c r="N441" s="5">
        <v>-105</v>
      </c>
      <c r="O441" s="5">
        <v>-131.65068276260899</v>
      </c>
      <c r="Q441">
        <f t="shared" si="459"/>
        <v>2.493652211511471</v>
      </c>
    </row>
    <row r="442" spans="1:17" x14ac:dyDescent="0.25">
      <c r="A442">
        <f t="shared" si="446"/>
        <v>1989.6666666666599</v>
      </c>
      <c r="B442">
        <f t="shared" si="447"/>
        <v>201</v>
      </c>
      <c r="C442">
        <f t="shared" si="448"/>
        <v>249.29912505370399</v>
      </c>
      <c r="D442">
        <f t="shared" si="453"/>
        <v>2.5</v>
      </c>
      <c r="E442">
        <f t="shared" si="454"/>
        <v>0.2305236641749957</v>
      </c>
      <c r="F442">
        <f t="shared" si="456"/>
        <v>3.1666666666666665</v>
      </c>
      <c r="G442">
        <f t="shared" si="457"/>
        <v>0.48356781938692467</v>
      </c>
      <c r="H442">
        <f t="shared" ref="H442:I442" si="511">+AVERAGE(F440:F444)</f>
        <v>5.8333333333333339</v>
      </c>
      <c r="I442">
        <f t="shared" si="511"/>
        <v>3.8354154451685831</v>
      </c>
      <c r="J442">
        <f t="shared" si="450"/>
        <v>1989.6666666666599</v>
      </c>
      <c r="K442">
        <f t="shared" si="451"/>
        <v>201</v>
      </c>
      <c r="L442">
        <f t="shared" si="452"/>
        <v>249.29912505370399</v>
      </c>
      <c r="M442" s="5">
        <v>1916.6666666666599</v>
      </c>
      <c r="N442" s="5">
        <v>-105</v>
      </c>
      <c r="O442" s="5">
        <v>-177.16671058224</v>
      </c>
      <c r="Q442">
        <f t="shared" si="459"/>
        <v>2.6830988472797417</v>
      </c>
    </row>
    <row r="443" spans="1:17" x14ac:dyDescent="0.25">
      <c r="A443">
        <f t="shared" si="446"/>
        <v>1989.75</v>
      </c>
      <c r="B443">
        <f t="shared" si="447"/>
        <v>202</v>
      </c>
      <c r="C443">
        <f t="shared" si="448"/>
        <v>250.265771056446</v>
      </c>
      <c r="D443">
        <f t="shared" si="453"/>
        <v>0.5</v>
      </c>
      <c r="E443">
        <f t="shared" si="454"/>
        <v>-0.53403252409401603</v>
      </c>
      <c r="F443">
        <f t="shared" si="456"/>
        <v>1.1666666666666667</v>
      </c>
      <c r="G443">
        <f t="shared" si="457"/>
        <v>1.4292737767301333</v>
      </c>
      <c r="H443">
        <f t="shared" ref="H443:I443" si="512">+AVERAGE(F441:F445)</f>
        <v>10.7</v>
      </c>
      <c r="I443">
        <f t="shared" si="512"/>
        <v>2.9205872809538098</v>
      </c>
      <c r="J443">
        <f t="shared" si="450"/>
        <v>1989.75</v>
      </c>
      <c r="K443">
        <f t="shared" si="451"/>
        <v>202</v>
      </c>
      <c r="L443">
        <f t="shared" si="452"/>
        <v>250.265771056446</v>
      </c>
      <c r="M443" s="5">
        <v>1916.75</v>
      </c>
      <c r="N443" s="5">
        <v>-105</v>
      </c>
      <c r="O443" s="5">
        <v>-208.250148838054</v>
      </c>
      <c r="Q443">
        <f t="shared" si="459"/>
        <v>0.2626071100634666</v>
      </c>
    </row>
    <row r="444" spans="1:17" x14ac:dyDescent="0.25">
      <c r="A444">
        <f t="shared" si="446"/>
        <v>1989.8333333333301</v>
      </c>
      <c r="B444">
        <f t="shared" si="447"/>
        <v>202</v>
      </c>
      <c r="C444">
        <f t="shared" si="448"/>
        <v>252.30048210737601</v>
      </c>
      <c r="D444">
        <f t="shared" si="453"/>
        <v>0.5</v>
      </c>
      <c r="E444">
        <f t="shared" si="454"/>
        <v>5.66328552265702</v>
      </c>
      <c r="F444">
        <f t="shared" si="456"/>
        <v>4.166666666666667</v>
      </c>
      <c r="G444">
        <f t="shared" si="457"/>
        <v>3.9108712946643971</v>
      </c>
      <c r="H444">
        <f t="shared" ref="H444:I444" si="513">+AVERAGE(F442:F446)</f>
        <v>10</v>
      </c>
      <c r="I444">
        <f t="shared" si="513"/>
        <v>5.2480768009441432</v>
      </c>
      <c r="J444">
        <f t="shared" si="450"/>
        <v>1989.8333333333301</v>
      </c>
      <c r="K444">
        <f t="shared" si="451"/>
        <v>202</v>
      </c>
      <c r="L444">
        <f t="shared" si="452"/>
        <v>252.30048210737601</v>
      </c>
      <c r="M444" s="5">
        <v>1916.8333333333301</v>
      </c>
      <c r="N444" s="5">
        <v>-105</v>
      </c>
      <c r="O444" s="5">
        <v>-223.55725841465301</v>
      </c>
      <c r="Q444">
        <f t="shared" si="459"/>
        <v>0.25579537200226987</v>
      </c>
    </row>
    <row r="445" spans="1:17" x14ac:dyDescent="0.25">
      <c r="A445">
        <f t="shared" si="446"/>
        <v>1989.9166666666599</v>
      </c>
      <c r="B445">
        <f t="shared" si="447"/>
        <v>201</v>
      </c>
      <c r="C445">
        <f t="shared" si="448"/>
        <v>243.00862211299199</v>
      </c>
      <c r="D445">
        <f t="shared" si="453"/>
        <v>11.5</v>
      </c>
      <c r="E445">
        <f t="shared" si="454"/>
        <v>9.5365143564284836</v>
      </c>
      <c r="F445">
        <f t="shared" si="456"/>
        <v>40</v>
      </c>
      <c r="G445">
        <f t="shared" si="457"/>
        <v>6.2728757254990652</v>
      </c>
      <c r="H445">
        <f t="shared" ref="H445:I445" si="514">+AVERAGE(F443:F447)</f>
        <v>13.266666666666669</v>
      </c>
      <c r="I445">
        <f t="shared" si="514"/>
        <v>9.6925602976917595</v>
      </c>
      <c r="J445">
        <f t="shared" si="450"/>
        <v>1989.9166666666599</v>
      </c>
      <c r="K445">
        <f t="shared" si="451"/>
        <v>201</v>
      </c>
      <c r="L445">
        <f t="shared" si="452"/>
        <v>243.00862211299199</v>
      </c>
      <c r="M445" s="5">
        <v>1916.9166666666599</v>
      </c>
      <c r="N445" s="5">
        <v>-105</v>
      </c>
      <c r="O445" s="5">
        <v>-239.72089287637101</v>
      </c>
      <c r="Q445">
        <f t="shared" si="459"/>
        <v>33.727124274500937</v>
      </c>
    </row>
    <row r="446" spans="1:17" x14ac:dyDescent="0.25">
      <c r="A446">
        <f t="shared" si="446"/>
        <v>1990</v>
      </c>
      <c r="B446">
        <f t="shared" si="447"/>
        <v>177</v>
      </c>
      <c r="C446">
        <f t="shared" si="448"/>
        <v>214.64373340575099</v>
      </c>
      <c r="D446">
        <f t="shared" si="453"/>
        <v>108</v>
      </c>
      <c r="E446">
        <f t="shared" si="454"/>
        <v>8.3234840915359882</v>
      </c>
      <c r="F446">
        <f t="shared" si="456"/>
        <v>1.5</v>
      </c>
      <c r="G446">
        <f t="shared" si="457"/>
        <v>14.143795388440195</v>
      </c>
      <c r="H446">
        <f t="shared" ref="H446:I446" si="515">+AVERAGE(F444:F448)</f>
        <v>5.5333333333333314</v>
      </c>
      <c r="I446">
        <f t="shared" si="515"/>
        <v>9.7899924193908525</v>
      </c>
      <c r="J446">
        <f t="shared" si="450"/>
        <v>1990</v>
      </c>
      <c r="K446">
        <f t="shared" si="451"/>
        <v>177</v>
      </c>
      <c r="L446">
        <f t="shared" si="452"/>
        <v>214.64373340575099</v>
      </c>
      <c r="M446" s="5">
        <v>1917</v>
      </c>
      <c r="N446" s="5">
        <v>-105</v>
      </c>
      <c r="O446" s="5">
        <v>-247.76688569643301</v>
      </c>
      <c r="Q446">
        <f t="shared" si="459"/>
        <v>12.643795388440195</v>
      </c>
    </row>
    <row r="447" spans="1:17" x14ac:dyDescent="0.25">
      <c r="A447">
        <f t="shared" si="446"/>
        <v>1990.0833333333301</v>
      </c>
      <c r="B447">
        <f t="shared" si="447"/>
        <v>-63</v>
      </c>
      <c r="C447">
        <f t="shared" si="448"/>
        <v>169.63187651543799</v>
      </c>
      <c r="D447">
        <f t="shared" si="453"/>
        <v>-115</v>
      </c>
      <c r="E447">
        <f t="shared" si="454"/>
        <v>35.17923425868625</v>
      </c>
      <c r="F447">
        <f t="shared" si="456"/>
        <v>19.5</v>
      </c>
      <c r="G447">
        <f t="shared" si="457"/>
        <v>22.705985303125001</v>
      </c>
      <c r="H447">
        <f t="shared" ref="H447:I447" si="516">+AVERAGE(F445:F449)</f>
        <v>4.3666666666666663</v>
      </c>
      <c r="I447">
        <f t="shared" si="516"/>
        <v>6.6524209263012661</v>
      </c>
      <c r="J447">
        <f t="shared" si="450"/>
        <v>1990.0833333333301</v>
      </c>
      <c r="K447">
        <f t="shared" si="451"/>
        <v>-63</v>
      </c>
      <c r="L447">
        <f t="shared" si="452"/>
        <v>169.63187651543799</v>
      </c>
      <c r="M447" s="5">
        <v>1917.0833333333301</v>
      </c>
      <c r="N447" s="5">
        <v>-105</v>
      </c>
      <c r="O447" s="5">
        <v>-236.215498993984</v>
      </c>
      <c r="Q447">
        <f t="shared" si="459"/>
        <v>3.2059853031250007</v>
      </c>
    </row>
    <row r="448" spans="1:17" x14ac:dyDescent="0.25">
      <c r="A448">
        <f t="shared" si="446"/>
        <v>1990.1666666666599</v>
      </c>
      <c r="B448">
        <f t="shared" si="447"/>
        <v>-73</v>
      </c>
      <c r="C448">
        <f t="shared" si="448"/>
        <v>54.261551107752503</v>
      </c>
      <c r="D448">
        <f t="shared" si="453"/>
        <v>65.5</v>
      </c>
      <c r="E448">
        <f t="shared" si="454"/>
        <v>41.644726536496499</v>
      </c>
      <c r="F448">
        <f t="shared" si="456"/>
        <v>-37.5</v>
      </c>
      <c r="G448">
        <f t="shared" si="457"/>
        <v>1.9164343852256065</v>
      </c>
      <c r="H448">
        <f t="shared" ref="H448:I448" si="517">+AVERAGE(F446:F450)</f>
        <v>-8.1</v>
      </c>
      <c r="I448">
        <f t="shared" si="517"/>
        <v>0.50680068135981315</v>
      </c>
      <c r="J448">
        <f t="shared" si="450"/>
        <v>1990.1666666666599</v>
      </c>
      <c r="K448">
        <f t="shared" si="451"/>
        <v>-73</v>
      </c>
      <c r="L448">
        <f t="shared" si="452"/>
        <v>54.261551107752503</v>
      </c>
      <c r="M448" s="5">
        <v>1917.1666666666599</v>
      </c>
      <c r="N448" s="5">
        <v>-105</v>
      </c>
      <c r="O448" s="5">
        <v>-219.60176537838601</v>
      </c>
      <c r="Q448">
        <f t="shared" si="459"/>
        <v>39.416434385225607</v>
      </c>
    </row>
    <row r="449" spans="1:17" x14ac:dyDescent="0.25">
      <c r="A449">
        <f t="shared" si="446"/>
        <v>1990.25</v>
      </c>
      <c r="B449">
        <f t="shared" si="447"/>
        <v>-214</v>
      </c>
      <c r="C449">
        <f t="shared" si="448"/>
        <v>-144.39822737292599</v>
      </c>
      <c r="D449">
        <f t="shared" si="453"/>
        <v>-63</v>
      </c>
      <c r="E449">
        <f t="shared" si="454"/>
        <v>-69.637331850586733</v>
      </c>
      <c r="F449">
        <f t="shared" si="456"/>
        <v>-1.6666666666666667</v>
      </c>
      <c r="G449">
        <f t="shared" si="457"/>
        <v>-11.776986170783537</v>
      </c>
      <c r="H449">
        <f t="shared" ref="H449:I449" si="518">+AVERAGE(F447:F451)</f>
        <v>-8.7666666666666675</v>
      </c>
      <c r="I449">
        <f t="shared" si="518"/>
        <v>-3.5764573606476651</v>
      </c>
      <c r="J449">
        <f t="shared" si="450"/>
        <v>1990.25</v>
      </c>
      <c r="K449">
        <f t="shared" si="451"/>
        <v>-214</v>
      </c>
      <c r="L449">
        <f t="shared" si="452"/>
        <v>-144.39822737292599</v>
      </c>
      <c r="M449" s="5">
        <v>1917.25</v>
      </c>
      <c r="N449" s="5">
        <v>-105</v>
      </c>
      <c r="O449" s="5">
        <v>-201.72261547543499</v>
      </c>
      <c r="Q449">
        <f t="shared" si="459"/>
        <v>10.110319504116871</v>
      </c>
    </row>
    <row r="450" spans="1:17" x14ac:dyDescent="0.25">
      <c r="A450">
        <f t="shared" si="446"/>
        <v>1990.3333333333301</v>
      </c>
      <c r="B450">
        <f t="shared" si="447"/>
        <v>-229</v>
      </c>
      <c r="C450">
        <f t="shared" si="448"/>
        <v>-203.783342152431</v>
      </c>
      <c r="D450">
        <f t="shared" si="453"/>
        <v>-7.5</v>
      </c>
      <c r="E450">
        <f t="shared" si="454"/>
        <v>-16.17109282634803</v>
      </c>
      <c r="F450">
        <f t="shared" si="456"/>
        <v>-22.333333333333332</v>
      </c>
      <c r="G450">
        <f t="shared" si="457"/>
        <v>-24.455225499208197</v>
      </c>
      <c r="H450">
        <f t="shared" ref="H450:I450" si="519">+AVERAGE(F448:F452)</f>
        <v>-12.8</v>
      </c>
      <c r="I450">
        <f t="shared" si="519"/>
        <v>-8.3351090361188493</v>
      </c>
      <c r="J450">
        <f t="shared" si="450"/>
        <v>1990.3333333333301</v>
      </c>
      <c r="K450">
        <f t="shared" si="451"/>
        <v>-229</v>
      </c>
      <c r="L450">
        <f t="shared" si="452"/>
        <v>-203.783342152431</v>
      </c>
      <c r="M450" s="5">
        <v>1917.3333333333301</v>
      </c>
      <c r="N450" s="5">
        <v>-105</v>
      </c>
      <c r="O450" s="5">
        <v>-158.838165195492</v>
      </c>
      <c r="Q450">
        <f t="shared" si="459"/>
        <v>2.1218921658748648</v>
      </c>
    </row>
    <row r="451" spans="1:17" x14ac:dyDescent="0.25">
      <c r="A451">
        <f t="shared" si="446"/>
        <v>1990.4166666666599</v>
      </c>
      <c r="B451">
        <f t="shared" si="447"/>
        <v>-229</v>
      </c>
      <c r="C451">
        <f t="shared" si="448"/>
        <v>-230.82627127923999</v>
      </c>
      <c r="D451">
        <f t="shared" si="453"/>
        <v>3.5</v>
      </c>
      <c r="E451">
        <f t="shared" si="454"/>
        <v>-5.8986709450959722</v>
      </c>
      <c r="F451">
        <f t="shared" si="456"/>
        <v>-1.8333333333333333</v>
      </c>
      <c r="G451">
        <f t="shared" si="457"/>
        <v>-6.2724948215971992</v>
      </c>
      <c r="H451">
        <f t="shared" ref="H451:I451" si="520">+AVERAGE(F449:F453)</f>
        <v>-5.5666666666666664</v>
      </c>
      <c r="I451">
        <f t="shared" si="520"/>
        <v>-8.7776262026822387</v>
      </c>
      <c r="J451">
        <f t="shared" si="450"/>
        <v>1990.4166666666599</v>
      </c>
      <c r="K451">
        <f t="shared" si="451"/>
        <v>-229</v>
      </c>
      <c r="L451">
        <f t="shared" si="452"/>
        <v>-230.82627127923999</v>
      </c>
      <c r="M451" s="5">
        <v>1917.4166666666599</v>
      </c>
      <c r="N451" s="5">
        <v>-105</v>
      </c>
      <c r="O451" s="5">
        <v>-95.931688309936504</v>
      </c>
      <c r="Q451">
        <f t="shared" si="459"/>
        <v>4.4391614882638661</v>
      </c>
    </row>
    <row r="452" spans="1:17" x14ac:dyDescent="0.25">
      <c r="A452">
        <f t="shared" ref="A452:A515" si="521">+J452</f>
        <v>1990.5</v>
      </c>
      <c r="B452">
        <f t="shared" ref="B452:B515" si="522">+K452</f>
        <v>-236</v>
      </c>
      <c r="C452">
        <f t="shared" ref="C452:C515" si="523">+L452</f>
        <v>-246.071858515857</v>
      </c>
      <c r="D452">
        <f t="shared" si="453"/>
        <v>-1.5</v>
      </c>
      <c r="E452">
        <f t="shared" si="454"/>
        <v>-1.4520918095454931</v>
      </c>
      <c r="F452">
        <f t="shared" si="456"/>
        <v>-0.66666666666666663</v>
      </c>
      <c r="G452">
        <f t="shared" si="457"/>
        <v>-1.0872730742309236</v>
      </c>
      <c r="H452">
        <f t="shared" ref="H452:I452" si="524">+AVERAGE(F450:F454)</f>
        <v>-6.0333333333333332</v>
      </c>
      <c r="I452">
        <f t="shared" si="524"/>
        <v>-6.6651942844297691</v>
      </c>
      <c r="J452">
        <f t="shared" ref="J452:J515" si="525">+$M1328</f>
        <v>1990.5</v>
      </c>
      <c r="K452">
        <f t="shared" ref="K452:K515" si="526">+$N1328</f>
        <v>-236</v>
      </c>
      <c r="L452">
        <f t="shared" ref="L452:L515" si="527">+$O1328</f>
        <v>-246.071858515857</v>
      </c>
      <c r="M452" s="5">
        <v>1917.5</v>
      </c>
      <c r="N452" s="5">
        <v>-105</v>
      </c>
      <c r="O452" s="5">
        <v>-32.257315937902</v>
      </c>
      <c r="Q452">
        <f t="shared" si="459"/>
        <v>0.42060640756425693</v>
      </c>
    </row>
    <row r="453" spans="1:17" x14ac:dyDescent="0.25">
      <c r="A453">
        <f t="shared" si="521"/>
        <v>1990.5833333333301</v>
      </c>
      <c r="B453">
        <f t="shared" si="522"/>
        <v>-240</v>
      </c>
      <c r="C453">
        <f t="shared" si="523"/>
        <v>-258.413262133383</v>
      </c>
      <c r="D453">
        <f t="shared" ref="D453:D516" si="528">+B453-1/2*(B452+B454)</f>
        <v>-4</v>
      </c>
      <c r="E453">
        <f t="shared" ref="E453:E516" si="529">+C453-1/2*(C452+C454)</f>
        <v>3.2734887262755024</v>
      </c>
      <c r="F453">
        <f t="shared" si="456"/>
        <v>-1.3333333333333333</v>
      </c>
      <c r="G453">
        <f t="shared" si="457"/>
        <v>-0.29615144759133422</v>
      </c>
      <c r="H453">
        <f t="shared" ref="H453:I453" si="530">+AVERAGE(F451:F455)</f>
        <v>-1.4333333333333331</v>
      </c>
      <c r="I453">
        <f t="shared" si="530"/>
        <v>-2.2651754853701052</v>
      </c>
      <c r="J453">
        <f t="shared" si="525"/>
        <v>1990.5833333333301</v>
      </c>
      <c r="K453">
        <f t="shared" si="526"/>
        <v>-240</v>
      </c>
      <c r="L453">
        <f t="shared" si="527"/>
        <v>-258.413262133383</v>
      </c>
      <c r="M453" s="5">
        <v>1917.5833333333301</v>
      </c>
      <c r="N453" s="5">
        <v>-105</v>
      </c>
      <c r="O453" s="5">
        <v>-10.9240941258383</v>
      </c>
      <c r="Q453">
        <f t="shared" si="459"/>
        <v>1.037181885741999</v>
      </c>
    </row>
    <row r="454" spans="1:17" x14ac:dyDescent="0.25">
      <c r="A454">
        <f t="shared" si="521"/>
        <v>1990.6666666666599</v>
      </c>
      <c r="B454">
        <f t="shared" si="522"/>
        <v>-236</v>
      </c>
      <c r="C454">
        <f t="shared" si="523"/>
        <v>-277.30164320346</v>
      </c>
      <c r="D454">
        <f t="shared" si="528"/>
        <v>1.5</v>
      </c>
      <c r="E454">
        <f t="shared" si="529"/>
        <v>-2.9319648451975127</v>
      </c>
      <c r="F454">
        <f t="shared" ref="F454:F517" si="531">+AVERAGE(D453:D455)</f>
        <v>-4</v>
      </c>
      <c r="G454">
        <f t="shared" ref="G454:G517" si="532">+$H$1*AVERAGE(E453:E455)+$F$1</f>
        <v>-1.2148265795211957</v>
      </c>
      <c r="H454">
        <f t="shared" ref="H454:I454" si="533">+AVERAGE(F452:F456)</f>
        <v>-0.9</v>
      </c>
      <c r="I454">
        <f t="shared" si="533"/>
        <v>-1.4032932849602928</v>
      </c>
      <c r="J454">
        <f t="shared" si="525"/>
        <v>1990.6666666666599</v>
      </c>
      <c r="K454">
        <f t="shared" si="526"/>
        <v>-236</v>
      </c>
      <c r="L454">
        <f t="shared" si="527"/>
        <v>-277.30164320346</v>
      </c>
      <c r="M454" s="5">
        <v>1917.6666666666599</v>
      </c>
      <c r="N454" s="5">
        <v>-105</v>
      </c>
      <c r="O454" s="5">
        <v>-66.412567789653096</v>
      </c>
      <c r="Q454">
        <f t="shared" ref="Q454:Q517" si="534">+ABS(F454-G454)</f>
        <v>2.7851734204788041</v>
      </c>
    </row>
    <row r="455" spans="1:17" x14ac:dyDescent="0.25">
      <c r="A455">
        <f t="shared" si="521"/>
        <v>1990.75</v>
      </c>
      <c r="B455">
        <f t="shared" si="522"/>
        <v>-235</v>
      </c>
      <c r="C455">
        <f t="shared" si="523"/>
        <v>-290.32609458314198</v>
      </c>
      <c r="D455">
        <f t="shared" si="528"/>
        <v>-9.5</v>
      </c>
      <c r="E455">
        <f t="shared" si="529"/>
        <v>-4.8971235542824729</v>
      </c>
      <c r="F455">
        <f t="shared" si="531"/>
        <v>0.66666666666666663</v>
      </c>
      <c r="G455">
        <f t="shared" si="532"/>
        <v>-2.4551315039098731</v>
      </c>
      <c r="H455">
        <f t="shared" ref="H455:I455" si="535">+AVERAGE(F453:F457)</f>
        <v>0.33333333333333348</v>
      </c>
      <c r="I455">
        <f t="shared" si="535"/>
        <v>-1.3687954659540054</v>
      </c>
      <c r="J455">
        <f t="shared" si="525"/>
        <v>1990.75</v>
      </c>
      <c r="K455">
        <f t="shared" si="526"/>
        <v>-235</v>
      </c>
      <c r="L455">
        <f t="shared" si="527"/>
        <v>-290.32609458314198</v>
      </c>
      <c r="M455" s="5">
        <v>1917.75</v>
      </c>
      <c r="N455" s="5">
        <v>-105</v>
      </c>
      <c r="O455" s="5">
        <v>-54.0967243896933</v>
      </c>
      <c r="Q455">
        <f t="shared" si="534"/>
        <v>3.1217981705765396</v>
      </c>
    </row>
    <row r="456" spans="1:17" x14ac:dyDescent="0.25">
      <c r="A456">
        <f t="shared" si="521"/>
        <v>1990.8333333333301</v>
      </c>
      <c r="B456">
        <f t="shared" si="522"/>
        <v>-215</v>
      </c>
      <c r="C456">
        <f t="shared" si="523"/>
        <v>-293.55629885425901</v>
      </c>
      <c r="D456">
        <f t="shared" si="528"/>
        <v>10</v>
      </c>
      <c r="E456">
        <f t="shared" si="529"/>
        <v>-1.377654740182038</v>
      </c>
      <c r="F456">
        <f t="shared" si="531"/>
        <v>0.83333333333333337</v>
      </c>
      <c r="G456">
        <f t="shared" si="532"/>
        <v>-1.9630838195481375</v>
      </c>
      <c r="H456">
        <f t="shared" ref="H456:I456" si="536">+AVERAGE(F454:F458)</f>
        <v>0.16666666666666669</v>
      </c>
      <c r="I456">
        <f t="shared" si="536"/>
        <v>-1.4125502700028574</v>
      </c>
      <c r="J456">
        <f t="shared" si="525"/>
        <v>1990.8333333333301</v>
      </c>
      <c r="K456">
        <f t="shared" si="526"/>
        <v>-215</v>
      </c>
      <c r="L456">
        <f t="shared" si="527"/>
        <v>-293.55629885425901</v>
      </c>
      <c r="M456" s="5">
        <v>1917.8333333333301</v>
      </c>
      <c r="N456" s="5">
        <v>-105</v>
      </c>
      <c r="O456" s="5">
        <v>70.429621654646397</v>
      </c>
      <c r="Q456">
        <f t="shared" si="534"/>
        <v>2.796417152881471</v>
      </c>
    </row>
    <row r="457" spans="1:17" x14ac:dyDescent="0.25">
      <c r="A457">
        <f t="shared" si="521"/>
        <v>1990.9166666666599</v>
      </c>
      <c r="B457">
        <f t="shared" si="522"/>
        <v>-215</v>
      </c>
      <c r="C457">
        <f t="shared" si="523"/>
        <v>-294.03119364501202</v>
      </c>
      <c r="D457">
        <f t="shared" si="528"/>
        <v>2</v>
      </c>
      <c r="E457">
        <f t="shared" si="529"/>
        <v>-1.0867860288410043</v>
      </c>
      <c r="F457">
        <f t="shared" si="531"/>
        <v>5.5</v>
      </c>
      <c r="G457">
        <f t="shared" si="532"/>
        <v>-0.91478397919948606</v>
      </c>
      <c r="H457">
        <f t="shared" ref="H457:I457" si="537">+AVERAGE(F455:F459)</f>
        <v>0.53333333333333344</v>
      </c>
      <c r="I457">
        <f t="shared" si="537"/>
        <v>-1.5546676349050996</v>
      </c>
      <c r="J457">
        <f t="shared" si="525"/>
        <v>1990.9166666666599</v>
      </c>
      <c r="K457">
        <f t="shared" si="526"/>
        <v>-215</v>
      </c>
      <c r="L457">
        <f t="shared" si="527"/>
        <v>-294.03119364501202</v>
      </c>
      <c r="M457" s="5">
        <v>1917.9166666666599</v>
      </c>
      <c r="N457" s="5">
        <v>-105</v>
      </c>
      <c r="O457" s="5">
        <v>106.081303237171</v>
      </c>
      <c r="Q457">
        <f t="shared" si="534"/>
        <v>6.4147839791994858</v>
      </c>
    </row>
    <row r="458" spans="1:17" x14ac:dyDescent="0.25">
      <c r="A458">
        <f t="shared" si="521"/>
        <v>1991</v>
      </c>
      <c r="B458">
        <f t="shared" si="522"/>
        <v>-219</v>
      </c>
      <c r="C458">
        <f t="shared" si="523"/>
        <v>-292.33251637808303</v>
      </c>
      <c r="D458">
        <f t="shared" si="528"/>
        <v>4.5</v>
      </c>
      <c r="E458">
        <f t="shared" si="529"/>
        <v>-0.96599915297503003</v>
      </c>
      <c r="F458">
        <f t="shared" si="531"/>
        <v>-2.1666666666666665</v>
      </c>
      <c r="G458">
        <f t="shared" si="532"/>
        <v>-0.5149254678355949</v>
      </c>
      <c r="H458">
        <f t="shared" ref="H458:I458" si="538">+AVERAGE(F456:F460)</f>
        <v>-0.46666666666666667</v>
      </c>
      <c r="I458">
        <f t="shared" si="538"/>
        <v>-2.5165572340186708</v>
      </c>
      <c r="J458">
        <f t="shared" si="525"/>
        <v>1991</v>
      </c>
      <c r="K458">
        <f t="shared" si="526"/>
        <v>-219</v>
      </c>
      <c r="L458">
        <f t="shared" si="527"/>
        <v>-292.33251637808303</v>
      </c>
      <c r="M458" s="5">
        <v>1918</v>
      </c>
      <c r="N458" s="5">
        <v>-105</v>
      </c>
      <c r="O458" s="5">
        <v>57.035701752754498</v>
      </c>
      <c r="Q458">
        <f t="shared" si="534"/>
        <v>1.6517411988310715</v>
      </c>
    </row>
    <row r="459" spans="1:17" x14ac:dyDescent="0.25">
      <c r="A459">
        <f t="shared" si="521"/>
        <v>1991.0833333333301</v>
      </c>
      <c r="B459">
        <f t="shared" si="522"/>
        <v>-232</v>
      </c>
      <c r="C459">
        <f t="shared" si="523"/>
        <v>-288.70184080520397</v>
      </c>
      <c r="D459">
        <f t="shared" si="528"/>
        <v>-13</v>
      </c>
      <c r="E459">
        <f t="shared" si="529"/>
        <v>0.12181467743255325</v>
      </c>
      <c r="F459">
        <f t="shared" si="531"/>
        <v>-2.1666666666666665</v>
      </c>
      <c r="G459">
        <f t="shared" si="532"/>
        <v>-1.9254134040324062</v>
      </c>
      <c r="H459">
        <f t="shared" ref="H459:I459" si="539">+AVERAGE(F457:F461)</f>
        <v>-5.5</v>
      </c>
      <c r="I459">
        <f t="shared" si="539"/>
        <v>-7.6926775288427365</v>
      </c>
      <c r="J459">
        <f t="shared" si="525"/>
        <v>1991.0833333333301</v>
      </c>
      <c r="K459">
        <f t="shared" si="526"/>
        <v>-232</v>
      </c>
      <c r="L459">
        <f t="shared" si="527"/>
        <v>-288.70184080520397</v>
      </c>
      <c r="M459" s="5">
        <v>1918.0833333333301</v>
      </c>
      <c r="N459" s="5">
        <v>-105</v>
      </c>
      <c r="O459" s="5">
        <v>-95.026417746588805</v>
      </c>
      <c r="Q459">
        <f t="shared" si="534"/>
        <v>0.24125326263426028</v>
      </c>
    </row>
    <row r="460" spans="1:17" x14ac:dyDescent="0.25">
      <c r="A460">
        <f t="shared" si="521"/>
        <v>1991.1666666666599</v>
      </c>
      <c r="B460">
        <f t="shared" si="522"/>
        <v>-219</v>
      </c>
      <c r="C460">
        <f t="shared" si="523"/>
        <v>-285.31479458719002</v>
      </c>
      <c r="D460">
        <f t="shared" si="528"/>
        <v>2</v>
      </c>
      <c r="E460">
        <f t="shared" si="529"/>
        <v>-6.3761157895790461</v>
      </c>
      <c r="F460">
        <f t="shared" si="531"/>
        <v>-4.333333333333333</v>
      </c>
      <c r="G460">
        <f t="shared" si="532"/>
        <v>-7.2645794994777297</v>
      </c>
      <c r="H460">
        <f t="shared" ref="H460:I460" si="540">+AVERAGE(F458:F462)</f>
        <v>-11.033333333333335</v>
      </c>
      <c r="I460">
        <f t="shared" si="540"/>
        <v>-11.880447843519628</v>
      </c>
      <c r="J460">
        <f t="shared" si="525"/>
        <v>1991.1666666666599</v>
      </c>
      <c r="K460">
        <f t="shared" si="526"/>
        <v>-219</v>
      </c>
      <c r="L460">
        <f t="shared" si="527"/>
        <v>-285.31479458719002</v>
      </c>
      <c r="M460" s="5">
        <v>1918.1666666666599</v>
      </c>
      <c r="N460" s="5">
        <v>-105</v>
      </c>
      <c r="O460" s="5">
        <v>-187.81247913482699</v>
      </c>
      <c r="Q460">
        <f t="shared" si="534"/>
        <v>2.9312461661443967</v>
      </c>
    </row>
    <row r="461" spans="1:17" x14ac:dyDescent="0.25">
      <c r="A461">
        <f t="shared" si="521"/>
        <v>1991.25</v>
      </c>
      <c r="B461">
        <f t="shared" si="522"/>
        <v>-210</v>
      </c>
      <c r="C461">
        <f t="shared" si="523"/>
        <v>-269.17551679001798</v>
      </c>
      <c r="D461">
        <f t="shared" si="528"/>
        <v>-2</v>
      </c>
      <c r="E461">
        <f t="shared" si="529"/>
        <v>-20.987872010894989</v>
      </c>
      <c r="F461">
        <f t="shared" si="531"/>
        <v>-24.333333333333332</v>
      </c>
      <c r="G461">
        <f t="shared" si="532"/>
        <v>-27.843685293668461</v>
      </c>
      <c r="H461">
        <f t="shared" ref="H461:I461" si="541">+AVERAGE(F459:F463)</f>
        <v>-10.9</v>
      </c>
      <c r="I461">
        <f t="shared" si="541"/>
        <v>-11.154248289390107</v>
      </c>
      <c r="J461">
        <f t="shared" si="525"/>
        <v>1991.25</v>
      </c>
      <c r="K461">
        <f t="shared" si="526"/>
        <v>-210</v>
      </c>
      <c r="L461">
        <f t="shared" si="527"/>
        <v>-269.17551679001798</v>
      </c>
      <c r="M461" s="5">
        <v>1918.25</v>
      </c>
      <c r="N461" s="5">
        <v>-105</v>
      </c>
      <c r="O461" s="5">
        <v>-206.94682638519299</v>
      </c>
      <c r="Q461">
        <f t="shared" si="534"/>
        <v>3.5103519603351288</v>
      </c>
    </row>
    <row r="462" spans="1:17" x14ac:dyDescent="0.25">
      <c r="A462">
        <f t="shared" si="521"/>
        <v>1991.3333333333301</v>
      </c>
      <c r="B462">
        <f t="shared" si="522"/>
        <v>-197</v>
      </c>
      <c r="C462">
        <f t="shared" si="523"/>
        <v>-211.06049497105599</v>
      </c>
      <c r="D462">
        <f t="shared" si="528"/>
        <v>-73</v>
      </c>
      <c r="E462">
        <f t="shared" si="529"/>
        <v>-77.049832050782697</v>
      </c>
      <c r="F462">
        <f t="shared" si="531"/>
        <v>-22.166666666666668</v>
      </c>
      <c r="G462">
        <f t="shared" si="532"/>
        <v>-21.853635552583942</v>
      </c>
      <c r="H462">
        <f t="shared" ref="H462:I462" si="542">+AVERAGE(F460:F464)</f>
        <v>-5.1666666666666661</v>
      </c>
      <c r="I462">
        <f t="shared" si="542"/>
        <v>-5.2724610023725749</v>
      </c>
      <c r="J462">
        <f t="shared" si="525"/>
        <v>1991.3333333333301</v>
      </c>
      <c r="K462">
        <f t="shared" si="526"/>
        <v>-197</v>
      </c>
      <c r="L462">
        <f t="shared" si="527"/>
        <v>-211.06049497105599</v>
      </c>
      <c r="M462" s="5">
        <v>1918.3333333333301</v>
      </c>
      <c r="N462" s="5">
        <v>-105</v>
      </c>
      <c r="O462" s="5">
        <v>-183.912348877314</v>
      </c>
      <c r="Q462">
        <f t="shared" si="534"/>
        <v>0.31303111408272599</v>
      </c>
    </row>
    <row r="463" spans="1:17" x14ac:dyDescent="0.25">
      <c r="A463">
        <f t="shared" si="521"/>
        <v>1991.4166666666599</v>
      </c>
      <c r="B463">
        <f t="shared" si="522"/>
        <v>-38</v>
      </c>
      <c r="C463">
        <f t="shared" si="523"/>
        <v>1.15419094947141</v>
      </c>
      <c r="D463">
        <f t="shared" si="528"/>
        <v>8.5</v>
      </c>
      <c r="E463">
        <f t="shared" si="529"/>
        <v>16.086570739487907</v>
      </c>
      <c r="F463">
        <f t="shared" si="531"/>
        <v>-1.5</v>
      </c>
      <c r="G463">
        <f t="shared" si="532"/>
        <v>3.1160723028120021</v>
      </c>
      <c r="H463">
        <f t="shared" ref="H463:I463" si="543">+AVERAGE(F461:F465)</f>
        <v>0.73333333333333361</v>
      </c>
      <c r="I463">
        <f t="shared" si="543"/>
        <v>0.61966638053138612</v>
      </c>
      <c r="J463">
        <f t="shared" si="525"/>
        <v>1991.4166666666599</v>
      </c>
      <c r="K463">
        <f t="shared" si="526"/>
        <v>-38</v>
      </c>
      <c r="L463">
        <f t="shared" si="527"/>
        <v>1.15419094947141</v>
      </c>
      <c r="M463" s="5">
        <v>1918.4166666666599</v>
      </c>
      <c r="N463" s="5">
        <v>-105</v>
      </c>
      <c r="O463" s="5">
        <v>-152.855871883681</v>
      </c>
      <c r="Q463">
        <f t="shared" si="534"/>
        <v>4.6160723028120021</v>
      </c>
    </row>
    <row r="464" spans="1:17" x14ac:dyDescent="0.25">
      <c r="A464">
        <f t="shared" si="521"/>
        <v>1991.5</v>
      </c>
      <c r="B464">
        <f t="shared" si="522"/>
        <v>104</v>
      </c>
      <c r="C464">
        <f t="shared" si="523"/>
        <v>181.19573539102299</v>
      </c>
      <c r="D464">
        <f t="shared" si="528"/>
        <v>60</v>
      </c>
      <c r="E464">
        <f t="shared" si="529"/>
        <v>72.648532446839795</v>
      </c>
      <c r="F464">
        <f t="shared" si="531"/>
        <v>26.5</v>
      </c>
      <c r="G464">
        <f t="shared" si="532"/>
        <v>27.483523031055256</v>
      </c>
      <c r="H464">
        <f t="shared" ref="H464:I464" si="544">+AVERAGE(F462:F466)</f>
        <v>6.3333333333333339</v>
      </c>
      <c r="I464">
        <f t="shared" si="544"/>
        <v>6.740516792975372</v>
      </c>
      <c r="J464">
        <f t="shared" si="525"/>
        <v>1991.5</v>
      </c>
      <c r="K464">
        <f t="shared" si="526"/>
        <v>104</v>
      </c>
      <c r="L464">
        <f t="shared" si="527"/>
        <v>181.19573539102299</v>
      </c>
      <c r="M464" s="5">
        <v>1918.5</v>
      </c>
      <c r="N464" s="5">
        <v>-105</v>
      </c>
      <c r="O464" s="5">
        <v>-123.97467392095599</v>
      </c>
      <c r="Q464">
        <f t="shared" si="534"/>
        <v>0.98352303105525607</v>
      </c>
    </row>
    <row r="465" spans="1:17" x14ac:dyDescent="0.25">
      <c r="A465">
        <f t="shared" si="521"/>
        <v>1991.5833333333301</v>
      </c>
      <c r="B465">
        <f t="shared" si="522"/>
        <v>126</v>
      </c>
      <c r="C465">
        <f t="shared" si="523"/>
        <v>215.940214938895</v>
      </c>
      <c r="D465">
        <f t="shared" si="528"/>
        <v>11</v>
      </c>
      <c r="E465">
        <f t="shared" si="529"/>
        <v>14.328108180129504</v>
      </c>
      <c r="F465">
        <f t="shared" si="531"/>
        <v>25.166666666666668</v>
      </c>
      <c r="G465">
        <f t="shared" si="532"/>
        <v>22.196057415042077</v>
      </c>
      <c r="H465">
        <f t="shared" ref="H465:I465" si="545">+AVERAGE(F463:F467)</f>
        <v>10.1</v>
      </c>
      <c r="I465">
        <f t="shared" si="545"/>
        <v>11.211904117779172</v>
      </c>
      <c r="J465">
        <f t="shared" si="525"/>
        <v>1991.5833333333301</v>
      </c>
      <c r="K465">
        <f t="shared" si="526"/>
        <v>126</v>
      </c>
      <c r="L465">
        <f t="shared" si="527"/>
        <v>215.940214938895</v>
      </c>
      <c r="M465" s="5">
        <v>1918.5833333333301</v>
      </c>
      <c r="N465" s="5">
        <v>-105</v>
      </c>
      <c r="O465" s="5">
        <v>-111.202601490807</v>
      </c>
      <c r="Q465">
        <f t="shared" si="534"/>
        <v>2.970609251624591</v>
      </c>
    </row>
    <row r="466" spans="1:17" x14ac:dyDescent="0.25">
      <c r="A466">
        <f t="shared" si="521"/>
        <v>1991.6666666666599</v>
      </c>
      <c r="B466">
        <f t="shared" si="522"/>
        <v>126</v>
      </c>
      <c r="C466">
        <f t="shared" si="523"/>
        <v>222.02847812650799</v>
      </c>
      <c r="D466">
        <f t="shared" si="528"/>
        <v>4.5</v>
      </c>
      <c r="E466">
        <f t="shared" si="529"/>
        <v>-3.7414253205615182</v>
      </c>
      <c r="F466">
        <f t="shared" si="531"/>
        <v>3.6666666666666665</v>
      </c>
      <c r="G466">
        <f t="shared" si="532"/>
        <v>2.7605667685514619</v>
      </c>
      <c r="H466">
        <f t="shared" ref="H466:I466" si="546">+AVERAGE(F464:F468)</f>
        <v>9.7333333333333325</v>
      </c>
      <c r="I466">
        <f t="shared" si="546"/>
        <v>11.024105994315144</v>
      </c>
      <c r="J466">
        <f t="shared" si="525"/>
        <v>1991.6666666666599</v>
      </c>
      <c r="K466">
        <f t="shared" si="526"/>
        <v>126</v>
      </c>
      <c r="L466">
        <f t="shared" si="527"/>
        <v>222.02847812650799</v>
      </c>
      <c r="M466" s="5">
        <v>1918.6666666666599</v>
      </c>
      <c r="N466" s="5">
        <v>-105</v>
      </c>
      <c r="O466" s="5">
        <v>-104.77252721313501</v>
      </c>
      <c r="Q466">
        <f t="shared" si="534"/>
        <v>0.90609989811520464</v>
      </c>
    </row>
    <row r="467" spans="1:17" x14ac:dyDescent="0.25">
      <c r="A467">
        <f t="shared" si="521"/>
        <v>1991.75</v>
      </c>
      <c r="B467">
        <f t="shared" si="522"/>
        <v>117</v>
      </c>
      <c r="C467">
        <f t="shared" si="523"/>
        <v>235.59959195524399</v>
      </c>
      <c r="D467">
        <f t="shared" si="528"/>
        <v>-4.5</v>
      </c>
      <c r="E467">
        <f t="shared" si="529"/>
        <v>-0.23455747750000455</v>
      </c>
      <c r="F467">
        <f t="shared" si="531"/>
        <v>-3.3333333333333335</v>
      </c>
      <c r="G467">
        <f t="shared" si="532"/>
        <v>0.50330107143505909</v>
      </c>
      <c r="H467">
        <f t="shared" ref="H467:I467" si="547">+AVERAGE(F465:F469)</f>
        <v>4.4333333333333345</v>
      </c>
      <c r="I467">
        <f t="shared" si="547"/>
        <v>6.0827054221580905</v>
      </c>
      <c r="J467">
        <f t="shared" si="525"/>
        <v>1991.75</v>
      </c>
      <c r="K467">
        <f t="shared" si="526"/>
        <v>117</v>
      </c>
      <c r="L467">
        <f t="shared" si="527"/>
        <v>235.59959195524399</v>
      </c>
      <c r="M467" s="5">
        <v>1918.75</v>
      </c>
      <c r="N467" s="5">
        <v>-105</v>
      </c>
      <c r="O467" s="5">
        <v>-26.674253674522198</v>
      </c>
      <c r="Q467">
        <f t="shared" si="534"/>
        <v>3.8366344047683927</v>
      </c>
    </row>
    <row r="468" spans="1:17" x14ac:dyDescent="0.25">
      <c r="A468">
        <f t="shared" si="521"/>
        <v>1991.8333333333301</v>
      </c>
      <c r="B468">
        <f t="shared" si="522"/>
        <v>117</v>
      </c>
      <c r="C468">
        <f t="shared" si="523"/>
        <v>249.63982073898001</v>
      </c>
      <c r="D468">
        <f t="shared" si="528"/>
        <v>-10</v>
      </c>
      <c r="E468">
        <f t="shared" si="529"/>
        <v>5.8633618159429943</v>
      </c>
      <c r="F468">
        <f t="shared" si="531"/>
        <v>-3.3333333333333335</v>
      </c>
      <c r="G468">
        <f t="shared" si="532"/>
        <v>2.1770816854918622</v>
      </c>
      <c r="H468">
        <f t="shared" ref="H468:I468" si="548">+AVERAGE(F466:F470)</f>
        <v>3.3333333333333215E-2</v>
      </c>
      <c r="I468">
        <f t="shared" si="548"/>
        <v>2.0758038723337542</v>
      </c>
      <c r="J468">
        <f t="shared" si="525"/>
        <v>1991.8333333333301</v>
      </c>
      <c r="K468">
        <f t="shared" si="526"/>
        <v>117</v>
      </c>
      <c r="L468">
        <f t="shared" si="527"/>
        <v>249.63982073898001</v>
      </c>
      <c r="M468" s="5">
        <v>1918.8333333333301</v>
      </c>
      <c r="N468" s="5">
        <v>-105</v>
      </c>
      <c r="O468" s="5">
        <v>52.374652905134703</v>
      </c>
      <c r="Q468">
        <f t="shared" si="534"/>
        <v>5.5104150188251957</v>
      </c>
    </row>
    <row r="469" spans="1:17" x14ac:dyDescent="0.25">
      <c r="A469">
        <f t="shared" si="521"/>
        <v>1991.9166666666599</v>
      </c>
      <c r="B469">
        <f t="shared" si="522"/>
        <v>137</v>
      </c>
      <c r="C469">
        <f t="shared" si="523"/>
        <v>251.95332589083</v>
      </c>
      <c r="D469">
        <f t="shared" si="528"/>
        <v>4.5</v>
      </c>
      <c r="E469">
        <f t="shared" si="529"/>
        <v>2.5352519821514932</v>
      </c>
      <c r="F469">
        <f t="shared" si="531"/>
        <v>0</v>
      </c>
      <c r="G469">
        <f t="shared" si="532"/>
        <v>2.7765201702699946</v>
      </c>
      <c r="H469">
        <f t="shared" ref="H469:I469" si="549">+AVERAGE(F467:F471)</f>
        <v>-0.53333333333333344</v>
      </c>
      <c r="I469">
        <f t="shared" si="549"/>
        <v>1.8715665186698065</v>
      </c>
      <c r="J469">
        <f t="shared" si="525"/>
        <v>1991.9166666666599</v>
      </c>
      <c r="K469">
        <f t="shared" si="526"/>
        <v>137</v>
      </c>
      <c r="L469">
        <f t="shared" si="527"/>
        <v>251.95332589083</v>
      </c>
      <c r="M469" s="5">
        <v>1918.9166666666599</v>
      </c>
      <c r="N469" s="5">
        <v>-105</v>
      </c>
      <c r="O469" s="5">
        <v>-11.465139853593699</v>
      </c>
      <c r="Q469">
        <f t="shared" si="534"/>
        <v>2.7765201702699946</v>
      </c>
    </row>
    <row r="470" spans="1:17" x14ac:dyDescent="0.25">
      <c r="A470">
        <f t="shared" si="521"/>
        <v>1992</v>
      </c>
      <c r="B470">
        <f t="shared" si="522"/>
        <v>148</v>
      </c>
      <c r="C470">
        <f t="shared" si="523"/>
        <v>249.19632707837701</v>
      </c>
      <c r="D470">
        <f t="shared" si="528"/>
        <v>5.5</v>
      </c>
      <c r="E470">
        <f t="shared" si="529"/>
        <v>2.0133368404179919</v>
      </c>
      <c r="F470">
        <f t="shared" si="531"/>
        <v>3.1666666666666665</v>
      </c>
      <c r="G470">
        <f t="shared" si="532"/>
        <v>2.161549665920393</v>
      </c>
      <c r="H470">
        <f t="shared" ref="H470:I470" si="550">+AVERAGE(F468:F472)</f>
        <v>6.6666666666666624E-2</v>
      </c>
      <c r="I470">
        <f t="shared" si="550"/>
        <v>2.3796832601393789</v>
      </c>
      <c r="J470">
        <f t="shared" si="525"/>
        <v>1992</v>
      </c>
      <c r="K470">
        <f t="shared" si="526"/>
        <v>148</v>
      </c>
      <c r="L470">
        <f t="shared" si="527"/>
        <v>249.19632707837701</v>
      </c>
      <c r="M470" s="5">
        <v>1919</v>
      </c>
      <c r="N470" s="5">
        <v>-105</v>
      </c>
      <c r="O470" s="5">
        <v>-90.370008155894197</v>
      </c>
      <c r="Q470">
        <f t="shared" si="534"/>
        <v>1.0051170007462735</v>
      </c>
    </row>
    <row r="471" spans="1:17" x14ac:dyDescent="0.25">
      <c r="A471">
        <f t="shared" si="521"/>
        <v>1992.0833333333301</v>
      </c>
      <c r="B471">
        <f t="shared" si="522"/>
        <v>148</v>
      </c>
      <c r="C471">
        <f t="shared" si="523"/>
        <v>242.41265458508801</v>
      </c>
      <c r="D471">
        <f t="shared" si="528"/>
        <v>-0.5</v>
      </c>
      <c r="E471">
        <f t="shared" si="529"/>
        <v>3.5572224246319877</v>
      </c>
      <c r="F471">
        <f t="shared" si="531"/>
        <v>0.83333333333333337</v>
      </c>
      <c r="G471">
        <f t="shared" si="532"/>
        <v>1.7393800002317221</v>
      </c>
      <c r="H471">
        <f t="shared" ref="H471:I471" si="551">+AVERAGE(F469:F473)</f>
        <v>0.56666666666666665</v>
      </c>
      <c r="I471">
        <f t="shared" si="551"/>
        <v>3.2603551901807108</v>
      </c>
      <c r="J471">
        <f t="shared" si="525"/>
        <v>1992.0833333333301</v>
      </c>
      <c r="K471">
        <f t="shared" si="526"/>
        <v>148</v>
      </c>
      <c r="L471">
        <f t="shared" si="527"/>
        <v>242.41265458508801</v>
      </c>
      <c r="M471" s="5">
        <v>1919.0833333333301</v>
      </c>
      <c r="N471" s="5">
        <v>-105</v>
      </c>
      <c r="O471" s="5">
        <v>-131.94755239058301</v>
      </c>
      <c r="Q471">
        <f t="shared" si="534"/>
        <v>0.90604666689838875</v>
      </c>
    </row>
    <row r="472" spans="1:17" x14ac:dyDescent="0.25">
      <c r="A472">
        <f t="shared" si="521"/>
        <v>1992.1666666666599</v>
      </c>
      <c r="B472">
        <f t="shared" si="522"/>
        <v>149</v>
      </c>
      <c r="C472">
        <f t="shared" si="523"/>
        <v>228.514537242535</v>
      </c>
      <c r="D472">
        <f t="shared" si="528"/>
        <v>-2.5</v>
      </c>
      <c r="E472">
        <f t="shared" si="529"/>
        <v>0.95211573581897824</v>
      </c>
      <c r="F472">
        <f t="shared" si="531"/>
        <v>-0.33333333333333331</v>
      </c>
      <c r="G472">
        <f t="shared" si="532"/>
        <v>3.043884778782922</v>
      </c>
      <c r="H472">
        <f t="shared" ref="H472:I472" si="552">+AVERAGE(F470:F474)</f>
        <v>0.76666666666666661</v>
      </c>
      <c r="I472">
        <f t="shared" si="552"/>
        <v>4.5749676206094581</v>
      </c>
      <c r="J472">
        <f t="shared" si="525"/>
        <v>1992.1666666666599</v>
      </c>
      <c r="K472">
        <f t="shared" si="526"/>
        <v>149</v>
      </c>
      <c r="L472">
        <f t="shared" si="527"/>
        <v>228.514537242535</v>
      </c>
      <c r="M472" s="5">
        <v>1919.1666666666599</v>
      </c>
      <c r="N472" s="5">
        <v>-105</v>
      </c>
      <c r="O472" s="5">
        <v>-153.63347438924799</v>
      </c>
      <c r="Q472">
        <f t="shared" si="534"/>
        <v>3.3772181121162554</v>
      </c>
    </row>
    <row r="473" spans="1:17" x14ac:dyDescent="0.25">
      <c r="A473">
        <f t="shared" si="521"/>
        <v>1992.25</v>
      </c>
      <c r="B473">
        <f t="shared" si="522"/>
        <v>155</v>
      </c>
      <c r="C473">
        <f t="shared" si="523"/>
        <v>212.71218842834401</v>
      </c>
      <c r="D473">
        <f t="shared" si="528"/>
        <v>2</v>
      </c>
      <c r="E473">
        <f t="shared" si="529"/>
        <v>6.9052297599849908</v>
      </c>
      <c r="F473">
        <f t="shared" si="531"/>
        <v>-0.83333333333333337</v>
      </c>
      <c r="G473">
        <f t="shared" si="532"/>
        <v>6.5804413356985227</v>
      </c>
      <c r="H473">
        <f t="shared" ref="H473:I473" si="553">+AVERAGE(F471:F475)</f>
        <v>6.5</v>
      </c>
      <c r="I473">
        <f t="shared" si="553"/>
        <v>6.9541539674772448</v>
      </c>
      <c r="J473">
        <f t="shared" si="525"/>
        <v>1992.25</v>
      </c>
      <c r="K473">
        <f t="shared" si="526"/>
        <v>155</v>
      </c>
      <c r="L473">
        <f t="shared" si="527"/>
        <v>212.71218842834401</v>
      </c>
      <c r="M473" s="5">
        <v>1919.25</v>
      </c>
      <c r="N473" s="5">
        <v>-105</v>
      </c>
      <c r="O473" s="5">
        <v>-138.74767828417001</v>
      </c>
      <c r="Q473">
        <f t="shared" si="534"/>
        <v>7.4137746690318558</v>
      </c>
    </row>
    <row r="474" spans="1:17" x14ac:dyDescent="0.25">
      <c r="A474">
        <f t="shared" si="521"/>
        <v>1992.3333333333301</v>
      </c>
      <c r="B474">
        <f t="shared" si="522"/>
        <v>157</v>
      </c>
      <c r="C474">
        <f t="shared" si="523"/>
        <v>183.099380094183</v>
      </c>
      <c r="D474">
        <f t="shared" si="528"/>
        <v>-2</v>
      </c>
      <c r="E474">
        <f t="shared" si="529"/>
        <v>16.819309513065491</v>
      </c>
      <c r="F474">
        <f t="shared" si="531"/>
        <v>1</v>
      </c>
      <c r="G474">
        <f t="shared" si="532"/>
        <v>9.3495823224137293</v>
      </c>
      <c r="H474">
        <f t="shared" ref="H474:I474" si="554">+AVERAGE(F472:F476)</f>
        <v>9.4333333333333336</v>
      </c>
      <c r="I474">
        <f t="shared" si="554"/>
        <v>7.3062386612572991</v>
      </c>
      <c r="J474">
        <f t="shared" si="525"/>
        <v>1992.3333333333301</v>
      </c>
      <c r="K474">
        <f t="shared" si="526"/>
        <v>157</v>
      </c>
      <c r="L474">
        <f t="shared" si="527"/>
        <v>183.099380094183</v>
      </c>
      <c r="M474" s="5">
        <v>1919.3333333333301</v>
      </c>
      <c r="N474" s="5">
        <v>-105</v>
      </c>
      <c r="O474" s="5">
        <v>-104.977150457794</v>
      </c>
      <c r="Q474">
        <f t="shared" si="534"/>
        <v>8.3495823224137293</v>
      </c>
    </row>
    <row r="475" spans="1:17" x14ac:dyDescent="0.25">
      <c r="A475">
        <f t="shared" si="521"/>
        <v>1992.4166666666599</v>
      </c>
      <c r="B475">
        <f t="shared" si="522"/>
        <v>163</v>
      </c>
      <c r="C475">
        <f t="shared" si="523"/>
        <v>119.84795273389101</v>
      </c>
      <c r="D475">
        <f t="shared" si="528"/>
        <v>3</v>
      </c>
      <c r="E475">
        <f t="shared" si="529"/>
        <v>11.336394436001001</v>
      </c>
      <c r="F475">
        <f t="shared" si="531"/>
        <v>31.833333333333332</v>
      </c>
      <c r="G475">
        <f t="shared" si="532"/>
        <v>14.057481400259329</v>
      </c>
      <c r="H475">
        <f t="shared" ref="H475:I475" si="555">+AVERAGE(F473:F477)</f>
        <v>11.733333333333333</v>
      </c>
      <c r="I475">
        <f t="shared" si="555"/>
        <v>5.5597798862611674</v>
      </c>
      <c r="J475">
        <f t="shared" si="525"/>
        <v>1992.4166666666599</v>
      </c>
      <c r="K475">
        <f t="shared" si="526"/>
        <v>163</v>
      </c>
      <c r="L475">
        <f t="shared" si="527"/>
        <v>119.84795273389101</v>
      </c>
      <c r="M475" s="5">
        <v>1919.4166666666599</v>
      </c>
      <c r="N475" s="5">
        <v>-105</v>
      </c>
      <c r="O475" s="5">
        <v>-44.152000432072199</v>
      </c>
      <c r="Q475">
        <f t="shared" si="534"/>
        <v>17.775851933074001</v>
      </c>
    </row>
    <row r="476" spans="1:17" x14ac:dyDescent="0.25">
      <c r="A476">
        <f t="shared" si="521"/>
        <v>1992.5</v>
      </c>
      <c r="B476">
        <f t="shared" si="522"/>
        <v>163</v>
      </c>
      <c r="C476">
        <f t="shared" si="523"/>
        <v>33.923736501596998</v>
      </c>
      <c r="D476">
        <f t="shared" si="528"/>
        <v>94.5</v>
      </c>
      <c r="E476">
        <f t="shared" si="529"/>
        <v>24.559851301905994</v>
      </c>
      <c r="F476">
        <f t="shared" si="531"/>
        <v>15.5</v>
      </c>
      <c r="G476">
        <f t="shared" si="532"/>
        <v>3.4998034691319995</v>
      </c>
      <c r="H476">
        <f t="shared" ref="H476:I476" si="556">+AVERAGE(F474:F478)</f>
        <v>6.8333333333333313</v>
      </c>
      <c r="I476">
        <f t="shared" si="556"/>
        <v>1.4166980199716499</v>
      </c>
      <c r="J476">
        <f t="shared" si="525"/>
        <v>1992.5</v>
      </c>
      <c r="K476">
        <f t="shared" si="526"/>
        <v>163</v>
      </c>
      <c r="L476">
        <f t="shared" si="527"/>
        <v>33.923736501596998</v>
      </c>
      <c r="M476" s="5">
        <v>1919.5</v>
      </c>
      <c r="N476" s="5">
        <v>-105</v>
      </c>
      <c r="O476" s="5">
        <v>70.064406612931506</v>
      </c>
      <c r="Q476">
        <f t="shared" si="534"/>
        <v>12.000196530868001</v>
      </c>
    </row>
    <row r="477" spans="1:17" x14ac:dyDescent="0.25">
      <c r="A477">
        <f t="shared" si="521"/>
        <v>1992.5833333333301</v>
      </c>
      <c r="B477">
        <f t="shared" si="522"/>
        <v>-26</v>
      </c>
      <c r="C477">
        <f t="shared" si="523"/>
        <v>-101.120182334509</v>
      </c>
      <c r="D477">
        <f t="shared" si="528"/>
        <v>-51</v>
      </c>
      <c r="E477">
        <f t="shared" si="529"/>
        <v>-22.771982728661996</v>
      </c>
      <c r="F477">
        <f t="shared" si="531"/>
        <v>11.166666666666666</v>
      </c>
      <c r="G477">
        <f t="shared" si="532"/>
        <v>-5.6884090961977414</v>
      </c>
      <c r="H477">
        <f t="shared" ref="H477:I477" si="557">+AVERAGE(F475:F479)</f>
        <v>4.6999999999999984</v>
      </c>
      <c r="I477">
        <f t="shared" si="557"/>
        <v>-2.3828385632062998</v>
      </c>
      <c r="J477">
        <f t="shared" si="525"/>
        <v>1992.5833333333301</v>
      </c>
      <c r="K477">
        <f t="shared" si="526"/>
        <v>-26</v>
      </c>
      <c r="L477">
        <f t="shared" si="527"/>
        <v>-101.120182334509</v>
      </c>
      <c r="M477" s="5">
        <v>1919.5833333333301</v>
      </c>
      <c r="N477" s="5">
        <v>-105</v>
      </c>
      <c r="O477" s="5">
        <v>81.111898908419903</v>
      </c>
      <c r="Q477">
        <f t="shared" si="534"/>
        <v>16.855075762864409</v>
      </c>
    </row>
    <row r="478" spans="1:17" x14ac:dyDescent="0.25">
      <c r="A478">
        <f t="shared" si="521"/>
        <v>1992.6666666666599</v>
      </c>
      <c r="B478">
        <f t="shared" si="522"/>
        <v>-113</v>
      </c>
      <c r="C478">
        <f t="shared" si="523"/>
        <v>-190.62013571329101</v>
      </c>
      <c r="D478">
        <f t="shared" si="528"/>
        <v>-10</v>
      </c>
      <c r="E478">
        <f t="shared" si="529"/>
        <v>-23.119402683985527</v>
      </c>
      <c r="F478">
        <f t="shared" si="531"/>
        <v>-25.333333333333332</v>
      </c>
      <c r="G478">
        <f t="shared" si="532"/>
        <v>-14.134967995749069</v>
      </c>
      <c r="H478">
        <f t="shared" ref="H478:I478" si="558">+AVERAGE(F476:F480)</f>
        <v>-3.4333333333333336</v>
      </c>
      <c r="I478">
        <f t="shared" si="558"/>
        <v>-6.2050060197697148</v>
      </c>
      <c r="J478">
        <f t="shared" si="525"/>
        <v>1992.6666666666599</v>
      </c>
      <c r="K478">
        <f t="shared" si="526"/>
        <v>-113</v>
      </c>
      <c r="L478">
        <f t="shared" si="527"/>
        <v>-190.62013571329101</v>
      </c>
      <c r="M478" s="5">
        <v>1919.6666666666599</v>
      </c>
      <c r="N478" s="5">
        <v>-105</v>
      </c>
      <c r="O478" s="5">
        <v>1.8249530638879601</v>
      </c>
      <c r="Q478">
        <f t="shared" si="534"/>
        <v>11.198365337584264</v>
      </c>
    </row>
    <row r="479" spans="1:17" x14ac:dyDescent="0.25">
      <c r="A479">
        <f t="shared" si="521"/>
        <v>1992.75</v>
      </c>
      <c r="B479">
        <f t="shared" si="522"/>
        <v>-180</v>
      </c>
      <c r="C479">
        <f t="shared" si="523"/>
        <v>-233.88128372410199</v>
      </c>
      <c r="D479">
        <f t="shared" si="528"/>
        <v>-15</v>
      </c>
      <c r="E479">
        <f t="shared" si="529"/>
        <v>-7.1147445714114781</v>
      </c>
      <c r="F479">
        <f t="shared" si="531"/>
        <v>-9.6666666666666661</v>
      </c>
      <c r="G479">
        <f t="shared" si="532"/>
        <v>-9.648100593476018</v>
      </c>
      <c r="H479">
        <f t="shared" ref="H479:I479" si="559">+AVERAGE(F477:F481)</f>
        <v>-7.4666666666666659</v>
      </c>
      <c r="I479">
        <f t="shared" si="559"/>
        <v>-7.5615334268029999</v>
      </c>
      <c r="J479">
        <f t="shared" si="525"/>
        <v>1992.75</v>
      </c>
      <c r="K479">
        <f t="shared" si="526"/>
        <v>-180</v>
      </c>
      <c r="L479">
        <f t="shared" si="527"/>
        <v>-233.88128372410199</v>
      </c>
      <c r="M479" s="5">
        <v>1919.75</v>
      </c>
      <c r="N479" s="5">
        <v>-105</v>
      </c>
      <c r="O479" s="5">
        <v>-47.667030666463901</v>
      </c>
      <c r="Q479">
        <f t="shared" si="534"/>
        <v>1.8566073190648069E-2</v>
      </c>
    </row>
    <row r="480" spans="1:17" x14ac:dyDescent="0.25">
      <c r="A480">
        <f t="shared" si="521"/>
        <v>1992.8333333333301</v>
      </c>
      <c r="B480">
        <f t="shared" si="522"/>
        <v>-217</v>
      </c>
      <c r="C480">
        <f t="shared" si="523"/>
        <v>-262.91294259209002</v>
      </c>
      <c r="D480">
        <f t="shared" si="528"/>
        <v>-4</v>
      </c>
      <c r="E480">
        <f t="shared" si="529"/>
        <v>-5.946229970138063</v>
      </c>
      <c r="F480">
        <f t="shared" si="531"/>
        <v>-8.8333333333333339</v>
      </c>
      <c r="G480">
        <f t="shared" si="532"/>
        <v>-5.0533558825577458</v>
      </c>
      <c r="H480">
        <f t="shared" ref="H480:I480" si="560">+AVERAGE(F478:F482)</f>
        <v>-10.666666666666668</v>
      </c>
      <c r="I480">
        <f t="shared" si="560"/>
        <v>-6.748396274156069</v>
      </c>
      <c r="J480">
        <f t="shared" si="525"/>
        <v>1992.8333333333301</v>
      </c>
      <c r="K480">
        <f t="shared" si="526"/>
        <v>-217</v>
      </c>
      <c r="L480">
        <f t="shared" si="527"/>
        <v>-262.91294259209002</v>
      </c>
      <c r="M480" s="5">
        <v>1919.8333333333301</v>
      </c>
      <c r="N480" s="5">
        <v>-105</v>
      </c>
      <c r="O480" s="5">
        <v>-60.556267489196699</v>
      </c>
      <c r="Q480">
        <f t="shared" si="534"/>
        <v>3.7799774507755881</v>
      </c>
    </row>
    <row r="481" spans="1:17" x14ac:dyDescent="0.25">
      <c r="A481">
        <f t="shared" si="521"/>
        <v>1992.9166666666599</v>
      </c>
      <c r="B481">
        <f t="shared" si="522"/>
        <v>-246</v>
      </c>
      <c r="C481">
        <f t="shared" si="523"/>
        <v>-280.05214151980198</v>
      </c>
      <c r="D481">
        <f t="shared" si="528"/>
        <v>-7.5</v>
      </c>
      <c r="E481">
        <f t="shared" si="529"/>
        <v>-5.889110018042004</v>
      </c>
      <c r="F481">
        <f t="shared" si="531"/>
        <v>-4.666666666666667</v>
      </c>
      <c r="G481">
        <f t="shared" si="532"/>
        <v>-3.2828335660344239</v>
      </c>
      <c r="H481">
        <f t="shared" ref="H481:I481" si="561">+AVERAGE(F479:F483)</f>
        <v>-6.0666666666666664</v>
      </c>
      <c r="I481">
        <f t="shared" si="561"/>
        <v>-4.0584932317538822</v>
      </c>
      <c r="J481">
        <f t="shared" si="525"/>
        <v>1992.9166666666599</v>
      </c>
      <c r="K481">
        <f t="shared" si="526"/>
        <v>-246</v>
      </c>
      <c r="L481">
        <f t="shared" si="527"/>
        <v>-280.05214151980198</v>
      </c>
      <c r="M481" s="5">
        <v>1919.9166666666599</v>
      </c>
      <c r="N481" s="5">
        <v>-105</v>
      </c>
      <c r="O481" s="5">
        <v>-57.8898886368208</v>
      </c>
      <c r="Q481">
        <f t="shared" si="534"/>
        <v>1.3838331006322431</v>
      </c>
    </row>
    <row r="482" spans="1:17" x14ac:dyDescent="0.25">
      <c r="A482">
        <f t="shared" si="521"/>
        <v>1993</v>
      </c>
      <c r="B482">
        <f t="shared" si="522"/>
        <v>-260</v>
      </c>
      <c r="C482">
        <f t="shared" si="523"/>
        <v>-285.41312041142999</v>
      </c>
      <c r="D482">
        <f t="shared" si="528"/>
        <v>-2.5</v>
      </c>
      <c r="E482">
        <f t="shared" si="529"/>
        <v>-0.47528588444902198</v>
      </c>
      <c r="F482">
        <f t="shared" si="531"/>
        <v>-4.833333333333333</v>
      </c>
      <c r="G482">
        <f t="shared" si="532"/>
        <v>-1.622723332963081</v>
      </c>
      <c r="H482">
        <f t="shared" ref="H482:I482" si="562">+AVERAGE(F480:F484)</f>
        <v>-6.1666666666666661</v>
      </c>
      <c r="I482">
        <f t="shared" si="562"/>
        <v>-2.4017762011687882</v>
      </c>
      <c r="J482">
        <f t="shared" si="525"/>
        <v>1993</v>
      </c>
      <c r="K482">
        <f t="shared" si="526"/>
        <v>-260</v>
      </c>
      <c r="L482">
        <f t="shared" si="527"/>
        <v>-285.41312041142999</v>
      </c>
      <c r="M482" s="5">
        <v>1920</v>
      </c>
      <c r="N482" s="5">
        <v>-105</v>
      </c>
      <c r="O482" s="5">
        <v>-64.661854452670298</v>
      </c>
      <c r="Q482">
        <f t="shared" si="534"/>
        <v>3.2106100003702522</v>
      </c>
    </row>
    <row r="483" spans="1:17" x14ac:dyDescent="0.25">
      <c r="A483">
        <f t="shared" si="521"/>
        <v>1993.0833333333301</v>
      </c>
      <c r="B483">
        <f t="shared" si="522"/>
        <v>-269</v>
      </c>
      <c r="C483">
        <f t="shared" si="523"/>
        <v>-289.82352753416001</v>
      </c>
      <c r="D483">
        <f t="shared" si="528"/>
        <v>-4.5</v>
      </c>
      <c r="E483">
        <f t="shared" si="529"/>
        <v>0.27918340387947183</v>
      </c>
      <c r="F483">
        <f t="shared" si="531"/>
        <v>-2.3333333333333335</v>
      </c>
      <c r="G483">
        <f t="shared" si="532"/>
        <v>-0.68545278373814356</v>
      </c>
      <c r="H483">
        <f t="shared" ref="H483:I483" si="563">+AVERAGE(F481:F485)</f>
        <v>-4.5333333333333332</v>
      </c>
      <c r="I483">
        <f t="shared" si="563"/>
        <v>-2.0466597076681743</v>
      </c>
      <c r="J483">
        <f t="shared" si="525"/>
        <v>1993.0833333333301</v>
      </c>
      <c r="K483">
        <f t="shared" si="526"/>
        <v>-269</v>
      </c>
      <c r="L483">
        <f t="shared" si="527"/>
        <v>-289.82352753416001</v>
      </c>
      <c r="M483" s="5">
        <v>1920.0833333333301</v>
      </c>
      <c r="N483" s="5">
        <v>-105</v>
      </c>
      <c r="O483" s="5">
        <v>-149.488643883891</v>
      </c>
      <c r="Q483">
        <f t="shared" si="534"/>
        <v>1.64788054959519</v>
      </c>
    </row>
    <row r="484" spans="1:17" x14ac:dyDescent="0.25">
      <c r="A484">
        <f t="shared" si="521"/>
        <v>1993.1666666666599</v>
      </c>
      <c r="B484">
        <f t="shared" si="522"/>
        <v>-269</v>
      </c>
      <c r="C484">
        <f t="shared" si="523"/>
        <v>-294.79230146464897</v>
      </c>
      <c r="D484">
        <f t="shared" si="528"/>
        <v>0</v>
      </c>
      <c r="E484">
        <f t="shared" si="529"/>
        <v>-2.374345458448488</v>
      </c>
      <c r="F484">
        <f t="shared" si="531"/>
        <v>-10.166666666666666</v>
      </c>
      <c r="G484">
        <f t="shared" si="532"/>
        <v>-1.3645154405505462</v>
      </c>
      <c r="H484">
        <f t="shared" ref="H484:I484" si="564">+AVERAGE(F482:F486)</f>
        <v>-5.6</v>
      </c>
      <c r="I484">
        <f t="shared" si="564"/>
        <v>-2.5908327087698249</v>
      </c>
      <c r="J484">
        <f t="shared" si="525"/>
        <v>1993.1666666666599</v>
      </c>
      <c r="K484">
        <f t="shared" si="526"/>
        <v>-269</v>
      </c>
      <c r="L484">
        <f t="shared" si="527"/>
        <v>-294.79230146464897</v>
      </c>
      <c r="M484" s="5">
        <v>1920.1666666666599</v>
      </c>
      <c r="N484" s="5">
        <v>-105</v>
      </c>
      <c r="O484" s="5">
        <v>-213.05989909642699</v>
      </c>
      <c r="Q484">
        <f t="shared" si="534"/>
        <v>8.8021512261161199</v>
      </c>
    </row>
    <row r="485" spans="1:17" x14ac:dyDescent="0.25">
      <c r="A485">
        <f t="shared" si="521"/>
        <v>1993.25</v>
      </c>
      <c r="B485">
        <f t="shared" si="522"/>
        <v>-269</v>
      </c>
      <c r="C485">
        <f t="shared" si="523"/>
        <v>-295.01238447824102</v>
      </c>
      <c r="D485">
        <f t="shared" si="528"/>
        <v>-26</v>
      </c>
      <c r="E485">
        <f t="shared" si="529"/>
        <v>-3.0217708474955316</v>
      </c>
      <c r="F485">
        <f t="shared" si="531"/>
        <v>-0.66666666666666663</v>
      </c>
      <c r="G485">
        <f t="shared" si="532"/>
        <v>-3.2777734150546771</v>
      </c>
      <c r="H485">
        <f t="shared" ref="H485:I485" si="565">+AVERAGE(F483:F487)</f>
        <v>-4.7666666666666666</v>
      </c>
      <c r="I485">
        <f t="shared" si="565"/>
        <v>-3.7223904372206214</v>
      </c>
      <c r="J485">
        <f t="shared" si="525"/>
        <v>1993.25</v>
      </c>
      <c r="K485">
        <f t="shared" si="526"/>
        <v>-269</v>
      </c>
      <c r="L485">
        <f t="shared" si="527"/>
        <v>-295.01238447824102</v>
      </c>
      <c r="M485" s="5">
        <v>1920.25</v>
      </c>
      <c r="N485" s="5">
        <v>-105</v>
      </c>
      <c r="O485" s="5">
        <v>-231.36714022927299</v>
      </c>
      <c r="Q485">
        <f t="shared" si="534"/>
        <v>2.6111067483880106</v>
      </c>
    </row>
    <row r="486" spans="1:17" x14ac:dyDescent="0.25">
      <c r="A486">
        <f t="shared" si="521"/>
        <v>1993.3333333333301</v>
      </c>
      <c r="B486">
        <f t="shared" si="522"/>
        <v>-217</v>
      </c>
      <c r="C486">
        <f t="shared" si="523"/>
        <v>-289.188925796842</v>
      </c>
      <c r="D486">
        <f t="shared" si="528"/>
        <v>24</v>
      </c>
      <c r="E486">
        <f t="shared" si="529"/>
        <v>-6.8955340005110202</v>
      </c>
      <c r="F486">
        <f t="shared" si="531"/>
        <v>-10</v>
      </c>
      <c r="G486">
        <f t="shared" si="532"/>
        <v>-6.0036985715426763</v>
      </c>
      <c r="H486">
        <f t="shared" ref="H486:I486" si="566">+AVERAGE(F484:F488)</f>
        <v>-4.2333333333333334</v>
      </c>
      <c r="I486">
        <f t="shared" si="566"/>
        <v>-5.9097704493982794</v>
      </c>
      <c r="J486">
        <f t="shared" si="525"/>
        <v>1993.3333333333301</v>
      </c>
      <c r="K486">
        <f t="shared" si="526"/>
        <v>-217</v>
      </c>
      <c r="L486">
        <f t="shared" si="527"/>
        <v>-289.188925796842</v>
      </c>
      <c r="M486" s="5">
        <v>1920.3333333333301</v>
      </c>
      <c r="N486" s="5">
        <v>-105</v>
      </c>
      <c r="O486" s="5">
        <v>-223.90167802479701</v>
      </c>
      <c r="Q486">
        <f t="shared" si="534"/>
        <v>3.9963014284573237</v>
      </c>
    </row>
    <row r="487" spans="1:17" x14ac:dyDescent="0.25">
      <c r="A487">
        <f t="shared" si="521"/>
        <v>1993.4166666666599</v>
      </c>
      <c r="B487">
        <f t="shared" si="522"/>
        <v>-213</v>
      </c>
      <c r="C487">
        <f t="shared" si="523"/>
        <v>-269.574399114421</v>
      </c>
      <c r="D487">
        <f t="shared" si="528"/>
        <v>-28</v>
      </c>
      <c r="E487">
        <f t="shared" si="529"/>
        <v>-12.596564795278482</v>
      </c>
      <c r="F487">
        <f t="shared" si="531"/>
        <v>-0.66666666666666663</v>
      </c>
      <c r="G487">
        <f t="shared" si="532"/>
        <v>-7.2805119752170642</v>
      </c>
      <c r="H487">
        <f t="shared" ref="H487:I487" si="567">+AVERAGE(F485:F489)</f>
        <v>-1.333333333333333</v>
      </c>
      <c r="I487">
        <f t="shared" si="567"/>
        <v>-9.7415312829492819</v>
      </c>
      <c r="J487">
        <f t="shared" si="525"/>
        <v>1993.4166666666599</v>
      </c>
      <c r="K487">
        <f t="shared" si="526"/>
        <v>-213</v>
      </c>
      <c r="L487">
        <f t="shared" si="527"/>
        <v>-269.574399114421</v>
      </c>
      <c r="M487" s="5">
        <v>1920.4166666666599</v>
      </c>
      <c r="N487" s="5">
        <v>-105</v>
      </c>
      <c r="O487" s="5">
        <v>-184.92607930232199</v>
      </c>
      <c r="Q487">
        <f t="shared" si="534"/>
        <v>6.6138453085503972</v>
      </c>
    </row>
    <row r="488" spans="1:17" x14ac:dyDescent="0.25">
      <c r="A488">
        <f t="shared" si="521"/>
        <v>1993.5</v>
      </c>
      <c r="B488">
        <f t="shared" si="522"/>
        <v>-153</v>
      </c>
      <c r="C488">
        <f t="shared" si="523"/>
        <v>-224.766742841443</v>
      </c>
      <c r="D488">
        <f t="shared" si="528"/>
        <v>2</v>
      </c>
      <c r="E488">
        <f t="shared" si="529"/>
        <v>-7.8098211112744877</v>
      </c>
      <c r="F488">
        <f t="shared" si="531"/>
        <v>0.33333333333333331</v>
      </c>
      <c r="G488">
        <f t="shared" si="532"/>
        <v>-11.622352844626434</v>
      </c>
      <c r="H488">
        <f t="shared" ref="H488:I488" si="568">+AVERAGE(F486:F490)</f>
        <v>-1.5666666666666664</v>
      </c>
      <c r="I488">
        <f t="shared" si="568"/>
        <v>-9.2739136619174118</v>
      </c>
      <c r="J488">
        <f t="shared" si="525"/>
        <v>1993.5</v>
      </c>
      <c r="K488">
        <f t="shared" si="526"/>
        <v>-153</v>
      </c>
      <c r="L488">
        <f t="shared" si="527"/>
        <v>-224.766742841443</v>
      </c>
      <c r="M488" s="5">
        <v>1920.5</v>
      </c>
      <c r="N488" s="5">
        <v>-105</v>
      </c>
      <c r="O488" s="5">
        <v>-124.071762979119</v>
      </c>
      <c r="Q488">
        <f t="shared" si="534"/>
        <v>11.955686177959768</v>
      </c>
    </row>
    <row r="489" spans="1:17" x14ac:dyDescent="0.25">
      <c r="A489">
        <f t="shared" si="521"/>
        <v>1993.5833333333301</v>
      </c>
      <c r="B489">
        <f t="shared" si="522"/>
        <v>-97</v>
      </c>
      <c r="C489">
        <f t="shared" si="523"/>
        <v>-164.33944434591601</v>
      </c>
      <c r="D489">
        <f t="shared" si="528"/>
        <v>27</v>
      </c>
      <c r="E489">
        <f t="shared" si="529"/>
        <v>-23.177437260796154</v>
      </c>
      <c r="F489">
        <f t="shared" si="531"/>
        <v>4.333333333333333</v>
      </c>
      <c r="G489">
        <f t="shared" si="532"/>
        <v>-20.523319608305556</v>
      </c>
      <c r="H489">
        <f t="shared" ref="H489:I489" si="569">+AVERAGE(F487:F491)</f>
        <v>-2.6333333333333337</v>
      </c>
      <c r="I489">
        <f t="shared" si="569"/>
        <v>-5.9319785313664957</v>
      </c>
      <c r="J489">
        <f t="shared" si="525"/>
        <v>1993.5833333333301</v>
      </c>
      <c r="K489">
        <f t="shared" si="526"/>
        <v>-97</v>
      </c>
      <c r="L489">
        <f t="shared" si="527"/>
        <v>-164.33944434591601</v>
      </c>
      <c r="M489" s="5">
        <v>1920.5833333333301</v>
      </c>
      <c r="N489" s="5">
        <v>-105</v>
      </c>
      <c r="O489" s="5">
        <v>-131.131133740255</v>
      </c>
      <c r="Q489">
        <f t="shared" si="534"/>
        <v>24.856652941638888</v>
      </c>
    </row>
    <row r="490" spans="1:17" x14ac:dyDescent="0.25">
      <c r="A490">
        <f t="shared" si="521"/>
        <v>1993.6666666666599</v>
      </c>
      <c r="B490">
        <f t="shared" si="522"/>
        <v>-95</v>
      </c>
      <c r="C490">
        <f t="shared" si="523"/>
        <v>-57.557271328796702</v>
      </c>
      <c r="D490">
        <f t="shared" si="528"/>
        <v>-16</v>
      </c>
      <c r="E490">
        <f t="shared" si="529"/>
        <v>-45.975190159075197</v>
      </c>
      <c r="F490">
        <f t="shared" si="531"/>
        <v>-1.8333333333333333</v>
      </c>
      <c r="G490">
        <f t="shared" si="532"/>
        <v>-0.93968530989533294</v>
      </c>
      <c r="H490">
        <f t="shared" ref="H490:I490" si="570">+AVERAGE(F488:F492)</f>
        <v>-2.5333333333333332</v>
      </c>
      <c r="I490">
        <f t="shared" si="570"/>
        <v>0.62949322954688325</v>
      </c>
      <c r="J490">
        <f t="shared" si="525"/>
        <v>1993.6666666666599</v>
      </c>
      <c r="K490">
        <f t="shared" si="526"/>
        <v>-95</v>
      </c>
      <c r="L490">
        <f t="shared" si="527"/>
        <v>-57.557271328796702</v>
      </c>
      <c r="M490" s="5">
        <v>1920.6666666666599</v>
      </c>
      <c r="N490" s="5">
        <v>-105</v>
      </c>
      <c r="O490" s="5">
        <v>-155.069365721585</v>
      </c>
      <c r="Q490">
        <f t="shared" si="534"/>
        <v>0.89364802343800032</v>
      </c>
    </row>
    <row r="491" spans="1:17" x14ac:dyDescent="0.25">
      <c r="A491">
        <f t="shared" si="521"/>
        <v>1993.75</v>
      </c>
      <c r="B491">
        <f t="shared" si="522"/>
        <v>-61</v>
      </c>
      <c r="C491">
        <f t="shared" si="523"/>
        <v>141.175282006473</v>
      </c>
      <c r="D491">
        <f t="shared" si="528"/>
        <v>-16.5</v>
      </c>
      <c r="E491">
        <f t="shared" si="529"/>
        <v>65.628807507763852</v>
      </c>
      <c r="F491">
        <f t="shared" si="531"/>
        <v>-15.333333333333334</v>
      </c>
      <c r="G491">
        <f t="shared" si="532"/>
        <v>10.705977081211909</v>
      </c>
      <c r="H491">
        <f t="shared" ref="H491:I491" si="571">+AVERAGE(F489:F493)</f>
        <v>-0.73333333333333317</v>
      </c>
      <c r="I491">
        <f t="shared" si="571"/>
        <v>4.9621267613739839</v>
      </c>
      <c r="J491">
        <f t="shared" si="525"/>
        <v>1993.75</v>
      </c>
      <c r="K491">
        <f t="shared" si="526"/>
        <v>-61</v>
      </c>
      <c r="L491">
        <f t="shared" si="527"/>
        <v>141.175282006473</v>
      </c>
      <c r="M491" s="5">
        <v>1920.75</v>
      </c>
      <c r="N491" s="5">
        <v>-105</v>
      </c>
      <c r="O491" s="5">
        <v>-144.88373060828701</v>
      </c>
      <c r="Q491">
        <f t="shared" si="534"/>
        <v>26.039310414545241</v>
      </c>
    </row>
    <row r="492" spans="1:17" x14ac:dyDescent="0.25">
      <c r="A492">
        <f t="shared" si="521"/>
        <v>1993.8333333333301</v>
      </c>
      <c r="B492">
        <f t="shared" si="522"/>
        <v>6</v>
      </c>
      <c r="C492">
        <f t="shared" si="523"/>
        <v>208.65022032621499</v>
      </c>
      <c r="D492">
        <f t="shared" si="528"/>
        <v>-13.5</v>
      </c>
      <c r="E492">
        <f t="shared" si="529"/>
        <v>20.493796705855999</v>
      </c>
      <c r="F492">
        <f t="shared" si="531"/>
        <v>-0.16666666666666666</v>
      </c>
      <c r="G492">
        <f t="shared" si="532"/>
        <v>25.526846829349829</v>
      </c>
      <c r="H492">
        <f t="shared" ref="H492:I492" si="572">+AVERAGE(F490:F494)</f>
        <v>1.0666666666666664</v>
      </c>
      <c r="I492">
        <f t="shared" si="572"/>
        <v>9.9612582743686158</v>
      </c>
      <c r="J492">
        <f t="shared" si="525"/>
        <v>1993.8333333333301</v>
      </c>
      <c r="K492">
        <f t="shared" si="526"/>
        <v>6</v>
      </c>
      <c r="L492">
        <f t="shared" si="527"/>
        <v>208.65022032621499</v>
      </c>
      <c r="M492" s="5">
        <v>1920.8333333333301</v>
      </c>
      <c r="N492" s="5">
        <v>-105</v>
      </c>
      <c r="O492" s="5">
        <v>-138.15092932387699</v>
      </c>
      <c r="Q492">
        <f t="shared" si="534"/>
        <v>25.693513496016497</v>
      </c>
    </row>
    <row r="493" spans="1:17" x14ac:dyDescent="0.25">
      <c r="A493">
        <f t="shared" si="521"/>
        <v>1993.9166666666599</v>
      </c>
      <c r="B493">
        <f t="shared" si="522"/>
        <v>100</v>
      </c>
      <c r="C493">
        <f t="shared" si="523"/>
        <v>235.13756523424499</v>
      </c>
      <c r="D493">
        <f t="shared" si="528"/>
        <v>29.5</v>
      </c>
      <c r="E493">
        <f t="shared" si="529"/>
        <v>9.6030713964420045</v>
      </c>
      <c r="F493">
        <f t="shared" si="531"/>
        <v>9.3333333333333339</v>
      </c>
      <c r="G493">
        <f t="shared" si="532"/>
        <v>10.040814814509069</v>
      </c>
      <c r="H493">
        <f t="shared" ref="H493:I493" si="573">+AVERAGE(F491:F495)</f>
        <v>1.7333333333333336</v>
      </c>
      <c r="I493">
        <f t="shared" si="573"/>
        <v>10.375374267380909</v>
      </c>
      <c r="J493">
        <f t="shared" si="525"/>
        <v>1993.9166666666599</v>
      </c>
      <c r="K493">
        <f t="shared" si="526"/>
        <v>100</v>
      </c>
      <c r="L493">
        <f t="shared" si="527"/>
        <v>235.13756523424499</v>
      </c>
      <c r="M493" s="5">
        <v>1920.9166666666599</v>
      </c>
      <c r="N493" s="5">
        <v>-105</v>
      </c>
      <c r="O493" s="5">
        <v>-142.23875890600701</v>
      </c>
      <c r="Q493">
        <f t="shared" si="534"/>
        <v>0.70748148117573528</v>
      </c>
    </row>
    <row r="494" spans="1:17" x14ac:dyDescent="0.25">
      <c r="A494">
        <f t="shared" si="521"/>
        <v>1994</v>
      </c>
      <c r="B494">
        <f t="shared" si="522"/>
        <v>135</v>
      </c>
      <c r="C494">
        <f t="shared" si="523"/>
        <v>242.418767349391</v>
      </c>
      <c r="D494">
        <f t="shared" si="528"/>
        <v>12</v>
      </c>
      <c r="E494">
        <f t="shared" si="529"/>
        <v>7.5561874521110042</v>
      </c>
      <c r="F494">
        <f t="shared" si="531"/>
        <v>13.333333333333334</v>
      </c>
      <c r="G494">
        <f t="shared" si="532"/>
        <v>4.4723379566676078</v>
      </c>
      <c r="H494">
        <f t="shared" ref="H494:I494" si="574">+AVERAGE(F492:F496)</f>
        <v>4.9333333333333336</v>
      </c>
      <c r="I494">
        <f t="shared" si="574"/>
        <v>8.2194704243527159</v>
      </c>
      <c r="J494">
        <f t="shared" si="525"/>
        <v>1994</v>
      </c>
      <c r="K494">
        <f t="shared" si="526"/>
        <v>135</v>
      </c>
      <c r="L494">
        <f t="shared" si="527"/>
        <v>242.418767349391</v>
      </c>
      <c r="M494" s="5">
        <v>1921</v>
      </c>
      <c r="N494" s="5">
        <v>-105</v>
      </c>
      <c r="O494" s="5">
        <v>-155.39804536467099</v>
      </c>
      <c r="Q494">
        <f t="shared" si="534"/>
        <v>8.860995376665727</v>
      </c>
    </row>
    <row r="495" spans="1:17" x14ac:dyDescent="0.25">
      <c r="A495">
        <f t="shared" si="521"/>
        <v>1994.0833333333301</v>
      </c>
      <c r="B495">
        <f t="shared" si="522"/>
        <v>146</v>
      </c>
      <c r="C495">
        <f t="shared" si="523"/>
        <v>234.58759456031501</v>
      </c>
      <c r="D495">
        <f t="shared" si="528"/>
        <v>-1.5</v>
      </c>
      <c r="E495">
        <f t="shared" si="529"/>
        <v>-0.38799151104947782</v>
      </c>
      <c r="F495">
        <f t="shared" si="531"/>
        <v>1.5</v>
      </c>
      <c r="G495">
        <f t="shared" si="532"/>
        <v>1.1308946551661394</v>
      </c>
      <c r="H495">
        <f t="shared" ref="H495:I495" si="575">+AVERAGE(F493:F497)</f>
        <v>4.7666666666666675</v>
      </c>
      <c r="I495">
        <f t="shared" si="575"/>
        <v>3.1667972890079761</v>
      </c>
      <c r="J495">
        <f t="shared" si="525"/>
        <v>1994.0833333333301</v>
      </c>
      <c r="K495">
        <f t="shared" si="526"/>
        <v>146</v>
      </c>
      <c r="L495">
        <f t="shared" si="527"/>
        <v>234.58759456031501</v>
      </c>
      <c r="M495" s="5">
        <v>1921.0833333333301</v>
      </c>
      <c r="N495" s="5">
        <v>-105</v>
      </c>
      <c r="O495" s="5">
        <v>-169.60203657919499</v>
      </c>
      <c r="Q495">
        <f t="shared" si="534"/>
        <v>0.36910534483386059</v>
      </c>
    </row>
    <row r="496" spans="1:17" x14ac:dyDescent="0.25">
      <c r="A496">
        <f t="shared" si="521"/>
        <v>1994.1666666666599</v>
      </c>
      <c r="B496">
        <f t="shared" si="522"/>
        <v>160</v>
      </c>
      <c r="C496">
        <f t="shared" si="523"/>
        <v>227.532404793338</v>
      </c>
      <c r="D496">
        <f t="shared" si="528"/>
        <v>-6</v>
      </c>
      <c r="E496">
        <f t="shared" si="529"/>
        <v>-2.9273409841885041</v>
      </c>
      <c r="F496">
        <f t="shared" si="531"/>
        <v>0.66666666666666663</v>
      </c>
      <c r="G496">
        <f t="shared" si="532"/>
        <v>-7.3542133929064821E-2</v>
      </c>
      <c r="H496">
        <f t="shared" ref="H496:I496" si="576">+AVERAGE(F494:F498)</f>
        <v>3.4333333333333336</v>
      </c>
      <c r="I496">
        <f t="shared" si="576"/>
        <v>1.5973237181129876</v>
      </c>
      <c r="J496">
        <f t="shared" si="525"/>
        <v>1994.1666666666599</v>
      </c>
      <c r="K496">
        <f t="shared" si="526"/>
        <v>160</v>
      </c>
      <c r="L496">
        <f t="shared" si="527"/>
        <v>227.532404793338</v>
      </c>
      <c r="M496" s="5">
        <v>1921.1666666666599</v>
      </c>
      <c r="N496" s="5">
        <v>-105</v>
      </c>
      <c r="O496" s="5">
        <v>-139.28788636965601</v>
      </c>
      <c r="Q496">
        <f t="shared" si="534"/>
        <v>0.74020880059573146</v>
      </c>
    </row>
    <row r="497" spans="1:17" x14ac:dyDescent="0.25">
      <c r="A497">
        <f t="shared" si="521"/>
        <v>1994.25</v>
      </c>
      <c r="B497">
        <f t="shared" si="522"/>
        <v>186</v>
      </c>
      <c r="C497">
        <f t="shared" si="523"/>
        <v>226.331896994738</v>
      </c>
      <c r="D497">
        <f t="shared" si="528"/>
        <v>9.5</v>
      </c>
      <c r="E497">
        <f t="shared" si="529"/>
        <v>3.0395494930039888</v>
      </c>
      <c r="F497">
        <f t="shared" si="531"/>
        <v>-1</v>
      </c>
      <c r="G497">
        <f t="shared" si="532"/>
        <v>0.26348115262612737</v>
      </c>
      <c r="H497">
        <f t="shared" ref="H497:I497" si="577">+AVERAGE(F495:F499)</f>
        <v>0.73333333333333328</v>
      </c>
      <c r="I497">
        <f t="shared" si="577"/>
        <v>1.7227240175599992</v>
      </c>
      <c r="J497">
        <f t="shared" si="525"/>
        <v>1994.25</v>
      </c>
      <c r="K497">
        <f t="shared" si="526"/>
        <v>186</v>
      </c>
      <c r="L497">
        <f t="shared" si="527"/>
        <v>226.331896994738</v>
      </c>
      <c r="M497" s="5">
        <v>1921.25</v>
      </c>
      <c r="N497" s="5">
        <v>-105</v>
      </c>
      <c r="O497" s="5">
        <v>-44.9171614604684</v>
      </c>
      <c r="Q497">
        <f t="shared" si="534"/>
        <v>1.2634811526261274</v>
      </c>
    </row>
    <row r="498" spans="1:17" x14ac:dyDescent="0.25">
      <c r="A498">
        <f t="shared" si="521"/>
        <v>1994.3333333333301</v>
      </c>
      <c r="B498">
        <f t="shared" si="522"/>
        <v>193</v>
      </c>
      <c r="C498">
        <f t="shared" si="523"/>
        <v>219.05229021013</v>
      </c>
      <c r="D498">
        <f t="shared" si="528"/>
        <v>-6.5</v>
      </c>
      <c r="E498">
        <f t="shared" si="529"/>
        <v>0.87584581353249291</v>
      </c>
      <c r="F498">
        <f t="shared" si="531"/>
        <v>2.6666666666666665</v>
      </c>
      <c r="G498">
        <f t="shared" si="532"/>
        <v>2.1934469600341271</v>
      </c>
      <c r="H498">
        <f t="shared" ref="H498:I498" si="578">+AVERAGE(F496:F500)</f>
        <v>1.1000000000000001</v>
      </c>
      <c r="I498">
        <f t="shared" si="578"/>
        <v>2.9382015088089686</v>
      </c>
      <c r="J498">
        <f t="shared" si="525"/>
        <v>1994.3333333333301</v>
      </c>
      <c r="K498">
        <f t="shared" si="526"/>
        <v>193</v>
      </c>
      <c r="L498">
        <f t="shared" si="527"/>
        <v>219.05229021013</v>
      </c>
      <c r="M498" s="5">
        <v>1921.3333333333301</v>
      </c>
      <c r="N498" s="5">
        <v>-105</v>
      </c>
      <c r="O498" s="5">
        <v>65.971553032946005</v>
      </c>
      <c r="Q498">
        <f t="shared" si="534"/>
        <v>0.47321970663253943</v>
      </c>
    </row>
    <row r="499" spans="1:17" x14ac:dyDescent="0.25">
      <c r="A499">
        <f t="shared" si="521"/>
        <v>1994.4166666666599</v>
      </c>
      <c r="B499">
        <f t="shared" si="522"/>
        <v>213</v>
      </c>
      <c r="C499">
        <f t="shared" si="523"/>
        <v>210.020991798457</v>
      </c>
      <c r="D499">
        <f t="shared" si="528"/>
        <v>5</v>
      </c>
      <c r="E499">
        <f t="shared" si="529"/>
        <v>4.3100307935914941</v>
      </c>
      <c r="F499">
        <f t="shared" si="531"/>
        <v>-0.16666666666666666</v>
      </c>
      <c r="G499">
        <f t="shared" si="532"/>
        <v>5.0993394539026671</v>
      </c>
      <c r="H499">
        <f t="shared" ref="H499:I499" si="579">+AVERAGE(F497:F501)</f>
        <v>3.4666666666666663</v>
      </c>
      <c r="I499">
        <f t="shared" si="579"/>
        <v>6.2618005173784823</v>
      </c>
      <c r="J499">
        <f t="shared" si="525"/>
        <v>1994.4166666666599</v>
      </c>
      <c r="K499">
        <f t="shared" si="526"/>
        <v>213</v>
      </c>
      <c r="L499">
        <f t="shared" si="527"/>
        <v>210.020991798457</v>
      </c>
      <c r="M499" s="5">
        <v>1921.4166666666599</v>
      </c>
      <c r="N499" s="5">
        <v>-105</v>
      </c>
      <c r="O499" s="5">
        <v>139.49119756104901</v>
      </c>
      <c r="Q499">
        <f t="shared" si="534"/>
        <v>5.266006120569334</v>
      </c>
    </row>
    <row r="500" spans="1:17" x14ac:dyDescent="0.25">
      <c r="A500">
        <f t="shared" si="521"/>
        <v>1994.5</v>
      </c>
      <c r="B500">
        <f t="shared" si="522"/>
        <v>223</v>
      </c>
      <c r="C500">
        <f t="shared" si="523"/>
        <v>192.369631799601</v>
      </c>
      <c r="D500">
        <f t="shared" si="528"/>
        <v>1</v>
      </c>
      <c r="E500">
        <f t="shared" si="529"/>
        <v>13.936646345011013</v>
      </c>
      <c r="F500">
        <f t="shared" si="531"/>
        <v>3.3333333333333335</v>
      </c>
      <c r="G500">
        <f t="shared" si="532"/>
        <v>7.2082821114109876</v>
      </c>
      <c r="H500">
        <f t="shared" ref="H500:I500" si="580">+AVERAGE(F498:F502)</f>
        <v>12.666666666666668</v>
      </c>
      <c r="I500">
        <f t="shared" si="580"/>
        <v>8.5434736673628002</v>
      </c>
      <c r="J500">
        <f t="shared" si="525"/>
        <v>1994.5</v>
      </c>
      <c r="K500">
        <f t="shared" si="526"/>
        <v>223</v>
      </c>
      <c r="L500">
        <f t="shared" si="527"/>
        <v>192.369631799601</v>
      </c>
      <c r="M500" s="5">
        <v>1921.5</v>
      </c>
      <c r="N500" s="5">
        <v>-105</v>
      </c>
      <c r="O500" s="5">
        <v>172.041025929608</v>
      </c>
      <c r="Q500">
        <f t="shared" si="534"/>
        <v>3.8749487780776541</v>
      </c>
    </row>
    <row r="501" spans="1:17" x14ac:dyDescent="0.25">
      <c r="A501">
        <f t="shared" si="521"/>
        <v>1994.5833333333301</v>
      </c>
      <c r="B501">
        <f t="shared" si="522"/>
        <v>231</v>
      </c>
      <c r="C501">
        <f t="shared" si="523"/>
        <v>146.84497911072299</v>
      </c>
      <c r="D501">
        <f t="shared" si="528"/>
        <v>4</v>
      </c>
      <c r="E501">
        <f t="shared" si="529"/>
        <v>8.7843807791886945</v>
      </c>
      <c r="F501">
        <f t="shared" si="531"/>
        <v>12.5</v>
      </c>
      <c r="G501">
        <f t="shared" si="532"/>
        <v>16.544452908918501</v>
      </c>
      <c r="H501">
        <f t="shared" ref="H501:I501" si="581">+AVERAGE(F499:F503)</f>
        <v>16.06666666666667</v>
      </c>
      <c r="I501">
        <f t="shared" si="581"/>
        <v>7.9497452773767918</v>
      </c>
      <c r="J501">
        <f t="shared" si="525"/>
        <v>1994.5833333333301</v>
      </c>
      <c r="K501">
        <f t="shared" si="526"/>
        <v>231</v>
      </c>
      <c r="L501">
        <f t="shared" si="527"/>
        <v>146.84497911072299</v>
      </c>
      <c r="M501" s="5">
        <v>1921.5833333333301</v>
      </c>
      <c r="N501" s="5">
        <v>-105</v>
      </c>
      <c r="O501" s="5">
        <v>165.02789150618801</v>
      </c>
      <c r="Q501">
        <f t="shared" si="534"/>
        <v>4.0444529089185011</v>
      </c>
    </row>
    <row r="502" spans="1:17" x14ac:dyDescent="0.25">
      <c r="A502">
        <f t="shared" si="521"/>
        <v>1994.6666666666599</v>
      </c>
      <c r="B502">
        <f t="shared" si="522"/>
        <v>231</v>
      </c>
      <c r="C502">
        <f t="shared" si="523"/>
        <v>83.751564863467607</v>
      </c>
      <c r="D502">
        <f t="shared" si="528"/>
        <v>32.5</v>
      </c>
      <c r="E502">
        <f t="shared" si="529"/>
        <v>39.320671284244668</v>
      </c>
      <c r="F502">
        <f t="shared" si="531"/>
        <v>45</v>
      </c>
      <c r="G502">
        <f t="shared" si="532"/>
        <v>11.671846902547721</v>
      </c>
      <c r="H502">
        <f t="shared" ref="H502:I502" si="582">+AVERAGE(F500:F504)</f>
        <v>15.866666666666665</v>
      </c>
      <c r="I502">
        <f t="shared" si="582"/>
        <v>3.8535375842547728</v>
      </c>
      <c r="J502">
        <f t="shared" si="525"/>
        <v>1994.6666666666599</v>
      </c>
      <c r="K502">
        <f t="shared" si="526"/>
        <v>231</v>
      </c>
      <c r="L502">
        <f t="shared" si="527"/>
        <v>83.751564863467607</v>
      </c>
      <c r="M502" s="5">
        <v>1921.6666666666599</v>
      </c>
      <c r="N502" s="5">
        <v>-105</v>
      </c>
      <c r="O502" s="5">
        <v>140.218981241248</v>
      </c>
      <c r="Q502">
        <f t="shared" si="534"/>
        <v>33.328153097452279</v>
      </c>
    </row>
    <row r="503" spans="1:17" x14ac:dyDescent="0.25">
      <c r="A503">
        <f t="shared" si="521"/>
        <v>1994.75</v>
      </c>
      <c r="B503">
        <f t="shared" si="522"/>
        <v>166</v>
      </c>
      <c r="C503">
        <f t="shared" si="523"/>
        <v>-57.983191952277103</v>
      </c>
      <c r="D503">
        <f t="shared" si="528"/>
        <v>98.5</v>
      </c>
      <c r="E503">
        <f t="shared" si="529"/>
        <v>-4.3356261788794086</v>
      </c>
      <c r="F503">
        <f t="shared" si="531"/>
        <v>19.666666666666668</v>
      </c>
      <c r="G503">
        <f t="shared" si="532"/>
        <v>-0.77519498989591584</v>
      </c>
      <c r="H503">
        <f t="shared" ref="H503:I503" si="583">+AVERAGE(F501:F505)</f>
        <v>6.4666666666666668</v>
      </c>
      <c r="I503">
        <f t="shared" si="583"/>
        <v>-0.83381402196216636</v>
      </c>
      <c r="J503">
        <f t="shared" si="525"/>
        <v>1994.75</v>
      </c>
      <c r="K503">
        <f t="shared" si="526"/>
        <v>166</v>
      </c>
      <c r="L503">
        <f t="shared" si="527"/>
        <v>-57.983191952277103</v>
      </c>
      <c r="M503" s="5">
        <v>1921.75</v>
      </c>
      <c r="N503" s="5">
        <v>-105</v>
      </c>
      <c r="O503" s="5">
        <v>73.267870886312494</v>
      </c>
      <c r="Q503">
        <f t="shared" si="534"/>
        <v>20.441861656562583</v>
      </c>
    </row>
    <row r="504" spans="1:17" x14ac:dyDescent="0.25">
      <c r="A504">
        <f t="shared" si="521"/>
        <v>1994.8333333333301</v>
      </c>
      <c r="B504">
        <f t="shared" si="522"/>
        <v>-96</v>
      </c>
      <c r="C504">
        <f t="shared" si="523"/>
        <v>-191.046696410263</v>
      </c>
      <c r="D504">
        <f t="shared" si="528"/>
        <v>-72</v>
      </c>
      <c r="E504">
        <f t="shared" si="529"/>
        <v>-37.892026317474944</v>
      </c>
      <c r="F504">
        <f t="shared" si="531"/>
        <v>-1.1666666666666667</v>
      </c>
      <c r="G504">
        <f t="shared" si="532"/>
        <v>-15.381699011707429</v>
      </c>
      <c r="H504">
        <f t="shared" ref="H504:I504" si="584">+AVERAGE(F502:F506)</f>
        <v>-1.699999999999998</v>
      </c>
      <c r="I504">
        <f t="shared" si="584"/>
        <v>-5.668413827876372</v>
      </c>
      <c r="J504">
        <f t="shared" si="525"/>
        <v>1994.8333333333301</v>
      </c>
      <c r="K504">
        <f t="shared" si="526"/>
        <v>-96</v>
      </c>
      <c r="L504">
        <f t="shared" si="527"/>
        <v>-191.046696410263</v>
      </c>
      <c r="M504" s="5">
        <v>1921.8333333333301</v>
      </c>
      <c r="N504" s="5">
        <v>-105</v>
      </c>
      <c r="O504" s="5">
        <v>-74.992900757202193</v>
      </c>
      <c r="Q504">
        <f t="shared" si="534"/>
        <v>14.215032345040763</v>
      </c>
    </row>
    <row r="505" spans="1:17" x14ac:dyDescent="0.25">
      <c r="A505">
        <f t="shared" si="521"/>
        <v>1994.9166666666599</v>
      </c>
      <c r="B505">
        <f t="shared" si="522"/>
        <v>-214</v>
      </c>
      <c r="C505">
        <f t="shared" si="523"/>
        <v>-248.32614823329899</v>
      </c>
      <c r="D505">
        <f t="shared" si="528"/>
        <v>-30</v>
      </c>
      <c r="E505">
        <f t="shared" si="529"/>
        <v>-15.453718797548504</v>
      </c>
      <c r="F505">
        <f t="shared" si="531"/>
        <v>-43.666666666666664</v>
      </c>
      <c r="G505">
        <f t="shared" si="532"/>
        <v>-16.228475919673709</v>
      </c>
      <c r="H505">
        <f t="shared" ref="H505:I505" si="585">+AVERAGE(F503:F507)</f>
        <v>-12.8</v>
      </c>
      <c r="I505">
        <f t="shared" si="585"/>
        <v>-8.7754459028984488</v>
      </c>
      <c r="J505">
        <f t="shared" si="525"/>
        <v>1994.9166666666599</v>
      </c>
      <c r="K505">
        <f t="shared" si="526"/>
        <v>-214</v>
      </c>
      <c r="L505">
        <f t="shared" si="527"/>
        <v>-248.32614823329899</v>
      </c>
      <c r="M505" s="5">
        <v>1921.9166666666599</v>
      </c>
      <c r="N505" s="5">
        <v>-105</v>
      </c>
      <c r="O505" s="5">
        <v>-126.50274733633501</v>
      </c>
      <c r="Q505">
        <f t="shared" si="534"/>
        <v>27.438190746992955</v>
      </c>
    </row>
    <row r="506" spans="1:17" x14ac:dyDescent="0.25">
      <c r="A506">
        <f t="shared" si="521"/>
        <v>1995</v>
      </c>
      <c r="B506">
        <f t="shared" si="522"/>
        <v>-272</v>
      </c>
      <c r="C506">
        <f t="shared" si="523"/>
        <v>-274.69816246123798</v>
      </c>
      <c r="D506">
        <f t="shared" si="528"/>
        <v>-29</v>
      </c>
      <c r="E506">
        <f t="shared" si="529"/>
        <v>-7.5110395837529609</v>
      </c>
      <c r="F506">
        <f t="shared" si="531"/>
        <v>-28.333333333333332</v>
      </c>
      <c r="G506">
        <f t="shared" si="532"/>
        <v>-7.6285461206525271</v>
      </c>
      <c r="H506">
        <f t="shared" ref="H506:I506" si="586">+AVERAGE(F504:F508)</f>
        <v>-16.733333333333331</v>
      </c>
      <c r="I506">
        <f t="shared" si="586"/>
        <v>-9.0693104257131569</v>
      </c>
      <c r="J506">
        <f t="shared" si="525"/>
        <v>1995</v>
      </c>
      <c r="K506">
        <f t="shared" si="526"/>
        <v>-272</v>
      </c>
      <c r="L506">
        <f t="shared" si="527"/>
        <v>-274.69816246123798</v>
      </c>
      <c r="M506" s="5">
        <v>1922</v>
      </c>
      <c r="N506" s="5">
        <v>-105</v>
      </c>
      <c r="O506" s="5">
        <v>-152.206427283132</v>
      </c>
      <c r="Q506">
        <f t="shared" si="534"/>
        <v>20.704787212680806</v>
      </c>
    </row>
    <row r="507" spans="1:17" x14ac:dyDescent="0.25">
      <c r="A507">
        <f t="shared" si="521"/>
        <v>1995.0833333333301</v>
      </c>
      <c r="B507">
        <f t="shared" si="522"/>
        <v>-272</v>
      </c>
      <c r="C507">
        <f t="shared" si="523"/>
        <v>-286.04809752167102</v>
      </c>
      <c r="D507">
        <f t="shared" si="528"/>
        <v>-26</v>
      </c>
      <c r="E507">
        <f t="shared" si="529"/>
        <v>-5.6422895711455112</v>
      </c>
      <c r="F507">
        <f t="shared" si="531"/>
        <v>-10.5</v>
      </c>
      <c r="G507">
        <f t="shared" si="532"/>
        <v>-3.8633134725626554</v>
      </c>
      <c r="H507">
        <f t="shared" ref="H507:I507" si="587">+AVERAGE(F505:F509)</f>
        <v>-13.4</v>
      </c>
      <c r="I507">
        <f t="shared" si="587"/>
        <v>-6.5071004212145498</v>
      </c>
      <c r="J507">
        <f t="shared" si="525"/>
        <v>1995.0833333333301</v>
      </c>
      <c r="K507">
        <f t="shared" si="526"/>
        <v>-272</v>
      </c>
      <c r="L507">
        <f t="shared" si="527"/>
        <v>-286.04809752167102</v>
      </c>
      <c r="M507" s="5">
        <v>1922.0833333333301</v>
      </c>
      <c r="N507" s="5">
        <v>-105</v>
      </c>
      <c r="O507" s="5">
        <v>-186.440917252632</v>
      </c>
      <c r="Q507">
        <f t="shared" si="534"/>
        <v>6.6366865274373446</v>
      </c>
    </row>
    <row r="508" spans="1:17" x14ac:dyDescent="0.25">
      <c r="A508">
        <f t="shared" si="521"/>
        <v>1995.1666666666599</v>
      </c>
      <c r="B508">
        <f t="shared" si="522"/>
        <v>-220</v>
      </c>
      <c r="C508">
        <f t="shared" si="523"/>
        <v>-286.11345343981299</v>
      </c>
      <c r="D508">
        <f t="shared" si="528"/>
        <v>23.5</v>
      </c>
      <c r="E508">
        <f t="shared" si="529"/>
        <v>-1.3340963672114867</v>
      </c>
      <c r="F508">
        <f t="shared" si="531"/>
        <v>0</v>
      </c>
      <c r="G508">
        <f t="shared" si="532"/>
        <v>-2.2445176039694616</v>
      </c>
      <c r="H508">
        <f t="shared" ref="H508:I508" si="588">+AVERAGE(F506:F510)</f>
        <v>-4.4999999999999991</v>
      </c>
      <c r="I508">
        <f t="shared" si="588"/>
        <v>-3.951422630570208</v>
      </c>
      <c r="J508">
        <f t="shared" si="525"/>
        <v>1995.1666666666599</v>
      </c>
      <c r="K508">
        <f t="shared" si="526"/>
        <v>-220</v>
      </c>
      <c r="L508">
        <f t="shared" si="527"/>
        <v>-286.11345343981299</v>
      </c>
      <c r="M508" s="5">
        <v>1922.1666666666599</v>
      </c>
      <c r="N508" s="5">
        <v>-105</v>
      </c>
      <c r="O508" s="5">
        <v>-215.02735843072799</v>
      </c>
      <c r="Q508">
        <f t="shared" si="534"/>
        <v>2.2445176039694616</v>
      </c>
    </row>
    <row r="509" spans="1:17" x14ac:dyDescent="0.25">
      <c r="A509">
        <f t="shared" si="521"/>
        <v>1995.25</v>
      </c>
      <c r="B509">
        <f t="shared" si="522"/>
        <v>-215</v>
      </c>
      <c r="C509">
        <f t="shared" si="523"/>
        <v>-283.51061662353197</v>
      </c>
      <c r="D509">
        <f t="shared" si="528"/>
        <v>2.5</v>
      </c>
      <c r="E509">
        <f t="shared" si="529"/>
        <v>-1.4405550765284829</v>
      </c>
      <c r="F509">
        <f t="shared" si="531"/>
        <v>15.5</v>
      </c>
      <c r="G509">
        <f t="shared" si="532"/>
        <v>-2.5706489892143964</v>
      </c>
      <c r="H509">
        <f t="shared" ref="H509:I509" si="589">+AVERAGE(F507:F511)</f>
        <v>0.3</v>
      </c>
      <c r="I509">
        <f t="shared" si="589"/>
        <v>-2.9378688275355445</v>
      </c>
      <c r="J509">
        <f t="shared" si="525"/>
        <v>1995.25</v>
      </c>
      <c r="K509">
        <f t="shared" si="526"/>
        <v>-215</v>
      </c>
      <c r="L509">
        <f t="shared" si="527"/>
        <v>-283.51061662353197</v>
      </c>
      <c r="M509" s="5">
        <v>1922.25</v>
      </c>
      <c r="N509" s="5">
        <v>-105</v>
      </c>
      <c r="O509" s="5">
        <v>-241.05413964177501</v>
      </c>
      <c r="Q509">
        <f t="shared" si="534"/>
        <v>18.070648989214398</v>
      </c>
    </row>
    <row r="510" spans="1:17" x14ac:dyDescent="0.25">
      <c r="A510">
        <f t="shared" si="521"/>
        <v>1995.3333333333301</v>
      </c>
      <c r="B510">
        <f t="shared" si="522"/>
        <v>-215</v>
      </c>
      <c r="C510">
        <f t="shared" si="523"/>
        <v>-278.026669654194</v>
      </c>
      <c r="D510">
        <f t="shared" si="528"/>
        <v>20.5</v>
      </c>
      <c r="E510">
        <f t="shared" si="529"/>
        <v>-6.8652822658140167</v>
      </c>
      <c r="F510">
        <f t="shared" si="531"/>
        <v>0.83333333333333337</v>
      </c>
      <c r="G510">
        <f t="shared" si="532"/>
        <v>-3.450086966452</v>
      </c>
      <c r="H510">
        <f t="shared" ref="H510:I510" si="590">+AVERAGE(F508:F512)</f>
        <v>-0.73333333333333317</v>
      </c>
      <c r="I510">
        <f t="shared" si="590"/>
        <v>-2.5296353914637337</v>
      </c>
      <c r="J510">
        <f t="shared" si="525"/>
        <v>1995.3333333333301</v>
      </c>
      <c r="K510">
        <f t="shared" si="526"/>
        <v>-215</v>
      </c>
      <c r="L510">
        <f t="shared" si="527"/>
        <v>-278.026669654194</v>
      </c>
      <c r="M510" s="5">
        <v>1922.3333333333301</v>
      </c>
      <c r="N510" s="5">
        <v>-105</v>
      </c>
      <c r="O510" s="5">
        <v>-249.50760140638499</v>
      </c>
      <c r="Q510">
        <f t="shared" si="534"/>
        <v>4.283420299785333</v>
      </c>
    </row>
    <row r="511" spans="1:17" x14ac:dyDescent="0.25">
      <c r="A511">
        <f t="shared" si="521"/>
        <v>1995.4166666666599</v>
      </c>
      <c r="B511">
        <f t="shared" si="522"/>
        <v>-256</v>
      </c>
      <c r="C511">
        <f t="shared" si="523"/>
        <v>-258.81215815322798</v>
      </c>
      <c r="D511">
        <f t="shared" si="528"/>
        <v>-20.5</v>
      </c>
      <c r="E511">
        <f t="shared" si="529"/>
        <v>-4.631988781852499</v>
      </c>
      <c r="F511">
        <f t="shared" si="531"/>
        <v>-4.333333333333333</v>
      </c>
      <c r="G511">
        <f t="shared" si="532"/>
        <v>-2.5607771054792088</v>
      </c>
      <c r="H511">
        <f t="shared" ref="H511:I511" si="591">+AVERAGE(F509:F513)</f>
        <v>-2</v>
      </c>
      <c r="I511">
        <f t="shared" si="591"/>
        <v>-2.6141879973440276</v>
      </c>
      <c r="J511">
        <f t="shared" si="525"/>
        <v>1995.4166666666599</v>
      </c>
      <c r="K511">
        <f t="shared" si="526"/>
        <v>-256</v>
      </c>
      <c r="L511">
        <f t="shared" si="527"/>
        <v>-258.81215815322798</v>
      </c>
      <c r="M511" s="5">
        <v>1922.4166666666599</v>
      </c>
      <c r="N511" s="5">
        <v>-105</v>
      </c>
      <c r="O511" s="5">
        <v>-228.678723413342</v>
      </c>
      <c r="Q511">
        <f t="shared" si="534"/>
        <v>1.7725562278541243</v>
      </c>
    </row>
    <row r="512" spans="1:17" x14ac:dyDescent="0.25">
      <c r="A512">
        <f t="shared" si="521"/>
        <v>1995.5</v>
      </c>
      <c r="B512">
        <f t="shared" si="522"/>
        <v>-256</v>
      </c>
      <c r="C512">
        <f t="shared" si="523"/>
        <v>-230.333669088557</v>
      </c>
      <c r="D512">
        <f t="shared" si="528"/>
        <v>-13</v>
      </c>
      <c r="E512">
        <f t="shared" si="529"/>
        <v>1.8943569021194833</v>
      </c>
      <c r="F512">
        <f t="shared" si="531"/>
        <v>-15.666666666666666</v>
      </c>
      <c r="G512">
        <f t="shared" si="532"/>
        <v>-1.8221462922036</v>
      </c>
      <c r="H512">
        <f t="shared" ref="H512:I512" si="592">+AVERAGE(F510:F514)</f>
        <v>-6.4333333333333327</v>
      </c>
      <c r="I512">
        <f t="shared" si="592"/>
        <v>-4.5102678068712798</v>
      </c>
      <c r="J512">
        <f t="shared" si="525"/>
        <v>1995.5</v>
      </c>
      <c r="K512">
        <f t="shared" si="526"/>
        <v>-256</v>
      </c>
      <c r="L512">
        <f t="shared" si="527"/>
        <v>-230.333669088557</v>
      </c>
      <c r="M512" s="5">
        <v>1922.5</v>
      </c>
      <c r="N512" s="5">
        <v>-105</v>
      </c>
      <c r="O512" s="5">
        <v>-195.64218749662999</v>
      </c>
      <c r="Q512">
        <f t="shared" si="534"/>
        <v>13.844520374463066</v>
      </c>
    </row>
    <row r="513" spans="1:17" x14ac:dyDescent="0.25">
      <c r="A513">
        <f t="shared" si="521"/>
        <v>1995.5833333333301</v>
      </c>
      <c r="B513">
        <f t="shared" si="522"/>
        <v>-230</v>
      </c>
      <c r="C513">
        <f t="shared" si="523"/>
        <v>-205.64389382812499</v>
      </c>
      <c r="D513">
        <f t="shared" si="528"/>
        <v>-13.5</v>
      </c>
      <c r="E513">
        <f t="shared" si="529"/>
        <v>-4.0954167160304848</v>
      </c>
      <c r="F513">
        <f t="shared" si="531"/>
        <v>-6.333333333333333</v>
      </c>
      <c r="G513">
        <f t="shared" si="532"/>
        <v>-2.6672806333709334</v>
      </c>
      <c r="H513">
        <f t="shared" ref="H513:I513" si="593">+AVERAGE(F511:F515)</f>
        <v>-8.1333333333333329</v>
      </c>
      <c r="I513">
        <f t="shared" si="593"/>
        <v>-6.5019446586108529</v>
      </c>
      <c r="J513">
        <f t="shared" si="525"/>
        <v>1995.5833333333301</v>
      </c>
      <c r="K513">
        <f t="shared" si="526"/>
        <v>-230</v>
      </c>
      <c r="L513">
        <f t="shared" si="527"/>
        <v>-205.64389382812499</v>
      </c>
      <c r="M513" s="5">
        <v>1922.5833333333301</v>
      </c>
      <c r="N513" s="5">
        <v>-105</v>
      </c>
      <c r="O513" s="5">
        <v>-177.16484357019601</v>
      </c>
      <c r="Q513">
        <f t="shared" si="534"/>
        <v>3.6660526999623997</v>
      </c>
    </row>
    <row r="514" spans="1:17" x14ac:dyDescent="0.25">
      <c r="A514">
        <f t="shared" si="521"/>
        <v>1995.6666666666599</v>
      </c>
      <c r="B514">
        <f t="shared" si="522"/>
        <v>-177</v>
      </c>
      <c r="C514">
        <f t="shared" si="523"/>
        <v>-172.763285135632</v>
      </c>
      <c r="D514">
        <f t="shared" si="528"/>
        <v>7.5</v>
      </c>
      <c r="E514">
        <f t="shared" si="529"/>
        <v>-7.8012425612299978</v>
      </c>
      <c r="F514">
        <f t="shared" si="531"/>
        <v>-6.666666666666667</v>
      </c>
      <c r="G514">
        <f t="shared" si="532"/>
        <v>-12.051048036850656</v>
      </c>
      <c r="H514">
        <f t="shared" ref="H514:I514" si="594">+AVERAGE(F512:F516)</f>
        <v>-7.2666666666666675</v>
      </c>
      <c r="I514">
        <f t="shared" si="594"/>
        <v>-5.3213079371985312</v>
      </c>
      <c r="J514">
        <f t="shared" si="525"/>
        <v>1995.6666666666599</v>
      </c>
      <c r="K514">
        <f t="shared" si="526"/>
        <v>-177</v>
      </c>
      <c r="L514">
        <f t="shared" si="527"/>
        <v>-172.763285135632</v>
      </c>
      <c r="M514" s="5">
        <v>1922.6666666666599</v>
      </c>
      <c r="N514" s="5">
        <v>-105</v>
      </c>
      <c r="O514" s="5">
        <v>-159.08802735098001</v>
      </c>
      <c r="Q514">
        <f t="shared" si="534"/>
        <v>5.3843813701839887</v>
      </c>
    </row>
    <row r="515" spans="1:17" x14ac:dyDescent="0.25">
      <c r="A515">
        <f t="shared" si="521"/>
        <v>1995.75</v>
      </c>
      <c r="B515">
        <f t="shared" si="522"/>
        <v>-139</v>
      </c>
      <c r="C515">
        <f t="shared" si="523"/>
        <v>-124.28019132067899</v>
      </c>
      <c r="D515">
        <f t="shared" si="528"/>
        <v>-14</v>
      </c>
      <c r="E515">
        <f t="shared" si="529"/>
        <v>-33.294770860929475</v>
      </c>
      <c r="F515">
        <f t="shared" si="531"/>
        <v>-7.666666666666667</v>
      </c>
      <c r="G515">
        <f t="shared" si="532"/>
        <v>-13.408471225149867</v>
      </c>
      <c r="H515">
        <f t="shared" ref="H515:I515" si="595">+AVERAGE(F513:F517)</f>
        <v>-2.4000000000000004</v>
      </c>
      <c r="I515">
        <f t="shared" si="595"/>
        <v>-1.6401497786636789</v>
      </c>
      <c r="J515">
        <f t="shared" si="525"/>
        <v>1995.75</v>
      </c>
      <c r="K515">
        <f t="shared" si="526"/>
        <v>-139</v>
      </c>
      <c r="L515">
        <f t="shared" si="527"/>
        <v>-124.28019132067899</v>
      </c>
      <c r="M515" s="5">
        <v>1922.75</v>
      </c>
      <c r="N515" s="5">
        <v>-105</v>
      </c>
      <c r="O515" s="5">
        <v>-134.92272088453399</v>
      </c>
      <c r="Q515">
        <f t="shared" si="534"/>
        <v>5.7418045584832003</v>
      </c>
    </row>
    <row r="516" spans="1:17" x14ac:dyDescent="0.25">
      <c r="A516">
        <f t="shared" ref="A516:A579" si="596">+J516</f>
        <v>1995.8333333333301</v>
      </c>
      <c r="B516">
        <f t="shared" ref="B516:B579" si="597">+K516</f>
        <v>-73</v>
      </c>
      <c r="C516">
        <f t="shared" ref="C516:C579" si="598">+L516</f>
        <v>-9.2075557838670292</v>
      </c>
      <c r="D516">
        <f t="shared" si="528"/>
        <v>-16.5</v>
      </c>
      <c r="E516">
        <f t="shared" si="529"/>
        <v>-9.1857536721525292</v>
      </c>
      <c r="F516">
        <f t="shared" si="531"/>
        <v>0</v>
      </c>
      <c r="G516">
        <f t="shared" si="532"/>
        <v>3.3424065015824036</v>
      </c>
      <c r="H516">
        <f t="shared" ref="H516:I516" si="599">+AVERAGE(F514:F518)</f>
        <v>1.5333333333333332</v>
      </c>
      <c r="I516">
        <f t="shared" si="599"/>
        <v>2.1845296700533345</v>
      </c>
      <c r="J516">
        <f t="shared" ref="J516:J579" si="600">+$M1392</f>
        <v>1995.8333333333301</v>
      </c>
      <c r="K516">
        <f t="shared" ref="K516:K579" si="601">+$N1392</f>
        <v>-73</v>
      </c>
      <c r="L516">
        <f t="shared" ref="L516:L579" si="602">+$O1392</f>
        <v>-9.2075557838670292</v>
      </c>
      <c r="M516" s="5">
        <v>1922.8333333333301</v>
      </c>
      <c r="N516" s="5">
        <v>-105</v>
      </c>
      <c r="O516" s="5">
        <v>-75.182240786517099</v>
      </c>
      <c r="Q516">
        <f t="shared" si="534"/>
        <v>3.3424065015824036</v>
      </c>
    </row>
    <row r="517" spans="1:17" x14ac:dyDescent="0.25">
      <c r="A517">
        <f t="shared" si="596"/>
        <v>1995.9166666666599</v>
      </c>
      <c r="B517">
        <f t="shared" si="597"/>
        <v>26</v>
      </c>
      <c r="C517">
        <f t="shared" si="598"/>
        <v>124.23658709724999</v>
      </c>
      <c r="D517">
        <f t="shared" ref="D517:D580" si="603">+B517-1/2*(B516+B518)</f>
        <v>30.5</v>
      </c>
      <c r="E517">
        <f t="shared" ref="E517:E580" si="604">+C517-1/2*(C516+C518)</f>
        <v>55.014548914016018</v>
      </c>
      <c r="F517">
        <f t="shared" si="531"/>
        <v>8.6666666666666661</v>
      </c>
      <c r="G517">
        <f t="shared" si="532"/>
        <v>16.583644500470658</v>
      </c>
      <c r="H517">
        <f t="shared" ref="H517:I517" si="605">+AVERAGE(F515:F519)</f>
        <v>2.8999999999999995</v>
      </c>
      <c r="I517">
        <f t="shared" si="605"/>
        <v>4.6064373524288253</v>
      </c>
      <c r="J517">
        <f t="shared" si="600"/>
        <v>1995.9166666666599</v>
      </c>
      <c r="K517">
        <f t="shared" si="601"/>
        <v>26</v>
      </c>
      <c r="L517">
        <f t="shared" si="602"/>
        <v>124.23658709724999</v>
      </c>
      <c r="M517" s="5">
        <v>1922.9166666666599</v>
      </c>
      <c r="N517" s="5">
        <v>-105</v>
      </c>
      <c r="O517" s="5">
        <v>32.633902449718903</v>
      </c>
      <c r="Q517">
        <f t="shared" si="534"/>
        <v>7.9169778338039922</v>
      </c>
    </row>
    <row r="518" spans="1:17" x14ac:dyDescent="0.25">
      <c r="A518">
        <f t="shared" si="596"/>
        <v>1996</v>
      </c>
      <c r="B518">
        <f t="shared" si="597"/>
        <v>64</v>
      </c>
      <c r="C518">
        <f t="shared" si="598"/>
        <v>147.65163215033499</v>
      </c>
      <c r="D518">
        <f t="shared" si="603"/>
        <v>12</v>
      </c>
      <c r="E518">
        <f t="shared" si="604"/>
        <v>16.359871634901481</v>
      </c>
      <c r="F518">
        <f t="shared" ref="F518:F581" si="606">+AVERAGE(D517:D519)</f>
        <v>13.333333333333334</v>
      </c>
      <c r="G518">
        <f t="shared" ref="G518:G581" si="607">+$H$1*AVERAGE(E517:E519)+$F$1</f>
        <v>16.456116610214135</v>
      </c>
      <c r="H518">
        <f t="shared" ref="H518:I518" si="608">+AVERAGE(F516:F520)</f>
        <v>3.6333333333333337</v>
      </c>
      <c r="I518">
        <f t="shared" si="608"/>
        <v>6.1347950832452813</v>
      </c>
      <c r="J518">
        <f t="shared" si="600"/>
        <v>1996</v>
      </c>
      <c r="K518">
        <f t="shared" si="601"/>
        <v>64</v>
      </c>
      <c r="L518">
        <f t="shared" si="602"/>
        <v>147.65163215033499</v>
      </c>
      <c r="M518" s="5">
        <v>1923</v>
      </c>
      <c r="N518" s="5">
        <v>-105</v>
      </c>
      <c r="O518" s="5">
        <v>34.233653220925397</v>
      </c>
      <c r="Q518">
        <f t="shared" ref="Q518:Q581" si="609">+ABS(F518-G518)</f>
        <v>3.122783276880801</v>
      </c>
    </row>
    <row r="519" spans="1:17" x14ac:dyDescent="0.25">
      <c r="A519">
        <f t="shared" si="596"/>
        <v>1996.0833333333301</v>
      </c>
      <c r="B519">
        <f t="shared" si="597"/>
        <v>78</v>
      </c>
      <c r="C519">
        <f t="shared" si="598"/>
        <v>138.34693393361701</v>
      </c>
      <c r="D519">
        <f t="shared" si="603"/>
        <v>-2.5</v>
      </c>
      <c r="E519">
        <f t="shared" si="604"/>
        <v>-9.6639832606144864</v>
      </c>
      <c r="F519">
        <f t="shared" si="606"/>
        <v>0.16666666666666666</v>
      </c>
      <c r="G519">
        <f t="shared" si="607"/>
        <v>5.8490375026796451E-2</v>
      </c>
      <c r="H519">
        <f t="shared" ref="H519:I519" si="610">+AVERAGE(F517:F521)</f>
        <v>3.2666666666666671</v>
      </c>
      <c r="I519">
        <f t="shared" si="610"/>
        <v>5.1059002486423735</v>
      </c>
      <c r="J519">
        <f t="shared" si="600"/>
        <v>1996.0833333333301</v>
      </c>
      <c r="K519">
        <f t="shared" si="601"/>
        <v>78</v>
      </c>
      <c r="L519">
        <f t="shared" si="602"/>
        <v>138.34693393361701</v>
      </c>
      <c r="M519" s="5">
        <v>1923.0833333333301</v>
      </c>
      <c r="N519" s="5">
        <v>-105</v>
      </c>
      <c r="O519" s="5">
        <v>8.4205389279757199</v>
      </c>
      <c r="Q519">
        <f t="shared" si="609"/>
        <v>0.10817629163987021</v>
      </c>
    </row>
    <row r="520" spans="1:17" x14ac:dyDescent="0.25">
      <c r="A520">
        <f t="shared" si="596"/>
        <v>1996.1666666666599</v>
      </c>
      <c r="B520">
        <f t="shared" si="597"/>
        <v>97</v>
      </c>
      <c r="C520">
        <f t="shared" si="598"/>
        <v>148.370202238128</v>
      </c>
      <c r="D520">
        <f t="shared" si="603"/>
        <v>-9</v>
      </c>
      <c r="E520">
        <f t="shared" si="604"/>
        <v>-6.4765494679365077</v>
      </c>
      <c r="F520">
        <f t="shared" si="606"/>
        <v>-4</v>
      </c>
      <c r="G520">
        <f t="shared" si="607"/>
        <v>-5.7666825710675917</v>
      </c>
      <c r="H520">
        <f t="shared" ref="H520:I520" si="611">+AVERAGE(F518:F522)</f>
        <v>2.166666666666667</v>
      </c>
      <c r="I520">
        <f t="shared" si="611"/>
        <v>2.4744846249930426</v>
      </c>
      <c r="J520">
        <f t="shared" si="600"/>
        <v>1996.1666666666599</v>
      </c>
      <c r="K520">
        <f t="shared" si="601"/>
        <v>97</v>
      </c>
      <c r="L520">
        <f t="shared" si="602"/>
        <v>148.370202238128</v>
      </c>
      <c r="M520" s="5">
        <v>1923.1666666666599</v>
      </c>
      <c r="N520" s="5">
        <v>-105</v>
      </c>
      <c r="O520" s="5">
        <v>52.294899086543197</v>
      </c>
      <c r="Q520">
        <f t="shared" si="609"/>
        <v>1.7666825710675917</v>
      </c>
    </row>
    <row r="521" spans="1:17" x14ac:dyDescent="0.25">
      <c r="A521">
        <f t="shared" si="596"/>
        <v>1996.25</v>
      </c>
      <c r="B521">
        <f t="shared" si="597"/>
        <v>134</v>
      </c>
      <c r="C521">
        <f t="shared" si="598"/>
        <v>171.34656947851201</v>
      </c>
      <c r="D521">
        <f t="shared" si="603"/>
        <v>-0.5</v>
      </c>
      <c r="E521">
        <f t="shared" si="604"/>
        <v>-5.4845269129524752</v>
      </c>
      <c r="F521">
        <f t="shared" si="606"/>
        <v>-1.8333333333333333</v>
      </c>
      <c r="G521">
        <f t="shared" si="607"/>
        <v>-1.8020676714321326</v>
      </c>
      <c r="H521">
        <f t="shared" ref="H521:I521" si="612">+AVERAGE(F519:F523)</f>
        <v>0.59999999999999987</v>
      </c>
      <c r="I521">
        <f t="shared" si="612"/>
        <v>0.57846138544285464</v>
      </c>
      <c r="J521">
        <f t="shared" si="600"/>
        <v>1996.25</v>
      </c>
      <c r="K521">
        <f t="shared" si="601"/>
        <v>134</v>
      </c>
      <c r="L521">
        <f t="shared" si="602"/>
        <v>171.34656947851201</v>
      </c>
      <c r="M521" s="5">
        <v>1923.25</v>
      </c>
      <c r="N521" s="5">
        <v>-105</v>
      </c>
      <c r="O521" s="5">
        <v>88.885757980102497</v>
      </c>
      <c r="Q521">
        <f t="shared" si="609"/>
        <v>3.1265661901200614E-2</v>
      </c>
    </row>
    <row r="522" spans="1:17" x14ac:dyDescent="0.25">
      <c r="A522">
        <f t="shared" si="596"/>
        <v>1996.3333333333301</v>
      </c>
      <c r="B522">
        <f t="shared" si="597"/>
        <v>172</v>
      </c>
      <c r="C522">
        <f t="shared" si="598"/>
        <v>205.291990544801</v>
      </c>
      <c r="D522">
        <f t="shared" si="603"/>
        <v>4</v>
      </c>
      <c r="E522">
        <f t="shared" si="604"/>
        <v>5.2033226130184858</v>
      </c>
      <c r="F522">
        <f t="shared" si="606"/>
        <v>3.1666666666666665</v>
      </c>
      <c r="G522">
        <f t="shared" si="607"/>
        <v>3.4265663822240038</v>
      </c>
      <c r="H522">
        <f t="shared" ref="H522:I522" si="613">+AVERAGE(F520:F524)</f>
        <v>1.0333333333333334</v>
      </c>
      <c r="I522">
        <f t="shared" si="613"/>
        <v>1.7000615815042965</v>
      </c>
      <c r="J522">
        <f t="shared" si="600"/>
        <v>1996.3333333333301</v>
      </c>
      <c r="K522">
        <f t="shared" si="601"/>
        <v>172</v>
      </c>
      <c r="L522">
        <f t="shared" si="602"/>
        <v>205.291990544801</v>
      </c>
      <c r="M522" s="5">
        <v>1923.3333333333301</v>
      </c>
      <c r="N522" s="5">
        <v>-105</v>
      </c>
      <c r="O522" s="5">
        <v>123.971604494979</v>
      </c>
      <c r="Q522">
        <f t="shared" si="609"/>
        <v>0.25989971555733726</v>
      </c>
    </row>
    <row r="523" spans="1:17" x14ac:dyDescent="0.25">
      <c r="A523">
        <f t="shared" si="596"/>
        <v>1996.4166666666599</v>
      </c>
      <c r="B523">
        <f t="shared" si="597"/>
        <v>202</v>
      </c>
      <c r="C523">
        <f t="shared" si="598"/>
        <v>228.83076638505301</v>
      </c>
      <c r="D523">
        <f t="shared" si="603"/>
        <v>6</v>
      </c>
      <c r="E523">
        <f t="shared" si="604"/>
        <v>13.130828233274002</v>
      </c>
      <c r="F523">
        <f t="shared" si="606"/>
        <v>5.5</v>
      </c>
      <c r="G523">
        <f t="shared" si="607"/>
        <v>6.9760004124631978</v>
      </c>
      <c r="H523">
        <f t="shared" ref="H523:I523" si="614">+AVERAGE(F521:F525)</f>
        <v>2.333333333333333</v>
      </c>
      <c r="I523">
        <f t="shared" si="614"/>
        <v>3.5503695302393892</v>
      </c>
      <c r="J523">
        <f t="shared" si="600"/>
        <v>1996.4166666666599</v>
      </c>
      <c r="K523">
        <f t="shared" si="601"/>
        <v>202</v>
      </c>
      <c r="L523">
        <f t="shared" si="602"/>
        <v>228.83076638505301</v>
      </c>
      <c r="M523" s="5">
        <v>1923.4166666666599</v>
      </c>
      <c r="N523" s="5">
        <v>-105</v>
      </c>
      <c r="O523" s="5">
        <v>145.76733662205999</v>
      </c>
      <c r="Q523">
        <f t="shared" si="609"/>
        <v>1.4760004124631978</v>
      </c>
    </row>
    <row r="524" spans="1:17" x14ac:dyDescent="0.25">
      <c r="A524">
        <f t="shared" si="596"/>
        <v>1996.5</v>
      </c>
      <c r="B524">
        <f t="shared" si="597"/>
        <v>220</v>
      </c>
      <c r="C524">
        <f t="shared" si="598"/>
        <v>226.10788575875699</v>
      </c>
      <c r="D524">
        <f t="shared" si="603"/>
        <v>6.5</v>
      </c>
      <c r="E524">
        <f t="shared" si="604"/>
        <v>7.825850700444505</v>
      </c>
      <c r="F524">
        <f t="shared" si="606"/>
        <v>2.3333333333333335</v>
      </c>
      <c r="G524">
        <f t="shared" si="607"/>
        <v>5.6664913553340064</v>
      </c>
      <c r="H524">
        <f t="shared" ref="H524:I524" si="615">+AVERAGE(F522:F526)</f>
        <v>2.8666666666666667</v>
      </c>
      <c r="I524">
        <f t="shared" si="615"/>
        <v>4.9610354055722423</v>
      </c>
      <c r="J524">
        <f t="shared" si="600"/>
        <v>1996.5</v>
      </c>
      <c r="K524">
        <f t="shared" si="601"/>
        <v>220</v>
      </c>
      <c r="L524">
        <f t="shared" si="602"/>
        <v>226.10788575875699</v>
      </c>
      <c r="M524" s="5">
        <v>1923.5</v>
      </c>
      <c r="N524" s="5">
        <v>-105</v>
      </c>
      <c r="O524" s="5">
        <v>126.836291598142</v>
      </c>
      <c r="Q524">
        <f t="shared" si="609"/>
        <v>3.3331580220006729</v>
      </c>
    </row>
    <row r="525" spans="1:17" x14ac:dyDescent="0.25">
      <c r="A525">
        <f t="shared" si="596"/>
        <v>1996.5833333333301</v>
      </c>
      <c r="B525">
        <f t="shared" si="597"/>
        <v>225</v>
      </c>
      <c r="C525">
        <f t="shared" si="598"/>
        <v>207.73330373157199</v>
      </c>
      <c r="D525">
        <f t="shared" si="603"/>
        <v>-5.5</v>
      </c>
      <c r="E525">
        <f t="shared" si="604"/>
        <v>0.29266364878401419</v>
      </c>
      <c r="F525">
        <f t="shared" si="606"/>
        <v>2.5</v>
      </c>
      <c r="G525">
        <f t="shared" si="607"/>
        <v>3.4848571726078719</v>
      </c>
      <c r="H525">
        <f t="shared" ref="H525:I525" si="616">+AVERAGE(F523:F527)</f>
        <v>4.9333333333333336</v>
      </c>
      <c r="I525">
        <f t="shared" si="616"/>
        <v>8.8785077303787379</v>
      </c>
      <c r="J525">
        <f t="shared" si="600"/>
        <v>1996.5833333333301</v>
      </c>
      <c r="K525">
        <f t="shared" si="601"/>
        <v>225</v>
      </c>
      <c r="L525">
        <f t="shared" si="602"/>
        <v>207.73330373157199</v>
      </c>
      <c r="M525" s="5">
        <v>1923.5833333333301</v>
      </c>
      <c r="N525" s="5">
        <v>-105</v>
      </c>
      <c r="O525" s="5">
        <v>105.474971572347</v>
      </c>
      <c r="Q525">
        <f t="shared" si="609"/>
        <v>0.98485717260787187</v>
      </c>
    </row>
    <row r="526" spans="1:17" x14ac:dyDescent="0.25">
      <c r="A526">
        <f t="shared" si="596"/>
        <v>1996.6666666666599</v>
      </c>
      <c r="B526">
        <f t="shared" si="597"/>
        <v>241</v>
      </c>
      <c r="C526">
        <f t="shared" si="598"/>
        <v>188.77339440681899</v>
      </c>
      <c r="D526">
        <f t="shared" si="603"/>
        <v>6.5</v>
      </c>
      <c r="E526">
        <f t="shared" si="604"/>
        <v>4.9497000480509996</v>
      </c>
      <c r="F526">
        <f t="shared" si="606"/>
        <v>0.83333333333333337</v>
      </c>
      <c r="G526">
        <f t="shared" si="607"/>
        <v>5.2512617052321353</v>
      </c>
      <c r="H526">
        <f t="shared" ref="H526:I526" si="617">+AVERAGE(F524:F528)</f>
        <v>11.533333333333335</v>
      </c>
      <c r="I526">
        <f t="shared" si="617"/>
        <v>10.03297600581411</v>
      </c>
      <c r="J526">
        <f t="shared" si="600"/>
        <v>1996.6666666666599</v>
      </c>
      <c r="K526">
        <f t="shared" si="601"/>
        <v>241</v>
      </c>
      <c r="L526">
        <f t="shared" si="602"/>
        <v>188.77339440681899</v>
      </c>
      <c r="M526" s="5">
        <v>1923.6666666666599</v>
      </c>
      <c r="N526" s="5">
        <v>-105</v>
      </c>
      <c r="O526" s="5">
        <v>107.419858972181</v>
      </c>
      <c r="Q526">
        <f t="shared" si="609"/>
        <v>4.4179283718988023</v>
      </c>
    </row>
    <row r="527" spans="1:17" x14ac:dyDescent="0.25">
      <c r="A527">
        <f t="shared" si="596"/>
        <v>1996.75</v>
      </c>
      <c r="B527">
        <f t="shared" si="597"/>
        <v>244</v>
      </c>
      <c r="C527">
        <f t="shared" si="598"/>
        <v>159.914084985964</v>
      </c>
      <c r="D527">
        <f t="shared" si="603"/>
        <v>1.5</v>
      </c>
      <c r="E527">
        <f t="shared" si="604"/>
        <v>14.449867697785493</v>
      </c>
      <c r="F527">
        <f t="shared" si="606"/>
        <v>13.5</v>
      </c>
      <c r="G527">
        <f t="shared" si="607"/>
        <v>23.013928006256478</v>
      </c>
      <c r="H527">
        <f t="shared" ref="H527:I527" si="618">+AVERAGE(F525:F529)</f>
        <v>13.666666666666666</v>
      </c>
      <c r="I527">
        <f t="shared" si="618"/>
        <v>8.3635017984857605</v>
      </c>
      <c r="J527">
        <f t="shared" si="600"/>
        <v>1996.75</v>
      </c>
      <c r="K527">
        <f t="shared" si="601"/>
        <v>244</v>
      </c>
      <c r="L527">
        <f t="shared" si="602"/>
        <v>159.914084985964</v>
      </c>
      <c r="M527" s="5">
        <v>1923.75</v>
      </c>
      <c r="N527" s="5">
        <v>-105</v>
      </c>
      <c r="O527" s="5">
        <v>83.952561717871902</v>
      </c>
      <c r="Q527">
        <f t="shared" si="609"/>
        <v>9.5139280062564779</v>
      </c>
    </row>
    <row r="528" spans="1:17" x14ac:dyDescent="0.25">
      <c r="A528">
        <f t="shared" si="596"/>
        <v>1996.8333333333301</v>
      </c>
      <c r="B528">
        <f t="shared" si="597"/>
        <v>244</v>
      </c>
      <c r="C528">
        <f t="shared" si="598"/>
        <v>102.155040169538</v>
      </c>
      <c r="D528">
        <f t="shared" si="603"/>
        <v>32.5</v>
      </c>
      <c r="E528">
        <f t="shared" si="604"/>
        <v>66.902662277625296</v>
      </c>
      <c r="F528">
        <f t="shared" si="606"/>
        <v>38.5</v>
      </c>
      <c r="G528">
        <f t="shared" si="607"/>
        <v>12.748341789640053</v>
      </c>
      <c r="H528">
        <f t="shared" ref="H528:I528" si="619">+AVERAGE(F526:F530)</f>
        <v>13.600000000000003</v>
      </c>
      <c r="I528">
        <f t="shared" si="619"/>
        <v>2.8366467995915854</v>
      </c>
      <c r="J528">
        <f t="shared" si="600"/>
        <v>1996.8333333333301</v>
      </c>
      <c r="K528">
        <f t="shared" si="601"/>
        <v>244</v>
      </c>
      <c r="L528">
        <f t="shared" si="602"/>
        <v>102.155040169538</v>
      </c>
      <c r="M528" s="5">
        <v>1923.8333333333301</v>
      </c>
      <c r="N528" s="5">
        <v>-105</v>
      </c>
      <c r="O528" s="5">
        <v>23.565790243624001</v>
      </c>
      <c r="Q528">
        <f t="shared" si="609"/>
        <v>25.751658210359949</v>
      </c>
    </row>
    <row r="529" spans="1:17" x14ac:dyDescent="0.25">
      <c r="A529">
        <f t="shared" si="596"/>
        <v>1996.9166666666599</v>
      </c>
      <c r="B529">
        <f t="shared" si="597"/>
        <v>179</v>
      </c>
      <c r="C529">
        <f t="shared" si="598"/>
        <v>-89.409329202138593</v>
      </c>
      <c r="D529">
        <f t="shared" si="603"/>
        <v>81.5</v>
      </c>
      <c r="E529">
        <f t="shared" si="604"/>
        <v>-33.546248264260591</v>
      </c>
      <c r="F529">
        <f t="shared" si="606"/>
        <v>13</v>
      </c>
      <c r="G529">
        <f t="shared" si="607"/>
        <v>-2.6808796813077325</v>
      </c>
      <c r="H529">
        <f t="shared" ref="H529:I529" si="620">+AVERAGE(F527:F531)</f>
        <v>6.0333333333333341</v>
      </c>
      <c r="I529">
        <f t="shared" si="620"/>
        <v>-1.3807287796011476</v>
      </c>
      <c r="J529">
        <f t="shared" si="600"/>
        <v>1996.9166666666599</v>
      </c>
      <c r="K529">
        <f t="shared" si="601"/>
        <v>179</v>
      </c>
      <c r="L529">
        <f t="shared" si="602"/>
        <v>-89.409329202138593</v>
      </c>
      <c r="M529" s="5">
        <v>1923.9166666666599</v>
      </c>
      <c r="N529" s="5">
        <v>-105</v>
      </c>
      <c r="O529" s="5">
        <v>-95.1944622223279</v>
      </c>
      <c r="Q529">
        <f t="shared" si="609"/>
        <v>15.680879681307733</v>
      </c>
    </row>
    <row r="530" spans="1:17" x14ac:dyDescent="0.25">
      <c r="A530">
        <f t="shared" si="596"/>
        <v>1997</v>
      </c>
      <c r="B530">
        <f t="shared" si="597"/>
        <v>-49</v>
      </c>
      <c r="C530">
        <f t="shared" si="598"/>
        <v>-213.881202045294</v>
      </c>
      <c r="D530">
        <f t="shared" si="603"/>
        <v>-75</v>
      </c>
      <c r="E530">
        <f t="shared" si="604"/>
        <v>-43.409712818268702</v>
      </c>
      <c r="F530">
        <f t="shared" si="606"/>
        <v>2.1666666666666665</v>
      </c>
      <c r="G530">
        <f t="shared" si="607"/>
        <v>-24.149417821863011</v>
      </c>
      <c r="H530">
        <f t="shared" ref="H530:I530" si="621">+AVERAGE(F528:F532)</f>
        <v>2.2333333333333329</v>
      </c>
      <c r="I530">
        <f t="shared" si="621"/>
        <v>-7.0230258264815912</v>
      </c>
      <c r="J530">
        <f t="shared" si="600"/>
        <v>1997</v>
      </c>
      <c r="K530">
        <f t="shared" si="601"/>
        <v>-49</v>
      </c>
      <c r="L530">
        <f t="shared" si="602"/>
        <v>-213.881202045294</v>
      </c>
      <c r="M530" s="5">
        <v>1924</v>
      </c>
      <c r="N530" s="5">
        <v>-105</v>
      </c>
      <c r="O530" s="5">
        <v>-180.35002831814199</v>
      </c>
      <c r="Q530">
        <f t="shared" si="609"/>
        <v>26.316084488529679</v>
      </c>
    </row>
    <row r="531" spans="1:17" x14ac:dyDescent="0.25">
      <c r="A531">
        <f t="shared" si="596"/>
        <v>1997.0833333333301</v>
      </c>
      <c r="B531">
        <f t="shared" si="597"/>
        <v>-127</v>
      </c>
      <c r="C531">
        <f t="shared" si="598"/>
        <v>-251.53364925191201</v>
      </c>
      <c r="D531">
        <f t="shared" si="603"/>
        <v>0</v>
      </c>
      <c r="E531">
        <f t="shared" si="604"/>
        <v>-13.604355749457</v>
      </c>
      <c r="F531">
        <f t="shared" si="606"/>
        <v>-37</v>
      </c>
      <c r="G531">
        <f t="shared" si="607"/>
        <v>-15.835616190731526</v>
      </c>
      <c r="H531">
        <f t="shared" ref="H531:I531" si="622">+AVERAGE(F529:F533)</f>
        <v>-8.0666666666666664</v>
      </c>
      <c r="I531">
        <f t="shared" si="622"/>
        <v>-9.9769801691112043</v>
      </c>
      <c r="J531">
        <f t="shared" si="600"/>
        <v>1997.0833333333301</v>
      </c>
      <c r="K531">
        <f t="shared" si="601"/>
        <v>-127</v>
      </c>
      <c r="L531">
        <f t="shared" si="602"/>
        <v>-251.53364925191201</v>
      </c>
      <c r="M531" s="5">
        <v>1924.0833333333301</v>
      </c>
      <c r="N531" s="5">
        <v>-105</v>
      </c>
      <c r="O531" s="5">
        <v>-213.104172804586</v>
      </c>
      <c r="Q531">
        <f t="shared" si="609"/>
        <v>21.164383809268472</v>
      </c>
    </row>
    <row r="532" spans="1:17" x14ac:dyDescent="0.25">
      <c r="A532">
        <f t="shared" si="596"/>
        <v>1997.1666666666599</v>
      </c>
      <c r="B532">
        <f t="shared" si="597"/>
        <v>-205</v>
      </c>
      <c r="C532">
        <f t="shared" si="598"/>
        <v>-261.97738495961602</v>
      </c>
      <c r="D532">
        <f t="shared" si="603"/>
        <v>-36</v>
      </c>
      <c r="E532">
        <f t="shared" si="604"/>
        <v>-2.3694921475175192</v>
      </c>
      <c r="F532">
        <f t="shared" si="606"/>
        <v>-5.5</v>
      </c>
      <c r="G532">
        <f t="shared" si="607"/>
        <v>-5.1975572281457367</v>
      </c>
      <c r="H532">
        <f t="shared" ref="H532:I532" si="623">+AVERAGE(F530:F534)</f>
        <v>-10.866666666666667</v>
      </c>
      <c r="I532">
        <f t="shared" si="623"/>
        <v>-9.6257750689838755</v>
      </c>
      <c r="J532">
        <f t="shared" si="600"/>
        <v>1997.1666666666599</v>
      </c>
      <c r="K532">
        <f t="shared" si="601"/>
        <v>-205</v>
      </c>
      <c r="L532">
        <f t="shared" si="602"/>
        <v>-261.97738495961602</v>
      </c>
      <c r="M532" s="5">
        <v>1924.1666666666599</v>
      </c>
      <c r="N532" s="5">
        <v>-105</v>
      </c>
      <c r="O532" s="5">
        <v>-234.07254441739201</v>
      </c>
      <c r="Q532">
        <f t="shared" si="609"/>
        <v>0.30244277185426327</v>
      </c>
    </row>
    <row r="533" spans="1:17" x14ac:dyDescent="0.25">
      <c r="A533">
        <f t="shared" si="596"/>
        <v>1997.25</v>
      </c>
      <c r="B533">
        <f t="shared" si="597"/>
        <v>-211</v>
      </c>
      <c r="C533">
        <f t="shared" si="598"/>
        <v>-267.68213637228502</v>
      </c>
      <c r="D533">
        <f t="shared" si="603"/>
        <v>19.5</v>
      </c>
      <c r="E533">
        <f t="shared" si="604"/>
        <v>-3.5169917085719931</v>
      </c>
      <c r="F533">
        <f t="shared" si="606"/>
        <v>-13</v>
      </c>
      <c r="G533">
        <f t="shared" si="607"/>
        <v>-2.0214299235080189</v>
      </c>
      <c r="H533">
        <f t="shared" ref="H533:I533" si="624">+AVERAGE(F531:F535)</f>
        <v>-13.133333333333335</v>
      </c>
      <c r="I533">
        <f t="shared" si="624"/>
        <v>-4.8605260020689824</v>
      </c>
      <c r="J533">
        <f t="shared" si="600"/>
        <v>1997.25</v>
      </c>
      <c r="K533">
        <f t="shared" si="601"/>
        <v>-211</v>
      </c>
      <c r="L533">
        <f t="shared" si="602"/>
        <v>-267.68213637228502</v>
      </c>
      <c r="M533" s="5">
        <v>1924.25</v>
      </c>
      <c r="N533" s="5">
        <v>-105</v>
      </c>
      <c r="O533" s="5">
        <v>-256.46845067938398</v>
      </c>
      <c r="Q533">
        <f t="shared" si="609"/>
        <v>10.97857007649198</v>
      </c>
    </row>
    <row r="534" spans="1:17" x14ac:dyDescent="0.25">
      <c r="A534">
        <f t="shared" si="596"/>
        <v>1997.3333333333301</v>
      </c>
      <c r="B534">
        <f t="shared" si="597"/>
        <v>-256</v>
      </c>
      <c r="C534">
        <f t="shared" si="598"/>
        <v>-266.35290436781003</v>
      </c>
      <c r="D534">
        <f t="shared" si="603"/>
        <v>-22.5</v>
      </c>
      <c r="E534">
        <f t="shared" si="604"/>
        <v>-1.6938783570655573</v>
      </c>
      <c r="F534">
        <f t="shared" si="606"/>
        <v>-1</v>
      </c>
      <c r="G534">
        <f t="shared" si="607"/>
        <v>-0.92485418067108194</v>
      </c>
      <c r="H534">
        <f t="shared" ref="H534:I534" si="625">+AVERAGE(F532:F536)</f>
        <v>-6.6333333333333329</v>
      </c>
      <c r="I534">
        <f t="shared" si="625"/>
        <v>-1.6814089810775055</v>
      </c>
      <c r="J534">
        <f t="shared" si="600"/>
        <v>1997.3333333333301</v>
      </c>
      <c r="K534">
        <f t="shared" si="601"/>
        <v>-256</v>
      </c>
      <c r="L534">
        <f t="shared" si="602"/>
        <v>-266.35290436781003</v>
      </c>
      <c r="M534" s="5">
        <v>1924.3333333333301</v>
      </c>
      <c r="N534" s="5">
        <v>-105</v>
      </c>
      <c r="O534" s="5">
        <v>-263.43859913421801</v>
      </c>
      <c r="Q534">
        <f t="shared" si="609"/>
        <v>7.5145819328918062E-2</v>
      </c>
    </row>
    <row r="535" spans="1:17" x14ac:dyDescent="0.25">
      <c r="A535">
        <f t="shared" si="596"/>
        <v>1997.4166666666599</v>
      </c>
      <c r="B535">
        <f t="shared" si="597"/>
        <v>-256</v>
      </c>
      <c r="C535">
        <f t="shared" si="598"/>
        <v>-261.63591564920398</v>
      </c>
      <c r="D535">
        <f t="shared" si="603"/>
        <v>0</v>
      </c>
      <c r="E535">
        <f t="shared" si="604"/>
        <v>1.7426668881209935</v>
      </c>
      <c r="F535">
        <f t="shared" si="606"/>
        <v>-9.1666666666666661</v>
      </c>
      <c r="G535">
        <f t="shared" si="607"/>
        <v>-0.32317248728854797</v>
      </c>
      <c r="H535">
        <f t="shared" ref="H535:I535" si="626">+AVERAGE(F533:F537)</f>
        <v>-6.1</v>
      </c>
      <c r="I535">
        <f t="shared" si="626"/>
        <v>-0.84455119687891977</v>
      </c>
      <c r="J535">
        <f t="shared" si="600"/>
        <v>1997.4166666666599</v>
      </c>
      <c r="K535">
        <f t="shared" si="601"/>
        <v>-256</v>
      </c>
      <c r="L535">
        <f t="shared" si="602"/>
        <v>-261.63591564920398</v>
      </c>
      <c r="M535" s="5">
        <v>1924.4166666666599</v>
      </c>
      <c r="N535" s="5">
        <v>-105</v>
      </c>
      <c r="O535" s="5">
        <v>-256.314416207205</v>
      </c>
      <c r="Q535">
        <f t="shared" si="609"/>
        <v>8.8434941793781174</v>
      </c>
    </row>
    <row r="536" spans="1:17" x14ac:dyDescent="0.25">
      <c r="A536">
        <f t="shared" si="596"/>
        <v>1997.5</v>
      </c>
      <c r="B536">
        <f t="shared" si="597"/>
        <v>-256</v>
      </c>
      <c r="C536">
        <f t="shared" si="598"/>
        <v>-260.40426070683998</v>
      </c>
      <c r="D536">
        <f t="shared" si="603"/>
        <v>-5</v>
      </c>
      <c r="E536">
        <f t="shared" si="604"/>
        <v>-1.2606853583874909</v>
      </c>
      <c r="F536">
        <f t="shared" si="606"/>
        <v>-4.5</v>
      </c>
      <c r="G536">
        <f t="shared" si="607"/>
        <v>5.9968914225858809E-2</v>
      </c>
      <c r="H536">
        <f t="shared" ref="H536:I536" si="627">+AVERAGE(F534:F538)</f>
        <v>-3.9</v>
      </c>
      <c r="I536">
        <f t="shared" si="627"/>
        <v>-1.3083798724989175</v>
      </c>
      <c r="J536">
        <f t="shared" si="600"/>
        <v>1997.5</v>
      </c>
      <c r="K536">
        <f t="shared" si="601"/>
        <v>-256</v>
      </c>
      <c r="L536">
        <f t="shared" si="602"/>
        <v>-260.40426070683998</v>
      </c>
      <c r="M536" s="5">
        <v>1924.5</v>
      </c>
      <c r="N536" s="5">
        <v>-105</v>
      </c>
      <c r="O536" s="5">
        <v>-241.65921017383499</v>
      </c>
      <c r="Q536">
        <f t="shared" si="609"/>
        <v>4.559968914225859</v>
      </c>
    </row>
    <row r="537" spans="1:17" x14ac:dyDescent="0.25">
      <c r="A537">
        <f t="shared" si="596"/>
        <v>1997.5833333333301</v>
      </c>
      <c r="B537">
        <f t="shared" si="597"/>
        <v>-246</v>
      </c>
      <c r="C537">
        <f t="shared" si="598"/>
        <v>-256.65123504770099</v>
      </c>
      <c r="D537">
        <f t="shared" si="603"/>
        <v>-8.5</v>
      </c>
      <c r="E537">
        <f t="shared" si="604"/>
        <v>-0.25709810138653211</v>
      </c>
      <c r="F537">
        <f t="shared" si="606"/>
        <v>-2.8333333333333335</v>
      </c>
      <c r="G537">
        <f t="shared" si="607"/>
        <v>-1.0132683071528088</v>
      </c>
      <c r="H537">
        <f t="shared" ref="H537:I537" si="628">+AVERAGE(F535:F539)</f>
        <v>-4.8</v>
      </c>
      <c r="I537">
        <f t="shared" si="628"/>
        <v>-2.991167839741955</v>
      </c>
      <c r="J537">
        <f t="shared" si="600"/>
        <v>1997.5833333333301</v>
      </c>
      <c r="K537">
        <f t="shared" si="601"/>
        <v>-246</v>
      </c>
      <c r="L537">
        <f t="shared" si="602"/>
        <v>-256.65123504770099</v>
      </c>
      <c r="M537" s="5">
        <v>1924.5833333333301</v>
      </c>
      <c r="N537" s="5">
        <v>-105</v>
      </c>
      <c r="O537" s="5">
        <v>-219.007210647904</v>
      </c>
      <c r="Q537">
        <f t="shared" si="609"/>
        <v>1.8200650261805247</v>
      </c>
    </row>
    <row r="538" spans="1:17" x14ac:dyDescent="0.25">
      <c r="A538">
        <f t="shared" si="596"/>
        <v>1997.6666666666599</v>
      </c>
      <c r="B538">
        <f t="shared" si="597"/>
        <v>-219</v>
      </c>
      <c r="C538">
        <f t="shared" si="598"/>
        <v>-252.384013185789</v>
      </c>
      <c r="D538">
        <f t="shared" si="603"/>
        <v>5</v>
      </c>
      <c r="E538">
        <f t="shared" si="604"/>
        <v>-2.2819726920490098</v>
      </c>
      <c r="F538">
        <f t="shared" si="606"/>
        <v>-2</v>
      </c>
      <c r="G538">
        <f t="shared" si="607"/>
        <v>-4.340573301608007</v>
      </c>
      <c r="H538">
        <f t="shared" ref="H538:I538" si="629">+AVERAGE(F536:F540)</f>
        <v>-4.5333333333333332</v>
      </c>
      <c r="I538">
        <f t="shared" si="629"/>
        <v>-5.1889441397567166</v>
      </c>
      <c r="J538">
        <f t="shared" si="600"/>
        <v>1997.6666666666599</v>
      </c>
      <c r="K538">
        <f t="shared" si="601"/>
        <v>-219</v>
      </c>
      <c r="L538">
        <f t="shared" si="602"/>
        <v>-252.384013185789</v>
      </c>
      <c r="M538" s="5">
        <v>1924.6666666666599</v>
      </c>
      <c r="N538" s="5">
        <v>-105</v>
      </c>
      <c r="O538" s="5">
        <v>-204.40303117035401</v>
      </c>
      <c r="Q538">
        <f t="shared" si="609"/>
        <v>2.340573301608007</v>
      </c>
    </row>
    <row r="539" spans="1:17" x14ac:dyDescent="0.25">
      <c r="A539">
        <f t="shared" si="596"/>
        <v>1997.75</v>
      </c>
      <c r="B539">
        <f t="shared" si="597"/>
        <v>-202</v>
      </c>
      <c r="C539">
        <f t="shared" si="598"/>
        <v>-243.55284593977899</v>
      </c>
      <c r="D539">
        <f t="shared" si="603"/>
        <v>-2.5</v>
      </c>
      <c r="E539">
        <f t="shared" si="604"/>
        <v>-13.738079087594485</v>
      </c>
      <c r="F539">
        <f t="shared" si="606"/>
        <v>-5.5</v>
      </c>
      <c r="G539">
        <f t="shared" si="607"/>
        <v>-9.3387940168862702</v>
      </c>
      <c r="H539">
        <f t="shared" ref="H539:I539" si="630">+AVERAGE(F537:F541)</f>
        <v>-2.9333333333333336</v>
      </c>
      <c r="I539">
        <f t="shared" si="630"/>
        <v>-6.4168206277086117</v>
      </c>
      <c r="J539">
        <f t="shared" si="600"/>
        <v>1997.75</v>
      </c>
      <c r="K539">
        <f t="shared" si="601"/>
        <v>-202</v>
      </c>
      <c r="L539">
        <f t="shared" si="602"/>
        <v>-243.55284593977899</v>
      </c>
      <c r="M539" s="5">
        <v>1924.75</v>
      </c>
      <c r="N539" s="5">
        <v>-105</v>
      </c>
      <c r="O539" s="5">
        <v>-196.24110956515901</v>
      </c>
      <c r="Q539">
        <f t="shared" si="609"/>
        <v>3.8387940168862702</v>
      </c>
    </row>
    <row r="540" spans="1:17" x14ac:dyDescent="0.25">
      <c r="A540">
        <f t="shared" si="596"/>
        <v>1997.8333333333301</v>
      </c>
      <c r="B540">
        <f t="shared" si="597"/>
        <v>-180</v>
      </c>
      <c r="C540">
        <f t="shared" si="598"/>
        <v>-207.24552051858001</v>
      </c>
      <c r="D540">
        <f t="shared" si="603"/>
        <v>-19</v>
      </c>
      <c r="E540">
        <f t="shared" si="604"/>
        <v>-19.000425783680015</v>
      </c>
      <c r="F540">
        <f t="shared" si="606"/>
        <v>-7.833333333333333</v>
      </c>
      <c r="G540">
        <f t="shared" si="607"/>
        <v>-11.312053987362356</v>
      </c>
      <c r="H540">
        <f t="shared" ref="H540:I540" si="631">+AVERAGE(F538:F542)</f>
        <v>-0.59999999999999964</v>
      </c>
      <c r="I540">
        <f t="shared" si="631"/>
        <v>-3.9577893060291984</v>
      </c>
      <c r="J540">
        <f t="shared" si="600"/>
        <v>1997.8333333333301</v>
      </c>
      <c r="K540">
        <f t="shared" si="601"/>
        <v>-180</v>
      </c>
      <c r="L540">
        <f t="shared" si="602"/>
        <v>-207.24552051858001</v>
      </c>
      <c r="M540" s="5">
        <v>1924.8333333333301</v>
      </c>
      <c r="N540" s="5">
        <v>-105</v>
      </c>
      <c r="O540" s="5">
        <v>-163.849440436024</v>
      </c>
      <c r="Q540">
        <f t="shared" si="609"/>
        <v>3.478720654029023</v>
      </c>
    </row>
    <row r="541" spans="1:17" x14ac:dyDescent="0.25">
      <c r="A541">
        <f t="shared" si="596"/>
        <v>1997.9166666666599</v>
      </c>
      <c r="B541">
        <f t="shared" si="597"/>
        <v>-120</v>
      </c>
      <c r="C541">
        <f t="shared" si="598"/>
        <v>-132.937343530021</v>
      </c>
      <c r="D541">
        <f t="shared" si="603"/>
        <v>-2</v>
      </c>
      <c r="E541">
        <f t="shared" si="604"/>
        <v>-9.6816975813343333</v>
      </c>
      <c r="F541">
        <f t="shared" si="606"/>
        <v>3.5</v>
      </c>
      <c r="G541">
        <f t="shared" si="607"/>
        <v>-6.0794135255336155</v>
      </c>
      <c r="H541">
        <f t="shared" ref="H541:I541" si="632">+AVERAGE(F539:F543)</f>
        <v>-0.39999999999999963</v>
      </c>
      <c r="I541">
        <f t="shared" si="632"/>
        <v>-0.55434157998494871</v>
      </c>
      <c r="J541">
        <f t="shared" si="600"/>
        <v>1997.9166666666599</v>
      </c>
      <c r="K541">
        <f t="shared" si="601"/>
        <v>-120</v>
      </c>
      <c r="L541">
        <f t="shared" si="602"/>
        <v>-132.937343530021</v>
      </c>
      <c r="M541" s="5">
        <v>1924.9166666666599</v>
      </c>
      <c r="N541" s="5">
        <v>-105</v>
      </c>
      <c r="O541" s="5">
        <v>-131.364544780073</v>
      </c>
      <c r="Q541">
        <f t="shared" si="609"/>
        <v>9.5794135255336155</v>
      </c>
    </row>
    <row r="542" spans="1:17" x14ac:dyDescent="0.25">
      <c r="A542">
        <f t="shared" si="596"/>
        <v>1998</v>
      </c>
      <c r="B542">
        <f t="shared" si="597"/>
        <v>-56</v>
      </c>
      <c r="C542">
        <f t="shared" si="598"/>
        <v>-39.265771378793303</v>
      </c>
      <c r="D542">
        <f t="shared" si="603"/>
        <v>31.5</v>
      </c>
      <c r="E542">
        <f t="shared" si="604"/>
        <v>5.8843226442632925</v>
      </c>
      <c r="F542">
        <f t="shared" si="606"/>
        <v>8.8333333333333339</v>
      </c>
      <c r="G542">
        <f t="shared" si="607"/>
        <v>11.281888301244257</v>
      </c>
      <c r="H542">
        <f t="shared" ref="H542:I542" si="633">+AVERAGE(F540:F544)</f>
        <v>-3.4666666666666663</v>
      </c>
      <c r="I542">
        <f t="shared" si="633"/>
        <v>0.83370685298364899</v>
      </c>
      <c r="J542">
        <f t="shared" si="600"/>
        <v>1998</v>
      </c>
      <c r="K542">
        <f t="shared" si="601"/>
        <v>-56</v>
      </c>
      <c r="L542">
        <f t="shared" si="602"/>
        <v>-39.265771378793303</v>
      </c>
      <c r="M542" s="5">
        <v>1925</v>
      </c>
      <c r="N542" s="5">
        <v>-105</v>
      </c>
      <c r="O542" s="5">
        <v>-126.806304759555</v>
      </c>
      <c r="Q542">
        <f t="shared" si="609"/>
        <v>2.4485549679109226</v>
      </c>
    </row>
    <row r="543" spans="1:17" x14ac:dyDescent="0.25">
      <c r="A543">
        <f t="shared" si="596"/>
        <v>1998.0833333333301</v>
      </c>
      <c r="B543">
        <f t="shared" si="597"/>
        <v>-55</v>
      </c>
      <c r="C543">
        <f t="shared" si="598"/>
        <v>42.637155483907797</v>
      </c>
      <c r="D543">
        <f t="shared" si="603"/>
        <v>-3</v>
      </c>
      <c r="E543">
        <f t="shared" si="604"/>
        <v>46.104456066737001</v>
      </c>
      <c r="F543">
        <f t="shared" si="606"/>
        <v>-1</v>
      </c>
      <c r="G543">
        <f t="shared" si="607"/>
        <v>12.67666532861324</v>
      </c>
      <c r="H543">
        <f t="shared" ref="H543:I543" si="634">+AVERAGE(F541:F545)</f>
        <v>-2.5666666666666664</v>
      </c>
      <c r="I543">
        <f t="shared" si="634"/>
        <v>1.2337082492971359</v>
      </c>
      <c r="J543">
        <f t="shared" si="600"/>
        <v>1998.0833333333301</v>
      </c>
      <c r="K543">
        <f t="shared" si="601"/>
        <v>-55</v>
      </c>
      <c r="L543">
        <f t="shared" si="602"/>
        <v>42.637155483907797</v>
      </c>
      <c r="M543" s="5">
        <v>1925.0833333333301</v>
      </c>
      <c r="N543" s="5">
        <v>-105</v>
      </c>
      <c r="O543" s="5">
        <v>-103.591471976466</v>
      </c>
      <c r="Q543">
        <f t="shared" si="609"/>
        <v>13.67666532861324</v>
      </c>
    </row>
    <row r="544" spans="1:17" x14ac:dyDescent="0.25">
      <c r="A544">
        <f t="shared" si="596"/>
        <v>1998.1666666666599</v>
      </c>
      <c r="B544">
        <f t="shared" si="597"/>
        <v>-48</v>
      </c>
      <c r="C544">
        <f t="shared" si="598"/>
        <v>32.331170213134897</v>
      </c>
      <c r="D544">
        <f t="shared" si="603"/>
        <v>-31.5</v>
      </c>
      <c r="E544">
        <f t="shared" si="604"/>
        <v>-4.4512837287006519</v>
      </c>
      <c r="F544">
        <f t="shared" si="606"/>
        <v>-20.833333333333332</v>
      </c>
      <c r="G544">
        <f t="shared" si="607"/>
        <v>-2.3985518520432798</v>
      </c>
      <c r="H544">
        <f t="shared" ref="H544:I544" si="635">+AVERAGE(F542:F546)</f>
        <v>-1.4999999999999996</v>
      </c>
      <c r="I544">
        <f t="shared" si="635"/>
        <v>1.9404027050634156</v>
      </c>
      <c r="J544">
        <f t="shared" si="600"/>
        <v>1998.1666666666599</v>
      </c>
      <c r="K544">
        <f t="shared" si="601"/>
        <v>-48</v>
      </c>
      <c r="L544">
        <f t="shared" si="602"/>
        <v>32.331170213134897</v>
      </c>
      <c r="M544" s="5">
        <v>1925.1666666666599</v>
      </c>
      <c r="N544" s="5">
        <v>-105</v>
      </c>
      <c r="O544" s="5">
        <v>-44.372231286116801</v>
      </c>
      <c r="Q544">
        <f t="shared" si="609"/>
        <v>18.434781481290052</v>
      </c>
    </row>
    <row r="545" spans="1:17" x14ac:dyDescent="0.25">
      <c r="A545">
        <f t="shared" si="596"/>
        <v>1998.25</v>
      </c>
      <c r="B545">
        <f t="shared" si="597"/>
        <v>22</v>
      </c>
      <c r="C545">
        <f t="shared" si="598"/>
        <v>30.9277523997633</v>
      </c>
      <c r="D545">
        <f t="shared" si="603"/>
        <v>-28</v>
      </c>
      <c r="E545">
        <f t="shared" si="604"/>
        <v>-50.647741783198647</v>
      </c>
      <c r="F545">
        <f t="shared" si="606"/>
        <v>-3.3333333333333335</v>
      </c>
      <c r="G545">
        <f t="shared" si="607"/>
        <v>-9.3120470057949216</v>
      </c>
      <c r="H545">
        <f t="shared" ref="H545:I545" si="636">+AVERAGE(F543:F547)</f>
        <v>0.56666666666666787</v>
      </c>
      <c r="I545">
        <f t="shared" si="636"/>
        <v>2.398395283857595</v>
      </c>
      <c r="J545">
        <f t="shared" si="600"/>
        <v>1998.25</v>
      </c>
      <c r="K545">
        <f t="shared" si="601"/>
        <v>22</v>
      </c>
      <c r="L545">
        <f t="shared" si="602"/>
        <v>30.9277523997633</v>
      </c>
      <c r="M545" s="5">
        <v>1925.25</v>
      </c>
      <c r="N545" s="5">
        <v>-105</v>
      </c>
      <c r="O545" s="5">
        <v>104.02524501561</v>
      </c>
      <c r="Q545">
        <f t="shared" si="609"/>
        <v>5.9787136724615877</v>
      </c>
    </row>
    <row r="546" spans="1:17" x14ac:dyDescent="0.25">
      <c r="A546">
        <f t="shared" si="596"/>
        <v>1998.3333333333301</v>
      </c>
      <c r="B546">
        <f t="shared" si="597"/>
        <v>148</v>
      </c>
      <c r="C546">
        <f t="shared" si="598"/>
        <v>130.819818152789</v>
      </c>
      <c r="D546">
        <f t="shared" si="603"/>
        <v>49.5</v>
      </c>
      <c r="E546">
        <f t="shared" si="604"/>
        <v>20.178849240168347</v>
      </c>
      <c r="F546">
        <f t="shared" si="606"/>
        <v>8.8333333333333339</v>
      </c>
      <c r="G546">
        <f t="shared" si="607"/>
        <v>-2.5459412467022182</v>
      </c>
      <c r="H546">
        <f t="shared" ref="H546:I546" si="637">+AVERAGE(F544:F548)</f>
        <v>1.5666666666666675</v>
      </c>
      <c r="I546">
        <f t="shared" si="637"/>
        <v>1.8878643550024929</v>
      </c>
      <c r="J546">
        <f t="shared" si="600"/>
        <v>1998.3333333333301</v>
      </c>
      <c r="K546">
        <f t="shared" si="601"/>
        <v>148</v>
      </c>
      <c r="L546">
        <f t="shared" si="602"/>
        <v>130.819818152789</v>
      </c>
      <c r="M546" s="5">
        <v>1925.3333333333301</v>
      </c>
      <c r="N546" s="5">
        <v>-105</v>
      </c>
      <c r="O546" s="5">
        <v>200.62105547151799</v>
      </c>
      <c r="Q546">
        <f t="shared" si="609"/>
        <v>11.379274580035553</v>
      </c>
    </row>
    <row r="547" spans="1:17" x14ac:dyDescent="0.25">
      <c r="A547">
        <f t="shared" si="596"/>
        <v>1998.4166666666599</v>
      </c>
      <c r="B547">
        <f t="shared" si="597"/>
        <v>175</v>
      </c>
      <c r="C547">
        <f t="shared" si="598"/>
        <v>190.35418542547799</v>
      </c>
      <c r="D547">
        <f t="shared" si="603"/>
        <v>5</v>
      </c>
      <c r="E547">
        <f t="shared" si="604"/>
        <v>20.921612867896982</v>
      </c>
      <c r="F547">
        <f t="shared" si="606"/>
        <v>19.166666666666668</v>
      </c>
      <c r="G547">
        <f t="shared" si="607"/>
        <v>13.571851195215155</v>
      </c>
      <c r="H547">
        <f t="shared" ref="H547:I547" si="638">+AVERAGE(F545:F549)</f>
        <v>6.3</v>
      </c>
      <c r="I547">
        <f t="shared" si="638"/>
        <v>2.908545598674535</v>
      </c>
      <c r="J547">
        <f t="shared" si="600"/>
        <v>1998.4166666666599</v>
      </c>
      <c r="K547">
        <f t="shared" si="601"/>
        <v>175</v>
      </c>
      <c r="L547">
        <f t="shared" si="602"/>
        <v>190.35418542547799</v>
      </c>
      <c r="M547" s="5">
        <v>1925.4166666666599</v>
      </c>
      <c r="N547" s="5">
        <v>-105</v>
      </c>
      <c r="O547" s="5">
        <v>232.84446308718501</v>
      </c>
      <c r="Q547">
        <f t="shared" si="609"/>
        <v>5.594815471451513</v>
      </c>
    </row>
    <row r="548" spans="1:17" x14ac:dyDescent="0.25">
      <c r="A548">
        <f t="shared" si="596"/>
        <v>1998.5</v>
      </c>
      <c r="B548">
        <f t="shared" si="597"/>
        <v>192</v>
      </c>
      <c r="C548">
        <f t="shared" si="598"/>
        <v>208.045326962373</v>
      </c>
      <c r="D548">
        <f t="shared" si="603"/>
        <v>3</v>
      </c>
      <c r="E548">
        <f t="shared" si="604"/>
        <v>9.7939798739915034</v>
      </c>
      <c r="F548">
        <f t="shared" si="606"/>
        <v>4</v>
      </c>
      <c r="G548">
        <f t="shared" si="607"/>
        <v>10.12401068433773</v>
      </c>
      <c r="H548">
        <f t="shared" ref="H548:I548" si="639">+AVERAGE(F546:F550)</f>
        <v>7.9666666666666668</v>
      </c>
      <c r="I548">
        <f t="shared" si="639"/>
        <v>4.3726640337550382</v>
      </c>
      <c r="J548">
        <f t="shared" si="600"/>
        <v>1998.5</v>
      </c>
      <c r="K548">
        <f t="shared" si="601"/>
        <v>192</v>
      </c>
      <c r="L548">
        <f t="shared" si="602"/>
        <v>208.045326962373</v>
      </c>
      <c r="M548" s="5">
        <v>1925.5</v>
      </c>
      <c r="N548" s="5">
        <v>-105</v>
      </c>
      <c r="O548" s="5">
        <v>237.945026117303</v>
      </c>
      <c r="Q548">
        <f t="shared" si="609"/>
        <v>6.1240106843377298</v>
      </c>
    </row>
    <row r="549" spans="1:17" x14ac:dyDescent="0.25">
      <c r="A549">
        <f t="shared" si="596"/>
        <v>1998.5833333333301</v>
      </c>
      <c r="B549">
        <f t="shared" si="597"/>
        <v>203</v>
      </c>
      <c r="C549">
        <f t="shared" si="598"/>
        <v>206.14850875128499</v>
      </c>
      <c r="D549">
        <f t="shared" si="603"/>
        <v>4</v>
      </c>
      <c r="E549">
        <f t="shared" si="604"/>
        <v>7.2494473243779964</v>
      </c>
      <c r="F549">
        <f t="shared" si="606"/>
        <v>2.8333333333333335</v>
      </c>
      <c r="G549">
        <f t="shared" si="607"/>
        <v>2.7048543663169315</v>
      </c>
      <c r="H549">
        <f t="shared" ref="H549:I549" si="640">+AVERAGE(F547:F551)</f>
        <v>13.766666666666669</v>
      </c>
      <c r="I549">
        <f t="shared" si="640"/>
        <v>4.9314728528514546</v>
      </c>
      <c r="J549">
        <f t="shared" si="600"/>
        <v>1998.5833333333301</v>
      </c>
      <c r="K549">
        <f t="shared" si="601"/>
        <v>203</v>
      </c>
      <c r="L549">
        <f t="shared" si="602"/>
        <v>206.14850875128499</v>
      </c>
      <c r="M549" s="5">
        <v>1925.5833333333301</v>
      </c>
      <c r="N549" s="5">
        <v>-105</v>
      </c>
      <c r="O549" s="5">
        <v>233.100777371443</v>
      </c>
      <c r="Q549">
        <f t="shared" si="609"/>
        <v>0.12847896701640193</v>
      </c>
    </row>
    <row r="550" spans="1:17" x14ac:dyDescent="0.25">
      <c r="A550">
        <f t="shared" si="596"/>
        <v>1998.6666666666599</v>
      </c>
      <c r="B550">
        <f t="shared" si="597"/>
        <v>206</v>
      </c>
      <c r="C550">
        <f t="shared" si="598"/>
        <v>189.752795891441</v>
      </c>
      <c r="D550">
        <f t="shared" si="603"/>
        <v>1.5</v>
      </c>
      <c r="E550">
        <f t="shared" si="604"/>
        <v>-6.9002233246810079</v>
      </c>
      <c r="F550">
        <f t="shared" si="606"/>
        <v>5</v>
      </c>
      <c r="G550">
        <f t="shared" si="607"/>
        <v>-1.9914548303924069</v>
      </c>
      <c r="H550">
        <f t="shared" ref="H550:I550" si="641">+AVERAGE(F548:F552)</f>
        <v>14.533333333333335</v>
      </c>
      <c r="I550">
        <f t="shared" si="641"/>
        <v>4.3109304626677813</v>
      </c>
      <c r="J550">
        <f t="shared" si="600"/>
        <v>1998.6666666666599</v>
      </c>
      <c r="K550">
        <f t="shared" si="601"/>
        <v>206</v>
      </c>
      <c r="L550">
        <f t="shared" si="602"/>
        <v>189.752795891441</v>
      </c>
      <c r="M550" s="5">
        <v>1925.6666666666599</v>
      </c>
      <c r="N550" s="5">
        <v>-105</v>
      </c>
      <c r="O550" s="5">
        <v>221.36933881579</v>
      </c>
      <c r="Q550">
        <f t="shared" si="609"/>
        <v>6.9914548303924064</v>
      </c>
    </row>
    <row r="551" spans="1:17" x14ac:dyDescent="0.25">
      <c r="A551">
        <f t="shared" si="596"/>
        <v>1998.75</v>
      </c>
      <c r="B551">
        <f t="shared" si="597"/>
        <v>206</v>
      </c>
      <c r="C551">
        <f t="shared" si="598"/>
        <v>187.15752968095899</v>
      </c>
      <c r="D551">
        <f t="shared" si="603"/>
        <v>9.5</v>
      </c>
      <c r="E551">
        <f t="shared" si="604"/>
        <v>-7.8171796136685145</v>
      </c>
      <c r="F551">
        <f t="shared" si="606"/>
        <v>37.833333333333336</v>
      </c>
      <c r="G551">
        <f t="shared" si="607"/>
        <v>0.24810284877986155</v>
      </c>
      <c r="H551">
        <f t="shared" ref="H551:I551" si="642">+AVERAGE(F549:F553)</f>
        <v>14.066666666666668</v>
      </c>
      <c r="I551">
        <f t="shared" si="642"/>
        <v>7.4001339257185794</v>
      </c>
      <c r="J551">
        <f t="shared" si="600"/>
        <v>1998.75</v>
      </c>
      <c r="K551">
        <f t="shared" si="601"/>
        <v>206</v>
      </c>
      <c r="L551">
        <f t="shared" si="602"/>
        <v>187.15752968095899</v>
      </c>
      <c r="M551" s="5">
        <v>1925.75</v>
      </c>
      <c r="N551" s="5">
        <v>-105</v>
      </c>
      <c r="O551" s="5">
        <v>213.93863727794701</v>
      </c>
      <c r="Q551">
        <f t="shared" si="609"/>
        <v>37.585230484553477</v>
      </c>
    </row>
    <row r="552" spans="1:17" x14ac:dyDescent="0.25">
      <c r="A552">
        <f t="shared" si="596"/>
        <v>1998.8333333333301</v>
      </c>
      <c r="B552">
        <f t="shared" si="597"/>
        <v>187</v>
      </c>
      <c r="C552">
        <f t="shared" si="598"/>
        <v>200.19662269781401</v>
      </c>
      <c r="D552">
        <f t="shared" si="603"/>
        <v>102.5</v>
      </c>
      <c r="E552">
        <f t="shared" si="604"/>
        <v>15.647788621274003</v>
      </c>
      <c r="F552">
        <f t="shared" si="606"/>
        <v>23</v>
      </c>
      <c r="G552">
        <f t="shared" si="607"/>
        <v>10.469139244296791</v>
      </c>
      <c r="H552">
        <f t="shared" ref="H552:I552" si="643">+AVERAGE(F550:F554)</f>
        <v>6.0333333333333359</v>
      </c>
      <c r="I552">
        <f t="shared" si="643"/>
        <v>8.8159384571424759</v>
      </c>
      <c r="J552">
        <f t="shared" si="600"/>
        <v>1998.8333333333301</v>
      </c>
      <c r="K552">
        <f t="shared" si="601"/>
        <v>187</v>
      </c>
      <c r="L552">
        <f t="shared" si="602"/>
        <v>200.19662269781401</v>
      </c>
      <c r="M552" s="5">
        <v>1925.8333333333301</v>
      </c>
      <c r="N552" s="5">
        <v>-105</v>
      </c>
      <c r="O552" s="5">
        <v>203.37657400808001</v>
      </c>
      <c r="Q552">
        <f t="shared" si="609"/>
        <v>12.530860755703209</v>
      </c>
    </row>
    <row r="553" spans="1:17" x14ac:dyDescent="0.25">
      <c r="A553">
        <f t="shared" si="596"/>
        <v>1998.9166666666599</v>
      </c>
      <c r="B553">
        <f t="shared" si="597"/>
        <v>-37</v>
      </c>
      <c r="C553">
        <f t="shared" si="598"/>
        <v>181.94013847212099</v>
      </c>
      <c r="D553">
        <f t="shared" si="603"/>
        <v>-43</v>
      </c>
      <c r="E553">
        <f t="shared" si="604"/>
        <v>31.428663158507476</v>
      </c>
      <c r="F553">
        <f t="shared" si="606"/>
        <v>1.6666666666666667</v>
      </c>
      <c r="G553">
        <f t="shared" si="607"/>
        <v>25.570027999591716</v>
      </c>
      <c r="H553">
        <f t="shared" ref="H553:I553" si="644">+AVERAGE(F551:F555)</f>
        <v>1.4999999999999993</v>
      </c>
      <c r="I553">
        <f t="shared" si="644"/>
        <v>7.6769283657138345</v>
      </c>
      <c r="J553">
        <f t="shared" si="600"/>
        <v>1998.9166666666599</v>
      </c>
      <c r="K553">
        <f t="shared" si="601"/>
        <v>-37</v>
      </c>
      <c r="L553">
        <f t="shared" si="602"/>
        <v>181.94013847212099</v>
      </c>
      <c r="M553" s="5">
        <v>1925.9166666666599</v>
      </c>
      <c r="N553" s="5">
        <v>-105</v>
      </c>
      <c r="O553" s="5">
        <v>135.04171806672301</v>
      </c>
      <c r="Q553">
        <f t="shared" si="609"/>
        <v>23.903361332925048</v>
      </c>
    </row>
    <row r="554" spans="1:17" x14ac:dyDescent="0.25">
      <c r="A554">
        <f t="shared" si="596"/>
        <v>1999</v>
      </c>
      <c r="B554">
        <f t="shared" si="597"/>
        <v>-175</v>
      </c>
      <c r="C554">
        <f t="shared" si="598"/>
        <v>100.826327929413</v>
      </c>
      <c r="D554">
        <f t="shared" si="603"/>
        <v>-54.5</v>
      </c>
      <c r="E554">
        <f t="shared" si="604"/>
        <v>48.811153218687451</v>
      </c>
      <c r="F554">
        <f t="shared" si="606"/>
        <v>-37.333333333333336</v>
      </c>
      <c r="G554">
        <f t="shared" si="607"/>
        <v>9.7838770234364087</v>
      </c>
      <c r="H554">
        <f t="shared" ref="H554:I554" si="645">+AVERAGE(F552:F556)</f>
        <v>-7.2</v>
      </c>
      <c r="I554">
        <f t="shared" si="645"/>
        <v>2.7100374117476234</v>
      </c>
      <c r="J554">
        <f t="shared" si="600"/>
        <v>1999</v>
      </c>
      <c r="K554">
        <f t="shared" si="601"/>
        <v>-175</v>
      </c>
      <c r="L554">
        <f t="shared" si="602"/>
        <v>100.826327929413</v>
      </c>
      <c r="M554" s="5">
        <v>1926</v>
      </c>
      <c r="N554" s="5">
        <v>-105</v>
      </c>
      <c r="O554" s="5">
        <v>-104.629509234152</v>
      </c>
      <c r="Q554">
        <f t="shared" si="609"/>
        <v>47.117210356769746</v>
      </c>
    </row>
    <row r="555" spans="1:17" x14ac:dyDescent="0.25">
      <c r="A555">
        <f t="shared" si="596"/>
        <v>1999.0833333333301</v>
      </c>
      <c r="B555">
        <f t="shared" si="597"/>
        <v>-204</v>
      </c>
      <c r="C555">
        <f t="shared" si="598"/>
        <v>-77.9097890506699</v>
      </c>
      <c r="D555">
        <f t="shared" si="603"/>
        <v>-14.5</v>
      </c>
      <c r="E555">
        <f t="shared" si="604"/>
        <v>-43.550277539308397</v>
      </c>
      <c r="F555">
        <f t="shared" si="606"/>
        <v>-17.666666666666668</v>
      </c>
      <c r="G555">
        <f t="shared" si="607"/>
        <v>-7.6865052875356064</v>
      </c>
      <c r="H555">
        <f t="shared" ref="H555:I555" si="646">+AVERAGE(F553:F557)</f>
        <v>-11.433333333333334</v>
      </c>
      <c r="I555">
        <f t="shared" si="646"/>
        <v>-1.8109459158928032</v>
      </c>
      <c r="J555">
        <f t="shared" si="600"/>
        <v>1999.0833333333301</v>
      </c>
      <c r="K555">
        <f t="shared" si="601"/>
        <v>-204</v>
      </c>
      <c r="L555">
        <f t="shared" si="602"/>
        <v>-77.9097890506699</v>
      </c>
      <c r="M555" s="5">
        <v>1926.0833333333301</v>
      </c>
      <c r="N555" s="5">
        <v>-105</v>
      </c>
      <c r="O555" s="5">
        <v>-204.41625090066401</v>
      </c>
      <c r="Q555">
        <f t="shared" si="609"/>
        <v>9.9801613791310615</v>
      </c>
    </row>
    <row r="556" spans="1:17" x14ac:dyDescent="0.25">
      <c r="A556">
        <f t="shared" si="596"/>
        <v>1999.1666666666599</v>
      </c>
      <c r="B556">
        <f t="shared" si="597"/>
        <v>-204</v>
      </c>
      <c r="C556">
        <f t="shared" si="598"/>
        <v>-169.545350952136</v>
      </c>
      <c r="D556">
        <f t="shared" si="603"/>
        <v>16</v>
      </c>
      <c r="E556">
        <f t="shared" si="604"/>
        <v>-34.085270507637574</v>
      </c>
      <c r="F556">
        <f t="shared" si="606"/>
        <v>-5.666666666666667</v>
      </c>
      <c r="G556">
        <f t="shared" si="607"/>
        <v>-24.58635192105119</v>
      </c>
      <c r="H556">
        <f t="shared" ref="H556:I556" si="647">+AVERAGE(F554:F558)</f>
        <v>-13.2</v>
      </c>
      <c r="I556">
        <f t="shared" si="647"/>
        <v>-7.5489142519186672</v>
      </c>
      <c r="J556">
        <f t="shared" si="600"/>
        <v>1999.1666666666599</v>
      </c>
      <c r="K556">
        <f t="shared" si="601"/>
        <v>-204</v>
      </c>
      <c r="L556">
        <f t="shared" si="602"/>
        <v>-169.545350952136</v>
      </c>
      <c r="M556" s="5">
        <v>1926.1666666666599</v>
      </c>
      <c r="N556" s="5">
        <v>-105</v>
      </c>
      <c r="O556" s="5">
        <v>-245.09141370602799</v>
      </c>
      <c r="Q556">
        <f t="shared" si="609"/>
        <v>18.919685254384522</v>
      </c>
    </row>
    <row r="557" spans="1:17" x14ac:dyDescent="0.25">
      <c r="A557">
        <f t="shared" si="596"/>
        <v>1999.25</v>
      </c>
      <c r="B557">
        <f t="shared" si="597"/>
        <v>-236</v>
      </c>
      <c r="C557">
        <f t="shared" si="598"/>
        <v>-193.01037183832699</v>
      </c>
      <c r="D557">
        <f t="shared" si="603"/>
        <v>-18.5</v>
      </c>
      <c r="E557">
        <f t="shared" si="604"/>
        <v>-14.563271656995994</v>
      </c>
      <c r="F557">
        <f t="shared" si="606"/>
        <v>1.8333333333333333</v>
      </c>
      <c r="G557">
        <f t="shared" si="607"/>
        <v>-12.135777393905347</v>
      </c>
      <c r="H557">
        <f t="shared" ref="H557:I557" si="648">+AVERAGE(F555:F559)</f>
        <v>-6.0666666666666682</v>
      </c>
      <c r="I557">
        <f t="shared" si="648"/>
        <v>-9.2543838118083208</v>
      </c>
      <c r="J557">
        <f t="shared" si="600"/>
        <v>1999.25</v>
      </c>
      <c r="K557">
        <f t="shared" si="601"/>
        <v>-236</v>
      </c>
      <c r="L557">
        <f t="shared" si="602"/>
        <v>-193.01037183832699</v>
      </c>
      <c r="M557" s="5">
        <v>1926.25</v>
      </c>
      <c r="N557" s="5">
        <v>-105</v>
      </c>
      <c r="O557" s="5">
        <v>-261.53653045926899</v>
      </c>
      <c r="Q557">
        <f t="shared" si="609"/>
        <v>13.969110727238681</v>
      </c>
    </row>
    <row r="558" spans="1:17" x14ac:dyDescent="0.25">
      <c r="A558">
        <f t="shared" si="596"/>
        <v>1999.3333333333301</v>
      </c>
      <c r="B558">
        <f t="shared" si="597"/>
        <v>-231</v>
      </c>
      <c r="C558">
        <f t="shared" si="598"/>
        <v>-187.34884941052599</v>
      </c>
      <c r="D558">
        <f t="shared" si="603"/>
        <v>8</v>
      </c>
      <c r="E558">
        <f t="shared" si="604"/>
        <v>3.139376937488521</v>
      </c>
      <c r="F558">
        <f t="shared" si="606"/>
        <v>-7.166666666666667</v>
      </c>
      <c r="G558">
        <f t="shared" si="607"/>
        <v>-3.1198136805375953</v>
      </c>
      <c r="H558">
        <f t="shared" ref="H558:I558" si="649">+AVERAGE(F556:F560)</f>
        <v>-2.9333333333333331</v>
      </c>
      <c r="I558">
        <f t="shared" si="649"/>
        <v>-7.1738218950436545</v>
      </c>
      <c r="J558">
        <f t="shared" si="600"/>
        <v>1999.3333333333301</v>
      </c>
      <c r="K558">
        <f t="shared" si="601"/>
        <v>-231</v>
      </c>
      <c r="L558">
        <f t="shared" si="602"/>
        <v>-187.34884941052599</v>
      </c>
      <c r="M558" s="5">
        <v>1926.3333333333301</v>
      </c>
      <c r="N558" s="5">
        <v>-105</v>
      </c>
      <c r="O558" s="5">
        <v>-266.48554769487799</v>
      </c>
      <c r="Q558">
        <f t="shared" si="609"/>
        <v>4.0468529861290712</v>
      </c>
    </row>
    <row r="559" spans="1:17" x14ac:dyDescent="0.25">
      <c r="A559">
        <f t="shared" si="596"/>
        <v>1999.4166666666599</v>
      </c>
      <c r="B559">
        <f t="shared" si="597"/>
        <v>-242</v>
      </c>
      <c r="C559">
        <f t="shared" si="598"/>
        <v>-187.966080857702</v>
      </c>
      <c r="D559">
        <f t="shared" si="603"/>
        <v>-11</v>
      </c>
      <c r="E559">
        <f t="shared" si="604"/>
        <v>-0.27540658250850925</v>
      </c>
      <c r="F559">
        <f t="shared" si="606"/>
        <v>-1.6666666666666667</v>
      </c>
      <c r="G559">
        <f t="shared" si="607"/>
        <v>1.2565292239881352</v>
      </c>
      <c r="H559">
        <f t="shared" ref="H559:I559" si="650">+AVERAGE(F557:F561)</f>
        <v>-1.7333333333333332</v>
      </c>
      <c r="I559">
        <f t="shared" si="650"/>
        <v>-1.8979192551768302</v>
      </c>
      <c r="J559">
        <f t="shared" si="600"/>
        <v>1999.4166666666599</v>
      </c>
      <c r="K559">
        <f t="shared" si="601"/>
        <v>-242</v>
      </c>
      <c r="L559">
        <f t="shared" si="602"/>
        <v>-187.966080857702</v>
      </c>
      <c r="M559" s="5">
        <v>1926.4166666666599</v>
      </c>
      <c r="N559" s="5">
        <v>-105</v>
      </c>
      <c r="O559" s="5">
        <v>-268.64695266413298</v>
      </c>
      <c r="Q559">
        <f t="shared" si="609"/>
        <v>2.9231958906548021</v>
      </c>
    </row>
    <row r="560" spans="1:17" x14ac:dyDescent="0.25">
      <c r="A560">
        <f t="shared" si="596"/>
        <v>1999.5</v>
      </c>
      <c r="B560">
        <f t="shared" si="597"/>
        <v>-231</v>
      </c>
      <c r="C560">
        <f t="shared" si="598"/>
        <v>-188.03249913986099</v>
      </c>
      <c r="D560">
        <f t="shared" si="603"/>
        <v>-2</v>
      </c>
      <c r="E560">
        <f t="shared" si="604"/>
        <v>1.8480142349754942</v>
      </c>
      <c r="F560">
        <f t="shared" si="606"/>
        <v>-2</v>
      </c>
      <c r="G560">
        <f t="shared" si="607"/>
        <v>2.7163042962877246</v>
      </c>
      <c r="H560">
        <f t="shared" ref="H560:I560" si="651">+AVERAGE(F558:F562)</f>
        <v>-1.9333333333333331</v>
      </c>
      <c r="I560">
        <f t="shared" si="651"/>
        <v>0.66109959223719972</v>
      </c>
      <c r="J560">
        <f t="shared" si="600"/>
        <v>1999.5</v>
      </c>
      <c r="K560">
        <f t="shared" si="601"/>
        <v>-231</v>
      </c>
      <c r="L560">
        <f t="shared" si="602"/>
        <v>-188.03249913986099</v>
      </c>
      <c r="M560" s="5">
        <v>1926.5</v>
      </c>
      <c r="N560" s="5">
        <v>-105</v>
      </c>
      <c r="O560" s="5">
        <v>-263.618086331239</v>
      </c>
      <c r="Q560">
        <f t="shared" si="609"/>
        <v>4.7163042962877242</v>
      </c>
    </row>
    <row r="561" spans="1:17" x14ac:dyDescent="0.25">
      <c r="A561">
        <f t="shared" si="596"/>
        <v>1999.5833333333301</v>
      </c>
      <c r="B561">
        <f t="shared" si="597"/>
        <v>-216</v>
      </c>
      <c r="C561">
        <f t="shared" si="598"/>
        <v>-191.794945891971</v>
      </c>
      <c r="D561">
        <f t="shared" si="603"/>
        <v>7</v>
      </c>
      <c r="E561">
        <f t="shared" si="604"/>
        <v>8.6135334586119825</v>
      </c>
      <c r="F561">
        <f t="shared" si="606"/>
        <v>0.33333333333333331</v>
      </c>
      <c r="G561">
        <f t="shared" si="607"/>
        <v>1.7931612782829309</v>
      </c>
      <c r="H561">
        <f t="shared" ref="H561:I561" si="652">+AVERAGE(F559:F563)</f>
        <v>-1.4666666666666666</v>
      </c>
      <c r="I561">
        <f t="shared" si="652"/>
        <v>1.0579449066908531</v>
      </c>
      <c r="J561">
        <f t="shared" si="600"/>
        <v>1999.5833333333301</v>
      </c>
      <c r="K561">
        <f t="shared" si="601"/>
        <v>-216</v>
      </c>
      <c r="L561">
        <f t="shared" si="602"/>
        <v>-191.794945891971</v>
      </c>
      <c r="M561" s="5">
        <v>1926.5833333333301</v>
      </c>
      <c r="N561" s="5">
        <v>-105</v>
      </c>
      <c r="O561" s="5">
        <v>-257.28829490032399</v>
      </c>
      <c r="Q561">
        <f t="shared" si="609"/>
        <v>1.4598279449495977</v>
      </c>
    </row>
    <row r="562" spans="1:17" x14ac:dyDescent="0.25">
      <c r="A562">
        <f t="shared" si="596"/>
        <v>1999.6666666666599</v>
      </c>
      <c r="B562">
        <f t="shared" si="597"/>
        <v>-215</v>
      </c>
      <c r="C562">
        <f t="shared" si="598"/>
        <v>-212.784459561305</v>
      </c>
      <c r="D562">
        <f t="shared" si="603"/>
        <v>-4</v>
      </c>
      <c r="E562">
        <f t="shared" si="604"/>
        <v>-3.7371929000264856</v>
      </c>
      <c r="F562">
        <f t="shared" si="606"/>
        <v>0.83333333333333337</v>
      </c>
      <c r="G562">
        <f t="shared" si="607"/>
        <v>0.65931684316480343</v>
      </c>
      <c r="H562">
        <f t="shared" ref="H562:I562" si="653">+AVERAGE(F560:F564)</f>
        <v>-0.83333333333333326</v>
      </c>
      <c r="I562">
        <f t="shared" si="653"/>
        <v>0.56952037283456003</v>
      </c>
      <c r="J562">
        <f t="shared" si="600"/>
        <v>1999.6666666666599</v>
      </c>
      <c r="K562">
        <f t="shared" si="601"/>
        <v>-215</v>
      </c>
      <c r="L562">
        <f t="shared" si="602"/>
        <v>-212.784459561305</v>
      </c>
      <c r="M562" s="5">
        <v>1926.6666666666599</v>
      </c>
      <c r="N562" s="5">
        <v>-105</v>
      </c>
      <c r="O562" s="5">
        <v>-259.464421234925</v>
      </c>
      <c r="Q562">
        <f t="shared" si="609"/>
        <v>0.17401649016852994</v>
      </c>
    </row>
    <row r="563" spans="1:17" x14ac:dyDescent="0.25">
      <c r="A563">
        <f t="shared" si="596"/>
        <v>1999.75</v>
      </c>
      <c r="B563">
        <f t="shared" si="597"/>
        <v>-206</v>
      </c>
      <c r="C563">
        <f t="shared" si="598"/>
        <v>-226.299587430586</v>
      </c>
      <c r="D563">
        <f t="shared" si="603"/>
        <v>-0.5</v>
      </c>
      <c r="E563">
        <f t="shared" si="604"/>
        <v>-2.4039023967174842</v>
      </c>
      <c r="F563">
        <f t="shared" si="606"/>
        <v>-4.833333333333333</v>
      </c>
      <c r="G563">
        <f t="shared" si="607"/>
        <v>-1.1355871082693285</v>
      </c>
      <c r="H563">
        <f t="shared" ref="H563:I563" si="654">+AVERAGE(F561:F565)</f>
        <v>0.33333333333333348</v>
      </c>
      <c r="I563">
        <f t="shared" si="654"/>
        <v>-9.8559344641811014E-2</v>
      </c>
      <c r="J563">
        <f t="shared" si="600"/>
        <v>1999.75</v>
      </c>
      <c r="K563">
        <f t="shared" si="601"/>
        <v>-206</v>
      </c>
      <c r="L563">
        <f t="shared" si="602"/>
        <v>-226.299587430586</v>
      </c>
      <c r="M563" s="5">
        <v>1926.75</v>
      </c>
      <c r="N563" s="5">
        <v>-105</v>
      </c>
      <c r="O563" s="5">
        <v>-257.53690214559998</v>
      </c>
      <c r="Q563">
        <f t="shared" si="609"/>
        <v>3.6977462250640043</v>
      </c>
    </row>
    <row r="564" spans="1:17" x14ac:dyDescent="0.25">
      <c r="A564">
        <f t="shared" si="596"/>
        <v>1999.8333333333301</v>
      </c>
      <c r="B564">
        <f t="shared" si="597"/>
        <v>-196</v>
      </c>
      <c r="C564">
        <f t="shared" si="598"/>
        <v>-235.00691050643201</v>
      </c>
      <c r="D564">
        <f t="shared" si="603"/>
        <v>-10</v>
      </c>
      <c r="E564">
        <f t="shared" si="604"/>
        <v>1.8826436407339884</v>
      </c>
      <c r="F564">
        <f t="shared" si="606"/>
        <v>1.5</v>
      </c>
      <c r="G564">
        <f t="shared" si="607"/>
        <v>-1.1855934452933299</v>
      </c>
      <c r="H564">
        <f t="shared" ref="H564:I564" si="655">+AVERAGE(F562:F566)</f>
        <v>1.9666666666666668</v>
      </c>
      <c r="I564">
        <f t="shared" si="655"/>
        <v>-0.52733776631042173</v>
      </c>
      <c r="J564">
        <f t="shared" si="600"/>
        <v>1999.8333333333301</v>
      </c>
      <c r="K564">
        <f t="shared" si="601"/>
        <v>-196</v>
      </c>
      <c r="L564">
        <f t="shared" si="602"/>
        <v>-235.00691050643201</v>
      </c>
      <c r="M564" s="5">
        <v>1926.8333333333301</v>
      </c>
      <c r="N564" s="5">
        <v>-105</v>
      </c>
      <c r="O564" s="5">
        <v>-249.24900608136201</v>
      </c>
      <c r="Q564">
        <f t="shared" si="609"/>
        <v>2.6855934452933301</v>
      </c>
    </row>
    <row r="565" spans="1:17" x14ac:dyDescent="0.25">
      <c r="A565">
        <f t="shared" si="596"/>
        <v>1999.9166666666599</v>
      </c>
      <c r="B565">
        <f t="shared" si="597"/>
        <v>-166</v>
      </c>
      <c r="C565">
        <f t="shared" si="598"/>
        <v>-247.47952086374599</v>
      </c>
      <c r="D565">
        <f t="shared" si="603"/>
        <v>15</v>
      </c>
      <c r="E565">
        <f t="shared" si="604"/>
        <v>-3.9247166638664908</v>
      </c>
      <c r="F565">
        <f t="shared" si="606"/>
        <v>3.8333333333333335</v>
      </c>
      <c r="G565">
        <f t="shared" si="607"/>
        <v>-0.62409429109413095</v>
      </c>
      <c r="H565">
        <f t="shared" ref="H565:I565" si="656">+AVERAGE(F563:F567)</f>
        <v>1.8</v>
      </c>
      <c r="I565">
        <f t="shared" si="656"/>
        <v>-0.78902620998447526</v>
      </c>
      <c r="J565">
        <f t="shared" si="600"/>
        <v>1999.9166666666599</v>
      </c>
      <c r="K565">
        <f t="shared" si="601"/>
        <v>-166</v>
      </c>
      <c r="L565">
        <f t="shared" si="602"/>
        <v>-247.47952086374599</v>
      </c>
      <c r="M565" s="5">
        <v>1926.9166666666599</v>
      </c>
      <c r="N565" s="5">
        <v>-105</v>
      </c>
      <c r="O565" s="5">
        <v>-240.352130422356</v>
      </c>
      <c r="Q565">
        <f t="shared" si="609"/>
        <v>4.4574276244274644</v>
      </c>
    </row>
    <row r="566" spans="1:17" x14ac:dyDescent="0.25">
      <c r="A566">
        <f t="shared" si="596"/>
        <v>2000</v>
      </c>
      <c r="B566">
        <f t="shared" si="597"/>
        <v>-166</v>
      </c>
      <c r="C566">
        <f t="shared" si="598"/>
        <v>-252.10269789332699</v>
      </c>
      <c r="D566">
        <f t="shared" si="603"/>
        <v>6.5</v>
      </c>
      <c r="E566">
        <f t="shared" si="604"/>
        <v>-0.29828056847048856</v>
      </c>
      <c r="F566">
        <f t="shared" si="606"/>
        <v>8.5</v>
      </c>
      <c r="G566">
        <f t="shared" si="607"/>
        <v>-0.3507308300601229</v>
      </c>
      <c r="H566">
        <f t="shared" ref="H566:I566" si="657">+AVERAGE(F564:F568)</f>
        <v>1.2000000000000002</v>
      </c>
      <c r="I566">
        <f t="shared" si="657"/>
        <v>-1.2027378438022365</v>
      </c>
      <c r="J566">
        <f t="shared" si="600"/>
        <v>2000</v>
      </c>
      <c r="K566">
        <f t="shared" si="601"/>
        <v>-166</v>
      </c>
      <c r="L566">
        <f t="shared" si="602"/>
        <v>-252.10269789332699</v>
      </c>
      <c r="M566" s="5">
        <v>1927</v>
      </c>
      <c r="N566" s="5">
        <v>-105</v>
      </c>
      <c r="O566" s="5">
        <v>-221.34190083895399</v>
      </c>
      <c r="Q566">
        <f t="shared" si="609"/>
        <v>8.8507308300601224</v>
      </c>
    </row>
    <row r="567" spans="1:17" x14ac:dyDescent="0.25">
      <c r="A567">
        <f t="shared" si="596"/>
        <v>2000.0833333333301</v>
      </c>
      <c r="B567">
        <f t="shared" si="597"/>
        <v>-179</v>
      </c>
      <c r="C567">
        <f t="shared" si="598"/>
        <v>-256.12931378596699</v>
      </c>
      <c r="D567">
        <f t="shared" si="603"/>
        <v>4</v>
      </c>
      <c r="E567">
        <f t="shared" si="604"/>
        <v>2.9077566196115185</v>
      </c>
      <c r="F567">
        <f t="shared" si="606"/>
        <v>0</v>
      </c>
      <c r="G567">
        <f t="shared" si="607"/>
        <v>-0.64912537520546421</v>
      </c>
      <c r="H567">
        <f t="shared" ref="H567:I567" si="658">+AVERAGE(F565:F569)</f>
        <v>-4.2</v>
      </c>
      <c r="I567">
        <f t="shared" si="658"/>
        <v>-2.8673552922939174</v>
      </c>
      <c r="J567">
        <f t="shared" si="600"/>
        <v>2000.0833333333301</v>
      </c>
      <c r="K567">
        <f t="shared" si="601"/>
        <v>-179</v>
      </c>
      <c r="L567">
        <f t="shared" si="602"/>
        <v>-256.12931378596699</v>
      </c>
      <c r="M567" s="5">
        <v>1927.0833333333301</v>
      </c>
      <c r="N567" s="5">
        <v>-105</v>
      </c>
      <c r="O567" s="5">
        <v>-198.15324675526699</v>
      </c>
      <c r="Q567">
        <f t="shared" si="609"/>
        <v>0.64912537520546421</v>
      </c>
    </row>
    <row r="568" spans="1:17" x14ac:dyDescent="0.25">
      <c r="A568">
        <f t="shared" si="596"/>
        <v>2000.1666666666599</v>
      </c>
      <c r="B568">
        <f t="shared" si="597"/>
        <v>-200</v>
      </c>
      <c r="C568">
        <f t="shared" si="598"/>
        <v>-265.97144291783002</v>
      </c>
      <c r="D568">
        <f t="shared" si="603"/>
        <v>-10.5</v>
      </c>
      <c r="E568">
        <f t="shared" si="604"/>
        <v>-5.0436962081615206</v>
      </c>
      <c r="F568">
        <f t="shared" si="606"/>
        <v>-7.833333333333333</v>
      </c>
      <c r="G568">
        <f t="shared" si="607"/>
        <v>-3.2041452773581343</v>
      </c>
      <c r="H568">
        <f t="shared" ref="H568:I568" si="659">+AVERAGE(F566:F570)</f>
        <v>-10.166666666666666</v>
      </c>
      <c r="I568">
        <f t="shared" si="659"/>
        <v>-8.5570618577194892</v>
      </c>
      <c r="J568">
        <f t="shared" si="600"/>
        <v>2000.1666666666599</v>
      </c>
      <c r="K568">
        <f t="shared" si="601"/>
        <v>-200</v>
      </c>
      <c r="L568">
        <f t="shared" si="602"/>
        <v>-265.97144291783002</v>
      </c>
      <c r="M568" s="5">
        <v>1927.1666666666599</v>
      </c>
      <c r="N568" s="5">
        <v>-105</v>
      </c>
      <c r="O568" s="5">
        <v>-174.704023557406</v>
      </c>
      <c r="Q568">
        <f t="shared" si="609"/>
        <v>4.6291880559751988</v>
      </c>
    </row>
    <row r="569" spans="1:17" x14ac:dyDescent="0.25">
      <c r="A569">
        <f t="shared" si="596"/>
        <v>2000.25</v>
      </c>
      <c r="B569">
        <f t="shared" si="597"/>
        <v>-200</v>
      </c>
      <c r="C569">
        <f t="shared" si="598"/>
        <v>-265.72617963337001</v>
      </c>
      <c r="D569">
        <f t="shared" si="603"/>
        <v>-17</v>
      </c>
      <c r="E569">
        <f t="shared" si="604"/>
        <v>-9.8796052015430007</v>
      </c>
      <c r="F569">
        <f t="shared" si="606"/>
        <v>-25.5</v>
      </c>
      <c r="G569">
        <f t="shared" si="607"/>
        <v>-9.5086806877517347</v>
      </c>
      <c r="H569">
        <f t="shared" ref="H569:I569" si="660">+AVERAGE(F567:F571)</f>
        <v>-12.566666666666666</v>
      </c>
      <c r="I569">
        <f t="shared" si="660"/>
        <v>-10.938183275010159</v>
      </c>
      <c r="J569">
        <f t="shared" si="600"/>
        <v>2000.25</v>
      </c>
      <c r="K569">
        <f t="shared" si="601"/>
        <v>-200</v>
      </c>
      <c r="L569">
        <f t="shared" si="602"/>
        <v>-265.72617963337001</v>
      </c>
      <c r="M569" s="5">
        <v>1927.25</v>
      </c>
      <c r="N569" s="5">
        <v>-105</v>
      </c>
      <c r="O569" s="5">
        <v>-81.907403996068695</v>
      </c>
      <c r="Q569">
        <f t="shared" si="609"/>
        <v>15.991319312248265</v>
      </c>
    </row>
    <row r="570" spans="1:17" x14ac:dyDescent="0.25">
      <c r="A570">
        <f t="shared" si="596"/>
        <v>2000.3333333333301</v>
      </c>
      <c r="B570">
        <f t="shared" si="597"/>
        <v>-166</v>
      </c>
      <c r="C570">
        <f t="shared" si="598"/>
        <v>-245.721705945824</v>
      </c>
      <c r="D570">
        <f t="shared" si="603"/>
        <v>-49</v>
      </c>
      <c r="E570">
        <f t="shared" si="604"/>
        <v>-20.734251169364484</v>
      </c>
      <c r="F570">
        <f t="shared" si="606"/>
        <v>-26</v>
      </c>
      <c r="G570">
        <f t="shared" si="607"/>
        <v>-29.072627118221995</v>
      </c>
      <c r="H570">
        <f t="shared" ref="H570:I570" si="661">+AVERAGE(F568:F572)</f>
        <v>-8.3666666666666671</v>
      </c>
      <c r="I570">
        <f t="shared" si="661"/>
        <v>-9.3163098378641855</v>
      </c>
      <c r="J570">
        <f t="shared" si="600"/>
        <v>2000.3333333333301</v>
      </c>
      <c r="K570">
        <f t="shared" si="601"/>
        <v>-166</v>
      </c>
      <c r="L570">
        <f t="shared" si="602"/>
        <v>-245.721705945824</v>
      </c>
      <c r="M570" s="5">
        <v>1927.3333333333301</v>
      </c>
      <c r="N570" s="5">
        <v>-105</v>
      </c>
      <c r="O570" s="5">
        <v>129.88244838141</v>
      </c>
      <c r="Q570">
        <f t="shared" si="609"/>
        <v>3.0726271182219946</v>
      </c>
    </row>
    <row r="571" spans="1:17" x14ac:dyDescent="0.25">
      <c r="A571">
        <f t="shared" si="596"/>
        <v>2000.4166666666599</v>
      </c>
      <c r="B571">
        <f t="shared" si="597"/>
        <v>-34</v>
      </c>
      <c r="C571">
        <f t="shared" si="598"/>
        <v>-184.24872991954899</v>
      </c>
      <c r="D571">
        <f t="shared" si="603"/>
        <v>-12</v>
      </c>
      <c r="E571">
        <f t="shared" si="604"/>
        <v>-78.408495322424997</v>
      </c>
      <c r="F571">
        <f t="shared" si="606"/>
        <v>-3.5</v>
      </c>
      <c r="G571">
        <f t="shared" si="607"/>
        <v>-12.256337916513464</v>
      </c>
      <c r="H571">
        <f t="shared" ref="H571:I571" si="662">+AVERAGE(F569:F573)</f>
        <v>-1.6</v>
      </c>
      <c r="I571">
        <f t="shared" si="662"/>
        <v>-3.1934157376316525</v>
      </c>
      <c r="J571">
        <f t="shared" si="600"/>
        <v>2000.4166666666599</v>
      </c>
      <c r="K571">
        <f t="shared" si="601"/>
        <v>-34</v>
      </c>
      <c r="L571">
        <f t="shared" si="602"/>
        <v>-184.24872991954899</v>
      </c>
      <c r="M571" s="5">
        <v>1927.4166666666599</v>
      </c>
      <c r="N571" s="5">
        <v>-105</v>
      </c>
      <c r="O571" s="5">
        <v>201.021520435112</v>
      </c>
      <c r="Q571">
        <f t="shared" si="609"/>
        <v>8.7563379165134645</v>
      </c>
    </row>
    <row r="572" spans="1:17" x14ac:dyDescent="0.25">
      <c r="A572">
        <f t="shared" si="596"/>
        <v>2000.5</v>
      </c>
      <c r="B572">
        <f t="shared" si="597"/>
        <v>122</v>
      </c>
      <c r="C572">
        <f t="shared" si="598"/>
        <v>34.041236751576001</v>
      </c>
      <c r="D572">
        <f t="shared" si="603"/>
        <v>50.5</v>
      </c>
      <c r="E572">
        <f t="shared" si="604"/>
        <v>53.181479304863991</v>
      </c>
      <c r="F572">
        <f t="shared" si="606"/>
        <v>21</v>
      </c>
      <c r="G572">
        <f t="shared" si="607"/>
        <v>7.4602418105244004</v>
      </c>
      <c r="H572">
        <f t="shared" ref="H572:I572" si="663">+AVERAGE(F570:F574)</f>
        <v>5.7666666666666675</v>
      </c>
      <c r="I572">
        <f t="shared" si="663"/>
        <v>1.2502745244801865</v>
      </c>
      <c r="J572">
        <f t="shared" si="600"/>
        <v>2000.5</v>
      </c>
      <c r="K572">
        <f t="shared" si="601"/>
        <v>122</v>
      </c>
      <c r="L572">
        <f t="shared" si="602"/>
        <v>34.041236751576001</v>
      </c>
      <c r="M572" s="5">
        <v>1927.5</v>
      </c>
      <c r="N572" s="5">
        <v>-105</v>
      </c>
      <c r="O572" s="5">
        <v>222.86732411860999</v>
      </c>
      <c r="Q572">
        <f t="shared" si="609"/>
        <v>13.539758189475599</v>
      </c>
    </row>
    <row r="573" spans="1:17" x14ac:dyDescent="0.25">
      <c r="A573">
        <f t="shared" si="596"/>
        <v>2000.5833333333301</v>
      </c>
      <c r="B573">
        <f t="shared" si="597"/>
        <v>177</v>
      </c>
      <c r="C573">
        <f t="shared" si="598"/>
        <v>145.96824481297301</v>
      </c>
      <c r="D573">
        <f t="shared" si="603"/>
        <v>24.5</v>
      </c>
      <c r="E573">
        <f t="shared" si="604"/>
        <v>53.202922807027505</v>
      </c>
      <c r="F573">
        <f t="shared" si="606"/>
        <v>26</v>
      </c>
      <c r="G573">
        <f t="shared" si="607"/>
        <v>27.410325223804531</v>
      </c>
      <c r="H573">
        <f t="shared" ref="H573:I573" si="664">+AVERAGE(F571:F575)</f>
        <v>11.7</v>
      </c>
      <c r="I573">
        <f t="shared" si="664"/>
        <v>7.0750182122050633</v>
      </c>
      <c r="J573">
        <f t="shared" si="600"/>
        <v>2000.5833333333301</v>
      </c>
      <c r="K573">
        <f t="shared" si="601"/>
        <v>177</v>
      </c>
      <c r="L573">
        <f t="shared" si="602"/>
        <v>145.96824481297301</v>
      </c>
      <c r="M573" s="5">
        <v>1927.5833333333301</v>
      </c>
      <c r="N573" s="5">
        <v>-105</v>
      </c>
      <c r="O573" s="5">
        <v>212.277799629204</v>
      </c>
      <c r="Q573">
        <f t="shared" si="609"/>
        <v>1.4103252238045307</v>
      </c>
    </row>
    <row r="574" spans="1:17" x14ac:dyDescent="0.25">
      <c r="A574">
        <f t="shared" si="596"/>
        <v>2000.6666666666599</v>
      </c>
      <c r="B574">
        <f t="shared" si="597"/>
        <v>183</v>
      </c>
      <c r="C574">
        <f t="shared" si="598"/>
        <v>151.48940726031501</v>
      </c>
      <c r="D574">
        <f t="shared" si="603"/>
        <v>3</v>
      </c>
      <c r="E574">
        <f t="shared" si="604"/>
        <v>-3.5956825226245144</v>
      </c>
      <c r="F574">
        <f t="shared" si="606"/>
        <v>11.333333333333334</v>
      </c>
      <c r="G574">
        <f t="shared" si="607"/>
        <v>12.709770622807461</v>
      </c>
      <c r="H574">
        <f t="shared" ref="H574:I574" si="665">+AVERAGE(F572:F576)</f>
        <v>12.4</v>
      </c>
      <c r="I574">
        <f t="shared" si="665"/>
        <v>9.8689976347668757</v>
      </c>
      <c r="J574">
        <f t="shared" si="600"/>
        <v>2000.6666666666599</v>
      </c>
      <c r="K574">
        <f t="shared" si="601"/>
        <v>183</v>
      </c>
      <c r="L574">
        <f t="shared" si="602"/>
        <v>151.48940726031501</v>
      </c>
      <c r="M574" s="5">
        <v>1927.6666666666599</v>
      </c>
      <c r="N574" s="5">
        <v>-105</v>
      </c>
      <c r="O574" s="5">
        <v>188.813021314997</v>
      </c>
      <c r="Q574">
        <f t="shared" si="609"/>
        <v>1.3764372894741275</v>
      </c>
    </row>
    <row r="575" spans="1:17" x14ac:dyDescent="0.25">
      <c r="A575">
        <f t="shared" si="596"/>
        <v>2000.75</v>
      </c>
      <c r="B575">
        <f t="shared" si="597"/>
        <v>183</v>
      </c>
      <c r="C575">
        <f t="shared" si="598"/>
        <v>164.201934752906</v>
      </c>
      <c r="D575">
        <f t="shared" si="603"/>
        <v>6.5</v>
      </c>
      <c r="E575">
        <f t="shared" si="604"/>
        <v>-1.9456004488750125</v>
      </c>
      <c r="F575">
        <f t="shared" si="606"/>
        <v>3.6666666666666665</v>
      </c>
      <c r="G575">
        <f t="shared" si="607"/>
        <v>5.1091320402391227E-2</v>
      </c>
      <c r="H575">
        <f t="shared" ref="H575:I575" si="666">+AVERAGE(F573:F577)</f>
        <v>7.333333333333333</v>
      </c>
      <c r="I575">
        <f t="shared" si="666"/>
        <v>9.2614620084979968</v>
      </c>
      <c r="J575">
        <f t="shared" si="600"/>
        <v>2000.75</v>
      </c>
      <c r="K575">
        <f t="shared" si="601"/>
        <v>183</v>
      </c>
      <c r="L575">
        <f t="shared" si="602"/>
        <v>164.201934752906</v>
      </c>
      <c r="M575" s="5">
        <v>1927.75</v>
      </c>
      <c r="N575" s="5">
        <v>-105</v>
      </c>
      <c r="O575" s="5">
        <v>200.90405935928101</v>
      </c>
      <c r="Q575">
        <f t="shared" si="609"/>
        <v>3.6155753462642752</v>
      </c>
    </row>
    <row r="576" spans="1:17" x14ac:dyDescent="0.25">
      <c r="A576">
        <f t="shared" si="596"/>
        <v>2000.8333333333301</v>
      </c>
      <c r="B576">
        <f t="shared" si="597"/>
        <v>170</v>
      </c>
      <c r="C576">
        <f t="shared" si="598"/>
        <v>180.80566314324699</v>
      </c>
      <c r="D576">
        <f t="shared" si="603"/>
        <v>1.5</v>
      </c>
      <c r="E576">
        <f t="shared" si="604"/>
        <v>5.732875423008494</v>
      </c>
      <c r="F576">
        <f t="shared" si="606"/>
        <v>0</v>
      </c>
      <c r="G576">
        <f t="shared" si="607"/>
        <v>1.7135591962955989</v>
      </c>
      <c r="H576">
        <f t="shared" ref="H576:I576" si="667">+AVERAGE(F574:F578)</f>
        <v>1.6000000000000003</v>
      </c>
      <c r="I576">
        <f t="shared" si="667"/>
        <v>4.2731191497799985</v>
      </c>
      <c r="J576">
        <f t="shared" si="600"/>
        <v>2000.8333333333301</v>
      </c>
      <c r="K576">
        <f t="shared" si="601"/>
        <v>170</v>
      </c>
      <c r="L576">
        <f t="shared" si="602"/>
        <v>180.80566314324699</v>
      </c>
      <c r="M576" s="5">
        <v>1927.8333333333301</v>
      </c>
      <c r="N576" s="5">
        <v>-105</v>
      </c>
      <c r="O576" s="5">
        <v>222.28637992076901</v>
      </c>
      <c r="Q576">
        <f t="shared" si="609"/>
        <v>1.7135591962955989</v>
      </c>
    </row>
    <row r="577" spans="1:17" x14ac:dyDescent="0.25">
      <c r="A577">
        <f t="shared" si="596"/>
        <v>2000.9166666666599</v>
      </c>
      <c r="B577">
        <f t="shared" si="597"/>
        <v>154</v>
      </c>
      <c r="C577">
        <f t="shared" si="598"/>
        <v>185.94364068757099</v>
      </c>
      <c r="D577">
        <f t="shared" si="603"/>
        <v>-8</v>
      </c>
      <c r="E577">
        <f t="shared" si="604"/>
        <v>2.6385720119750147</v>
      </c>
      <c r="F577">
        <f t="shared" si="606"/>
        <v>-4.333333333333333</v>
      </c>
      <c r="G577">
        <f t="shared" si="607"/>
        <v>4.4225636791799996</v>
      </c>
      <c r="H577">
        <f t="shared" ref="H577:I577" si="668">+AVERAGE(F575:F579)</f>
        <v>-0.66666666666666663</v>
      </c>
      <c r="I577">
        <f t="shared" si="668"/>
        <v>1.1622957766221877</v>
      </c>
      <c r="J577">
        <f t="shared" si="600"/>
        <v>2000.9166666666599</v>
      </c>
      <c r="K577">
        <f t="shared" si="601"/>
        <v>154</v>
      </c>
      <c r="L577">
        <f t="shared" si="602"/>
        <v>185.94364068757099</v>
      </c>
      <c r="M577" s="5">
        <v>1927.9166666666599</v>
      </c>
      <c r="N577" s="5">
        <v>-105</v>
      </c>
      <c r="O577" s="5">
        <v>227.58658803390099</v>
      </c>
      <c r="Q577">
        <f t="shared" si="609"/>
        <v>8.7558970125133335</v>
      </c>
    </row>
    <row r="578" spans="1:17" x14ac:dyDescent="0.25">
      <c r="A578">
        <f t="shared" si="596"/>
        <v>2001</v>
      </c>
      <c r="B578">
        <f t="shared" si="597"/>
        <v>154</v>
      </c>
      <c r="C578">
        <f t="shared" si="598"/>
        <v>185.80447420794499</v>
      </c>
      <c r="D578">
        <f t="shared" si="603"/>
        <v>-6.5</v>
      </c>
      <c r="E578">
        <f t="shared" si="604"/>
        <v>8.2131663619414894</v>
      </c>
      <c r="F578">
        <f t="shared" si="606"/>
        <v>-2.6666666666666665</v>
      </c>
      <c r="G578">
        <f t="shared" si="607"/>
        <v>2.4686109302145423</v>
      </c>
      <c r="H578">
        <f t="shared" ref="H578:I578" si="669">+AVERAGE(F576:F580)</f>
        <v>-2.2000000000000002</v>
      </c>
      <c r="I578">
        <f t="shared" si="669"/>
        <v>0.26985257037672439</v>
      </c>
      <c r="J578">
        <f t="shared" si="600"/>
        <v>2001</v>
      </c>
      <c r="K578">
        <f t="shared" si="601"/>
        <v>154</v>
      </c>
      <c r="L578">
        <f t="shared" si="602"/>
        <v>185.80447420794499</v>
      </c>
      <c r="M578" s="5">
        <v>1928</v>
      </c>
      <c r="N578" s="5">
        <v>-105</v>
      </c>
      <c r="O578" s="5">
        <v>216.47994832641101</v>
      </c>
      <c r="Q578">
        <f t="shared" si="609"/>
        <v>5.1352775968812088</v>
      </c>
    </row>
    <row r="579" spans="1:17" x14ac:dyDescent="0.25">
      <c r="A579">
        <f t="shared" si="596"/>
        <v>2001.0833333333301</v>
      </c>
      <c r="B579">
        <f t="shared" si="597"/>
        <v>167</v>
      </c>
      <c r="C579">
        <f t="shared" si="598"/>
        <v>169.23897500443601</v>
      </c>
      <c r="D579">
        <f t="shared" si="603"/>
        <v>6.5</v>
      </c>
      <c r="E579">
        <f t="shared" si="604"/>
        <v>-1.5944473856119714</v>
      </c>
      <c r="F579">
        <f t="shared" si="606"/>
        <v>0</v>
      </c>
      <c r="G579">
        <f t="shared" si="607"/>
        <v>-2.8443462429815938</v>
      </c>
      <c r="H579">
        <f t="shared" ref="H579:I579" si="670">+AVERAGE(F577:F581)</f>
        <v>-2.5</v>
      </c>
      <c r="I579">
        <f t="shared" si="670"/>
        <v>-0.49479717563314063</v>
      </c>
      <c r="J579">
        <f t="shared" si="600"/>
        <v>2001.0833333333301</v>
      </c>
      <c r="K579">
        <f t="shared" si="601"/>
        <v>167</v>
      </c>
      <c r="L579">
        <f t="shared" si="602"/>
        <v>169.23897500443601</v>
      </c>
      <c r="M579" s="5">
        <v>1928.0833333333301</v>
      </c>
      <c r="N579" s="5">
        <v>-105</v>
      </c>
      <c r="O579" s="5">
        <v>170.84350388045101</v>
      </c>
      <c r="Q579">
        <f t="shared" si="609"/>
        <v>2.8443462429815938</v>
      </c>
    </row>
    <row r="580" spans="1:17" x14ac:dyDescent="0.25">
      <c r="A580">
        <f t="shared" ref="A580:A643" si="671">+J580</f>
        <v>2001.1666666666599</v>
      </c>
      <c r="B580">
        <f t="shared" ref="B580:B643" si="672">+K580</f>
        <v>167</v>
      </c>
      <c r="C580">
        <f t="shared" ref="C580:C643" si="673">+L580</f>
        <v>155.86237057215101</v>
      </c>
      <c r="D580">
        <f t="shared" si="603"/>
        <v>0</v>
      </c>
      <c r="E580">
        <f t="shared" si="604"/>
        <v>-17.285017387510493</v>
      </c>
      <c r="F580">
        <f t="shared" si="606"/>
        <v>-4</v>
      </c>
      <c r="G580">
        <f t="shared" si="607"/>
        <v>-4.4111247108249243</v>
      </c>
      <c r="H580">
        <f t="shared" ref="H580:I580" si="674">+AVERAGE(F578:F582)</f>
        <v>-2.0666666666666664</v>
      </c>
      <c r="I580">
        <f t="shared" si="674"/>
        <v>-0.5123033699414874</v>
      </c>
      <c r="J580">
        <f t="shared" ref="J580:J643" si="675">+$M1456</f>
        <v>2001.1666666666599</v>
      </c>
      <c r="K580">
        <f t="shared" ref="K580:K643" si="676">+$N1456</f>
        <v>167</v>
      </c>
      <c r="L580">
        <f t="shared" ref="L580:L643" si="677">+$O1456</f>
        <v>155.86237057215101</v>
      </c>
      <c r="M580" s="5">
        <v>1928.1666666666599</v>
      </c>
      <c r="N580" s="5">
        <v>-105</v>
      </c>
      <c r="O580" s="5">
        <v>61.116412013770201</v>
      </c>
      <c r="Q580">
        <f t="shared" si="609"/>
        <v>0.4111247108249243</v>
      </c>
    </row>
    <row r="581" spans="1:17" x14ac:dyDescent="0.25">
      <c r="A581">
        <f t="shared" si="671"/>
        <v>2001.25</v>
      </c>
      <c r="B581">
        <f t="shared" si="672"/>
        <v>167</v>
      </c>
      <c r="C581">
        <f t="shared" si="673"/>
        <v>177.05580091488699</v>
      </c>
      <c r="D581">
        <f t="shared" ref="D581:D644" si="678">+B581-1/2*(B580+B582)</f>
        <v>-18.5</v>
      </c>
      <c r="E581">
        <f t="shared" ref="E581:E644" si="679">+C581-1/2*(C580+C582)</f>
        <v>2.3377471075289975</v>
      </c>
      <c r="F581">
        <f t="shared" si="606"/>
        <v>-1.5</v>
      </c>
      <c r="G581">
        <f t="shared" si="607"/>
        <v>-2.1096895337537265</v>
      </c>
      <c r="H581">
        <f t="shared" ref="H581:I581" si="680">+AVERAGE(F579:F583)</f>
        <v>-0.9</v>
      </c>
      <c r="I581">
        <f t="shared" si="680"/>
        <v>0.86965583724555184</v>
      </c>
      <c r="J581">
        <f t="shared" si="675"/>
        <v>2001.25</v>
      </c>
      <c r="K581">
        <f t="shared" si="676"/>
        <v>167</v>
      </c>
      <c r="L581">
        <f t="shared" si="677"/>
        <v>177.05580091488699</v>
      </c>
      <c r="M581" s="5">
        <v>1928.25</v>
      </c>
      <c r="N581" s="5">
        <v>-105</v>
      </c>
      <c r="O581" s="5">
        <v>-81.225597584886302</v>
      </c>
      <c r="Q581">
        <f t="shared" si="609"/>
        <v>0.60968953375372648</v>
      </c>
    </row>
    <row r="582" spans="1:17" x14ac:dyDescent="0.25">
      <c r="A582">
        <f t="shared" si="671"/>
        <v>2001.3333333333301</v>
      </c>
      <c r="B582">
        <f t="shared" si="672"/>
        <v>204</v>
      </c>
      <c r="C582">
        <f t="shared" si="673"/>
        <v>193.573737042565</v>
      </c>
      <c r="D582">
        <f t="shared" si="678"/>
        <v>14</v>
      </c>
      <c r="E582">
        <f t="shared" si="679"/>
        <v>7.0359345284050221</v>
      </c>
      <c r="F582">
        <f t="shared" ref="F582:F645" si="681">+AVERAGE(D581:D583)</f>
        <v>-2.1666666666666665</v>
      </c>
      <c r="G582">
        <f t="shared" ref="G582:G645" si="682">+$H$1*AVERAGE(E581:E583)+$F$1</f>
        <v>4.3350327076382653</v>
      </c>
      <c r="H582">
        <f t="shared" ref="H582:I582" si="683">+AVERAGE(F580:F584)</f>
        <v>-0.6</v>
      </c>
      <c r="I582">
        <f t="shared" si="683"/>
        <v>4.4540439635887612</v>
      </c>
      <c r="J582">
        <f t="shared" si="675"/>
        <v>2001.3333333333301</v>
      </c>
      <c r="K582">
        <f t="shared" si="676"/>
        <v>204</v>
      </c>
      <c r="L582">
        <f t="shared" si="677"/>
        <v>193.573737042565</v>
      </c>
      <c r="M582" s="5">
        <v>1928.3333333333301</v>
      </c>
      <c r="N582" s="5">
        <v>-105</v>
      </c>
      <c r="O582" s="5">
        <v>-160.371521471579</v>
      </c>
      <c r="Q582">
        <f t="shared" ref="Q582:Q645" si="684">+ABS(F582-G582)</f>
        <v>6.5016993743049323</v>
      </c>
    </row>
    <row r="583" spans="1:17" x14ac:dyDescent="0.25">
      <c r="A583">
        <f t="shared" si="671"/>
        <v>2001.4166666666599</v>
      </c>
      <c r="B583">
        <f t="shared" si="672"/>
        <v>213</v>
      </c>
      <c r="C583">
        <f t="shared" si="673"/>
        <v>196.019804113433</v>
      </c>
      <c r="D583">
        <f t="shared" si="678"/>
        <v>-2</v>
      </c>
      <c r="E583">
        <f t="shared" si="679"/>
        <v>6.882691017709476</v>
      </c>
      <c r="F583">
        <f t="shared" si="681"/>
        <v>3.1666666666666665</v>
      </c>
      <c r="G583">
        <f t="shared" si="682"/>
        <v>9.378406966149738</v>
      </c>
      <c r="H583">
        <f t="shared" ref="H583:I583" si="685">+AVERAGE(F581:F585)</f>
        <v>2.0333333333333332</v>
      </c>
      <c r="I583">
        <f t="shared" si="685"/>
        <v>7.6148211677702289</v>
      </c>
      <c r="J583">
        <f t="shared" si="675"/>
        <v>2001.4166666666599</v>
      </c>
      <c r="K583">
        <f t="shared" si="676"/>
        <v>213</v>
      </c>
      <c r="L583">
        <f t="shared" si="677"/>
        <v>196.019804113433</v>
      </c>
      <c r="M583" s="5">
        <v>1928.4166666666599</v>
      </c>
      <c r="N583" s="5">
        <v>-105</v>
      </c>
      <c r="O583" s="5">
        <v>-197.16428090517701</v>
      </c>
      <c r="Q583">
        <f t="shared" si="684"/>
        <v>6.2117402994830719</v>
      </c>
    </row>
    <row r="584" spans="1:17" x14ac:dyDescent="0.25">
      <c r="A584">
        <f t="shared" si="671"/>
        <v>2001.5</v>
      </c>
      <c r="B584">
        <f t="shared" si="672"/>
        <v>226</v>
      </c>
      <c r="C584">
        <f t="shared" si="673"/>
        <v>184.70048914888201</v>
      </c>
      <c r="D584">
        <f t="shared" si="678"/>
        <v>-2.5</v>
      </c>
      <c r="E584">
        <f t="shared" si="679"/>
        <v>21.250400576947015</v>
      </c>
      <c r="F584">
        <f t="shared" si="681"/>
        <v>1.5</v>
      </c>
      <c r="G584">
        <f t="shared" si="682"/>
        <v>15.077594388734452</v>
      </c>
      <c r="H584">
        <f t="shared" ref="H584:I584" si="686">+AVERAGE(F582:F586)</f>
        <v>8.6333333333333329</v>
      </c>
      <c r="I584">
        <f t="shared" si="686"/>
        <v>8.7146275964844566</v>
      </c>
      <c r="J584">
        <f t="shared" si="675"/>
        <v>2001.5</v>
      </c>
      <c r="K584">
        <f t="shared" si="676"/>
        <v>226</v>
      </c>
      <c r="L584">
        <f t="shared" si="677"/>
        <v>184.70048914888201</v>
      </c>
      <c r="M584" s="5">
        <v>1928.5</v>
      </c>
      <c r="N584" s="5">
        <v>-105</v>
      </c>
      <c r="O584" s="5">
        <v>-209.222889419713</v>
      </c>
      <c r="Q584">
        <f t="shared" si="684"/>
        <v>13.577594388734452</v>
      </c>
    </row>
    <row r="585" spans="1:17" x14ac:dyDescent="0.25">
      <c r="A585">
        <f t="shared" si="671"/>
        <v>2001.5833333333301</v>
      </c>
      <c r="B585">
        <f t="shared" si="672"/>
        <v>244</v>
      </c>
      <c r="C585">
        <f t="shared" si="673"/>
        <v>130.880373030437</v>
      </c>
      <c r="D585">
        <f t="shared" si="678"/>
        <v>9</v>
      </c>
      <c r="E585">
        <f t="shared" si="679"/>
        <v>28.4078873630977</v>
      </c>
      <c r="F585">
        <f t="shared" si="681"/>
        <v>9.1666666666666661</v>
      </c>
      <c r="G585">
        <f t="shared" si="682"/>
        <v>11.392761310082417</v>
      </c>
      <c r="H585">
        <f t="shared" ref="H585:I585" si="687">+AVERAGE(F583:F587)</f>
        <v>14.3</v>
      </c>
      <c r="I585">
        <f t="shared" si="687"/>
        <v>6.1719687902239384</v>
      </c>
      <c r="J585">
        <f t="shared" si="675"/>
        <v>2001.5833333333301</v>
      </c>
      <c r="K585">
        <f t="shared" si="676"/>
        <v>244</v>
      </c>
      <c r="L585">
        <f t="shared" si="677"/>
        <v>130.880373030437</v>
      </c>
      <c r="M585" s="5">
        <v>1928.5833333333301</v>
      </c>
      <c r="N585" s="5">
        <v>-105</v>
      </c>
      <c r="O585" s="5">
        <v>-224.37238242620001</v>
      </c>
      <c r="Q585">
        <f t="shared" si="684"/>
        <v>2.2260946434157507</v>
      </c>
    </row>
    <row r="586" spans="1:17" x14ac:dyDescent="0.25">
      <c r="A586">
        <f t="shared" si="671"/>
        <v>2001.6666666666599</v>
      </c>
      <c r="B586">
        <f t="shared" si="672"/>
        <v>244</v>
      </c>
      <c r="C586">
        <f t="shared" si="673"/>
        <v>20.244482185796599</v>
      </c>
      <c r="D586">
        <f t="shared" si="678"/>
        <v>21</v>
      </c>
      <c r="E586">
        <f t="shared" si="679"/>
        <v>-6.9354330272356535</v>
      </c>
      <c r="F586">
        <f t="shared" si="681"/>
        <v>31.5</v>
      </c>
      <c r="G586">
        <f t="shared" si="682"/>
        <v>3.3893426098174042</v>
      </c>
      <c r="H586">
        <f t="shared" ref="H586:I586" si="688">+AVERAGE(F584:F588)</f>
        <v>15.5</v>
      </c>
      <c r="I586">
        <f t="shared" si="688"/>
        <v>2.273870196553188</v>
      </c>
      <c r="J586">
        <f t="shared" si="675"/>
        <v>2001.6666666666599</v>
      </c>
      <c r="K586">
        <f t="shared" si="676"/>
        <v>244</v>
      </c>
      <c r="L586">
        <f t="shared" si="677"/>
        <v>20.244482185796599</v>
      </c>
      <c r="M586" s="5">
        <v>1928.6666666666599</v>
      </c>
      <c r="N586" s="5">
        <v>-105</v>
      </c>
      <c r="O586" s="5">
        <v>-234.02276264579501</v>
      </c>
      <c r="Q586">
        <f t="shared" si="684"/>
        <v>28.110657390182595</v>
      </c>
    </row>
    <row r="587" spans="1:17" x14ac:dyDescent="0.25">
      <c r="A587">
        <f t="shared" si="671"/>
        <v>2001.75</v>
      </c>
      <c r="B587">
        <f t="shared" si="672"/>
        <v>202</v>
      </c>
      <c r="C587">
        <f t="shared" si="673"/>
        <v>-76.520542604372494</v>
      </c>
      <c r="D587">
        <f t="shared" si="678"/>
        <v>64.5</v>
      </c>
      <c r="E587">
        <f t="shared" si="679"/>
        <v>-8.7624195490467827</v>
      </c>
      <c r="F587">
        <f t="shared" si="681"/>
        <v>26.166666666666668</v>
      </c>
      <c r="G587">
        <f t="shared" si="682"/>
        <v>-8.3782613236643204</v>
      </c>
      <c r="H587">
        <f t="shared" ref="H587:I587" si="689">+AVERAGE(F585:F589)</f>
        <v>10.233333333333334</v>
      </c>
      <c r="I587">
        <f t="shared" si="689"/>
        <v>-2.3959317242890754</v>
      </c>
      <c r="J587">
        <f t="shared" si="675"/>
        <v>2001.75</v>
      </c>
      <c r="K587">
        <f t="shared" si="676"/>
        <v>202</v>
      </c>
      <c r="L587">
        <f t="shared" si="677"/>
        <v>-76.520542604372494</v>
      </c>
      <c r="M587" s="5">
        <v>1928.75</v>
      </c>
      <c r="N587" s="5">
        <v>-105</v>
      </c>
      <c r="O587" s="5">
        <v>-237.15231424146299</v>
      </c>
      <c r="Q587">
        <f t="shared" si="684"/>
        <v>34.54492799033099</v>
      </c>
    </row>
    <row r="588" spans="1:17" x14ac:dyDescent="0.25">
      <c r="A588">
        <f t="shared" si="671"/>
        <v>2001.8333333333301</v>
      </c>
      <c r="B588">
        <f t="shared" si="672"/>
        <v>31</v>
      </c>
      <c r="C588">
        <f t="shared" si="673"/>
        <v>-155.76072829644801</v>
      </c>
      <c r="D588">
        <f t="shared" si="678"/>
        <v>-7</v>
      </c>
      <c r="E588">
        <f t="shared" si="679"/>
        <v>-15.720627387458762</v>
      </c>
      <c r="F588">
        <f t="shared" si="681"/>
        <v>9.1666666666666661</v>
      </c>
      <c r="G588">
        <f t="shared" si="682"/>
        <v>-10.112086002204013</v>
      </c>
      <c r="H588">
        <f t="shared" ref="H588:I588" si="690">+AVERAGE(F586:F590)</f>
        <v>3.4333333333333362</v>
      </c>
      <c r="I588">
        <f t="shared" si="690"/>
        <v>-5.5878006080999043</v>
      </c>
      <c r="J588">
        <f t="shared" si="675"/>
        <v>2001.8333333333301</v>
      </c>
      <c r="K588">
        <f t="shared" si="676"/>
        <v>31</v>
      </c>
      <c r="L588">
        <f t="shared" si="677"/>
        <v>-155.76072829644801</v>
      </c>
      <c r="M588" s="5">
        <v>1928.8333333333301</v>
      </c>
      <c r="N588" s="5">
        <v>-105</v>
      </c>
      <c r="O588" s="5">
        <v>-248.10741427709701</v>
      </c>
      <c r="Q588">
        <f t="shared" si="684"/>
        <v>19.278752668870681</v>
      </c>
    </row>
    <row r="589" spans="1:17" x14ac:dyDescent="0.25">
      <c r="A589">
        <f t="shared" si="671"/>
        <v>2001.9166666666599</v>
      </c>
      <c r="B589">
        <f t="shared" si="672"/>
        <v>-126</v>
      </c>
      <c r="C589">
        <f t="shared" si="673"/>
        <v>-203.55965921360601</v>
      </c>
      <c r="D589">
        <f t="shared" si="678"/>
        <v>-30</v>
      </c>
      <c r="E589">
        <f t="shared" si="679"/>
        <v>-13.4372755717595</v>
      </c>
      <c r="F589">
        <f t="shared" si="681"/>
        <v>-24.833333333333332</v>
      </c>
      <c r="G589">
        <f t="shared" si="682"/>
        <v>-8.2714152154768659</v>
      </c>
      <c r="H589">
        <f t="shared" ref="H589:I589" si="691">+AVERAGE(F587:F591)</f>
        <v>-6.1</v>
      </c>
      <c r="I589">
        <f t="shared" si="691"/>
        <v>-6.4702575438024521</v>
      </c>
      <c r="J589">
        <f t="shared" si="675"/>
        <v>2001.9166666666599</v>
      </c>
      <c r="K589">
        <f t="shared" si="676"/>
        <v>-126</v>
      </c>
      <c r="L589">
        <f t="shared" si="677"/>
        <v>-203.55965921360601</v>
      </c>
      <c r="M589" s="5">
        <v>1928.9166666666599</v>
      </c>
      <c r="N589" s="5">
        <v>-105</v>
      </c>
      <c r="O589" s="5">
        <v>-256.59331477499899</v>
      </c>
      <c r="Q589">
        <f t="shared" si="684"/>
        <v>16.561918117856465</v>
      </c>
    </row>
    <row r="590" spans="1:17" x14ac:dyDescent="0.25">
      <c r="A590">
        <f t="shared" si="671"/>
        <v>2002</v>
      </c>
      <c r="B590">
        <f t="shared" si="672"/>
        <v>-223</v>
      </c>
      <c r="C590">
        <f t="shared" si="673"/>
        <v>-224.48403898724499</v>
      </c>
      <c r="D590">
        <f t="shared" si="678"/>
        <v>-37.5</v>
      </c>
      <c r="E590">
        <f t="shared" si="679"/>
        <v>-1.8599040988199818</v>
      </c>
      <c r="F590">
        <f t="shared" si="681"/>
        <v>-24.833333333333332</v>
      </c>
      <c r="G590">
        <f t="shared" si="682"/>
        <v>-4.5665831089717281</v>
      </c>
      <c r="H590">
        <f t="shared" ref="H590:I590" si="692">+AVERAGE(F588:F592)</f>
        <v>-12.566666666666666</v>
      </c>
      <c r="I590">
        <f t="shared" si="692"/>
        <v>-4.9312385153519891</v>
      </c>
      <c r="J590">
        <f t="shared" si="675"/>
        <v>2002</v>
      </c>
      <c r="K590">
        <f t="shared" si="676"/>
        <v>-223</v>
      </c>
      <c r="L590">
        <f t="shared" si="677"/>
        <v>-224.48403898724499</v>
      </c>
      <c r="M590" s="5">
        <v>1929</v>
      </c>
      <c r="N590" s="5">
        <v>-105</v>
      </c>
      <c r="O590" s="5">
        <v>-260.05669531362298</v>
      </c>
      <c r="Q590">
        <f t="shared" si="684"/>
        <v>20.266750224361605</v>
      </c>
    </row>
    <row r="591" spans="1:17" x14ac:dyDescent="0.25">
      <c r="A591">
        <f t="shared" si="671"/>
        <v>2002.0833333333301</v>
      </c>
      <c r="B591">
        <f t="shared" si="672"/>
        <v>-245</v>
      </c>
      <c r="C591">
        <f t="shared" si="673"/>
        <v>-241.688610563244</v>
      </c>
      <c r="D591">
        <f t="shared" si="678"/>
        <v>-7</v>
      </c>
      <c r="E591">
        <f t="shared" si="679"/>
        <v>-1.8275069880644992</v>
      </c>
      <c r="F591">
        <f t="shared" si="681"/>
        <v>-16.166666666666668</v>
      </c>
      <c r="G591">
        <f t="shared" si="682"/>
        <v>-1.0229420686953368</v>
      </c>
      <c r="H591">
        <f t="shared" ref="H591:I591" si="693">+AVERAGE(F589:F593)</f>
        <v>-14.8</v>
      </c>
      <c r="I591">
        <f t="shared" si="693"/>
        <v>-3.2825901802677726</v>
      </c>
      <c r="J591">
        <f t="shared" si="675"/>
        <v>2002.0833333333301</v>
      </c>
      <c r="K591">
        <f t="shared" si="676"/>
        <v>-245</v>
      </c>
      <c r="L591">
        <f t="shared" si="677"/>
        <v>-241.688610563244</v>
      </c>
      <c r="M591" s="5">
        <v>1929.0833333333301</v>
      </c>
      <c r="N591" s="5">
        <v>-105</v>
      </c>
      <c r="O591" s="5">
        <v>-266.74146573722498</v>
      </c>
      <c r="Q591">
        <f t="shared" si="684"/>
        <v>15.143724597971332</v>
      </c>
    </row>
    <row r="592" spans="1:17" x14ac:dyDescent="0.25">
      <c r="A592">
        <f t="shared" si="671"/>
        <v>2002.1666666666599</v>
      </c>
      <c r="B592">
        <f t="shared" si="672"/>
        <v>-253</v>
      </c>
      <c r="C592">
        <f t="shared" si="673"/>
        <v>-255.23816816311401</v>
      </c>
      <c r="D592">
        <f t="shared" si="678"/>
        <v>-4</v>
      </c>
      <c r="E592">
        <f t="shared" si="679"/>
        <v>-0.14862167072303123</v>
      </c>
      <c r="F592">
        <f t="shared" si="681"/>
        <v>-6.166666666666667</v>
      </c>
      <c r="G592">
        <f t="shared" si="682"/>
        <v>-0.68316618141200258</v>
      </c>
      <c r="H592">
        <f t="shared" ref="H592:I592" si="694">+AVERAGE(F590:F594)</f>
        <v>-10.7</v>
      </c>
      <c r="I592">
        <f t="shared" si="694"/>
        <v>-2.2677577506246385</v>
      </c>
      <c r="J592">
        <f t="shared" si="675"/>
        <v>2002.1666666666599</v>
      </c>
      <c r="K592">
        <f t="shared" si="676"/>
        <v>-253</v>
      </c>
      <c r="L592">
        <f t="shared" si="677"/>
        <v>-255.23816816311401</v>
      </c>
      <c r="M592" s="5">
        <v>1929.1666666666599</v>
      </c>
      <c r="N592" s="5">
        <v>-105</v>
      </c>
      <c r="O592" s="5">
        <v>-269.46811775766702</v>
      </c>
      <c r="Q592">
        <f t="shared" si="684"/>
        <v>5.4835004852546643</v>
      </c>
    </row>
    <row r="593" spans="1:17" x14ac:dyDescent="0.25">
      <c r="A593">
        <f t="shared" si="671"/>
        <v>2002.25</v>
      </c>
      <c r="B593">
        <f t="shared" si="672"/>
        <v>-253</v>
      </c>
      <c r="C593">
        <f t="shared" si="673"/>
        <v>-268.49048242153799</v>
      </c>
      <c r="D593">
        <f t="shared" si="678"/>
        <v>-7.5</v>
      </c>
      <c r="E593">
        <f t="shared" si="679"/>
        <v>-0.58574452150747902</v>
      </c>
      <c r="F593">
        <f t="shared" si="681"/>
        <v>-2</v>
      </c>
      <c r="G593">
        <f t="shared" si="682"/>
        <v>-1.8688443267829298</v>
      </c>
      <c r="H593">
        <f t="shared" ref="H593:I593" si="695">+AVERAGE(F591:F595)</f>
        <v>-5.6</v>
      </c>
      <c r="I593">
        <f t="shared" si="695"/>
        <v>-1.9007460873177344</v>
      </c>
      <c r="J593">
        <f t="shared" si="675"/>
        <v>2002.25</v>
      </c>
      <c r="K593">
        <f t="shared" si="676"/>
        <v>-253</v>
      </c>
      <c r="L593">
        <f t="shared" si="677"/>
        <v>-268.49048242153799</v>
      </c>
      <c r="M593" s="5">
        <v>1929.25</v>
      </c>
      <c r="N593" s="5">
        <v>-105</v>
      </c>
      <c r="O593" s="5">
        <v>-263.49426165975598</v>
      </c>
      <c r="Q593">
        <f t="shared" si="684"/>
        <v>0.13115567321707022</v>
      </c>
    </row>
    <row r="594" spans="1:17" x14ac:dyDescent="0.25">
      <c r="A594">
        <f t="shared" si="671"/>
        <v>2002.3333333333301</v>
      </c>
      <c r="B594">
        <f t="shared" si="672"/>
        <v>-238</v>
      </c>
      <c r="C594">
        <f t="shared" si="673"/>
        <v>-280.57130763694698</v>
      </c>
      <c r="D594">
        <f t="shared" si="678"/>
        <v>5.5</v>
      </c>
      <c r="E594">
        <f t="shared" si="679"/>
        <v>-6.2738000332054753</v>
      </c>
      <c r="F594">
        <f t="shared" si="681"/>
        <v>-4.333333333333333</v>
      </c>
      <c r="G594">
        <f t="shared" si="682"/>
        <v>-3.1972530672611965</v>
      </c>
      <c r="H594">
        <f t="shared" ref="H594:I594" si="696">+AVERAGE(F592:F596)</f>
        <v>-2.5333333333333337</v>
      </c>
      <c r="I594">
        <f t="shared" si="696"/>
        <v>-1.918893284866884</v>
      </c>
      <c r="J594">
        <f t="shared" si="675"/>
        <v>2002.3333333333301</v>
      </c>
      <c r="K594">
        <f t="shared" si="676"/>
        <v>-238</v>
      </c>
      <c r="L594">
        <f t="shared" si="677"/>
        <v>-280.57130763694698</v>
      </c>
      <c r="M594" s="5">
        <v>1929.3333333333301</v>
      </c>
      <c r="N594" s="5">
        <v>-105</v>
      </c>
      <c r="O594" s="5">
        <v>-241.936186116242</v>
      </c>
      <c r="Q594">
        <f t="shared" si="684"/>
        <v>1.1360802660721365</v>
      </c>
    </row>
    <row r="595" spans="1:17" x14ac:dyDescent="0.25">
      <c r="A595">
        <f t="shared" si="671"/>
        <v>2002.4166666666599</v>
      </c>
      <c r="B595">
        <f t="shared" si="672"/>
        <v>-234</v>
      </c>
      <c r="C595">
        <f t="shared" si="673"/>
        <v>-280.10453278594503</v>
      </c>
      <c r="D595">
        <f t="shared" si="678"/>
        <v>-11</v>
      </c>
      <c r="E595">
        <f t="shared" si="679"/>
        <v>-5.1301544475165315</v>
      </c>
      <c r="F595">
        <f t="shared" si="681"/>
        <v>0.66666666666666663</v>
      </c>
      <c r="G595">
        <f t="shared" si="682"/>
        <v>-2.7315247924372064</v>
      </c>
      <c r="H595">
        <f t="shared" ref="H595:I595" si="697">+AVERAGE(F593:F597)</f>
        <v>-1.0333333333333332</v>
      </c>
      <c r="I595">
        <f t="shared" si="697"/>
        <v>-1.8501476949906706</v>
      </c>
      <c r="J595">
        <f t="shared" si="675"/>
        <v>2002.4166666666599</v>
      </c>
      <c r="K595">
        <f t="shared" si="676"/>
        <v>-234</v>
      </c>
      <c r="L595">
        <f t="shared" si="677"/>
        <v>-280.10453278594503</v>
      </c>
      <c r="M595" s="5">
        <v>1929.4166666666599</v>
      </c>
      <c r="N595" s="5">
        <v>-105</v>
      </c>
      <c r="O595" s="5">
        <v>-160.70890155380599</v>
      </c>
      <c r="Q595">
        <f t="shared" si="684"/>
        <v>3.3981914591038729</v>
      </c>
    </row>
    <row r="596" spans="1:17" x14ac:dyDescent="0.25">
      <c r="A596">
        <f t="shared" si="671"/>
        <v>2002.5</v>
      </c>
      <c r="B596">
        <f t="shared" si="672"/>
        <v>-208</v>
      </c>
      <c r="C596">
        <f t="shared" si="673"/>
        <v>-269.37744903991</v>
      </c>
      <c r="D596">
        <f t="shared" si="678"/>
        <v>7.5</v>
      </c>
      <c r="E596">
        <f t="shared" si="679"/>
        <v>1.1607365090824828</v>
      </c>
      <c r="F596">
        <f t="shared" si="681"/>
        <v>-0.83333333333333337</v>
      </c>
      <c r="G596">
        <f t="shared" si="682"/>
        <v>-1.1136780564410855</v>
      </c>
      <c r="H596">
        <f t="shared" ref="H596:I596" si="698">+AVERAGE(F594:F598)</f>
        <v>-1.0666666666666669</v>
      </c>
      <c r="I596">
        <f t="shared" si="698"/>
        <v>-1.7819139579486714</v>
      </c>
      <c r="J596">
        <f t="shared" si="675"/>
        <v>2002.5</v>
      </c>
      <c r="K596">
        <f t="shared" si="676"/>
        <v>-208</v>
      </c>
      <c r="L596">
        <f t="shared" si="677"/>
        <v>-269.37744903991</v>
      </c>
      <c r="M596" s="5">
        <v>1929.5</v>
      </c>
      <c r="N596" s="5">
        <v>-105</v>
      </c>
      <c r="O596" s="5">
        <v>75.538764892909697</v>
      </c>
      <c r="Q596">
        <f t="shared" si="684"/>
        <v>0.28034472310775216</v>
      </c>
    </row>
    <row r="597" spans="1:17" x14ac:dyDescent="0.25">
      <c r="A597">
        <f t="shared" si="671"/>
        <v>2002.5833333333301</v>
      </c>
      <c r="B597">
        <f t="shared" si="672"/>
        <v>-197</v>
      </c>
      <c r="C597">
        <f t="shared" si="673"/>
        <v>-260.97183831204001</v>
      </c>
      <c r="D597">
        <f t="shared" si="678"/>
        <v>1</v>
      </c>
      <c r="E597">
        <f t="shared" si="679"/>
        <v>-0.20687477322002223</v>
      </c>
      <c r="F597">
        <f t="shared" si="681"/>
        <v>1.3333333333333333</v>
      </c>
      <c r="G597">
        <f t="shared" si="682"/>
        <v>-0.3394382320309357</v>
      </c>
      <c r="H597">
        <f t="shared" ref="H597:I597" si="699">+AVERAGE(F595:F599)</f>
        <v>-2.6333333333333333</v>
      </c>
      <c r="I597">
        <f t="shared" si="699"/>
        <v>-2.2367623917917641</v>
      </c>
      <c r="J597">
        <f t="shared" si="675"/>
        <v>2002.5833333333301</v>
      </c>
      <c r="K597">
        <f t="shared" si="676"/>
        <v>-197</v>
      </c>
      <c r="L597">
        <f t="shared" si="677"/>
        <v>-260.97183831204001</v>
      </c>
      <c r="M597" s="5">
        <v>1929.5833333333301</v>
      </c>
      <c r="N597" s="5">
        <v>-105</v>
      </c>
      <c r="O597" s="5">
        <v>139.76391452482099</v>
      </c>
      <c r="Q597">
        <f t="shared" si="684"/>
        <v>1.672771565364269</v>
      </c>
    </row>
    <row r="598" spans="1:17" x14ac:dyDescent="0.25">
      <c r="A598">
        <f t="shared" si="671"/>
        <v>2002.6666666666599</v>
      </c>
      <c r="B598">
        <f t="shared" si="672"/>
        <v>-188</v>
      </c>
      <c r="C598">
        <f t="shared" si="673"/>
        <v>-252.15247803772999</v>
      </c>
      <c r="D598">
        <f t="shared" si="678"/>
        <v>-4.5</v>
      </c>
      <c r="E598">
        <f t="shared" si="679"/>
        <v>-2.2267551059784694</v>
      </c>
      <c r="F598">
        <f t="shared" si="681"/>
        <v>-2.1666666666666665</v>
      </c>
      <c r="G598">
        <f t="shared" si="682"/>
        <v>-1.5276756415729325</v>
      </c>
      <c r="H598">
        <f t="shared" ref="H598:I598" si="700">+AVERAGE(F596:F600)</f>
        <v>-2.1666666666666665</v>
      </c>
      <c r="I598">
        <f t="shared" si="700"/>
        <v>-3.5874757018076329</v>
      </c>
      <c r="J598">
        <f t="shared" si="675"/>
        <v>2002.6666666666599</v>
      </c>
      <c r="K598">
        <f t="shared" si="676"/>
        <v>-188</v>
      </c>
      <c r="L598">
        <f t="shared" si="677"/>
        <v>-252.15247803772999</v>
      </c>
      <c r="M598" s="5">
        <v>1929.6666666666599</v>
      </c>
      <c r="N598" s="5">
        <v>-105</v>
      </c>
      <c r="O598" s="5">
        <v>146.55920253414499</v>
      </c>
      <c r="Q598">
        <f t="shared" si="684"/>
        <v>0.63899102509373407</v>
      </c>
    </row>
    <row r="599" spans="1:17" x14ac:dyDescent="0.25">
      <c r="A599">
        <f t="shared" si="671"/>
        <v>2002.75</v>
      </c>
      <c r="B599">
        <f t="shared" si="672"/>
        <v>-170</v>
      </c>
      <c r="C599">
        <f t="shared" si="673"/>
        <v>-238.87960755146301</v>
      </c>
      <c r="D599">
        <f t="shared" si="678"/>
        <v>-3</v>
      </c>
      <c r="E599">
        <f t="shared" si="679"/>
        <v>-3.2951537767000048</v>
      </c>
      <c r="F599">
        <f t="shared" si="681"/>
        <v>-12.166666666666666</v>
      </c>
      <c r="G599">
        <f t="shared" si="682"/>
        <v>-5.4714952364766614</v>
      </c>
      <c r="H599">
        <f t="shared" ref="H599:I599" si="701">+AVERAGE(F597:F601)</f>
        <v>-0.3</v>
      </c>
      <c r="I599">
        <f t="shared" si="701"/>
        <v>-5.1839946138697792</v>
      </c>
      <c r="J599">
        <f t="shared" si="675"/>
        <v>2002.75</v>
      </c>
      <c r="K599">
        <f t="shared" si="676"/>
        <v>-170</v>
      </c>
      <c r="L599">
        <f t="shared" si="677"/>
        <v>-238.87960755146301</v>
      </c>
      <c r="M599" s="5">
        <v>1929.75</v>
      </c>
      <c r="N599" s="5">
        <v>-105</v>
      </c>
      <c r="O599" s="5">
        <v>153.85781512470501</v>
      </c>
      <c r="Q599">
        <f t="shared" si="684"/>
        <v>6.6951714301900047</v>
      </c>
    </row>
    <row r="600" spans="1:17" x14ac:dyDescent="0.25">
      <c r="A600">
        <f t="shared" si="671"/>
        <v>2002.8333333333301</v>
      </c>
      <c r="B600">
        <f t="shared" si="672"/>
        <v>-146</v>
      </c>
      <c r="C600">
        <f t="shared" si="673"/>
        <v>-219.01642951179599</v>
      </c>
      <c r="D600">
        <f t="shared" si="678"/>
        <v>-29</v>
      </c>
      <c r="E600">
        <f t="shared" si="679"/>
        <v>-14.996198254109004</v>
      </c>
      <c r="F600">
        <f t="shared" si="681"/>
        <v>3</v>
      </c>
      <c r="G600">
        <f t="shared" si="682"/>
        <v>-9.4850913425165508</v>
      </c>
      <c r="H600">
        <f t="shared" ref="H600:I600" si="702">+AVERAGE(F598:F602)</f>
        <v>2.166666666666667</v>
      </c>
      <c r="I600">
        <f t="shared" si="702"/>
        <v>-6.5371121603989879</v>
      </c>
      <c r="J600">
        <f t="shared" si="675"/>
        <v>2002.8333333333301</v>
      </c>
      <c r="K600">
        <f t="shared" si="676"/>
        <v>-146</v>
      </c>
      <c r="L600">
        <f t="shared" si="677"/>
        <v>-219.01642951179599</v>
      </c>
      <c r="M600" s="5">
        <v>1929.8333333333301</v>
      </c>
      <c r="N600" s="5">
        <v>-105</v>
      </c>
      <c r="O600" s="5">
        <v>167.40680102161801</v>
      </c>
      <c r="Q600">
        <f t="shared" si="684"/>
        <v>12.485091342516551</v>
      </c>
    </row>
    <row r="601" spans="1:17" x14ac:dyDescent="0.25">
      <c r="A601">
        <f t="shared" si="671"/>
        <v>2002.9166666666599</v>
      </c>
      <c r="B601">
        <f t="shared" si="672"/>
        <v>-64</v>
      </c>
      <c r="C601">
        <f t="shared" si="673"/>
        <v>-169.16085496391099</v>
      </c>
      <c r="D601">
        <f t="shared" si="678"/>
        <v>41</v>
      </c>
      <c r="E601">
        <f t="shared" si="679"/>
        <v>-17.277740503628053</v>
      </c>
      <c r="F601">
        <f t="shared" si="681"/>
        <v>8.5</v>
      </c>
      <c r="G601">
        <f t="shared" si="682"/>
        <v>-9.0962726167518149</v>
      </c>
      <c r="H601">
        <f t="shared" ref="H601:I601" si="703">+AVERAGE(F599:F603)</f>
        <v>0.63333333333333319</v>
      </c>
      <c r="I601">
        <f t="shared" si="703"/>
        <v>-5.7269228715737066</v>
      </c>
      <c r="J601">
        <f t="shared" si="675"/>
        <v>2002.9166666666599</v>
      </c>
      <c r="K601">
        <f t="shared" si="676"/>
        <v>-64</v>
      </c>
      <c r="L601">
        <f t="shared" si="677"/>
        <v>-169.16085496391099</v>
      </c>
      <c r="M601" s="5">
        <v>1929.9166666666599</v>
      </c>
      <c r="N601" s="5">
        <v>-105</v>
      </c>
      <c r="O601" s="5">
        <v>185.22460582701299</v>
      </c>
      <c r="Q601">
        <f t="shared" si="684"/>
        <v>17.596272616751815</v>
      </c>
    </row>
    <row r="602" spans="1:17" x14ac:dyDescent="0.25">
      <c r="A602">
        <f t="shared" si="671"/>
        <v>2003</v>
      </c>
      <c r="B602">
        <f t="shared" si="672"/>
        <v>-64</v>
      </c>
      <c r="C602">
        <f t="shared" si="673"/>
        <v>-84.749799408769903</v>
      </c>
      <c r="D602">
        <f t="shared" si="678"/>
        <v>13.5</v>
      </c>
      <c r="E602">
        <f t="shared" si="679"/>
        <v>-1.8370835550822449</v>
      </c>
      <c r="F602">
        <f t="shared" si="681"/>
        <v>13.666666666666666</v>
      </c>
      <c r="G602">
        <f t="shared" si="682"/>
        <v>-7.1050259646769804</v>
      </c>
      <c r="H602">
        <f t="shared" ref="H602:I602" si="704">+AVERAGE(F600:F604)</f>
        <v>-1.8666666666666676</v>
      </c>
      <c r="I602">
        <f t="shared" si="704"/>
        <v>-3.359651484839079</v>
      </c>
      <c r="J602">
        <f t="shared" si="675"/>
        <v>2003</v>
      </c>
      <c r="K602">
        <f t="shared" si="676"/>
        <v>-64</v>
      </c>
      <c r="L602">
        <f t="shared" si="677"/>
        <v>-84.749799408769903</v>
      </c>
      <c r="M602" s="5">
        <v>1930</v>
      </c>
      <c r="N602" s="5">
        <v>-105</v>
      </c>
      <c r="O602" s="5">
        <v>173.840492303937</v>
      </c>
      <c r="Q602">
        <f t="shared" si="684"/>
        <v>20.771692631343647</v>
      </c>
    </row>
    <row r="603" spans="1:17" x14ac:dyDescent="0.25">
      <c r="A603">
        <f t="shared" si="671"/>
        <v>2003.0833333333301</v>
      </c>
      <c r="B603">
        <f t="shared" si="672"/>
        <v>-91</v>
      </c>
      <c r="C603">
        <f t="shared" si="673"/>
        <v>3.3354232565356701</v>
      </c>
      <c r="D603">
        <f t="shared" si="678"/>
        <v>-13.5</v>
      </c>
      <c r="E603">
        <f t="shared" si="679"/>
        <v>-7.5290233088283784</v>
      </c>
      <c r="F603">
        <f t="shared" si="681"/>
        <v>-9.8333333333333339</v>
      </c>
      <c r="G603">
        <f t="shared" si="682"/>
        <v>2.5232708025534767</v>
      </c>
      <c r="H603">
        <f t="shared" ref="H603:I603" si="705">+AVERAGE(F601:F605)</f>
        <v>-4.9666666666666668</v>
      </c>
      <c r="I603">
        <f t="shared" si="705"/>
        <v>0.54530501749191862</v>
      </c>
      <c r="J603">
        <f t="shared" si="675"/>
        <v>2003.0833333333301</v>
      </c>
      <c r="K603">
        <f t="shared" si="676"/>
        <v>-91</v>
      </c>
      <c r="L603">
        <f t="shared" si="677"/>
        <v>3.3354232565356701</v>
      </c>
      <c r="M603" s="5">
        <v>1930.0833333333301</v>
      </c>
      <c r="N603" s="5">
        <v>-105</v>
      </c>
      <c r="O603" s="5">
        <v>112.14151577170701</v>
      </c>
      <c r="Q603">
        <f t="shared" si="684"/>
        <v>12.35660413588681</v>
      </c>
    </row>
    <row r="604" spans="1:17" x14ac:dyDescent="0.25">
      <c r="A604">
        <f t="shared" si="671"/>
        <v>2003.1666666666599</v>
      </c>
      <c r="B604">
        <f t="shared" si="672"/>
        <v>-91</v>
      </c>
      <c r="C604">
        <f t="shared" si="673"/>
        <v>106.478692539498</v>
      </c>
      <c r="D604">
        <f t="shared" si="678"/>
        <v>-29.5</v>
      </c>
      <c r="E604">
        <f t="shared" si="679"/>
        <v>18.828372373486161</v>
      </c>
      <c r="F604">
        <f t="shared" si="681"/>
        <v>-24.666666666666668</v>
      </c>
      <c r="G604">
        <f t="shared" si="682"/>
        <v>6.3648616971964751</v>
      </c>
      <c r="H604">
        <f t="shared" ref="H604:I604" si="706">+AVERAGE(F602:F606)</f>
        <v>-5.3333333333333339</v>
      </c>
      <c r="I604">
        <f t="shared" si="706"/>
        <v>3.8816352512900671</v>
      </c>
      <c r="J604">
        <f t="shared" si="675"/>
        <v>2003.1666666666599</v>
      </c>
      <c r="K604">
        <f t="shared" si="676"/>
        <v>-91</v>
      </c>
      <c r="L604">
        <f t="shared" si="677"/>
        <v>106.478692539498</v>
      </c>
      <c r="M604" s="5">
        <v>1930.1666666666599</v>
      </c>
      <c r="N604" s="5">
        <v>-105</v>
      </c>
      <c r="O604" s="5">
        <v>36.1477487614723</v>
      </c>
      <c r="Q604">
        <f t="shared" si="684"/>
        <v>31.031528363863142</v>
      </c>
    </row>
    <row r="605" spans="1:17" x14ac:dyDescent="0.25">
      <c r="A605">
        <f t="shared" si="671"/>
        <v>2003.25</v>
      </c>
      <c r="B605">
        <f t="shared" si="672"/>
        <v>-32</v>
      </c>
      <c r="C605">
        <f t="shared" si="673"/>
        <v>171.965217075488</v>
      </c>
      <c r="D605">
        <f t="shared" si="678"/>
        <v>-31</v>
      </c>
      <c r="E605">
        <f t="shared" si="679"/>
        <v>12.568882299828999</v>
      </c>
      <c r="F605">
        <f t="shared" si="681"/>
        <v>-12.5</v>
      </c>
      <c r="G605">
        <f t="shared" si="682"/>
        <v>10.039691169138436</v>
      </c>
      <c r="H605">
        <f t="shared" ref="H605:I605" si="707">+AVERAGE(F603:F607)</f>
        <v>-4.8666666666666671</v>
      </c>
      <c r="I605">
        <f t="shared" si="707"/>
        <v>6.4489674230271961</v>
      </c>
      <c r="J605">
        <f t="shared" si="675"/>
        <v>2003.25</v>
      </c>
      <c r="K605">
        <f t="shared" si="676"/>
        <v>-32</v>
      </c>
      <c r="L605">
        <f t="shared" si="677"/>
        <v>171.965217075488</v>
      </c>
      <c r="M605" s="5">
        <v>1930.25</v>
      </c>
      <c r="N605" s="5">
        <v>-105</v>
      </c>
      <c r="O605" s="5">
        <v>-4.5138654002623504</v>
      </c>
      <c r="Q605">
        <f t="shared" si="684"/>
        <v>22.539691169138436</v>
      </c>
    </row>
    <row r="606" spans="1:17" x14ac:dyDescent="0.25">
      <c r="A606">
        <f t="shared" si="671"/>
        <v>2003.3333333333301</v>
      </c>
      <c r="B606">
        <f t="shared" si="672"/>
        <v>89</v>
      </c>
      <c r="C606">
        <f t="shared" si="673"/>
        <v>212.31397701181999</v>
      </c>
      <c r="D606">
        <f t="shared" si="678"/>
        <v>23</v>
      </c>
      <c r="E606">
        <f t="shared" si="679"/>
        <v>6.2515872109539714</v>
      </c>
      <c r="F606">
        <f t="shared" si="681"/>
        <v>6.666666666666667</v>
      </c>
      <c r="G606">
        <f t="shared" si="682"/>
        <v>7.5853785522389288</v>
      </c>
      <c r="H606">
        <f t="shared" ref="H606:I606" si="708">+AVERAGE(F604:F608)</f>
        <v>-0.40000000000000069</v>
      </c>
      <c r="I606">
        <f t="shared" si="708"/>
        <v>6.6407859300437533</v>
      </c>
      <c r="J606">
        <f t="shared" si="675"/>
        <v>2003.3333333333301</v>
      </c>
      <c r="K606">
        <f t="shared" si="676"/>
        <v>89</v>
      </c>
      <c r="L606">
        <f t="shared" si="677"/>
        <v>212.31397701181999</v>
      </c>
      <c r="M606" s="5">
        <v>1930.3333333333301</v>
      </c>
      <c r="N606" s="5">
        <v>-105</v>
      </c>
      <c r="O606" s="5">
        <v>26.2319296721627</v>
      </c>
      <c r="Q606">
        <f t="shared" si="684"/>
        <v>0.9187118855722618</v>
      </c>
    </row>
    <row r="607" spans="1:17" x14ac:dyDescent="0.25">
      <c r="A607">
        <f t="shared" si="671"/>
        <v>2003.4166666666599</v>
      </c>
      <c r="B607">
        <f t="shared" si="672"/>
        <v>164</v>
      </c>
      <c r="C607">
        <f t="shared" si="673"/>
        <v>240.159562526244</v>
      </c>
      <c r="D607">
        <f t="shared" si="678"/>
        <v>28</v>
      </c>
      <c r="E607">
        <f t="shared" si="679"/>
        <v>9.6247000601130139</v>
      </c>
      <c r="F607">
        <f t="shared" si="681"/>
        <v>16</v>
      </c>
      <c r="G607">
        <f t="shared" si="682"/>
        <v>5.7316348940086606</v>
      </c>
      <c r="H607">
        <f t="shared" ref="H607:I607" si="709">+AVERAGE(F605:F609)</f>
        <v>5.166666666666667</v>
      </c>
      <c r="I607">
        <f t="shared" si="709"/>
        <v>5.5461329317094714</v>
      </c>
      <c r="J607">
        <f t="shared" si="675"/>
        <v>2003.4166666666599</v>
      </c>
      <c r="K607">
        <f t="shared" si="676"/>
        <v>164</v>
      </c>
      <c r="L607">
        <f t="shared" si="677"/>
        <v>240.159562526244</v>
      </c>
      <c r="M607" s="5">
        <v>1930.4166666666599</v>
      </c>
      <c r="N607" s="5">
        <v>-105</v>
      </c>
      <c r="O607" s="5">
        <v>106.578436283638</v>
      </c>
      <c r="Q607">
        <f t="shared" si="684"/>
        <v>10.268365105991339</v>
      </c>
    </row>
    <row r="608" spans="1:17" x14ac:dyDescent="0.25">
      <c r="A608">
        <f t="shared" si="671"/>
        <v>2003.5</v>
      </c>
      <c r="B608">
        <f t="shared" si="672"/>
        <v>183</v>
      </c>
      <c r="C608">
        <f t="shared" si="673"/>
        <v>248.75574792044199</v>
      </c>
      <c r="D608">
        <f t="shared" si="678"/>
        <v>-3</v>
      </c>
      <c r="E608">
        <f t="shared" si="679"/>
        <v>5.6173435814654908</v>
      </c>
      <c r="F608">
        <f t="shared" si="681"/>
        <v>12.5</v>
      </c>
      <c r="G608">
        <f t="shared" si="682"/>
        <v>3.4823633376362673</v>
      </c>
      <c r="H608">
        <f t="shared" ref="H608:I608" si="710">+AVERAGE(F606:F610)</f>
        <v>8.5</v>
      </c>
      <c r="I608">
        <f t="shared" si="710"/>
        <v>3.651432030556184</v>
      </c>
      <c r="J608">
        <f t="shared" si="675"/>
        <v>2003.5</v>
      </c>
      <c r="K608">
        <f t="shared" si="676"/>
        <v>183</v>
      </c>
      <c r="L608">
        <f t="shared" si="677"/>
        <v>248.75574792044199</v>
      </c>
      <c r="M608" s="5">
        <v>1930.5</v>
      </c>
      <c r="N608" s="5">
        <v>-105</v>
      </c>
      <c r="O608" s="5">
        <v>132.45301530005</v>
      </c>
      <c r="Q608">
        <f t="shared" si="684"/>
        <v>9.0176366623637332</v>
      </c>
    </row>
    <row r="609" spans="1:17" x14ac:dyDescent="0.25">
      <c r="A609">
        <f t="shared" si="671"/>
        <v>2003.5833333333301</v>
      </c>
      <c r="B609">
        <f t="shared" si="672"/>
        <v>208</v>
      </c>
      <c r="C609">
        <f t="shared" si="673"/>
        <v>246.117246151709</v>
      </c>
      <c r="D609">
        <f t="shared" si="678"/>
        <v>12.5</v>
      </c>
      <c r="E609">
        <f t="shared" si="679"/>
        <v>-2.183181125442502</v>
      </c>
      <c r="F609">
        <f t="shared" si="681"/>
        <v>3.1666666666666665</v>
      </c>
      <c r="G609">
        <f t="shared" si="682"/>
        <v>0.89159670552506531</v>
      </c>
      <c r="H609">
        <f t="shared" ref="H609:I609" si="711">+AVERAGE(F607:F611)</f>
        <v>7.2</v>
      </c>
      <c r="I609">
        <f t="shared" si="711"/>
        <v>2.8611161507158389</v>
      </c>
      <c r="J609">
        <f t="shared" si="675"/>
        <v>2003.5833333333301</v>
      </c>
      <c r="K609">
        <f t="shared" si="676"/>
        <v>208</v>
      </c>
      <c r="L609">
        <f t="shared" si="677"/>
        <v>246.117246151709</v>
      </c>
      <c r="M609" s="5">
        <v>1930.5833333333301</v>
      </c>
      <c r="N609" s="5">
        <v>-105</v>
      </c>
      <c r="O609" s="5">
        <v>122.222472043869</v>
      </c>
      <c r="Q609">
        <f t="shared" si="684"/>
        <v>2.2750699611416012</v>
      </c>
    </row>
    <row r="610" spans="1:17" x14ac:dyDescent="0.25">
      <c r="A610">
        <f t="shared" si="671"/>
        <v>2003.6666666666599</v>
      </c>
      <c r="B610">
        <f t="shared" si="672"/>
        <v>208</v>
      </c>
      <c r="C610">
        <f t="shared" si="673"/>
        <v>247.84510663386101</v>
      </c>
      <c r="D610">
        <f t="shared" si="678"/>
        <v>0</v>
      </c>
      <c r="E610">
        <f t="shared" si="679"/>
        <v>-9.0674810303994491E-2</v>
      </c>
      <c r="F610">
        <f t="shared" si="681"/>
        <v>4.166666666666667</v>
      </c>
      <c r="G610">
        <f t="shared" si="682"/>
        <v>0.56618666337199863</v>
      </c>
      <c r="H610">
        <f t="shared" ref="H610:I610" si="712">+AVERAGE(F608:F612)</f>
        <v>8.9</v>
      </c>
      <c r="I610">
        <f t="shared" si="712"/>
        <v>4.460942032810534</v>
      </c>
      <c r="J610">
        <f t="shared" si="675"/>
        <v>2003.6666666666599</v>
      </c>
      <c r="K610">
        <f t="shared" si="676"/>
        <v>208</v>
      </c>
      <c r="L610">
        <f t="shared" si="677"/>
        <v>247.84510663386101</v>
      </c>
      <c r="M610" s="5">
        <v>1930.6666666666599</v>
      </c>
      <c r="N610" s="5">
        <v>-105</v>
      </c>
      <c r="O610" s="5">
        <v>116.362819354167</v>
      </c>
      <c r="Q610">
        <f t="shared" si="684"/>
        <v>3.6004800032946682</v>
      </c>
    </row>
    <row r="611" spans="1:17" x14ac:dyDescent="0.25">
      <c r="A611">
        <f t="shared" si="671"/>
        <v>2003.75</v>
      </c>
      <c r="B611">
        <f t="shared" si="672"/>
        <v>208</v>
      </c>
      <c r="C611">
        <f t="shared" si="673"/>
        <v>249.75431673662101</v>
      </c>
      <c r="D611">
        <f t="shared" si="678"/>
        <v>0</v>
      </c>
      <c r="E611">
        <f t="shared" si="679"/>
        <v>4.3970559233914912</v>
      </c>
      <c r="F611">
        <f t="shared" si="681"/>
        <v>0.16666666666666666</v>
      </c>
      <c r="G611">
        <f t="shared" si="682"/>
        <v>3.6337991530372018</v>
      </c>
      <c r="H611">
        <f t="shared" ref="H611:I611" si="713">+AVERAGE(F609:F613)</f>
        <v>11.366666666666665</v>
      </c>
      <c r="I611">
        <f t="shared" si="713"/>
        <v>10.59642584443699</v>
      </c>
      <c r="J611">
        <f t="shared" si="675"/>
        <v>2003.75</v>
      </c>
      <c r="K611">
        <f t="shared" si="676"/>
        <v>208</v>
      </c>
      <c r="L611">
        <f t="shared" si="677"/>
        <v>249.75431673662101</v>
      </c>
      <c r="M611" s="5">
        <v>1930.75</v>
      </c>
      <c r="N611" s="5">
        <v>-105</v>
      </c>
      <c r="O611" s="5">
        <v>72.021609626356394</v>
      </c>
      <c r="Q611">
        <f t="shared" si="684"/>
        <v>3.4671324863705353</v>
      </c>
    </row>
    <row r="612" spans="1:17" x14ac:dyDescent="0.25">
      <c r="A612">
        <f t="shared" si="671"/>
        <v>2003.8333333333301</v>
      </c>
      <c r="B612">
        <f t="shared" si="672"/>
        <v>208</v>
      </c>
      <c r="C612">
        <f t="shared" si="673"/>
        <v>242.869414992598</v>
      </c>
      <c r="D612">
        <f t="shared" si="678"/>
        <v>0.5</v>
      </c>
      <c r="E612">
        <f t="shared" si="679"/>
        <v>9.3203657108020082</v>
      </c>
      <c r="F612">
        <f t="shared" si="681"/>
        <v>24.5</v>
      </c>
      <c r="G612">
        <f t="shared" si="682"/>
        <v>13.730764304482136</v>
      </c>
      <c r="H612">
        <f t="shared" ref="H612:I612" si="714">+AVERAGE(F610:F614)</f>
        <v>13.833333333333334</v>
      </c>
      <c r="I612">
        <f t="shared" si="714"/>
        <v>11.711024309539923</v>
      </c>
      <c r="J612">
        <f t="shared" si="675"/>
        <v>2003.8333333333301</v>
      </c>
      <c r="K612">
        <f t="shared" si="676"/>
        <v>208</v>
      </c>
      <c r="L612">
        <f t="shared" si="677"/>
        <v>242.869414992598</v>
      </c>
      <c r="M612" s="5">
        <v>1930.8333333333301</v>
      </c>
      <c r="N612" s="5">
        <v>-105</v>
      </c>
      <c r="O612" s="5">
        <v>-64.227019422649903</v>
      </c>
      <c r="Q612">
        <f t="shared" si="684"/>
        <v>10.769235695517864</v>
      </c>
    </row>
    <row r="613" spans="1:17" x14ac:dyDescent="0.25">
      <c r="A613">
        <f t="shared" si="671"/>
        <v>2003.9166666666599</v>
      </c>
      <c r="B613">
        <f t="shared" si="672"/>
        <v>207</v>
      </c>
      <c r="C613">
        <f t="shared" si="673"/>
        <v>217.343781826971</v>
      </c>
      <c r="D613">
        <f t="shared" si="678"/>
        <v>73</v>
      </c>
      <c r="E613">
        <f t="shared" si="679"/>
        <v>37.772944507614511</v>
      </c>
      <c r="F613">
        <f t="shared" si="681"/>
        <v>24.833333333333332</v>
      </c>
      <c r="G613">
        <f t="shared" si="682"/>
        <v>34.159782395768545</v>
      </c>
      <c r="H613">
        <f t="shared" ref="H613:I613" si="715">+AVERAGE(F611:F615)</f>
        <v>9.2333333333333343</v>
      </c>
      <c r="I613">
        <f t="shared" si="715"/>
        <v>9.8481968453334972</v>
      </c>
      <c r="J613">
        <f t="shared" si="675"/>
        <v>2003.9166666666599</v>
      </c>
      <c r="K613">
        <f t="shared" si="676"/>
        <v>207</v>
      </c>
      <c r="L613">
        <f t="shared" si="677"/>
        <v>217.343781826971</v>
      </c>
      <c r="M613" s="5">
        <v>1930.9166666666599</v>
      </c>
      <c r="N613" s="5">
        <v>-105</v>
      </c>
      <c r="O613" s="5">
        <v>-152.204930215735</v>
      </c>
      <c r="Q613">
        <f t="shared" si="684"/>
        <v>9.3264490624352128</v>
      </c>
    </row>
    <row r="614" spans="1:17" x14ac:dyDescent="0.25">
      <c r="A614">
        <f t="shared" si="671"/>
        <v>2004</v>
      </c>
      <c r="B614">
        <f t="shared" si="672"/>
        <v>60</v>
      </c>
      <c r="C614">
        <f t="shared" si="673"/>
        <v>116.272259646115</v>
      </c>
      <c r="D614">
        <f t="shared" si="678"/>
        <v>1</v>
      </c>
      <c r="E614">
        <f t="shared" si="679"/>
        <v>81.005873765715506</v>
      </c>
      <c r="F614">
        <f t="shared" si="681"/>
        <v>15.5</v>
      </c>
      <c r="G614">
        <f t="shared" si="682"/>
        <v>6.4645890310397363</v>
      </c>
      <c r="H614">
        <f t="shared" ref="H614:I614" si="716">+AVERAGE(F612:F616)</f>
        <v>4.5</v>
      </c>
      <c r="I614">
        <f t="shared" si="716"/>
        <v>2.5658284968105631</v>
      </c>
      <c r="J614">
        <f t="shared" si="675"/>
        <v>2004</v>
      </c>
      <c r="K614">
        <f t="shared" si="676"/>
        <v>60</v>
      </c>
      <c r="L614">
        <f t="shared" si="677"/>
        <v>116.272259646115</v>
      </c>
      <c r="M614" s="5">
        <v>1931</v>
      </c>
      <c r="N614" s="5">
        <v>-105</v>
      </c>
      <c r="O614" s="5">
        <v>-202.86712717068099</v>
      </c>
      <c r="Q614">
        <f t="shared" si="684"/>
        <v>9.0354109689602637</v>
      </c>
    </row>
    <row r="615" spans="1:17" x14ac:dyDescent="0.25">
      <c r="A615">
        <f t="shared" si="671"/>
        <v>2004.0833333333301</v>
      </c>
      <c r="B615">
        <f t="shared" si="672"/>
        <v>-89</v>
      </c>
      <c r="C615">
        <f t="shared" si="673"/>
        <v>-146.811010066172</v>
      </c>
      <c r="D615">
        <f t="shared" si="678"/>
        <v>-27.5</v>
      </c>
      <c r="E615">
        <f t="shared" si="679"/>
        <v>-94.536609406931007</v>
      </c>
      <c r="F615">
        <f t="shared" si="681"/>
        <v>-18.833333333333332</v>
      </c>
      <c r="G615">
        <f t="shared" si="682"/>
        <v>-8.7479506576601356</v>
      </c>
      <c r="H615">
        <f t="shared" ref="H615:I615" si="717">+AVERAGE(F613:F617)</f>
        <v>-3.5333333333333341</v>
      </c>
      <c r="I615">
        <f t="shared" si="717"/>
        <v>-2.0814669614742085</v>
      </c>
      <c r="J615">
        <f t="shared" si="675"/>
        <v>2004.0833333333301</v>
      </c>
      <c r="K615">
        <f t="shared" si="676"/>
        <v>-89</v>
      </c>
      <c r="L615">
        <f t="shared" si="677"/>
        <v>-146.811010066172</v>
      </c>
      <c r="M615" s="5">
        <v>1931.0833333333301</v>
      </c>
      <c r="N615" s="5">
        <v>-105</v>
      </c>
      <c r="O615" s="5">
        <v>-220.16119082771499</v>
      </c>
      <c r="Q615">
        <f t="shared" si="684"/>
        <v>10.085382675673197</v>
      </c>
    </row>
    <row r="616" spans="1:17" x14ac:dyDescent="0.25">
      <c r="A616">
        <f t="shared" si="671"/>
        <v>2004.1666666666599</v>
      </c>
      <c r="B616">
        <f t="shared" si="672"/>
        <v>-183</v>
      </c>
      <c r="C616">
        <f t="shared" si="673"/>
        <v>-220.821060964597</v>
      </c>
      <c r="D616">
        <f t="shared" si="678"/>
        <v>-30</v>
      </c>
      <c r="E616">
        <f t="shared" si="679"/>
        <v>-19.274079325010007</v>
      </c>
      <c r="F616">
        <f t="shared" si="681"/>
        <v>-23.5</v>
      </c>
      <c r="G616">
        <f t="shared" si="682"/>
        <v>-32.778042589577467</v>
      </c>
      <c r="H616">
        <f t="shared" ref="H616:I616" si="718">+AVERAGE(F614:F618)</f>
        <v>-10.466666666666667</v>
      </c>
      <c r="I616">
        <f t="shared" si="718"/>
        <v>-9.914291872968823</v>
      </c>
      <c r="J616">
        <f t="shared" si="675"/>
        <v>2004.1666666666599</v>
      </c>
      <c r="K616">
        <f t="shared" si="676"/>
        <v>-183</v>
      </c>
      <c r="L616">
        <f t="shared" si="677"/>
        <v>-220.821060964597</v>
      </c>
      <c r="M616" s="5">
        <v>1931.1666666666599</v>
      </c>
      <c r="N616" s="5">
        <v>-105</v>
      </c>
      <c r="O616" s="5">
        <v>-218.83128892484299</v>
      </c>
      <c r="Q616">
        <f t="shared" si="684"/>
        <v>9.278042589577467</v>
      </c>
    </row>
    <row r="617" spans="1:17" x14ac:dyDescent="0.25">
      <c r="A617">
        <f t="shared" si="671"/>
        <v>2004.25</v>
      </c>
      <c r="B617">
        <f t="shared" si="672"/>
        <v>-217</v>
      </c>
      <c r="C617">
        <f t="shared" si="673"/>
        <v>-256.28295321300197</v>
      </c>
      <c r="D617">
        <f t="shared" si="678"/>
        <v>-13</v>
      </c>
      <c r="E617">
        <f t="shared" si="679"/>
        <v>-9.1069709789744877</v>
      </c>
      <c r="F617">
        <f t="shared" si="681"/>
        <v>-15.666666666666666</v>
      </c>
      <c r="G617">
        <f t="shared" si="682"/>
        <v>-9.5057129869417238</v>
      </c>
      <c r="H617">
        <f t="shared" ref="H617:I617" si="719">+AVERAGE(F615:F619)</f>
        <v>-13.833333333333332</v>
      </c>
      <c r="I617">
        <f t="shared" si="719"/>
        <v>-11.838306512107357</v>
      </c>
      <c r="J617">
        <f t="shared" si="675"/>
        <v>2004.25</v>
      </c>
      <c r="K617">
        <f t="shared" si="676"/>
        <v>-217</v>
      </c>
      <c r="L617">
        <f t="shared" si="677"/>
        <v>-256.28295321300197</v>
      </c>
      <c r="M617" s="5">
        <v>1931.25</v>
      </c>
      <c r="N617" s="5">
        <v>-105</v>
      </c>
      <c r="O617" s="5">
        <v>-226.40747421236401</v>
      </c>
      <c r="Q617">
        <f t="shared" si="684"/>
        <v>6.1609536797249422</v>
      </c>
    </row>
    <row r="618" spans="1:17" x14ac:dyDescent="0.25">
      <c r="A618">
        <f t="shared" si="671"/>
        <v>2004.3333333333301</v>
      </c>
      <c r="B618">
        <f t="shared" si="672"/>
        <v>-225</v>
      </c>
      <c r="C618">
        <f t="shared" si="673"/>
        <v>-273.53090350345798</v>
      </c>
      <c r="D618">
        <f t="shared" si="678"/>
        <v>-4</v>
      </c>
      <c r="E618">
        <f t="shared" si="679"/>
        <v>-7.2653733970469716</v>
      </c>
      <c r="F618">
        <f t="shared" si="681"/>
        <v>-9.8333333333333339</v>
      </c>
      <c r="G618">
        <f t="shared" si="682"/>
        <v>-5.0043421617045247</v>
      </c>
      <c r="H618">
        <f t="shared" ref="H618:I618" si="720">+AVERAGE(F616:F620)</f>
        <v>-10.233333333333334</v>
      </c>
      <c r="I618">
        <f t="shared" si="720"/>
        <v>-10.369065499828768</v>
      </c>
      <c r="J618">
        <f t="shared" si="675"/>
        <v>2004.3333333333301</v>
      </c>
      <c r="K618">
        <f t="shared" si="676"/>
        <v>-225</v>
      </c>
      <c r="L618">
        <f t="shared" si="677"/>
        <v>-273.53090350345798</v>
      </c>
      <c r="M618" s="5">
        <v>1931.3333333333301</v>
      </c>
      <c r="N618" s="5">
        <v>-105</v>
      </c>
      <c r="O618" s="5">
        <v>-228.57665052478299</v>
      </c>
      <c r="Q618">
        <f t="shared" si="684"/>
        <v>4.8289911716288092</v>
      </c>
    </row>
    <row r="619" spans="1:17" x14ac:dyDescent="0.25">
      <c r="A619">
        <f t="shared" si="671"/>
        <v>2004.4166666666599</v>
      </c>
      <c r="B619">
        <f t="shared" si="672"/>
        <v>-225</v>
      </c>
      <c r="C619">
        <f t="shared" si="673"/>
        <v>-276.24810699981998</v>
      </c>
      <c r="D619">
        <f t="shared" si="678"/>
        <v>-12.5</v>
      </c>
      <c r="E619">
        <f t="shared" si="679"/>
        <v>-2.3939387303705075</v>
      </c>
      <c r="F619">
        <f t="shared" si="681"/>
        <v>-1.3333333333333333</v>
      </c>
      <c r="G619">
        <f t="shared" si="682"/>
        <v>-3.155484164652929</v>
      </c>
      <c r="H619">
        <f t="shared" ref="H619:I619" si="721">+AVERAGE(F617:F621)</f>
        <v>-4.7666666666666666</v>
      </c>
      <c r="I619">
        <f t="shared" si="721"/>
        <v>-3.6895338799837525</v>
      </c>
      <c r="J619">
        <f t="shared" si="675"/>
        <v>2004.4166666666599</v>
      </c>
      <c r="K619">
        <f t="shared" si="676"/>
        <v>-225</v>
      </c>
      <c r="L619">
        <f t="shared" si="677"/>
        <v>-276.24810699981998</v>
      </c>
      <c r="M619" s="5">
        <v>1931.4166666666599</v>
      </c>
      <c r="N619" s="5">
        <v>-105</v>
      </c>
      <c r="O619" s="5">
        <v>-211.44325782463201</v>
      </c>
      <c r="Q619">
        <f t="shared" si="684"/>
        <v>1.8221508313195958</v>
      </c>
    </row>
    <row r="620" spans="1:17" x14ac:dyDescent="0.25">
      <c r="A620">
        <f t="shared" si="671"/>
        <v>2004.5</v>
      </c>
      <c r="B620">
        <f t="shared" si="672"/>
        <v>-200</v>
      </c>
      <c r="C620">
        <f t="shared" si="673"/>
        <v>-274.17743303544103</v>
      </c>
      <c r="D620">
        <f t="shared" si="678"/>
        <v>12.5</v>
      </c>
      <c r="E620">
        <f t="shared" si="679"/>
        <v>-2.1737534900310038</v>
      </c>
      <c r="F620">
        <f t="shared" si="681"/>
        <v>-0.83333333333333337</v>
      </c>
      <c r="G620">
        <f t="shared" si="682"/>
        <v>-1.4017455962671952</v>
      </c>
      <c r="H620">
        <f t="shared" ref="H620:I620" si="722">+AVERAGE(F618:F622)</f>
        <v>-2.1333333333333337</v>
      </c>
      <c r="I620">
        <f t="shared" si="722"/>
        <v>-1.4853734142145263</v>
      </c>
      <c r="J620">
        <f t="shared" si="675"/>
        <v>2004.5</v>
      </c>
      <c r="K620">
        <f t="shared" si="676"/>
        <v>-200</v>
      </c>
      <c r="L620">
        <f t="shared" si="677"/>
        <v>-274.17743303544103</v>
      </c>
      <c r="M620" s="5">
        <v>1931.5</v>
      </c>
      <c r="N620" s="5">
        <v>-105</v>
      </c>
      <c r="O620" s="5">
        <v>-197.38751265161099</v>
      </c>
      <c r="Q620">
        <f t="shared" si="684"/>
        <v>0.56841226293386182</v>
      </c>
    </row>
    <row r="621" spans="1:17" x14ac:dyDescent="0.25">
      <c r="A621">
        <f t="shared" si="671"/>
        <v>2004.5833333333301</v>
      </c>
      <c r="B621">
        <f t="shared" si="672"/>
        <v>-200</v>
      </c>
      <c r="C621">
        <f t="shared" si="673"/>
        <v>-267.75925209100001</v>
      </c>
      <c r="D621">
        <f t="shared" si="678"/>
        <v>-2.5</v>
      </c>
      <c r="E621">
        <f t="shared" si="679"/>
        <v>-0.68885376560047007</v>
      </c>
      <c r="F621">
        <f t="shared" si="681"/>
        <v>3.8333333333333335</v>
      </c>
      <c r="G621">
        <f t="shared" si="682"/>
        <v>0.61961550964761047</v>
      </c>
      <c r="H621">
        <f t="shared" ref="H621:I621" si="723">+AVERAGE(F619:F623)</f>
        <v>-0.83333333333333326</v>
      </c>
      <c r="I621">
        <f t="shared" si="723"/>
        <v>-0.21178156635631257</v>
      </c>
      <c r="J621">
        <f t="shared" si="675"/>
        <v>2004.5833333333301</v>
      </c>
      <c r="K621">
        <f t="shared" si="676"/>
        <v>-200</v>
      </c>
      <c r="L621">
        <f t="shared" si="677"/>
        <v>-267.75925209100001</v>
      </c>
      <c r="M621" s="5">
        <v>1931.5833333333301</v>
      </c>
      <c r="N621" s="5">
        <v>-105</v>
      </c>
      <c r="O621" s="5">
        <v>-199.33634811810299</v>
      </c>
      <c r="Q621">
        <f t="shared" si="684"/>
        <v>3.2137178236857231</v>
      </c>
    </row>
    <row r="622" spans="1:17" x14ac:dyDescent="0.25">
      <c r="A622">
        <f t="shared" si="671"/>
        <v>2004.6666666666599</v>
      </c>
      <c r="B622">
        <f t="shared" si="672"/>
        <v>-195</v>
      </c>
      <c r="C622">
        <f t="shared" si="673"/>
        <v>-259.96336361535799</v>
      </c>
      <c r="D622">
        <f t="shared" si="678"/>
        <v>1.5</v>
      </c>
      <c r="E622">
        <f t="shared" si="679"/>
        <v>5.1861654168100131</v>
      </c>
      <c r="F622">
        <f t="shared" si="681"/>
        <v>-2.5</v>
      </c>
      <c r="G622">
        <f t="shared" si="682"/>
        <v>1.5150893419044074</v>
      </c>
      <c r="H622">
        <f t="shared" ref="H622:I622" si="724">+AVERAGE(F620:F624)</f>
        <v>-1.6333333333333333</v>
      </c>
      <c r="I622">
        <f t="shared" si="724"/>
        <v>0.42261041942744682</v>
      </c>
      <c r="J622">
        <f t="shared" si="675"/>
        <v>2004.6666666666599</v>
      </c>
      <c r="K622">
        <f t="shared" si="676"/>
        <v>-195</v>
      </c>
      <c r="L622">
        <f t="shared" si="677"/>
        <v>-259.96336361535799</v>
      </c>
      <c r="M622" s="5">
        <v>1931.6666666666599</v>
      </c>
      <c r="N622" s="5">
        <v>-105</v>
      </c>
      <c r="O622" s="5">
        <v>-215.42425829345899</v>
      </c>
      <c r="Q622">
        <f t="shared" si="684"/>
        <v>4.0150893419044076</v>
      </c>
    </row>
    <row r="623" spans="1:17" x14ac:dyDescent="0.25">
      <c r="A623">
        <f t="shared" si="671"/>
        <v>2004.75</v>
      </c>
      <c r="B623">
        <f t="shared" si="672"/>
        <v>-193</v>
      </c>
      <c r="C623">
        <f t="shared" si="673"/>
        <v>-262.539805973336</v>
      </c>
      <c r="D623">
        <f t="shared" si="678"/>
        <v>-6.5</v>
      </c>
      <c r="E623">
        <f t="shared" si="679"/>
        <v>1.1842733809319839</v>
      </c>
      <c r="F623">
        <f t="shared" si="681"/>
        <v>-3.3333333333333335</v>
      </c>
      <c r="G623">
        <f t="shared" si="682"/>
        <v>1.3636170775865444</v>
      </c>
      <c r="H623">
        <f t="shared" ref="H623:I623" si="725">+AVERAGE(F621:F625)</f>
        <v>-0.96666666666666656</v>
      </c>
      <c r="I623">
        <f t="shared" si="725"/>
        <v>0.40462562554664461</v>
      </c>
      <c r="J623">
        <f t="shared" si="675"/>
        <v>2004.75</v>
      </c>
      <c r="K623">
        <f t="shared" si="676"/>
        <v>-193</v>
      </c>
      <c r="L623">
        <f t="shared" si="677"/>
        <v>-262.539805973336</v>
      </c>
      <c r="M623" s="5">
        <v>1931.75</v>
      </c>
      <c r="N623" s="5">
        <v>-105</v>
      </c>
      <c r="O623" s="5">
        <v>-234.69209329398899</v>
      </c>
      <c r="Q623">
        <f t="shared" si="684"/>
        <v>4.6969504109198779</v>
      </c>
    </row>
    <row r="624" spans="1:17" x14ac:dyDescent="0.25">
      <c r="A624">
        <f t="shared" si="671"/>
        <v>2004.8333333333301</v>
      </c>
      <c r="B624">
        <f t="shared" si="672"/>
        <v>-178</v>
      </c>
      <c r="C624">
        <f t="shared" si="673"/>
        <v>-267.48479509317798</v>
      </c>
      <c r="D624">
        <f t="shared" si="678"/>
        <v>-5</v>
      </c>
      <c r="E624">
        <f t="shared" si="679"/>
        <v>-1.2568747567924561</v>
      </c>
      <c r="F624">
        <f t="shared" si="681"/>
        <v>-5.333333333333333</v>
      </c>
      <c r="G624">
        <f t="shared" si="682"/>
        <v>1.6475764265866624E-2</v>
      </c>
      <c r="H624">
        <f t="shared" ref="H624:I624" si="726">+AVERAGE(F622:F626)</f>
        <v>-1.6666666666666667</v>
      </c>
      <c r="I624">
        <f t="shared" si="726"/>
        <v>-0.33537898348392142</v>
      </c>
      <c r="J624">
        <f t="shared" si="675"/>
        <v>2004.8333333333301</v>
      </c>
      <c r="K624">
        <f t="shared" si="676"/>
        <v>-178</v>
      </c>
      <c r="L624">
        <f t="shared" si="677"/>
        <v>-267.48479509317798</v>
      </c>
      <c r="M624" s="5">
        <v>1931.8333333333301</v>
      </c>
      <c r="N624" s="5">
        <v>-105</v>
      </c>
      <c r="O624" s="5">
        <v>-231.092065241451</v>
      </c>
      <c r="Q624">
        <f t="shared" si="684"/>
        <v>5.3498090975991994</v>
      </c>
    </row>
    <row r="625" spans="1:17" x14ac:dyDescent="0.25">
      <c r="A625">
        <f t="shared" si="671"/>
        <v>2004.9166666666599</v>
      </c>
      <c r="B625">
        <f t="shared" si="672"/>
        <v>-153</v>
      </c>
      <c r="C625">
        <f t="shared" si="673"/>
        <v>-269.91603469943499</v>
      </c>
      <c r="D625">
        <f t="shared" si="678"/>
        <v>-4.5</v>
      </c>
      <c r="E625">
        <f t="shared" si="679"/>
        <v>0.13438549185747206</v>
      </c>
      <c r="F625">
        <f t="shared" si="681"/>
        <v>2.5</v>
      </c>
      <c r="G625">
        <f t="shared" si="682"/>
        <v>-1.491669565671206</v>
      </c>
      <c r="H625">
        <f t="shared" ref="H625:I625" si="727">+AVERAGE(F623:F627)</f>
        <v>-3.3333333333333215E-2</v>
      </c>
      <c r="I625">
        <f t="shared" si="727"/>
        <v>-1.936570210987258</v>
      </c>
      <c r="J625">
        <f t="shared" si="675"/>
        <v>2004.9166666666599</v>
      </c>
      <c r="K625">
        <f t="shared" si="676"/>
        <v>-153</v>
      </c>
      <c r="L625">
        <f t="shared" si="677"/>
        <v>-269.91603469943499</v>
      </c>
      <c r="M625" s="5">
        <v>1931.9166666666599</v>
      </c>
      <c r="N625" s="5">
        <v>-105</v>
      </c>
      <c r="O625" s="5">
        <v>-203.27284731538199</v>
      </c>
      <c r="Q625">
        <f t="shared" si="684"/>
        <v>3.9916695656712058</v>
      </c>
    </row>
    <row r="626" spans="1:17" x14ac:dyDescent="0.25">
      <c r="A626">
        <f t="shared" si="671"/>
        <v>2005</v>
      </c>
      <c r="B626">
        <f t="shared" si="672"/>
        <v>-119</v>
      </c>
      <c r="C626">
        <f t="shared" si="673"/>
        <v>-272.616045289407</v>
      </c>
      <c r="D626">
        <f t="shared" si="678"/>
        <v>17</v>
      </c>
      <c r="E626">
        <f t="shared" si="679"/>
        <v>-4.4712716063320386</v>
      </c>
      <c r="F626">
        <f t="shared" si="681"/>
        <v>0.33333333333333331</v>
      </c>
      <c r="G626">
        <f t="shared" si="682"/>
        <v>-3.0804075355052194</v>
      </c>
      <c r="H626">
        <f t="shared" ref="H626:I626" si="728">+AVERAGE(F624:F628)</f>
        <v>-5</v>
      </c>
      <c r="I626">
        <f t="shared" si="728"/>
        <v>-7.5476427649422089</v>
      </c>
      <c r="J626">
        <f t="shared" si="675"/>
        <v>2005</v>
      </c>
      <c r="K626">
        <f t="shared" si="676"/>
        <v>-119</v>
      </c>
      <c r="L626">
        <f t="shared" si="677"/>
        <v>-272.616045289407</v>
      </c>
      <c r="M626" s="5">
        <v>1932</v>
      </c>
      <c r="N626" s="5">
        <v>-105</v>
      </c>
      <c r="O626" s="5">
        <v>-172.124856863697</v>
      </c>
      <c r="Q626">
        <f t="shared" si="684"/>
        <v>3.4137408688385529</v>
      </c>
    </row>
    <row r="627" spans="1:17" x14ac:dyDescent="0.25">
      <c r="A627">
        <f t="shared" si="671"/>
        <v>2005.0833333333301</v>
      </c>
      <c r="B627">
        <f t="shared" si="672"/>
        <v>-119</v>
      </c>
      <c r="C627">
        <f t="shared" si="673"/>
        <v>-266.37351266671499</v>
      </c>
      <c r="D627">
        <f t="shared" si="678"/>
        <v>-11.5</v>
      </c>
      <c r="E627">
        <f t="shared" si="679"/>
        <v>-7.2146421436700052</v>
      </c>
      <c r="F627">
        <f t="shared" si="681"/>
        <v>5.666666666666667</v>
      </c>
      <c r="G627">
        <f t="shared" si="682"/>
        <v>-6.4908667956122761</v>
      </c>
      <c r="H627">
        <f t="shared" ref="H627:I627" si="729">+AVERAGE(F625:F629)</f>
        <v>-6.1</v>
      </c>
      <c r="I627">
        <f t="shared" si="729"/>
        <v>-12.024731868374701</v>
      </c>
      <c r="J627">
        <f t="shared" si="675"/>
        <v>2005.0833333333301</v>
      </c>
      <c r="K627">
        <f t="shared" si="676"/>
        <v>-119</v>
      </c>
      <c r="L627">
        <f t="shared" si="677"/>
        <v>-266.37351266671499</v>
      </c>
      <c r="M627" s="5">
        <v>1932.0833333333301</v>
      </c>
      <c r="N627" s="5">
        <v>-105</v>
      </c>
      <c r="O627" s="5">
        <v>-134.35630106079401</v>
      </c>
      <c r="Q627">
        <f t="shared" si="684"/>
        <v>12.157533462278943</v>
      </c>
    </row>
    <row r="628" spans="1:17" x14ac:dyDescent="0.25">
      <c r="A628">
        <f t="shared" si="671"/>
        <v>2005.1666666666599</v>
      </c>
      <c r="B628">
        <f t="shared" si="672"/>
        <v>-96</v>
      </c>
      <c r="C628">
        <f t="shared" si="673"/>
        <v>-245.70169575668299</v>
      </c>
      <c r="D628">
        <f t="shared" si="678"/>
        <v>11.5</v>
      </c>
      <c r="E628">
        <f t="shared" si="679"/>
        <v>-12.654836733543988</v>
      </c>
      <c r="F628">
        <f t="shared" si="681"/>
        <v>-28.166666666666668</v>
      </c>
      <c r="G628">
        <f t="shared" si="682"/>
        <v>-26.69174569218821</v>
      </c>
      <c r="H628">
        <f t="shared" ref="H628:I628" si="730">+AVERAGE(F626:F630)</f>
        <v>-7.2666666666666675</v>
      </c>
      <c r="I628">
        <f t="shared" si="730"/>
        <v>-11.364964163920112</v>
      </c>
      <c r="J628">
        <f t="shared" si="675"/>
        <v>2005.1666666666599</v>
      </c>
      <c r="K628">
        <f t="shared" si="676"/>
        <v>-96</v>
      </c>
      <c r="L628">
        <f t="shared" si="677"/>
        <v>-245.70169575668299</v>
      </c>
      <c r="M628" s="5">
        <v>1932.1666666666599</v>
      </c>
      <c r="N628" s="5">
        <v>-105</v>
      </c>
      <c r="O628" s="5">
        <v>-99.735397031922403</v>
      </c>
      <c r="Q628">
        <f t="shared" si="684"/>
        <v>1.4749209744784579</v>
      </c>
    </row>
    <row r="629" spans="1:17" x14ac:dyDescent="0.25">
      <c r="A629">
        <f t="shared" si="671"/>
        <v>2005.25</v>
      </c>
      <c r="B629">
        <f t="shared" si="672"/>
        <v>-96</v>
      </c>
      <c r="C629">
        <f t="shared" si="673"/>
        <v>-199.720205379563</v>
      </c>
      <c r="D629">
        <f t="shared" si="678"/>
        <v>-84.5</v>
      </c>
      <c r="E629">
        <f t="shared" si="679"/>
        <v>-80.224567468491784</v>
      </c>
      <c r="F629">
        <f t="shared" si="681"/>
        <v>-10.833333333333334</v>
      </c>
      <c r="G629">
        <f t="shared" si="682"/>
        <v>-22.368969752896589</v>
      </c>
      <c r="H629">
        <f t="shared" ref="H629:I629" si="731">+AVERAGE(F627:F631)</f>
        <v>-2.4666666666666677</v>
      </c>
      <c r="I629">
        <f t="shared" si="731"/>
        <v>-5.3456121922830784</v>
      </c>
      <c r="J629">
        <f t="shared" si="675"/>
        <v>2005.25</v>
      </c>
      <c r="K629">
        <f t="shared" si="676"/>
        <v>-96</v>
      </c>
      <c r="L629">
        <f t="shared" si="677"/>
        <v>-199.720205379563</v>
      </c>
      <c r="M629" s="5">
        <v>1932.25</v>
      </c>
      <c r="N629" s="5">
        <v>-105</v>
      </c>
      <c r="O629" s="5">
        <v>-80.671654875452802</v>
      </c>
      <c r="Q629">
        <f t="shared" si="684"/>
        <v>11.535636419563255</v>
      </c>
    </row>
    <row r="630" spans="1:17" x14ac:dyDescent="0.25">
      <c r="A630">
        <f t="shared" si="671"/>
        <v>2005.3333333333301</v>
      </c>
      <c r="B630">
        <f t="shared" si="672"/>
        <v>73</v>
      </c>
      <c r="C630">
        <f t="shared" si="673"/>
        <v>6.7104199345405799</v>
      </c>
      <c r="D630">
        <f t="shared" si="678"/>
        <v>40.5</v>
      </c>
      <c r="E630">
        <f t="shared" si="679"/>
        <v>8.9957676286735744</v>
      </c>
      <c r="F630">
        <f t="shared" si="681"/>
        <v>-3.3333333333333335</v>
      </c>
      <c r="G630">
        <f t="shared" si="682"/>
        <v>1.8071689566017388</v>
      </c>
      <c r="H630">
        <f t="shared" ref="H630:I630" si="732">+AVERAGE(F628:F632)</f>
        <v>-0.90000000000000069</v>
      </c>
      <c r="I630">
        <f t="shared" si="732"/>
        <v>1.0840263941386148</v>
      </c>
      <c r="J630">
        <f t="shared" si="675"/>
        <v>2005.3333333333301</v>
      </c>
      <c r="K630">
        <f t="shared" si="676"/>
        <v>73</v>
      </c>
      <c r="L630">
        <f t="shared" si="677"/>
        <v>6.7104199345405799</v>
      </c>
      <c r="M630" s="5">
        <v>1932.3333333333301</v>
      </c>
      <c r="N630" s="5">
        <v>-105</v>
      </c>
      <c r="O630" s="5">
        <v>15.8803916329695</v>
      </c>
      <c r="Q630">
        <f t="shared" si="684"/>
        <v>5.1405022899350721</v>
      </c>
    </row>
    <row r="631" spans="1:17" x14ac:dyDescent="0.25">
      <c r="A631">
        <f t="shared" si="671"/>
        <v>2005.4166666666599</v>
      </c>
      <c r="B631">
        <f t="shared" si="672"/>
        <v>161</v>
      </c>
      <c r="C631">
        <f t="shared" si="673"/>
        <v>195.14950999129701</v>
      </c>
      <c r="D631">
        <f t="shared" si="678"/>
        <v>34</v>
      </c>
      <c r="E631">
        <f t="shared" si="679"/>
        <v>78.005683427074729</v>
      </c>
      <c r="F631">
        <f t="shared" si="681"/>
        <v>24.333333333333332</v>
      </c>
      <c r="G631">
        <f t="shared" si="682"/>
        <v>27.016352322679946</v>
      </c>
      <c r="H631">
        <f t="shared" ref="H631:I631" si="733">+AVERAGE(F629:F633)</f>
        <v>5.333333333333333</v>
      </c>
      <c r="I631">
        <f t="shared" si="733"/>
        <v>7.2388954236487084</v>
      </c>
      <c r="J631">
        <f t="shared" si="675"/>
        <v>2005.4166666666599</v>
      </c>
      <c r="K631">
        <f t="shared" si="676"/>
        <v>161</v>
      </c>
      <c r="L631">
        <f t="shared" si="677"/>
        <v>195.14950999129701</v>
      </c>
      <c r="M631" s="5">
        <v>1932.4166666666599</v>
      </c>
      <c r="N631" s="5">
        <v>-105</v>
      </c>
      <c r="O631" s="5">
        <v>103.039506020755</v>
      </c>
      <c r="Q631">
        <f t="shared" si="684"/>
        <v>2.6830189893466141</v>
      </c>
    </row>
    <row r="632" spans="1:17" x14ac:dyDescent="0.25">
      <c r="A632">
        <f t="shared" si="671"/>
        <v>2005.5</v>
      </c>
      <c r="B632">
        <f t="shared" si="672"/>
        <v>181</v>
      </c>
      <c r="C632">
        <f t="shared" si="673"/>
        <v>227.57723319390399</v>
      </c>
      <c r="D632">
        <f t="shared" si="678"/>
        <v>-1.5</v>
      </c>
      <c r="E632">
        <f t="shared" si="679"/>
        <v>14.309870154301478</v>
      </c>
      <c r="F632">
        <f t="shared" si="681"/>
        <v>13.5</v>
      </c>
      <c r="G632">
        <f t="shared" si="682"/>
        <v>25.657326136496188</v>
      </c>
      <c r="H632">
        <f t="shared" ref="H632:I632" si="734">+AVERAGE(F630:F634)</f>
        <v>8.1999999999999993</v>
      </c>
      <c r="I632">
        <f t="shared" si="734"/>
        <v>11.465043384651706</v>
      </c>
      <c r="J632">
        <f t="shared" si="675"/>
        <v>2005.5</v>
      </c>
      <c r="K632">
        <f t="shared" si="676"/>
        <v>181</v>
      </c>
      <c r="L632">
        <f t="shared" si="677"/>
        <v>227.57723319390399</v>
      </c>
      <c r="M632" s="5">
        <v>1932.5</v>
      </c>
      <c r="N632" s="5">
        <v>-105</v>
      </c>
      <c r="O632" s="5">
        <v>113.959936964327</v>
      </c>
      <c r="Q632">
        <f t="shared" si="684"/>
        <v>12.157326136496188</v>
      </c>
    </row>
    <row r="633" spans="1:17" x14ac:dyDescent="0.25">
      <c r="A633">
        <f t="shared" si="671"/>
        <v>2005.5833333333301</v>
      </c>
      <c r="B633">
        <f t="shared" si="672"/>
        <v>204</v>
      </c>
      <c r="C633">
        <f t="shared" si="673"/>
        <v>231.38521608790799</v>
      </c>
      <c r="D633">
        <f t="shared" si="678"/>
        <v>8</v>
      </c>
      <c r="E633">
        <f t="shared" si="679"/>
        <v>3.8994194304844996</v>
      </c>
      <c r="F633">
        <f t="shared" si="681"/>
        <v>3</v>
      </c>
      <c r="G633">
        <f t="shared" si="682"/>
        <v>4.0825994553622573</v>
      </c>
      <c r="H633">
        <f t="shared" ref="H633:I633" si="735">+AVERAGE(F631:F635)</f>
        <v>8.966666666666665</v>
      </c>
      <c r="I633">
        <f t="shared" si="735"/>
        <v>10.925350820530399</v>
      </c>
      <c r="J633">
        <f t="shared" si="675"/>
        <v>2005.5833333333301</v>
      </c>
      <c r="K633">
        <f t="shared" si="676"/>
        <v>204</v>
      </c>
      <c r="L633">
        <f t="shared" si="677"/>
        <v>231.38521608790799</v>
      </c>
      <c r="M633" s="5">
        <v>1932.5833333333301</v>
      </c>
      <c r="N633" s="5">
        <v>-105</v>
      </c>
      <c r="O633" s="5">
        <v>122.562444673713</v>
      </c>
      <c r="Q633">
        <f t="shared" si="684"/>
        <v>1.0825994553622573</v>
      </c>
    </row>
    <row r="634" spans="1:17" x14ac:dyDescent="0.25">
      <c r="A634">
        <f t="shared" si="671"/>
        <v>2005.6666666666599</v>
      </c>
      <c r="B634">
        <f t="shared" si="672"/>
        <v>211</v>
      </c>
      <c r="C634">
        <f t="shared" si="673"/>
        <v>227.39436012094299</v>
      </c>
      <c r="D634">
        <f t="shared" si="678"/>
        <v>2.5</v>
      </c>
      <c r="E634">
        <f t="shared" si="679"/>
        <v>-2.8995416271775127</v>
      </c>
      <c r="F634">
        <f t="shared" si="681"/>
        <v>3.5</v>
      </c>
      <c r="G634">
        <f t="shared" si="682"/>
        <v>-1.2382299478816019</v>
      </c>
      <c r="H634">
        <f t="shared" ref="H634:I634" si="736">+AVERAGE(F632:F636)</f>
        <v>4.1666666666666661</v>
      </c>
      <c r="I634">
        <f t="shared" si="736"/>
        <v>6.0124089928519044</v>
      </c>
      <c r="J634">
        <f t="shared" si="675"/>
        <v>2005.6666666666599</v>
      </c>
      <c r="K634">
        <f t="shared" si="676"/>
        <v>211</v>
      </c>
      <c r="L634">
        <f t="shared" si="677"/>
        <v>227.39436012094299</v>
      </c>
      <c r="M634" s="5">
        <v>1932.6666666666599</v>
      </c>
      <c r="N634" s="5">
        <v>-105</v>
      </c>
      <c r="O634" s="5">
        <v>145.66900697712299</v>
      </c>
      <c r="Q634">
        <f t="shared" si="684"/>
        <v>4.7382299478816021</v>
      </c>
    </row>
    <row r="635" spans="1:17" x14ac:dyDescent="0.25">
      <c r="A635">
        <f t="shared" si="671"/>
        <v>2005.75</v>
      </c>
      <c r="B635">
        <f t="shared" si="672"/>
        <v>213</v>
      </c>
      <c r="C635">
        <f t="shared" si="673"/>
        <v>229.20258740833299</v>
      </c>
      <c r="D635">
        <f t="shared" si="678"/>
        <v>0</v>
      </c>
      <c r="E635">
        <f t="shared" si="679"/>
        <v>-5.6432401078629937</v>
      </c>
      <c r="F635">
        <f t="shared" si="681"/>
        <v>0.5</v>
      </c>
      <c r="G635">
        <f t="shared" si="682"/>
        <v>-0.89129386400479693</v>
      </c>
      <c r="H635">
        <f t="shared" ref="H635:I635" si="737">+AVERAGE(F633:F637)</f>
        <v>2.7333333333333334</v>
      </c>
      <c r="I635">
        <f t="shared" si="737"/>
        <v>1.9589578462819737</v>
      </c>
      <c r="J635">
        <f t="shared" si="675"/>
        <v>2005.75</v>
      </c>
      <c r="K635">
        <f t="shared" si="676"/>
        <v>213</v>
      </c>
      <c r="L635">
        <f t="shared" si="677"/>
        <v>229.20258740833299</v>
      </c>
      <c r="M635" s="5">
        <v>1932.75</v>
      </c>
      <c r="N635" s="5">
        <v>-105</v>
      </c>
      <c r="O635" s="5">
        <v>174.114313804316</v>
      </c>
      <c r="Q635">
        <f t="shared" si="684"/>
        <v>1.3912938640047969</v>
      </c>
    </row>
    <row r="636" spans="1:17" x14ac:dyDescent="0.25">
      <c r="A636">
        <f t="shared" si="671"/>
        <v>2005.8333333333301</v>
      </c>
      <c r="B636">
        <f t="shared" si="672"/>
        <v>215</v>
      </c>
      <c r="C636">
        <f t="shared" si="673"/>
        <v>242.297294911449</v>
      </c>
      <c r="D636">
        <f t="shared" si="678"/>
        <v>-1</v>
      </c>
      <c r="E636">
        <f t="shared" si="679"/>
        <v>5.2004297450225181</v>
      </c>
      <c r="F636">
        <f t="shared" si="681"/>
        <v>0.33333333333333331</v>
      </c>
      <c r="G636">
        <f t="shared" si="682"/>
        <v>2.4516431842874757</v>
      </c>
      <c r="H636">
        <f t="shared" ref="H636:I636" si="738">+AVERAGE(F634:F638)</f>
        <v>8.7666666666666657</v>
      </c>
      <c r="I636">
        <f t="shared" si="738"/>
        <v>2.2929392040937353</v>
      </c>
      <c r="J636">
        <f t="shared" si="675"/>
        <v>2005.8333333333301</v>
      </c>
      <c r="K636">
        <f t="shared" si="676"/>
        <v>215</v>
      </c>
      <c r="L636">
        <f t="shared" si="677"/>
        <v>242.297294911449</v>
      </c>
      <c r="M636" s="5">
        <v>1932.8333333333301</v>
      </c>
      <c r="N636" s="5">
        <v>-105</v>
      </c>
      <c r="O636" s="5">
        <v>197.772588438041</v>
      </c>
      <c r="Q636">
        <f t="shared" si="684"/>
        <v>2.1183098509541423</v>
      </c>
    </row>
    <row r="637" spans="1:17" x14ac:dyDescent="0.25">
      <c r="A637">
        <f t="shared" si="671"/>
        <v>2005.9166666666599</v>
      </c>
      <c r="B637">
        <f t="shared" si="672"/>
        <v>219</v>
      </c>
      <c r="C637">
        <f t="shared" si="673"/>
        <v>244.99114292452001</v>
      </c>
      <c r="D637">
        <f t="shared" si="678"/>
        <v>2</v>
      </c>
      <c r="E637">
        <f t="shared" si="679"/>
        <v>9.6364723039185094</v>
      </c>
      <c r="F637">
        <f t="shared" si="681"/>
        <v>6.333333333333333</v>
      </c>
      <c r="G637">
        <f t="shared" si="682"/>
        <v>5.3900704036465337</v>
      </c>
      <c r="H637">
        <f t="shared" ref="H637:I637" si="739">+AVERAGE(F635:F639)</f>
        <v>13.933333333333332</v>
      </c>
      <c r="I637">
        <f t="shared" si="739"/>
        <v>3.8334798895019988</v>
      </c>
      <c r="J637">
        <f t="shared" si="675"/>
        <v>2005.9166666666599</v>
      </c>
      <c r="K637">
        <f t="shared" si="676"/>
        <v>219</v>
      </c>
      <c r="L637">
        <f t="shared" si="677"/>
        <v>244.99114292452001</v>
      </c>
      <c r="M637" s="5">
        <v>1932.9166666666599</v>
      </c>
      <c r="N637" s="5">
        <v>-105</v>
      </c>
      <c r="O637" s="5">
        <v>186.83147059847499</v>
      </c>
      <c r="Q637">
        <f t="shared" si="684"/>
        <v>0.94326292968679937</v>
      </c>
    </row>
    <row r="638" spans="1:17" x14ac:dyDescent="0.25">
      <c r="A638">
        <f t="shared" si="671"/>
        <v>2006</v>
      </c>
      <c r="B638">
        <f t="shared" si="672"/>
        <v>219</v>
      </c>
      <c r="C638">
        <f t="shared" si="673"/>
        <v>228.41204632975399</v>
      </c>
      <c r="D638">
        <f t="shared" si="678"/>
        <v>18</v>
      </c>
      <c r="E638">
        <f t="shared" si="679"/>
        <v>5.375861964733474</v>
      </c>
      <c r="F638">
        <f t="shared" si="681"/>
        <v>33.166666666666664</v>
      </c>
      <c r="G638">
        <f t="shared" si="682"/>
        <v>5.7525062444210642</v>
      </c>
      <c r="H638">
        <f t="shared" ref="H638:I638" si="740">+AVERAGE(F636:F640)</f>
        <v>12.7</v>
      </c>
      <c r="I638">
        <f t="shared" si="740"/>
        <v>5.6879393793514481</v>
      </c>
      <c r="J638">
        <f t="shared" si="675"/>
        <v>2006</v>
      </c>
      <c r="K638">
        <f t="shared" si="676"/>
        <v>219</v>
      </c>
      <c r="L638">
        <f t="shared" si="677"/>
        <v>228.41204632975399</v>
      </c>
      <c r="M638" s="5">
        <v>1933</v>
      </c>
      <c r="N638" s="5">
        <v>-105</v>
      </c>
      <c r="O638" s="5">
        <v>128.387027966967</v>
      </c>
      <c r="Q638">
        <f t="shared" si="684"/>
        <v>27.414160422245601</v>
      </c>
    </row>
    <row r="639" spans="1:17" x14ac:dyDescent="0.25">
      <c r="A639">
        <f t="shared" si="671"/>
        <v>2006.0833333333301</v>
      </c>
      <c r="B639">
        <f t="shared" si="672"/>
        <v>183</v>
      </c>
      <c r="C639">
        <f t="shared" si="673"/>
        <v>201.081225805521</v>
      </c>
      <c r="D639">
        <f t="shared" si="678"/>
        <v>79.5</v>
      </c>
      <c r="E639">
        <f t="shared" si="679"/>
        <v>6.5595641479270057</v>
      </c>
      <c r="F639">
        <f t="shared" si="681"/>
        <v>29.333333333333332</v>
      </c>
      <c r="G639">
        <f t="shared" si="682"/>
        <v>6.464473479159718</v>
      </c>
      <c r="H639">
        <f t="shared" ref="H639:I639" si="741">+AVERAGE(F637:F641)</f>
        <v>6.833333333333333</v>
      </c>
      <c r="I639">
        <f t="shared" si="741"/>
        <v>7.7485937838100281</v>
      </c>
      <c r="J639">
        <f t="shared" si="675"/>
        <v>2006.0833333333301</v>
      </c>
      <c r="K639">
        <f t="shared" si="676"/>
        <v>183</v>
      </c>
      <c r="L639">
        <f t="shared" si="677"/>
        <v>201.081225805521</v>
      </c>
      <c r="M639" s="5">
        <v>1933.0833333333301</v>
      </c>
      <c r="N639" s="5">
        <v>-105</v>
      </c>
      <c r="O639" s="5">
        <v>52.131365877101302</v>
      </c>
      <c r="Q639">
        <f t="shared" si="684"/>
        <v>22.868859854173614</v>
      </c>
    </row>
    <row r="640" spans="1:17" x14ac:dyDescent="0.25">
      <c r="A640">
        <f t="shared" si="671"/>
        <v>2006.1666666666599</v>
      </c>
      <c r="B640">
        <f t="shared" si="672"/>
        <v>-12</v>
      </c>
      <c r="C640">
        <f t="shared" si="673"/>
        <v>160.631276985434</v>
      </c>
      <c r="D640">
        <f t="shared" si="678"/>
        <v>-9.5</v>
      </c>
      <c r="E640">
        <f t="shared" si="679"/>
        <v>12.306349434188462</v>
      </c>
      <c r="F640">
        <f t="shared" si="681"/>
        <v>-5.666666666666667</v>
      </c>
      <c r="G640">
        <f t="shared" si="682"/>
        <v>8.3810035852424516</v>
      </c>
      <c r="H640">
        <f t="shared" ref="H640:I640" si="742">+AVERAGE(F638:F642)</f>
        <v>0.26666666666666716</v>
      </c>
      <c r="I640">
        <f t="shared" si="742"/>
        <v>7.0562753270488283</v>
      </c>
      <c r="J640">
        <f t="shared" si="675"/>
        <v>2006.1666666666599</v>
      </c>
      <c r="K640">
        <f t="shared" si="676"/>
        <v>-12</v>
      </c>
      <c r="L640">
        <f t="shared" si="677"/>
        <v>160.631276985434</v>
      </c>
      <c r="M640" s="5">
        <v>1933.1666666666599</v>
      </c>
      <c r="N640" s="5">
        <v>-105</v>
      </c>
      <c r="O640" s="5">
        <v>-44.244539171734402</v>
      </c>
      <c r="Q640">
        <f t="shared" si="684"/>
        <v>14.047670251909118</v>
      </c>
    </row>
    <row r="641" spans="1:17" x14ac:dyDescent="0.25">
      <c r="A641">
        <f t="shared" si="671"/>
        <v>2006.25</v>
      </c>
      <c r="B641">
        <f t="shared" si="672"/>
        <v>-188</v>
      </c>
      <c r="C641">
        <f t="shared" si="673"/>
        <v>95.568629296970101</v>
      </c>
      <c r="D641">
        <f t="shared" si="678"/>
        <v>-87</v>
      </c>
      <c r="E641">
        <f t="shared" si="679"/>
        <v>12.562849862543729</v>
      </c>
      <c r="F641">
        <f t="shared" si="681"/>
        <v>-29</v>
      </c>
      <c r="G641">
        <f t="shared" si="682"/>
        <v>12.754915206580369</v>
      </c>
      <c r="H641">
        <f t="shared" ref="H641:I641" si="743">+AVERAGE(F639:F643)</f>
        <v>-6.4333333333333345</v>
      </c>
      <c r="I641">
        <f t="shared" si="743"/>
        <v>4.3946219972691143</v>
      </c>
      <c r="J641">
        <f t="shared" si="675"/>
        <v>2006.25</v>
      </c>
      <c r="K641">
        <f t="shared" si="676"/>
        <v>-188</v>
      </c>
      <c r="L641">
        <f t="shared" si="677"/>
        <v>95.568629296970101</v>
      </c>
      <c r="M641" s="5">
        <v>1933.25</v>
      </c>
      <c r="N641" s="5">
        <v>-105</v>
      </c>
      <c r="O641" s="5">
        <v>-117.77611150044</v>
      </c>
      <c r="Q641">
        <f t="shared" si="684"/>
        <v>41.754915206580371</v>
      </c>
    </row>
    <row r="642" spans="1:17" x14ac:dyDescent="0.25">
      <c r="A642">
        <f t="shared" si="671"/>
        <v>2006.3333333333301</v>
      </c>
      <c r="B642">
        <f t="shared" si="672"/>
        <v>-190</v>
      </c>
      <c r="C642">
        <f t="shared" si="673"/>
        <v>5.38028188341874</v>
      </c>
      <c r="D642">
        <f t="shared" si="678"/>
        <v>9.5</v>
      </c>
      <c r="E642">
        <f t="shared" si="679"/>
        <v>22.961732727944188</v>
      </c>
      <c r="F642">
        <f t="shared" si="681"/>
        <v>-26.5</v>
      </c>
      <c r="G642">
        <f t="shared" si="682"/>
        <v>1.9284781198405445</v>
      </c>
      <c r="H642">
        <f t="shared" ref="H642:I642" si="744">+AVERAGE(F640:F644)</f>
        <v>-13.466666666666665</v>
      </c>
      <c r="I642">
        <f t="shared" si="744"/>
        <v>-2.6462418382607565E-2</v>
      </c>
      <c r="J642">
        <f t="shared" si="675"/>
        <v>2006.3333333333301</v>
      </c>
      <c r="K642">
        <f t="shared" si="676"/>
        <v>-190</v>
      </c>
      <c r="L642">
        <f t="shared" si="677"/>
        <v>5.38028188341874</v>
      </c>
      <c r="M642" s="5">
        <v>1933.3333333333301</v>
      </c>
      <c r="N642" s="5">
        <v>-105</v>
      </c>
      <c r="O642" s="5">
        <v>-148.12590711561199</v>
      </c>
      <c r="Q642">
        <f t="shared" si="684"/>
        <v>28.428478119840545</v>
      </c>
    </row>
    <row r="643" spans="1:17" x14ac:dyDescent="0.25">
      <c r="A643">
        <f t="shared" si="671"/>
        <v>2006.4166666666599</v>
      </c>
      <c r="B643">
        <f t="shared" si="672"/>
        <v>-211</v>
      </c>
      <c r="C643">
        <f t="shared" si="673"/>
        <v>-130.731530986021</v>
      </c>
      <c r="D643">
        <f t="shared" si="678"/>
        <v>-2</v>
      </c>
      <c r="E643">
        <f t="shared" si="679"/>
        <v>-28.292789641085875</v>
      </c>
      <c r="F643">
        <f t="shared" si="681"/>
        <v>-0.33333333333333331</v>
      </c>
      <c r="G643">
        <f t="shared" si="682"/>
        <v>-7.555760404477514</v>
      </c>
      <c r="H643">
        <f t="shared" ref="H643:I643" si="745">+AVERAGE(F641:F645)</f>
        <v>-13.433333333333334</v>
      </c>
      <c r="I643">
        <f t="shared" si="745"/>
        <v>-3.5830079594560842</v>
      </c>
      <c r="J643">
        <f t="shared" si="675"/>
        <v>2006.4166666666599</v>
      </c>
      <c r="K643">
        <f t="shared" si="676"/>
        <v>-211</v>
      </c>
      <c r="L643">
        <f t="shared" si="677"/>
        <v>-130.731530986021</v>
      </c>
      <c r="M643" s="5">
        <v>1933.4166666666599</v>
      </c>
      <c r="N643" s="5">
        <v>-105</v>
      </c>
      <c r="O643" s="5">
        <v>-169.470456222037</v>
      </c>
      <c r="Q643">
        <f t="shared" si="684"/>
        <v>7.2224270711441809</v>
      </c>
    </row>
    <row r="644" spans="1:17" x14ac:dyDescent="0.25">
      <c r="A644">
        <f t="shared" ref="A644:A707" si="746">+J644</f>
        <v>2006.5</v>
      </c>
      <c r="B644">
        <f t="shared" ref="B644:B707" si="747">+K644</f>
        <v>-228</v>
      </c>
      <c r="C644">
        <f t="shared" ref="C644:C707" si="748">+L644</f>
        <v>-210.25776457328899</v>
      </c>
      <c r="D644">
        <f t="shared" si="678"/>
        <v>-8.5</v>
      </c>
      <c r="E644">
        <f t="shared" si="679"/>
        <v>-23.003044603648988</v>
      </c>
      <c r="F644">
        <f t="shared" si="681"/>
        <v>-5.833333333333333</v>
      </c>
      <c r="G644">
        <f t="shared" si="682"/>
        <v>-15.640948599098889</v>
      </c>
      <c r="H644">
        <f t="shared" ref="H644:I644" si="749">+AVERAGE(F642:F646)</f>
        <v>-7.6333333333333329</v>
      </c>
      <c r="I644">
        <f t="shared" si="749"/>
        <v>-6.9865585632274643</v>
      </c>
      <c r="J644">
        <f t="shared" ref="J644:J707" si="750">+$M1520</f>
        <v>2006.5</v>
      </c>
      <c r="K644">
        <f t="shared" ref="K644:K707" si="751">+$N1520</f>
        <v>-228</v>
      </c>
      <c r="L644">
        <f t="shared" ref="L644:L707" si="752">+$O1520</f>
        <v>-210.25776457328899</v>
      </c>
      <c r="M644" s="5">
        <v>1933.5</v>
      </c>
      <c r="N644" s="5">
        <v>-105</v>
      </c>
      <c r="O644" s="5">
        <v>-173.07917037938401</v>
      </c>
      <c r="Q644">
        <f t="shared" si="684"/>
        <v>9.8076152657655555</v>
      </c>
    </row>
    <row r="645" spans="1:17" x14ac:dyDescent="0.25">
      <c r="A645">
        <f t="shared" si="746"/>
        <v>2006.5833333333301</v>
      </c>
      <c r="B645">
        <f t="shared" si="747"/>
        <v>-228</v>
      </c>
      <c r="C645">
        <f t="shared" si="748"/>
        <v>-243.77790895325899</v>
      </c>
      <c r="D645">
        <f t="shared" ref="D645:D708" si="753">+B645-1/2*(B644+B646)</f>
        <v>-7</v>
      </c>
      <c r="E645">
        <f t="shared" ref="E645:E708" si="754">+C645-1/2*(C644+C646)</f>
        <v>-7.3577230018859723</v>
      </c>
      <c r="F645">
        <f t="shared" si="681"/>
        <v>-5.5</v>
      </c>
      <c r="G645">
        <f t="shared" si="682"/>
        <v>-9.4017241201249302</v>
      </c>
      <c r="H645">
        <f t="shared" ref="H645:I645" si="755">+AVERAGE(F643:F647)</f>
        <v>-2</v>
      </c>
      <c r="I645">
        <f t="shared" si="755"/>
        <v>-7.7719480858861356</v>
      </c>
      <c r="J645">
        <f t="shared" si="750"/>
        <v>2006.5833333333301</v>
      </c>
      <c r="K645">
        <f t="shared" si="751"/>
        <v>-228</v>
      </c>
      <c r="L645">
        <f t="shared" si="752"/>
        <v>-243.77790895325899</v>
      </c>
      <c r="M645" s="5">
        <v>1933.5833333333301</v>
      </c>
      <c r="N645" s="5">
        <v>-105</v>
      </c>
      <c r="O645" s="5">
        <v>-151.87584248272401</v>
      </c>
      <c r="Q645">
        <f t="shared" si="684"/>
        <v>3.9017241201249302</v>
      </c>
    </row>
    <row r="646" spans="1:17" x14ac:dyDescent="0.25">
      <c r="A646">
        <f t="shared" si="746"/>
        <v>2006.6666666666599</v>
      </c>
      <c r="B646">
        <f t="shared" si="747"/>
        <v>-214</v>
      </c>
      <c r="C646">
        <f t="shared" si="748"/>
        <v>-262.58260732945701</v>
      </c>
      <c r="D646">
        <f t="shared" si="753"/>
        <v>-1</v>
      </c>
      <c r="E646">
        <f t="shared" si="754"/>
        <v>-4.8956978449335224</v>
      </c>
      <c r="F646">
        <f t="shared" ref="F646:F709" si="756">+AVERAGE(D645:D647)</f>
        <v>0</v>
      </c>
      <c r="G646">
        <f t="shared" ref="G646:G709" si="757">+$H$1*AVERAGE(E645:E647)+$F$1</f>
        <v>-4.2628378122765298</v>
      </c>
      <c r="H646">
        <f t="shared" ref="H646:I646" si="758">+AVERAGE(F644:F648)</f>
        <v>-1.9333333333333331</v>
      </c>
      <c r="I646">
        <f t="shared" si="758"/>
        <v>-6.4631666708500459</v>
      </c>
      <c r="J646">
        <f t="shared" si="750"/>
        <v>2006.6666666666599</v>
      </c>
      <c r="K646">
        <f t="shared" si="751"/>
        <v>-214</v>
      </c>
      <c r="L646">
        <f t="shared" si="752"/>
        <v>-262.58260732945701</v>
      </c>
      <c r="M646" s="5">
        <v>1933.6666666666599</v>
      </c>
      <c r="N646" s="5">
        <v>-105</v>
      </c>
      <c r="O646" s="5">
        <v>-152.08348051905801</v>
      </c>
      <c r="Q646">
        <f t="shared" ref="Q646:Q709" si="759">+ABS(F646-G646)</f>
        <v>4.2628378122765298</v>
      </c>
    </row>
    <row r="647" spans="1:17" x14ac:dyDescent="0.25">
      <c r="A647">
        <f t="shared" si="746"/>
        <v>2006.75</v>
      </c>
      <c r="B647">
        <f t="shared" si="747"/>
        <v>-198</v>
      </c>
      <c r="C647">
        <f t="shared" si="748"/>
        <v>-271.59591001578798</v>
      </c>
      <c r="D647">
        <f t="shared" si="753"/>
        <v>8</v>
      </c>
      <c r="E647">
        <f t="shared" si="754"/>
        <v>-3.732220949217492</v>
      </c>
      <c r="F647">
        <f t="shared" si="756"/>
        <v>1.6666666666666667</v>
      </c>
      <c r="G647">
        <f t="shared" si="757"/>
        <v>-1.9984694934528155</v>
      </c>
      <c r="H647">
        <f t="shared" ref="H647:I647" si="760">+AVERAGE(F645:F649)</f>
        <v>-1.4</v>
      </c>
      <c r="I647">
        <f t="shared" si="760"/>
        <v>-3.5217865984553911</v>
      </c>
      <c r="J647">
        <f t="shared" si="750"/>
        <v>2006.75</v>
      </c>
      <c r="K647">
        <f t="shared" si="751"/>
        <v>-198</v>
      </c>
      <c r="L647">
        <f t="shared" si="752"/>
        <v>-271.59591001578798</v>
      </c>
      <c r="M647" s="5">
        <v>1933.75</v>
      </c>
      <c r="N647" s="5">
        <v>-105</v>
      </c>
      <c r="O647" s="5">
        <v>-172.06209888648601</v>
      </c>
      <c r="Q647">
        <f t="shared" si="759"/>
        <v>3.6651361601194825</v>
      </c>
    </row>
    <row r="648" spans="1:17" x14ac:dyDescent="0.25">
      <c r="A648">
        <f t="shared" si="746"/>
        <v>2006.8333333333301</v>
      </c>
      <c r="B648">
        <f t="shared" si="747"/>
        <v>-198</v>
      </c>
      <c r="C648">
        <f t="shared" si="748"/>
        <v>-273.14477080368403</v>
      </c>
      <c r="D648">
        <f t="shared" si="753"/>
        <v>-2</v>
      </c>
      <c r="E648">
        <f t="shared" si="754"/>
        <v>1.1336581937029564</v>
      </c>
      <c r="F648">
        <f t="shared" si="756"/>
        <v>0</v>
      </c>
      <c r="G648">
        <f t="shared" si="757"/>
        <v>-1.0118533292970673</v>
      </c>
      <c r="H648">
        <f t="shared" ref="H648:I648" si="761">+AVERAGE(F646:F650)</f>
        <v>-0.19999999999999996</v>
      </c>
      <c r="I648">
        <f t="shared" si="761"/>
        <v>-1.8809671441995213</v>
      </c>
      <c r="J648">
        <f t="shared" si="750"/>
        <v>2006.8333333333301</v>
      </c>
      <c r="K648">
        <f t="shared" si="751"/>
        <v>-198</v>
      </c>
      <c r="L648">
        <f t="shared" si="752"/>
        <v>-273.14477080368403</v>
      </c>
      <c r="M648" s="5">
        <v>1933.8333333333301</v>
      </c>
      <c r="N648" s="5">
        <v>-105</v>
      </c>
      <c r="O648" s="5">
        <v>-192.554801591272</v>
      </c>
      <c r="Q648">
        <f t="shared" si="759"/>
        <v>1.0118533292970673</v>
      </c>
    </row>
    <row r="649" spans="1:17" x14ac:dyDescent="0.25">
      <c r="A649">
        <f t="shared" si="746"/>
        <v>2006.9166666666599</v>
      </c>
      <c r="B649">
        <f t="shared" si="747"/>
        <v>-194</v>
      </c>
      <c r="C649">
        <f t="shared" si="748"/>
        <v>-276.96094797898598</v>
      </c>
      <c r="D649">
        <f t="shared" si="753"/>
        <v>-6</v>
      </c>
      <c r="E649">
        <f t="shared" si="754"/>
        <v>-1.1958872293494665</v>
      </c>
      <c r="F649">
        <f t="shared" si="756"/>
        <v>-3.1666666666666665</v>
      </c>
      <c r="G649">
        <f t="shared" si="757"/>
        <v>-0.93404823712561069</v>
      </c>
      <c r="H649">
        <f t="shared" ref="H649:I649" si="762">+AVERAGE(F647:F651)</f>
        <v>-0.96666666666666656</v>
      </c>
      <c r="I649">
        <f t="shared" si="762"/>
        <v>-1.3983646616449612</v>
      </c>
      <c r="J649">
        <f t="shared" si="750"/>
        <v>2006.9166666666599</v>
      </c>
      <c r="K649">
        <f t="shared" si="751"/>
        <v>-194</v>
      </c>
      <c r="L649">
        <f t="shared" si="752"/>
        <v>-276.96094797898598</v>
      </c>
      <c r="M649" s="5">
        <v>1933.9166666666599</v>
      </c>
      <c r="N649" s="5">
        <v>-105</v>
      </c>
      <c r="O649" s="5">
        <v>-225.86654517827401</v>
      </c>
      <c r="Q649">
        <f t="shared" si="759"/>
        <v>2.2326184295410556</v>
      </c>
    </row>
    <row r="650" spans="1:17" x14ac:dyDescent="0.25">
      <c r="A650">
        <f t="shared" si="746"/>
        <v>2007</v>
      </c>
      <c r="B650">
        <f t="shared" si="747"/>
        <v>-178</v>
      </c>
      <c r="C650">
        <f t="shared" si="748"/>
        <v>-278.38535069558901</v>
      </c>
      <c r="D650">
        <f t="shared" si="753"/>
        <v>-1.5</v>
      </c>
      <c r="E650">
        <f t="shared" si="754"/>
        <v>-3.4404518535745297</v>
      </c>
      <c r="F650">
        <f t="shared" si="756"/>
        <v>0.5</v>
      </c>
      <c r="G650">
        <f t="shared" si="757"/>
        <v>-1.1976268488455843</v>
      </c>
      <c r="H650">
        <f t="shared" ref="H650:I650" si="763">+AVERAGE(F648:F652)</f>
        <v>-6.0333333333333332</v>
      </c>
      <c r="I650">
        <f t="shared" si="763"/>
        <v>-1.94689195021829</v>
      </c>
      <c r="J650">
        <f t="shared" si="750"/>
        <v>2007</v>
      </c>
      <c r="K650">
        <f t="shared" si="751"/>
        <v>-178</v>
      </c>
      <c r="L650">
        <f t="shared" si="752"/>
        <v>-278.38535069558901</v>
      </c>
      <c r="M650" s="5">
        <v>1934</v>
      </c>
      <c r="N650" s="5">
        <v>-105</v>
      </c>
      <c r="O650" s="5">
        <v>-250.77670304572101</v>
      </c>
      <c r="Q650">
        <f t="shared" si="759"/>
        <v>1.6976268488455843</v>
      </c>
    </row>
    <row r="651" spans="1:17" x14ac:dyDescent="0.25">
      <c r="A651">
        <f t="shared" si="746"/>
        <v>2007.0833333333301</v>
      </c>
      <c r="B651">
        <f t="shared" si="747"/>
        <v>-159</v>
      </c>
      <c r="C651">
        <f t="shared" si="748"/>
        <v>-272.92884970504298</v>
      </c>
      <c r="D651">
        <f t="shared" si="753"/>
        <v>9</v>
      </c>
      <c r="E651">
        <f t="shared" si="754"/>
        <v>0.14523839975305464</v>
      </c>
      <c r="F651">
        <f t="shared" si="756"/>
        <v>-3.8333333333333335</v>
      </c>
      <c r="G651">
        <f t="shared" si="757"/>
        <v>-1.8498253995037279</v>
      </c>
      <c r="H651">
        <f t="shared" ref="H651:I651" si="764">+AVERAGE(F649:F653)</f>
        <v>-9.533333333333335</v>
      </c>
      <c r="I651">
        <f t="shared" si="764"/>
        <v>-4.3926372627182122</v>
      </c>
      <c r="J651">
        <f t="shared" si="750"/>
        <v>2007.0833333333301</v>
      </c>
      <c r="K651">
        <f t="shared" si="751"/>
        <v>-159</v>
      </c>
      <c r="L651">
        <f t="shared" si="752"/>
        <v>-272.92884970504298</v>
      </c>
      <c r="M651" s="5">
        <v>1934.0833333333301</v>
      </c>
      <c r="N651" s="5">
        <v>-105</v>
      </c>
      <c r="O651" s="5">
        <v>-264.22502008775803</v>
      </c>
      <c r="Q651">
        <f t="shared" si="759"/>
        <v>1.9835079338296056</v>
      </c>
    </row>
    <row r="652" spans="1:17" x14ac:dyDescent="0.25">
      <c r="A652">
        <f t="shared" si="746"/>
        <v>2007.1666666666599</v>
      </c>
      <c r="B652">
        <f t="shared" si="747"/>
        <v>-158</v>
      </c>
      <c r="C652">
        <f t="shared" si="748"/>
        <v>-267.762825514003</v>
      </c>
      <c r="D652">
        <f t="shared" si="753"/>
        <v>-19</v>
      </c>
      <c r="E652">
        <f t="shared" si="754"/>
        <v>-3.6416317943175045</v>
      </c>
      <c r="F652">
        <f t="shared" si="756"/>
        <v>-23.666666666666668</v>
      </c>
      <c r="G652">
        <f t="shared" si="757"/>
        <v>-4.7411059363194603</v>
      </c>
      <c r="H652">
        <f t="shared" ref="H652:I652" si="765">+AVERAGE(F650:F654)</f>
        <v>-9.0666666666666664</v>
      </c>
      <c r="I652">
        <f t="shared" si="765"/>
        <v>-9.6188662086058905</v>
      </c>
      <c r="J652">
        <f t="shared" si="750"/>
        <v>2007.1666666666599</v>
      </c>
      <c r="K652">
        <f t="shared" si="751"/>
        <v>-158</v>
      </c>
      <c r="L652">
        <f t="shared" si="752"/>
        <v>-267.762825514003</v>
      </c>
      <c r="M652" s="5">
        <v>1934.1666666666599</v>
      </c>
      <c r="N652" s="5">
        <v>-105</v>
      </c>
      <c r="O652" s="5">
        <v>-274.32887838367498</v>
      </c>
      <c r="Q652">
        <f t="shared" si="759"/>
        <v>18.925560730347208</v>
      </c>
    </row>
    <row r="653" spans="1:17" x14ac:dyDescent="0.25">
      <c r="A653">
        <f t="shared" si="746"/>
        <v>2007.25</v>
      </c>
      <c r="B653">
        <f t="shared" si="747"/>
        <v>-119</v>
      </c>
      <c r="C653">
        <f t="shared" si="748"/>
        <v>-255.31353773432801</v>
      </c>
      <c r="D653">
        <f t="shared" si="753"/>
        <v>-61</v>
      </c>
      <c r="E653">
        <f t="shared" si="754"/>
        <v>-14.282753866633527</v>
      </c>
      <c r="F653">
        <f t="shared" si="756"/>
        <v>-17.5</v>
      </c>
      <c r="G653">
        <f t="shared" si="757"/>
        <v>-13.240579891796674</v>
      </c>
      <c r="H653">
        <f t="shared" ref="H653:I653" si="766">+AVERAGE(F651:F655)</f>
        <v>-4.3333333333333339</v>
      </c>
      <c r="I653">
        <f t="shared" si="766"/>
        <v>-9.940154452742906</v>
      </c>
      <c r="J653">
        <f t="shared" si="750"/>
        <v>2007.25</v>
      </c>
      <c r="K653">
        <f t="shared" si="751"/>
        <v>-119</v>
      </c>
      <c r="L653">
        <f t="shared" si="752"/>
        <v>-255.31353773432801</v>
      </c>
      <c r="M653" s="5">
        <v>1934.25</v>
      </c>
      <c r="N653" s="5">
        <v>-105</v>
      </c>
      <c r="O653" s="5">
        <v>-271.27800092445801</v>
      </c>
      <c r="Q653">
        <f t="shared" si="759"/>
        <v>4.2594201082033258</v>
      </c>
    </row>
    <row r="654" spans="1:17" x14ac:dyDescent="0.25">
      <c r="A654">
        <f t="shared" si="746"/>
        <v>2007.3333333333301</v>
      </c>
      <c r="B654">
        <f t="shared" si="747"/>
        <v>42</v>
      </c>
      <c r="C654">
        <f t="shared" si="748"/>
        <v>-214.29874222138599</v>
      </c>
      <c r="D654">
        <f t="shared" si="753"/>
        <v>27.5</v>
      </c>
      <c r="E654">
        <f t="shared" si="754"/>
        <v>-31.72778893328649</v>
      </c>
      <c r="F654">
        <f t="shared" si="756"/>
        <v>-0.83333333333333337</v>
      </c>
      <c r="G654">
        <f t="shared" si="757"/>
        <v>-27.065192966564002</v>
      </c>
      <c r="H654">
        <f t="shared" ref="H654:I654" si="767">+AVERAGE(F652:F656)</f>
        <v>-0.13333333333333428</v>
      </c>
      <c r="I654">
        <f t="shared" si="767"/>
        <v>-6.9217515168315202</v>
      </c>
      <c r="J654">
        <f t="shared" si="750"/>
        <v>2007.3333333333301</v>
      </c>
      <c r="K654">
        <f t="shared" si="751"/>
        <v>42</v>
      </c>
      <c r="L654">
        <f t="shared" si="752"/>
        <v>-214.29874222138599</v>
      </c>
      <c r="M654" s="5">
        <v>1934.3333333333301</v>
      </c>
      <c r="N654" s="5">
        <v>-105</v>
      </c>
      <c r="O654" s="5">
        <v>-243.43240452737001</v>
      </c>
      <c r="Q654">
        <f t="shared" si="759"/>
        <v>26.23185963323067</v>
      </c>
    </row>
    <row r="655" spans="1:17" x14ac:dyDescent="0.25">
      <c r="A655">
        <f t="shared" si="746"/>
        <v>2007.4166666666599</v>
      </c>
      <c r="B655">
        <f t="shared" si="747"/>
        <v>148</v>
      </c>
      <c r="C655">
        <f t="shared" si="748"/>
        <v>-109.828368841871</v>
      </c>
      <c r="D655">
        <f t="shared" si="753"/>
        <v>31</v>
      </c>
      <c r="E655">
        <f t="shared" si="754"/>
        <v>-55.483930824695001</v>
      </c>
      <c r="F655">
        <f t="shared" si="756"/>
        <v>24.166666666666668</v>
      </c>
      <c r="G655">
        <f t="shared" si="757"/>
        <v>-2.8040680695306648</v>
      </c>
      <c r="H655">
        <f t="shared" ref="H655:I655" si="768">+AVERAGE(F653:F657)</f>
        <v>6.0666666666666673</v>
      </c>
      <c r="I655">
        <f t="shared" si="768"/>
        <v>-0.81547701844546905</v>
      </c>
      <c r="J655">
        <f t="shared" si="750"/>
        <v>2007.4166666666599</v>
      </c>
      <c r="K655">
        <f t="shared" si="751"/>
        <v>148</v>
      </c>
      <c r="L655">
        <f t="shared" si="752"/>
        <v>-109.828368841871</v>
      </c>
      <c r="M655" s="5">
        <v>1934.4166666666599</v>
      </c>
      <c r="N655" s="5">
        <v>-105</v>
      </c>
      <c r="O655" s="5">
        <v>-177.72055147031199</v>
      </c>
      <c r="Q655">
        <f t="shared" si="759"/>
        <v>26.970734736197333</v>
      </c>
    </row>
    <row r="656" spans="1:17" x14ac:dyDescent="0.25">
      <c r="A656">
        <f t="shared" si="746"/>
        <v>2007.5</v>
      </c>
      <c r="B656">
        <f t="shared" si="747"/>
        <v>192</v>
      </c>
      <c r="C656">
        <f t="shared" si="748"/>
        <v>105.609866187034</v>
      </c>
      <c r="D656">
        <f t="shared" si="753"/>
        <v>14</v>
      </c>
      <c r="E656">
        <f t="shared" si="754"/>
        <v>76.696464497241493</v>
      </c>
      <c r="F656">
        <f t="shared" si="756"/>
        <v>17.166666666666668</v>
      </c>
      <c r="G656">
        <f t="shared" si="757"/>
        <v>13.2421892800532</v>
      </c>
      <c r="H656">
        <f t="shared" ref="H656:I656" si="769">+AVERAGE(F654:F658)</f>
        <v>9.9666666666666668</v>
      </c>
      <c r="I656">
        <f t="shared" si="769"/>
        <v>2.632892844611626</v>
      </c>
      <c r="J656">
        <f t="shared" si="750"/>
        <v>2007.5</v>
      </c>
      <c r="K656">
        <f t="shared" si="751"/>
        <v>192</v>
      </c>
      <c r="L656">
        <f t="shared" si="752"/>
        <v>105.609866187034</v>
      </c>
      <c r="M656" s="5">
        <v>1934.5</v>
      </c>
      <c r="N656" s="5">
        <v>-105</v>
      </c>
      <c r="O656" s="5">
        <v>-22.166238512255799</v>
      </c>
      <c r="Q656">
        <f t="shared" si="759"/>
        <v>3.9244773866134679</v>
      </c>
    </row>
    <row r="657" spans="1:17" x14ac:dyDescent="0.25">
      <c r="A657">
        <f t="shared" si="746"/>
        <v>2007.5833333333301</v>
      </c>
      <c r="B657">
        <f t="shared" si="747"/>
        <v>208</v>
      </c>
      <c r="C657">
        <f t="shared" si="748"/>
        <v>167.65517222145601</v>
      </c>
      <c r="D657">
        <f t="shared" si="753"/>
        <v>6.5</v>
      </c>
      <c r="E657">
        <f t="shared" si="754"/>
        <v>28.445676127653002</v>
      </c>
      <c r="F657">
        <f t="shared" si="756"/>
        <v>7.333333333333333</v>
      </c>
      <c r="G657">
        <f t="shared" si="757"/>
        <v>25.790266555610796</v>
      </c>
      <c r="H657">
        <f t="shared" ref="H657:I657" si="770">+AVERAGE(F655:F659)</f>
        <v>10.366666666666667</v>
      </c>
      <c r="I657">
        <f t="shared" si="770"/>
        <v>7.8639305141375733</v>
      </c>
      <c r="J657">
        <f t="shared" si="750"/>
        <v>2007.5833333333301</v>
      </c>
      <c r="K657">
        <f t="shared" si="751"/>
        <v>208</v>
      </c>
      <c r="L657">
        <f t="shared" si="752"/>
        <v>167.65517222145601</v>
      </c>
      <c r="M657" s="5">
        <v>1934.5833333333301</v>
      </c>
      <c r="N657" s="5">
        <v>-105</v>
      </c>
      <c r="O657" s="5">
        <v>108.290492122652</v>
      </c>
      <c r="Q657">
        <f t="shared" si="759"/>
        <v>18.456933222277463</v>
      </c>
    </row>
    <row r="658" spans="1:17" x14ac:dyDescent="0.25">
      <c r="A658">
        <f t="shared" si="746"/>
        <v>2007.6666666666599</v>
      </c>
      <c r="B658">
        <f t="shared" si="747"/>
        <v>211</v>
      </c>
      <c r="C658">
        <f t="shared" si="748"/>
        <v>172.80912600057201</v>
      </c>
      <c r="D658">
        <f t="shared" si="753"/>
        <v>1.5</v>
      </c>
      <c r="E658">
        <f t="shared" si="754"/>
        <v>-8.4286410413540125</v>
      </c>
      <c r="F658">
        <f t="shared" si="756"/>
        <v>2</v>
      </c>
      <c r="G658">
        <f t="shared" si="757"/>
        <v>4.0012694234888011</v>
      </c>
      <c r="H658">
        <f t="shared" ref="H658:I658" si="771">+AVERAGE(F656:F660)</f>
        <v>7.2333333333333343</v>
      </c>
      <c r="I658">
        <f t="shared" si="771"/>
        <v>9.1446406301577614</v>
      </c>
      <c r="J658">
        <f t="shared" si="750"/>
        <v>2007.6666666666599</v>
      </c>
      <c r="K658">
        <f t="shared" si="751"/>
        <v>211</v>
      </c>
      <c r="L658">
        <f t="shared" si="752"/>
        <v>172.80912600057201</v>
      </c>
      <c r="M658" s="5">
        <v>1934.6666666666599</v>
      </c>
      <c r="N658" s="5">
        <v>-105</v>
      </c>
      <c r="O658" s="5">
        <v>132.80232730147301</v>
      </c>
      <c r="Q658">
        <f t="shared" si="759"/>
        <v>2.0012694234888011</v>
      </c>
    </row>
    <row r="659" spans="1:17" x14ac:dyDescent="0.25">
      <c r="A659">
        <f t="shared" si="746"/>
        <v>2007.75</v>
      </c>
      <c r="B659">
        <f t="shared" si="747"/>
        <v>211</v>
      </c>
      <c r="C659">
        <f t="shared" si="748"/>
        <v>194.820361862396</v>
      </c>
      <c r="D659">
        <f t="shared" si="753"/>
        <v>-2</v>
      </c>
      <c r="E659">
        <f t="shared" si="754"/>
        <v>-5.0122747482159866</v>
      </c>
      <c r="F659">
        <f t="shared" si="756"/>
        <v>1.1666666666666667</v>
      </c>
      <c r="G659">
        <f t="shared" si="757"/>
        <v>-0.91000461893426443</v>
      </c>
      <c r="H659">
        <f t="shared" ref="H659:I659" si="772">+AVERAGE(F657:F661)</f>
        <v>8.5666666666666664</v>
      </c>
      <c r="I659">
        <f t="shared" si="772"/>
        <v>8.1623411574139784</v>
      </c>
      <c r="J659">
        <f t="shared" si="750"/>
        <v>2007.75</v>
      </c>
      <c r="K659">
        <f t="shared" si="751"/>
        <v>211</v>
      </c>
      <c r="L659">
        <f t="shared" si="752"/>
        <v>194.820361862396</v>
      </c>
      <c r="M659" s="5">
        <v>1934.75</v>
      </c>
      <c r="N659" s="5">
        <v>-105</v>
      </c>
      <c r="O659" s="5">
        <v>172.791123545663</v>
      </c>
      <c r="Q659">
        <f t="shared" si="759"/>
        <v>2.0766712856009311</v>
      </c>
    </row>
    <row r="660" spans="1:17" x14ac:dyDescent="0.25">
      <c r="A660">
        <f t="shared" si="746"/>
        <v>2007.8333333333301</v>
      </c>
      <c r="B660">
        <f t="shared" si="747"/>
        <v>215</v>
      </c>
      <c r="C660">
        <f t="shared" si="748"/>
        <v>226.85614722065199</v>
      </c>
      <c r="D660">
        <f t="shared" si="753"/>
        <v>4</v>
      </c>
      <c r="E660">
        <f t="shared" si="754"/>
        <v>10.028398468566508</v>
      </c>
      <c r="F660">
        <f t="shared" si="756"/>
        <v>8.5</v>
      </c>
      <c r="G660">
        <f t="shared" si="757"/>
        <v>3.5994825105702755</v>
      </c>
      <c r="H660">
        <f t="shared" ref="H660:I660" si="773">+AVERAGE(F658:F662)</f>
        <v>12.433333333333334</v>
      </c>
      <c r="I660">
        <f t="shared" si="773"/>
        <v>5.7873173293444857</v>
      </c>
      <c r="J660">
        <f t="shared" si="750"/>
        <v>2007.8333333333301</v>
      </c>
      <c r="K660">
        <f t="shared" si="751"/>
        <v>215</v>
      </c>
      <c r="L660">
        <f t="shared" si="752"/>
        <v>226.85614722065199</v>
      </c>
      <c r="M660" s="5">
        <v>1934.8333333333301</v>
      </c>
      <c r="N660" s="5">
        <v>-105</v>
      </c>
      <c r="O660" s="5">
        <v>204.24897661663101</v>
      </c>
      <c r="Q660">
        <f t="shared" si="759"/>
        <v>4.9005174894297241</v>
      </c>
    </row>
    <row r="661" spans="1:17" x14ac:dyDescent="0.25">
      <c r="A661">
        <f t="shared" si="746"/>
        <v>2007.9166666666599</v>
      </c>
      <c r="B661">
        <f t="shared" si="747"/>
        <v>211</v>
      </c>
      <c r="C661">
        <f t="shared" si="748"/>
        <v>238.835135641775</v>
      </c>
      <c r="D661">
        <f t="shared" si="753"/>
        <v>23.5</v>
      </c>
      <c r="E661">
        <f t="shared" si="754"/>
        <v>8.481935694288012</v>
      </c>
      <c r="F661">
        <f t="shared" si="756"/>
        <v>23.833333333333332</v>
      </c>
      <c r="G661">
        <f t="shared" si="757"/>
        <v>8.3306919163342794</v>
      </c>
      <c r="H661">
        <f t="shared" ref="H661:I661" si="774">+AVERAGE(F659:F663)</f>
        <v>12.8</v>
      </c>
      <c r="I661">
        <f t="shared" si="774"/>
        <v>8.7009314258545878</v>
      </c>
      <c r="J661">
        <f t="shared" si="750"/>
        <v>2007.9166666666599</v>
      </c>
      <c r="K661">
        <f t="shared" si="751"/>
        <v>211</v>
      </c>
      <c r="L661">
        <f t="shared" si="752"/>
        <v>238.835135641775</v>
      </c>
      <c r="M661" s="5">
        <v>1934.9166666666599</v>
      </c>
      <c r="N661" s="5">
        <v>-105</v>
      </c>
      <c r="O661" s="5">
        <v>202.70823375603501</v>
      </c>
      <c r="Q661">
        <f t="shared" si="759"/>
        <v>15.502641416999053</v>
      </c>
    </row>
    <row r="662" spans="1:17" x14ac:dyDescent="0.25">
      <c r="A662">
        <f t="shared" si="746"/>
        <v>2008</v>
      </c>
      <c r="B662">
        <f t="shared" si="747"/>
        <v>160</v>
      </c>
      <c r="C662">
        <f t="shared" si="748"/>
        <v>233.85025267432201</v>
      </c>
      <c r="D662">
        <f t="shared" si="753"/>
        <v>44</v>
      </c>
      <c r="E662">
        <f t="shared" si="754"/>
        <v>12.729760523399023</v>
      </c>
      <c r="F662">
        <f t="shared" si="756"/>
        <v>26.666666666666668</v>
      </c>
      <c r="G662">
        <f t="shared" si="757"/>
        <v>13.915147415263338</v>
      </c>
      <c r="H662">
        <f t="shared" ref="H662:I662" si="775">+AVERAGE(F660:F664)</f>
        <v>8.3333333333333339</v>
      </c>
      <c r="I662">
        <f t="shared" si="775"/>
        <v>9.2670960795690807</v>
      </c>
      <c r="J662">
        <f t="shared" si="750"/>
        <v>2008</v>
      </c>
      <c r="K662">
        <f t="shared" si="751"/>
        <v>160</v>
      </c>
      <c r="L662">
        <f t="shared" si="752"/>
        <v>233.85025267432201</v>
      </c>
      <c r="M662" s="5">
        <v>1935</v>
      </c>
      <c r="N662" s="5">
        <v>-105</v>
      </c>
      <c r="O662" s="5">
        <v>182.99846491827</v>
      </c>
      <c r="Q662">
        <f t="shared" si="759"/>
        <v>12.75151925140333</v>
      </c>
    </row>
    <row r="663" spans="1:17" x14ac:dyDescent="0.25">
      <c r="A663">
        <f t="shared" si="746"/>
        <v>2008.0833333333301</v>
      </c>
      <c r="B663">
        <f t="shared" si="747"/>
        <v>21</v>
      </c>
      <c r="C663">
        <f t="shared" si="748"/>
        <v>203.405848660071</v>
      </c>
      <c r="D663">
        <f t="shared" si="753"/>
        <v>12.5</v>
      </c>
      <c r="E663">
        <f t="shared" si="754"/>
        <v>30.970106589550483</v>
      </c>
      <c r="F663">
        <f t="shared" si="756"/>
        <v>3.8333333333333335</v>
      </c>
      <c r="G663">
        <f t="shared" si="757"/>
        <v>18.569339906039311</v>
      </c>
      <c r="H663">
        <f t="shared" ref="H663:I663" si="776">+AVERAGE(F661:F665)</f>
        <v>1.1666666666666679</v>
      </c>
      <c r="I663">
        <f t="shared" si="776"/>
        <v>6.6846189228068313</v>
      </c>
      <c r="J663">
        <f t="shared" si="750"/>
        <v>2008.0833333333301</v>
      </c>
      <c r="K663">
        <f t="shared" si="751"/>
        <v>21</v>
      </c>
      <c r="L663">
        <f t="shared" si="752"/>
        <v>203.405848660071</v>
      </c>
      <c r="M663" s="5">
        <v>1935.0833333333301</v>
      </c>
      <c r="N663" s="5">
        <v>-105</v>
      </c>
      <c r="O663" s="5">
        <v>156.26755873007201</v>
      </c>
      <c r="Q663">
        <f t="shared" si="759"/>
        <v>14.736006572705977</v>
      </c>
    </row>
    <row r="664" spans="1:17" x14ac:dyDescent="0.25">
      <c r="A664">
        <f t="shared" si="746"/>
        <v>2008.1666666666599</v>
      </c>
      <c r="B664">
        <f t="shared" si="747"/>
        <v>-143</v>
      </c>
      <c r="C664">
        <f t="shared" si="748"/>
        <v>111.021231466719</v>
      </c>
      <c r="D664">
        <f t="shared" si="753"/>
        <v>-45</v>
      </c>
      <c r="E664">
        <f t="shared" si="754"/>
        <v>25.935157534697908</v>
      </c>
      <c r="F664">
        <f t="shared" si="756"/>
        <v>-21.166666666666668</v>
      </c>
      <c r="G664">
        <f t="shared" si="757"/>
        <v>1.9208186496381967</v>
      </c>
      <c r="H664">
        <f t="shared" ref="H664:I664" si="777">+AVERAGE(F662:F666)</f>
        <v>-5.7</v>
      </c>
      <c r="I664">
        <f t="shared" si="777"/>
        <v>1.4448176384676081</v>
      </c>
      <c r="J664">
        <f t="shared" si="750"/>
        <v>2008.1666666666599</v>
      </c>
      <c r="K664">
        <f t="shared" si="751"/>
        <v>-143</v>
      </c>
      <c r="L664">
        <f t="shared" si="752"/>
        <v>111.021231466719</v>
      </c>
      <c r="M664" s="5">
        <v>1935.1666666666599</v>
      </c>
      <c r="N664" s="5">
        <v>-105</v>
      </c>
      <c r="O664" s="5">
        <v>140.81710667048401</v>
      </c>
      <c r="Q664">
        <f t="shared" si="759"/>
        <v>23.087485316304864</v>
      </c>
    </row>
    <row r="665" spans="1:17" x14ac:dyDescent="0.25">
      <c r="A665">
        <f t="shared" si="746"/>
        <v>2008.25</v>
      </c>
      <c r="B665">
        <f t="shared" si="747"/>
        <v>-217</v>
      </c>
      <c r="C665">
        <f t="shared" si="748"/>
        <v>-33.233700796028799</v>
      </c>
      <c r="D665">
        <f t="shared" si="753"/>
        <v>-31</v>
      </c>
      <c r="E665">
        <f t="shared" si="754"/>
        <v>-49.702194188105153</v>
      </c>
      <c r="F665">
        <f t="shared" si="756"/>
        <v>-27.333333333333332</v>
      </c>
      <c r="G665">
        <f t="shared" si="757"/>
        <v>-9.3129032732409698</v>
      </c>
      <c r="H665">
        <f t="shared" ref="H665:I665" si="778">+AVERAGE(F663:F667)</f>
        <v>-11.433333333333334</v>
      </c>
      <c r="I665">
        <f t="shared" si="778"/>
        <v>-1.7514323749840071</v>
      </c>
      <c r="J665">
        <f t="shared" si="750"/>
        <v>2008.25</v>
      </c>
      <c r="K665">
        <f t="shared" si="751"/>
        <v>-217</v>
      </c>
      <c r="L665">
        <f t="shared" si="752"/>
        <v>-33.233700796028799</v>
      </c>
      <c r="M665" s="5">
        <v>1935.25</v>
      </c>
      <c r="N665" s="5">
        <v>-105</v>
      </c>
      <c r="O665" s="5">
        <v>165.45308654698201</v>
      </c>
      <c r="Q665">
        <f t="shared" si="759"/>
        <v>18.020430060092362</v>
      </c>
    </row>
    <row r="666" spans="1:17" x14ac:dyDescent="0.25">
      <c r="A666">
        <f t="shared" si="746"/>
        <v>2008.3333333333301</v>
      </c>
      <c r="B666">
        <f t="shared" si="747"/>
        <v>-229</v>
      </c>
      <c r="C666">
        <f t="shared" si="748"/>
        <v>-78.084244682566293</v>
      </c>
      <c r="D666">
        <f t="shared" si="753"/>
        <v>-6</v>
      </c>
      <c r="E666">
        <f t="shared" si="754"/>
        <v>-11.156350621246389</v>
      </c>
      <c r="F666">
        <f t="shared" si="756"/>
        <v>-10.5</v>
      </c>
      <c r="G666">
        <f t="shared" si="757"/>
        <v>-17.868314505361841</v>
      </c>
      <c r="H666">
        <f t="shared" ref="H666:I666" si="779">+AVERAGE(F664:F668)</f>
        <v>-12.766666666666667</v>
      </c>
      <c r="I666">
        <f t="shared" si="779"/>
        <v>-5.2369302681621281</v>
      </c>
      <c r="J666">
        <f t="shared" si="750"/>
        <v>2008.3333333333301</v>
      </c>
      <c r="K666">
        <f t="shared" si="751"/>
        <v>-229</v>
      </c>
      <c r="L666">
        <f t="shared" si="752"/>
        <v>-78.084244682566293</v>
      </c>
      <c r="M666" s="5">
        <v>1935.3333333333301</v>
      </c>
      <c r="N666" s="5">
        <v>-105</v>
      </c>
      <c r="O666" s="5">
        <v>178.73179374840299</v>
      </c>
      <c r="Q666">
        <f t="shared" si="759"/>
        <v>7.3683145053618411</v>
      </c>
    </row>
    <row r="667" spans="1:17" x14ac:dyDescent="0.25">
      <c r="A667">
        <f t="shared" si="746"/>
        <v>2008.4166666666599</v>
      </c>
      <c r="B667">
        <f t="shared" si="747"/>
        <v>-229</v>
      </c>
      <c r="C667">
        <f t="shared" si="748"/>
        <v>-100.62208732661099</v>
      </c>
      <c r="D667">
        <f t="shared" si="753"/>
        <v>5.5</v>
      </c>
      <c r="E667">
        <f t="shared" si="754"/>
        <v>-6.1476345857553554</v>
      </c>
      <c r="F667">
        <f t="shared" si="756"/>
        <v>-2</v>
      </c>
      <c r="G667">
        <f t="shared" si="757"/>
        <v>-2.0661026519947314</v>
      </c>
      <c r="H667">
        <f t="shared" ref="H667:I667" si="780">+AVERAGE(F665:F669)</f>
        <v>-9.3333333333333321</v>
      </c>
      <c r="I667">
        <f t="shared" si="780"/>
        <v>-5.7360469360057946</v>
      </c>
      <c r="J667">
        <f t="shared" si="750"/>
        <v>2008.4166666666599</v>
      </c>
      <c r="K667">
        <f t="shared" si="751"/>
        <v>-229</v>
      </c>
      <c r="L667">
        <f t="shared" si="752"/>
        <v>-100.62208732661099</v>
      </c>
      <c r="M667" s="5">
        <v>1935.4166666666599</v>
      </c>
      <c r="N667" s="5">
        <v>-105</v>
      </c>
      <c r="O667" s="5">
        <v>151.48632387213399</v>
      </c>
      <c r="Q667">
        <f t="shared" si="759"/>
        <v>6.6102651994731421E-2</v>
      </c>
    </row>
    <row r="668" spans="1:17" x14ac:dyDescent="0.25">
      <c r="A668">
        <f t="shared" si="746"/>
        <v>2008.5</v>
      </c>
      <c r="B668">
        <f t="shared" si="747"/>
        <v>-240</v>
      </c>
      <c r="C668">
        <f t="shared" si="748"/>
        <v>-110.864660799145</v>
      </c>
      <c r="D668">
        <f t="shared" si="753"/>
        <v>-5.5</v>
      </c>
      <c r="E668">
        <f t="shared" si="754"/>
        <v>9.5561002620215021</v>
      </c>
      <c r="F668">
        <f t="shared" si="756"/>
        <v>-2.8333333333333335</v>
      </c>
      <c r="G668">
        <f t="shared" si="757"/>
        <v>1.1418504401487062</v>
      </c>
      <c r="H668">
        <f t="shared" ref="H668:I668" si="781">+AVERAGE(F666:F670)</f>
        <v>-4.2666666666666675</v>
      </c>
      <c r="I668">
        <f t="shared" si="781"/>
        <v>-4.0482326877985866</v>
      </c>
      <c r="J668">
        <f t="shared" si="750"/>
        <v>2008.5</v>
      </c>
      <c r="K668">
        <f t="shared" si="751"/>
        <v>-240</v>
      </c>
      <c r="L668">
        <f t="shared" si="752"/>
        <v>-110.864660799145</v>
      </c>
      <c r="M668" s="5">
        <v>1935.5</v>
      </c>
      <c r="N668" s="5">
        <v>-105</v>
      </c>
      <c r="O668" s="5">
        <v>74.138633773858999</v>
      </c>
      <c r="Q668">
        <f t="shared" si="759"/>
        <v>3.9751837734820397</v>
      </c>
    </row>
    <row r="669" spans="1:17" x14ac:dyDescent="0.25">
      <c r="A669">
        <f t="shared" si="746"/>
        <v>2008.5833333333301</v>
      </c>
      <c r="B669">
        <f t="shared" si="747"/>
        <v>-240</v>
      </c>
      <c r="C669">
        <f t="shared" si="748"/>
        <v>-140.21943479572201</v>
      </c>
      <c r="D669">
        <f t="shared" si="753"/>
        <v>-8.5</v>
      </c>
      <c r="E669">
        <f t="shared" si="754"/>
        <v>0.87347347429150091</v>
      </c>
      <c r="F669">
        <f t="shared" si="756"/>
        <v>-4</v>
      </c>
      <c r="G669">
        <f t="shared" si="757"/>
        <v>-0.57476468958013427</v>
      </c>
      <c r="H669">
        <f t="shared" ref="H669:I669" si="782">+AVERAGE(F667:F671)</f>
        <v>-1.6</v>
      </c>
      <c r="I669">
        <f t="shared" si="782"/>
        <v>-0.27862498068853636</v>
      </c>
      <c r="J669">
        <f t="shared" si="750"/>
        <v>2008.5833333333301</v>
      </c>
      <c r="K669">
        <f t="shared" si="751"/>
        <v>-240</v>
      </c>
      <c r="L669">
        <f t="shared" si="752"/>
        <v>-140.21943479572201</v>
      </c>
      <c r="M669" s="5">
        <v>1935.5833333333301</v>
      </c>
      <c r="N669" s="5">
        <v>-105</v>
      </c>
      <c r="O669" s="5">
        <v>-106.807597958109</v>
      </c>
      <c r="Q669">
        <f t="shared" si="759"/>
        <v>3.4252353104198656</v>
      </c>
    </row>
    <row r="670" spans="1:17" x14ac:dyDescent="0.25">
      <c r="A670">
        <f t="shared" si="746"/>
        <v>2008.6666666666599</v>
      </c>
      <c r="B670">
        <f t="shared" si="747"/>
        <v>-223</v>
      </c>
      <c r="C670">
        <f t="shared" si="748"/>
        <v>-171.32115574088201</v>
      </c>
      <c r="D670">
        <f t="shared" si="753"/>
        <v>2</v>
      </c>
      <c r="E670">
        <f t="shared" si="754"/>
        <v>-12.584941322238507</v>
      </c>
      <c r="F670">
        <f t="shared" si="756"/>
        <v>-2</v>
      </c>
      <c r="G670">
        <f t="shared" si="757"/>
        <v>-0.87383203220492767</v>
      </c>
      <c r="H670">
        <f t="shared" ref="H670:I670" si="783">+AVERAGE(F668:F672)</f>
        <v>-0.1666666666666666</v>
      </c>
      <c r="I670">
        <f t="shared" si="783"/>
        <v>0.57561649007417137</v>
      </c>
      <c r="J670">
        <f t="shared" si="750"/>
        <v>2008.6666666666599</v>
      </c>
      <c r="K670">
        <f t="shared" si="751"/>
        <v>-223</v>
      </c>
      <c r="L670">
        <f t="shared" si="752"/>
        <v>-171.32115574088201</v>
      </c>
      <c r="M670" s="5">
        <v>1935.6666666666599</v>
      </c>
      <c r="N670" s="5">
        <v>-105</v>
      </c>
      <c r="O670" s="5">
        <v>-192.686518284659</v>
      </c>
      <c r="Q670">
        <f t="shared" si="759"/>
        <v>1.1261679677950722</v>
      </c>
    </row>
    <row r="671" spans="1:17" x14ac:dyDescent="0.25">
      <c r="A671">
        <f t="shared" si="746"/>
        <v>2008.75</v>
      </c>
      <c r="B671">
        <f t="shared" si="747"/>
        <v>-210</v>
      </c>
      <c r="C671">
        <f t="shared" si="748"/>
        <v>-177.25299404156499</v>
      </c>
      <c r="D671">
        <f t="shared" si="753"/>
        <v>0.5</v>
      </c>
      <c r="E671">
        <f t="shared" si="754"/>
        <v>8.4345977271785273</v>
      </c>
      <c r="F671">
        <f t="shared" si="756"/>
        <v>2.8333333333333335</v>
      </c>
      <c r="G671">
        <f t="shared" si="757"/>
        <v>0.97972403018840548</v>
      </c>
      <c r="H671">
        <f t="shared" ref="H671:I671" si="784">+AVERAGE(F669:F673)</f>
        <v>1.0666666666666669</v>
      </c>
      <c r="I671">
        <f t="shared" si="784"/>
        <v>7.2517713185016625E-2</v>
      </c>
      <c r="J671">
        <f t="shared" si="750"/>
        <v>2008.75</v>
      </c>
      <c r="K671">
        <f t="shared" si="751"/>
        <v>-210</v>
      </c>
      <c r="L671">
        <f t="shared" si="752"/>
        <v>-177.25299404156499</v>
      </c>
      <c r="M671" s="5">
        <v>1935.75</v>
      </c>
      <c r="N671" s="5">
        <v>-105</v>
      </c>
      <c r="O671" s="5">
        <v>-219.12417064935801</v>
      </c>
      <c r="Q671">
        <f t="shared" si="759"/>
        <v>1.8536093031449279</v>
      </c>
    </row>
    <row r="672" spans="1:17" x14ac:dyDescent="0.25">
      <c r="A672">
        <f t="shared" si="746"/>
        <v>2008.8333333333301</v>
      </c>
      <c r="B672">
        <f t="shared" si="747"/>
        <v>-198</v>
      </c>
      <c r="C672">
        <f t="shared" si="748"/>
        <v>-200.054027796605</v>
      </c>
      <c r="D672">
        <f t="shared" si="753"/>
        <v>6</v>
      </c>
      <c r="E672">
        <f t="shared" si="754"/>
        <v>7.8243087082664999</v>
      </c>
      <c r="F672">
        <f t="shared" si="756"/>
        <v>5.166666666666667</v>
      </c>
      <c r="G672">
        <f t="shared" si="757"/>
        <v>2.2051047018188075</v>
      </c>
      <c r="H672">
        <f t="shared" ref="H672:I672" si="785">+AVERAGE(F670:F674)</f>
        <v>1.8666666666666667</v>
      </c>
      <c r="I672">
        <f t="shared" si="785"/>
        <v>-0.7136855162769038</v>
      </c>
      <c r="J672">
        <f t="shared" si="750"/>
        <v>2008.8333333333301</v>
      </c>
      <c r="K672">
        <f t="shared" si="751"/>
        <v>-198</v>
      </c>
      <c r="L672">
        <f t="shared" si="752"/>
        <v>-200.054027796605</v>
      </c>
      <c r="M672" s="5">
        <v>1935.8333333333301</v>
      </c>
      <c r="N672" s="5">
        <v>-105</v>
      </c>
      <c r="O672" s="5">
        <v>-237.922135223748</v>
      </c>
      <c r="Q672">
        <f t="shared" si="759"/>
        <v>2.9615619648478595</v>
      </c>
    </row>
    <row r="673" spans="1:17" x14ac:dyDescent="0.25">
      <c r="A673">
        <f t="shared" si="746"/>
        <v>2008.9166666666599</v>
      </c>
      <c r="B673">
        <f t="shared" si="747"/>
        <v>-198</v>
      </c>
      <c r="C673">
        <f t="shared" si="748"/>
        <v>-238.50367896817801</v>
      </c>
      <c r="D673">
        <f t="shared" si="753"/>
        <v>9</v>
      </c>
      <c r="E673">
        <f t="shared" si="754"/>
        <v>-7.9897638036244985</v>
      </c>
      <c r="F673">
        <f t="shared" si="756"/>
        <v>3.3333333333333335</v>
      </c>
      <c r="G673">
        <f t="shared" si="757"/>
        <v>-1.3736434442970678</v>
      </c>
      <c r="H673">
        <f t="shared" ref="H673:I673" si="786">+AVERAGE(F671:F675)</f>
        <v>1.6333333333333335</v>
      </c>
      <c r="I673">
        <f t="shared" si="786"/>
        <v>-1.3226116411955733</v>
      </c>
      <c r="J673">
        <f t="shared" si="750"/>
        <v>2008.9166666666599</v>
      </c>
      <c r="K673">
        <f t="shared" si="751"/>
        <v>-198</v>
      </c>
      <c r="L673">
        <f t="shared" si="752"/>
        <v>-238.50367896817801</v>
      </c>
      <c r="M673" s="5">
        <v>1935.9166666666599</v>
      </c>
      <c r="N673" s="5">
        <v>-105</v>
      </c>
      <c r="O673" s="5">
        <v>-255.31481305229099</v>
      </c>
      <c r="Q673">
        <f t="shared" si="759"/>
        <v>4.706976777630401</v>
      </c>
    </row>
    <row r="674" spans="1:17" x14ac:dyDescent="0.25">
      <c r="A674">
        <f t="shared" si="746"/>
        <v>2009</v>
      </c>
      <c r="B674">
        <f t="shared" si="747"/>
        <v>-216</v>
      </c>
      <c r="C674">
        <f t="shared" si="748"/>
        <v>-260.97380253250202</v>
      </c>
      <c r="D674">
        <f t="shared" si="753"/>
        <v>-5</v>
      </c>
      <c r="E674">
        <f t="shared" si="754"/>
        <v>-4.985707820756005</v>
      </c>
      <c r="F674">
        <f t="shared" si="756"/>
        <v>0</v>
      </c>
      <c r="G674">
        <f t="shared" si="757"/>
        <v>-4.5057808368897367</v>
      </c>
      <c r="H674">
        <f t="shared" ref="H674:I674" si="787">+AVERAGE(F672:F676)</f>
        <v>0.3000000000000001</v>
      </c>
      <c r="I674">
        <f t="shared" si="787"/>
        <v>-2.346909118230216</v>
      </c>
      <c r="J674">
        <f t="shared" si="750"/>
        <v>2009</v>
      </c>
      <c r="K674">
        <f t="shared" si="751"/>
        <v>-216</v>
      </c>
      <c r="L674">
        <f t="shared" si="752"/>
        <v>-260.97380253250202</v>
      </c>
      <c r="M674" s="5">
        <v>1936</v>
      </c>
      <c r="N674" s="5">
        <v>-105</v>
      </c>
      <c r="O674" s="5">
        <v>-262.70111435189699</v>
      </c>
      <c r="Q674">
        <f t="shared" si="759"/>
        <v>4.5057808368897367</v>
      </c>
    </row>
    <row r="675" spans="1:17" x14ac:dyDescent="0.25">
      <c r="A675">
        <f t="shared" si="746"/>
        <v>2009.0833333333301</v>
      </c>
      <c r="B675">
        <f t="shared" si="747"/>
        <v>-224</v>
      </c>
      <c r="C675">
        <f t="shared" si="748"/>
        <v>-273.47251045531402</v>
      </c>
      <c r="D675">
        <f t="shared" si="753"/>
        <v>-4</v>
      </c>
      <c r="E675">
        <f t="shared" si="754"/>
        <v>-3.9212065139560082</v>
      </c>
      <c r="F675">
        <f t="shared" si="756"/>
        <v>-3.1666666666666665</v>
      </c>
      <c r="G675">
        <f t="shared" si="757"/>
        <v>-3.9184626567982757</v>
      </c>
      <c r="H675">
        <f t="shared" ref="H675:I675" si="788">+AVERAGE(F673:F677)</f>
        <v>-3.1</v>
      </c>
      <c r="I675">
        <f t="shared" si="788"/>
        <v>-4.2607909403880591</v>
      </c>
      <c r="J675">
        <f t="shared" si="750"/>
        <v>2009.0833333333301</v>
      </c>
      <c r="K675">
        <f t="shared" si="751"/>
        <v>-224</v>
      </c>
      <c r="L675">
        <f t="shared" si="752"/>
        <v>-273.47251045531402</v>
      </c>
      <c r="M675" s="5">
        <v>1936.0833333333301</v>
      </c>
      <c r="N675" s="5">
        <v>-105</v>
      </c>
      <c r="O675" s="5">
        <v>-269.18075226339101</v>
      </c>
      <c r="Q675">
        <f t="shared" si="759"/>
        <v>0.75179599013160914</v>
      </c>
    </row>
    <row r="676" spans="1:17" x14ac:dyDescent="0.25">
      <c r="A676">
        <f t="shared" si="746"/>
        <v>2009.1666666666599</v>
      </c>
      <c r="B676">
        <f t="shared" si="747"/>
        <v>-224</v>
      </c>
      <c r="C676">
        <f t="shared" si="748"/>
        <v>-278.12880535021401</v>
      </c>
      <c r="D676">
        <f t="shared" si="753"/>
        <v>-0.5</v>
      </c>
      <c r="E676">
        <f t="shared" si="754"/>
        <v>-5.7873206282815204</v>
      </c>
      <c r="F676">
        <f t="shared" si="756"/>
        <v>-3.8333333333333335</v>
      </c>
      <c r="G676">
        <f t="shared" si="757"/>
        <v>-4.1417633549848087</v>
      </c>
      <c r="H676">
        <f t="shared" ref="H676:I676" si="789">+AVERAGE(F674:F678)</f>
        <v>-9.2666666666666675</v>
      </c>
      <c r="I676">
        <f t="shared" si="789"/>
        <v>-8.3785732783665008</v>
      </c>
      <c r="J676">
        <f t="shared" si="750"/>
        <v>2009.1666666666599</v>
      </c>
      <c r="K676">
        <f t="shared" si="751"/>
        <v>-224</v>
      </c>
      <c r="L676">
        <f t="shared" si="752"/>
        <v>-278.12880535021401</v>
      </c>
      <c r="M676" s="5">
        <v>1936.1666666666599</v>
      </c>
      <c r="N676" s="5">
        <v>-105</v>
      </c>
      <c r="O676" s="5">
        <v>-274.20406412502399</v>
      </c>
      <c r="Q676">
        <f t="shared" si="759"/>
        <v>0.30843002165147526</v>
      </c>
    </row>
    <row r="677" spans="1:17" x14ac:dyDescent="0.25">
      <c r="A677">
        <f t="shared" si="746"/>
        <v>2009.25</v>
      </c>
      <c r="B677">
        <f t="shared" si="747"/>
        <v>-223</v>
      </c>
      <c r="C677">
        <f t="shared" si="748"/>
        <v>-271.21045898855101</v>
      </c>
      <c r="D677">
        <f t="shared" si="753"/>
        <v>-7</v>
      </c>
      <c r="E677">
        <f t="shared" si="754"/>
        <v>-5.823085438955502</v>
      </c>
      <c r="F677">
        <f t="shared" si="756"/>
        <v>-11.833333333333334</v>
      </c>
      <c r="G677">
        <f t="shared" si="757"/>
        <v>-7.3643044089704066</v>
      </c>
      <c r="H677">
        <f t="shared" ref="H677:I677" si="790">+AVERAGE(F675:F679)</f>
        <v>-11.566666666666666</v>
      </c>
      <c r="I677">
        <f t="shared" si="790"/>
        <v>-11.076064271491523</v>
      </c>
      <c r="J677">
        <f t="shared" si="750"/>
        <v>2009.25</v>
      </c>
      <c r="K677">
        <f t="shared" si="751"/>
        <v>-223</v>
      </c>
      <c r="L677">
        <f t="shared" si="752"/>
        <v>-271.21045898855101</v>
      </c>
      <c r="M677" s="5">
        <v>1936.25</v>
      </c>
      <c r="N677" s="5">
        <v>-105</v>
      </c>
      <c r="O677" s="5">
        <v>-270.27657672896203</v>
      </c>
      <c r="Q677">
        <f t="shared" si="759"/>
        <v>4.4690289243629273</v>
      </c>
    </row>
    <row r="678" spans="1:17" x14ac:dyDescent="0.25">
      <c r="A678">
        <f t="shared" si="746"/>
        <v>2009.3333333333301</v>
      </c>
      <c r="B678">
        <f t="shared" si="747"/>
        <v>-208</v>
      </c>
      <c r="C678">
        <f t="shared" si="748"/>
        <v>-252.64594174897701</v>
      </c>
      <c r="D678">
        <f t="shared" si="753"/>
        <v>-28</v>
      </c>
      <c r="E678">
        <f t="shared" si="754"/>
        <v>-16.005735466402001</v>
      </c>
      <c r="F678">
        <f t="shared" si="756"/>
        <v>-27.5</v>
      </c>
      <c r="G678">
        <f t="shared" si="757"/>
        <v>-21.96255513418928</v>
      </c>
      <c r="H678">
        <f t="shared" ref="H678:I678" si="791">+AVERAGE(F676:F680)</f>
        <v>-8.6333333333333346</v>
      </c>
      <c r="I678">
        <f t="shared" si="791"/>
        <v>-9.3273389409902165</v>
      </c>
      <c r="J678">
        <f t="shared" si="750"/>
        <v>2009.3333333333301</v>
      </c>
      <c r="K678">
        <f t="shared" si="751"/>
        <v>-208</v>
      </c>
      <c r="L678">
        <f t="shared" si="752"/>
        <v>-252.64594174897701</v>
      </c>
      <c r="M678" s="5">
        <v>1936.3333333333301</v>
      </c>
      <c r="N678" s="5">
        <v>-105</v>
      </c>
      <c r="O678" s="5">
        <v>-256.31088666376399</v>
      </c>
      <c r="Q678">
        <f t="shared" si="759"/>
        <v>5.5374448658107198</v>
      </c>
    </row>
    <row r="679" spans="1:17" x14ac:dyDescent="0.25">
      <c r="A679">
        <f t="shared" si="746"/>
        <v>2009.4166666666599</v>
      </c>
      <c r="B679">
        <f t="shared" si="747"/>
        <v>-137</v>
      </c>
      <c r="C679">
        <f t="shared" si="748"/>
        <v>-202.069953576599</v>
      </c>
      <c r="D679">
        <f t="shared" si="753"/>
        <v>-47.5</v>
      </c>
      <c r="E679">
        <f t="shared" si="754"/>
        <v>-60.530760847852292</v>
      </c>
      <c r="F679">
        <f t="shared" si="756"/>
        <v>-11.5</v>
      </c>
      <c r="G679">
        <f t="shared" si="757"/>
        <v>-17.99323580251485</v>
      </c>
      <c r="H679">
        <f t="shared" ref="H679:I679" si="792">+AVERAGE(F677:F681)</f>
        <v>-2.2666666666666671</v>
      </c>
      <c r="I679">
        <f t="shared" si="792"/>
        <v>-3.9348457056089168</v>
      </c>
      <c r="J679">
        <f t="shared" si="750"/>
        <v>2009.4166666666599</v>
      </c>
      <c r="K679">
        <f t="shared" si="751"/>
        <v>-137</v>
      </c>
      <c r="L679">
        <f t="shared" si="752"/>
        <v>-202.069953576599</v>
      </c>
      <c r="M679" s="5">
        <v>1936.4166666666599</v>
      </c>
      <c r="N679" s="5">
        <v>-105</v>
      </c>
      <c r="O679" s="5">
        <v>-218.2918214039</v>
      </c>
      <c r="Q679">
        <f t="shared" si="759"/>
        <v>6.4932358025148496</v>
      </c>
    </row>
    <row r="680" spans="1:17" x14ac:dyDescent="0.25">
      <c r="A680">
        <f t="shared" si="746"/>
        <v>2009.5</v>
      </c>
      <c r="B680">
        <f t="shared" si="747"/>
        <v>29</v>
      </c>
      <c r="C680">
        <f t="shared" si="748"/>
        <v>-30.432443708516399</v>
      </c>
      <c r="D680">
        <f t="shared" si="753"/>
        <v>41</v>
      </c>
      <c r="E680">
        <f t="shared" si="754"/>
        <v>9.0618620548236031</v>
      </c>
      <c r="F680">
        <f t="shared" si="756"/>
        <v>11.5</v>
      </c>
      <c r="G680">
        <f t="shared" si="757"/>
        <v>4.8251639957082686</v>
      </c>
      <c r="H680">
        <f t="shared" ref="H680:I680" si="793">+AVERAGE(F678:F682)</f>
        <v>2.833333333333333</v>
      </c>
      <c r="I680">
        <f t="shared" si="793"/>
        <v>1.6399320109169593</v>
      </c>
      <c r="J680">
        <f t="shared" si="750"/>
        <v>2009.5</v>
      </c>
      <c r="K680">
        <f t="shared" si="751"/>
        <v>29</v>
      </c>
      <c r="L680">
        <f t="shared" si="752"/>
        <v>-30.432443708516399</v>
      </c>
      <c r="M680" s="5">
        <v>1936.5</v>
      </c>
      <c r="N680" s="5">
        <v>-105</v>
      </c>
      <c r="O680" s="5">
        <v>-133.362805921724</v>
      </c>
      <c r="Q680">
        <f t="shared" si="759"/>
        <v>6.6748360042917314</v>
      </c>
    </row>
    <row r="681" spans="1:17" x14ac:dyDescent="0.25">
      <c r="A681">
        <f t="shared" si="746"/>
        <v>2009.5833333333301</v>
      </c>
      <c r="B681">
        <f t="shared" si="747"/>
        <v>113</v>
      </c>
      <c r="C681">
        <f t="shared" si="748"/>
        <v>123.081342049919</v>
      </c>
      <c r="D681">
        <f t="shared" si="753"/>
        <v>41</v>
      </c>
      <c r="E681">
        <f t="shared" si="754"/>
        <v>69.56326377693469</v>
      </c>
      <c r="F681">
        <f t="shared" si="756"/>
        <v>28</v>
      </c>
      <c r="G681">
        <f t="shared" si="757"/>
        <v>22.820702821921682</v>
      </c>
      <c r="H681">
        <f t="shared" ref="H681:I681" si="794">+AVERAGE(F679:F683)</f>
        <v>7.333333333333333</v>
      </c>
      <c r="I681">
        <f t="shared" si="794"/>
        <v>5.794468981015136</v>
      </c>
      <c r="J681">
        <f t="shared" si="750"/>
        <v>2009.5833333333301</v>
      </c>
      <c r="K681">
        <f t="shared" si="751"/>
        <v>113</v>
      </c>
      <c r="L681">
        <f t="shared" si="752"/>
        <v>123.081342049919</v>
      </c>
      <c r="M681" s="5">
        <v>1936.5833333333301</v>
      </c>
      <c r="N681" s="5">
        <v>-105</v>
      </c>
      <c r="O681" s="5">
        <v>-70.088664113815497</v>
      </c>
      <c r="Q681">
        <f t="shared" si="759"/>
        <v>5.1792971780783184</v>
      </c>
    </row>
    <row r="682" spans="1:17" x14ac:dyDescent="0.25">
      <c r="A682">
        <f t="shared" si="746"/>
        <v>2009.6666666666599</v>
      </c>
      <c r="B682">
        <f t="shared" si="747"/>
        <v>115</v>
      </c>
      <c r="C682">
        <f t="shared" si="748"/>
        <v>137.46860025448501</v>
      </c>
      <c r="D682">
        <f t="shared" si="753"/>
        <v>2</v>
      </c>
      <c r="E682">
        <f t="shared" si="754"/>
        <v>6.9525097504480016</v>
      </c>
      <c r="F682">
        <f t="shared" si="756"/>
        <v>13.666666666666666</v>
      </c>
      <c r="G682">
        <f t="shared" si="757"/>
        <v>20.509584173658983</v>
      </c>
      <c r="H682">
        <f t="shared" ref="H682:I682" si="795">+AVERAGE(F680:F684)</f>
        <v>9.3333333333333321</v>
      </c>
      <c r="I682">
        <f t="shared" si="795"/>
        <v>8.6583544805983976</v>
      </c>
      <c r="J682">
        <f t="shared" si="750"/>
        <v>2009.6666666666599</v>
      </c>
      <c r="K682">
        <f t="shared" si="751"/>
        <v>115</v>
      </c>
      <c r="L682">
        <f t="shared" si="752"/>
        <v>137.46860025448501</v>
      </c>
      <c r="M682" s="5">
        <v>1936.6666666666599</v>
      </c>
      <c r="N682" s="5">
        <v>-105</v>
      </c>
      <c r="O682" s="5">
        <v>-52.320848906876698</v>
      </c>
      <c r="Q682">
        <f t="shared" si="759"/>
        <v>6.8429175069923165</v>
      </c>
    </row>
    <row r="683" spans="1:17" x14ac:dyDescent="0.25">
      <c r="A683">
        <f t="shared" si="746"/>
        <v>2009.75</v>
      </c>
      <c r="B683">
        <f t="shared" si="747"/>
        <v>113</v>
      </c>
      <c r="C683">
        <f t="shared" si="748"/>
        <v>137.950838958155</v>
      </c>
      <c r="D683">
        <f t="shared" si="753"/>
        <v>-2</v>
      </c>
      <c r="E683">
        <f t="shared" si="754"/>
        <v>0.3951671238384904</v>
      </c>
      <c r="F683">
        <f t="shared" si="756"/>
        <v>-5</v>
      </c>
      <c r="G683">
        <f t="shared" si="757"/>
        <v>-1.1898702836984059</v>
      </c>
      <c r="H683">
        <f t="shared" ref="H683:I683" si="796">+AVERAGE(F681:F685)</f>
        <v>6.9</v>
      </c>
      <c r="I683">
        <f t="shared" si="796"/>
        <v>7.675254588012824</v>
      </c>
      <c r="J683">
        <f t="shared" si="750"/>
        <v>2009.75</v>
      </c>
      <c r="K683">
        <f t="shared" si="751"/>
        <v>113</v>
      </c>
      <c r="L683">
        <f t="shared" si="752"/>
        <v>137.950838958155</v>
      </c>
      <c r="M683" s="5">
        <v>1936.75</v>
      </c>
      <c r="N683" s="5">
        <v>-105</v>
      </c>
      <c r="O683" s="5">
        <v>53.3221324458545</v>
      </c>
      <c r="Q683">
        <f t="shared" si="759"/>
        <v>3.8101297163015939</v>
      </c>
    </row>
    <row r="684" spans="1:17" x14ac:dyDescent="0.25">
      <c r="A684">
        <f t="shared" si="746"/>
        <v>2009.8333333333301</v>
      </c>
      <c r="B684">
        <f t="shared" si="747"/>
        <v>115</v>
      </c>
      <c r="C684">
        <f t="shared" si="748"/>
        <v>137.64274341414799</v>
      </c>
      <c r="D684">
        <f t="shared" si="753"/>
        <v>-15</v>
      </c>
      <c r="E684">
        <f t="shared" si="754"/>
        <v>-11.809690438155513</v>
      </c>
      <c r="F684">
        <f t="shared" si="756"/>
        <v>-1.5</v>
      </c>
      <c r="G684">
        <f t="shared" si="757"/>
        <v>-3.6738083045985377</v>
      </c>
      <c r="H684">
        <f t="shared" ref="H684:I684" si="797">+AVERAGE(F682:F686)</f>
        <v>2.2333333333333334</v>
      </c>
      <c r="I684">
        <f t="shared" si="797"/>
        <v>4.0090041510865664</v>
      </c>
      <c r="J684">
        <f t="shared" si="750"/>
        <v>2009.8333333333301</v>
      </c>
      <c r="K684">
        <f t="shared" si="751"/>
        <v>115</v>
      </c>
      <c r="L684">
        <f t="shared" si="752"/>
        <v>137.64274341414799</v>
      </c>
      <c r="M684" s="5">
        <v>1936.8333333333301</v>
      </c>
      <c r="N684" s="5">
        <v>-105</v>
      </c>
      <c r="O684" s="5">
        <v>146.24953373248701</v>
      </c>
      <c r="Q684">
        <f t="shared" si="759"/>
        <v>2.1738083045985377</v>
      </c>
    </row>
    <row r="685" spans="1:17" x14ac:dyDescent="0.25">
      <c r="A685">
        <f t="shared" si="746"/>
        <v>2009.9166666666599</v>
      </c>
      <c r="B685">
        <f t="shared" si="747"/>
        <v>147</v>
      </c>
      <c r="C685">
        <f t="shared" si="748"/>
        <v>160.954028746452</v>
      </c>
      <c r="D685">
        <f t="shared" si="753"/>
        <v>12.5</v>
      </c>
      <c r="E685">
        <f t="shared" si="754"/>
        <v>-2.3622578279274933</v>
      </c>
      <c r="F685">
        <f t="shared" si="756"/>
        <v>-0.66666666666666663</v>
      </c>
      <c r="G685">
        <f t="shared" si="757"/>
        <v>-9.0335467219604962E-2</v>
      </c>
      <c r="H685">
        <f t="shared" ref="H685:I685" si="798">+AVERAGE(F683:F687)</f>
        <v>-0.33333333333333331</v>
      </c>
      <c r="I685">
        <f t="shared" si="798"/>
        <v>0.7105939364317555</v>
      </c>
      <c r="J685">
        <f t="shared" si="750"/>
        <v>2009.9166666666599</v>
      </c>
      <c r="K685">
        <f t="shared" si="751"/>
        <v>147</v>
      </c>
      <c r="L685">
        <f t="shared" si="752"/>
        <v>160.954028746452</v>
      </c>
      <c r="M685" s="5">
        <v>1936.9166666666599</v>
      </c>
      <c r="N685" s="5">
        <v>-105</v>
      </c>
      <c r="O685" s="5">
        <v>198.570404178193</v>
      </c>
      <c r="Q685">
        <f t="shared" si="759"/>
        <v>0.57633119944706168</v>
      </c>
    </row>
    <row r="686" spans="1:17" x14ac:dyDescent="0.25">
      <c r="A686">
        <f t="shared" si="746"/>
        <v>2010</v>
      </c>
      <c r="B686">
        <f t="shared" si="747"/>
        <v>154</v>
      </c>
      <c r="C686">
        <f t="shared" si="748"/>
        <v>188.98982973461099</v>
      </c>
      <c r="D686">
        <f t="shared" si="753"/>
        <v>0.5</v>
      </c>
      <c r="E686">
        <f t="shared" si="754"/>
        <v>13.833190264009488</v>
      </c>
      <c r="F686">
        <f t="shared" si="756"/>
        <v>4.666666666666667</v>
      </c>
      <c r="G686">
        <f t="shared" si="757"/>
        <v>4.4894506372903988</v>
      </c>
      <c r="H686">
        <f t="shared" ref="H686:I686" si="799">+AVERAGE(F684:F688)</f>
        <v>0.93333333333333335</v>
      </c>
      <c r="I686">
        <f t="shared" si="799"/>
        <v>0.99144533360044851</v>
      </c>
      <c r="J686">
        <f t="shared" si="750"/>
        <v>2010</v>
      </c>
      <c r="K686">
        <f t="shared" si="751"/>
        <v>154</v>
      </c>
      <c r="L686">
        <f t="shared" si="752"/>
        <v>188.98982973461099</v>
      </c>
      <c r="M686" s="5">
        <v>1937</v>
      </c>
      <c r="N686" s="5">
        <v>-105</v>
      </c>
      <c r="O686" s="5">
        <v>219.258694294213</v>
      </c>
      <c r="Q686">
        <f t="shared" si="759"/>
        <v>0.17721602937626812</v>
      </c>
    </row>
    <row r="687" spans="1:17" x14ac:dyDescent="0.25">
      <c r="A687">
        <f t="shared" si="746"/>
        <v>2010.0833333333301</v>
      </c>
      <c r="B687">
        <f t="shared" si="747"/>
        <v>160</v>
      </c>
      <c r="C687">
        <f t="shared" si="748"/>
        <v>189.35925019475101</v>
      </c>
      <c r="D687">
        <f t="shared" si="753"/>
        <v>1</v>
      </c>
      <c r="E687">
        <f t="shared" si="754"/>
        <v>5.3645074537569997</v>
      </c>
      <c r="F687">
        <f t="shared" si="756"/>
        <v>0.83333333333333337</v>
      </c>
      <c r="G687">
        <f t="shared" si="757"/>
        <v>4.0175331003849273</v>
      </c>
      <c r="H687">
        <f t="shared" ref="H687:I687" si="800">+AVERAGE(F685:F689)</f>
        <v>1.2999999999999998</v>
      </c>
      <c r="I687">
        <f t="shared" si="800"/>
        <v>1.3910970699077276</v>
      </c>
      <c r="J687">
        <f t="shared" si="750"/>
        <v>2010.0833333333301</v>
      </c>
      <c r="K687">
        <f t="shared" si="751"/>
        <v>160</v>
      </c>
      <c r="L687">
        <f t="shared" si="752"/>
        <v>189.35925019475101</v>
      </c>
      <c r="M687" s="5">
        <v>1937.0833333333301</v>
      </c>
      <c r="N687" s="5">
        <v>-105</v>
      </c>
      <c r="O687" s="5">
        <v>213.86846038019499</v>
      </c>
      <c r="Q687">
        <f t="shared" si="759"/>
        <v>3.1841997670515938</v>
      </c>
    </row>
    <row r="688" spans="1:17" x14ac:dyDescent="0.25">
      <c r="A688">
        <f t="shared" si="746"/>
        <v>2010.1666666666599</v>
      </c>
      <c r="B688">
        <f t="shared" si="747"/>
        <v>164</v>
      </c>
      <c r="C688">
        <f t="shared" si="748"/>
        <v>178.99965574737701</v>
      </c>
      <c r="D688">
        <f t="shared" si="753"/>
        <v>1</v>
      </c>
      <c r="E688">
        <f t="shared" si="754"/>
        <v>-4.1319485913230096</v>
      </c>
      <c r="F688">
        <f t="shared" si="756"/>
        <v>1.3333333333333333</v>
      </c>
      <c r="G688">
        <f t="shared" si="757"/>
        <v>0.21438670214505842</v>
      </c>
      <c r="H688">
        <f t="shared" ref="H688:I688" si="801">+AVERAGE(F686:F690)</f>
        <v>1.7666666666666664</v>
      </c>
      <c r="I688">
        <f t="shared" si="801"/>
        <v>2.0618219284713541</v>
      </c>
      <c r="J688">
        <f t="shared" si="750"/>
        <v>2010.1666666666599</v>
      </c>
      <c r="K688">
        <f t="shared" si="751"/>
        <v>164</v>
      </c>
      <c r="L688">
        <f t="shared" si="752"/>
        <v>178.99965574737701</v>
      </c>
      <c r="M688" s="5">
        <v>1937.1666666666599</v>
      </c>
      <c r="N688" s="5">
        <v>-105</v>
      </c>
      <c r="O688" s="5">
        <v>207.08629233969</v>
      </c>
      <c r="Q688">
        <f t="shared" si="759"/>
        <v>1.1189466311882748</v>
      </c>
    </row>
    <row r="689" spans="1:17" x14ac:dyDescent="0.25">
      <c r="A689">
        <f t="shared" si="746"/>
        <v>2010.25</v>
      </c>
      <c r="B689">
        <f t="shared" si="747"/>
        <v>166</v>
      </c>
      <c r="C689">
        <f t="shared" si="748"/>
        <v>176.90395848264899</v>
      </c>
      <c r="D689">
        <f t="shared" si="753"/>
        <v>2</v>
      </c>
      <c r="E689">
        <f t="shared" si="754"/>
        <v>-0.42860872939002093</v>
      </c>
      <c r="F689">
        <f t="shared" si="756"/>
        <v>0.33333333333333331</v>
      </c>
      <c r="G689">
        <f t="shared" si="757"/>
        <v>-1.6755496230621401</v>
      </c>
      <c r="H689">
        <f t="shared" ref="H689:I689" si="802">+AVERAGE(F687:F691)</f>
        <v>7.5666666666666655</v>
      </c>
      <c r="I689">
        <f t="shared" si="802"/>
        <v>5.7225315689673888</v>
      </c>
      <c r="J689">
        <f t="shared" si="750"/>
        <v>2010.25</v>
      </c>
      <c r="K689">
        <f t="shared" si="751"/>
        <v>166</v>
      </c>
      <c r="L689">
        <f t="shared" si="752"/>
        <v>176.90395848264899</v>
      </c>
      <c r="M689" s="5">
        <v>1937.25</v>
      </c>
      <c r="N689" s="5">
        <v>-105</v>
      </c>
      <c r="O689" s="5">
        <v>212.01332115811499</v>
      </c>
      <c r="Q689">
        <f t="shared" si="759"/>
        <v>2.0088829563954733</v>
      </c>
    </row>
    <row r="690" spans="1:17" x14ac:dyDescent="0.25">
      <c r="A690">
        <f t="shared" si="746"/>
        <v>2010.3333333333301</v>
      </c>
      <c r="B690">
        <f t="shared" si="747"/>
        <v>164</v>
      </c>
      <c r="C690">
        <f t="shared" si="748"/>
        <v>175.66547867670101</v>
      </c>
      <c r="D690">
        <f t="shared" si="753"/>
        <v>-2</v>
      </c>
      <c r="E690">
        <f t="shared" si="754"/>
        <v>-1.7227537657699941</v>
      </c>
      <c r="F690">
        <f t="shared" si="756"/>
        <v>1.6666666666666667</v>
      </c>
      <c r="G690">
        <f t="shared" si="757"/>
        <v>3.2632888255985257</v>
      </c>
      <c r="H690">
        <f t="shared" ref="H690:I690" si="803">+AVERAGE(F688:F692)</f>
        <v>13.333333333333334</v>
      </c>
      <c r="I690">
        <f t="shared" si="803"/>
        <v>8.842600586735756</v>
      </c>
      <c r="J690">
        <f t="shared" si="750"/>
        <v>2010.3333333333301</v>
      </c>
      <c r="K690">
        <f t="shared" si="751"/>
        <v>164</v>
      </c>
      <c r="L690">
        <f t="shared" si="752"/>
        <v>175.66547867670101</v>
      </c>
      <c r="M690" s="5">
        <v>1937.3333333333301</v>
      </c>
      <c r="N690" s="5">
        <v>-105</v>
      </c>
      <c r="O690" s="5">
        <v>214.020880102608</v>
      </c>
      <c r="Q690">
        <f t="shared" si="759"/>
        <v>1.596622158931859</v>
      </c>
    </row>
    <row r="691" spans="1:17" x14ac:dyDescent="0.25">
      <c r="A691">
        <f t="shared" si="746"/>
        <v>2010.4166666666599</v>
      </c>
      <c r="B691">
        <f t="shared" si="747"/>
        <v>166</v>
      </c>
      <c r="C691">
        <f t="shared" si="748"/>
        <v>177.872506402293</v>
      </c>
      <c r="D691">
        <f t="shared" si="753"/>
        <v>5</v>
      </c>
      <c r="E691">
        <f t="shared" si="754"/>
        <v>14.388695591154487</v>
      </c>
      <c r="F691">
        <f t="shared" si="756"/>
        <v>33.666666666666664</v>
      </c>
      <c r="G691">
        <f t="shared" si="757"/>
        <v>22.792998839770576</v>
      </c>
      <c r="H691">
        <f t="shared" ref="H691:I691" si="804">+AVERAGE(F689:F693)</f>
        <v>12.799999999999999</v>
      </c>
      <c r="I691">
        <f t="shared" si="804"/>
        <v>9.1689619137464256</v>
      </c>
      <c r="J691">
        <f t="shared" si="750"/>
        <v>2010.4166666666599</v>
      </c>
      <c r="K691">
        <f t="shared" si="751"/>
        <v>166</v>
      </c>
      <c r="L691">
        <f t="shared" si="752"/>
        <v>177.872506402293</v>
      </c>
      <c r="M691" s="5">
        <v>1937.4166666666599</v>
      </c>
      <c r="N691" s="5">
        <v>-105</v>
      </c>
      <c r="O691" s="5">
        <v>210.940151099205</v>
      </c>
      <c r="Q691">
        <f t="shared" si="759"/>
        <v>10.873667826896089</v>
      </c>
    </row>
    <row r="692" spans="1:17" x14ac:dyDescent="0.25">
      <c r="A692">
        <f t="shared" si="746"/>
        <v>2010.5</v>
      </c>
      <c r="B692">
        <f t="shared" si="747"/>
        <v>158</v>
      </c>
      <c r="C692">
        <f t="shared" si="748"/>
        <v>151.30214294557601</v>
      </c>
      <c r="D692">
        <f t="shared" si="753"/>
        <v>98</v>
      </c>
      <c r="E692">
        <f t="shared" si="754"/>
        <v>72.807803823755165</v>
      </c>
      <c r="F692">
        <f t="shared" si="756"/>
        <v>29.666666666666668</v>
      </c>
      <c r="G692">
        <f t="shared" si="757"/>
        <v>19.617878189226762</v>
      </c>
      <c r="H692">
        <f t="shared" ref="H692:I692" si="805">+AVERAGE(F690:F694)</f>
        <v>5.9666666666666659</v>
      </c>
      <c r="I692">
        <f t="shared" si="805"/>
        <v>5.5530558069812717</v>
      </c>
      <c r="J692">
        <f t="shared" si="750"/>
        <v>2010.5</v>
      </c>
      <c r="K692">
        <f t="shared" si="751"/>
        <v>158</v>
      </c>
      <c r="L692">
        <f t="shared" si="752"/>
        <v>151.30214294557601</v>
      </c>
      <c r="M692" s="5">
        <v>1937.5</v>
      </c>
      <c r="N692" s="5">
        <v>-105</v>
      </c>
      <c r="O692" s="5">
        <v>185.212268493919</v>
      </c>
      <c r="Q692">
        <f t="shared" si="759"/>
        <v>10.048788477439906</v>
      </c>
    </row>
    <row r="693" spans="1:17" x14ac:dyDescent="0.25">
      <c r="A693">
        <f t="shared" si="746"/>
        <v>2010.5833333333301</v>
      </c>
      <c r="B693">
        <f t="shared" si="747"/>
        <v>-46</v>
      </c>
      <c r="C693">
        <f t="shared" si="748"/>
        <v>-20.883828158651301</v>
      </c>
      <c r="D693">
        <f t="shared" si="753"/>
        <v>-14</v>
      </c>
      <c r="E693">
        <f t="shared" si="754"/>
        <v>-13.6294562053093</v>
      </c>
      <c r="F693">
        <f t="shared" si="756"/>
        <v>-1.3333333333333333</v>
      </c>
      <c r="G693">
        <f t="shared" si="757"/>
        <v>1.8461933371984021</v>
      </c>
      <c r="H693">
        <f t="shared" ref="H693:I693" si="806">+AVERAGE(F691:F695)</f>
        <v>-0.30000000000000215</v>
      </c>
      <c r="I693">
        <f t="shared" si="806"/>
        <v>1.4280532232416525</v>
      </c>
      <c r="J693">
        <f t="shared" si="750"/>
        <v>2010.5833333333301</v>
      </c>
      <c r="K693">
        <f t="shared" si="751"/>
        <v>-46</v>
      </c>
      <c r="L693">
        <f t="shared" si="752"/>
        <v>-20.883828158651301</v>
      </c>
      <c r="M693" s="5">
        <v>1937.5833333333301</v>
      </c>
      <c r="N693" s="5">
        <v>-105</v>
      </c>
      <c r="O693" s="5">
        <v>90.066744749174006</v>
      </c>
      <c r="Q693">
        <f t="shared" si="759"/>
        <v>3.1795266705317351</v>
      </c>
    </row>
    <row r="694" spans="1:17" x14ac:dyDescent="0.25">
      <c r="A694">
        <f t="shared" si="746"/>
        <v>2010.6666666666599</v>
      </c>
      <c r="B694">
        <f t="shared" si="747"/>
        <v>-222</v>
      </c>
      <c r="C694">
        <f t="shared" si="748"/>
        <v>-165.81088685226001</v>
      </c>
      <c r="D694">
        <f t="shared" si="753"/>
        <v>-88</v>
      </c>
      <c r="E694">
        <f t="shared" si="754"/>
        <v>-52.255122603951861</v>
      </c>
      <c r="F694">
        <f t="shared" si="756"/>
        <v>-33.833333333333336</v>
      </c>
      <c r="G694">
        <f t="shared" si="757"/>
        <v>-19.755080156887907</v>
      </c>
      <c r="H694">
        <f t="shared" ref="H694:I694" si="807">+AVERAGE(F692:F696)</f>
        <v>-7.666666666666667</v>
      </c>
      <c r="I694">
        <f t="shared" si="807"/>
        <v>-3.8913954156841939</v>
      </c>
      <c r="J694">
        <f t="shared" si="750"/>
        <v>2010.6666666666599</v>
      </c>
      <c r="K694">
        <f t="shared" si="751"/>
        <v>-222</v>
      </c>
      <c r="L694">
        <f t="shared" si="752"/>
        <v>-165.81088685226001</v>
      </c>
      <c r="M694" s="5">
        <v>1937.6666666666599</v>
      </c>
      <c r="N694" s="5">
        <v>-105</v>
      </c>
      <c r="O694" s="5">
        <v>-60.134218391226497</v>
      </c>
      <c r="Q694">
        <f t="shared" si="759"/>
        <v>14.078253176445429</v>
      </c>
    </row>
    <row r="695" spans="1:17" x14ac:dyDescent="0.25">
      <c r="A695">
        <f t="shared" si="746"/>
        <v>2010.75</v>
      </c>
      <c r="B695">
        <f t="shared" si="747"/>
        <v>-222</v>
      </c>
      <c r="C695">
        <f t="shared" si="748"/>
        <v>-206.22770033796499</v>
      </c>
      <c r="D695">
        <f t="shared" si="753"/>
        <v>0.5</v>
      </c>
      <c r="E695">
        <f t="shared" si="754"/>
        <v>-8.1969717790684911</v>
      </c>
      <c r="F695">
        <f t="shared" si="756"/>
        <v>-29.666666666666668</v>
      </c>
      <c r="G695">
        <f t="shared" si="757"/>
        <v>-17.361724093099564</v>
      </c>
      <c r="H695">
        <f t="shared" ref="H695:I695" si="808">+AVERAGE(F693:F697)</f>
        <v>-13.633333333333336</v>
      </c>
      <c r="I695">
        <f t="shared" si="808"/>
        <v>-8.2399437289813058</v>
      </c>
      <c r="J695">
        <f t="shared" si="750"/>
        <v>2010.75</v>
      </c>
      <c r="K695">
        <f t="shared" si="751"/>
        <v>-222</v>
      </c>
      <c r="L695">
        <f t="shared" si="752"/>
        <v>-206.22770033796499</v>
      </c>
      <c r="M695" s="5">
        <v>1937.75</v>
      </c>
      <c r="N695" s="5">
        <v>-105</v>
      </c>
      <c r="O695" s="5">
        <v>-112.88243649255099</v>
      </c>
      <c r="Q695">
        <f t="shared" si="759"/>
        <v>12.304942573567104</v>
      </c>
    </row>
    <row r="696" spans="1:17" x14ac:dyDescent="0.25">
      <c r="A696">
        <f t="shared" si="746"/>
        <v>2010.8333333333301</v>
      </c>
      <c r="B696">
        <f t="shared" si="747"/>
        <v>-223</v>
      </c>
      <c r="C696">
        <f t="shared" si="748"/>
        <v>-230.25057026553301</v>
      </c>
      <c r="D696">
        <f t="shared" si="753"/>
        <v>-1.5</v>
      </c>
      <c r="E696">
        <f t="shared" si="754"/>
        <v>-4.6543709661030164</v>
      </c>
      <c r="F696">
        <f t="shared" si="756"/>
        <v>-3.1666666666666665</v>
      </c>
      <c r="G696">
        <f t="shared" si="757"/>
        <v>-3.804244354858664</v>
      </c>
      <c r="H696">
        <f t="shared" ref="H696:I696" si="809">+AVERAGE(F694:F698)</f>
        <v>-13.300000000000002</v>
      </c>
      <c r="I696">
        <f t="shared" si="809"/>
        <v>-9.0888806370568016</v>
      </c>
      <c r="J696">
        <f t="shared" si="750"/>
        <v>2010.8333333333301</v>
      </c>
      <c r="K696">
        <f t="shared" si="751"/>
        <v>-223</v>
      </c>
      <c r="L696">
        <f t="shared" si="752"/>
        <v>-230.25057026553301</v>
      </c>
      <c r="M696" s="5">
        <v>1937.8333333333301</v>
      </c>
      <c r="N696" s="5">
        <v>-105</v>
      </c>
      <c r="O696" s="5">
        <v>-163.37939207017601</v>
      </c>
      <c r="Q696">
        <f t="shared" si="759"/>
        <v>0.63757768819199745</v>
      </c>
    </row>
    <row r="697" spans="1:17" x14ac:dyDescent="0.25">
      <c r="A697">
        <f t="shared" si="746"/>
        <v>2010.9166666666599</v>
      </c>
      <c r="B697">
        <f t="shared" si="747"/>
        <v>-221</v>
      </c>
      <c r="C697">
        <f t="shared" si="748"/>
        <v>-244.96469826089501</v>
      </c>
      <c r="D697">
        <f t="shared" si="753"/>
        <v>-8.5</v>
      </c>
      <c r="E697">
        <f t="shared" si="754"/>
        <v>-1.4145735855484816</v>
      </c>
      <c r="F697">
        <f t="shared" si="756"/>
        <v>-0.16666666666666666</v>
      </c>
      <c r="G697">
        <f t="shared" si="757"/>
        <v>-2.124863377258801</v>
      </c>
      <c r="H697">
        <f t="shared" ref="H697:I697" si="810">+AVERAGE(F695:F699)</f>
        <v>-5.8999999999999995</v>
      </c>
      <c r="I697">
        <f t="shared" si="810"/>
        <v>-5.5707100938314094</v>
      </c>
      <c r="J697">
        <f t="shared" si="750"/>
        <v>2010.9166666666599</v>
      </c>
      <c r="K697">
        <f t="shared" si="751"/>
        <v>-221</v>
      </c>
      <c r="L697">
        <f t="shared" si="752"/>
        <v>-244.96469826089501</v>
      </c>
      <c r="M697" s="5">
        <v>1937.9166666666599</v>
      </c>
      <c r="N697" s="5">
        <v>-105</v>
      </c>
      <c r="O697" s="5">
        <v>-209.354681202515</v>
      </c>
      <c r="Q697">
        <f t="shared" si="759"/>
        <v>1.9581967105921343</v>
      </c>
    </row>
    <row r="698" spans="1:17" x14ac:dyDescent="0.25">
      <c r="A698">
        <f t="shared" si="746"/>
        <v>2011</v>
      </c>
      <c r="B698">
        <f t="shared" si="747"/>
        <v>-202</v>
      </c>
      <c r="C698">
        <f t="shared" si="748"/>
        <v>-256.84967908516001</v>
      </c>
      <c r="D698">
        <f t="shared" si="753"/>
        <v>9.5</v>
      </c>
      <c r="E698">
        <f t="shared" si="754"/>
        <v>-1.8992931130690067</v>
      </c>
      <c r="F698">
        <f t="shared" si="756"/>
        <v>0.33333333333333331</v>
      </c>
      <c r="G698">
        <f t="shared" si="757"/>
        <v>-2.3984912031790753</v>
      </c>
      <c r="H698">
        <f t="shared" ref="H698:I698" si="811">+AVERAGE(F696:F700)</f>
        <v>6.1062266354383615E-17</v>
      </c>
      <c r="I698">
        <f t="shared" si="811"/>
        <v>-2.3065574471172328</v>
      </c>
      <c r="J698">
        <f t="shared" si="750"/>
        <v>2011</v>
      </c>
      <c r="K698">
        <f t="shared" si="751"/>
        <v>-202</v>
      </c>
      <c r="L698">
        <f t="shared" si="752"/>
        <v>-256.84967908516001</v>
      </c>
      <c r="M698" s="5">
        <v>1938</v>
      </c>
      <c r="N698" s="5">
        <v>-105</v>
      </c>
      <c r="O698" s="5">
        <v>-251.898851449311</v>
      </c>
      <c r="Q698">
        <f t="shared" si="759"/>
        <v>2.7318245365124088</v>
      </c>
    </row>
    <row r="699" spans="1:17" x14ac:dyDescent="0.25">
      <c r="A699">
        <f t="shared" si="746"/>
        <v>2011.0833333333301</v>
      </c>
      <c r="B699">
        <f t="shared" si="747"/>
        <v>-202</v>
      </c>
      <c r="C699">
        <f t="shared" si="748"/>
        <v>-264.93607368328702</v>
      </c>
      <c r="D699">
        <f t="shared" si="753"/>
        <v>0</v>
      </c>
      <c r="E699">
        <f t="shared" si="754"/>
        <v>-5.6804753133040435</v>
      </c>
      <c r="F699">
        <f t="shared" si="756"/>
        <v>3.1666666666666665</v>
      </c>
      <c r="G699">
        <f t="shared" si="757"/>
        <v>-2.1642274407609423</v>
      </c>
      <c r="H699">
        <f t="shared" ref="H699:I699" si="812">+AVERAGE(F697:F701)</f>
        <v>0.5</v>
      </c>
      <c r="I699">
        <f t="shared" si="812"/>
        <v>-1.7245031303807523</v>
      </c>
      <c r="J699">
        <f t="shared" si="750"/>
        <v>2011.0833333333301</v>
      </c>
      <c r="K699">
        <f t="shared" si="751"/>
        <v>-202</v>
      </c>
      <c r="L699">
        <f t="shared" si="752"/>
        <v>-264.93607368328702</v>
      </c>
      <c r="M699" s="5">
        <v>1938.0833333333301</v>
      </c>
      <c r="N699" s="5">
        <v>-105</v>
      </c>
      <c r="O699" s="5">
        <v>-282.698909909127</v>
      </c>
      <c r="Q699">
        <f t="shared" si="759"/>
        <v>5.3308941074276088</v>
      </c>
    </row>
    <row r="700" spans="1:17" x14ac:dyDescent="0.25">
      <c r="A700">
        <f t="shared" si="746"/>
        <v>2011.1666666666599</v>
      </c>
      <c r="B700">
        <f t="shared" si="747"/>
        <v>-202</v>
      </c>
      <c r="C700">
        <f t="shared" si="748"/>
        <v>-261.661517654806</v>
      </c>
      <c r="D700">
        <f t="shared" si="753"/>
        <v>0</v>
      </c>
      <c r="E700">
        <f t="shared" si="754"/>
        <v>-0.53608447648048241</v>
      </c>
      <c r="F700">
        <f t="shared" si="756"/>
        <v>-0.16666666666666666</v>
      </c>
      <c r="G700">
        <f t="shared" si="757"/>
        <v>-1.0409608595286803</v>
      </c>
      <c r="H700">
        <f t="shared" ref="H700:I700" si="813">+AVERAGE(F698:F702)</f>
        <v>-0.1999999999999999</v>
      </c>
      <c r="I700">
        <f t="shared" si="813"/>
        <v>-1.7704119028283523</v>
      </c>
      <c r="J700">
        <f t="shared" si="750"/>
        <v>2011.1666666666599</v>
      </c>
      <c r="K700">
        <f t="shared" si="751"/>
        <v>-202</v>
      </c>
      <c r="L700">
        <f t="shared" si="752"/>
        <v>-261.661517654806</v>
      </c>
      <c r="M700" s="5">
        <v>1938.1666666666599</v>
      </c>
      <c r="N700" s="5">
        <v>-105</v>
      </c>
      <c r="O700" s="5">
        <v>-298.68595659070297</v>
      </c>
      <c r="Q700">
        <f t="shared" si="759"/>
        <v>0.87429419286201371</v>
      </c>
    </row>
    <row r="701" spans="1:17" x14ac:dyDescent="0.25">
      <c r="A701">
        <f t="shared" si="746"/>
        <v>2011.25</v>
      </c>
      <c r="B701">
        <f t="shared" si="747"/>
        <v>-202</v>
      </c>
      <c r="C701">
        <f t="shared" si="748"/>
        <v>-257.31479267336402</v>
      </c>
      <c r="D701">
        <f t="shared" si="753"/>
        <v>-0.5</v>
      </c>
      <c r="E701">
        <f t="shared" si="754"/>
        <v>2.3129565665519749</v>
      </c>
      <c r="F701">
        <f t="shared" si="756"/>
        <v>-0.66666666666666663</v>
      </c>
      <c r="G701">
        <f t="shared" si="757"/>
        <v>-0.89397277117626206</v>
      </c>
      <c r="H701">
        <f t="shared" ref="H701:I701" si="814">+AVERAGE(F699:F703)</f>
        <v>-1.7333333333333332</v>
      </c>
      <c r="I701">
        <f t="shared" si="814"/>
        <v>-2.2714385329774691</v>
      </c>
      <c r="J701">
        <f t="shared" si="750"/>
        <v>2011.25</v>
      </c>
      <c r="K701">
        <f t="shared" si="751"/>
        <v>-202</v>
      </c>
      <c r="L701">
        <f t="shared" si="752"/>
        <v>-257.31479267336402</v>
      </c>
      <c r="M701" s="5">
        <v>1938.25</v>
      </c>
      <c r="N701" s="5">
        <v>-105</v>
      </c>
      <c r="O701" s="5">
        <v>-307.609366410907</v>
      </c>
      <c r="Q701">
        <f t="shared" si="759"/>
        <v>0.22730610450959543</v>
      </c>
    </row>
    <row r="702" spans="1:17" x14ac:dyDescent="0.25">
      <c r="A702">
        <f t="shared" si="746"/>
        <v>2011.3333333333301</v>
      </c>
      <c r="B702">
        <f t="shared" si="747"/>
        <v>-201</v>
      </c>
      <c r="C702">
        <f t="shared" si="748"/>
        <v>-257.59398082502599</v>
      </c>
      <c r="D702">
        <f t="shared" si="753"/>
        <v>-1.5</v>
      </c>
      <c r="E702">
        <f t="shared" si="754"/>
        <v>-5.1292699819824747</v>
      </c>
      <c r="F702">
        <f t="shared" si="756"/>
        <v>-3.6666666666666665</v>
      </c>
      <c r="G702">
        <f t="shared" si="757"/>
        <v>-2.3544072394967999</v>
      </c>
      <c r="H702">
        <f t="shared" ref="H702:I702" si="815">+AVERAGE(F700:F704)</f>
        <v>-2.7666666666666666</v>
      </c>
      <c r="I702">
        <f t="shared" si="815"/>
        <v>-3.8043926789286417</v>
      </c>
      <c r="J702">
        <f t="shared" si="750"/>
        <v>2011.3333333333301</v>
      </c>
      <c r="K702">
        <f t="shared" si="751"/>
        <v>-201</v>
      </c>
      <c r="L702">
        <f t="shared" si="752"/>
        <v>-257.59398082502599</v>
      </c>
      <c r="M702" s="5">
        <v>1938.3333333333301</v>
      </c>
      <c r="N702" s="5">
        <v>-105</v>
      </c>
      <c r="O702" s="5">
        <v>-309.22838927185001</v>
      </c>
      <c r="Q702">
        <f t="shared" si="759"/>
        <v>1.3122594271698667</v>
      </c>
    </row>
    <row r="703" spans="1:17" x14ac:dyDescent="0.25">
      <c r="A703">
        <f t="shared" si="746"/>
        <v>2011.4166666666599</v>
      </c>
      <c r="B703">
        <f t="shared" si="747"/>
        <v>-197</v>
      </c>
      <c r="C703">
        <f t="shared" si="748"/>
        <v>-247.61462901272299</v>
      </c>
      <c r="D703">
        <f t="shared" si="753"/>
        <v>-9</v>
      </c>
      <c r="E703">
        <f t="shared" si="754"/>
        <v>-6.0127137326824993</v>
      </c>
      <c r="F703">
        <f t="shared" si="756"/>
        <v>-7.333333333333333</v>
      </c>
      <c r="G703">
        <f t="shared" si="757"/>
        <v>-4.9036243539246627</v>
      </c>
      <c r="H703">
        <f t="shared" ref="H703:I703" si="816">+AVERAGE(F701:F705)</f>
        <v>-3.3666666666666663</v>
      </c>
      <c r="I703">
        <f t="shared" si="816"/>
        <v>-6.357987292140832</v>
      </c>
      <c r="J703">
        <f t="shared" si="750"/>
        <v>2011.4166666666599</v>
      </c>
      <c r="K703">
        <f t="shared" si="751"/>
        <v>-197</v>
      </c>
      <c r="L703">
        <f t="shared" si="752"/>
        <v>-247.61462901272299</v>
      </c>
      <c r="M703" s="5">
        <v>1938.4166666666599</v>
      </c>
      <c r="N703" s="5">
        <v>-105</v>
      </c>
      <c r="O703" s="5">
        <v>-297.54776889273899</v>
      </c>
      <c r="Q703">
        <f t="shared" si="759"/>
        <v>2.4297089794086704</v>
      </c>
    </row>
    <row r="704" spans="1:17" x14ac:dyDescent="0.25">
      <c r="A704">
        <f t="shared" si="746"/>
        <v>2011.5</v>
      </c>
      <c r="B704">
        <f t="shared" si="747"/>
        <v>-175</v>
      </c>
      <c r="C704">
        <f t="shared" si="748"/>
        <v>-225.60984973505501</v>
      </c>
      <c r="D704">
        <f t="shared" si="753"/>
        <v>-11.5</v>
      </c>
      <c r="E704">
        <f t="shared" si="754"/>
        <v>-7.2466076125525092</v>
      </c>
      <c r="F704">
        <f t="shared" si="756"/>
        <v>-2</v>
      </c>
      <c r="G704">
        <f t="shared" si="757"/>
        <v>-9.8289981705168046</v>
      </c>
      <c r="H704">
        <f t="shared" ref="H704:I704" si="817">+AVERAGE(F702:F706)</f>
        <v>-3.166666666666667</v>
      </c>
      <c r="I704">
        <f t="shared" si="817"/>
        <v>-6.9031860215134015</v>
      </c>
      <c r="J704">
        <f t="shared" si="750"/>
        <v>2011.5</v>
      </c>
      <c r="K704">
        <f t="shared" si="751"/>
        <v>-175</v>
      </c>
      <c r="L704">
        <f t="shared" si="752"/>
        <v>-225.60984973505501</v>
      </c>
      <c r="M704" s="5">
        <v>1938.5</v>
      </c>
      <c r="N704" s="5">
        <v>-105</v>
      </c>
      <c r="O704" s="5">
        <v>-268.76269651639899</v>
      </c>
      <c r="Q704">
        <f t="shared" si="759"/>
        <v>7.8289981705168046</v>
      </c>
    </row>
    <row r="705" spans="1:17" x14ac:dyDescent="0.25">
      <c r="A705">
        <f t="shared" si="746"/>
        <v>2011.5833333333301</v>
      </c>
      <c r="B705">
        <f t="shared" si="747"/>
        <v>-130</v>
      </c>
      <c r="C705">
        <f t="shared" si="748"/>
        <v>-189.11185523228201</v>
      </c>
      <c r="D705">
        <f t="shared" si="753"/>
        <v>14.5</v>
      </c>
      <c r="E705">
        <f t="shared" si="754"/>
        <v>-23.59942179420301</v>
      </c>
      <c r="F705">
        <f t="shared" si="756"/>
        <v>-3.1666666666666665</v>
      </c>
      <c r="G705">
        <f t="shared" si="757"/>
        <v>-13.808933925589631</v>
      </c>
      <c r="H705">
        <f t="shared" ref="H705:I705" si="818">+AVERAGE(F703:F707)</f>
        <v>-5.6999999999999993</v>
      </c>
      <c r="I705">
        <f t="shared" si="818"/>
        <v>-5.4331295931023478</v>
      </c>
      <c r="J705">
        <f t="shared" si="750"/>
        <v>2011.5833333333301</v>
      </c>
      <c r="K705">
        <f t="shared" si="751"/>
        <v>-130</v>
      </c>
      <c r="L705">
        <f t="shared" si="752"/>
        <v>-189.11185523228201</v>
      </c>
      <c r="M705" s="5">
        <v>1938.5833333333301</v>
      </c>
      <c r="N705" s="5">
        <v>-105</v>
      </c>
      <c r="O705" s="5">
        <v>-217.998360077895</v>
      </c>
      <c r="Q705">
        <f t="shared" si="759"/>
        <v>10.642267258922965</v>
      </c>
    </row>
    <row r="706" spans="1:17" x14ac:dyDescent="0.25">
      <c r="A706">
        <f t="shared" si="746"/>
        <v>2011.6666666666599</v>
      </c>
      <c r="B706">
        <f t="shared" si="747"/>
        <v>-114</v>
      </c>
      <c r="C706">
        <f t="shared" si="748"/>
        <v>-105.41501714110299</v>
      </c>
      <c r="D706">
        <f t="shared" si="753"/>
        <v>-12.5</v>
      </c>
      <c r="E706">
        <f t="shared" si="754"/>
        <v>-20.937472814205591</v>
      </c>
      <c r="F706">
        <f t="shared" si="756"/>
        <v>0.33333333333333331</v>
      </c>
      <c r="G706">
        <f t="shared" si="757"/>
        <v>-3.6199664180391076</v>
      </c>
      <c r="H706">
        <f t="shared" ref="H706:I706" si="819">+AVERAGE(F704:F708)</f>
        <v>-4.4999999999999991</v>
      </c>
      <c r="I706">
        <f t="shared" si="819"/>
        <v>-1.4521187961366906</v>
      </c>
      <c r="J706">
        <f t="shared" si="750"/>
        <v>2011.6666666666599</v>
      </c>
      <c r="K706">
        <f t="shared" si="751"/>
        <v>-114</v>
      </c>
      <c r="L706">
        <f t="shared" si="752"/>
        <v>-105.41501714110299</v>
      </c>
      <c r="M706" s="5">
        <v>1938.6666666666599</v>
      </c>
      <c r="N706" s="5">
        <v>-105</v>
      </c>
      <c r="O706" s="5">
        <v>-129.33966893769301</v>
      </c>
      <c r="Q706">
        <f t="shared" si="759"/>
        <v>3.9532997513724411</v>
      </c>
    </row>
    <row r="707" spans="1:17" x14ac:dyDescent="0.25">
      <c r="A707">
        <f t="shared" si="746"/>
        <v>2011.75</v>
      </c>
      <c r="B707">
        <f t="shared" si="747"/>
        <v>-73</v>
      </c>
      <c r="C707">
        <f t="shared" si="748"/>
        <v>20.156766578487201</v>
      </c>
      <c r="D707">
        <f t="shared" si="753"/>
        <v>-1</v>
      </c>
      <c r="E707">
        <f t="shared" si="754"/>
        <v>30.962020540761948</v>
      </c>
      <c r="F707">
        <f t="shared" si="756"/>
        <v>-16.333333333333332</v>
      </c>
      <c r="G707">
        <f t="shared" si="757"/>
        <v>4.9958749025584694</v>
      </c>
      <c r="H707">
        <f t="shared" ref="H707:I707" si="820">+AVERAGE(F705:F709)</f>
        <v>-2.6666666666666656</v>
      </c>
      <c r="I707">
        <f t="shared" si="820"/>
        <v>2.4678570929017445</v>
      </c>
      <c r="J707">
        <f t="shared" si="750"/>
        <v>2011.75</v>
      </c>
      <c r="K707">
        <f t="shared" si="751"/>
        <v>-73</v>
      </c>
      <c r="L707">
        <f t="shared" si="752"/>
        <v>20.156766578487201</v>
      </c>
      <c r="M707" s="5">
        <v>1938.75</v>
      </c>
      <c r="N707" s="5">
        <v>-105</v>
      </c>
      <c r="O707" s="5">
        <v>-20.872020055473499</v>
      </c>
      <c r="Q707">
        <f t="shared" si="759"/>
        <v>21.329208235891802</v>
      </c>
    </row>
    <row r="708" spans="1:17" x14ac:dyDescent="0.25">
      <c r="A708">
        <f t="shared" ref="A708:A756" si="821">+J708</f>
        <v>2011.8333333333301</v>
      </c>
      <c r="B708">
        <f t="shared" ref="B708:B756" si="822">+K708</f>
        <v>-30</v>
      </c>
      <c r="C708">
        <f t="shared" ref="C708:C756" si="823">+L708</f>
        <v>83.804509216553498</v>
      </c>
      <c r="D708">
        <f t="shared" si="753"/>
        <v>-35.5</v>
      </c>
      <c r="E708">
        <f t="shared" si="754"/>
        <v>8.7099831580379004</v>
      </c>
      <c r="F708">
        <f t="shared" si="756"/>
        <v>-1.3333333333333333</v>
      </c>
      <c r="G708">
        <f t="shared" si="757"/>
        <v>15.001429630903623</v>
      </c>
      <c r="H708">
        <f t="shared" ref="H708:I708" si="824">+AVERAGE(F706:F710)</f>
        <v>2.4666666666666672</v>
      </c>
      <c r="I708">
        <f t="shared" si="824"/>
        <v>6.8066487546198431</v>
      </c>
      <c r="J708">
        <f t="shared" ref="J708:J739" si="825">+$M1584</f>
        <v>2011.8333333333301</v>
      </c>
      <c r="K708">
        <f t="shared" ref="K708:K739" si="826">+$N1584</f>
        <v>-30</v>
      </c>
      <c r="L708">
        <f t="shared" ref="L708:L739" si="827">+$O1584</f>
        <v>83.804509216553498</v>
      </c>
      <c r="M708" s="5">
        <v>1938.8333333333301</v>
      </c>
      <c r="N708" s="5">
        <v>-105</v>
      </c>
      <c r="O708" s="5">
        <v>81.647507941497395</v>
      </c>
      <c r="Q708">
        <f t="shared" si="759"/>
        <v>16.334762964236955</v>
      </c>
    </row>
    <row r="709" spans="1:17" x14ac:dyDescent="0.25">
      <c r="A709">
        <f t="shared" si="821"/>
        <v>2011.9166666666599</v>
      </c>
      <c r="B709">
        <f t="shared" si="822"/>
        <v>84</v>
      </c>
      <c r="C709">
        <f t="shared" si="823"/>
        <v>130.03228553854399</v>
      </c>
      <c r="D709">
        <f t="shared" ref="D709:D755" si="828">+B709-1/2*(B708+B710)</f>
        <v>32.5</v>
      </c>
      <c r="E709">
        <f t="shared" ref="E709:E755" si="829">+C709-1/2*(C708+C710)</f>
        <v>16.583357417088735</v>
      </c>
      <c r="F709">
        <f t="shared" si="756"/>
        <v>7.166666666666667</v>
      </c>
      <c r="G709">
        <f t="shared" si="757"/>
        <v>9.7708812746753715</v>
      </c>
      <c r="H709">
        <f t="shared" ref="H709:I709" si="830">+AVERAGE(F707:F711)</f>
        <v>4.0333333333333341</v>
      </c>
      <c r="I709">
        <f t="shared" si="830"/>
        <v>8.6365094563940534</v>
      </c>
      <c r="J709">
        <f t="shared" si="825"/>
        <v>2011.9166666666599</v>
      </c>
      <c r="K709">
        <f t="shared" si="826"/>
        <v>84</v>
      </c>
      <c r="L709">
        <f t="shared" si="827"/>
        <v>130.03228553854399</v>
      </c>
      <c r="M709" s="5">
        <v>1938.9166666666599</v>
      </c>
      <c r="N709" s="5">
        <v>-105</v>
      </c>
      <c r="O709" s="5">
        <v>157.93157717243301</v>
      </c>
      <c r="Q709">
        <f t="shared" si="759"/>
        <v>2.6042146080087045</v>
      </c>
    </row>
    <row r="710" spans="1:17" x14ac:dyDescent="0.25">
      <c r="A710">
        <f t="shared" si="821"/>
        <v>2012</v>
      </c>
      <c r="B710">
        <f t="shared" si="822"/>
        <v>133</v>
      </c>
      <c r="C710">
        <f t="shared" si="823"/>
        <v>143.09334702635701</v>
      </c>
      <c r="D710">
        <f t="shared" si="828"/>
        <v>24.5</v>
      </c>
      <c r="E710">
        <f t="shared" si="829"/>
        <v>11.347464204906004</v>
      </c>
      <c r="F710">
        <f t="shared" ref="F710:F754" si="831">+AVERAGE(D709:D711)</f>
        <v>22.5</v>
      </c>
      <c r="G710">
        <f t="shared" ref="G710:G754" si="832">+$H$1*AVERAGE(E709:E711)+$F$1</f>
        <v>7.8850243830008599</v>
      </c>
      <c r="H710">
        <f t="shared" ref="H710:I710" si="833">+AVERAGE(F708:F712)</f>
        <v>5.9666666666666668</v>
      </c>
      <c r="I710">
        <f t="shared" si="833"/>
        <v>6.7888780493078089</v>
      </c>
      <c r="J710">
        <f t="shared" si="825"/>
        <v>2012</v>
      </c>
      <c r="K710">
        <f t="shared" si="826"/>
        <v>133</v>
      </c>
      <c r="L710">
        <f t="shared" si="827"/>
        <v>143.09334702635701</v>
      </c>
      <c r="M710" s="5">
        <v>1939</v>
      </c>
      <c r="N710" s="5">
        <v>-105</v>
      </c>
      <c r="O710" s="5">
        <v>189.989772294848</v>
      </c>
      <c r="Q710">
        <f t="shared" ref="Q710:Q754" si="834">+ABS(F710-G710)</f>
        <v>14.614975616999139</v>
      </c>
    </row>
    <row r="711" spans="1:17" x14ac:dyDescent="0.25">
      <c r="A711">
        <f t="shared" si="821"/>
        <v>2012.0833333333301</v>
      </c>
      <c r="B711">
        <f t="shared" si="822"/>
        <v>133</v>
      </c>
      <c r="C711">
        <f t="shared" si="823"/>
        <v>133.45948010435799</v>
      </c>
      <c r="D711">
        <f t="shared" si="828"/>
        <v>10.5</v>
      </c>
      <c r="E711">
        <f t="shared" si="829"/>
        <v>1.6380198142584845</v>
      </c>
      <c r="F711">
        <f t="shared" si="831"/>
        <v>8.1666666666666661</v>
      </c>
      <c r="G711">
        <f t="shared" si="832"/>
        <v>5.5293370908319428</v>
      </c>
      <c r="H711">
        <f t="shared" ref="H711:I711" si="835">+AVERAGE(F709:F713)</f>
        <v>3.9</v>
      </c>
      <c r="I711">
        <f t="shared" si="835"/>
        <v>1.7331530969680984</v>
      </c>
      <c r="J711">
        <f t="shared" si="825"/>
        <v>2012.0833333333301</v>
      </c>
      <c r="K711">
        <f t="shared" si="826"/>
        <v>133</v>
      </c>
      <c r="L711">
        <f t="shared" si="827"/>
        <v>133.45948010435799</v>
      </c>
      <c r="M711" s="5">
        <v>1939.0833333333301</v>
      </c>
      <c r="N711" s="5">
        <v>-105</v>
      </c>
      <c r="O711" s="5">
        <v>206.52239333669201</v>
      </c>
      <c r="Q711">
        <f t="shared" si="834"/>
        <v>2.6373295758347233</v>
      </c>
    </row>
    <row r="712" spans="1:17" x14ac:dyDescent="0.25">
      <c r="A712">
        <f t="shared" si="821"/>
        <v>2012.1666666666599</v>
      </c>
      <c r="B712">
        <f t="shared" si="822"/>
        <v>112</v>
      </c>
      <c r="C712">
        <f t="shared" si="823"/>
        <v>120.549573553842</v>
      </c>
      <c r="D712">
        <f t="shared" si="828"/>
        <v>-10.5</v>
      </c>
      <c r="E712">
        <f t="shared" si="829"/>
        <v>7.7495300714552968</v>
      </c>
      <c r="F712">
        <f t="shared" si="831"/>
        <v>-6.666666666666667</v>
      </c>
      <c r="G712">
        <f t="shared" si="832"/>
        <v>-4.2422821328727505</v>
      </c>
      <c r="H712">
        <f t="shared" ref="H712:I712" si="836">+AVERAGE(F710:F714)</f>
        <v>1.8333333333333328</v>
      </c>
      <c r="I712">
        <f t="shared" si="836"/>
        <v>-1.6471124522773917</v>
      </c>
      <c r="J712">
        <f t="shared" si="825"/>
        <v>2012.1666666666599</v>
      </c>
      <c r="K712">
        <f t="shared" si="826"/>
        <v>112</v>
      </c>
      <c r="L712">
        <f t="shared" si="827"/>
        <v>120.549573553842</v>
      </c>
      <c r="M712" s="5">
        <v>1939.1666666666599</v>
      </c>
      <c r="N712" s="5">
        <v>-105</v>
      </c>
      <c r="O712" s="5">
        <v>226.20520882574499</v>
      </c>
      <c r="Q712">
        <f t="shared" si="834"/>
        <v>2.4243845337939165</v>
      </c>
    </row>
    <row r="713" spans="1:17" x14ac:dyDescent="0.25">
      <c r="A713">
        <f t="shared" si="821"/>
        <v>2012.25</v>
      </c>
      <c r="B713">
        <f t="shared" si="822"/>
        <v>112</v>
      </c>
      <c r="C713">
        <f t="shared" si="823"/>
        <v>92.140606860415403</v>
      </c>
      <c r="D713">
        <f t="shared" si="828"/>
        <v>-20</v>
      </c>
      <c r="E713">
        <f t="shared" si="829"/>
        <v>-25.296107883986593</v>
      </c>
      <c r="F713">
        <f t="shared" si="831"/>
        <v>-11.666666666666666</v>
      </c>
      <c r="G713">
        <f t="shared" si="832"/>
        <v>-10.277195130794929</v>
      </c>
      <c r="H713">
        <f t="shared" ref="H713:I713" si="837">+AVERAGE(F711:F715)</f>
        <v>-1.3666666666666667</v>
      </c>
      <c r="I713">
        <f t="shared" si="837"/>
        <v>-2.6084217328604544</v>
      </c>
      <c r="J713">
        <f t="shared" si="825"/>
        <v>2012.25</v>
      </c>
      <c r="K713">
        <f t="shared" si="826"/>
        <v>112</v>
      </c>
      <c r="L713">
        <f t="shared" si="827"/>
        <v>92.140606860415403</v>
      </c>
      <c r="M713" s="5">
        <v>1939.25</v>
      </c>
      <c r="N713" s="5">
        <v>-105</v>
      </c>
      <c r="O713" s="5">
        <v>243.43030838133001</v>
      </c>
      <c r="Q713">
        <f t="shared" si="834"/>
        <v>1.3894715358717367</v>
      </c>
    </row>
    <row r="714" spans="1:17" x14ac:dyDescent="0.25">
      <c r="A714">
        <f t="shared" si="821"/>
        <v>2012.3333333333301</v>
      </c>
      <c r="B714">
        <f t="shared" si="822"/>
        <v>152</v>
      </c>
      <c r="C714">
        <f t="shared" si="823"/>
        <v>114.323855934962</v>
      </c>
      <c r="D714">
        <f t="shared" si="828"/>
        <v>-4.5</v>
      </c>
      <c r="E714">
        <f t="shared" si="829"/>
        <v>-20.992903927949683</v>
      </c>
      <c r="F714">
        <f t="shared" si="831"/>
        <v>-3.1666666666666665</v>
      </c>
      <c r="G714">
        <f t="shared" si="832"/>
        <v>-7.1304464715520801</v>
      </c>
      <c r="H714">
        <f t="shared" ref="H714:I714" si="838">+AVERAGE(F712:F716)</f>
        <v>-1.5333333333333334</v>
      </c>
      <c r="I714">
        <f t="shared" si="838"/>
        <v>-1.7507139174871895</v>
      </c>
      <c r="J714">
        <f t="shared" si="825"/>
        <v>2012.3333333333301</v>
      </c>
      <c r="K714">
        <f t="shared" si="826"/>
        <v>152</v>
      </c>
      <c r="L714">
        <f t="shared" si="827"/>
        <v>114.323855934962</v>
      </c>
      <c r="M714" s="5">
        <v>1939.3333333333301</v>
      </c>
      <c r="N714" s="5">
        <v>-105</v>
      </c>
      <c r="O714" s="5">
        <v>261.36075627006898</v>
      </c>
      <c r="Q714">
        <f t="shared" si="834"/>
        <v>3.9637798048854136</v>
      </c>
    </row>
    <row r="715" spans="1:17" x14ac:dyDescent="0.25">
      <c r="A715">
        <f t="shared" si="821"/>
        <v>2012.4166666666599</v>
      </c>
      <c r="B715">
        <f t="shared" si="822"/>
        <v>201</v>
      </c>
      <c r="C715">
        <f t="shared" si="823"/>
        <v>178.49291286540799</v>
      </c>
      <c r="D715">
        <f t="shared" si="828"/>
        <v>15</v>
      </c>
      <c r="E715">
        <f t="shared" si="829"/>
        <v>19.549837543615979</v>
      </c>
      <c r="F715">
        <f t="shared" si="831"/>
        <v>6.5</v>
      </c>
      <c r="G715">
        <f t="shared" si="832"/>
        <v>3.0784779800855446</v>
      </c>
      <c r="H715">
        <f t="shared" ref="H715:I715" si="839">+AVERAGE(F713:F717)</f>
        <v>0.26666666666666689</v>
      </c>
      <c r="I715">
        <f t="shared" si="839"/>
        <v>0.29758719277253382</v>
      </c>
      <c r="J715">
        <f t="shared" si="825"/>
        <v>2012.4166666666599</v>
      </c>
      <c r="K715">
        <f t="shared" si="826"/>
        <v>201</v>
      </c>
      <c r="L715">
        <f t="shared" si="827"/>
        <v>178.49291286540799</v>
      </c>
      <c r="M715" s="5">
        <v>1939.4166666666599</v>
      </c>
      <c r="N715" s="5">
        <v>-105</v>
      </c>
      <c r="O715" s="5">
        <v>273.64398956056499</v>
      </c>
      <c r="Q715">
        <f t="shared" si="834"/>
        <v>3.4215220199144554</v>
      </c>
    </row>
    <row r="716" spans="1:17" x14ac:dyDescent="0.25">
      <c r="A716">
        <f t="shared" si="821"/>
        <v>2012.5</v>
      </c>
      <c r="B716">
        <f t="shared" si="822"/>
        <v>220</v>
      </c>
      <c r="C716">
        <f t="shared" si="823"/>
        <v>203.56229470862201</v>
      </c>
      <c r="D716">
        <f t="shared" si="828"/>
        <v>9</v>
      </c>
      <c r="E716">
        <f t="shared" si="829"/>
        <v>12.987358809654495</v>
      </c>
      <c r="F716">
        <f t="shared" si="831"/>
        <v>7.333333333333333</v>
      </c>
      <c r="G716">
        <f t="shared" si="832"/>
        <v>9.817876167698266</v>
      </c>
      <c r="H716">
        <f t="shared" ref="H716:I716" si="840">+AVERAGE(F714:F718)</f>
        <v>2.666666666666667</v>
      </c>
      <c r="I716">
        <f t="shared" si="840"/>
        <v>2.9686476309662124</v>
      </c>
      <c r="J716">
        <f t="shared" si="825"/>
        <v>2012.5</v>
      </c>
      <c r="K716">
        <f t="shared" si="826"/>
        <v>220</v>
      </c>
      <c r="L716">
        <f t="shared" si="827"/>
        <v>203.56229470862201</v>
      </c>
      <c r="M716" s="5">
        <v>1939.5</v>
      </c>
      <c r="N716" s="5">
        <v>-105</v>
      </c>
      <c r="O716" s="5">
        <v>271.83035943898898</v>
      </c>
      <c r="Q716">
        <f t="shared" si="834"/>
        <v>2.484542834364933</v>
      </c>
    </row>
    <row r="717" spans="1:17" x14ac:dyDescent="0.25">
      <c r="A717">
        <f t="shared" si="821"/>
        <v>2012.5833333333301</v>
      </c>
      <c r="B717">
        <f t="shared" si="822"/>
        <v>221</v>
      </c>
      <c r="C717">
        <f t="shared" si="823"/>
        <v>202.656958932527</v>
      </c>
      <c r="D717">
        <f t="shared" si="828"/>
        <v>-2</v>
      </c>
      <c r="E717">
        <f t="shared" si="829"/>
        <v>4.2798392755980217</v>
      </c>
      <c r="F717">
        <f t="shared" si="831"/>
        <v>2.3333333333333335</v>
      </c>
      <c r="G717">
        <f t="shared" si="832"/>
        <v>5.9992234184258679</v>
      </c>
      <c r="H717">
        <f t="shared" ref="H717:I717" si="841">+AVERAGE(F715:F719)</f>
        <v>3.4666666666666659</v>
      </c>
      <c r="I717">
        <f t="shared" si="841"/>
        <v>5.8907721007993112</v>
      </c>
      <c r="J717">
        <f t="shared" si="825"/>
        <v>2012.5833333333301</v>
      </c>
      <c r="K717">
        <f t="shared" si="826"/>
        <v>221</v>
      </c>
      <c r="L717">
        <f t="shared" si="827"/>
        <v>202.656958932527</v>
      </c>
      <c r="M717" s="5">
        <v>1939.5833333333301</v>
      </c>
      <c r="N717" s="5">
        <v>-105</v>
      </c>
      <c r="O717" s="5">
        <v>255.143550320293</v>
      </c>
      <c r="Q717">
        <f t="shared" si="834"/>
        <v>3.6658900850925344</v>
      </c>
    </row>
    <row r="718" spans="1:17" x14ac:dyDescent="0.25">
      <c r="A718">
        <f t="shared" si="821"/>
        <v>2012.6666666666599</v>
      </c>
      <c r="B718">
        <f t="shared" si="822"/>
        <v>226</v>
      </c>
      <c r="C718">
        <f t="shared" si="823"/>
        <v>193.19194460523599</v>
      </c>
      <c r="D718">
        <f t="shared" si="828"/>
        <v>0</v>
      </c>
      <c r="E718">
        <f t="shared" si="829"/>
        <v>5.2298897338444874</v>
      </c>
      <c r="F718">
        <f t="shared" si="831"/>
        <v>0.33333333333333331</v>
      </c>
      <c r="G718">
        <f t="shared" si="832"/>
        <v>3.0781070601734655</v>
      </c>
      <c r="H718">
        <f t="shared" ref="H718:I718" si="842">+AVERAGE(F716:F720)</f>
        <v>8.1333333333333329</v>
      </c>
      <c r="I718">
        <f t="shared" si="842"/>
        <v>10.445783002402214</v>
      </c>
      <c r="J718">
        <f t="shared" si="825"/>
        <v>2012.6666666666599</v>
      </c>
      <c r="K718">
        <f t="shared" si="826"/>
        <v>226</v>
      </c>
      <c r="L718">
        <f t="shared" si="827"/>
        <v>193.19194460523599</v>
      </c>
      <c r="M718" s="5">
        <v>1939.6666666666599</v>
      </c>
      <c r="N718" s="5">
        <v>-105</v>
      </c>
      <c r="O718" s="5">
        <v>220.13683220548299</v>
      </c>
      <c r="Q718">
        <f t="shared" si="834"/>
        <v>2.744773726840132</v>
      </c>
    </row>
    <row r="719" spans="1:17" x14ac:dyDescent="0.25">
      <c r="A719">
        <f t="shared" si="821"/>
        <v>2012.75</v>
      </c>
      <c r="B719">
        <f t="shared" si="822"/>
        <v>231</v>
      </c>
      <c r="C719">
        <f t="shared" si="823"/>
        <v>173.267150810256</v>
      </c>
      <c r="D719">
        <f t="shared" si="828"/>
        <v>3</v>
      </c>
      <c r="E719">
        <f t="shared" si="829"/>
        <v>2.0331724662079864</v>
      </c>
      <c r="F719">
        <f t="shared" si="831"/>
        <v>0.83333333333333337</v>
      </c>
      <c r="G719">
        <f t="shared" si="832"/>
        <v>7.4801758776134122</v>
      </c>
      <c r="H719">
        <f t="shared" ref="H719:I719" si="843">+AVERAGE(F717:F721)</f>
        <v>10.433333333333334</v>
      </c>
      <c r="I719">
        <f t="shared" si="843"/>
        <v>10.006678955518721</v>
      </c>
      <c r="J719">
        <f t="shared" si="825"/>
        <v>2012.75</v>
      </c>
      <c r="K719">
        <f t="shared" si="826"/>
        <v>231</v>
      </c>
      <c r="L719">
        <f t="shared" si="827"/>
        <v>173.267150810256</v>
      </c>
      <c r="M719" s="5">
        <v>1939.75</v>
      </c>
      <c r="N719" s="5">
        <v>-105</v>
      </c>
      <c r="O719" s="5">
        <v>145.664654414729</v>
      </c>
      <c r="Q719">
        <f t="shared" si="834"/>
        <v>6.6468425442800791</v>
      </c>
    </row>
    <row r="720" spans="1:17" x14ac:dyDescent="0.25">
      <c r="A720">
        <f t="shared" si="821"/>
        <v>2012.8333333333301</v>
      </c>
      <c r="B720">
        <f t="shared" si="822"/>
        <v>230</v>
      </c>
      <c r="C720">
        <f t="shared" si="823"/>
        <v>149.27601208286001</v>
      </c>
      <c r="D720">
        <f t="shared" si="828"/>
        <v>-0.5</v>
      </c>
      <c r="E720">
        <f t="shared" si="829"/>
        <v>20.78759734099782</v>
      </c>
      <c r="F720">
        <f t="shared" si="831"/>
        <v>29.833333333333332</v>
      </c>
      <c r="G720">
        <f t="shared" si="832"/>
        <v>25.853532488100058</v>
      </c>
      <c r="H720">
        <f t="shared" ref="H720:I720" si="844">+AVERAGE(F718:F722)</f>
        <v>12.133333333333333</v>
      </c>
      <c r="I720">
        <f t="shared" si="844"/>
        <v>7.6812813582204926</v>
      </c>
      <c r="J720">
        <f t="shared" si="825"/>
        <v>2012.8333333333301</v>
      </c>
      <c r="K720">
        <f t="shared" si="826"/>
        <v>230</v>
      </c>
      <c r="L720">
        <f t="shared" si="827"/>
        <v>149.27601208286001</v>
      </c>
      <c r="M720" s="5">
        <v>1939.8333333333301</v>
      </c>
      <c r="N720" s="5">
        <v>-105</v>
      </c>
      <c r="O720" s="5">
        <v>-5.9243407678814899</v>
      </c>
      <c r="Q720">
        <f t="shared" si="834"/>
        <v>3.9798008452332745</v>
      </c>
    </row>
    <row r="721" spans="1:17" x14ac:dyDescent="0.25">
      <c r="A721">
        <f t="shared" si="821"/>
        <v>2012.9166666666599</v>
      </c>
      <c r="B721">
        <f t="shared" si="822"/>
        <v>230</v>
      </c>
      <c r="C721">
        <f t="shared" si="823"/>
        <v>83.709678673468403</v>
      </c>
      <c r="D721">
        <f t="shared" si="828"/>
        <v>87</v>
      </c>
      <c r="E721">
        <f t="shared" si="829"/>
        <v>74.129977023169403</v>
      </c>
      <c r="F721">
        <f t="shared" si="831"/>
        <v>18.833333333333332</v>
      </c>
      <c r="G721">
        <f t="shared" si="832"/>
        <v>7.6223559332808053</v>
      </c>
      <c r="H721">
        <f t="shared" ref="H721:I721" si="845">+AVERAGE(F719:F723)</f>
        <v>8.6333333333333346</v>
      </c>
      <c r="I721">
        <f t="shared" si="845"/>
        <v>1.641181097750082</v>
      </c>
      <c r="J721">
        <f t="shared" si="825"/>
        <v>2012.9166666666599</v>
      </c>
      <c r="K721">
        <f t="shared" si="826"/>
        <v>230</v>
      </c>
      <c r="L721">
        <f t="shared" si="827"/>
        <v>83.709678673468403</v>
      </c>
      <c r="M721" s="5">
        <v>1939.9166666666599</v>
      </c>
      <c r="N721" s="5">
        <v>-105</v>
      </c>
      <c r="O721" s="5">
        <v>-146.63936910289701</v>
      </c>
      <c r="Q721">
        <f t="shared" si="834"/>
        <v>11.210977400052528</v>
      </c>
    </row>
    <row r="722" spans="1:17" x14ac:dyDescent="0.25">
      <c r="A722">
        <f t="shared" si="821"/>
        <v>2013</v>
      </c>
      <c r="B722">
        <f t="shared" si="822"/>
        <v>56</v>
      </c>
      <c r="C722">
        <f t="shared" si="823"/>
        <v>-130.11660878226201</v>
      </c>
      <c r="D722">
        <f t="shared" si="828"/>
        <v>-30</v>
      </c>
      <c r="E722">
        <f t="shared" si="829"/>
        <v>-66.333739614364205</v>
      </c>
      <c r="F722">
        <f t="shared" si="831"/>
        <v>10.833333333333334</v>
      </c>
      <c r="G722">
        <f t="shared" si="832"/>
        <v>-5.627764568065281</v>
      </c>
      <c r="H722">
        <f t="shared" ref="H722:I722" si="846">+AVERAGE(F720:F724)</f>
        <v>5.0999999999999996</v>
      </c>
      <c r="I722">
        <f t="shared" si="846"/>
        <v>-1.9748025758838548</v>
      </c>
      <c r="J722">
        <f t="shared" si="825"/>
        <v>2013</v>
      </c>
      <c r="K722">
        <f t="shared" si="826"/>
        <v>56</v>
      </c>
      <c r="L722">
        <f t="shared" si="827"/>
        <v>-130.11660878226201</v>
      </c>
      <c r="M722" s="5">
        <v>1940</v>
      </c>
      <c r="N722" s="5">
        <v>-105</v>
      </c>
      <c r="O722" s="5">
        <v>-223.04387979718999</v>
      </c>
      <c r="Q722">
        <f t="shared" si="834"/>
        <v>16.461097901398617</v>
      </c>
    </row>
    <row r="723" spans="1:17" x14ac:dyDescent="0.25">
      <c r="A723">
        <f t="shared" si="821"/>
        <v>2013.0833333333301</v>
      </c>
      <c r="B723">
        <f t="shared" si="822"/>
        <v>-58</v>
      </c>
      <c r="C723">
        <f t="shared" si="823"/>
        <v>-211.275417009264</v>
      </c>
      <c r="D723">
        <f t="shared" si="828"/>
        <v>-24.5</v>
      </c>
      <c r="E723">
        <f t="shared" si="829"/>
        <v>-28.900354539049999</v>
      </c>
      <c r="F723">
        <f t="shared" si="831"/>
        <v>-17.166666666666668</v>
      </c>
      <c r="G723">
        <f t="shared" si="832"/>
        <v>-27.122394242178586</v>
      </c>
      <c r="H723">
        <f t="shared" ref="H723:I723" si="847">+AVERAGE(F721:F725)</f>
        <v>-2.8000000000000003</v>
      </c>
      <c r="I723">
        <f t="shared" si="847"/>
        <v>-7.6823675435438403</v>
      </c>
      <c r="J723">
        <f t="shared" si="825"/>
        <v>2013.0833333333301</v>
      </c>
      <c r="K723">
        <f t="shared" si="826"/>
        <v>-58</v>
      </c>
      <c r="L723">
        <f t="shared" si="827"/>
        <v>-211.275417009264</v>
      </c>
      <c r="M723" s="5">
        <v>1940.0833333333301</v>
      </c>
      <c r="N723" s="5">
        <v>-105</v>
      </c>
      <c r="O723" s="5">
        <v>-255.892428552208</v>
      </c>
      <c r="Q723">
        <f t="shared" si="834"/>
        <v>9.9557275755119186</v>
      </c>
    </row>
    <row r="724" spans="1:17" x14ac:dyDescent="0.25">
      <c r="A724">
        <f t="shared" si="821"/>
        <v>2013.1666666666599</v>
      </c>
      <c r="B724">
        <f t="shared" si="822"/>
        <v>-123</v>
      </c>
      <c r="C724">
        <f t="shared" si="823"/>
        <v>-234.633516158166</v>
      </c>
      <c r="D724">
        <f t="shared" si="828"/>
        <v>3</v>
      </c>
      <c r="E724">
        <f t="shared" si="829"/>
        <v>-6.4748842547554943</v>
      </c>
      <c r="F724">
        <f t="shared" si="831"/>
        <v>-16.833333333333332</v>
      </c>
      <c r="G724">
        <f t="shared" si="832"/>
        <v>-10.599742490556272</v>
      </c>
      <c r="H724">
        <f t="shared" ref="H724:I724" si="848">+AVERAGE(F722:F726)</f>
        <v>-7.6666666666666661</v>
      </c>
      <c r="I724">
        <f t="shared" si="848"/>
        <v>-9.203862609356376</v>
      </c>
      <c r="J724">
        <f t="shared" si="825"/>
        <v>2013.1666666666599</v>
      </c>
      <c r="K724">
        <f t="shared" si="826"/>
        <v>-123</v>
      </c>
      <c r="L724">
        <f t="shared" si="827"/>
        <v>-234.633516158166</v>
      </c>
      <c r="M724" s="5">
        <v>1940.1666666666599</v>
      </c>
      <c r="N724" s="5">
        <v>-105</v>
      </c>
      <c r="O724" s="5">
        <v>-273.38442525128301</v>
      </c>
      <c r="Q724">
        <f t="shared" si="834"/>
        <v>6.2335908427770601</v>
      </c>
    </row>
    <row r="725" spans="1:17" x14ac:dyDescent="0.25">
      <c r="A725">
        <f t="shared" si="821"/>
        <v>2013.25</v>
      </c>
      <c r="B725">
        <f t="shared" si="822"/>
        <v>-194</v>
      </c>
      <c r="C725">
        <f t="shared" si="823"/>
        <v>-245.04184679755701</v>
      </c>
      <c r="D725">
        <f t="shared" si="828"/>
        <v>-29</v>
      </c>
      <c r="E725">
        <f t="shared" si="829"/>
        <v>-4.3737955457805242</v>
      </c>
      <c r="F725">
        <f t="shared" si="831"/>
        <v>-9.6666666666666661</v>
      </c>
      <c r="G725">
        <f t="shared" si="832"/>
        <v>-2.6842923501998714</v>
      </c>
      <c r="H725">
        <f t="shared" ref="H725:I725" si="849">+AVERAGE(F723:F727)</f>
        <v>-10.266666666666666</v>
      </c>
      <c r="I725">
        <f t="shared" si="849"/>
        <v>-8.0894498144945981</v>
      </c>
      <c r="J725">
        <f t="shared" si="825"/>
        <v>2013.25</v>
      </c>
      <c r="K725">
        <f t="shared" si="826"/>
        <v>-194</v>
      </c>
      <c r="L725">
        <f t="shared" si="827"/>
        <v>-245.04184679755701</v>
      </c>
      <c r="M725" s="5">
        <v>1940.25</v>
      </c>
      <c r="N725" s="5">
        <v>-105</v>
      </c>
      <c r="O725" s="5">
        <v>-289.65827432550299</v>
      </c>
      <c r="Q725">
        <f t="shared" si="834"/>
        <v>6.9823743164667942</v>
      </c>
    </row>
    <row r="726" spans="1:17" x14ac:dyDescent="0.25">
      <c r="A726">
        <f t="shared" si="821"/>
        <v>2013.3333333333301</v>
      </c>
      <c r="B726">
        <f t="shared" si="822"/>
        <v>-207</v>
      </c>
      <c r="C726">
        <f t="shared" si="823"/>
        <v>-246.702586345387</v>
      </c>
      <c r="D726">
        <f t="shared" si="828"/>
        <v>-3</v>
      </c>
      <c r="E726">
        <f t="shared" si="829"/>
        <v>0.78258348728650162</v>
      </c>
      <c r="F726">
        <f t="shared" si="831"/>
        <v>-5.5</v>
      </c>
      <c r="G726">
        <f t="shared" si="832"/>
        <v>1.4880604218130125E-2</v>
      </c>
      <c r="H726">
        <f t="shared" ref="H726:I726" si="850">+AVERAGE(F724:F728)</f>
        <v>-7.333333333333333</v>
      </c>
      <c r="I726">
        <f t="shared" si="850"/>
        <v>-3.0118576744424814</v>
      </c>
      <c r="J726">
        <f t="shared" si="825"/>
        <v>2013.3333333333301</v>
      </c>
      <c r="K726">
        <f t="shared" si="826"/>
        <v>-207</v>
      </c>
      <c r="L726">
        <f t="shared" si="827"/>
        <v>-246.702586345387</v>
      </c>
      <c r="M726" s="5">
        <v>1940.3333333333301</v>
      </c>
      <c r="N726" s="5">
        <v>-105</v>
      </c>
      <c r="O726" s="5">
        <v>-299.50176453549102</v>
      </c>
      <c r="Q726">
        <f t="shared" si="834"/>
        <v>5.5148806042181304</v>
      </c>
    </row>
    <row r="727" spans="1:17" x14ac:dyDescent="0.25">
      <c r="A727">
        <f t="shared" si="821"/>
        <v>2013.4166666666599</v>
      </c>
      <c r="B727">
        <f t="shared" si="822"/>
        <v>-214</v>
      </c>
      <c r="C727">
        <f t="shared" si="823"/>
        <v>-249.92849286779</v>
      </c>
      <c r="D727">
        <f t="shared" si="828"/>
        <v>15.5</v>
      </c>
      <c r="E727">
        <f t="shared" si="829"/>
        <v>3.6470143243120106</v>
      </c>
      <c r="F727">
        <f t="shared" si="831"/>
        <v>-2.1666666666666665</v>
      </c>
      <c r="G727">
        <f t="shared" si="832"/>
        <v>-5.5700593756394794E-2</v>
      </c>
      <c r="H727">
        <f t="shared" ref="H727:I727" si="851">+AVERAGE(F725:F729)</f>
        <v>-5.8</v>
      </c>
      <c r="I727">
        <f t="shared" si="851"/>
        <v>-1.5230656468519739</v>
      </c>
      <c r="J727">
        <f t="shared" si="825"/>
        <v>2013.4166666666599</v>
      </c>
      <c r="K727">
        <f t="shared" si="826"/>
        <v>-214</v>
      </c>
      <c r="L727">
        <f t="shared" si="827"/>
        <v>-249.92849286779</v>
      </c>
      <c r="M727" s="5">
        <v>1940.4166666666599</v>
      </c>
      <c r="N727" s="5">
        <v>-105</v>
      </c>
      <c r="O727" s="5">
        <v>-303.55811146343399</v>
      </c>
      <c r="Q727">
        <f t="shared" si="834"/>
        <v>2.1109660729102719</v>
      </c>
    </row>
    <row r="728" spans="1:17" x14ac:dyDescent="0.25">
      <c r="A728">
        <f t="shared" si="821"/>
        <v>2013.5</v>
      </c>
      <c r="B728">
        <f t="shared" si="822"/>
        <v>-252</v>
      </c>
      <c r="C728">
        <f t="shared" si="823"/>
        <v>-260.44842803881699</v>
      </c>
      <c r="D728">
        <f t="shared" si="828"/>
        <v>-19</v>
      </c>
      <c r="E728">
        <f t="shared" si="829"/>
        <v>-4.6384750381849926</v>
      </c>
      <c r="F728">
        <f t="shared" si="831"/>
        <v>-2.5</v>
      </c>
      <c r="G728">
        <f t="shared" si="832"/>
        <v>-1.734433541917997</v>
      </c>
      <c r="H728">
        <f t="shared" ref="H728:I728" si="852">+AVERAGE(F726:F730)</f>
        <v>-3.9666666666666663</v>
      </c>
      <c r="I728">
        <f t="shared" si="852"/>
        <v>-1.4470043642885866</v>
      </c>
      <c r="J728">
        <f t="shared" si="825"/>
        <v>2013.5</v>
      </c>
      <c r="K728">
        <f t="shared" si="826"/>
        <v>-252</v>
      </c>
      <c r="L728">
        <f t="shared" si="827"/>
        <v>-260.44842803881699</v>
      </c>
      <c r="M728" s="5">
        <v>1940.5</v>
      </c>
      <c r="N728" s="5">
        <v>-105</v>
      </c>
      <c r="O728" s="5">
        <v>-303.612379995553</v>
      </c>
      <c r="Q728">
        <f t="shared" si="834"/>
        <v>0.76556645808200297</v>
      </c>
    </row>
    <row r="729" spans="1:17" x14ac:dyDescent="0.25">
      <c r="A729">
        <f t="shared" si="821"/>
        <v>2013.5833333333301</v>
      </c>
      <c r="B729">
        <f t="shared" si="822"/>
        <v>-252</v>
      </c>
      <c r="C729">
        <f t="shared" si="823"/>
        <v>-261.69141313347399</v>
      </c>
      <c r="D729">
        <f t="shared" si="828"/>
        <v>-4</v>
      </c>
      <c r="E729">
        <f t="shared" si="829"/>
        <v>-5.5126650683195066</v>
      </c>
      <c r="F729">
        <f t="shared" si="831"/>
        <v>-9.1666666666666661</v>
      </c>
      <c r="G729">
        <f t="shared" si="832"/>
        <v>-3.1557823526037359</v>
      </c>
      <c r="H729">
        <f t="shared" ref="H729:I729" si="853">+AVERAGE(F727:F731)</f>
        <v>-2.6333333333333333</v>
      </c>
      <c r="I729">
        <f t="shared" si="853"/>
        <v>-1.254693563620934</v>
      </c>
      <c r="J729">
        <f t="shared" si="825"/>
        <v>2013.5833333333301</v>
      </c>
      <c r="K729">
        <f t="shared" si="826"/>
        <v>-252</v>
      </c>
      <c r="L729">
        <f t="shared" si="827"/>
        <v>-261.69141313347399</v>
      </c>
      <c r="M729" s="5">
        <v>1940.5833333333301</v>
      </c>
      <c r="N729" s="5">
        <v>-105</v>
      </c>
      <c r="O729" s="5">
        <v>-297.02260863921498</v>
      </c>
      <c r="Q729">
        <f t="shared" si="834"/>
        <v>6.0108843140629302</v>
      </c>
    </row>
    <row r="730" spans="1:17" x14ac:dyDescent="0.25">
      <c r="A730">
        <f t="shared" si="821"/>
        <v>2013.6666666666599</v>
      </c>
      <c r="B730">
        <f t="shared" si="822"/>
        <v>-244</v>
      </c>
      <c r="C730">
        <f t="shared" si="823"/>
        <v>-251.909068091492</v>
      </c>
      <c r="D730">
        <f t="shared" si="828"/>
        <v>-4.5</v>
      </c>
      <c r="E730">
        <f t="shared" si="829"/>
        <v>-1.68304371575951</v>
      </c>
      <c r="F730">
        <f t="shared" si="831"/>
        <v>-0.5</v>
      </c>
      <c r="G730">
        <f t="shared" si="832"/>
        <v>-2.3039859373829361</v>
      </c>
      <c r="H730">
        <f t="shared" ref="H730:I730" si="854">+AVERAGE(F728:F732)</f>
        <v>-1.6333333333333333</v>
      </c>
      <c r="I730">
        <f t="shared" si="854"/>
        <v>-0.64456951303936272</v>
      </c>
      <c r="J730">
        <f t="shared" si="825"/>
        <v>2013.6666666666599</v>
      </c>
      <c r="K730">
        <f t="shared" si="826"/>
        <v>-244</v>
      </c>
      <c r="L730">
        <f t="shared" si="827"/>
        <v>-251.909068091492</v>
      </c>
      <c r="M730" s="5">
        <v>1940.6666666666599</v>
      </c>
      <c r="N730" s="5">
        <v>-105</v>
      </c>
      <c r="O730" s="5">
        <v>-287.09027672761101</v>
      </c>
      <c r="Q730">
        <f t="shared" si="834"/>
        <v>1.8039859373829361</v>
      </c>
    </row>
    <row r="731" spans="1:17" x14ac:dyDescent="0.25">
      <c r="A731">
        <f t="shared" si="821"/>
        <v>2013.75</v>
      </c>
      <c r="B731">
        <f t="shared" si="822"/>
        <v>-227</v>
      </c>
      <c r="C731">
        <f t="shared" si="823"/>
        <v>-238.760635617991</v>
      </c>
      <c r="D731">
        <f t="shared" si="828"/>
        <v>7</v>
      </c>
      <c r="E731">
        <f t="shared" si="829"/>
        <v>-1.4442384811069928</v>
      </c>
      <c r="F731">
        <f t="shared" si="831"/>
        <v>1.1666666666666667</v>
      </c>
      <c r="G731">
        <f t="shared" si="832"/>
        <v>0.97643460755639355</v>
      </c>
      <c r="H731">
        <f t="shared" ref="H731:I731" si="855">+AVERAGE(F729:F733)</f>
        <v>-0.76666666666666661</v>
      </c>
      <c r="I731">
        <f t="shared" si="855"/>
        <v>1.1948436129282313E-3</v>
      </c>
      <c r="J731">
        <f t="shared" si="825"/>
        <v>2013.75</v>
      </c>
      <c r="K731">
        <f t="shared" si="826"/>
        <v>-227</v>
      </c>
      <c r="L731">
        <f t="shared" si="827"/>
        <v>-238.760635617991</v>
      </c>
      <c r="M731" s="5">
        <v>1940.75</v>
      </c>
      <c r="N731" s="5">
        <v>-105</v>
      </c>
      <c r="O731" s="5">
        <v>-278.54215617652102</v>
      </c>
      <c r="Q731">
        <f t="shared" si="834"/>
        <v>0.19023205911027319</v>
      </c>
    </row>
    <row r="732" spans="1:17" x14ac:dyDescent="0.25">
      <c r="A732">
        <f t="shared" si="821"/>
        <v>2013.8333333333301</v>
      </c>
      <c r="B732">
        <f t="shared" si="822"/>
        <v>-224</v>
      </c>
      <c r="C732">
        <f t="shared" si="823"/>
        <v>-222.72372618227601</v>
      </c>
      <c r="D732">
        <f t="shared" si="828"/>
        <v>1</v>
      </c>
      <c r="E732">
        <f t="shared" si="829"/>
        <v>6.7889119752029785</v>
      </c>
      <c r="F732">
        <f t="shared" si="831"/>
        <v>2.8333333333333335</v>
      </c>
      <c r="G732">
        <f t="shared" si="832"/>
        <v>2.9949196591514617</v>
      </c>
      <c r="H732">
        <f t="shared" ref="H732:I732" si="856">+AVERAGE(F730:F734)</f>
        <v>1.1000000000000001</v>
      </c>
      <c r="I732">
        <f t="shared" si="856"/>
        <v>0.37877446062386139</v>
      </c>
      <c r="J732">
        <f t="shared" si="825"/>
        <v>2013.8333333333301</v>
      </c>
      <c r="K732">
        <f t="shared" si="826"/>
        <v>-224</v>
      </c>
      <c r="L732">
        <f t="shared" si="827"/>
        <v>-222.72372618227601</v>
      </c>
      <c r="M732" s="5">
        <v>1940.8333333333301</v>
      </c>
      <c r="N732" s="5">
        <v>-105</v>
      </c>
      <c r="O732" s="5">
        <v>-265.49717158016603</v>
      </c>
      <c r="Q732">
        <f t="shared" si="834"/>
        <v>0.16158632581812826</v>
      </c>
    </row>
    <row r="733" spans="1:17" x14ac:dyDescent="0.25">
      <c r="A733">
        <f t="shared" si="821"/>
        <v>2013.9166666666599</v>
      </c>
      <c r="B733">
        <f t="shared" si="822"/>
        <v>-223</v>
      </c>
      <c r="C733">
        <f t="shared" si="823"/>
        <v>-220.26464069696701</v>
      </c>
      <c r="D733">
        <f t="shared" si="828"/>
        <v>0.5</v>
      </c>
      <c r="E733">
        <f t="shared" si="829"/>
        <v>5.8862752277219954</v>
      </c>
      <c r="F733">
        <f t="shared" si="831"/>
        <v>1.8333333333333333</v>
      </c>
      <c r="G733">
        <f t="shared" si="832"/>
        <v>1.494388241343457</v>
      </c>
      <c r="H733">
        <f t="shared" ref="H733:I733" si="857">+AVERAGE(F731:F735)</f>
        <v>0.76666666666666672</v>
      </c>
      <c r="I733">
        <f t="shared" si="857"/>
        <v>4.6316894479994632E-2</v>
      </c>
      <c r="J733">
        <f t="shared" si="825"/>
        <v>2013.9166666666599</v>
      </c>
      <c r="K733">
        <f t="shared" si="826"/>
        <v>-223</v>
      </c>
      <c r="L733">
        <f t="shared" si="827"/>
        <v>-220.26464069696701</v>
      </c>
      <c r="M733" s="5">
        <v>1940.9166666666599</v>
      </c>
      <c r="N733" s="5">
        <v>-105</v>
      </c>
      <c r="O733" s="5">
        <v>-247.659737749447</v>
      </c>
      <c r="Q733">
        <f t="shared" si="834"/>
        <v>0.33894509198987621</v>
      </c>
    </row>
    <row r="734" spans="1:17" x14ac:dyDescent="0.25">
      <c r="A734">
        <f t="shared" si="821"/>
        <v>2014</v>
      </c>
      <c r="B734">
        <f t="shared" si="822"/>
        <v>-223</v>
      </c>
      <c r="C734">
        <f t="shared" si="823"/>
        <v>-229.57810566710199</v>
      </c>
      <c r="D734">
        <f t="shared" si="828"/>
        <v>4</v>
      </c>
      <c r="E734">
        <f t="shared" si="829"/>
        <v>-7.0712312978870102</v>
      </c>
      <c r="F734">
        <f t="shared" si="831"/>
        <v>0.16666666666666666</v>
      </c>
      <c r="G734">
        <f t="shared" si="832"/>
        <v>-1.2678842675490691</v>
      </c>
      <c r="H734">
        <f t="shared" ref="H734:I734" si="858">+AVERAGE(F732:F736)</f>
        <v>-0.56666666666666654</v>
      </c>
      <c r="I734">
        <f t="shared" si="858"/>
        <v>-2.502165492053753</v>
      </c>
      <c r="J734">
        <f t="shared" si="825"/>
        <v>2014</v>
      </c>
      <c r="K734">
        <f t="shared" si="826"/>
        <v>-223</v>
      </c>
      <c r="L734">
        <f t="shared" si="827"/>
        <v>-229.57810566710199</v>
      </c>
      <c r="M734" s="5">
        <v>1941</v>
      </c>
      <c r="N734" s="5">
        <v>-105</v>
      </c>
      <c r="O734" s="5">
        <v>-220.756150548314</v>
      </c>
      <c r="Q734">
        <f t="shared" si="834"/>
        <v>1.4345509342157359</v>
      </c>
    </row>
    <row r="735" spans="1:17" x14ac:dyDescent="0.25">
      <c r="A735">
        <f t="shared" si="821"/>
        <v>2014.0833333333301</v>
      </c>
      <c r="B735">
        <f t="shared" si="822"/>
        <v>-231</v>
      </c>
      <c r="C735">
        <f t="shared" si="823"/>
        <v>-224.74910804146299</v>
      </c>
      <c r="D735">
        <f t="shared" si="828"/>
        <v>-4</v>
      </c>
      <c r="E735">
        <f t="shared" si="829"/>
        <v>-3.5696099331439939</v>
      </c>
      <c r="F735">
        <f t="shared" si="831"/>
        <v>-2.1666666666666665</v>
      </c>
      <c r="G735">
        <f t="shared" si="832"/>
        <v>-3.9662737681022691</v>
      </c>
      <c r="H735">
        <f t="shared" ref="H735:I735" si="859">+AVERAGE(F733:F737)</f>
        <v>-8.4333333333333336</v>
      </c>
      <c r="I735">
        <f t="shared" si="859"/>
        <v>-8.8279690774404571</v>
      </c>
      <c r="J735">
        <f t="shared" si="825"/>
        <v>2014.0833333333301</v>
      </c>
      <c r="K735">
        <f t="shared" si="826"/>
        <v>-231</v>
      </c>
      <c r="L735">
        <f t="shared" si="827"/>
        <v>-224.74910804146299</v>
      </c>
      <c r="M735" s="5">
        <v>1941.0833333333301</v>
      </c>
      <c r="N735" s="5">
        <v>-105</v>
      </c>
      <c r="O735" s="5">
        <v>-153.17273405877401</v>
      </c>
      <c r="Q735">
        <f t="shared" si="834"/>
        <v>1.7996071014356025</v>
      </c>
    </row>
    <row r="736" spans="1:17" x14ac:dyDescent="0.25">
      <c r="A736">
        <f t="shared" si="821"/>
        <v>2014.1666666666599</v>
      </c>
      <c r="B736">
        <f t="shared" si="822"/>
        <v>-231</v>
      </c>
      <c r="C736">
        <f t="shared" si="823"/>
        <v>-212.780890549536</v>
      </c>
      <c r="D736">
        <f t="shared" si="828"/>
        <v>-6.5</v>
      </c>
      <c r="E736">
        <f t="shared" si="829"/>
        <v>-4.2326853993525049</v>
      </c>
      <c r="F736">
        <f t="shared" si="831"/>
        <v>-5.5</v>
      </c>
      <c r="G736">
        <f t="shared" si="832"/>
        <v>-11.765977325112347</v>
      </c>
      <c r="H736">
        <f t="shared" ref="H736:I736" si="860">+AVERAGE(F734:F738)</f>
        <v>-12.6</v>
      </c>
      <c r="I736">
        <f t="shared" si="860"/>
        <v>-10.559567924818484</v>
      </c>
      <c r="J736">
        <f t="shared" si="825"/>
        <v>2014.1666666666599</v>
      </c>
      <c r="K736">
        <f t="shared" si="826"/>
        <v>-231</v>
      </c>
      <c r="L736">
        <f t="shared" si="827"/>
        <v>-212.780890549536</v>
      </c>
      <c r="M736" s="5">
        <v>1941.1666666666599</v>
      </c>
      <c r="N736" s="5">
        <v>-105</v>
      </c>
      <c r="O736" s="5">
        <v>-2.6568841688058602</v>
      </c>
      <c r="Q736">
        <f t="shared" si="834"/>
        <v>6.2659773251123472</v>
      </c>
    </row>
    <row r="737" spans="1:17" x14ac:dyDescent="0.25">
      <c r="A737">
        <f t="shared" si="821"/>
        <v>2014.25</v>
      </c>
      <c r="B737">
        <f t="shared" si="822"/>
        <v>-218</v>
      </c>
      <c r="C737">
        <f t="shared" si="823"/>
        <v>-192.34730225890399</v>
      </c>
      <c r="D737">
        <f t="shared" si="828"/>
        <v>-6</v>
      </c>
      <c r="E737">
        <f t="shared" si="829"/>
        <v>-36.320119636674804</v>
      </c>
      <c r="F737">
        <f t="shared" si="831"/>
        <v>-36.5</v>
      </c>
      <c r="G737">
        <f t="shared" si="832"/>
        <v>-28.634098267782061</v>
      </c>
      <c r="H737">
        <f t="shared" ref="H737:I737" si="861">+AVERAGE(F735:F739)</f>
        <v>-13.033333333333331</v>
      </c>
      <c r="I737">
        <f t="shared" si="861"/>
        <v>-8.4488130530222829</v>
      </c>
      <c r="J737">
        <f t="shared" si="825"/>
        <v>2014.25</v>
      </c>
      <c r="K737">
        <f t="shared" si="826"/>
        <v>-218</v>
      </c>
      <c r="L737">
        <f t="shared" si="827"/>
        <v>-192.34730225890399</v>
      </c>
      <c r="M737" s="5">
        <v>1941.25</v>
      </c>
      <c r="N737" s="5">
        <v>-105</v>
      </c>
      <c r="O737" s="5">
        <v>144.88390433140501</v>
      </c>
      <c r="Q737">
        <f t="shared" si="834"/>
        <v>7.8659017322179388</v>
      </c>
    </row>
    <row r="738" spans="1:17" x14ac:dyDescent="0.25">
      <c r="A738">
        <f t="shared" si="821"/>
        <v>2014.3333333333301</v>
      </c>
      <c r="B738">
        <f t="shared" si="822"/>
        <v>-193</v>
      </c>
      <c r="C738">
        <f t="shared" si="823"/>
        <v>-99.273474694922399</v>
      </c>
      <c r="D738">
        <f t="shared" si="828"/>
        <v>-97</v>
      </c>
      <c r="E738">
        <f t="shared" si="829"/>
        <v>-66.825063468155406</v>
      </c>
      <c r="F738">
        <f t="shared" si="831"/>
        <v>-19</v>
      </c>
      <c r="G738">
        <f t="shared" si="832"/>
        <v>-7.1636059955466713</v>
      </c>
      <c r="H738">
        <f t="shared" ref="H738:I738" si="862">+AVERAGE(F736:F740)</f>
        <v>-5.7</v>
      </c>
      <c r="I738">
        <f t="shared" si="862"/>
        <v>-1.4984151029277122</v>
      </c>
      <c r="J738">
        <f t="shared" si="825"/>
        <v>2014.3333333333301</v>
      </c>
      <c r="K738">
        <f t="shared" si="826"/>
        <v>-193</v>
      </c>
      <c r="L738">
        <f t="shared" si="827"/>
        <v>-99.273474694922399</v>
      </c>
      <c r="M738" s="5">
        <v>1941.3333333333301</v>
      </c>
      <c r="N738" s="5">
        <v>-105</v>
      </c>
      <c r="O738" s="5">
        <v>223.822805059524</v>
      </c>
      <c r="Q738">
        <f t="shared" si="834"/>
        <v>11.836394004453329</v>
      </c>
    </row>
    <row r="739" spans="1:17" x14ac:dyDescent="0.25">
      <c r="A739">
        <f t="shared" si="821"/>
        <v>2014.4166666666599</v>
      </c>
      <c r="B739">
        <f t="shared" si="822"/>
        <v>26</v>
      </c>
      <c r="C739">
        <f t="shared" si="823"/>
        <v>127.45047980536999</v>
      </c>
      <c r="D739">
        <f t="shared" si="828"/>
        <v>46</v>
      </c>
      <c r="E739">
        <f t="shared" si="829"/>
        <v>76.281660621530193</v>
      </c>
      <c r="F739">
        <f t="shared" si="831"/>
        <v>-2</v>
      </c>
      <c r="G739">
        <f t="shared" si="832"/>
        <v>9.285890091431936</v>
      </c>
      <c r="H739">
        <f t="shared" ref="H739:I739" si="863">+AVERAGE(F737:F741)</f>
        <v>-0.7</v>
      </c>
      <c r="I739">
        <f t="shared" si="863"/>
        <v>3.1684263900407585</v>
      </c>
      <c r="J739">
        <f t="shared" si="825"/>
        <v>2014.4166666666599</v>
      </c>
      <c r="K739">
        <f t="shared" si="826"/>
        <v>26</v>
      </c>
      <c r="L739">
        <f t="shared" si="827"/>
        <v>127.45047980536999</v>
      </c>
      <c r="M739" s="5">
        <v>1941.4166666666599</v>
      </c>
      <c r="N739" s="5">
        <v>-105</v>
      </c>
      <c r="O739" s="5">
        <v>259.34653695715502</v>
      </c>
      <c r="Q739">
        <f t="shared" si="834"/>
        <v>11.285890091431936</v>
      </c>
    </row>
    <row r="740" spans="1:17" x14ac:dyDescent="0.25">
      <c r="A740">
        <f t="shared" si="821"/>
        <v>2014.5</v>
      </c>
      <c r="B740">
        <f t="shared" si="822"/>
        <v>153</v>
      </c>
      <c r="C740">
        <f t="shared" si="823"/>
        <v>201.61111306260199</v>
      </c>
      <c r="D740">
        <f t="shared" si="828"/>
        <v>45</v>
      </c>
      <c r="E740">
        <f t="shared" si="829"/>
        <v>25.365490689494976</v>
      </c>
      <c r="F740">
        <f t="shared" si="831"/>
        <v>34.5</v>
      </c>
      <c r="G740">
        <f t="shared" si="832"/>
        <v>30.785715982370586</v>
      </c>
      <c r="H740">
        <f t="shared" ref="H740:I740" si="864">+AVERAGE(F738:F742)</f>
        <v>7.833333333333333</v>
      </c>
      <c r="I740">
        <f t="shared" si="864"/>
        <v>9.5431342154589878</v>
      </c>
      <c r="J740">
        <f t="shared" ref="J740:J771" si="865">+$M1616</f>
        <v>2014.5</v>
      </c>
      <c r="K740">
        <f t="shared" ref="K740:K771" si="866">+$N1616</f>
        <v>153</v>
      </c>
      <c r="L740">
        <f t="shared" ref="L740:L771" si="867">+$O1616</f>
        <v>201.61111306260199</v>
      </c>
      <c r="M740" s="5">
        <v>1941.5</v>
      </c>
      <c r="N740" s="5">
        <v>-105</v>
      </c>
      <c r="O740" s="5">
        <v>273.59614760934898</v>
      </c>
      <c r="Q740">
        <f t="shared" si="834"/>
        <v>3.7142840176294136</v>
      </c>
    </row>
    <row r="741" spans="1:17" x14ac:dyDescent="0.25">
      <c r="A741">
        <f t="shared" si="821"/>
        <v>2014.5833333333301</v>
      </c>
      <c r="B741">
        <f t="shared" si="822"/>
        <v>190</v>
      </c>
      <c r="C741">
        <f t="shared" si="823"/>
        <v>225.04076494084401</v>
      </c>
      <c r="D741">
        <f t="shared" si="828"/>
        <v>12.5</v>
      </c>
      <c r="E741">
        <f t="shared" si="829"/>
        <v>13.799283622864522</v>
      </c>
      <c r="F741">
        <f t="shared" si="831"/>
        <v>19.5</v>
      </c>
      <c r="G741">
        <f t="shared" si="832"/>
        <v>11.568230139730002</v>
      </c>
      <c r="H741">
        <f t="shared" ref="H741:I741" si="868">+AVERAGE(F739:F743)</f>
        <v>12.2</v>
      </c>
      <c r="I741">
        <f t="shared" si="868"/>
        <v>11.111914455326</v>
      </c>
      <c r="J741">
        <f t="shared" si="865"/>
        <v>2014.5833333333301</v>
      </c>
      <c r="K741">
        <f t="shared" si="866"/>
        <v>190</v>
      </c>
      <c r="L741">
        <f t="shared" si="867"/>
        <v>225.04076494084401</v>
      </c>
      <c r="M741" s="5">
        <v>1941.5833333333301</v>
      </c>
      <c r="N741" s="5">
        <v>-105</v>
      </c>
      <c r="O741" s="5">
        <v>277.94992194410798</v>
      </c>
      <c r="Q741">
        <f t="shared" si="834"/>
        <v>7.9317698602699984</v>
      </c>
    </row>
    <row r="742" spans="1:17" x14ac:dyDescent="0.25">
      <c r="A742">
        <f t="shared" si="821"/>
        <v>2014.6666666666599</v>
      </c>
      <c r="B742">
        <f t="shared" si="822"/>
        <v>202</v>
      </c>
      <c r="C742">
        <f t="shared" si="823"/>
        <v>220.871849573357</v>
      </c>
      <c r="D742">
        <f t="shared" si="828"/>
        <v>1</v>
      </c>
      <c r="E742">
        <f t="shared" si="829"/>
        <v>4.2160887116280037</v>
      </c>
      <c r="F742">
        <f t="shared" si="831"/>
        <v>6.166666666666667</v>
      </c>
      <c r="G742">
        <f t="shared" si="832"/>
        <v>3.2394408593090782</v>
      </c>
      <c r="H742">
        <f t="shared" ref="H742:I742" si="869">+AVERAGE(F740:F744)</f>
        <v>13.766666666666666</v>
      </c>
      <c r="I742">
        <f t="shared" si="869"/>
        <v>9.6008426213487876</v>
      </c>
      <c r="J742">
        <f t="shared" si="865"/>
        <v>2014.6666666666599</v>
      </c>
      <c r="K742">
        <f t="shared" si="866"/>
        <v>202</v>
      </c>
      <c r="L742">
        <f t="shared" si="867"/>
        <v>220.871849573357</v>
      </c>
      <c r="M742" s="5">
        <v>1941.6666666666599</v>
      </c>
      <c r="N742" s="5">
        <v>-105</v>
      </c>
      <c r="O742" s="5">
        <v>274.91036653202599</v>
      </c>
      <c r="Q742">
        <f t="shared" si="834"/>
        <v>2.9272258073575887</v>
      </c>
    </row>
    <row r="743" spans="1:17" x14ac:dyDescent="0.25">
      <c r="A743">
        <f t="shared" si="821"/>
        <v>2014.75</v>
      </c>
      <c r="B743">
        <f t="shared" si="822"/>
        <v>212</v>
      </c>
      <c r="C743">
        <f t="shared" si="823"/>
        <v>208.270756782614</v>
      </c>
      <c r="D743">
        <f t="shared" si="828"/>
        <v>5</v>
      </c>
      <c r="E743">
        <f t="shared" si="829"/>
        <v>-5.8674691120834837</v>
      </c>
      <c r="F743">
        <f t="shared" si="831"/>
        <v>2.8333333333333335</v>
      </c>
      <c r="G743">
        <f t="shared" si="832"/>
        <v>0.68029520378840225</v>
      </c>
      <c r="H743">
        <f t="shared" ref="H743:I743" si="870">+AVERAGE(F741:F745)</f>
        <v>6.8666666666666671</v>
      </c>
      <c r="I743">
        <f t="shared" si="870"/>
        <v>4.0974794083230428</v>
      </c>
      <c r="J743">
        <f t="shared" si="865"/>
        <v>2014.75</v>
      </c>
      <c r="K743">
        <f t="shared" si="866"/>
        <v>212</v>
      </c>
      <c r="L743">
        <f t="shared" si="867"/>
        <v>208.270756782614</v>
      </c>
      <c r="M743" s="5">
        <v>1941.75</v>
      </c>
      <c r="N743" s="5">
        <v>-105</v>
      </c>
      <c r="O743" s="5">
        <v>270.84976584836602</v>
      </c>
      <c r="Q743">
        <f t="shared" si="834"/>
        <v>2.1530381295449312</v>
      </c>
    </row>
    <row r="744" spans="1:17" x14ac:dyDescent="0.25">
      <c r="A744">
        <f t="shared" si="821"/>
        <v>2014.8333333333301</v>
      </c>
      <c r="B744">
        <f t="shared" si="822"/>
        <v>212</v>
      </c>
      <c r="C744">
        <f t="shared" si="823"/>
        <v>207.404602216038</v>
      </c>
      <c r="D744">
        <f t="shared" si="828"/>
        <v>2.5</v>
      </c>
      <c r="E744">
        <f t="shared" si="829"/>
        <v>4.2024874146619879</v>
      </c>
      <c r="F744">
        <f t="shared" si="831"/>
        <v>5.833333333333333</v>
      </c>
      <c r="G744">
        <f t="shared" si="832"/>
        <v>1.7305309215458693</v>
      </c>
      <c r="H744">
        <f t="shared" ref="H744:I744" si="871">+AVERAGE(F742:F746)</f>
        <v>2.5333333333333332</v>
      </c>
      <c r="I744">
        <f t="shared" si="871"/>
        <v>2.0799356238355768</v>
      </c>
      <c r="J744">
        <f t="shared" si="865"/>
        <v>2014.8333333333301</v>
      </c>
      <c r="K744">
        <f t="shared" si="866"/>
        <v>212</v>
      </c>
      <c r="L744">
        <f t="shared" si="867"/>
        <v>207.404602216038</v>
      </c>
      <c r="M744" s="5">
        <v>1941.8333333333301</v>
      </c>
      <c r="N744" s="5">
        <v>-105</v>
      </c>
      <c r="O744" s="5">
        <v>269.00592834355501</v>
      </c>
      <c r="Q744">
        <f t="shared" si="834"/>
        <v>4.1028024117874633</v>
      </c>
    </row>
    <row r="745" spans="1:17" x14ac:dyDescent="0.25">
      <c r="A745">
        <f t="shared" si="821"/>
        <v>2014.9166666666599</v>
      </c>
      <c r="B745">
        <f t="shared" si="822"/>
        <v>207</v>
      </c>
      <c r="C745">
        <f t="shared" si="823"/>
        <v>198.133472820138</v>
      </c>
      <c r="D745">
        <f t="shared" si="828"/>
        <v>10</v>
      </c>
      <c r="E745">
        <f t="shared" si="829"/>
        <v>8.1544726532185052</v>
      </c>
      <c r="F745">
        <f t="shared" si="831"/>
        <v>0</v>
      </c>
      <c r="G745">
        <f t="shared" si="832"/>
        <v>3.268899917241864</v>
      </c>
      <c r="H745">
        <f t="shared" ref="H745:I745" si="872">+AVERAGE(F743:F747)</f>
        <v>-6.666666666666661E-2</v>
      </c>
      <c r="I745">
        <f t="shared" si="872"/>
        <v>0.2039363063706407</v>
      </c>
      <c r="J745">
        <f t="shared" si="865"/>
        <v>2014.9166666666599</v>
      </c>
      <c r="K745">
        <f t="shared" si="866"/>
        <v>207</v>
      </c>
      <c r="L745">
        <f t="shared" si="867"/>
        <v>198.133472820138</v>
      </c>
      <c r="M745" s="5">
        <v>1941.9166666666599</v>
      </c>
      <c r="N745" s="5">
        <v>-105</v>
      </c>
      <c r="O745" s="5">
        <v>258.94137024563997</v>
      </c>
      <c r="Q745">
        <f t="shared" si="834"/>
        <v>3.268899917241864</v>
      </c>
    </row>
    <row r="746" spans="1:17" x14ac:dyDescent="0.25">
      <c r="A746">
        <f t="shared" si="821"/>
        <v>2015</v>
      </c>
      <c r="B746">
        <f t="shared" si="822"/>
        <v>182</v>
      </c>
      <c r="C746">
        <f t="shared" si="823"/>
        <v>172.55339811780101</v>
      </c>
      <c r="D746">
        <f t="shared" si="828"/>
        <v>-12.5</v>
      </c>
      <c r="E746">
        <f t="shared" si="829"/>
        <v>-9.8585378223503994E-2</v>
      </c>
      <c r="F746">
        <f t="shared" si="831"/>
        <v>-2.1666666666666665</v>
      </c>
      <c r="G746">
        <f t="shared" si="832"/>
        <v>1.4805112172926709</v>
      </c>
      <c r="H746">
        <f t="shared" ref="H746:I746" si="873">+AVERAGE(F744:F748)</f>
        <v>-0.6333333333333333</v>
      </c>
      <c r="I746">
        <f t="shared" si="873"/>
        <v>-1.5291507608298935</v>
      </c>
      <c r="J746">
        <f t="shared" si="865"/>
        <v>2015</v>
      </c>
      <c r="K746">
        <f t="shared" si="866"/>
        <v>182</v>
      </c>
      <c r="L746">
        <f t="shared" si="867"/>
        <v>172.55339811780101</v>
      </c>
      <c r="M746" s="5">
        <v>1942</v>
      </c>
      <c r="N746" s="5">
        <v>-105</v>
      </c>
      <c r="O746" s="5">
        <v>232.49777009777199</v>
      </c>
      <c r="Q746">
        <f t="shared" si="834"/>
        <v>3.6471778839593374</v>
      </c>
    </row>
    <row r="747" spans="1:17" x14ac:dyDescent="0.25">
      <c r="A747">
        <f t="shared" si="821"/>
        <v>2015.0833333333301</v>
      </c>
      <c r="B747">
        <f t="shared" si="822"/>
        <v>182</v>
      </c>
      <c r="C747">
        <f t="shared" si="823"/>
        <v>147.170494171911</v>
      </c>
      <c r="D747">
        <f t="shared" si="828"/>
        <v>-4</v>
      </c>
      <c r="E747">
        <f t="shared" si="829"/>
        <v>-2.5039702101474859</v>
      </c>
      <c r="F747">
        <f t="shared" si="831"/>
        <v>-6.833333333333333</v>
      </c>
      <c r="G747">
        <f t="shared" si="832"/>
        <v>-6.1405557280156025</v>
      </c>
      <c r="H747">
        <f t="shared" ref="H747:I747" si="874">+AVERAGE(F745:F749)</f>
        <v>4.1666666666666661</v>
      </c>
      <c r="I747">
        <f t="shared" si="874"/>
        <v>-2.1058713241243217</v>
      </c>
      <c r="J747">
        <f t="shared" si="865"/>
        <v>2015.0833333333301</v>
      </c>
      <c r="K747">
        <f t="shared" si="866"/>
        <v>182</v>
      </c>
      <c r="L747">
        <f t="shared" si="867"/>
        <v>147.170494171911</v>
      </c>
      <c r="M747" s="5">
        <v>1942.0833333333301</v>
      </c>
      <c r="N747" s="5">
        <v>-105</v>
      </c>
      <c r="O747" s="5">
        <v>178.521122198352</v>
      </c>
      <c r="Q747">
        <f t="shared" si="834"/>
        <v>0.69277760531773058</v>
      </c>
    </row>
    <row r="748" spans="1:17" x14ac:dyDescent="0.25">
      <c r="A748">
        <f t="shared" si="821"/>
        <v>2015.1666666666599</v>
      </c>
      <c r="B748">
        <f t="shared" si="822"/>
        <v>190</v>
      </c>
      <c r="C748">
        <f t="shared" si="823"/>
        <v>126.795530646316</v>
      </c>
      <c r="D748">
        <f t="shared" si="828"/>
        <v>-4</v>
      </c>
      <c r="E748">
        <f t="shared" si="829"/>
        <v>-20.424528391687517</v>
      </c>
      <c r="F748">
        <f t="shared" si="831"/>
        <v>0</v>
      </c>
      <c r="G748">
        <f t="shared" si="832"/>
        <v>-7.9851401322142692</v>
      </c>
      <c r="H748">
        <f t="shared" ref="H748:I748" si="875">+AVERAGE(F746:F750)</f>
        <v>11.866666666666665</v>
      </c>
      <c r="I748">
        <f t="shared" si="875"/>
        <v>0.54476814103921212</v>
      </c>
      <c r="J748">
        <f t="shared" si="865"/>
        <v>2015.1666666666599</v>
      </c>
      <c r="K748">
        <f t="shared" si="866"/>
        <v>190</v>
      </c>
      <c r="L748">
        <f t="shared" si="867"/>
        <v>126.795530646316</v>
      </c>
      <c r="M748" s="5">
        <v>1942.1666666666599</v>
      </c>
      <c r="N748" s="5">
        <v>-105</v>
      </c>
      <c r="O748" s="5">
        <v>9.2882566839839704</v>
      </c>
      <c r="Q748">
        <f t="shared" si="834"/>
        <v>7.9851401322142692</v>
      </c>
    </row>
    <row r="749" spans="1:17" x14ac:dyDescent="0.25">
      <c r="A749">
        <f t="shared" si="821"/>
        <v>2015.25</v>
      </c>
      <c r="B749">
        <f t="shared" si="822"/>
        <v>206</v>
      </c>
      <c r="C749">
        <f t="shared" si="823"/>
        <v>147.26962390409599</v>
      </c>
      <c r="D749">
        <f t="shared" si="828"/>
        <v>8</v>
      </c>
      <c r="E749">
        <f t="shared" si="829"/>
        <v>-7.015776893968507</v>
      </c>
      <c r="F749">
        <f t="shared" si="831"/>
        <v>29.833333333333332</v>
      </c>
      <c r="G749">
        <f t="shared" si="832"/>
        <v>-1.1530718949262715</v>
      </c>
      <c r="H749">
        <f t="shared" ref="H749:I749" si="876">+AVERAGE(F747:F751)</f>
        <v>14.1</v>
      </c>
      <c r="I749">
        <f t="shared" si="876"/>
        <v>6.9976364318168773</v>
      </c>
      <c r="J749">
        <f t="shared" si="865"/>
        <v>2015.25</v>
      </c>
      <c r="K749">
        <f t="shared" si="866"/>
        <v>206</v>
      </c>
      <c r="L749">
        <f t="shared" si="867"/>
        <v>147.26962390409599</v>
      </c>
      <c r="M749" s="5">
        <v>1942.25</v>
      </c>
      <c r="N749" s="5">
        <v>-105</v>
      </c>
      <c r="O749" s="5">
        <v>-167.741216156349</v>
      </c>
      <c r="Q749">
        <f t="shared" si="834"/>
        <v>30.986405228259603</v>
      </c>
    </row>
    <row r="750" spans="1:17" x14ac:dyDescent="0.25">
      <c r="A750">
        <f t="shared" si="821"/>
        <v>2015.3333333333301</v>
      </c>
      <c r="B750">
        <f t="shared" si="822"/>
        <v>206</v>
      </c>
      <c r="C750">
        <f t="shared" si="823"/>
        <v>181.77527094981301</v>
      </c>
      <c r="D750">
        <f t="shared" si="828"/>
        <v>85.5</v>
      </c>
      <c r="E750">
        <f t="shared" si="829"/>
        <v>23.116285679682505</v>
      </c>
      <c r="F750">
        <f t="shared" si="831"/>
        <v>38.5</v>
      </c>
      <c r="G750">
        <f t="shared" si="832"/>
        <v>16.522097243059534</v>
      </c>
      <c r="H750">
        <f t="shared" ref="H750:I750" si="877">+AVERAGE(F748:F752)</f>
        <v>9.966666666666665</v>
      </c>
      <c r="I750">
        <f t="shared" si="877"/>
        <v>9.8783726149650128</v>
      </c>
      <c r="J750">
        <f t="shared" si="865"/>
        <v>2015.3333333333301</v>
      </c>
      <c r="K750">
        <f t="shared" si="866"/>
        <v>206</v>
      </c>
      <c r="L750">
        <f t="shared" si="867"/>
        <v>181.77527094981301</v>
      </c>
      <c r="M750" s="5">
        <v>1942.3333333333301</v>
      </c>
      <c r="N750" s="5">
        <v>-105</v>
      </c>
      <c r="O750" s="5">
        <v>-227.76333491326901</v>
      </c>
      <c r="Q750">
        <f t="shared" si="834"/>
        <v>21.977902756940466</v>
      </c>
    </row>
    <row r="751" spans="1:17" x14ac:dyDescent="0.25">
      <c r="A751">
        <f t="shared" si="821"/>
        <v>2015.4166666666599</v>
      </c>
      <c r="B751">
        <f t="shared" si="822"/>
        <v>35</v>
      </c>
      <c r="C751">
        <f t="shared" si="823"/>
        <v>170.04834663616501</v>
      </c>
      <c r="D751">
        <f t="shared" si="828"/>
        <v>22</v>
      </c>
      <c r="E751">
        <f t="shared" si="829"/>
        <v>45.857355875759254</v>
      </c>
      <c r="F751">
        <f t="shared" si="831"/>
        <v>9</v>
      </c>
      <c r="G751">
        <f t="shared" si="832"/>
        <v>33.744852671181</v>
      </c>
      <c r="H751">
        <f t="shared" ref="H751:I751" si="878">+AVERAGE(F749:F753)</f>
        <v>2.7999999999999985</v>
      </c>
      <c r="I751">
        <f t="shared" si="878"/>
        <v>9.1002898220585724</v>
      </c>
      <c r="J751">
        <f t="shared" si="865"/>
        <v>2015.4166666666599</v>
      </c>
      <c r="K751">
        <f t="shared" si="866"/>
        <v>35</v>
      </c>
      <c r="L751">
        <f t="shared" si="867"/>
        <v>170.04834663616501</v>
      </c>
      <c r="M751" s="5">
        <v>1942.4166666666599</v>
      </c>
      <c r="N751" s="5">
        <v>-105</v>
      </c>
      <c r="O751" s="5">
        <v>-266.425854822573</v>
      </c>
      <c r="Q751">
        <f t="shared" si="834"/>
        <v>24.744852671181</v>
      </c>
    </row>
    <row r="752" spans="1:17" x14ac:dyDescent="0.25">
      <c r="A752">
        <f t="shared" si="821"/>
        <v>2015.5</v>
      </c>
      <c r="B752">
        <f t="shared" si="822"/>
        <v>-180</v>
      </c>
      <c r="C752">
        <f t="shared" si="823"/>
        <v>66.606710570998501</v>
      </c>
      <c r="D752">
        <f t="shared" si="828"/>
        <v>-80.5</v>
      </c>
      <c r="E752">
        <f t="shared" si="829"/>
        <v>57.569555961486998</v>
      </c>
      <c r="F752">
        <f t="shared" si="831"/>
        <v>-27.5</v>
      </c>
      <c r="G752">
        <f t="shared" si="832"/>
        <v>8.263125187725068</v>
      </c>
      <c r="H752">
        <f t="shared" ref="H752:I752" si="879">+AVERAGE(F750:F754)</f>
        <v>-5.0666666666666673</v>
      </c>
      <c r="I752">
        <f t="shared" si="879"/>
        <v>3.4148241307676259</v>
      </c>
      <c r="J752">
        <f t="shared" si="865"/>
        <v>2015.5</v>
      </c>
      <c r="K752">
        <f t="shared" si="866"/>
        <v>-180</v>
      </c>
      <c r="L752">
        <f t="shared" si="867"/>
        <v>66.606710570998501</v>
      </c>
      <c r="M752" s="5">
        <v>1942.5</v>
      </c>
      <c r="N752" s="5">
        <v>-105</v>
      </c>
      <c r="O752" s="5">
        <v>-286.11378692687498</v>
      </c>
      <c r="Q752">
        <f t="shared" si="834"/>
        <v>35.763125187725066</v>
      </c>
    </row>
    <row r="753" spans="1:17" x14ac:dyDescent="0.25">
      <c r="A753">
        <f t="shared" si="821"/>
        <v>2015.5833333333301</v>
      </c>
      <c r="B753">
        <f t="shared" si="822"/>
        <v>-234</v>
      </c>
      <c r="C753">
        <f t="shared" si="823"/>
        <v>-151.974037417142</v>
      </c>
      <c r="D753">
        <f t="shared" si="828"/>
        <v>-24</v>
      </c>
      <c r="E753">
        <f t="shared" si="829"/>
        <v>-72.44019238327725</v>
      </c>
      <c r="F753">
        <f t="shared" si="831"/>
        <v>-35.833333333333336</v>
      </c>
      <c r="G753">
        <f t="shared" si="832"/>
        <v>-11.87555409674647</v>
      </c>
      <c r="J753">
        <f t="shared" si="865"/>
        <v>2015.5833333333301</v>
      </c>
      <c r="K753">
        <f t="shared" si="866"/>
        <v>-234</v>
      </c>
      <c r="L753">
        <f t="shared" si="867"/>
        <v>-151.974037417142</v>
      </c>
      <c r="M753" s="5">
        <v>1942.5833333333301</v>
      </c>
      <c r="N753" s="5">
        <v>-105</v>
      </c>
      <c r="O753" s="5">
        <v>-293.29856680071902</v>
      </c>
      <c r="Q753">
        <f t="shared" si="834"/>
        <v>23.957779236586866</v>
      </c>
    </row>
    <row r="754" spans="1:17" x14ac:dyDescent="0.25">
      <c r="A754">
        <f t="shared" si="821"/>
        <v>2015.6666666666599</v>
      </c>
      <c r="B754">
        <f t="shared" si="822"/>
        <v>-240</v>
      </c>
      <c r="C754">
        <f t="shared" si="823"/>
        <v>-225.674400638728</v>
      </c>
      <c r="D754">
        <f t="shared" si="828"/>
        <v>-3</v>
      </c>
      <c r="E754">
        <f t="shared" si="829"/>
        <v>-29.662691441009002</v>
      </c>
      <c r="F754">
        <f t="shared" si="831"/>
        <v>-9.5</v>
      </c>
      <c r="G754">
        <f t="shared" si="832"/>
        <v>-29.580400351381002</v>
      </c>
      <c r="J754">
        <f t="shared" si="865"/>
        <v>2015.6666666666599</v>
      </c>
      <c r="K754">
        <f t="shared" si="866"/>
        <v>-240</v>
      </c>
      <c r="L754">
        <f t="shared" si="867"/>
        <v>-225.674400638728</v>
      </c>
      <c r="M754" s="5">
        <v>1942.6666666666599</v>
      </c>
      <c r="N754" s="5">
        <v>-105</v>
      </c>
      <c r="O754" s="5">
        <v>-295.10402211955699</v>
      </c>
      <c r="Q754">
        <f t="shared" si="834"/>
        <v>20.080400351381002</v>
      </c>
    </row>
    <row r="755" spans="1:17" x14ac:dyDescent="0.25">
      <c r="A755">
        <f t="shared" si="821"/>
        <v>2015.75</v>
      </c>
      <c r="B755">
        <f t="shared" si="822"/>
        <v>-240</v>
      </c>
      <c r="C755">
        <f t="shared" si="823"/>
        <v>-240.049380978296</v>
      </c>
      <c r="D755">
        <f t="shared" si="828"/>
        <v>-1.5</v>
      </c>
      <c r="E755">
        <f t="shared" si="829"/>
        <v>-8.8236174933925042</v>
      </c>
      <c r="J755">
        <f t="shared" si="865"/>
        <v>2015.75</v>
      </c>
      <c r="K755">
        <f t="shared" si="866"/>
        <v>-240</v>
      </c>
      <c r="L755">
        <f t="shared" si="867"/>
        <v>-240.049380978296</v>
      </c>
      <c r="M755" s="5">
        <v>1942.75</v>
      </c>
      <c r="N755" s="5">
        <v>-105</v>
      </c>
      <c r="O755" s="5">
        <v>-291.48353713496198</v>
      </c>
    </row>
    <row r="756" spans="1:17" x14ac:dyDescent="0.25">
      <c r="A756">
        <f t="shared" si="821"/>
        <v>2015.8333333333301</v>
      </c>
      <c r="B756">
        <f t="shared" si="822"/>
        <v>-237</v>
      </c>
      <c r="C756">
        <f t="shared" si="823"/>
        <v>-236.77712633107899</v>
      </c>
      <c r="J756">
        <f t="shared" si="865"/>
        <v>2015.8333333333301</v>
      </c>
      <c r="K756">
        <f t="shared" si="866"/>
        <v>-237</v>
      </c>
      <c r="L756">
        <f t="shared" si="867"/>
        <v>-236.77712633107899</v>
      </c>
      <c r="M756" s="5">
        <v>1942.8333333333301</v>
      </c>
      <c r="N756" s="5">
        <v>-105</v>
      </c>
      <c r="O756" s="5">
        <v>-288.76817336868697</v>
      </c>
    </row>
    <row r="757" spans="1:17" x14ac:dyDescent="0.25">
      <c r="M757" s="5">
        <v>1942.9166666666599</v>
      </c>
      <c r="N757" s="5">
        <v>-105</v>
      </c>
      <c r="O757" s="5">
        <v>-293.48822617906001</v>
      </c>
    </row>
    <row r="758" spans="1:17" x14ac:dyDescent="0.25">
      <c r="M758" s="5">
        <v>1943</v>
      </c>
      <c r="N758" s="5">
        <v>-105</v>
      </c>
      <c r="O758" s="5">
        <v>-296.66134913009699</v>
      </c>
    </row>
    <row r="759" spans="1:17" x14ac:dyDescent="0.25">
      <c r="M759" s="5">
        <v>1943.0833333333301</v>
      </c>
      <c r="N759" s="5">
        <v>-105</v>
      </c>
      <c r="O759" s="5">
        <v>-295.83119984220099</v>
      </c>
    </row>
    <row r="760" spans="1:17" x14ac:dyDescent="0.25">
      <c r="M760" s="5">
        <v>1943.1666666666599</v>
      </c>
      <c r="N760" s="5">
        <v>-105</v>
      </c>
      <c r="O760" s="5">
        <v>-293.11559160482801</v>
      </c>
    </row>
    <row r="761" spans="1:17" x14ac:dyDescent="0.25">
      <c r="M761" s="5">
        <v>1943.25</v>
      </c>
      <c r="N761" s="5">
        <v>-105</v>
      </c>
      <c r="O761" s="5">
        <v>-282.21423318460398</v>
      </c>
    </row>
    <row r="762" spans="1:17" x14ac:dyDescent="0.25">
      <c r="M762" s="5">
        <v>1943.3333333333301</v>
      </c>
      <c r="N762" s="5">
        <v>-105</v>
      </c>
      <c r="O762" s="5">
        <v>-255.02743798757299</v>
      </c>
    </row>
    <row r="763" spans="1:17" x14ac:dyDescent="0.25">
      <c r="M763" s="5">
        <v>1943.4166666666599</v>
      </c>
      <c r="N763" s="5">
        <v>-105</v>
      </c>
      <c r="O763" s="5">
        <v>-186.00144512382801</v>
      </c>
    </row>
    <row r="764" spans="1:17" x14ac:dyDescent="0.25">
      <c r="M764" s="5">
        <v>1943.5</v>
      </c>
      <c r="N764" s="5">
        <v>-105</v>
      </c>
      <c r="O764" s="5">
        <v>79.117375306851798</v>
      </c>
    </row>
    <row r="765" spans="1:17" x14ac:dyDescent="0.25">
      <c r="M765" s="5">
        <v>1943.5833333333301</v>
      </c>
      <c r="N765" s="5">
        <v>-105</v>
      </c>
      <c r="O765" s="5">
        <v>192.631367414875</v>
      </c>
    </row>
    <row r="766" spans="1:17" x14ac:dyDescent="0.25">
      <c r="M766" s="5">
        <v>1943.6666666666599</v>
      </c>
      <c r="N766" s="5">
        <v>-105</v>
      </c>
      <c r="O766" s="5">
        <v>218.86419454369201</v>
      </c>
    </row>
    <row r="767" spans="1:17" x14ac:dyDescent="0.25">
      <c r="M767" s="5">
        <v>1943.75</v>
      </c>
      <c r="N767" s="5">
        <v>-105</v>
      </c>
      <c r="O767" s="5">
        <v>238.75162226868599</v>
      </c>
    </row>
    <row r="768" spans="1:17" x14ac:dyDescent="0.25">
      <c r="M768" s="5">
        <v>1943.8333333333301</v>
      </c>
      <c r="N768" s="5">
        <v>-105</v>
      </c>
      <c r="O768" s="5">
        <v>252.26537965888801</v>
      </c>
    </row>
    <row r="769" spans="13:15" x14ac:dyDescent="0.25">
      <c r="M769" s="5">
        <v>1943.9166666666599</v>
      </c>
      <c r="N769" s="5">
        <v>-105</v>
      </c>
      <c r="O769" s="5">
        <v>257.00648654162802</v>
      </c>
    </row>
    <row r="770" spans="13:15" x14ac:dyDescent="0.25">
      <c r="M770" s="5">
        <v>1944</v>
      </c>
      <c r="N770" s="5">
        <v>-105</v>
      </c>
      <c r="O770" s="5">
        <v>256.85470570754097</v>
      </c>
    </row>
    <row r="771" spans="13:15" x14ac:dyDescent="0.25">
      <c r="M771" s="5">
        <v>1944.0833333333301</v>
      </c>
      <c r="N771" s="5">
        <v>-105</v>
      </c>
      <c r="O771" s="5">
        <v>249.45103859769</v>
      </c>
    </row>
    <row r="772" spans="13:15" x14ac:dyDescent="0.25">
      <c r="M772" s="5">
        <v>1944.1666666666599</v>
      </c>
      <c r="N772" s="5">
        <v>-105</v>
      </c>
      <c r="O772" s="5">
        <v>242.748836195607</v>
      </c>
    </row>
    <row r="773" spans="13:15" x14ac:dyDescent="0.25">
      <c r="M773" s="5">
        <v>1944.25</v>
      </c>
      <c r="N773" s="5">
        <v>-105</v>
      </c>
      <c r="O773" s="5">
        <v>249.63388012420901</v>
      </c>
    </row>
    <row r="774" spans="13:15" x14ac:dyDescent="0.25">
      <c r="M774" s="5">
        <v>1944.3333333333301</v>
      </c>
      <c r="N774" s="5">
        <v>-105</v>
      </c>
      <c r="O774" s="5">
        <v>256.898305085316</v>
      </c>
    </row>
    <row r="775" spans="13:15" x14ac:dyDescent="0.25">
      <c r="M775" s="5">
        <v>1944.4166666666599</v>
      </c>
      <c r="N775" s="5">
        <v>-105</v>
      </c>
      <c r="O775" s="5">
        <v>255.80678907460501</v>
      </c>
    </row>
    <row r="776" spans="13:15" x14ac:dyDescent="0.25">
      <c r="M776" s="5">
        <v>1944.5</v>
      </c>
      <c r="N776" s="5">
        <v>-105</v>
      </c>
      <c r="O776" s="5">
        <v>240.50733302798699</v>
      </c>
    </row>
    <row r="777" spans="13:15" x14ac:dyDescent="0.25">
      <c r="M777" s="5">
        <v>1944.5833333333301</v>
      </c>
      <c r="N777" s="5">
        <v>-105</v>
      </c>
      <c r="O777" s="5">
        <v>182.08948844738401</v>
      </c>
    </row>
    <row r="778" spans="13:15" x14ac:dyDescent="0.25">
      <c r="M778" s="5">
        <v>1944.6666666666599</v>
      </c>
      <c r="N778" s="5">
        <v>-105</v>
      </c>
      <c r="O778" s="5">
        <v>-15.410987845337701</v>
      </c>
    </row>
    <row r="779" spans="13:15" x14ac:dyDescent="0.25">
      <c r="M779" s="5">
        <v>1944.75</v>
      </c>
      <c r="N779" s="5">
        <v>-105</v>
      </c>
      <c r="O779" s="5">
        <v>-157.92358898897501</v>
      </c>
    </row>
    <row r="780" spans="13:15" x14ac:dyDescent="0.25">
      <c r="M780" s="5">
        <v>1944.8333333333301</v>
      </c>
      <c r="N780" s="5">
        <v>-105</v>
      </c>
      <c r="O780" s="5">
        <v>-220.70083111454801</v>
      </c>
    </row>
    <row r="781" spans="13:15" x14ac:dyDescent="0.25">
      <c r="M781" s="5">
        <v>1944.9166666666599</v>
      </c>
      <c r="N781" s="5">
        <v>-105</v>
      </c>
      <c r="O781" s="5">
        <v>-259.34029698968197</v>
      </c>
    </row>
    <row r="782" spans="13:15" x14ac:dyDescent="0.25">
      <c r="M782" s="5">
        <v>1945</v>
      </c>
      <c r="N782" s="5">
        <v>-105</v>
      </c>
      <c r="O782" s="5">
        <v>-281.50966439601001</v>
      </c>
    </row>
    <row r="783" spans="13:15" x14ac:dyDescent="0.25">
      <c r="M783" s="5">
        <v>1945.0833333333301</v>
      </c>
      <c r="N783" s="5">
        <v>-105</v>
      </c>
      <c r="O783" s="5">
        <v>-295.88823699803697</v>
      </c>
    </row>
    <row r="784" spans="13:15" x14ac:dyDescent="0.25">
      <c r="M784" s="5">
        <v>1945.1666666666599</v>
      </c>
      <c r="N784" s="5">
        <v>-105</v>
      </c>
      <c r="O784" s="5">
        <v>-302.343315411449</v>
      </c>
    </row>
    <row r="785" spans="13:15" x14ac:dyDescent="0.25">
      <c r="M785" s="5">
        <v>1945.25</v>
      </c>
      <c r="N785" s="5">
        <v>-105</v>
      </c>
      <c r="O785" s="5">
        <v>-304.41140047885</v>
      </c>
    </row>
    <row r="786" spans="13:15" x14ac:dyDescent="0.25">
      <c r="M786" s="5">
        <v>1945.3333333333301</v>
      </c>
      <c r="N786" s="5">
        <v>-105</v>
      </c>
      <c r="O786" s="5">
        <v>-305.65835275136101</v>
      </c>
    </row>
    <row r="787" spans="13:15" x14ac:dyDescent="0.25">
      <c r="M787" s="5">
        <v>1945.4166666666599</v>
      </c>
      <c r="N787" s="5">
        <v>-105</v>
      </c>
      <c r="O787" s="5">
        <v>-301.72446468993701</v>
      </c>
    </row>
    <row r="788" spans="13:15" x14ac:dyDescent="0.25">
      <c r="M788" s="5">
        <v>1945.5</v>
      </c>
      <c r="N788" s="5">
        <v>-105</v>
      </c>
      <c r="O788" s="5">
        <v>-292.36299055511898</v>
      </c>
    </row>
    <row r="789" spans="13:15" x14ac:dyDescent="0.25">
      <c r="M789" s="5">
        <v>1945.5833333333301</v>
      </c>
      <c r="N789" s="5">
        <v>-105</v>
      </c>
      <c r="O789" s="5">
        <v>-283.18784962594299</v>
      </c>
    </row>
    <row r="790" spans="13:15" x14ac:dyDescent="0.25">
      <c r="M790" s="5">
        <v>1945.6666666666599</v>
      </c>
      <c r="N790" s="5">
        <v>-105</v>
      </c>
      <c r="O790" s="5">
        <v>-269.321796432707</v>
      </c>
    </row>
    <row r="791" spans="13:15" x14ac:dyDescent="0.25">
      <c r="M791" s="5">
        <v>1945.75</v>
      </c>
      <c r="N791" s="5">
        <v>-105</v>
      </c>
      <c r="O791" s="5">
        <v>-243.51339238275699</v>
      </c>
    </row>
    <row r="792" spans="13:15" x14ac:dyDescent="0.25">
      <c r="M792" s="5">
        <v>1945.8333333333301</v>
      </c>
      <c r="N792" s="5">
        <v>-105</v>
      </c>
      <c r="O792" s="5">
        <v>-197.28771731739599</v>
      </c>
    </row>
    <row r="793" spans="13:15" x14ac:dyDescent="0.25">
      <c r="M793" s="5">
        <v>1945.9166666666599</v>
      </c>
      <c r="N793" s="5">
        <v>-105</v>
      </c>
      <c r="O793" s="5">
        <v>-76.798801651652994</v>
      </c>
    </row>
    <row r="794" spans="13:15" x14ac:dyDescent="0.25">
      <c r="M794" s="5">
        <v>1946</v>
      </c>
      <c r="N794" s="5">
        <v>-105</v>
      </c>
      <c r="O794" s="5">
        <v>94.391060533459097</v>
      </c>
    </row>
    <row r="795" spans="13:15" x14ac:dyDescent="0.25">
      <c r="M795" s="5">
        <v>1946.0833333333301</v>
      </c>
      <c r="N795" s="5">
        <v>-105</v>
      </c>
      <c r="O795" s="5">
        <v>119.42967493441</v>
      </c>
    </row>
    <row r="796" spans="13:15" x14ac:dyDescent="0.25">
      <c r="M796" s="5">
        <v>1946.1666666666599</v>
      </c>
      <c r="N796" s="5">
        <v>-105</v>
      </c>
      <c r="O796" s="5">
        <v>135.61222093201599</v>
      </c>
    </row>
    <row r="797" spans="13:15" x14ac:dyDescent="0.25">
      <c r="M797" s="5">
        <v>1946.25</v>
      </c>
      <c r="N797" s="5">
        <v>-105</v>
      </c>
      <c r="O797" s="5">
        <v>173.89200670016999</v>
      </c>
    </row>
    <row r="798" spans="13:15" x14ac:dyDescent="0.25">
      <c r="M798" s="5">
        <v>1946.3333333333301</v>
      </c>
      <c r="N798" s="5">
        <v>-105</v>
      </c>
      <c r="O798" s="5">
        <v>222.22277310417999</v>
      </c>
    </row>
    <row r="799" spans="13:15" x14ac:dyDescent="0.25">
      <c r="M799" s="5">
        <v>1946.4166666666599</v>
      </c>
      <c r="N799" s="5">
        <v>-105</v>
      </c>
      <c r="O799" s="5">
        <v>259.03753525765302</v>
      </c>
    </row>
    <row r="800" spans="13:15" x14ac:dyDescent="0.25">
      <c r="M800" s="5">
        <v>1946.5</v>
      </c>
      <c r="N800" s="5">
        <v>-105</v>
      </c>
      <c r="O800" s="5">
        <v>272.90800360045699</v>
      </c>
    </row>
    <row r="801" spans="13:15" x14ac:dyDescent="0.25">
      <c r="M801" s="5">
        <v>1946.5833333333301</v>
      </c>
      <c r="N801" s="5">
        <v>-105</v>
      </c>
      <c r="O801" s="5">
        <v>272.19996001651299</v>
      </c>
    </row>
    <row r="802" spans="13:15" x14ac:dyDescent="0.25">
      <c r="M802" s="5">
        <v>1946.6666666666599</v>
      </c>
      <c r="N802" s="5">
        <v>-105</v>
      </c>
      <c r="O802" s="5">
        <v>267.09692766011301</v>
      </c>
    </row>
    <row r="803" spans="13:15" x14ac:dyDescent="0.25">
      <c r="M803" s="5">
        <v>1946.75</v>
      </c>
      <c r="N803" s="5">
        <v>-105</v>
      </c>
      <c r="O803" s="5">
        <v>260.15949208781899</v>
      </c>
    </row>
    <row r="804" spans="13:15" x14ac:dyDescent="0.25">
      <c r="M804" s="5">
        <v>1946.8333333333301</v>
      </c>
      <c r="N804" s="5">
        <v>-105</v>
      </c>
      <c r="O804" s="5">
        <v>251.01023842692101</v>
      </c>
    </row>
    <row r="805" spans="13:15" x14ac:dyDescent="0.25">
      <c r="M805" s="5">
        <v>1946.9166666666599</v>
      </c>
      <c r="N805" s="5">
        <v>-105</v>
      </c>
      <c r="O805" s="5">
        <v>236.72580281107</v>
      </c>
    </row>
    <row r="806" spans="13:15" x14ac:dyDescent="0.25">
      <c r="M806" s="5">
        <v>1947</v>
      </c>
      <c r="N806" s="5">
        <v>-105</v>
      </c>
      <c r="O806" s="5">
        <v>196.101855112739</v>
      </c>
    </row>
    <row r="807" spans="13:15" x14ac:dyDescent="0.25">
      <c r="M807" s="5">
        <v>1947.0833333333301</v>
      </c>
      <c r="N807" s="5">
        <v>-105</v>
      </c>
      <c r="O807" s="5">
        <v>91.999407224878894</v>
      </c>
    </row>
    <row r="808" spans="13:15" x14ac:dyDescent="0.25">
      <c r="M808" s="5">
        <v>1947.1666666666599</v>
      </c>
      <c r="N808" s="5">
        <v>-105</v>
      </c>
      <c r="O808" s="5">
        <v>-88.125605689164402</v>
      </c>
    </row>
    <row r="809" spans="13:15" x14ac:dyDescent="0.25">
      <c r="M809" s="5">
        <v>1947.25</v>
      </c>
      <c r="N809" s="5">
        <v>-105</v>
      </c>
      <c r="O809" s="5">
        <v>-188.48491864458501</v>
      </c>
    </row>
    <row r="810" spans="13:15" x14ac:dyDescent="0.25">
      <c r="M810" s="5">
        <v>1947.3333333333301</v>
      </c>
      <c r="N810" s="5">
        <v>-105</v>
      </c>
      <c r="O810" s="5">
        <v>-238.667848737708</v>
      </c>
    </row>
    <row r="811" spans="13:15" x14ac:dyDescent="0.25">
      <c r="M811" s="5">
        <v>1947.4166666666599</v>
      </c>
      <c r="N811" s="5">
        <v>-105</v>
      </c>
      <c r="O811" s="5">
        <v>-263.51397541115102</v>
      </c>
    </row>
    <row r="812" spans="13:15" x14ac:dyDescent="0.25">
      <c r="M812" s="5">
        <v>1947.5</v>
      </c>
      <c r="N812" s="5">
        <v>-105</v>
      </c>
      <c r="O812" s="5">
        <v>-282.17785383376099</v>
      </c>
    </row>
    <row r="813" spans="13:15" x14ac:dyDescent="0.25">
      <c r="M813" s="5">
        <v>1947.5833333333301</v>
      </c>
      <c r="N813" s="5">
        <v>-105</v>
      </c>
      <c r="O813" s="5">
        <v>-293.26172244747102</v>
      </c>
    </row>
    <row r="814" spans="13:15" x14ac:dyDescent="0.25">
      <c r="M814" s="5">
        <v>1947.6666666666599</v>
      </c>
      <c r="N814" s="5">
        <v>-105</v>
      </c>
      <c r="O814" s="5">
        <v>-297.63652008606601</v>
      </c>
    </row>
    <row r="815" spans="13:15" x14ac:dyDescent="0.25">
      <c r="M815" s="5">
        <v>1947.75</v>
      </c>
      <c r="N815" s="5">
        <v>-105</v>
      </c>
      <c r="O815" s="5">
        <v>-300.27564499341901</v>
      </c>
    </row>
    <row r="816" spans="13:15" x14ac:dyDescent="0.25">
      <c r="M816" s="5">
        <v>1947.8333333333301</v>
      </c>
      <c r="N816" s="5">
        <v>-105</v>
      </c>
      <c r="O816" s="5">
        <v>-298.53509844380602</v>
      </c>
    </row>
    <row r="817" spans="13:15" x14ac:dyDescent="0.25">
      <c r="M817" s="5">
        <v>1947.9166666666599</v>
      </c>
      <c r="N817" s="5">
        <v>-105</v>
      </c>
      <c r="O817" s="5">
        <v>-291.82447939998002</v>
      </c>
    </row>
    <row r="818" spans="13:15" x14ac:dyDescent="0.25">
      <c r="M818" s="5">
        <v>1948</v>
      </c>
      <c r="N818" s="5">
        <v>-105</v>
      </c>
      <c r="O818" s="5">
        <v>-285.47350379278498</v>
      </c>
    </row>
    <row r="819" spans="13:15" x14ac:dyDescent="0.25">
      <c r="M819" s="5">
        <v>1948.0833333333301</v>
      </c>
      <c r="N819" s="5">
        <v>-105</v>
      </c>
      <c r="O819" s="5">
        <v>-278.85875896328599</v>
      </c>
    </row>
    <row r="820" spans="13:15" x14ac:dyDescent="0.25">
      <c r="M820" s="5">
        <v>1948.1666666666599</v>
      </c>
      <c r="N820" s="5">
        <v>-105</v>
      </c>
      <c r="O820" s="5">
        <v>-274.07990131119402</v>
      </c>
    </row>
    <row r="821" spans="13:15" x14ac:dyDescent="0.25">
      <c r="M821" s="5">
        <v>1948.25</v>
      </c>
      <c r="N821" s="5">
        <v>-105</v>
      </c>
      <c r="O821" s="5">
        <v>-270.08190464703</v>
      </c>
    </row>
    <row r="822" spans="13:15" x14ac:dyDescent="0.25">
      <c r="M822" s="5">
        <v>1948.3333333333301</v>
      </c>
      <c r="N822" s="5">
        <v>-105</v>
      </c>
      <c r="O822" s="5">
        <v>-240.778538825558</v>
      </c>
    </row>
    <row r="823" spans="13:15" x14ac:dyDescent="0.25">
      <c r="M823" s="5">
        <v>1948.4166666666599</v>
      </c>
      <c r="N823" s="5">
        <v>-105</v>
      </c>
      <c r="O823" s="5">
        <v>-105.122110746408</v>
      </c>
    </row>
    <row r="824" spans="13:15" x14ac:dyDescent="0.25">
      <c r="M824" s="5">
        <v>1948.5</v>
      </c>
      <c r="N824" s="5">
        <v>-105</v>
      </c>
      <c r="O824" s="5">
        <v>177.27260602423399</v>
      </c>
    </row>
    <row r="825" spans="13:15" x14ac:dyDescent="0.25">
      <c r="M825" s="5">
        <v>1948.5833333333301</v>
      </c>
      <c r="N825" s="5">
        <v>-105</v>
      </c>
      <c r="O825" s="5">
        <v>237.26582318920899</v>
      </c>
    </row>
    <row r="826" spans="13:15" x14ac:dyDescent="0.25">
      <c r="M826" s="5">
        <v>1948.6666666666599</v>
      </c>
      <c r="N826" s="5">
        <v>-105</v>
      </c>
      <c r="O826" s="5">
        <v>253.59569196965501</v>
      </c>
    </row>
    <row r="827" spans="13:15" x14ac:dyDescent="0.25">
      <c r="M827" s="5">
        <v>1948.75</v>
      </c>
      <c r="N827" s="5">
        <v>-105</v>
      </c>
      <c r="O827" s="5">
        <v>256.23154746537199</v>
      </c>
    </row>
    <row r="828" spans="13:15" x14ac:dyDescent="0.25">
      <c r="M828" s="5">
        <v>1948.8333333333301</v>
      </c>
      <c r="N828" s="5">
        <v>-105</v>
      </c>
      <c r="O828" s="5">
        <v>257.69343977890497</v>
      </c>
    </row>
    <row r="829" spans="13:15" x14ac:dyDescent="0.25">
      <c r="M829" s="5">
        <v>1948.9166666666599</v>
      </c>
      <c r="N829" s="5">
        <v>-105</v>
      </c>
      <c r="O829" s="5">
        <v>252.34306225771601</v>
      </c>
    </row>
    <row r="830" spans="13:15" x14ac:dyDescent="0.25">
      <c r="M830" s="5">
        <v>1949</v>
      </c>
      <c r="N830" s="5">
        <v>-105</v>
      </c>
      <c r="O830" s="5">
        <v>234.223197530237</v>
      </c>
    </row>
    <row r="831" spans="13:15" x14ac:dyDescent="0.25">
      <c r="M831" s="5">
        <v>1949.0833333333301</v>
      </c>
      <c r="N831" s="5">
        <v>-105</v>
      </c>
      <c r="O831" s="5">
        <v>215.33330758534001</v>
      </c>
    </row>
    <row r="832" spans="13:15" x14ac:dyDescent="0.25">
      <c r="M832" s="5">
        <v>1949.1666666666599</v>
      </c>
      <c r="N832" s="5">
        <v>-105</v>
      </c>
      <c r="O832" s="5">
        <v>203.674824474036</v>
      </c>
    </row>
    <row r="833" spans="13:15" x14ac:dyDescent="0.25">
      <c r="M833" s="5">
        <v>1949.25</v>
      </c>
      <c r="N833" s="5">
        <v>-105</v>
      </c>
      <c r="O833" s="5">
        <v>201.73300214426899</v>
      </c>
    </row>
    <row r="834" spans="13:15" x14ac:dyDescent="0.25">
      <c r="M834" s="5">
        <v>1949.3333333333301</v>
      </c>
      <c r="N834" s="5">
        <v>-105</v>
      </c>
      <c r="O834" s="5">
        <v>210.36151276258201</v>
      </c>
    </row>
    <row r="835" spans="13:15" x14ac:dyDescent="0.25">
      <c r="M835" s="5">
        <v>1949.4166666666599</v>
      </c>
      <c r="N835" s="5">
        <v>-105</v>
      </c>
      <c r="O835" s="5">
        <v>200.75389591949599</v>
      </c>
    </row>
    <row r="836" spans="13:15" x14ac:dyDescent="0.25">
      <c r="M836" s="5">
        <v>1949.5</v>
      </c>
      <c r="N836" s="5">
        <v>-105</v>
      </c>
      <c r="O836" s="5">
        <v>150.32585313757301</v>
      </c>
    </row>
    <row r="837" spans="13:15" x14ac:dyDescent="0.25">
      <c r="M837" s="5">
        <v>1949.5833333333301</v>
      </c>
      <c r="N837" s="5">
        <v>-105</v>
      </c>
      <c r="O837" s="5">
        <v>22.114575455706898</v>
      </c>
    </row>
    <row r="838" spans="13:15" x14ac:dyDescent="0.25">
      <c r="M838" s="5">
        <v>1949.6666666666599</v>
      </c>
      <c r="N838" s="5">
        <v>-105</v>
      </c>
      <c r="O838" s="5">
        <v>-148.18354221761101</v>
      </c>
    </row>
    <row r="839" spans="13:15" x14ac:dyDescent="0.25">
      <c r="M839" s="5">
        <v>1949.75</v>
      </c>
      <c r="N839" s="5">
        <v>-105</v>
      </c>
      <c r="O839" s="5">
        <v>-212.46658030080999</v>
      </c>
    </row>
    <row r="840" spans="13:15" x14ac:dyDescent="0.25">
      <c r="M840" s="5">
        <v>1949.8333333333301</v>
      </c>
      <c r="N840" s="5">
        <v>-105</v>
      </c>
      <c r="O840" s="5">
        <v>-240.43372998856</v>
      </c>
    </row>
    <row r="841" spans="13:15" x14ac:dyDescent="0.25">
      <c r="M841" s="5">
        <v>1949.9166666666599</v>
      </c>
      <c r="N841" s="5">
        <v>-105</v>
      </c>
      <c r="O841" s="5">
        <v>-262.571723884802</v>
      </c>
    </row>
    <row r="842" spans="13:15" x14ac:dyDescent="0.25">
      <c r="M842" s="5">
        <v>1950</v>
      </c>
      <c r="N842" s="5">
        <v>-105</v>
      </c>
      <c r="O842" s="5">
        <v>-274.05272984153203</v>
      </c>
    </row>
    <row r="843" spans="13:15" x14ac:dyDescent="0.25">
      <c r="M843" s="5">
        <v>1950.0833333333301</v>
      </c>
      <c r="N843" s="5">
        <v>-105</v>
      </c>
      <c r="O843" s="5">
        <v>-274.863401413151</v>
      </c>
    </row>
    <row r="844" spans="13:15" x14ac:dyDescent="0.25">
      <c r="M844" s="5">
        <v>1950.1666666666599</v>
      </c>
      <c r="N844" s="5">
        <v>-105</v>
      </c>
      <c r="O844" s="5">
        <v>-278.61894528680199</v>
      </c>
    </row>
    <row r="845" spans="13:15" x14ac:dyDescent="0.25">
      <c r="M845" s="5">
        <v>1950.25</v>
      </c>
      <c r="N845" s="5">
        <v>-105</v>
      </c>
      <c r="O845" s="5">
        <v>-284.30385815829698</v>
      </c>
    </row>
    <row r="846" spans="13:15" x14ac:dyDescent="0.25">
      <c r="M846" s="5">
        <v>1950.3333333333301</v>
      </c>
      <c r="N846" s="5">
        <v>-105</v>
      </c>
      <c r="O846" s="5">
        <v>-284.45049160179099</v>
      </c>
    </row>
    <row r="847" spans="13:15" x14ac:dyDescent="0.25">
      <c r="M847" s="5">
        <v>1950.4166666666599</v>
      </c>
      <c r="N847" s="5">
        <v>-105</v>
      </c>
      <c r="O847" s="5">
        <v>-278.10688010374702</v>
      </c>
    </row>
    <row r="848" spans="13:15" x14ac:dyDescent="0.25">
      <c r="M848" s="5">
        <v>1950.5</v>
      </c>
      <c r="N848" s="5">
        <v>-105</v>
      </c>
      <c r="O848" s="5">
        <v>-258.29063851471398</v>
      </c>
    </row>
    <row r="849" spans="13:15" x14ac:dyDescent="0.25">
      <c r="M849" s="5">
        <v>1950.5833333333301</v>
      </c>
      <c r="N849" s="5">
        <v>-105</v>
      </c>
      <c r="O849" s="5">
        <v>-221.99898012139801</v>
      </c>
    </row>
    <row r="850" spans="13:15" x14ac:dyDescent="0.25">
      <c r="M850" s="5">
        <v>1950.6666666666599</v>
      </c>
      <c r="N850" s="5">
        <v>-105</v>
      </c>
      <c r="O850" s="5">
        <v>-184.712543433165</v>
      </c>
    </row>
    <row r="851" spans="13:15" x14ac:dyDescent="0.25">
      <c r="M851" s="5">
        <v>1950.75</v>
      </c>
      <c r="N851" s="5">
        <v>-105</v>
      </c>
      <c r="O851" s="5">
        <v>-121.77425709313501</v>
      </c>
    </row>
    <row r="852" spans="13:15" x14ac:dyDescent="0.25">
      <c r="M852" s="5">
        <v>1950.8333333333301</v>
      </c>
      <c r="N852" s="5">
        <v>-105</v>
      </c>
      <c r="O852" s="5">
        <v>21.9935842947244</v>
      </c>
    </row>
    <row r="853" spans="13:15" x14ac:dyDescent="0.25">
      <c r="M853" s="5">
        <v>1950.9166666666599</v>
      </c>
      <c r="N853" s="5">
        <v>-105</v>
      </c>
      <c r="O853" s="5">
        <v>92.734745665635501</v>
      </c>
    </row>
    <row r="854" spans="13:15" x14ac:dyDescent="0.25">
      <c r="M854" s="5">
        <v>1951</v>
      </c>
      <c r="N854" s="5">
        <v>-105</v>
      </c>
      <c r="O854" s="5">
        <v>114.209724450183</v>
      </c>
    </row>
    <row r="855" spans="13:15" x14ac:dyDescent="0.25">
      <c r="M855" s="5">
        <v>1951.0833333333301</v>
      </c>
      <c r="N855" s="5">
        <v>-105</v>
      </c>
      <c r="O855" s="5">
        <v>114.48834002960901</v>
      </c>
    </row>
    <row r="856" spans="13:15" x14ac:dyDescent="0.25">
      <c r="M856" s="5">
        <v>1951.1666666666599</v>
      </c>
      <c r="N856" s="5">
        <v>-105</v>
      </c>
      <c r="O856" s="5">
        <v>104.309407707914</v>
      </c>
    </row>
    <row r="857" spans="13:15" x14ac:dyDescent="0.25">
      <c r="M857" s="5">
        <v>1951.25</v>
      </c>
      <c r="N857" s="5">
        <v>-105</v>
      </c>
      <c r="O857" s="5">
        <v>147.284201844763</v>
      </c>
    </row>
    <row r="858" spans="13:15" x14ac:dyDescent="0.25">
      <c r="M858" s="5">
        <v>1951.3333333333301</v>
      </c>
      <c r="N858" s="5">
        <v>-105</v>
      </c>
      <c r="O858" s="5">
        <v>192.65964261843499</v>
      </c>
    </row>
    <row r="859" spans="13:15" x14ac:dyDescent="0.25">
      <c r="M859" s="5">
        <v>1951.4166666666599</v>
      </c>
      <c r="N859" s="5">
        <v>-105</v>
      </c>
      <c r="O859" s="5">
        <v>206.84027754386</v>
      </c>
    </row>
    <row r="860" spans="13:15" x14ac:dyDescent="0.25">
      <c r="M860" s="5">
        <v>1951.5</v>
      </c>
      <c r="N860" s="5">
        <v>-105</v>
      </c>
      <c r="O860" s="5">
        <v>201.68604174789601</v>
      </c>
    </row>
    <row r="861" spans="13:15" x14ac:dyDescent="0.25">
      <c r="M861" s="5">
        <v>1951.5833333333301</v>
      </c>
      <c r="N861" s="5">
        <v>-105</v>
      </c>
      <c r="O861" s="5">
        <v>170.565954400891</v>
      </c>
    </row>
    <row r="862" spans="13:15" x14ac:dyDescent="0.25">
      <c r="M862" s="5">
        <v>1951.6666666666599</v>
      </c>
      <c r="N862" s="5">
        <v>-105</v>
      </c>
      <c r="O862" s="5">
        <v>120.41451928067301</v>
      </c>
    </row>
    <row r="863" spans="13:15" x14ac:dyDescent="0.25">
      <c r="M863" s="5">
        <v>1951.75</v>
      </c>
      <c r="N863" s="5">
        <v>-105</v>
      </c>
      <c r="O863" s="5">
        <v>121.135148214708</v>
      </c>
    </row>
    <row r="864" spans="13:15" x14ac:dyDescent="0.25">
      <c r="M864" s="5">
        <v>1951.8333333333301</v>
      </c>
      <c r="N864" s="5">
        <v>-105</v>
      </c>
      <c r="O864" s="5">
        <v>122.736430893581</v>
      </c>
    </row>
    <row r="865" spans="13:15" x14ac:dyDescent="0.25">
      <c r="M865" s="5">
        <v>1951.9166666666599</v>
      </c>
      <c r="N865" s="5">
        <v>-105</v>
      </c>
      <c r="O865" s="5">
        <v>57.413054233661803</v>
      </c>
    </row>
    <row r="866" spans="13:15" x14ac:dyDescent="0.25">
      <c r="M866" s="5">
        <v>1952</v>
      </c>
      <c r="N866" s="5">
        <v>-105</v>
      </c>
      <c r="O866" s="5">
        <v>-56.661883066012201</v>
      </c>
    </row>
    <row r="867" spans="13:15" x14ac:dyDescent="0.25">
      <c r="M867" s="5">
        <v>1952.0833333333301</v>
      </c>
      <c r="N867" s="5">
        <v>-105</v>
      </c>
      <c r="O867" s="5">
        <v>-125.712557914019</v>
      </c>
    </row>
    <row r="868" spans="13:15" x14ac:dyDescent="0.25">
      <c r="M868" s="5">
        <v>1952.1666666666599</v>
      </c>
      <c r="N868" s="5">
        <v>-105</v>
      </c>
      <c r="O868" s="5">
        <v>-158.69576161355201</v>
      </c>
    </row>
    <row r="869" spans="13:15" x14ac:dyDescent="0.25">
      <c r="M869" s="5">
        <v>1952.25</v>
      </c>
      <c r="N869" s="5">
        <v>-105</v>
      </c>
      <c r="O869" s="5">
        <v>-166.243485556715</v>
      </c>
    </row>
    <row r="870" spans="13:15" x14ac:dyDescent="0.25">
      <c r="M870" s="5">
        <v>1952.3333333333301</v>
      </c>
      <c r="N870" s="5">
        <v>-105</v>
      </c>
      <c r="O870" s="5">
        <v>-183.50624595484399</v>
      </c>
    </row>
    <row r="871" spans="13:15" x14ac:dyDescent="0.25">
      <c r="M871" s="5">
        <v>1952.4166666666599</v>
      </c>
      <c r="N871" s="5">
        <v>-105</v>
      </c>
      <c r="O871" s="5">
        <v>-194.01204050080901</v>
      </c>
    </row>
    <row r="872" spans="13:15" x14ac:dyDescent="0.25">
      <c r="M872" s="5">
        <v>1952.5</v>
      </c>
      <c r="N872" s="5">
        <v>-105</v>
      </c>
      <c r="O872" s="5">
        <v>-178.44906166645001</v>
      </c>
    </row>
    <row r="873" spans="13:15" x14ac:dyDescent="0.25">
      <c r="M873" s="5">
        <v>1952.5833333333301</v>
      </c>
      <c r="N873" s="5">
        <v>-105</v>
      </c>
      <c r="O873" s="5">
        <v>-166.28889192262901</v>
      </c>
    </row>
    <row r="874" spans="13:15" x14ac:dyDescent="0.25">
      <c r="M874" s="5">
        <v>1952.6666666666599</v>
      </c>
      <c r="N874" s="5">
        <v>-105</v>
      </c>
      <c r="O874" s="5">
        <v>-160.18244059558299</v>
      </c>
    </row>
    <row r="875" spans="13:15" x14ac:dyDescent="0.25">
      <c r="M875" s="5">
        <v>1952.75</v>
      </c>
      <c r="N875" s="5">
        <v>-105</v>
      </c>
      <c r="O875" s="5">
        <v>-145.16153460257701</v>
      </c>
    </row>
    <row r="876" spans="13:15" x14ac:dyDescent="0.25">
      <c r="M876" s="5">
        <v>1952.8333333333301</v>
      </c>
      <c r="N876" s="5">
        <v>-105</v>
      </c>
      <c r="O876" s="5">
        <v>-157.810822026202</v>
      </c>
    </row>
    <row r="877" spans="13:15" x14ac:dyDescent="0.25">
      <c r="M877" s="5">
        <v>1952.9166666666599</v>
      </c>
      <c r="N877" s="5">
        <v>-105</v>
      </c>
      <c r="O877" s="5">
        <v>-185.47161919463801</v>
      </c>
    </row>
    <row r="878" spans="13:15" x14ac:dyDescent="0.25">
      <c r="M878" s="5">
        <v>1953</v>
      </c>
      <c r="N878" s="5">
        <v>-105</v>
      </c>
      <c r="O878" s="5">
        <v>-213.72790924521399</v>
      </c>
    </row>
    <row r="879" spans="13:15" x14ac:dyDescent="0.25">
      <c r="M879" s="5">
        <v>1953.0833333333301</v>
      </c>
      <c r="N879" s="5">
        <v>-315</v>
      </c>
      <c r="O879" s="5">
        <v>-247.54826058304101</v>
      </c>
    </row>
    <row r="880" spans="13:15" x14ac:dyDescent="0.25">
      <c r="M880" s="5">
        <v>1953.1666666666599</v>
      </c>
      <c r="N880" s="5">
        <v>-315</v>
      </c>
      <c r="O880" s="5">
        <v>-265.67596658444899</v>
      </c>
    </row>
    <row r="881" spans="13:15" x14ac:dyDescent="0.25">
      <c r="M881" s="5">
        <v>1953.25</v>
      </c>
      <c r="N881" s="5">
        <v>-295</v>
      </c>
      <c r="O881" s="5">
        <v>-263.83671532489899</v>
      </c>
    </row>
    <row r="882" spans="13:15" x14ac:dyDescent="0.25">
      <c r="M882" s="5">
        <v>1953.3333333333301</v>
      </c>
      <c r="N882" s="5">
        <v>-245</v>
      </c>
      <c r="O882" s="5">
        <v>-243.216022105154</v>
      </c>
    </row>
    <row r="883" spans="13:15" x14ac:dyDescent="0.25">
      <c r="M883" s="5">
        <v>1953.4166666666599</v>
      </c>
      <c r="N883" s="5">
        <v>-215</v>
      </c>
      <c r="O883" s="5">
        <v>-183.32141100075901</v>
      </c>
    </row>
    <row r="884" spans="13:15" x14ac:dyDescent="0.25">
      <c r="M884" s="5">
        <v>1953.5</v>
      </c>
      <c r="N884" s="5">
        <v>-185</v>
      </c>
      <c r="O884" s="5">
        <v>-76.662021777330907</v>
      </c>
    </row>
    <row r="885" spans="13:15" x14ac:dyDescent="0.25">
      <c r="M885" s="5">
        <v>1953.5833333333301</v>
      </c>
      <c r="N885" s="5">
        <v>-175</v>
      </c>
      <c r="O885" s="5">
        <v>-54.8640863248025</v>
      </c>
    </row>
    <row r="886" spans="13:15" x14ac:dyDescent="0.25">
      <c r="M886" s="5">
        <v>1953.6666666666599</v>
      </c>
      <c r="N886" s="5">
        <v>-155</v>
      </c>
      <c r="O886" s="5">
        <v>-55.379234754461798</v>
      </c>
    </row>
    <row r="887" spans="13:15" x14ac:dyDescent="0.25">
      <c r="M887" s="5">
        <v>1953.75</v>
      </c>
      <c r="N887" s="5">
        <v>-133</v>
      </c>
      <c r="O887" s="5">
        <v>25.005915769349599</v>
      </c>
    </row>
    <row r="888" spans="13:15" x14ac:dyDescent="0.25">
      <c r="M888" s="5">
        <v>1953.8333333333301</v>
      </c>
      <c r="N888" s="5">
        <v>-115</v>
      </c>
      <c r="O888" s="5">
        <v>86.415517693615897</v>
      </c>
    </row>
    <row r="889" spans="13:15" x14ac:dyDescent="0.25">
      <c r="M889" s="5">
        <v>1953.9166666666599</v>
      </c>
      <c r="N889" s="5">
        <v>-90</v>
      </c>
      <c r="O889" s="5">
        <v>105.874379237727</v>
      </c>
    </row>
    <row r="890" spans="13:15" x14ac:dyDescent="0.25">
      <c r="M890" s="5">
        <v>1954</v>
      </c>
      <c r="N890" s="5">
        <v>-45</v>
      </c>
      <c r="O890" s="5">
        <v>63.446306956502198</v>
      </c>
    </row>
    <row r="891" spans="13:15" x14ac:dyDescent="0.25">
      <c r="M891" s="5">
        <v>1954.0833333333301</v>
      </c>
      <c r="N891" s="5">
        <v>5</v>
      </c>
      <c r="O891" s="5">
        <v>-42.4412757047414</v>
      </c>
    </row>
    <row r="892" spans="13:15" x14ac:dyDescent="0.25">
      <c r="M892" s="5">
        <v>1954.1666666666599</v>
      </c>
      <c r="N892" s="5">
        <v>95</v>
      </c>
      <c r="O892" s="5">
        <v>-16.437604242107799</v>
      </c>
    </row>
    <row r="893" spans="13:15" x14ac:dyDescent="0.25">
      <c r="M893" s="5">
        <v>1954.25</v>
      </c>
      <c r="N893" s="5">
        <v>115</v>
      </c>
      <c r="O893" s="5">
        <v>95.960363042478406</v>
      </c>
    </row>
    <row r="894" spans="13:15" x14ac:dyDescent="0.25">
      <c r="M894" s="5">
        <v>1954.3333333333301</v>
      </c>
      <c r="N894" s="5">
        <v>115</v>
      </c>
      <c r="O894" s="5">
        <v>156.64142840141901</v>
      </c>
    </row>
    <row r="895" spans="13:15" x14ac:dyDescent="0.25">
      <c r="M895" s="5">
        <v>1954.4166666666599</v>
      </c>
      <c r="N895" s="5">
        <v>125</v>
      </c>
      <c r="O895" s="5">
        <v>194.21643901605401</v>
      </c>
    </row>
    <row r="896" spans="13:15" x14ac:dyDescent="0.25">
      <c r="M896" s="5">
        <v>1954.5</v>
      </c>
      <c r="N896" s="5">
        <v>130</v>
      </c>
      <c r="O896" s="5">
        <v>202.111082374766</v>
      </c>
    </row>
    <row r="897" spans="13:15" x14ac:dyDescent="0.25">
      <c r="M897" s="5">
        <v>1954.5833333333301</v>
      </c>
      <c r="N897" s="5">
        <v>140</v>
      </c>
      <c r="O897" s="5">
        <v>183.45019991308899</v>
      </c>
    </row>
    <row r="898" spans="13:15" x14ac:dyDescent="0.25">
      <c r="M898" s="5">
        <v>1954.6666666666599</v>
      </c>
      <c r="N898" s="5">
        <v>140</v>
      </c>
      <c r="O898" s="5">
        <v>156.85893783889901</v>
      </c>
    </row>
    <row r="899" spans="13:15" x14ac:dyDescent="0.25">
      <c r="M899" s="5">
        <v>1954.75</v>
      </c>
      <c r="N899" s="5">
        <v>80</v>
      </c>
      <c r="O899" s="5">
        <v>104.680106894727</v>
      </c>
    </row>
    <row r="900" spans="13:15" x14ac:dyDescent="0.25">
      <c r="M900" s="5">
        <v>1954.8333333333301</v>
      </c>
      <c r="N900" s="5">
        <v>-5</v>
      </c>
      <c r="O900" s="5">
        <v>-7.1302175099843002</v>
      </c>
    </row>
    <row r="901" spans="13:15" x14ac:dyDescent="0.25">
      <c r="M901" s="5">
        <v>1954.9166666666599</v>
      </c>
      <c r="N901" s="5">
        <v>-165</v>
      </c>
      <c r="O901" s="5">
        <v>-77.165107350923506</v>
      </c>
    </row>
    <row r="902" spans="13:15" x14ac:dyDescent="0.25">
      <c r="M902" s="5">
        <v>1955</v>
      </c>
      <c r="N902" s="5">
        <v>-180</v>
      </c>
      <c r="O902" s="5">
        <v>-127.816365577205</v>
      </c>
    </row>
    <row r="903" spans="13:15" x14ac:dyDescent="0.25">
      <c r="M903" s="5">
        <v>1955.0833333333301</v>
      </c>
      <c r="N903" s="5">
        <v>-210</v>
      </c>
      <c r="O903" s="5">
        <v>-172.106797553283</v>
      </c>
    </row>
    <row r="904" spans="13:15" x14ac:dyDescent="0.25">
      <c r="M904" s="5">
        <v>1955.1666666666599</v>
      </c>
      <c r="N904" s="5">
        <v>-210</v>
      </c>
      <c r="O904" s="5">
        <v>-203.31536863088601</v>
      </c>
    </row>
    <row r="905" spans="13:15" x14ac:dyDescent="0.25">
      <c r="M905" s="5">
        <v>1955.25</v>
      </c>
      <c r="N905" s="5">
        <v>-213</v>
      </c>
      <c r="O905" s="5">
        <v>-234.803382249327</v>
      </c>
    </row>
    <row r="906" spans="13:15" x14ac:dyDescent="0.25">
      <c r="M906" s="5">
        <v>1955.3333333333301</v>
      </c>
      <c r="N906" s="5">
        <v>-250</v>
      </c>
      <c r="O906" s="5">
        <v>-248.698702166987</v>
      </c>
    </row>
    <row r="907" spans="13:15" x14ac:dyDescent="0.25">
      <c r="M907" s="5">
        <v>1955.4166666666599</v>
      </c>
      <c r="N907" s="5">
        <v>-290</v>
      </c>
      <c r="O907" s="5">
        <v>-243.06723880229899</v>
      </c>
    </row>
    <row r="908" spans="13:15" x14ac:dyDescent="0.25">
      <c r="M908" s="5">
        <v>1955.5</v>
      </c>
      <c r="N908" s="5">
        <v>-295</v>
      </c>
      <c r="O908" s="5">
        <v>-244.22220895138801</v>
      </c>
    </row>
    <row r="909" spans="13:15" x14ac:dyDescent="0.25">
      <c r="M909" s="5">
        <v>1955.5833333333301</v>
      </c>
      <c r="N909" s="5">
        <v>-295</v>
      </c>
      <c r="O909" s="5">
        <v>-257.58036345805601</v>
      </c>
    </row>
    <row r="910" spans="13:15" x14ac:dyDescent="0.25">
      <c r="M910" s="5">
        <v>1955.6666666666599</v>
      </c>
      <c r="N910" s="5">
        <v>-295</v>
      </c>
      <c r="O910" s="5">
        <v>-267.07164834026997</v>
      </c>
    </row>
    <row r="911" spans="13:15" x14ac:dyDescent="0.25">
      <c r="M911" s="5">
        <v>1955.75</v>
      </c>
      <c r="N911" s="5">
        <v>-285</v>
      </c>
      <c r="O911" s="5">
        <v>-266.82078645869399</v>
      </c>
    </row>
    <row r="912" spans="13:15" x14ac:dyDescent="0.25">
      <c r="M912" s="5">
        <v>1955.8333333333301</v>
      </c>
      <c r="N912" s="5">
        <v>-268</v>
      </c>
      <c r="O912" s="5">
        <v>-245.18394886782301</v>
      </c>
    </row>
    <row r="913" spans="13:15" x14ac:dyDescent="0.25">
      <c r="M913" s="5">
        <v>1955.9166666666599</v>
      </c>
      <c r="N913" s="5">
        <v>-171</v>
      </c>
      <c r="O913" s="5">
        <v>-194.82936260682399</v>
      </c>
    </row>
    <row r="914" spans="13:15" x14ac:dyDescent="0.25">
      <c r="M914" s="5">
        <v>1956</v>
      </c>
      <c r="N914" s="5">
        <v>-164</v>
      </c>
      <c r="O914" s="5">
        <v>-154.62564546316301</v>
      </c>
    </row>
    <row r="915" spans="13:15" x14ac:dyDescent="0.25">
      <c r="M915" s="5">
        <v>1956.0833333333301</v>
      </c>
      <c r="N915" s="5">
        <v>-83</v>
      </c>
      <c r="O915" s="5">
        <v>-140.52323694565499</v>
      </c>
    </row>
    <row r="916" spans="13:15" x14ac:dyDescent="0.25">
      <c r="M916" s="5">
        <v>1956.1666666666599</v>
      </c>
      <c r="N916" s="5">
        <v>-43</v>
      </c>
      <c r="O916" s="5">
        <v>-122.870887594968</v>
      </c>
    </row>
    <row r="917" spans="13:15" x14ac:dyDescent="0.25">
      <c r="M917" s="5">
        <v>1956.25</v>
      </c>
      <c r="N917" s="5">
        <v>7</v>
      </c>
      <c r="O917" s="5">
        <v>-85.204354124466406</v>
      </c>
    </row>
    <row r="918" spans="13:15" x14ac:dyDescent="0.25">
      <c r="M918" s="5">
        <v>1956.3333333333301</v>
      </c>
      <c r="N918" s="5">
        <v>117</v>
      </c>
      <c r="O918" s="5">
        <v>76.482914702333204</v>
      </c>
    </row>
    <row r="919" spans="13:15" x14ac:dyDescent="0.25">
      <c r="M919" s="5">
        <v>1956.4166666666599</v>
      </c>
      <c r="N919" s="5">
        <v>119</v>
      </c>
      <c r="O919" s="5">
        <v>178.97158684896999</v>
      </c>
    </row>
    <row r="920" spans="13:15" x14ac:dyDescent="0.25">
      <c r="M920" s="5">
        <v>1956.5</v>
      </c>
      <c r="N920" s="5">
        <v>144</v>
      </c>
      <c r="O920" s="5">
        <v>212.213495936795</v>
      </c>
    </row>
    <row r="921" spans="13:15" x14ac:dyDescent="0.25">
      <c r="M921" s="5">
        <v>1956.5833333333301</v>
      </c>
      <c r="N921" s="5">
        <v>147</v>
      </c>
      <c r="O921" s="5">
        <v>230.098038188332</v>
      </c>
    </row>
    <row r="922" spans="13:15" x14ac:dyDescent="0.25">
      <c r="M922" s="5">
        <v>1956.6666666666599</v>
      </c>
      <c r="N922" s="5">
        <v>161</v>
      </c>
      <c r="O922" s="5">
        <v>239.90001525300099</v>
      </c>
    </row>
    <row r="923" spans="13:15" x14ac:dyDescent="0.25">
      <c r="M923" s="5">
        <v>1956.75</v>
      </c>
      <c r="N923" s="5">
        <v>171</v>
      </c>
      <c r="O923" s="5">
        <v>238.67397443730101</v>
      </c>
    </row>
    <row r="924" spans="13:15" x14ac:dyDescent="0.25">
      <c r="M924" s="5">
        <v>1956.8333333333301</v>
      </c>
      <c r="N924" s="5">
        <v>171</v>
      </c>
      <c r="O924" s="5">
        <v>229.395378166841</v>
      </c>
    </row>
    <row r="925" spans="13:15" x14ac:dyDescent="0.25">
      <c r="M925" s="5">
        <v>1956.9166666666599</v>
      </c>
      <c r="N925" s="5">
        <v>141</v>
      </c>
      <c r="O925" s="5">
        <v>197.89893470110201</v>
      </c>
    </row>
    <row r="926" spans="13:15" x14ac:dyDescent="0.25">
      <c r="M926" s="5">
        <v>1957</v>
      </c>
      <c r="N926" s="5">
        <v>-21</v>
      </c>
      <c r="O926" s="5">
        <v>106.542053617703</v>
      </c>
    </row>
    <row r="927" spans="13:15" x14ac:dyDescent="0.25">
      <c r="M927" s="5">
        <v>1957.0833333333301</v>
      </c>
      <c r="N927" s="5">
        <v>-84</v>
      </c>
      <c r="O927" s="5">
        <v>-66.431951503531906</v>
      </c>
    </row>
    <row r="928" spans="13:15" x14ac:dyDescent="0.25">
      <c r="M928" s="5">
        <v>1957.1666666666599</v>
      </c>
      <c r="N928" s="5">
        <v>-92</v>
      </c>
      <c r="O928" s="5">
        <v>-169.76823978179399</v>
      </c>
    </row>
    <row r="929" spans="13:15" x14ac:dyDescent="0.25">
      <c r="M929" s="5">
        <v>1957.25</v>
      </c>
      <c r="N929" s="5">
        <v>-197</v>
      </c>
      <c r="O929" s="5">
        <v>-226.85291697190701</v>
      </c>
    </row>
    <row r="930" spans="13:15" x14ac:dyDescent="0.25">
      <c r="M930" s="5">
        <v>1957.3333333333301</v>
      </c>
      <c r="N930" s="5">
        <v>-225</v>
      </c>
      <c r="O930" s="5">
        <v>-245.38333268308699</v>
      </c>
    </row>
    <row r="931" spans="13:15" x14ac:dyDescent="0.25">
      <c r="M931" s="5">
        <v>1957.4166666666599</v>
      </c>
      <c r="N931" s="5">
        <v>-242</v>
      </c>
      <c r="O931" s="5">
        <v>-245.673762699723</v>
      </c>
    </row>
    <row r="932" spans="13:15" x14ac:dyDescent="0.25">
      <c r="M932" s="5">
        <v>1957.5</v>
      </c>
      <c r="N932" s="5">
        <v>-246</v>
      </c>
      <c r="O932" s="5">
        <v>-237.847215758072</v>
      </c>
    </row>
    <row r="933" spans="13:15" x14ac:dyDescent="0.25">
      <c r="M933" s="5">
        <v>1957.5833333333301</v>
      </c>
      <c r="N933" s="5">
        <v>-252</v>
      </c>
      <c r="O933" s="5">
        <v>-228.07895542711</v>
      </c>
    </row>
    <row r="934" spans="13:15" x14ac:dyDescent="0.25">
      <c r="M934" s="5">
        <v>1957.6666666666599</v>
      </c>
      <c r="N934" s="5">
        <v>-265</v>
      </c>
      <c r="O934" s="5">
        <v>-236.777102935724</v>
      </c>
    </row>
    <row r="935" spans="13:15" x14ac:dyDescent="0.25">
      <c r="M935" s="5">
        <v>1957.75</v>
      </c>
      <c r="N935" s="5">
        <v>-265</v>
      </c>
      <c r="O935" s="5">
        <v>-249.51802718405699</v>
      </c>
    </row>
    <row r="936" spans="13:15" x14ac:dyDescent="0.25">
      <c r="M936" s="5">
        <v>1957.8333333333301</v>
      </c>
      <c r="N936" s="5">
        <v>-249</v>
      </c>
      <c r="O936" s="5">
        <v>-247.89964413893901</v>
      </c>
    </row>
    <row r="937" spans="13:15" x14ac:dyDescent="0.25">
      <c r="M937" s="5">
        <v>1957.9166666666599</v>
      </c>
      <c r="N937" s="5">
        <v>-222</v>
      </c>
      <c r="O937" s="5">
        <v>-243.397885383089</v>
      </c>
    </row>
    <row r="938" spans="13:15" x14ac:dyDescent="0.25">
      <c r="M938" s="5">
        <v>1958</v>
      </c>
      <c r="N938" s="5">
        <v>-215</v>
      </c>
      <c r="O938" s="5">
        <v>-240.25774048720501</v>
      </c>
    </row>
    <row r="939" spans="13:15" x14ac:dyDescent="0.25">
      <c r="M939" s="5">
        <v>1958.0833333333301</v>
      </c>
      <c r="N939" s="5">
        <v>-165</v>
      </c>
      <c r="O939" s="5">
        <v>-234.73013666139801</v>
      </c>
    </row>
    <row r="940" spans="13:15" x14ac:dyDescent="0.25">
      <c r="M940" s="5">
        <v>1958.1666666666599</v>
      </c>
      <c r="N940" s="5">
        <v>-154</v>
      </c>
      <c r="O940" s="5">
        <v>-233.05471705731301</v>
      </c>
    </row>
    <row r="941" spans="13:15" x14ac:dyDescent="0.25">
      <c r="M941" s="5">
        <v>1958.25</v>
      </c>
      <c r="N941" s="5">
        <v>-142</v>
      </c>
      <c r="O941" s="5">
        <v>-213.134878325296</v>
      </c>
    </row>
    <row r="942" spans="13:15" x14ac:dyDescent="0.25">
      <c r="M942" s="5">
        <v>1958.3333333333301</v>
      </c>
      <c r="N942" s="5">
        <v>-42</v>
      </c>
      <c r="O942" s="5">
        <v>-119.44073985112099</v>
      </c>
    </row>
    <row r="943" spans="13:15" x14ac:dyDescent="0.25">
      <c r="M943" s="5">
        <v>1958.4166666666599</v>
      </c>
      <c r="N943" s="5">
        <v>92</v>
      </c>
      <c r="O943" s="5">
        <v>109.92531456686601</v>
      </c>
    </row>
    <row r="944" spans="13:15" x14ac:dyDescent="0.25">
      <c r="M944" s="5">
        <v>1958.5</v>
      </c>
      <c r="N944" s="5">
        <v>99</v>
      </c>
      <c r="O944" s="5">
        <v>192.15323956378899</v>
      </c>
    </row>
    <row r="945" spans="13:15" x14ac:dyDescent="0.25">
      <c r="M945" s="5">
        <v>1958.5833333333301</v>
      </c>
      <c r="N945" s="5">
        <v>128</v>
      </c>
      <c r="O945" s="5">
        <v>219.90843332851199</v>
      </c>
    </row>
    <row r="946" spans="13:15" x14ac:dyDescent="0.25">
      <c r="M946" s="5">
        <v>1958.6666666666599</v>
      </c>
      <c r="N946" s="5">
        <v>152</v>
      </c>
      <c r="O946" s="5">
        <v>225.47373868542999</v>
      </c>
    </row>
    <row r="947" spans="13:15" x14ac:dyDescent="0.25">
      <c r="M947" s="5">
        <v>1958.75</v>
      </c>
      <c r="N947" s="5">
        <v>172</v>
      </c>
      <c r="O947" s="5">
        <v>229.43008555026199</v>
      </c>
    </row>
    <row r="948" spans="13:15" x14ac:dyDescent="0.25">
      <c r="M948" s="5">
        <v>1958.8333333333301</v>
      </c>
      <c r="N948" s="5">
        <v>199</v>
      </c>
      <c r="O948" s="5">
        <v>227.40582681067499</v>
      </c>
    </row>
    <row r="949" spans="13:15" x14ac:dyDescent="0.25">
      <c r="M949" s="5">
        <v>1958.9166666666599</v>
      </c>
      <c r="N949" s="5">
        <v>225</v>
      </c>
      <c r="O949" s="5">
        <v>198.93744556197001</v>
      </c>
    </row>
    <row r="950" spans="13:15" x14ac:dyDescent="0.25">
      <c r="M950" s="5">
        <v>1959</v>
      </c>
      <c r="N950" s="5">
        <v>225</v>
      </c>
      <c r="O950" s="5">
        <v>146.84616743689401</v>
      </c>
    </row>
    <row r="951" spans="13:15" x14ac:dyDescent="0.25">
      <c r="M951" s="5">
        <v>1959.0833333333301</v>
      </c>
      <c r="N951" s="5">
        <v>162</v>
      </c>
      <c r="O951" s="5">
        <v>102.02127630605101</v>
      </c>
    </row>
    <row r="952" spans="13:15" x14ac:dyDescent="0.25">
      <c r="M952" s="5">
        <v>1959.1666666666599</v>
      </c>
      <c r="N952" s="5">
        <v>153</v>
      </c>
      <c r="O952" s="5">
        <v>63.769131468244503</v>
      </c>
    </row>
    <row r="953" spans="13:15" x14ac:dyDescent="0.25">
      <c r="M953" s="5">
        <v>1959.25</v>
      </c>
      <c r="N953" s="5">
        <v>150</v>
      </c>
      <c r="O953" s="5">
        <v>36.878823165780297</v>
      </c>
    </row>
    <row r="954" spans="13:15" x14ac:dyDescent="0.25">
      <c r="M954" s="5">
        <v>1959.3333333333301</v>
      </c>
      <c r="N954" s="5">
        <v>112</v>
      </c>
      <c r="O954" s="5">
        <v>-53.023649531598601</v>
      </c>
    </row>
    <row r="955" spans="13:15" x14ac:dyDescent="0.25">
      <c r="M955" s="5">
        <v>1959.4166666666599</v>
      </c>
      <c r="N955" s="5">
        <v>-45</v>
      </c>
      <c r="O955" s="5">
        <v>-159.376947294432</v>
      </c>
    </row>
    <row r="956" spans="13:15" x14ac:dyDescent="0.25">
      <c r="M956" s="5">
        <v>1959.5</v>
      </c>
      <c r="N956" s="5">
        <v>-240</v>
      </c>
      <c r="O956" s="5">
        <v>-209.66232054021199</v>
      </c>
    </row>
    <row r="957" spans="13:15" x14ac:dyDescent="0.25">
      <c r="M957" s="5">
        <v>1959.5833333333301</v>
      </c>
      <c r="N957" s="5">
        <v>-298</v>
      </c>
      <c r="O957" s="5">
        <v>-241.12243109184001</v>
      </c>
    </row>
    <row r="958" spans="13:15" x14ac:dyDescent="0.25">
      <c r="M958" s="5">
        <v>1959.6666666666599</v>
      </c>
      <c r="N958" s="5">
        <v>-298</v>
      </c>
      <c r="O958" s="5">
        <v>-264.95432345703</v>
      </c>
    </row>
    <row r="959" spans="13:15" x14ac:dyDescent="0.25">
      <c r="M959" s="5">
        <v>1959.75</v>
      </c>
      <c r="N959" s="5">
        <v>-295</v>
      </c>
      <c r="O959" s="5">
        <v>-274.45484743055601</v>
      </c>
    </row>
    <row r="960" spans="13:15" x14ac:dyDescent="0.25">
      <c r="M960" s="5">
        <v>1959.8333333333301</v>
      </c>
      <c r="N960" s="5">
        <v>-232</v>
      </c>
      <c r="O960" s="5">
        <v>-277.00662178559202</v>
      </c>
    </row>
    <row r="961" spans="13:15" x14ac:dyDescent="0.25">
      <c r="M961" s="5">
        <v>1959.9166666666599</v>
      </c>
      <c r="N961" s="5">
        <v>-188</v>
      </c>
      <c r="O961" s="5">
        <v>-275.34714818582501</v>
      </c>
    </row>
    <row r="962" spans="13:15" x14ac:dyDescent="0.25">
      <c r="M962" s="5">
        <v>1960</v>
      </c>
      <c r="N962" s="5">
        <v>-145</v>
      </c>
      <c r="O962" s="5">
        <v>-263.68306518593602</v>
      </c>
    </row>
    <row r="963" spans="13:15" x14ac:dyDescent="0.25">
      <c r="M963" s="5">
        <v>1960.0833333333301</v>
      </c>
      <c r="N963" s="5">
        <v>-103</v>
      </c>
      <c r="O963" s="5">
        <v>-250.06923082027501</v>
      </c>
    </row>
    <row r="964" spans="13:15" x14ac:dyDescent="0.25">
      <c r="M964" s="5">
        <v>1960.1666666666599</v>
      </c>
      <c r="N964" s="5">
        <v>-87</v>
      </c>
      <c r="O964" s="5">
        <v>-241.06395096076301</v>
      </c>
    </row>
    <row r="965" spans="13:15" x14ac:dyDescent="0.25">
      <c r="M965" s="5">
        <v>1960.25</v>
      </c>
      <c r="N965" s="5">
        <v>-59</v>
      </c>
      <c r="O965" s="5">
        <v>-220.05205151516299</v>
      </c>
    </row>
    <row r="966" spans="13:15" x14ac:dyDescent="0.25">
      <c r="M966" s="5">
        <v>1960.3333333333301</v>
      </c>
      <c r="N966" s="5">
        <v>19</v>
      </c>
      <c r="O966" s="5">
        <v>-174.07064585846999</v>
      </c>
    </row>
    <row r="967" spans="13:15" x14ac:dyDescent="0.25">
      <c r="M967" s="5">
        <v>1960.4166666666599</v>
      </c>
      <c r="N967" s="5">
        <v>77</v>
      </c>
      <c r="O967" s="5">
        <v>-51.980214553068699</v>
      </c>
    </row>
    <row r="968" spans="13:15" x14ac:dyDescent="0.25">
      <c r="M968" s="5">
        <v>1960.5</v>
      </c>
      <c r="N968" s="5">
        <v>147</v>
      </c>
      <c r="O968" s="5">
        <v>134.79089288594301</v>
      </c>
    </row>
    <row r="969" spans="13:15" x14ac:dyDescent="0.25">
      <c r="M969" s="5">
        <v>1960.5833333333301</v>
      </c>
      <c r="N969" s="5">
        <v>151</v>
      </c>
      <c r="O969" s="5">
        <v>180.075817267536</v>
      </c>
    </row>
    <row r="970" spans="13:15" x14ac:dyDescent="0.25">
      <c r="M970" s="5">
        <v>1960.6666666666599</v>
      </c>
      <c r="N970" s="5">
        <v>151</v>
      </c>
      <c r="O970" s="5">
        <v>204.01574586431801</v>
      </c>
    </row>
    <row r="971" spans="13:15" x14ac:dyDescent="0.25">
      <c r="M971" s="5">
        <v>1960.75</v>
      </c>
      <c r="N971" s="5">
        <v>150</v>
      </c>
      <c r="O971" s="5">
        <v>233.943951992503</v>
      </c>
    </row>
    <row r="972" spans="13:15" x14ac:dyDescent="0.25">
      <c r="M972" s="5">
        <v>1960.8333333333301</v>
      </c>
      <c r="N972" s="5">
        <v>144</v>
      </c>
      <c r="O972" s="5">
        <v>248.589020653181</v>
      </c>
    </row>
    <row r="973" spans="13:15" x14ac:dyDescent="0.25">
      <c r="M973" s="5">
        <v>1960.9166666666599</v>
      </c>
      <c r="N973" s="5">
        <v>103</v>
      </c>
      <c r="O973" s="5">
        <v>246.566290276541</v>
      </c>
    </row>
    <row r="974" spans="13:15" x14ac:dyDescent="0.25">
      <c r="M974" s="5">
        <v>1961</v>
      </c>
      <c r="N974" s="5">
        <v>50</v>
      </c>
      <c r="O974" s="5">
        <v>227.45634673537799</v>
      </c>
    </row>
    <row r="975" spans="13:15" x14ac:dyDescent="0.25">
      <c r="M975" s="5">
        <v>1961.0833333333301</v>
      </c>
      <c r="N975" s="5">
        <v>-92</v>
      </c>
      <c r="O975" s="5">
        <v>174.19798461594101</v>
      </c>
    </row>
    <row r="976" spans="13:15" x14ac:dyDescent="0.25">
      <c r="M976" s="5">
        <v>1961.1666666666599</v>
      </c>
      <c r="N976" s="5">
        <v>-134</v>
      </c>
      <c r="O976" s="5">
        <v>90.517613274135996</v>
      </c>
    </row>
    <row r="977" spans="13:15" x14ac:dyDescent="0.25">
      <c r="M977" s="5">
        <v>1961.25</v>
      </c>
      <c r="N977" s="5">
        <v>-143</v>
      </c>
      <c r="O977" s="5">
        <v>35.745705881629803</v>
      </c>
    </row>
    <row r="978" spans="13:15" x14ac:dyDescent="0.25">
      <c r="M978" s="5">
        <v>1961.3333333333301</v>
      </c>
      <c r="N978" s="5">
        <v>-219</v>
      </c>
      <c r="O978" s="5">
        <v>-42.387019737191999</v>
      </c>
    </row>
    <row r="979" spans="13:15" x14ac:dyDescent="0.25">
      <c r="M979" s="5">
        <v>1961.4166666666599</v>
      </c>
      <c r="N979" s="5">
        <v>-247</v>
      </c>
      <c r="O979" s="5">
        <v>-103.79019784219</v>
      </c>
    </row>
    <row r="980" spans="13:15" x14ac:dyDescent="0.25">
      <c r="M980" s="5">
        <v>1961.5</v>
      </c>
      <c r="N980" s="5">
        <v>-247</v>
      </c>
      <c r="O980" s="5">
        <v>-149.195954506031</v>
      </c>
    </row>
    <row r="981" spans="13:15" x14ac:dyDescent="0.25">
      <c r="M981" s="5">
        <v>1961.5833333333301</v>
      </c>
      <c r="N981" s="5">
        <v>-245</v>
      </c>
      <c r="O981" s="5">
        <v>-193.65499508493301</v>
      </c>
    </row>
    <row r="982" spans="13:15" x14ac:dyDescent="0.25">
      <c r="M982" s="5">
        <v>1961.6666666666599</v>
      </c>
      <c r="N982" s="5">
        <v>-231</v>
      </c>
      <c r="O982" s="5">
        <v>-210.03919405354699</v>
      </c>
    </row>
    <row r="983" spans="13:15" x14ac:dyDescent="0.25">
      <c r="M983" s="5">
        <v>1961.75</v>
      </c>
      <c r="N983" s="5">
        <v>-203</v>
      </c>
      <c r="O983" s="5">
        <v>-214.50025576759501</v>
      </c>
    </row>
    <row r="984" spans="13:15" x14ac:dyDescent="0.25">
      <c r="M984" s="5">
        <v>1961.8333333333301</v>
      </c>
      <c r="N984" s="5">
        <v>-203</v>
      </c>
      <c r="O984" s="5">
        <v>-233.700993967291</v>
      </c>
    </row>
    <row r="985" spans="13:15" x14ac:dyDescent="0.25">
      <c r="M985" s="5">
        <v>1961.9166666666599</v>
      </c>
      <c r="N985" s="5">
        <v>-203</v>
      </c>
      <c r="O985" s="5">
        <v>-253.15823657384101</v>
      </c>
    </row>
    <row r="986" spans="13:15" x14ac:dyDescent="0.25">
      <c r="M986" s="5">
        <v>1962</v>
      </c>
      <c r="N986" s="5">
        <v>-174</v>
      </c>
      <c r="O986" s="5">
        <v>-268.683923925665</v>
      </c>
    </row>
    <row r="987" spans="13:15" x14ac:dyDescent="0.25">
      <c r="M987" s="5">
        <v>1962.0833333333301</v>
      </c>
      <c r="N987" s="5">
        <v>-174</v>
      </c>
      <c r="O987" s="5">
        <v>-281.46316647483201</v>
      </c>
    </row>
    <row r="988" spans="13:15" x14ac:dyDescent="0.25">
      <c r="M988" s="5">
        <v>1962.1666666666599</v>
      </c>
      <c r="N988" s="5">
        <v>-160</v>
      </c>
      <c r="O988" s="5">
        <v>-285.57055648716897</v>
      </c>
    </row>
    <row r="989" spans="13:15" x14ac:dyDescent="0.25">
      <c r="M989" s="5">
        <v>1962.25</v>
      </c>
      <c r="N989" s="5">
        <v>-154</v>
      </c>
      <c r="O989" s="5">
        <v>-282.61685550262098</v>
      </c>
    </row>
    <row r="990" spans="13:15" x14ac:dyDescent="0.25">
      <c r="M990" s="5">
        <v>1962.3333333333301</v>
      </c>
      <c r="N990" s="5">
        <v>-78</v>
      </c>
      <c r="O990" s="5">
        <v>-269.31204514149499</v>
      </c>
    </row>
    <row r="991" spans="13:15" x14ac:dyDescent="0.25">
      <c r="M991" s="5">
        <v>1962.4166666666599</v>
      </c>
      <c r="N991" s="5">
        <v>56</v>
      </c>
      <c r="O991" s="5">
        <v>-223.21635837771299</v>
      </c>
    </row>
    <row r="992" spans="13:15" x14ac:dyDescent="0.25">
      <c r="M992" s="5">
        <v>1962.5</v>
      </c>
      <c r="N992" s="5">
        <v>123</v>
      </c>
      <c r="O992" s="5">
        <v>-113.64480812596599</v>
      </c>
    </row>
    <row r="993" spans="13:15" x14ac:dyDescent="0.25">
      <c r="M993" s="5">
        <v>1962.5833333333301</v>
      </c>
      <c r="N993" s="5">
        <v>147</v>
      </c>
      <c r="O993" s="5">
        <v>26.262092676521199</v>
      </c>
    </row>
    <row r="994" spans="13:15" x14ac:dyDescent="0.25">
      <c r="M994" s="5">
        <v>1962.6666666666599</v>
      </c>
      <c r="N994" s="5">
        <v>170</v>
      </c>
      <c r="O994" s="5">
        <v>97.862540276310199</v>
      </c>
    </row>
    <row r="995" spans="13:15" x14ac:dyDescent="0.25">
      <c r="M995" s="5">
        <v>1962.75</v>
      </c>
      <c r="N995" s="5">
        <v>175</v>
      </c>
      <c r="O995" s="5">
        <v>137.915098091711</v>
      </c>
    </row>
    <row r="996" spans="13:15" x14ac:dyDescent="0.25">
      <c r="M996" s="5">
        <v>1962.8333333333301</v>
      </c>
      <c r="N996" s="5">
        <v>197</v>
      </c>
      <c r="O996" s="5">
        <v>172.56264350055</v>
      </c>
    </row>
    <row r="997" spans="13:15" x14ac:dyDescent="0.25">
      <c r="M997" s="5">
        <v>1962.9166666666599</v>
      </c>
      <c r="N997" s="5">
        <v>197</v>
      </c>
      <c r="O997" s="5">
        <v>201.43799690770399</v>
      </c>
    </row>
    <row r="998" spans="13:15" x14ac:dyDescent="0.25">
      <c r="M998" s="5">
        <v>1963</v>
      </c>
      <c r="N998" s="5">
        <v>187</v>
      </c>
      <c r="O998" s="5">
        <v>202.02987829089199</v>
      </c>
    </row>
    <row r="999" spans="13:15" x14ac:dyDescent="0.25">
      <c r="M999" s="5">
        <v>1963.0833333333301</v>
      </c>
      <c r="N999" s="5">
        <v>187</v>
      </c>
      <c r="O999" s="5">
        <v>183.84627835502801</v>
      </c>
    </row>
    <row r="1000" spans="13:15" x14ac:dyDescent="0.25">
      <c r="M1000" s="5">
        <v>1963.1666666666599</v>
      </c>
      <c r="N1000" s="5">
        <v>228</v>
      </c>
      <c r="O1000" s="5">
        <v>183.69010701388001</v>
      </c>
    </row>
    <row r="1001" spans="13:15" x14ac:dyDescent="0.25">
      <c r="M1001" s="5">
        <v>1963.25</v>
      </c>
      <c r="N1001" s="5">
        <v>228</v>
      </c>
      <c r="O1001" s="5">
        <v>199.50293140949699</v>
      </c>
    </row>
    <row r="1002" spans="13:15" x14ac:dyDescent="0.25">
      <c r="M1002" s="5">
        <v>1963.3333333333301</v>
      </c>
      <c r="N1002" s="5">
        <v>223</v>
      </c>
      <c r="O1002" s="5">
        <v>219.09754230134001</v>
      </c>
    </row>
    <row r="1003" spans="13:15" x14ac:dyDescent="0.25">
      <c r="M1003" s="5">
        <v>1963.4166666666599</v>
      </c>
      <c r="N1003" s="5">
        <v>212</v>
      </c>
      <c r="O1003" s="5">
        <v>229.63250577519401</v>
      </c>
    </row>
    <row r="1004" spans="13:15" x14ac:dyDescent="0.25">
      <c r="M1004" s="5">
        <v>1963.5</v>
      </c>
      <c r="N1004" s="5">
        <v>110</v>
      </c>
      <c r="O1004" s="5">
        <v>208.428227175963</v>
      </c>
    </row>
    <row r="1005" spans="13:15" x14ac:dyDescent="0.25">
      <c r="M1005" s="5">
        <v>1963.5833333333301</v>
      </c>
      <c r="N1005" s="5">
        <v>-90</v>
      </c>
      <c r="O1005" s="5">
        <v>129.72344326401901</v>
      </c>
    </row>
    <row r="1006" spans="13:15" x14ac:dyDescent="0.25">
      <c r="M1006" s="5">
        <v>1963.6666666666599</v>
      </c>
      <c r="N1006" s="5">
        <v>-141</v>
      </c>
      <c r="O1006" s="5">
        <v>-45.520878216670503</v>
      </c>
    </row>
    <row r="1007" spans="13:15" x14ac:dyDescent="0.25">
      <c r="M1007" s="5">
        <v>1963.75</v>
      </c>
      <c r="N1007" s="5">
        <v>-170</v>
      </c>
      <c r="O1007" s="5">
        <v>-148.09259312279099</v>
      </c>
    </row>
    <row r="1008" spans="13:15" x14ac:dyDescent="0.25">
      <c r="M1008" s="5">
        <v>1963.8333333333301</v>
      </c>
      <c r="N1008" s="5">
        <v>-175</v>
      </c>
      <c r="O1008" s="5">
        <v>-184.867177652805</v>
      </c>
    </row>
    <row r="1009" spans="13:15" x14ac:dyDescent="0.25">
      <c r="M1009" s="5">
        <v>1963.9166666666599</v>
      </c>
      <c r="N1009" s="5">
        <v>-175</v>
      </c>
      <c r="O1009" s="5">
        <v>-206.486161202668</v>
      </c>
    </row>
    <row r="1010" spans="13:15" x14ac:dyDescent="0.25">
      <c r="M1010" s="5">
        <v>1964</v>
      </c>
      <c r="N1010" s="5">
        <v>-175</v>
      </c>
      <c r="O1010" s="5">
        <v>-233.944268804047</v>
      </c>
    </row>
    <row r="1011" spans="13:15" x14ac:dyDescent="0.25">
      <c r="M1011" s="5">
        <v>1964.0833333333301</v>
      </c>
      <c r="N1011" s="5">
        <v>-140</v>
      </c>
      <c r="O1011" s="5">
        <v>-249.62935087929301</v>
      </c>
    </row>
    <row r="1012" spans="13:15" x14ac:dyDescent="0.25">
      <c r="M1012" s="5">
        <v>1964.1666666666599</v>
      </c>
      <c r="N1012" s="5">
        <v>-140</v>
      </c>
      <c r="O1012" s="5">
        <v>-257.17950383503802</v>
      </c>
    </row>
    <row r="1013" spans="13:15" x14ac:dyDescent="0.25">
      <c r="M1013" s="5">
        <v>1964.25</v>
      </c>
      <c r="N1013" s="5">
        <v>-159</v>
      </c>
      <c r="O1013" s="5">
        <v>-267.38509179574999</v>
      </c>
    </row>
    <row r="1014" spans="13:15" x14ac:dyDescent="0.25">
      <c r="M1014" s="5">
        <v>1964.3333333333301</v>
      </c>
      <c r="N1014" s="5">
        <v>-169</v>
      </c>
      <c r="O1014" s="5">
        <v>-268.45862501146797</v>
      </c>
    </row>
    <row r="1015" spans="13:15" x14ac:dyDescent="0.25">
      <c r="M1015" s="5">
        <v>1964.4166666666599</v>
      </c>
      <c r="N1015" s="5">
        <v>-169</v>
      </c>
      <c r="O1015" s="5">
        <v>-255.27907532834399</v>
      </c>
    </row>
    <row r="1016" spans="13:15" x14ac:dyDescent="0.25">
      <c r="M1016" s="5">
        <v>1964.5</v>
      </c>
      <c r="N1016" s="5">
        <v>-166</v>
      </c>
      <c r="O1016" s="5">
        <v>-235.97840355771299</v>
      </c>
    </row>
    <row r="1017" spans="13:15" x14ac:dyDescent="0.25">
      <c r="M1017" s="5">
        <v>1964.5833333333301</v>
      </c>
      <c r="N1017" s="5">
        <v>-142</v>
      </c>
      <c r="O1017" s="5">
        <v>-213.721672024388</v>
      </c>
    </row>
    <row r="1018" spans="13:15" x14ac:dyDescent="0.25">
      <c r="M1018" s="5">
        <v>1964.6666666666599</v>
      </c>
      <c r="N1018" s="5">
        <v>-132</v>
      </c>
      <c r="O1018" s="5">
        <v>-202.56361793315</v>
      </c>
    </row>
    <row r="1019" spans="13:15" x14ac:dyDescent="0.25">
      <c r="M1019" s="5">
        <v>1964.75</v>
      </c>
      <c r="N1019" s="5">
        <v>-137</v>
      </c>
      <c r="O1019" s="5">
        <v>-205.37049763563999</v>
      </c>
    </row>
    <row r="1020" spans="13:15" x14ac:dyDescent="0.25">
      <c r="M1020" s="5">
        <v>1964.8333333333301</v>
      </c>
      <c r="N1020" s="5">
        <v>-125</v>
      </c>
      <c r="O1020" s="5">
        <v>-184.88618320954501</v>
      </c>
    </row>
    <row r="1021" spans="13:15" x14ac:dyDescent="0.25">
      <c r="M1021" s="5">
        <v>1964.9166666666599</v>
      </c>
      <c r="N1021" s="5">
        <v>-124</v>
      </c>
      <c r="O1021" s="5">
        <v>-138.670653211434</v>
      </c>
    </row>
    <row r="1022" spans="13:15" x14ac:dyDescent="0.25">
      <c r="M1022" s="5">
        <v>1965</v>
      </c>
      <c r="N1022" s="5">
        <v>-120</v>
      </c>
      <c r="O1022" s="5">
        <v>-107.57469186452499</v>
      </c>
    </row>
    <row r="1023" spans="13:15" x14ac:dyDescent="0.25">
      <c r="M1023" s="5">
        <v>1965.0833333333301</v>
      </c>
      <c r="N1023" s="5">
        <v>-112</v>
      </c>
      <c r="O1023" s="5">
        <v>-92.236574251396902</v>
      </c>
    </row>
    <row r="1024" spans="13:15" x14ac:dyDescent="0.25">
      <c r="M1024" s="5">
        <v>1965.1666666666599</v>
      </c>
      <c r="N1024" s="5">
        <v>-93</v>
      </c>
      <c r="O1024" s="5">
        <v>-106.331543862313</v>
      </c>
    </row>
    <row r="1025" spans="13:15" x14ac:dyDescent="0.25">
      <c r="M1025" s="5">
        <v>1965.25</v>
      </c>
      <c r="N1025" s="5">
        <v>-68</v>
      </c>
      <c r="O1025" s="5">
        <v>-107.844639009239</v>
      </c>
    </row>
    <row r="1026" spans="13:15" x14ac:dyDescent="0.25">
      <c r="M1026" s="5">
        <v>1965.3333333333301</v>
      </c>
      <c r="N1026" s="5">
        <v>52</v>
      </c>
      <c r="O1026" s="5">
        <v>30.4851446487705</v>
      </c>
    </row>
    <row r="1027" spans="13:15" x14ac:dyDescent="0.25">
      <c r="M1027" s="5">
        <v>1965.4166666666599</v>
      </c>
      <c r="N1027" s="5">
        <v>137</v>
      </c>
      <c r="O1027" s="5">
        <v>153.858345890062</v>
      </c>
    </row>
    <row r="1028" spans="13:15" x14ac:dyDescent="0.25">
      <c r="M1028" s="5">
        <v>1965.5</v>
      </c>
      <c r="N1028" s="5">
        <v>163</v>
      </c>
      <c r="O1028" s="5">
        <v>187.43466737179099</v>
      </c>
    </row>
    <row r="1029" spans="13:15" x14ac:dyDescent="0.25">
      <c r="M1029" s="5">
        <v>1965.5833333333301</v>
      </c>
      <c r="N1029" s="5">
        <v>182</v>
      </c>
      <c r="O1029" s="5">
        <v>196.762911260511</v>
      </c>
    </row>
    <row r="1030" spans="13:15" x14ac:dyDescent="0.25">
      <c r="M1030" s="5">
        <v>1965.6666666666599</v>
      </c>
      <c r="N1030" s="5">
        <v>186</v>
      </c>
      <c r="O1030" s="5">
        <v>195.37325762010499</v>
      </c>
    </row>
    <row r="1031" spans="13:15" x14ac:dyDescent="0.25">
      <c r="M1031" s="5">
        <v>1965.75</v>
      </c>
      <c r="N1031" s="5">
        <v>214</v>
      </c>
      <c r="O1031" s="5">
        <v>202.115005005234</v>
      </c>
    </row>
    <row r="1032" spans="13:15" x14ac:dyDescent="0.25">
      <c r="M1032" s="5">
        <v>1965.8333333333301</v>
      </c>
      <c r="N1032" s="5">
        <v>216</v>
      </c>
      <c r="O1032" s="5">
        <v>218.12155868975501</v>
      </c>
    </row>
    <row r="1033" spans="13:15" x14ac:dyDescent="0.25">
      <c r="M1033" s="5">
        <v>1965.9166666666599</v>
      </c>
      <c r="N1033" s="5">
        <v>224</v>
      </c>
      <c r="O1033" s="5">
        <v>212.679458045394</v>
      </c>
    </row>
    <row r="1034" spans="13:15" x14ac:dyDescent="0.25">
      <c r="M1034" s="5">
        <v>1966</v>
      </c>
      <c r="N1034" s="5">
        <v>224</v>
      </c>
      <c r="O1034" s="5">
        <v>176.65967928745599</v>
      </c>
    </row>
    <row r="1035" spans="13:15" x14ac:dyDescent="0.25">
      <c r="M1035" s="5">
        <v>1966.0833333333301</v>
      </c>
      <c r="N1035" s="5">
        <v>197</v>
      </c>
      <c r="O1035" s="5">
        <v>110.417330393109</v>
      </c>
    </row>
    <row r="1036" spans="13:15" x14ac:dyDescent="0.25">
      <c r="M1036" s="5">
        <v>1966.1666666666599</v>
      </c>
      <c r="N1036" s="5">
        <v>102</v>
      </c>
      <c r="O1036" s="5">
        <v>-56.984818767834199</v>
      </c>
    </row>
    <row r="1037" spans="13:15" x14ac:dyDescent="0.25">
      <c r="M1037" s="5">
        <v>1966.25</v>
      </c>
      <c r="N1037" s="5">
        <v>-35</v>
      </c>
      <c r="O1037" s="5">
        <v>-161.37941060280201</v>
      </c>
    </row>
    <row r="1038" spans="13:15" x14ac:dyDescent="0.25">
      <c r="M1038" s="5">
        <v>1966.3333333333301</v>
      </c>
      <c r="N1038" s="5">
        <v>-162</v>
      </c>
      <c r="O1038" s="5">
        <v>-194.76260362206301</v>
      </c>
    </row>
    <row r="1039" spans="13:15" x14ac:dyDescent="0.25">
      <c r="M1039" s="5">
        <v>1966.4166666666599</v>
      </c>
      <c r="N1039" s="5">
        <v>-241</v>
      </c>
      <c r="O1039" s="5">
        <v>-209.36250623553499</v>
      </c>
    </row>
    <row r="1040" spans="13:15" x14ac:dyDescent="0.25">
      <c r="M1040" s="5">
        <v>1966.5</v>
      </c>
      <c r="N1040" s="5">
        <v>-253</v>
      </c>
      <c r="O1040" s="5">
        <v>-203.021948458613</v>
      </c>
    </row>
    <row r="1041" spans="13:15" x14ac:dyDescent="0.25">
      <c r="M1041" s="5">
        <v>1966.5833333333301</v>
      </c>
      <c r="N1041" s="5">
        <v>-258</v>
      </c>
      <c r="O1041" s="5">
        <v>-181.61541561005799</v>
      </c>
    </row>
    <row r="1042" spans="13:15" x14ac:dyDescent="0.25">
      <c r="M1042" s="5">
        <v>1966.6666666666599</v>
      </c>
      <c r="N1042" s="5">
        <v>-258</v>
      </c>
      <c r="O1042" s="5">
        <v>-189.11874202560199</v>
      </c>
    </row>
    <row r="1043" spans="13:15" x14ac:dyDescent="0.25">
      <c r="M1043" s="5">
        <v>1966.75</v>
      </c>
      <c r="N1043" s="5">
        <v>-265</v>
      </c>
      <c r="O1043" s="5">
        <v>-214.88608612348</v>
      </c>
    </row>
    <row r="1044" spans="13:15" x14ac:dyDescent="0.25">
      <c r="M1044" s="5">
        <v>1966.8333333333301</v>
      </c>
      <c r="N1044" s="5">
        <v>-265</v>
      </c>
      <c r="O1044" s="5">
        <v>-239.551038337694</v>
      </c>
    </row>
    <row r="1045" spans="13:15" x14ac:dyDescent="0.25">
      <c r="M1045" s="5">
        <v>1966.9166666666599</v>
      </c>
      <c r="N1045" s="5">
        <v>-253</v>
      </c>
      <c r="O1045" s="5">
        <v>-261.725931853818</v>
      </c>
    </row>
    <row r="1046" spans="13:15" x14ac:dyDescent="0.25">
      <c r="M1046" s="5">
        <v>1967</v>
      </c>
      <c r="N1046" s="5">
        <v>-253</v>
      </c>
      <c r="O1046" s="5">
        <v>-269.90291249742199</v>
      </c>
    </row>
    <row r="1047" spans="13:15" x14ac:dyDescent="0.25">
      <c r="M1047" s="5">
        <v>1967.0833333333301</v>
      </c>
      <c r="N1047" s="5">
        <v>-253</v>
      </c>
      <c r="O1047" s="5">
        <v>-268.63750467894999</v>
      </c>
    </row>
    <row r="1048" spans="13:15" x14ac:dyDescent="0.25">
      <c r="M1048" s="5">
        <v>1967.1666666666599</v>
      </c>
      <c r="N1048" s="5">
        <v>-250</v>
      </c>
      <c r="O1048" s="5">
        <v>-267.97048785151799</v>
      </c>
    </row>
    <row r="1049" spans="13:15" x14ac:dyDescent="0.25">
      <c r="M1049" s="5">
        <v>1967.25</v>
      </c>
      <c r="N1049" s="5">
        <v>-210</v>
      </c>
      <c r="O1049" s="5">
        <v>-258.76200414465598</v>
      </c>
    </row>
    <row r="1050" spans="13:15" x14ac:dyDescent="0.25">
      <c r="M1050" s="5">
        <v>1967.3333333333301</v>
      </c>
      <c r="N1050" s="5">
        <v>-206</v>
      </c>
      <c r="O1050" s="5">
        <v>-229.779541803499</v>
      </c>
    </row>
    <row r="1051" spans="13:15" x14ac:dyDescent="0.25">
      <c r="M1051" s="5">
        <v>1967.4166666666599</v>
      </c>
      <c r="N1051" s="5">
        <v>-158</v>
      </c>
      <c r="O1051" s="5">
        <v>-171.99788438247299</v>
      </c>
    </row>
    <row r="1052" spans="13:15" x14ac:dyDescent="0.25">
      <c r="M1052" s="5">
        <v>1967.5</v>
      </c>
      <c r="N1052" s="5">
        <v>-45</v>
      </c>
      <c r="O1052" s="5">
        <v>-56.898782920612902</v>
      </c>
    </row>
    <row r="1053" spans="13:15" x14ac:dyDescent="0.25">
      <c r="M1053" s="5">
        <v>1967.5833333333301</v>
      </c>
      <c r="N1053" s="5">
        <v>45</v>
      </c>
      <c r="O1053" s="5">
        <v>29.019273896538799</v>
      </c>
    </row>
    <row r="1054" spans="13:15" x14ac:dyDescent="0.25">
      <c r="M1054" s="5">
        <v>1967.6666666666599</v>
      </c>
      <c r="N1054" s="5">
        <v>60</v>
      </c>
      <c r="O1054" s="5">
        <v>4.7161508740457601</v>
      </c>
    </row>
    <row r="1055" spans="13:15" x14ac:dyDescent="0.25">
      <c r="M1055" s="5">
        <v>1967.75</v>
      </c>
      <c r="N1055" s="5">
        <v>54</v>
      </c>
      <c r="O1055" s="5">
        <v>66.989959269785402</v>
      </c>
    </row>
    <row r="1056" spans="13:15" x14ac:dyDescent="0.25">
      <c r="M1056" s="5">
        <v>1967.8333333333301</v>
      </c>
      <c r="N1056" s="5">
        <v>61</v>
      </c>
      <c r="O1056" s="5">
        <v>141.91364428543</v>
      </c>
    </row>
    <row r="1057" spans="13:15" x14ac:dyDescent="0.25">
      <c r="M1057" s="5">
        <v>1967.9166666666599</v>
      </c>
      <c r="N1057" s="5">
        <v>92</v>
      </c>
      <c r="O1057" s="5">
        <v>171.28015126002401</v>
      </c>
    </row>
    <row r="1058" spans="13:15" x14ac:dyDescent="0.25">
      <c r="M1058" s="5">
        <v>1968</v>
      </c>
      <c r="N1058" s="5">
        <v>92</v>
      </c>
      <c r="O1058" s="5">
        <v>186.69483237431299</v>
      </c>
    </row>
    <row r="1059" spans="13:15" x14ac:dyDescent="0.25">
      <c r="M1059" s="5">
        <v>1968.0833333333301</v>
      </c>
      <c r="N1059" s="5">
        <v>103</v>
      </c>
      <c r="O1059" s="5">
        <v>190.58743255212201</v>
      </c>
    </row>
    <row r="1060" spans="13:15" x14ac:dyDescent="0.25">
      <c r="M1060" s="5">
        <v>1968.1666666666599</v>
      </c>
      <c r="N1060" s="5">
        <v>103</v>
      </c>
      <c r="O1060" s="5">
        <v>193.26744276381601</v>
      </c>
    </row>
    <row r="1061" spans="13:15" x14ac:dyDescent="0.25">
      <c r="M1061" s="5">
        <v>1968.25</v>
      </c>
      <c r="N1061" s="5">
        <v>148</v>
      </c>
      <c r="O1061" s="5">
        <v>208.965482825463</v>
      </c>
    </row>
    <row r="1062" spans="13:15" x14ac:dyDescent="0.25">
      <c r="M1062" s="5">
        <v>1968.3333333333301</v>
      </c>
      <c r="N1062" s="5">
        <v>148</v>
      </c>
      <c r="O1062" s="5">
        <v>215.029940653724</v>
      </c>
    </row>
    <row r="1063" spans="13:15" x14ac:dyDescent="0.25">
      <c r="M1063" s="5">
        <v>1968.4166666666599</v>
      </c>
      <c r="N1063" s="5">
        <v>153</v>
      </c>
      <c r="O1063" s="5">
        <v>206.611504694665</v>
      </c>
    </row>
    <row r="1064" spans="13:15" x14ac:dyDescent="0.25">
      <c r="M1064" s="5">
        <v>1968.5</v>
      </c>
      <c r="N1064" s="5">
        <v>160</v>
      </c>
      <c r="O1064" s="5">
        <v>194.82254803244501</v>
      </c>
    </row>
    <row r="1065" spans="13:15" x14ac:dyDescent="0.25">
      <c r="M1065" s="5">
        <v>1968.5833333333301</v>
      </c>
      <c r="N1065" s="5">
        <v>203</v>
      </c>
      <c r="O1065" s="5">
        <v>169.415306383569</v>
      </c>
    </row>
    <row r="1066" spans="13:15" x14ac:dyDescent="0.25">
      <c r="M1066" s="5">
        <v>1968.6666666666599</v>
      </c>
      <c r="N1066" s="5">
        <v>209</v>
      </c>
      <c r="O1066" s="5">
        <v>131.90803466141099</v>
      </c>
    </row>
    <row r="1067" spans="13:15" x14ac:dyDescent="0.25">
      <c r="M1067" s="5">
        <v>1968.75</v>
      </c>
      <c r="N1067" s="5">
        <v>208</v>
      </c>
      <c r="O1067" s="5">
        <v>85.069080725899099</v>
      </c>
    </row>
    <row r="1068" spans="13:15" x14ac:dyDescent="0.25">
      <c r="M1068" s="5">
        <v>1968.8333333333301</v>
      </c>
      <c r="N1068" s="5">
        <v>208</v>
      </c>
      <c r="O1068" s="5">
        <v>-96.494793104124</v>
      </c>
    </row>
    <row r="1069" spans="13:15" x14ac:dyDescent="0.25">
      <c r="M1069" s="5">
        <v>1968.9166666666599</v>
      </c>
      <c r="N1069" s="5">
        <v>102</v>
      </c>
      <c r="O1069" s="5">
        <v>-211.42557515551201</v>
      </c>
    </row>
    <row r="1070" spans="13:15" x14ac:dyDescent="0.25">
      <c r="M1070" s="5">
        <v>1969</v>
      </c>
      <c r="N1070" s="5">
        <v>33</v>
      </c>
      <c r="O1070" s="5">
        <v>-253.979568138633</v>
      </c>
    </row>
    <row r="1071" spans="13:15" x14ac:dyDescent="0.25">
      <c r="M1071" s="5">
        <v>1969.0833333333301</v>
      </c>
      <c r="N1071" s="5">
        <v>-109</v>
      </c>
      <c r="O1071" s="5">
        <v>-275.081388018437</v>
      </c>
    </row>
    <row r="1072" spans="13:15" x14ac:dyDescent="0.25">
      <c r="M1072" s="5">
        <v>1969.1666666666599</v>
      </c>
      <c r="N1072" s="5">
        <v>-166</v>
      </c>
      <c r="O1072" s="5">
        <v>-284.52711692023098</v>
      </c>
    </row>
    <row r="1073" spans="13:15" x14ac:dyDescent="0.25">
      <c r="M1073" s="5">
        <v>1969.25</v>
      </c>
      <c r="N1073" s="5">
        <v>-209</v>
      </c>
      <c r="O1073" s="5">
        <v>-286.59964497827599</v>
      </c>
    </row>
    <row r="1074" spans="13:15" x14ac:dyDescent="0.25">
      <c r="M1074" s="5">
        <v>1969.3333333333301</v>
      </c>
      <c r="N1074" s="5">
        <v>-256</v>
      </c>
      <c r="O1074" s="5">
        <v>-286.101451466176</v>
      </c>
    </row>
    <row r="1075" spans="13:15" x14ac:dyDescent="0.25">
      <c r="M1075" s="5">
        <v>1969.4166666666599</v>
      </c>
      <c r="N1075" s="5">
        <v>-256</v>
      </c>
      <c r="O1075" s="5">
        <v>-277.47739423815102</v>
      </c>
    </row>
    <row r="1076" spans="13:15" x14ac:dyDescent="0.25">
      <c r="M1076" s="5">
        <v>1969.5</v>
      </c>
      <c r="N1076" s="5">
        <v>-256</v>
      </c>
      <c r="O1076" s="5">
        <v>-260.53889370977498</v>
      </c>
    </row>
    <row r="1077" spans="13:15" x14ac:dyDescent="0.25">
      <c r="M1077" s="5">
        <v>1969.5833333333301</v>
      </c>
      <c r="N1077" s="5">
        <v>-245</v>
      </c>
      <c r="O1077" s="5">
        <v>-250.151802256271</v>
      </c>
    </row>
    <row r="1078" spans="13:15" x14ac:dyDescent="0.25">
      <c r="M1078" s="5">
        <v>1969.6666666666599</v>
      </c>
      <c r="N1078" s="5">
        <v>-243</v>
      </c>
      <c r="O1078" s="5">
        <v>-238.42078043969499</v>
      </c>
    </row>
    <row r="1079" spans="13:15" x14ac:dyDescent="0.25">
      <c r="M1079" s="5">
        <v>1969.75</v>
      </c>
      <c r="N1079" s="5">
        <v>-209</v>
      </c>
      <c r="O1079" s="5">
        <v>-204.53306474047801</v>
      </c>
    </row>
    <row r="1080" spans="13:15" x14ac:dyDescent="0.25">
      <c r="M1080" s="5">
        <v>1969.8333333333301</v>
      </c>
      <c r="N1080" s="5">
        <v>-193</v>
      </c>
      <c r="O1080" s="5">
        <v>-129.697429606502</v>
      </c>
    </row>
    <row r="1081" spans="13:15" x14ac:dyDescent="0.25">
      <c r="M1081" s="5">
        <v>1969.9166666666599</v>
      </c>
      <c r="N1081" s="5">
        <v>-108</v>
      </c>
      <c r="O1081" s="5">
        <v>62.104819827180798</v>
      </c>
    </row>
    <row r="1082" spans="13:15" x14ac:dyDescent="0.25">
      <c r="M1082" s="5">
        <v>1970</v>
      </c>
      <c r="N1082" s="5">
        <v>-51</v>
      </c>
      <c r="O1082" s="5">
        <v>147.81708623820401</v>
      </c>
    </row>
    <row r="1083" spans="13:15" x14ac:dyDescent="0.25">
      <c r="M1083" s="5">
        <v>1970.0833333333301</v>
      </c>
      <c r="N1083" s="5">
        <v>-9</v>
      </c>
      <c r="O1083" s="5">
        <v>155.09990637955499</v>
      </c>
    </row>
    <row r="1084" spans="13:15" x14ac:dyDescent="0.25">
      <c r="M1084" s="5">
        <v>1970.1666666666599</v>
      </c>
      <c r="N1084" s="5">
        <v>42</v>
      </c>
      <c r="O1084" s="5">
        <v>166.68881014997601</v>
      </c>
    </row>
    <row r="1085" spans="13:15" x14ac:dyDescent="0.25">
      <c r="M1085" s="5">
        <v>1970.25</v>
      </c>
      <c r="N1085" s="5">
        <v>61</v>
      </c>
      <c r="O1085" s="5">
        <v>192.947014559206</v>
      </c>
    </row>
    <row r="1086" spans="13:15" x14ac:dyDescent="0.25">
      <c r="M1086" s="5">
        <v>1970.3333333333301</v>
      </c>
      <c r="N1086" s="5">
        <v>124</v>
      </c>
      <c r="O1086" s="5">
        <v>214.17173537176399</v>
      </c>
    </row>
    <row r="1087" spans="13:15" x14ac:dyDescent="0.25">
      <c r="M1087" s="5">
        <v>1970.4166666666599</v>
      </c>
      <c r="N1087" s="5">
        <v>153</v>
      </c>
      <c r="O1087" s="5">
        <v>230.28803810787801</v>
      </c>
    </row>
    <row r="1088" spans="13:15" x14ac:dyDescent="0.25">
      <c r="M1088" s="5">
        <v>1970.5</v>
      </c>
      <c r="N1088" s="5">
        <v>185</v>
      </c>
      <c r="O1088" s="5">
        <v>229.73845597787701</v>
      </c>
    </row>
    <row r="1089" spans="13:15" x14ac:dyDescent="0.25">
      <c r="M1089" s="5">
        <v>1970.5833333333301</v>
      </c>
      <c r="N1089" s="5">
        <v>189</v>
      </c>
      <c r="O1089" s="5">
        <v>211.974712801235</v>
      </c>
    </row>
    <row r="1090" spans="13:15" x14ac:dyDescent="0.25">
      <c r="M1090" s="5">
        <v>1970.6666666666599</v>
      </c>
      <c r="N1090" s="5">
        <v>201</v>
      </c>
      <c r="O1090" s="5">
        <v>203.123000732245</v>
      </c>
    </row>
    <row r="1091" spans="13:15" x14ac:dyDescent="0.25">
      <c r="M1091" s="5">
        <v>1970.75</v>
      </c>
      <c r="N1091" s="5">
        <v>222</v>
      </c>
      <c r="O1091" s="5">
        <v>202.31813349280301</v>
      </c>
    </row>
    <row r="1092" spans="13:15" x14ac:dyDescent="0.25">
      <c r="M1092" s="5">
        <v>1970.8333333333301</v>
      </c>
      <c r="N1092" s="5">
        <v>222</v>
      </c>
      <c r="O1092" s="5">
        <v>182.402626630947</v>
      </c>
    </row>
    <row r="1093" spans="13:15" x14ac:dyDescent="0.25">
      <c r="M1093" s="5">
        <v>1970.9166666666599</v>
      </c>
      <c r="N1093" s="5">
        <v>207</v>
      </c>
      <c r="O1093" s="5">
        <v>110.666353654522</v>
      </c>
    </row>
    <row r="1094" spans="13:15" x14ac:dyDescent="0.25">
      <c r="M1094" s="5">
        <v>1971</v>
      </c>
      <c r="N1094" s="5">
        <v>84</v>
      </c>
      <c r="O1094" s="5">
        <v>-130.723547110711</v>
      </c>
    </row>
    <row r="1095" spans="13:15" x14ac:dyDescent="0.25">
      <c r="M1095" s="5">
        <v>1971.0833333333301</v>
      </c>
      <c r="N1095" s="5">
        <v>-73</v>
      </c>
      <c r="O1095" s="5">
        <v>-227.46131006071101</v>
      </c>
    </row>
    <row r="1096" spans="13:15" x14ac:dyDescent="0.25">
      <c r="M1096" s="5">
        <v>1971.1666666666599</v>
      </c>
      <c r="N1096" s="5">
        <v>-150</v>
      </c>
      <c r="O1096" s="5">
        <v>-255.726747691306</v>
      </c>
    </row>
    <row r="1097" spans="13:15" x14ac:dyDescent="0.25">
      <c r="M1097" s="5">
        <v>1971.25</v>
      </c>
      <c r="N1097" s="5">
        <v>-207</v>
      </c>
      <c r="O1097" s="5">
        <v>-269.63416856021399</v>
      </c>
    </row>
    <row r="1098" spans="13:15" x14ac:dyDescent="0.25">
      <c r="M1098" s="5">
        <v>1971.3333333333301</v>
      </c>
      <c r="N1098" s="5">
        <v>-223</v>
      </c>
      <c r="O1098" s="5">
        <v>-275.37554496266603</v>
      </c>
    </row>
    <row r="1099" spans="13:15" x14ac:dyDescent="0.25">
      <c r="M1099" s="5">
        <v>1971.4166666666599</v>
      </c>
      <c r="N1099" s="5">
        <v>-237</v>
      </c>
      <c r="O1099" s="5">
        <v>-269.55969414036099</v>
      </c>
    </row>
    <row r="1100" spans="13:15" x14ac:dyDescent="0.25">
      <c r="M1100" s="5">
        <v>1971.5</v>
      </c>
      <c r="N1100" s="5">
        <v>-240</v>
      </c>
      <c r="O1100" s="5">
        <v>-262.496215942486</v>
      </c>
    </row>
    <row r="1101" spans="13:15" x14ac:dyDescent="0.25">
      <c r="M1101" s="5">
        <v>1971.5833333333301</v>
      </c>
      <c r="N1101" s="5">
        <v>-265</v>
      </c>
      <c r="O1101" s="5">
        <v>-259.14109351329301</v>
      </c>
    </row>
    <row r="1102" spans="13:15" x14ac:dyDescent="0.25">
      <c r="M1102" s="5">
        <v>1971.6666666666599</v>
      </c>
      <c r="N1102" s="5">
        <v>-265</v>
      </c>
      <c r="O1102" s="5">
        <v>-255.24250993090101</v>
      </c>
    </row>
    <row r="1103" spans="13:15" x14ac:dyDescent="0.25">
      <c r="M1103" s="5">
        <v>1971.75</v>
      </c>
      <c r="N1103" s="5">
        <v>-239</v>
      </c>
      <c r="O1103" s="5">
        <v>-253.14753371442299</v>
      </c>
    </row>
    <row r="1104" spans="13:15" x14ac:dyDescent="0.25">
      <c r="M1104" s="5">
        <v>1971.8333333333301</v>
      </c>
      <c r="N1104" s="5">
        <v>-230</v>
      </c>
      <c r="O1104" s="5">
        <v>-241.339654769833</v>
      </c>
    </row>
    <row r="1105" spans="13:15" x14ac:dyDescent="0.25">
      <c r="M1105" s="5">
        <v>1971.9166666666599</v>
      </c>
      <c r="N1105" s="5">
        <v>-230</v>
      </c>
      <c r="O1105" s="5">
        <v>-209.715108019143</v>
      </c>
    </row>
    <row r="1106" spans="13:15" x14ac:dyDescent="0.25">
      <c r="M1106" s="5">
        <v>1972</v>
      </c>
      <c r="N1106" s="5">
        <v>-217</v>
      </c>
      <c r="O1106" s="5">
        <v>-177.98573060831799</v>
      </c>
    </row>
    <row r="1107" spans="13:15" x14ac:dyDescent="0.25">
      <c r="M1107" s="5">
        <v>1972.0833333333301</v>
      </c>
      <c r="N1107" s="5">
        <v>-200</v>
      </c>
      <c r="O1107" s="5">
        <v>-148.19114881801499</v>
      </c>
    </row>
    <row r="1108" spans="13:15" x14ac:dyDescent="0.25">
      <c r="M1108" s="5">
        <v>1972.1666666666599</v>
      </c>
      <c r="N1108" s="5">
        <v>-188</v>
      </c>
      <c r="O1108" s="5">
        <v>-93.008798237269502</v>
      </c>
    </row>
    <row r="1109" spans="13:15" x14ac:dyDescent="0.25">
      <c r="M1109" s="5">
        <v>1972.25</v>
      </c>
      <c r="N1109" s="5">
        <v>-179</v>
      </c>
      <c r="O1109" s="5">
        <v>39.387992190435099</v>
      </c>
    </row>
    <row r="1110" spans="13:15" x14ac:dyDescent="0.25">
      <c r="M1110" s="5">
        <v>1972.3333333333301</v>
      </c>
      <c r="N1110" s="5">
        <v>-145</v>
      </c>
      <c r="O1110" s="5">
        <v>181.631715289254</v>
      </c>
    </row>
    <row r="1111" spans="13:15" x14ac:dyDescent="0.25">
      <c r="M1111" s="5">
        <v>1972.4166666666599</v>
      </c>
      <c r="N1111" s="5">
        <v>82</v>
      </c>
      <c r="O1111" s="5">
        <v>240.71315510250699</v>
      </c>
    </row>
    <row r="1112" spans="13:15" x14ac:dyDescent="0.25">
      <c r="M1112" s="5">
        <v>1972.5</v>
      </c>
      <c r="N1112" s="5">
        <v>126</v>
      </c>
      <c r="O1112" s="5">
        <v>255.771313589485</v>
      </c>
    </row>
    <row r="1113" spans="13:15" x14ac:dyDescent="0.25">
      <c r="M1113" s="5">
        <v>1972.5833333333301</v>
      </c>
      <c r="N1113" s="5">
        <v>141</v>
      </c>
      <c r="O1113" s="5">
        <v>253.31288231403099</v>
      </c>
    </row>
    <row r="1114" spans="13:15" x14ac:dyDescent="0.25">
      <c r="M1114" s="5">
        <v>1972.6666666666599</v>
      </c>
      <c r="N1114" s="5">
        <v>145</v>
      </c>
      <c r="O1114" s="5">
        <v>242.12821367893599</v>
      </c>
    </row>
    <row r="1115" spans="13:15" x14ac:dyDescent="0.25">
      <c r="M1115" s="5">
        <v>1972.75</v>
      </c>
      <c r="N1115" s="5">
        <v>164</v>
      </c>
      <c r="O1115" s="5">
        <v>225.869676782726</v>
      </c>
    </row>
    <row r="1116" spans="13:15" x14ac:dyDescent="0.25">
      <c r="M1116" s="5">
        <v>1972.8333333333301</v>
      </c>
      <c r="N1116" s="5">
        <v>168</v>
      </c>
      <c r="O1116" s="5">
        <v>212.99500821517299</v>
      </c>
    </row>
    <row r="1117" spans="13:15" x14ac:dyDescent="0.25">
      <c r="M1117" s="5">
        <v>1972.9166666666599</v>
      </c>
      <c r="N1117" s="5">
        <v>164</v>
      </c>
      <c r="O1117" s="5">
        <v>180.10498309461499</v>
      </c>
    </row>
    <row r="1118" spans="13:15" x14ac:dyDescent="0.25">
      <c r="M1118" s="5">
        <v>1973</v>
      </c>
      <c r="N1118" s="5">
        <v>67</v>
      </c>
      <c r="O1118" s="5">
        <v>28.1846212761447</v>
      </c>
    </row>
    <row r="1119" spans="13:15" x14ac:dyDescent="0.25">
      <c r="M1119" s="5">
        <v>1973.0833333333301</v>
      </c>
      <c r="N1119" s="5">
        <v>-163</v>
      </c>
      <c r="O1119" s="5">
        <v>-166.42119826854</v>
      </c>
    </row>
    <row r="1120" spans="13:15" x14ac:dyDescent="0.25">
      <c r="M1120" s="5">
        <v>1973.1666666666599</v>
      </c>
      <c r="N1120" s="5">
        <v>-211</v>
      </c>
      <c r="O1120" s="5">
        <v>-225.27361632054999</v>
      </c>
    </row>
    <row r="1121" spans="13:15" x14ac:dyDescent="0.25">
      <c r="M1121" s="5">
        <v>1973.25</v>
      </c>
      <c r="N1121" s="5">
        <v>-211</v>
      </c>
      <c r="O1121" s="5">
        <v>-253.953605052033</v>
      </c>
    </row>
    <row r="1122" spans="13:15" x14ac:dyDescent="0.25">
      <c r="M1122" s="5">
        <v>1973.3333333333301</v>
      </c>
      <c r="N1122" s="5">
        <v>-211</v>
      </c>
      <c r="O1122" s="5">
        <v>-263.91264170252902</v>
      </c>
    </row>
    <row r="1123" spans="13:15" x14ac:dyDescent="0.25">
      <c r="M1123" s="5">
        <v>1973.4166666666599</v>
      </c>
      <c r="N1123" s="5">
        <v>-237</v>
      </c>
      <c r="O1123" s="5">
        <v>-268.97658529661101</v>
      </c>
    </row>
    <row r="1124" spans="13:15" x14ac:dyDescent="0.25">
      <c r="M1124" s="5">
        <v>1973.5</v>
      </c>
      <c r="N1124" s="5">
        <v>-237</v>
      </c>
      <c r="O1124" s="5">
        <v>-273.90035937539102</v>
      </c>
    </row>
    <row r="1125" spans="13:15" x14ac:dyDescent="0.25">
      <c r="M1125" s="5">
        <v>1973.5833333333301</v>
      </c>
      <c r="N1125" s="5">
        <v>-208</v>
      </c>
      <c r="O1125" s="5">
        <v>-273.34113030845498</v>
      </c>
    </row>
    <row r="1126" spans="13:15" x14ac:dyDescent="0.25">
      <c r="M1126" s="5">
        <v>1973.6666666666599</v>
      </c>
      <c r="N1126" s="5">
        <v>-203</v>
      </c>
      <c r="O1126" s="5">
        <v>-272.53257726342599</v>
      </c>
    </row>
    <row r="1127" spans="13:15" x14ac:dyDescent="0.25">
      <c r="M1127" s="5">
        <v>1973.75</v>
      </c>
      <c r="N1127" s="5">
        <v>-190</v>
      </c>
      <c r="O1127" s="5">
        <v>-271.01620540480297</v>
      </c>
    </row>
    <row r="1128" spans="13:15" x14ac:dyDescent="0.25">
      <c r="M1128" s="5">
        <v>1973.8333333333301</v>
      </c>
      <c r="N1128" s="5">
        <v>-190</v>
      </c>
      <c r="O1128" s="5">
        <v>-260.38912247402402</v>
      </c>
    </row>
    <row r="1129" spans="13:15" x14ac:dyDescent="0.25">
      <c r="M1129" s="5">
        <v>1973.9166666666599</v>
      </c>
      <c r="N1129" s="5">
        <v>-150</v>
      </c>
      <c r="O1129" s="5">
        <v>-244.44085963975499</v>
      </c>
    </row>
    <row r="1130" spans="13:15" x14ac:dyDescent="0.25">
      <c r="M1130" s="5">
        <v>1974</v>
      </c>
      <c r="N1130" s="5">
        <v>-115</v>
      </c>
      <c r="O1130" s="5">
        <v>-220.81474600368401</v>
      </c>
    </row>
    <row r="1131" spans="13:15" x14ac:dyDescent="0.25">
      <c r="M1131" s="5">
        <v>1974.0833333333301</v>
      </c>
      <c r="N1131" s="5">
        <v>-91</v>
      </c>
      <c r="O1131" s="5">
        <v>-177.921380861372</v>
      </c>
    </row>
    <row r="1132" spans="13:15" x14ac:dyDescent="0.25">
      <c r="M1132" s="5">
        <v>1974.1666666666599</v>
      </c>
      <c r="N1132" s="5">
        <v>-76</v>
      </c>
      <c r="O1132" s="5">
        <v>-144.50266359704401</v>
      </c>
    </row>
    <row r="1133" spans="13:15" x14ac:dyDescent="0.25">
      <c r="M1133" s="5">
        <v>1974.25</v>
      </c>
      <c r="N1133" s="5">
        <v>-74</v>
      </c>
      <c r="O1133" s="5">
        <v>-103.743559032031</v>
      </c>
    </row>
    <row r="1134" spans="13:15" x14ac:dyDescent="0.25">
      <c r="M1134" s="5">
        <v>1974.3333333333301</v>
      </c>
      <c r="N1134" s="5">
        <v>24</v>
      </c>
      <c r="O1134" s="5">
        <v>84.675018073848904</v>
      </c>
    </row>
    <row r="1135" spans="13:15" x14ac:dyDescent="0.25">
      <c r="M1135" s="5">
        <v>1974.4166666666599</v>
      </c>
      <c r="N1135" s="5">
        <v>120</v>
      </c>
      <c r="O1135" s="5">
        <v>196.32028569336501</v>
      </c>
    </row>
    <row r="1136" spans="13:15" x14ac:dyDescent="0.25">
      <c r="M1136" s="5">
        <v>1974.5</v>
      </c>
      <c r="N1136" s="5">
        <v>177</v>
      </c>
      <c r="O1136" s="5">
        <v>237.63249154915599</v>
      </c>
    </row>
    <row r="1137" spans="13:15" x14ac:dyDescent="0.25">
      <c r="M1137" s="5">
        <v>1974.5833333333301</v>
      </c>
      <c r="N1137" s="5">
        <v>184</v>
      </c>
      <c r="O1137" s="5">
        <v>250.43152520923601</v>
      </c>
    </row>
    <row r="1138" spans="13:15" x14ac:dyDescent="0.25">
      <c r="M1138" s="5">
        <v>1974.6666666666599</v>
      </c>
      <c r="N1138" s="5">
        <v>193</v>
      </c>
      <c r="O1138" s="5">
        <v>244.44412765728501</v>
      </c>
    </row>
    <row r="1139" spans="13:15" x14ac:dyDescent="0.25">
      <c r="M1139" s="5">
        <v>1974.75</v>
      </c>
      <c r="N1139" s="5">
        <v>193</v>
      </c>
      <c r="O1139" s="5">
        <v>236.43046173706901</v>
      </c>
    </row>
    <row r="1140" spans="13:15" x14ac:dyDescent="0.25">
      <c r="M1140" s="5">
        <v>1974.8333333333301</v>
      </c>
      <c r="N1140" s="5">
        <v>187</v>
      </c>
      <c r="O1140" s="5">
        <v>236.429129530073</v>
      </c>
    </row>
    <row r="1141" spans="13:15" x14ac:dyDescent="0.25">
      <c r="M1141" s="5">
        <v>1974.9166666666599</v>
      </c>
      <c r="N1141" s="5">
        <v>187</v>
      </c>
      <c r="O1141" s="5">
        <v>228.970942622861</v>
      </c>
    </row>
    <row r="1142" spans="13:15" x14ac:dyDescent="0.25">
      <c r="M1142" s="5">
        <v>1975</v>
      </c>
      <c r="N1142" s="5">
        <v>195</v>
      </c>
      <c r="O1142" s="5">
        <v>209.806824691674</v>
      </c>
    </row>
    <row r="1143" spans="13:15" x14ac:dyDescent="0.25">
      <c r="M1143" s="5">
        <v>1975.0833333333301</v>
      </c>
      <c r="N1143" s="5">
        <v>195</v>
      </c>
      <c r="O1143" s="5">
        <v>172.470113065199</v>
      </c>
    </row>
    <row r="1144" spans="13:15" x14ac:dyDescent="0.25">
      <c r="M1144" s="5">
        <v>1975.1666666666599</v>
      </c>
      <c r="N1144" s="5">
        <v>135</v>
      </c>
      <c r="O1144" s="5">
        <v>72.3709475632579</v>
      </c>
    </row>
    <row r="1145" spans="13:15" x14ac:dyDescent="0.25">
      <c r="M1145" s="5">
        <v>1975.25</v>
      </c>
      <c r="N1145" s="5">
        <v>-20</v>
      </c>
      <c r="O1145" s="5">
        <v>-88.004834964196107</v>
      </c>
    </row>
    <row r="1146" spans="13:15" x14ac:dyDescent="0.25">
      <c r="M1146" s="5">
        <v>1975.3333333333301</v>
      </c>
      <c r="N1146" s="5">
        <v>-155</v>
      </c>
      <c r="O1146" s="5">
        <v>-165.65726632871201</v>
      </c>
    </row>
    <row r="1147" spans="13:15" x14ac:dyDescent="0.25">
      <c r="M1147" s="5">
        <v>1975.4166666666599</v>
      </c>
      <c r="N1147" s="5">
        <v>-198</v>
      </c>
      <c r="O1147" s="5">
        <v>-223.777076901518</v>
      </c>
    </row>
    <row r="1148" spans="13:15" x14ac:dyDescent="0.25">
      <c r="M1148" s="5">
        <v>1975.5</v>
      </c>
      <c r="N1148" s="5">
        <v>-275</v>
      </c>
      <c r="O1148" s="5">
        <v>-255.21535187230501</v>
      </c>
    </row>
    <row r="1149" spans="13:15" x14ac:dyDescent="0.25">
      <c r="M1149" s="5">
        <v>1975.5833333333301</v>
      </c>
      <c r="N1149" s="5">
        <v>-275</v>
      </c>
      <c r="O1149" s="5">
        <v>-271.74584369618901</v>
      </c>
    </row>
    <row r="1150" spans="13:15" x14ac:dyDescent="0.25">
      <c r="M1150" s="5">
        <v>1975.6666666666599</v>
      </c>
      <c r="N1150" s="5">
        <v>-258</v>
      </c>
      <c r="O1150" s="5">
        <v>-280.35102861038098</v>
      </c>
    </row>
    <row r="1151" spans="13:15" x14ac:dyDescent="0.25">
      <c r="M1151" s="5">
        <v>1975.75</v>
      </c>
      <c r="N1151" s="5">
        <v>-257</v>
      </c>
      <c r="O1151" s="5">
        <v>-279.02785250138697</v>
      </c>
    </row>
    <row r="1152" spans="13:15" x14ac:dyDescent="0.25">
      <c r="M1152" s="5">
        <v>1975.8333333333301</v>
      </c>
      <c r="N1152" s="5">
        <v>-255</v>
      </c>
      <c r="O1152" s="5">
        <v>-277.24091092203702</v>
      </c>
    </row>
    <row r="1153" spans="13:15" x14ac:dyDescent="0.25">
      <c r="M1153" s="5">
        <v>1975.9166666666599</v>
      </c>
      <c r="N1153" s="5">
        <v>-255</v>
      </c>
      <c r="O1153" s="5">
        <v>-281.59641170070699</v>
      </c>
    </row>
    <row r="1154" spans="13:15" x14ac:dyDescent="0.25">
      <c r="M1154" s="5">
        <v>1976</v>
      </c>
      <c r="N1154" s="5">
        <v>-255</v>
      </c>
      <c r="O1154" s="5">
        <v>-282.50187644920902</v>
      </c>
    </row>
    <row r="1155" spans="13:15" x14ac:dyDescent="0.25">
      <c r="M1155" s="5">
        <v>1976.0833333333301</v>
      </c>
      <c r="N1155" s="5">
        <v>-234</v>
      </c>
      <c r="O1155" s="5">
        <v>-280.64799798814499</v>
      </c>
    </row>
    <row r="1156" spans="13:15" x14ac:dyDescent="0.25">
      <c r="M1156" s="5">
        <v>1976.1666666666599</v>
      </c>
      <c r="N1156" s="5">
        <v>-229</v>
      </c>
      <c r="O1156" s="5">
        <v>-279.08159228927002</v>
      </c>
    </row>
    <row r="1157" spans="13:15" x14ac:dyDescent="0.25">
      <c r="M1157" s="5">
        <v>1976.25</v>
      </c>
      <c r="N1157" s="5">
        <v>-228</v>
      </c>
      <c r="O1157" s="5">
        <v>-270.66390158781002</v>
      </c>
    </row>
    <row r="1158" spans="13:15" x14ac:dyDescent="0.25">
      <c r="M1158" s="5">
        <v>1976.3333333333301</v>
      </c>
      <c r="N1158" s="5">
        <v>-204</v>
      </c>
      <c r="O1158" s="5">
        <v>-248.39111933660499</v>
      </c>
    </row>
    <row r="1159" spans="13:15" x14ac:dyDescent="0.25">
      <c r="M1159" s="5">
        <v>1976.4166666666599</v>
      </c>
      <c r="N1159" s="5">
        <v>-135</v>
      </c>
      <c r="O1159" s="5">
        <v>-175.339157480138</v>
      </c>
    </row>
    <row r="1160" spans="13:15" x14ac:dyDescent="0.25">
      <c r="M1160" s="5">
        <v>1976.5</v>
      </c>
      <c r="N1160" s="5">
        <v>41</v>
      </c>
      <c r="O1160" s="5">
        <v>135.54215093026099</v>
      </c>
    </row>
    <row r="1161" spans="13:15" x14ac:dyDescent="0.25">
      <c r="M1161" s="5">
        <v>1976.5833333333301</v>
      </c>
      <c r="N1161" s="5">
        <v>115</v>
      </c>
      <c r="O1161" s="5">
        <v>227.701919455742</v>
      </c>
    </row>
    <row r="1162" spans="13:15" x14ac:dyDescent="0.25">
      <c r="M1162" s="5">
        <v>1976.6666666666599</v>
      </c>
      <c r="N1162" s="5">
        <v>115</v>
      </c>
      <c r="O1162" s="5">
        <v>249.15501556555799</v>
      </c>
    </row>
    <row r="1163" spans="13:15" x14ac:dyDescent="0.25">
      <c r="M1163" s="5">
        <v>1976.75</v>
      </c>
      <c r="N1163" s="5">
        <v>143</v>
      </c>
      <c r="O1163" s="5">
        <v>256.49433920109499</v>
      </c>
    </row>
    <row r="1164" spans="13:15" x14ac:dyDescent="0.25">
      <c r="M1164" s="5">
        <v>1976.8333333333301</v>
      </c>
      <c r="N1164" s="5">
        <v>125</v>
      </c>
      <c r="O1164" s="5">
        <v>253.76155181160499</v>
      </c>
    </row>
    <row r="1165" spans="13:15" x14ac:dyDescent="0.25">
      <c r="M1165" s="5">
        <v>1976.9166666666599</v>
      </c>
      <c r="N1165" s="5">
        <v>152</v>
      </c>
      <c r="O1165" s="5">
        <v>243.800608009455</v>
      </c>
    </row>
    <row r="1166" spans="13:15" x14ac:dyDescent="0.25">
      <c r="M1166" s="5">
        <v>1977</v>
      </c>
      <c r="N1166" s="5">
        <v>152</v>
      </c>
      <c r="O1166" s="5">
        <v>231.23383143788899</v>
      </c>
    </row>
    <row r="1167" spans="13:15" x14ac:dyDescent="0.25">
      <c r="M1167" s="5">
        <v>1977.0833333333301</v>
      </c>
      <c r="N1167" s="5">
        <v>163</v>
      </c>
      <c r="O1167" s="5">
        <v>209.46612578212</v>
      </c>
    </row>
    <row r="1168" spans="13:15" x14ac:dyDescent="0.25">
      <c r="M1168" s="5">
        <v>1977.1666666666599</v>
      </c>
      <c r="N1168" s="5">
        <v>165</v>
      </c>
      <c r="O1168" s="5">
        <v>192.24786525885099</v>
      </c>
    </row>
    <row r="1169" spans="13:15" x14ac:dyDescent="0.25">
      <c r="M1169" s="5">
        <v>1977.25</v>
      </c>
      <c r="N1169" s="5">
        <v>170</v>
      </c>
      <c r="O1169" s="5">
        <v>201.33879988830199</v>
      </c>
    </row>
    <row r="1170" spans="13:15" x14ac:dyDescent="0.25">
      <c r="M1170" s="5">
        <v>1977.3333333333301</v>
      </c>
      <c r="N1170" s="5">
        <v>175</v>
      </c>
      <c r="O1170" s="5">
        <v>209.809891933703</v>
      </c>
    </row>
    <row r="1171" spans="13:15" x14ac:dyDescent="0.25">
      <c r="M1171" s="5">
        <v>1977.4166666666599</v>
      </c>
      <c r="N1171" s="5">
        <v>175</v>
      </c>
      <c r="O1171" s="5">
        <v>205.27134852485301</v>
      </c>
    </row>
    <row r="1172" spans="13:15" x14ac:dyDescent="0.25">
      <c r="M1172" s="5">
        <v>1977.5</v>
      </c>
      <c r="N1172" s="5">
        <v>161</v>
      </c>
      <c r="O1172" s="5">
        <v>167.383838412508</v>
      </c>
    </row>
    <row r="1173" spans="13:15" x14ac:dyDescent="0.25">
      <c r="M1173" s="5">
        <v>1977.5833333333301</v>
      </c>
      <c r="N1173" s="5">
        <v>35</v>
      </c>
      <c r="O1173" s="5">
        <v>-36.715218877921799</v>
      </c>
    </row>
    <row r="1174" spans="13:15" x14ac:dyDescent="0.25">
      <c r="M1174" s="5">
        <v>1977.6666666666599</v>
      </c>
      <c r="N1174" s="5">
        <v>-14</v>
      </c>
      <c r="O1174" s="5">
        <v>-183.424103530872</v>
      </c>
    </row>
    <row r="1175" spans="13:15" x14ac:dyDescent="0.25">
      <c r="M1175" s="5">
        <v>1977.75</v>
      </c>
      <c r="N1175" s="5">
        <v>-149</v>
      </c>
      <c r="O1175" s="5">
        <v>-217.03808360514699</v>
      </c>
    </row>
    <row r="1176" spans="13:15" x14ac:dyDescent="0.25">
      <c r="M1176" s="5">
        <v>1977.8333333333301</v>
      </c>
      <c r="N1176" s="5">
        <v>-193</v>
      </c>
      <c r="O1176" s="5">
        <v>-239.454214041292</v>
      </c>
    </row>
    <row r="1177" spans="13:15" x14ac:dyDescent="0.25">
      <c r="M1177" s="5">
        <v>1977.9166666666599</v>
      </c>
      <c r="N1177" s="5">
        <v>-225</v>
      </c>
      <c r="O1177" s="5">
        <v>-258.38764367388302</v>
      </c>
    </row>
    <row r="1178" spans="13:15" x14ac:dyDescent="0.25">
      <c r="M1178" s="5">
        <v>1978</v>
      </c>
      <c r="N1178" s="5">
        <v>-275</v>
      </c>
      <c r="O1178" s="5">
        <v>-273.12957295641201</v>
      </c>
    </row>
    <row r="1179" spans="13:15" x14ac:dyDescent="0.25">
      <c r="M1179" s="5">
        <v>1978.0833333333301</v>
      </c>
      <c r="N1179" s="5">
        <v>-275</v>
      </c>
      <c r="O1179" s="5">
        <v>-284.05594141302799</v>
      </c>
    </row>
    <row r="1180" spans="13:15" x14ac:dyDescent="0.25">
      <c r="M1180" s="5">
        <v>1978.1666666666599</v>
      </c>
      <c r="N1180" s="5">
        <v>-254</v>
      </c>
      <c r="O1180" s="5">
        <v>-286.81386243710898</v>
      </c>
    </row>
    <row r="1181" spans="13:15" x14ac:dyDescent="0.25">
      <c r="M1181" s="5">
        <v>1978.25</v>
      </c>
      <c r="N1181" s="5">
        <v>-233</v>
      </c>
      <c r="O1181" s="5">
        <v>-287.364808387121</v>
      </c>
    </row>
    <row r="1182" spans="13:15" x14ac:dyDescent="0.25">
      <c r="M1182" s="5">
        <v>1978.3333333333301</v>
      </c>
      <c r="N1182" s="5">
        <v>-220</v>
      </c>
      <c r="O1182" s="5">
        <v>-290.06990509370598</v>
      </c>
    </row>
    <row r="1183" spans="13:15" x14ac:dyDescent="0.25">
      <c r="M1183" s="5">
        <v>1978.4166666666599</v>
      </c>
      <c r="N1183" s="5">
        <v>-219</v>
      </c>
      <c r="O1183" s="5">
        <v>-286.606366770291</v>
      </c>
    </row>
    <row r="1184" spans="13:15" x14ac:dyDescent="0.25">
      <c r="M1184" s="5">
        <v>1978.5</v>
      </c>
      <c r="N1184" s="5">
        <v>-205</v>
      </c>
      <c r="O1184" s="5">
        <v>-275.64977440037597</v>
      </c>
    </row>
    <row r="1185" spans="13:15" x14ac:dyDescent="0.25">
      <c r="M1185" s="5">
        <v>1978.5833333333301</v>
      </c>
      <c r="N1185" s="5">
        <v>-190</v>
      </c>
      <c r="O1185" s="5">
        <v>-259.52577114032198</v>
      </c>
    </row>
    <row r="1186" spans="13:15" x14ac:dyDescent="0.25">
      <c r="M1186" s="5">
        <v>1978.6666666666599</v>
      </c>
      <c r="N1186" s="5">
        <v>-190</v>
      </c>
      <c r="O1186" s="5">
        <v>-227.55881353141501</v>
      </c>
    </row>
    <row r="1187" spans="13:15" x14ac:dyDescent="0.25">
      <c r="M1187" s="5">
        <v>1978.75</v>
      </c>
      <c r="N1187" s="5">
        <v>-180</v>
      </c>
      <c r="O1187" s="5">
        <v>-175.70521207858101</v>
      </c>
    </row>
    <row r="1188" spans="13:15" x14ac:dyDescent="0.25">
      <c r="M1188" s="5">
        <v>1978.8333333333301</v>
      </c>
      <c r="N1188" s="5">
        <v>-160</v>
      </c>
      <c r="O1188" s="5">
        <v>-105.887368914844</v>
      </c>
    </row>
    <row r="1189" spans="13:15" x14ac:dyDescent="0.25">
      <c r="M1189" s="5">
        <v>1978.9166666666599</v>
      </c>
      <c r="N1189" s="5">
        <v>-153</v>
      </c>
      <c r="O1189" s="5">
        <v>40.458164213749598</v>
      </c>
    </row>
    <row r="1190" spans="13:15" x14ac:dyDescent="0.25">
      <c r="M1190" s="5">
        <v>1979</v>
      </c>
      <c r="N1190" s="5">
        <v>-142</v>
      </c>
      <c r="O1190" s="5">
        <v>120.203454293912</v>
      </c>
    </row>
    <row r="1191" spans="13:15" x14ac:dyDescent="0.25">
      <c r="M1191" s="5">
        <v>1979.0833333333301</v>
      </c>
      <c r="N1191" s="5">
        <v>-142</v>
      </c>
      <c r="O1191" s="5">
        <v>149.09074704589699</v>
      </c>
    </row>
    <row r="1192" spans="13:15" x14ac:dyDescent="0.25">
      <c r="M1192" s="5">
        <v>1979.1666666666599</v>
      </c>
      <c r="N1192" s="5">
        <v>-142</v>
      </c>
      <c r="O1192" s="5">
        <v>184.83583949786501</v>
      </c>
    </row>
    <row r="1193" spans="13:15" x14ac:dyDescent="0.25">
      <c r="M1193" s="5">
        <v>1979.25</v>
      </c>
      <c r="N1193" s="5">
        <v>-30</v>
      </c>
      <c r="O1193" s="5">
        <v>216.006008157754</v>
      </c>
    </row>
    <row r="1194" spans="13:15" x14ac:dyDescent="0.25">
      <c r="M1194" s="5">
        <v>1979.3333333333301</v>
      </c>
      <c r="N1194" s="5">
        <v>42</v>
      </c>
      <c r="O1194" s="5">
        <v>242.985328795595</v>
      </c>
    </row>
    <row r="1195" spans="13:15" x14ac:dyDescent="0.25">
      <c r="M1195" s="5">
        <v>1979.4166666666599</v>
      </c>
      <c r="N1195" s="5">
        <v>131</v>
      </c>
      <c r="O1195" s="5">
        <v>262.51324989170803</v>
      </c>
    </row>
    <row r="1196" spans="13:15" x14ac:dyDescent="0.25">
      <c r="M1196" s="5">
        <v>1979.5</v>
      </c>
      <c r="N1196" s="5">
        <v>151</v>
      </c>
      <c r="O1196" s="5">
        <v>264.96679289099097</v>
      </c>
    </row>
    <row r="1197" spans="13:15" x14ac:dyDescent="0.25">
      <c r="M1197" s="5">
        <v>1979.5833333333301</v>
      </c>
      <c r="N1197" s="5">
        <v>159</v>
      </c>
      <c r="O1197" s="5">
        <v>252.11694961310599</v>
      </c>
    </row>
    <row r="1198" spans="13:15" x14ac:dyDescent="0.25">
      <c r="M1198" s="5">
        <v>1979.6666666666599</v>
      </c>
      <c r="N1198" s="5">
        <v>169</v>
      </c>
      <c r="O1198" s="5">
        <v>233.58811997314899</v>
      </c>
    </row>
    <row r="1199" spans="13:15" x14ac:dyDescent="0.25">
      <c r="M1199" s="5">
        <v>1979.75</v>
      </c>
      <c r="N1199" s="5">
        <v>175</v>
      </c>
      <c r="O1199" s="5">
        <v>217.60596987329399</v>
      </c>
    </row>
    <row r="1200" spans="13:15" x14ac:dyDescent="0.25">
      <c r="M1200" s="5">
        <v>1979.8333333333301</v>
      </c>
      <c r="N1200" s="5">
        <v>169</v>
      </c>
      <c r="O1200" s="5">
        <v>210.41600843506799</v>
      </c>
    </row>
    <row r="1201" spans="13:15" x14ac:dyDescent="0.25">
      <c r="M1201" s="5">
        <v>1979.9166666666599</v>
      </c>
      <c r="N1201" s="5">
        <v>166</v>
      </c>
      <c r="O1201" s="5">
        <v>196.55668613227201</v>
      </c>
    </row>
    <row r="1202" spans="13:15" x14ac:dyDescent="0.25">
      <c r="M1202" s="5">
        <v>1980</v>
      </c>
      <c r="N1202" s="5">
        <v>50</v>
      </c>
      <c r="O1202" s="5">
        <v>115.329382686662</v>
      </c>
    </row>
    <row r="1203" spans="13:15" x14ac:dyDescent="0.25">
      <c r="M1203" s="5">
        <v>1980.0833333333301</v>
      </c>
      <c r="N1203" s="5">
        <v>-132</v>
      </c>
      <c r="O1203" s="5">
        <v>-121.384332134263</v>
      </c>
    </row>
    <row r="1204" spans="13:15" x14ac:dyDescent="0.25">
      <c r="M1204" s="5">
        <v>1980.1666666666599</v>
      </c>
      <c r="N1204" s="5">
        <v>-139</v>
      </c>
      <c r="O1204" s="5">
        <v>-207.13565749374101</v>
      </c>
    </row>
    <row r="1205" spans="13:15" x14ac:dyDescent="0.25">
      <c r="M1205" s="5">
        <v>1980.25</v>
      </c>
      <c r="N1205" s="5">
        <v>-199</v>
      </c>
      <c r="O1205" s="5">
        <v>-247.11549753267701</v>
      </c>
    </row>
    <row r="1206" spans="13:15" x14ac:dyDescent="0.25">
      <c r="M1206" s="5">
        <v>1980.3333333333301</v>
      </c>
      <c r="N1206" s="5">
        <v>-222</v>
      </c>
      <c r="O1206" s="5">
        <v>-265.93866129372799</v>
      </c>
    </row>
    <row r="1207" spans="13:15" x14ac:dyDescent="0.25">
      <c r="M1207" s="5">
        <v>1980.4166666666599</v>
      </c>
      <c r="N1207" s="5">
        <v>-229</v>
      </c>
      <c r="O1207" s="5">
        <v>-274.72810537230703</v>
      </c>
    </row>
    <row r="1208" spans="13:15" x14ac:dyDescent="0.25">
      <c r="M1208" s="5">
        <v>1980.5</v>
      </c>
      <c r="N1208" s="5">
        <v>-258</v>
      </c>
      <c r="O1208" s="5">
        <v>-282.58536735443403</v>
      </c>
    </row>
    <row r="1209" spans="13:15" x14ac:dyDescent="0.25">
      <c r="M1209" s="5">
        <v>1980.5833333333301</v>
      </c>
      <c r="N1209" s="5">
        <v>-258</v>
      </c>
      <c r="O1209" s="5">
        <v>-283.86728291375499</v>
      </c>
    </row>
    <row r="1210" spans="13:15" x14ac:dyDescent="0.25">
      <c r="M1210" s="5">
        <v>1980.6666666666599</v>
      </c>
      <c r="N1210" s="5">
        <v>-256</v>
      </c>
      <c r="O1210" s="5">
        <v>-278.39095008368503</v>
      </c>
    </row>
    <row r="1211" spans="13:15" x14ac:dyDescent="0.25">
      <c r="M1211" s="5">
        <v>1980.75</v>
      </c>
      <c r="N1211" s="5">
        <v>-236</v>
      </c>
      <c r="O1211" s="5">
        <v>-273.55288877496901</v>
      </c>
    </row>
    <row r="1212" spans="13:15" x14ac:dyDescent="0.25">
      <c r="M1212" s="5">
        <v>1980.8333333333301</v>
      </c>
      <c r="N1212" s="5">
        <v>-230</v>
      </c>
      <c r="O1212" s="5">
        <v>-269.03888042349399</v>
      </c>
    </row>
    <row r="1213" spans="13:15" x14ac:dyDescent="0.25">
      <c r="M1213" s="5">
        <v>1980.9166666666599</v>
      </c>
      <c r="N1213" s="5">
        <v>-216</v>
      </c>
      <c r="O1213" s="5">
        <v>-269.645234003817</v>
      </c>
    </row>
    <row r="1214" spans="13:15" x14ac:dyDescent="0.25">
      <c r="M1214" s="5">
        <v>1981</v>
      </c>
      <c r="N1214" s="5">
        <v>-212</v>
      </c>
      <c r="O1214" s="5">
        <v>-277.57725325431198</v>
      </c>
    </row>
    <row r="1215" spans="13:15" x14ac:dyDescent="0.25">
      <c r="M1215" s="5">
        <v>1981.0833333333301</v>
      </c>
      <c r="N1215" s="5">
        <v>-206</v>
      </c>
      <c r="O1215" s="5">
        <v>-281.38471745010901</v>
      </c>
    </row>
    <row r="1216" spans="13:15" x14ac:dyDescent="0.25">
      <c r="M1216" s="5">
        <v>1981.1666666666599</v>
      </c>
      <c r="N1216" s="5">
        <v>-196</v>
      </c>
      <c r="O1216" s="5">
        <v>-280.70476067032899</v>
      </c>
    </row>
    <row r="1217" spans="13:15" x14ac:dyDescent="0.25">
      <c r="M1217" s="5">
        <v>1981.25</v>
      </c>
      <c r="N1217" s="5">
        <v>-184</v>
      </c>
      <c r="O1217" s="5">
        <v>-272.59364516192198</v>
      </c>
    </row>
    <row r="1218" spans="13:15" x14ac:dyDescent="0.25">
      <c r="M1218" s="5">
        <v>1981.3333333333301</v>
      </c>
      <c r="N1218" s="5">
        <v>-165</v>
      </c>
      <c r="O1218" s="5">
        <v>-228.948417202077</v>
      </c>
    </row>
    <row r="1219" spans="13:15" x14ac:dyDescent="0.25">
      <c r="M1219" s="5">
        <v>1981.4166666666599</v>
      </c>
      <c r="N1219" s="5">
        <v>31</v>
      </c>
      <c r="O1219" s="5">
        <v>-7.0840981947728103</v>
      </c>
    </row>
    <row r="1220" spans="13:15" x14ac:dyDescent="0.25">
      <c r="M1220" s="5">
        <v>1981.5</v>
      </c>
      <c r="N1220" s="5">
        <v>136</v>
      </c>
      <c r="O1220" s="5">
        <v>203.08092885997399</v>
      </c>
    </row>
    <row r="1221" spans="13:15" x14ac:dyDescent="0.25">
      <c r="M1221" s="5">
        <v>1981.5833333333301</v>
      </c>
      <c r="N1221" s="5">
        <v>164</v>
      </c>
      <c r="O1221" s="5">
        <v>242.522302468156</v>
      </c>
    </row>
    <row r="1222" spans="13:15" x14ac:dyDescent="0.25">
      <c r="M1222" s="5">
        <v>1981.6666666666599</v>
      </c>
      <c r="N1222" s="5">
        <v>173</v>
      </c>
      <c r="O1222" s="5">
        <v>249.74090588195199</v>
      </c>
    </row>
    <row r="1223" spans="13:15" x14ac:dyDescent="0.25">
      <c r="M1223" s="5">
        <v>1981.75</v>
      </c>
      <c r="N1223" s="5">
        <v>176</v>
      </c>
      <c r="O1223" s="5">
        <v>249.726438778051</v>
      </c>
    </row>
    <row r="1224" spans="13:15" x14ac:dyDescent="0.25">
      <c r="M1224" s="5">
        <v>1981.8333333333301</v>
      </c>
      <c r="N1224" s="5">
        <v>184</v>
      </c>
      <c r="O1224" s="5">
        <v>256.24014413682301</v>
      </c>
    </row>
    <row r="1225" spans="13:15" x14ac:dyDescent="0.25">
      <c r="M1225" s="5">
        <v>1981.9166666666599</v>
      </c>
      <c r="N1225" s="5">
        <v>190</v>
      </c>
      <c r="O1225" s="5">
        <v>259.23112966216797</v>
      </c>
    </row>
    <row r="1226" spans="13:15" x14ac:dyDescent="0.25">
      <c r="M1226" s="5">
        <v>1982</v>
      </c>
      <c r="N1226" s="5">
        <v>197</v>
      </c>
      <c r="O1226" s="5">
        <v>253.79462737994999</v>
      </c>
    </row>
    <row r="1227" spans="13:15" x14ac:dyDescent="0.25">
      <c r="M1227" s="5">
        <v>1982.0833333333301</v>
      </c>
      <c r="N1227" s="5">
        <v>197</v>
      </c>
      <c r="O1227" s="5">
        <v>245.26845587386899</v>
      </c>
    </row>
    <row r="1228" spans="13:15" x14ac:dyDescent="0.25">
      <c r="M1228" s="5">
        <v>1982.1666666666599</v>
      </c>
      <c r="N1228" s="5">
        <v>205</v>
      </c>
      <c r="O1228" s="5">
        <v>233.033442687979</v>
      </c>
    </row>
    <row r="1229" spans="13:15" x14ac:dyDescent="0.25">
      <c r="M1229" s="5">
        <v>1982.25</v>
      </c>
      <c r="N1229" s="5">
        <v>205</v>
      </c>
      <c r="O1229" s="5">
        <v>224.68976903169701</v>
      </c>
    </row>
    <row r="1230" spans="13:15" x14ac:dyDescent="0.25">
      <c r="M1230" s="5">
        <v>1982.3333333333301</v>
      </c>
      <c r="N1230" s="5">
        <v>205</v>
      </c>
      <c r="O1230" s="5">
        <v>225.90643424951199</v>
      </c>
    </row>
    <row r="1231" spans="13:15" x14ac:dyDescent="0.25">
      <c r="M1231" s="5">
        <v>1982.4166666666599</v>
      </c>
      <c r="N1231" s="5">
        <v>186</v>
      </c>
      <c r="O1231" s="5">
        <v>210.916965096935</v>
      </c>
    </row>
    <row r="1232" spans="13:15" x14ac:dyDescent="0.25">
      <c r="M1232" s="5">
        <v>1982.5</v>
      </c>
      <c r="N1232" s="5">
        <v>178</v>
      </c>
      <c r="O1232" s="5">
        <v>146.899076867742</v>
      </c>
    </row>
    <row r="1233" spans="13:15" x14ac:dyDescent="0.25">
      <c r="M1233" s="5">
        <v>1982.5833333333301</v>
      </c>
      <c r="N1233" s="5">
        <v>40</v>
      </c>
      <c r="O1233" s="5">
        <v>-84.320796784104004</v>
      </c>
    </row>
    <row r="1234" spans="13:15" x14ac:dyDescent="0.25">
      <c r="M1234" s="5">
        <v>1982.6666666666599</v>
      </c>
      <c r="N1234" s="5">
        <v>-177</v>
      </c>
      <c r="O1234" s="5">
        <v>-217.28986088298799</v>
      </c>
    </row>
    <row r="1235" spans="13:15" x14ac:dyDescent="0.25">
      <c r="M1235" s="5">
        <v>1982.75</v>
      </c>
      <c r="N1235" s="5">
        <v>-224</v>
      </c>
      <c r="O1235" s="5">
        <v>-258.05243850417099</v>
      </c>
    </row>
    <row r="1236" spans="13:15" x14ac:dyDescent="0.25">
      <c r="M1236" s="5">
        <v>1982.8333333333301</v>
      </c>
      <c r="N1236" s="5">
        <v>-224</v>
      </c>
      <c r="O1236" s="5">
        <v>-273.34441800932302</v>
      </c>
    </row>
    <row r="1237" spans="13:15" x14ac:dyDescent="0.25">
      <c r="M1237" s="5">
        <v>1982.9166666666599</v>
      </c>
      <c r="N1237" s="5">
        <v>-242</v>
      </c>
      <c r="O1237" s="5">
        <v>-285.03426955416199</v>
      </c>
    </row>
    <row r="1238" spans="13:15" x14ac:dyDescent="0.25">
      <c r="M1238" s="5">
        <v>1983</v>
      </c>
      <c r="N1238" s="5">
        <v>-262</v>
      </c>
      <c r="O1238" s="5">
        <v>-290.28303994829901</v>
      </c>
    </row>
    <row r="1239" spans="13:15" x14ac:dyDescent="0.25">
      <c r="M1239" s="5">
        <v>1983.0833333333301</v>
      </c>
      <c r="N1239" s="5">
        <v>-262</v>
      </c>
      <c r="O1239" s="5">
        <v>-289.67868129048298</v>
      </c>
    </row>
    <row r="1240" spans="13:15" x14ac:dyDescent="0.25">
      <c r="M1240" s="5">
        <v>1983.1666666666599</v>
      </c>
      <c r="N1240" s="5">
        <v>-256</v>
      </c>
      <c r="O1240" s="5">
        <v>-291.73106075829497</v>
      </c>
    </row>
    <row r="1241" spans="13:15" x14ac:dyDescent="0.25">
      <c r="M1241" s="5">
        <v>1983.25</v>
      </c>
      <c r="N1241" s="5">
        <v>-239</v>
      </c>
      <c r="O1241" s="5">
        <v>-294.27921278609301</v>
      </c>
    </row>
    <row r="1242" spans="13:15" x14ac:dyDescent="0.25">
      <c r="M1242" s="5">
        <v>1983.3333333333301</v>
      </c>
      <c r="N1242" s="5">
        <v>-233</v>
      </c>
      <c r="O1242" s="5">
        <v>-293.285556221143</v>
      </c>
    </row>
    <row r="1243" spans="13:15" x14ac:dyDescent="0.25">
      <c r="M1243" s="5">
        <v>1983.4166666666599</v>
      </c>
      <c r="N1243" s="5">
        <v>-213</v>
      </c>
      <c r="O1243" s="5">
        <v>-287.33823670844203</v>
      </c>
    </row>
    <row r="1244" spans="13:15" x14ac:dyDescent="0.25">
      <c r="M1244" s="5">
        <v>1983.5</v>
      </c>
      <c r="N1244" s="5">
        <v>-45</v>
      </c>
      <c r="O1244" s="5">
        <v>-269.35936621310401</v>
      </c>
    </row>
    <row r="1245" spans="13:15" x14ac:dyDescent="0.25">
      <c r="M1245" s="5">
        <v>1983.5833333333301</v>
      </c>
      <c r="N1245" s="5">
        <v>47</v>
      </c>
      <c r="O1245" s="5">
        <v>-239.999110902718</v>
      </c>
    </row>
    <row r="1246" spans="13:15" x14ac:dyDescent="0.25">
      <c r="M1246" s="5">
        <v>1983.6666666666599</v>
      </c>
      <c r="N1246" s="5">
        <v>72</v>
      </c>
      <c r="O1246" s="5">
        <v>-211.02734510198101</v>
      </c>
    </row>
    <row r="1247" spans="13:15" x14ac:dyDescent="0.25">
      <c r="M1247" s="5">
        <v>1983.75</v>
      </c>
      <c r="N1247" s="5">
        <v>94</v>
      </c>
      <c r="O1247" s="5">
        <v>-153.45782858367599</v>
      </c>
    </row>
    <row r="1248" spans="13:15" x14ac:dyDescent="0.25">
      <c r="M1248" s="5">
        <v>1983.8333333333301</v>
      </c>
      <c r="N1248" s="5">
        <v>98</v>
      </c>
      <c r="O1248" s="5">
        <v>13.7846295539312</v>
      </c>
    </row>
    <row r="1249" spans="13:15" x14ac:dyDescent="0.25">
      <c r="M1249" s="5">
        <v>1983.9166666666599</v>
      </c>
      <c r="N1249" s="5">
        <v>147</v>
      </c>
      <c r="O1249" s="5">
        <v>143.85064841437</v>
      </c>
    </row>
    <row r="1250" spans="13:15" x14ac:dyDescent="0.25">
      <c r="M1250" s="5">
        <v>1984</v>
      </c>
      <c r="N1250" s="5">
        <v>150</v>
      </c>
      <c r="O1250" s="5">
        <v>193.263272791226</v>
      </c>
    </row>
    <row r="1251" spans="13:15" x14ac:dyDescent="0.25">
      <c r="M1251" s="5">
        <v>1984.0833333333301</v>
      </c>
      <c r="N1251" s="5">
        <v>170</v>
      </c>
      <c r="O1251" s="5">
        <v>203.97563607505299</v>
      </c>
    </row>
    <row r="1252" spans="13:15" x14ac:dyDescent="0.25">
      <c r="M1252" s="5">
        <v>1984.1666666666599</v>
      </c>
      <c r="N1252" s="5">
        <v>178</v>
      </c>
      <c r="O1252" s="5">
        <v>193.38552522376401</v>
      </c>
    </row>
    <row r="1253" spans="13:15" x14ac:dyDescent="0.25">
      <c r="M1253" s="5">
        <v>1984.25</v>
      </c>
      <c r="N1253" s="5">
        <v>178</v>
      </c>
      <c r="O1253" s="5">
        <v>200.34134143625801</v>
      </c>
    </row>
    <row r="1254" spans="13:15" x14ac:dyDescent="0.25">
      <c r="M1254" s="5">
        <v>1984.3333333333301</v>
      </c>
      <c r="N1254" s="5">
        <v>183</v>
      </c>
      <c r="O1254" s="5">
        <v>223.35640356372099</v>
      </c>
    </row>
    <row r="1255" spans="13:15" x14ac:dyDescent="0.25">
      <c r="M1255" s="5">
        <v>1984.4166666666599</v>
      </c>
      <c r="N1255" s="5">
        <v>216</v>
      </c>
      <c r="O1255" s="5">
        <v>243.10973862242</v>
      </c>
    </row>
    <row r="1256" spans="13:15" x14ac:dyDescent="0.25">
      <c r="M1256" s="5">
        <v>1984.5</v>
      </c>
      <c r="N1256" s="5">
        <v>241</v>
      </c>
      <c r="O1256" s="5">
        <v>255.33282399322701</v>
      </c>
    </row>
    <row r="1257" spans="13:15" x14ac:dyDescent="0.25">
      <c r="M1257" s="5">
        <v>1984.5833333333301</v>
      </c>
      <c r="N1257" s="5">
        <v>241</v>
      </c>
      <c r="O1257" s="5">
        <v>254.15468964143099</v>
      </c>
    </row>
    <row r="1258" spans="13:15" x14ac:dyDescent="0.25">
      <c r="M1258" s="5">
        <v>1984.6666666666599</v>
      </c>
      <c r="N1258" s="5">
        <v>235</v>
      </c>
      <c r="O1258" s="5">
        <v>243.88377940147501</v>
      </c>
    </row>
    <row r="1259" spans="13:15" x14ac:dyDescent="0.25">
      <c r="M1259" s="5">
        <v>1984.75</v>
      </c>
      <c r="N1259" s="5">
        <v>230</v>
      </c>
      <c r="O1259" s="5">
        <v>234.02219413216699</v>
      </c>
    </row>
    <row r="1260" spans="13:15" x14ac:dyDescent="0.25">
      <c r="M1260" s="5">
        <v>1984.8333333333301</v>
      </c>
      <c r="N1260" s="5">
        <v>176</v>
      </c>
      <c r="O1260" s="5">
        <v>208.291682384312</v>
      </c>
    </row>
    <row r="1261" spans="13:15" x14ac:dyDescent="0.25">
      <c r="M1261" s="5">
        <v>1984.9166666666599</v>
      </c>
      <c r="N1261" s="5">
        <v>-83</v>
      </c>
      <c r="O1261" s="5">
        <v>122.806757870723</v>
      </c>
    </row>
    <row r="1262" spans="13:15" x14ac:dyDescent="0.25">
      <c r="M1262" s="5">
        <v>1985</v>
      </c>
      <c r="N1262" s="5">
        <v>-170</v>
      </c>
      <c r="O1262" s="5">
        <v>-102.178594670218</v>
      </c>
    </row>
    <row r="1263" spans="13:15" x14ac:dyDescent="0.25">
      <c r="M1263" s="5">
        <v>1985.0833333333301</v>
      </c>
      <c r="N1263" s="5">
        <v>-192</v>
      </c>
      <c r="O1263" s="5">
        <v>-202.72714280797101</v>
      </c>
    </row>
    <row r="1264" spans="13:15" x14ac:dyDescent="0.25">
      <c r="M1264" s="5">
        <v>1985.1666666666599</v>
      </c>
      <c r="N1264" s="5">
        <v>-215</v>
      </c>
      <c r="O1264" s="5">
        <v>-237.68116612803601</v>
      </c>
    </row>
    <row r="1265" spans="13:15" x14ac:dyDescent="0.25">
      <c r="M1265" s="5">
        <v>1985.25</v>
      </c>
      <c r="N1265" s="5">
        <v>-242</v>
      </c>
      <c r="O1265" s="5">
        <v>-251.79419053864899</v>
      </c>
    </row>
    <row r="1266" spans="13:15" x14ac:dyDescent="0.25">
      <c r="M1266" s="5">
        <v>1985.3333333333301</v>
      </c>
      <c r="N1266" s="5">
        <v>-244</v>
      </c>
      <c r="O1266" s="5">
        <v>-266.473148042329</v>
      </c>
    </row>
    <row r="1267" spans="13:15" x14ac:dyDescent="0.25">
      <c r="M1267" s="5">
        <v>1985.4166666666599</v>
      </c>
      <c r="N1267" s="5">
        <v>-242</v>
      </c>
      <c r="O1267" s="5">
        <v>-274.42564499945797</v>
      </c>
    </row>
    <row r="1268" spans="13:15" x14ac:dyDescent="0.25">
      <c r="M1268" s="5">
        <v>1985.5</v>
      </c>
      <c r="N1268" s="5">
        <v>-220</v>
      </c>
      <c r="O1268" s="5">
        <v>-271.94625997096</v>
      </c>
    </row>
    <row r="1269" spans="13:15" x14ac:dyDescent="0.25">
      <c r="M1269" s="5">
        <v>1985.5833333333301</v>
      </c>
      <c r="N1269" s="5">
        <v>-205</v>
      </c>
      <c r="O1269" s="5">
        <v>-267.68216802948899</v>
      </c>
    </row>
    <row r="1270" spans="13:15" x14ac:dyDescent="0.25">
      <c r="M1270" s="5">
        <v>1985.6666666666599</v>
      </c>
      <c r="N1270" s="5">
        <v>-198</v>
      </c>
      <c r="O1270" s="5">
        <v>-259.91956303347098</v>
      </c>
    </row>
    <row r="1271" spans="13:15" x14ac:dyDescent="0.25">
      <c r="M1271" s="5">
        <v>1985.75</v>
      </c>
      <c r="N1271" s="5">
        <v>-198</v>
      </c>
      <c r="O1271" s="5">
        <v>-248.46715868663799</v>
      </c>
    </row>
    <row r="1272" spans="13:15" x14ac:dyDescent="0.25">
      <c r="M1272" s="5">
        <v>1985.8333333333301</v>
      </c>
      <c r="N1272" s="5">
        <v>-205</v>
      </c>
      <c r="O1272" s="5">
        <v>-245.20663033843701</v>
      </c>
    </row>
    <row r="1273" spans="13:15" x14ac:dyDescent="0.25">
      <c r="M1273" s="5">
        <v>1985.9166666666599</v>
      </c>
      <c r="N1273" s="5">
        <v>-207</v>
      </c>
      <c r="O1273" s="5">
        <v>-242.055269650111</v>
      </c>
    </row>
    <row r="1274" spans="13:15" x14ac:dyDescent="0.25">
      <c r="M1274" s="5">
        <v>1986</v>
      </c>
      <c r="N1274" s="5">
        <v>-224</v>
      </c>
      <c r="O1274" s="5">
        <v>-236.58572737185699</v>
      </c>
    </row>
    <row r="1275" spans="13:15" x14ac:dyDescent="0.25">
      <c r="M1275" s="5">
        <v>1986.0833333333301</v>
      </c>
      <c r="N1275" s="5">
        <v>-253</v>
      </c>
      <c r="O1275" s="5">
        <v>-240.22789063912799</v>
      </c>
    </row>
    <row r="1276" spans="13:15" x14ac:dyDescent="0.25">
      <c r="M1276" s="5">
        <v>1986.1666666666599</v>
      </c>
      <c r="N1276" s="5">
        <v>-253</v>
      </c>
      <c r="O1276" s="5">
        <v>-240.40245963247699</v>
      </c>
    </row>
    <row r="1277" spans="13:15" x14ac:dyDescent="0.25">
      <c r="M1277" s="5">
        <v>1986.25</v>
      </c>
      <c r="N1277" s="5">
        <v>-247</v>
      </c>
      <c r="O1277" s="5">
        <v>-227.67189738824999</v>
      </c>
    </row>
    <row r="1278" spans="13:15" x14ac:dyDescent="0.25">
      <c r="M1278" s="5">
        <v>1986.3333333333301</v>
      </c>
      <c r="N1278" s="5">
        <v>-211</v>
      </c>
      <c r="O1278" s="5">
        <v>-189.65332436779201</v>
      </c>
    </row>
    <row r="1279" spans="13:15" x14ac:dyDescent="0.25">
      <c r="M1279" s="5">
        <v>1986.4166666666599</v>
      </c>
      <c r="N1279" s="5">
        <v>-63</v>
      </c>
      <c r="O1279" s="5">
        <v>-33.924104223777398</v>
      </c>
    </row>
    <row r="1280" spans="13:15" x14ac:dyDescent="0.25">
      <c r="M1280" s="5">
        <v>1986.5</v>
      </c>
      <c r="N1280" s="5">
        <v>89</v>
      </c>
      <c r="O1280" s="5">
        <v>150.42153095079999</v>
      </c>
    </row>
    <row r="1281" spans="13:15" x14ac:dyDescent="0.25">
      <c r="M1281" s="5">
        <v>1986.5833333333301</v>
      </c>
      <c r="N1281" s="5">
        <v>124</v>
      </c>
      <c r="O1281" s="5">
        <v>175.99161154024799</v>
      </c>
    </row>
    <row r="1282" spans="13:15" x14ac:dyDescent="0.25">
      <c r="M1282" s="5">
        <v>1986.6666666666599</v>
      </c>
      <c r="N1282" s="5">
        <v>127</v>
      </c>
      <c r="O1282" s="5">
        <v>180.721811591007</v>
      </c>
    </row>
    <row r="1283" spans="13:15" x14ac:dyDescent="0.25">
      <c r="M1283" s="5">
        <v>1986.75</v>
      </c>
      <c r="N1283" s="5">
        <v>129</v>
      </c>
      <c r="O1283" s="5">
        <v>184.29530273824699</v>
      </c>
    </row>
    <row r="1284" spans="13:15" x14ac:dyDescent="0.25">
      <c r="M1284" s="5">
        <v>1986.8333333333301</v>
      </c>
      <c r="N1284" s="5">
        <v>136</v>
      </c>
      <c r="O1284" s="5">
        <v>178.56690771202199</v>
      </c>
    </row>
    <row r="1285" spans="13:15" x14ac:dyDescent="0.25">
      <c r="M1285" s="5">
        <v>1986.9166666666599</v>
      </c>
      <c r="N1285" s="5">
        <v>149</v>
      </c>
      <c r="O1285" s="5">
        <v>167.59501735762399</v>
      </c>
    </row>
    <row r="1286" spans="13:15" x14ac:dyDescent="0.25">
      <c r="M1286" s="5">
        <v>1987</v>
      </c>
      <c r="N1286" s="5">
        <v>155</v>
      </c>
      <c r="O1286" s="5">
        <v>136.15003757865901</v>
      </c>
    </row>
    <row r="1287" spans="13:15" x14ac:dyDescent="0.25">
      <c r="M1287" s="5">
        <v>1987.0833333333301</v>
      </c>
      <c r="N1287" s="5">
        <v>161</v>
      </c>
      <c r="O1287" s="5">
        <v>111.092552882192</v>
      </c>
    </row>
    <row r="1288" spans="13:15" x14ac:dyDescent="0.25">
      <c r="M1288" s="5">
        <v>1987.1666666666599</v>
      </c>
      <c r="N1288" s="5">
        <v>161</v>
      </c>
      <c r="O1288" s="5">
        <v>161.86320500834901</v>
      </c>
    </row>
    <row r="1289" spans="13:15" x14ac:dyDescent="0.25">
      <c r="M1289" s="5">
        <v>1987.25</v>
      </c>
      <c r="N1289" s="5">
        <v>165</v>
      </c>
      <c r="O1289" s="5">
        <v>206.211784552457</v>
      </c>
    </row>
    <row r="1290" spans="13:15" x14ac:dyDescent="0.25">
      <c r="M1290" s="5">
        <v>1987.3333333333301</v>
      </c>
      <c r="N1290" s="5">
        <v>165</v>
      </c>
      <c r="O1290" s="5">
        <v>222.34573468054299</v>
      </c>
    </row>
    <row r="1291" spans="13:15" x14ac:dyDescent="0.25">
      <c r="M1291" s="5">
        <v>1987.4166666666599</v>
      </c>
      <c r="N1291" s="5">
        <v>163</v>
      </c>
      <c r="O1291" s="5">
        <v>220.39191054665</v>
      </c>
    </row>
    <row r="1292" spans="13:15" x14ac:dyDescent="0.25">
      <c r="M1292" s="5">
        <v>1987.5</v>
      </c>
      <c r="N1292" s="5">
        <v>142</v>
      </c>
      <c r="O1292" s="5">
        <v>183.79070557674299</v>
      </c>
    </row>
    <row r="1293" spans="13:15" x14ac:dyDescent="0.25">
      <c r="M1293" s="5">
        <v>1987.5833333333301</v>
      </c>
      <c r="N1293" s="5">
        <v>-42</v>
      </c>
      <c r="O1293" s="5">
        <v>78.152156176365807</v>
      </c>
    </row>
    <row r="1294" spans="13:15" x14ac:dyDescent="0.25">
      <c r="M1294" s="5">
        <v>1987.6666666666599</v>
      </c>
      <c r="N1294" s="5">
        <v>-197</v>
      </c>
      <c r="O1294" s="5">
        <v>-59.841137913308302</v>
      </c>
    </row>
    <row r="1295" spans="13:15" x14ac:dyDescent="0.25">
      <c r="M1295" s="5">
        <v>1987.75</v>
      </c>
      <c r="N1295" s="5">
        <v>-222</v>
      </c>
      <c r="O1295" s="5">
        <v>-120.969390027006</v>
      </c>
    </row>
    <row r="1296" spans="13:15" x14ac:dyDescent="0.25">
      <c r="M1296" s="5">
        <v>1987.8333333333301</v>
      </c>
      <c r="N1296" s="5">
        <v>-222</v>
      </c>
      <c r="O1296" s="5">
        <v>-153.029038957393</v>
      </c>
    </row>
    <row r="1297" spans="13:15" x14ac:dyDescent="0.25">
      <c r="M1297" s="5">
        <v>1987.9166666666599</v>
      </c>
      <c r="N1297" s="5">
        <v>-182</v>
      </c>
      <c r="O1297" s="5">
        <v>-171.458492451469</v>
      </c>
    </row>
    <row r="1298" spans="13:15" x14ac:dyDescent="0.25">
      <c r="M1298" s="5">
        <v>1988</v>
      </c>
      <c r="N1298" s="5">
        <v>-162</v>
      </c>
      <c r="O1298" s="5">
        <v>-204.31997095741701</v>
      </c>
    </row>
    <row r="1299" spans="13:15" x14ac:dyDescent="0.25">
      <c r="M1299" s="5">
        <v>1988.0833333333301</v>
      </c>
      <c r="N1299" s="5">
        <v>-159</v>
      </c>
      <c r="O1299" s="5">
        <v>-233.47665005220401</v>
      </c>
    </row>
    <row r="1300" spans="13:15" x14ac:dyDescent="0.25">
      <c r="M1300" s="5">
        <v>1988.1666666666599</v>
      </c>
      <c r="N1300" s="5">
        <v>-159</v>
      </c>
      <c r="O1300" s="5">
        <v>-255.54755223261199</v>
      </c>
    </row>
    <row r="1301" spans="13:15" x14ac:dyDescent="0.25">
      <c r="M1301" s="5">
        <v>1988.25</v>
      </c>
      <c r="N1301" s="5">
        <v>-175</v>
      </c>
      <c r="O1301" s="5">
        <v>-276.79023226607097</v>
      </c>
    </row>
    <row r="1302" spans="13:15" x14ac:dyDescent="0.25">
      <c r="M1302" s="5">
        <v>1988.3333333333301</v>
      </c>
      <c r="N1302" s="5">
        <v>-175</v>
      </c>
      <c r="O1302" s="5">
        <v>-285.58320482315099</v>
      </c>
    </row>
    <row r="1303" spans="13:15" x14ac:dyDescent="0.25">
      <c r="M1303" s="5">
        <v>1988.4166666666599</v>
      </c>
      <c r="N1303" s="5">
        <v>-155</v>
      </c>
      <c r="O1303" s="5">
        <v>-280.69435092244902</v>
      </c>
    </row>
    <row r="1304" spans="13:15" x14ac:dyDescent="0.25">
      <c r="M1304" s="5">
        <v>1988.5</v>
      </c>
      <c r="N1304" s="5">
        <v>-82</v>
      </c>
      <c r="O1304" s="5">
        <v>-271.71465251643798</v>
      </c>
    </row>
    <row r="1305" spans="13:15" x14ac:dyDescent="0.25">
      <c r="M1305" s="5">
        <v>1988.5833333333301</v>
      </c>
      <c r="N1305" s="5">
        <v>-42</v>
      </c>
      <c r="O1305" s="5">
        <v>-260.82083707605801</v>
      </c>
    </row>
    <row r="1306" spans="13:15" x14ac:dyDescent="0.25">
      <c r="M1306" s="5">
        <v>1988.6666666666599</v>
      </c>
      <c r="N1306" s="5">
        <v>-42</v>
      </c>
      <c r="O1306" s="5">
        <v>-246.28759454723499</v>
      </c>
    </row>
    <row r="1307" spans="13:15" x14ac:dyDescent="0.25">
      <c r="M1307" s="5">
        <v>1988.75</v>
      </c>
      <c r="N1307" s="5">
        <v>-42</v>
      </c>
      <c r="O1307" s="5">
        <v>-227.50561040424299</v>
      </c>
    </row>
    <row r="1308" spans="13:15" x14ac:dyDescent="0.25">
      <c r="M1308" s="5">
        <v>1988.8333333333301</v>
      </c>
      <c r="N1308" s="5">
        <v>-24</v>
      </c>
      <c r="O1308" s="5">
        <v>-186.34745628342699</v>
      </c>
    </row>
    <row r="1309" spans="13:15" x14ac:dyDescent="0.25">
      <c r="M1309" s="5">
        <v>1988.9166666666599</v>
      </c>
      <c r="N1309" s="5">
        <v>-6</v>
      </c>
      <c r="O1309" s="5">
        <v>-138.646322411949</v>
      </c>
    </row>
    <row r="1310" spans="13:15" x14ac:dyDescent="0.25">
      <c r="M1310" s="5">
        <v>1989</v>
      </c>
      <c r="N1310" s="5">
        <v>-6</v>
      </c>
      <c r="O1310" s="5">
        <v>-156.950469623712</v>
      </c>
    </row>
    <row r="1311" spans="13:15" x14ac:dyDescent="0.25">
      <c r="M1311" s="5">
        <v>1989.0833333333301</v>
      </c>
      <c r="N1311" s="5">
        <v>-21</v>
      </c>
      <c r="O1311" s="5">
        <v>-182.99176935958599</v>
      </c>
    </row>
    <row r="1312" spans="13:15" x14ac:dyDescent="0.25">
      <c r="M1312" s="5">
        <v>1989.1666666666599</v>
      </c>
      <c r="N1312" s="5">
        <v>-65</v>
      </c>
      <c r="O1312" s="5">
        <v>-177.49560672927001</v>
      </c>
    </row>
    <row r="1313" spans="13:15" x14ac:dyDescent="0.25">
      <c r="M1313" s="5">
        <v>1989.25</v>
      </c>
      <c r="N1313" s="5">
        <v>-65</v>
      </c>
      <c r="O1313" s="5">
        <v>-109.264576024691</v>
      </c>
    </row>
    <row r="1314" spans="13:15" x14ac:dyDescent="0.25">
      <c r="M1314" s="5">
        <v>1989.3333333333301</v>
      </c>
      <c r="N1314" s="5">
        <v>45</v>
      </c>
      <c r="O1314" s="5">
        <v>139.665390179485</v>
      </c>
    </row>
    <row r="1315" spans="13:15" x14ac:dyDescent="0.25">
      <c r="M1315" s="5">
        <v>1989.4166666666599</v>
      </c>
      <c r="N1315" s="5">
        <v>145</v>
      </c>
      <c r="O1315" s="5">
        <v>222.44570760987401</v>
      </c>
    </row>
    <row r="1316" spans="13:15" x14ac:dyDescent="0.25">
      <c r="M1316" s="5">
        <v>1989.5</v>
      </c>
      <c r="N1316" s="5">
        <v>176</v>
      </c>
      <c r="O1316" s="5">
        <v>242.20996202628001</v>
      </c>
    </row>
    <row r="1317" spans="13:15" x14ac:dyDescent="0.25">
      <c r="M1317" s="5">
        <v>1989.5833333333301</v>
      </c>
      <c r="N1317" s="5">
        <v>195</v>
      </c>
      <c r="O1317" s="5">
        <v>247.87143172261199</v>
      </c>
    </row>
    <row r="1318" spans="13:15" x14ac:dyDescent="0.25">
      <c r="M1318" s="5">
        <v>1989.6666666666599</v>
      </c>
      <c r="N1318" s="5">
        <v>201</v>
      </c>
      <c r="O1318" s="5">
        <v>249.29912505370399</v>
      </c>
    </row>
    <row r="1319" spans="13:15" x14ac:dyDescent="0.25">
      <c r="M1319" s="5">
        <v>1989.75</v>
      </c>
      <c r="N1319" s="5">
        <v>202</v>
      </c>
      <c r="O1319" s="5">
        <v>250.265771056446</v>
      </c>
    </row>
    <row r="1320" spans="13:15" x14ac:dyDescent="0.25">
      <c r="M1320" s="5">
        <v>1989.8333333333301</v>
      </c>
      <c r="N1320" s="5">
        <v>202</v>
      </c>
      <c r="O1320" s="5">
        <v>252.30048210737601</v>
      </c>
    </row>
    <row r="1321" spans="13:15" x14ac:dyDescent="0.25">
      <c r="M1321" s="5">
        <v>1989.9166666666599</v>
      </c>
      <c r="N1321" s="5">
        <v>201</v>
      </c>
      <c r="O1321" s="5">
        <v>243.00862211299199</v>
      </c>
    </row>
    <row r="1322" spans="13:15" x14ac:dyDescent="0.25">
      <c r="M1322" s="5">
        <v>1990</v>
      </c>
      <c r="N1322" s="5">
        <v>177</v>
      </c>
      <c r="O1322" s="5">
        <v>214.64373340575099</v>
      </c>
    </row>
    <row r="1323" spans="13:15" x14ac:dyDescent="0.25">
      <c r="M1323" s="5">
        <v>1990.0833333333301</v>
      </c>
      <c r="N1323" s="5">
        <v>-63</v>
      </c>
      <c r="O1323" s="5">
        <v>169.63187651543799</v>
      </c>
    </row>
    <row r="1324" spans="13:15" x14ac:dyDescent="0.25">
      <c r="M1324" s="5">
        <v>1990.1666666666599</v>
      </c>
      <c r="N1324" s="5">
        <v>-73</v>
      </c>
      <c r="O1324" s="5">
        <v>54.261551107752503</v>
      </c>
    </row>
    <row r="1325" spans="13:15" x14ac:dyDescent="0.25">
      <c r="M1325" s="5">
        <v>1990.25</v>
      </c>
      <c r="N1325" s="5">
        <v>-214</v>
      </c>
      <c r="O1325" s="5">
        <v>-144.39822737292599</v>
      </c>
    </row>
    <row r="1326" spans="13:15" x14ac:dyDescent="0.25">
      <c r="M1326" s="5">
        <v>1990.3333333333301</v>
      </c>
      <c r="N1326" s="5">
        <v>-229</v>
      </c>
      <c r="O1326" s="5">
        <v>-203.783342152431</v>
      </c>
    </row>
    <row r="1327" spans="13:15" x14ac:dyDescent="0.25">
      <c r="M1327" s="5">
        <v>1990.4166666666599</v>
      </c>
      <c r="N1327" s="5">
        <v>-229</v>
      </c>
      <c r="O1327" s="5">
        <v>-230.82627127923999</v>
      </c>
    </row>
    <row r="1328" spans="13:15" x14ac:dyDescent="0.25">
      <c r="M1328" s="5">
        <v>1990.5</v>
      </c>
      <c r="N1328" s="5">
        <v>-236</v>
      </c>
      <c r="O1328" s="5">
        <v>-246.071858515857</v>
      </c>
    </row>
    <row r="1329" spans="13:15" x14ac:dyDescent="0.25">
      <c r="M1329" s="5">
        <v>1990.5833333333301</v>
      </c>
      <c r="N1329" s="5">
        <v>-240</v>
      </c>
      <c r="O1329" s="5">
        <v>-258.413262133383</v>
      </c>
    </row>
    <row r="1330" spans="13:15" x14ac:dyDescent="0.25">
      <c r="M1330" s="5">
        <v>1990.6666666666599</v>
      </c>
      <c r="N1330" s="5">
        <v>-236</v>
      </c>
      <c r="O1330" s="5">
        <v>-277.30164320346</v>
      </c>
    </row>
    <row r="1331" spans="13:15" x14ac:dyDescent="0.25">
      <c r="M1331" s="5">
        <v>1990.75</v>
      </c>
      <c r="N1331" s="5">
        <v>-235</v>
      </c>
      <c r="O1331" s="5">
        <v>-290.32609458314198</v>
      </c>
    </row>
    <row r="1332" spans="13:15" x14ac:dyDescent="0.25">
      <c r="M1332" s="5">
        <v>1990.8333333333301</v>
      </c>
      <c r="N1332" s="5">
        <v>-215</v>
      </c>
      <c r="O1332" s="5">
        <v>-293.55629885425901</v>
      </c>
    </row>
    <row r="1333" spans="13:15" x14ac:dyDescent="0.25">
      <c r="M1333" s="5">
        <v>1990.9166666666599</v>
      </c>
      <c r="N1333" s="5">
        <v>-215</v>
      </c>
      <c r="O1333" s="5">
        <v>-294.03119364501202</v>
      </c>
    </row>
    <row r="1334" spans="13:15" x14ac:dyDescent="0.25">
      <c r="M1334" s="5">
        <v>1991</v>
      </c>
      <c r="N1334" s="5">
        <v>-219</v>
      </c>
      <c r="O1334" s="5">
        <v>-292.33251637808303</v>
      </c>
    </row>
    <row r="1335" spans="13:15" x14ac:dyDescent="0.25">
      <c r="M1335" s="5">
        <v>1991.0833333333301</v>
      </c>
      <c r="N1335" s="5">
        <v>-232</v>
      </c>
      <c r="O1335" s="5">
        <v>-288.70184080520397</v>
      </c>
    </row>
    <row r="1336" spans="13:15" x14ac:dyDescent="0.25">
      <c r="M1336" s="5">
        <v>1991.1666666666599</v>
      </c>
      <c r="N1336" s="5">
        <v>-219</v>
      </c>
      <c r="O1336" s="5">
        <v>-285.31479458719002</v>
      </c>
    </row>
    <row r="1337" spans="13:15" x14ac:dyDescent="0.25">
      <c r="M1337" s="5">
        <v>1991.25</v>
      </c>
      <c r="N1337" s="5">
        <v>-210</v>
      </c>
      <c r="O1337" s="5">
        <v>-269.17551679001798</v>
      </c>
    </row>
    <row r="1338" spans="13:15" x14ac:dyDescent="0.25">
      <c r="M1338" s="5">
        <v>1991.3333333333301</v>
      </c>
      <c r="N1338" s="5">
        <v>-197</v>
      </c>
      <c r="O1338" s="5">
        <v>-211.06049497105599</v>
      </c>
    </row>
    <row r="1339" spans="13:15" x14ac:dyDescent="0.25">
      <c r="M1339" s="5">
        <v>1991.4166666666599</v>
      </c>
      <c r="N1339" s="5">
        <v>-38</v>
      </c>
      <c r="O1339" s="5">
        <v>1.15419094947141</v>
      </c>
    </row>
    <row r="1340" spans="13:15" x14ac:dyDescent="0.25">
      <c r="M1340" s="5">
        <v>1991.5</v>
      </c>
      <c r="N1340" s="5">
        <v>104</v>
      </c>
      <c r="O1340" s="5">
        <v>181.19573539102299</v>
      </c>
    </row>
    <row r="1341" spans="13:15" x14ac:dyDescent="0.25">
      <c r="M1341" s="5">
        <v>1991.5833333333301</v>
      </c>
      <c r="N1341" s="5">
        <v>126</v>
      </c>
      <c r="O1341" s="5">
        <v>215.940214938895</v>
      </c>
    </row>
    <row r="1342" spans="13:15" x14ac:dyDescent="0.25">
      <c r="M1342" s="5">
        <v>1991.6666666666599</v>
      </c>
      <c r="N1342" s="5">
        <v>126</v>
      </c>
      <c r="O1342" s="5">
        <v>222.02847812650799</v>
      </c>
    </row>
    <row r="1343" spans="13:15" x14ac:dyDescent="0.25">
      <c r="M1343" s="5">
        <v>1991.75</v>
      </c>
      <c r="N1343" s="5">
        <v>117</v>
      </c>
      <c r="O1343" s="5">
        <v>235.59959195524399</v>
      </c>
    </row>
    <row r="1344" spans="13:15" x14ac:dyDescent="0.25">
      <c r="M1344" s="5">
        <v>1991.8333333333301</v>
      </c>
      <c r="N1344" s="5">
        <v>117</v>
      </c>
      <c r="O1344" s="5">
        <v>249.63982073898001</v>
      </c>
    </row>
    <row r="1345" spans="13:15" x14ac:dyDescent="0.25">
      <c r="M1345" s="5">
        <v>1991.9166666666599</v>
      </c>
      <c r="N1345" s="5">
        <v>137</v>
      </c>
      <c r="O1345" s="5">
        <v>251.95332589083</v>
      </c>
    </row>
    <row r="1346" spans="13:15" x14ac:dyDescent="0.25">
      <c r="M1346" s="5">
        <v>1992</v>
      </c>
      <c r="N1346" s="5">
        <v>148</v>
      </c>
      <c r="O1346" s="5">
        <v>249.19632707837701</v>
      </c>
    </row>
    <row r="1347" spans="13:15" x14ac:dyDescent="0.25">
      <c r="M1347" s="5">
        <v>1992.0833333333301</v>
      </c>
      <c r="N1347" s="5">
        <v>148</v>
      </c>
      <c r="O1347" s="5">
        <v>242.41265458508801</v>
      </c>
    </row>
    <row r="1348" spans="13:15" x14ac:dyDescent="0.25">
      <c r="M1348" s="5">
        <v>1992.1666666666599</v>
      </c>
      <c r="N1348" s="5">
        <v>149</v>
      </c>
      <c r="O1348" s="5">
        <v>228.514537242535</v>
      </c>
    </row>
    <row r="1349" spans="13:15" x14ac:dyDescent="0.25">
      <c r="M1349" s="5">
        <v>1992.25</v>
      </c>
      <c r="N1349" s="5">
        <v>155</v>
      </c>
      <c r="O1349" s="5">
        <v>212.71218842834401</v>
      </c>
    </row>
    <row r="1350" spans="13:15" x14ac:dyDescent="0.25">
      <c r="M1350" s="5">
        <v>1992.3333333333301</v>
      </c>
      <c r="N1350" s="5">
        <v>157</v>
      </c>
      <c r="O1350" s="5">
        <v>183.099380094183</v>
      </c>
    </row>
    <row r="1351" spans="13:15" x14ac:dyDescent="0.25">
      <c r="M1351" s="5">
        <v>1992.4166666666599</v>
      </c>
      <c r="N1351" s="5">
        <v>163</v>
      </c>
      <c r="O1351" s="5">
        <v>119.84795273389101</v>
      </c>
    </row>
    <row r="1352" spans="13:15" x14ac:dyDescent="0.25">
      <c r="M1352" s="5">
        <v>1992.5</v>
      </c>
      <c r="N1352" s="5">
        <v>163</v>
      </c>
      <c r="O1352" s="5">
        <v>33.923736501596998</v>
      </c>
    </row>
    <row r="1353" spans="13:15" x14ac:dyDescent="0.25">
      <c r="M1353" s="5">
        <v>1992.5833333333301</v>
      </c>
      <c r="N1353" s="5">
        <v>-26</v>
      </c>
      <c r="O1353" s="5">
        <v>-101.120182334509</v>
      </c>
    </row>
    <row r="1354" spans="13:15" x14ac:dyDescent="0.25">
      <c r="M1354" s="5">
        <v>1992.6666666666599</v>
      </c>
      <c r="N1354" s="5">
        <v>-113</v>
      </c>
      <c r="O1354" s="5">
        <v>-190.62013571329101</v>
      </c>
    </row>
    <row r="1355" spans="13:15" x14ac:dyDescent="0.25">
      <c r="M1355" s="5">
        <v>1992.75</v>
      </c>
      <c r="N1355" s="5">
        <v>-180</v>
      </c>
      <c r="O1355" s="5">
        <v>-233.88128372410199</v>
      </c>
    </row>
    <row r="1356" spans="13:15" x14ac:dyDescent="0.25">
      <c r="M1356" s="5">
        <v>1992.8333333333301</v>
      </c>
      <c r="N1356" s="5">
        <v>-217</v>
      </c>
      <c r="O1356" s="5">
        <v>-262.91294259209002</v>
      </c>
    </row>
    <row r="1357" spans="13:15" x14ac:dyDescent="0.25">
      <c r="M1357" s="5">
        <v>1992.9166666666599</v>
      </c>
      <c r="N1357" s="5">
        <v>-246</v>
      </c>
      <c r="O1357" s="5">
        <v>-280.05214151980198</v>
      </c>
    </row>
    <row r="1358" spans="13:15" x14ac:dyDescent="0.25">
      <c r="M1358" s="5">
        <v>1993</v>
      </c>
      <c r="N1358" s="5">
        <v>-260</v>
      </c>
      <c r="O1358" s="5">
        <v>-285.41312041142999</v>
      </c>
    </row>
    <row r="1359" spans="13:15" x14ac:dyDescent="0.25">
      <c r="M1359" s="5">
        <v>1993.0833333333301</v>
      </c>
      <c r="N1359" s="5">
        <v>-269</v>
      </c>
      <c r="O1359" s="5">
        <v>-289.82352753416001</v>
      </c>
    </row>
    <row r="1360" spans="13:15" x14ac:dyDescent="0.25">
      <c r="M1360" s="5">
        <v>1993.1666666666599</v>
      </c>
      <c r="N1360" s="5">
        <v>-269</v>
      </c>
      <c r="O1360" s="5">
        <v>-294.79230146464897</v>
      </c>
    </row>
    <row r="1361" spans="13:15" x14ac:dyDescent="0.25">
      <c r="M1361" s="5">
        <v>1993.25</v>
      </c>
      <c r="N1361" s="5">
        <v>-269</v>
      </c>
      <c r="O1361" s="5">
        <v>-295.01238447824102</v>
      </c>
    </row>
    <row r="1362" spans="13:15" x14ac:dyDescent="0.25">
      <c r="M1362" s="5">
        <v>1993.3333333333301</v>
      </c>
      <c r="N1362" s="5">
        <v>-217</v>
      </c>
      <c r="O1362" s="5">
        <v>-289.188925796842</v>
      </c>
    </row>
    <row r="1363" spans="13:15" x14ac:dyDescent="0.25">
      <c r="M1363" s="5">
        <v>1993.4166666666599</v>
      </c>
      <c r="N1363" s="5">
        <v>-213</v>
      </c>
      <c r="O1363" s="5">
        <v>-269.574399114421</v>
      </c>
    </row>
    <row r="1364" spans="13:15" x14ac:dyDescent="0.25">
      <c r="M1364" s="5">
        <v>1993.5</v>
      </c>
      <c r="N1364" s="5">
        <v>-153</v>
      </c>
      <c r="O1364" s="5">
        <v>-224.766742841443</v>
      </c>
    </row>
    <row r="1365" spans="13:15" x14ac:dyDescent="0.25">
      <c r="M1365" s="5">
        <v>1993.5833333333301</v>
      </c>
      <c r="N1365" s="5">
        <v>-97</v>
      </c>
      <c r="O1365" s="5">
        <v>-164.33944434591601</v>
      </c>
    </row>
    <row r="1366" spans="13:15" x14ac:dyDescent="0.25">
      <c r="M1366" s="5">
        <v>1993.6666666666599</v>
      </c>
      <c r="N1366" s="5">
        <v>-95</v>
      </c>
      <c r="O1366" s="5">
        <v>-57.557271328796702</v>
      </c>
    </row>
    <row r="1367" spans="13:15" x14ac:dyDescent="0.25">
      <c r="M1367" s="5">
        <v>1993.75</v>
      </c>
      <c r="N1367" s="5">
        <v>-61</v>
      </c>
      <c r="O1367" s="5">
        <v>141.175282006473</v>
      </c>
    </row>
    <row r="1368" spans="13:15" x14ac:dyDescent="0.25">
      <c r="M1368" s="5">
        <v>1993.8333333333301</v>
      </c>
      <c r="N1368" s="5">
        <v>6</v>
      </c>
      <c r="O1368" s="5">
        <v>208.65022032621499</v>
      </c>
    </row>
    <row r="1369" spans="13:15" x14ac:dyDescent="0.25">
      <c r="M1369" s="5">
        <v>1993.9166666666599</v>
      </c>
      <c r="N1369" s="5">
        <v>100</v>
      </c>
      <c r="O1369" s="5">
        <v>235.13756523424499</v>
      </c>
    </row>
    <row r="1370" spans="13:15" x14ac:dyDescent="0.25">
      <c r="M1370" s="5">
        <v>1994</v>
      </c>
      <c r="N1370" s="5">
        <v>135</v>
      </c>
      <c r="O1370" s="5">
        <v>242.418767349391</v>
      </c>
    </row>
    <row r="1371" spans="13:15" x14ac:dyDescent="0.25">
      <c r="M1371" s="5">
        <v>1994.0833333333301</v>
      </c>
      <c r="N1371" s="5">
        <v>146</v>
      </c>
      <c r="O1371" s="5">
        <v>234.58759456031501</v>
      </c>
    </row>
    <row r="1372" spans="13:15" x14ac:dyDescent="0.25">
      <c r="M1372" s="5">
        <v>1994.1666666666599</v>
      </c>
      <c r="N1372" s="5">
        <v>160</v>
      </c>
      <c r="O1372" s="5">
        <v>227.532404793338</v>
      </c>
    </row>
    <row r="1373" spans="13:15" x14ac:dyDescent="0.25">
      <c r="M1373" s="5">
        <v>1994.25</v>
      </c>
      <c r="N1373" s="5">
        <v>186</v>
      </c>
      <c r="O1373" s="5">
        <v>226.331896994738</v>
      </c>
    </row>
    <row r="1374" spans="13:15" x14ac:dyDescent="0.25">
      <c r="M1374" s="5">
        <v>1994.3333333333301</v>
      </c>
      <c r="N1374" s="5">
        <v>193</v>
      </c>
      <c r="O1374" s="5">
        <v>219.05229021013</v>
      </c>
    </row>
    <row r="1375" spans="13:15" x14ac:dyDescent="0.25">
      <c r="M1375" s="5">
        <v>1994.4166666666599</v>
      </c>
      <c r="N1375" s="5">
        <v>213</v>
      </c>
      <c r="O1375" s="5">
        <v>210.020991798457</v>
      </c>
    </row>
    <row r="1376" spans="13:15" x14ac:dyDescent="0.25">
      <c r="M1376" s="5">
        <v>1994.5</v>
      </c>
      <c r="N1376" s="5">
        <v>223</v>
      </c>
      <c r="O1376" s="5">
        <v>192.369631799601</v>
      </c>
    </row>
    <row r="1377" spans="13:15" x14ac:dyDescent="0.25">
      <c r="M1377" s="5">
        <v>1994.5833333333301</v>
      </c>
      <c r="N1377" s="5">
        <v>231</v>
      </c>
      <c r="O1377" s="5">
        <v>146.84497911072299</v>
      </c>
    </row>
    <row r="1378" spans="13:15" x14ac:dyDescent="0.25">
      <c r="M1378" s="5">
        <v>1994.6666666666599</v>
      </c>
      <c r="N1378" s="5">
        <v>231</v>
      </c>
      <c r="O1378" s="5">
        <v>83.751564863467607</v>
      </c>
    </row>
    <row r="1379" spans="13:15" x14ac:dyDescent="0.25">
      <c r="M1379" s="5">
        <v>1994.75</v>
      </c>
      <c r="N1379" s="5">
        <v>166</v>
      </c>
      <c r="O1379" s="5">
        <v>-57.983191952277103</v>
      </c>
    </row>
    <row r="1380" spans="13:15" x14ac:dyDescent="0.25">
      <c r="M1380" s="5">
        <v>1994.8333333333301</v>
      </c>
      <c r="N1380" s="5">
        <v>-96</v>
      </c>
      <c r="O1380" s="5">
        <v>-191.046696410263</v>
      </c>
    </row>
    <row r="1381" spans="13:15" x14ac:dyDescent="0.25">
      <c r="M1381" s="5">
        <v>1994.9166666666599</v>
      </c>
      <c r="N1381" s="5">
        <v>-214</v>
      </c>
      <c r="O1381" s="5">
        <v>-248.32614823329899</v>
      </c>
    </row>
    <row r="1382" spans="13:15" x14ac:dyDescent="0.25">
      <c r="M1382" s="5">
        <v>1995</v>
      </c>
      <c r="N1382" s="5">
        <v>-272</v>
      </c>
      <c r="O1382" s="5">
        <v>-274.69816246123798</v>
      </c>
    </row>
    <row r="1383" spans="13:15" x14ac:dyDescent="0.25">
      <c r="M1383" s="5">
        <v>1995.0833333333301</v>
      </c>
      <c r="N1383" s="5">
        <v>-272</v>
      </c>
      <c r="O1383" s="5">
        <v>-286.04809752167102</v>
      </c>
    </row>
    <row r="1384" spans="13:15" x14ac:dyDescent="0.25">
      <c r="M1384" s="5">
        <v>1995.1666666666599</v>
      </c>
      <c r="N1384" s="5">
        <v>-220</v>
      </c>
      <c r="O1384" s="5">
        <v>-286.11345343981299</v>
      </c>
    </row>
    <row r="1385" spans="13:15" x14ac:dyDescent="0.25">
      <c r="M1385" s="5">
        <v>1995.25</v>
      </c>
      <c r="N1385" s="5">
        <v>-215</v>
      </c>
      <c r="O1385" s="5">
        <v>-283.51061662353197</v>
      </c>
    </row>
    <row r="1386" spans="13:15" x14ac:dyDescent="0.25">
      <c r="M1386" s="5">
        <v>1995.3333333333301</v>
      </c>
      <c r="N1386" s="5">
        <v>-215</v>
      </c>
      <c r="O1386" s="5">
        <v>-278.026669654194</v>
      </c>
    </row>
    <row r="1387" spans="13:15" x14ac:dyDescent="0.25">
      <c r="M1387" s="5">
        <v>1995.4166666666599</v>
      </c>
      <c r="N1387" s="5">
        <v>-256</v>
      </c>
      <c r="O1387" s="5">
        <v>-258.81215815322798</v>
      </c>
    </row>
    <row r="1388" spans="13:15" x14ac:dyDescent="0.25">
      <c r="M1388" s="5">
        <v>1995.5</v>
      </c>
      <c r="N1388" s="5">
        <v>-256</v>
      </c>
      <c r="O1388" s="5">
        <v>-230.333669088557</v>
      </c>
    </row>
    <row r="1389" spans="13:15" x14ac:dyDescent="0.25">
      <c r="M1389" s="5">
        <v>1995.5833333333301</v>
      </c>
      <c r="N1389" s="5">
        <v>-230</v>
      </c>
      <c r="O1389" s="5">
        <v>-205.64389382812499</v>
      </c>
    </row>
    <row r="1390" spans="13:15" x14ac:dyDescent="0.25">
      <c r="M1390" s="5">
        <v>1995.6666666666599</v>
      </c>
      <c r="N1390" s="5">
        <v>-177</v>
      </c>
      <c r="O1390" s="5">
        <v>-172.763285135632</v>
      </c>
    </row>
    <row r="1391" spans="13:15" x14ac:dyDescent="0.25">
      <c r="M1391" s="5">
        <v>1995.75</v>
      </c>
      <c r="N1391" s="5">
        <v>-139</v>
      </c>
      <c r="O1391" s="5">
        <v>-124.28019132067899</v>
      </c>
    </row>
    <row r="1392" spans="13:15" x14ac:dyDescent="0.25">
      <c r="M1392" s="5">
        <v>1995.8333333333301</v>
      </c>
      <c r="N1392" s="5">
        <v>-73</v>
      </c>
      <c r="O1392" s="5">
        <v>-9.2075557838670292</v>
      </c>
    </row>
    <row r="1393" spans="13:15" x14ac:dyDescent="0.25">
      <c r="M1393" s="5">
        <v>1995.9166666666599</v>
      </c>
      <c r="N1393" s="5">
        <v>26</v>
      </c>
      <c r="O1393" s="5">
        <v>124.23658709724999</v>
      </c>
    </row>
    <row r="1394" spans="13:15" x14ac:dyDescent="0.25">
      <c r="M1394" s="5">
        <v>1996</v>
      </c>
      <c r="N1394" s="5">
        <v>64</v>
      </c>
      <c r="O1394" s="5">
        <v>147.65163215033499</v>
      </c>
    </row>
    <row r="1395" spans="13:15" x14ac:dyDescent="0.25">
      <c r="M1395" s="5">
        <v>1996.0833333333301</v>
      </c>
      <c r="N1395" s="5">
        <v>78</v>
      </c>
      <c r="O1395" s="5">
        <v>138.34693393361701</v>
      </c>
    </row>
    <row r="1396" spans="13:15" x14ac:dyDescent="0.25">
      <c r="M1396" s="5">
        <v>1996.1666666666599</v>
      </c>
      <c r="N1396" s="5">
        <v>97</v>
      </c>
      <c r="O1396" s="5">
        <v>148.370202238128</v>
      </c>
    </row>
    <row r="1397" spans="13:15" x14ac:dyDescent="0.25">
      <c r="M1397" s="5">
        <v>1996.25</v>
      </c>
      <c r="N1397" s="5">
        <v>134</v>
      </c>
      <c r="O1397" s="5">
        <v>171.34656947851201</v>
      </c>
    </row>
    <row r="1398" spans="13:15" x14ac:dyDescent="0.25">
      <c r="M1398" s="5">
        <v>1996.3333333333301</v>
      </c>
      <c r="N1398" s="5">
        <v>172</v>
      </c>
      <c r="O1398" s="5">
        <v>205.291990544801</v>
      </c>
    </row>
    <row r="1399" spans="13:15" x14ac:dyDescent="0.25">
      <c r="M1399" s="5">
        <v>1996.4166666666599</v>
      </c>
      <c r="N1399" s="5">
        <v>202</v>
      </c>
      <c r="O1399" s="5">
        <v>228.83076638505301</v>
      </c>
    </row>
    <row r="1400" spans="13:15" x14ac:dyDescent="0.25">
      <c r="M1400" s="5">
        <v>1996.5</v>
      </c>
      <c r="N1400" s="5">
        <v>220</v>
      </c>
      <c r="O1400" s="5">
        <v>226.10788575875699</v>
      </c>
    </row>
    <row r="1401" spans="13:15" x14ac:dyDescent="0.25">
      <c r="M1401" s="5">
        <v>1996.5833333333301</v>
      </c>
      <c r="N1401" s="5">
        <v>225</v>
      </c>
      <c r="O1401" s="5">
        <v>207.73330373157199</v>
      </c>
    </row>
    <row r="1402" spans="13:15" x14ac:dyDescent="0.25">
      <c r="M1402" s="5">
        <v>1996.6666666666599</v>
      </c>
      <c r="N1402" s="5">
        <v>241</v>
      </c>
      <c r="O1402" s="5">
        <v>188.77339440681899</v>
      </c>
    </row>
    <row r="1403" spans="13:15" x14ac:dyDescent="0.25">
      <c r="M1403" s="5">
        <v>1996.75</v>
      </c>
      <c r="N1403" s="5">
        <v>244</v>
      </c>
      <c r="O1403" s="5">
        <v>159.914084985964</v>
      </c>
    </row>
    <row r="1404" spans="13:15" x14ac:dyDescent="0.25">
      <c r="M1404" s="5">
        <v>1996.8333333333301</v>
      </c>
      <c r="N1404" s="5">
        <v>244</v>
      </c>
      <c r="O1404" s="5">
        <v>102.155040169538</v>
      </c>
    </row>
    <row r="1405" spans="13:15" x14ac:dyDescent="0.25">
      <c r="M1405" s="5">
        <v>1996.9166666666599</v>
      </c>
      <c r="N1405" s="5">
        <v>179</v>
      </c>
      <c r="O1405" s="5">
        <v>-89.409329202138593</v>
      </c>
    </row>
    <row r="1406" spans="13:15" x14ac:dyDescent="0.25">
      <c r="M1406" s="5">
        <v>1997</v>
      </c>
      <c r="N1406" s="5">
        <v>-49</v>
      </c>
      <c r="O1406" s="5">
        <v>-213.881202045294</v>
      </c>
    </row>
    <row r="1407" spans="13:15" x14ac:dyDescent="0.25">
      <c r="M1407" s="5">
        <v>1997.0833333333301</v>
      </c>
      <c r="N1407" s="5">
        <v>-127</v>
      </c>
      <c r="O1407" s="5">
        <v>-251.53364925191201</v>
      </c>
    </row>
    <row r="1408" spans="13:15" x14ac:dyDescent="0.25">
      <c r="M1408" s="5">
        <v>1997.1666666666599</v>
      </c>
      <c r="N1408" s="5">
        <v>-205</v>
      </c>
      <c r="O1408" s="5">
        <v>-261.97738495961602</v>
      </c>
    </row>
    <row r="1409" spans="13:15" x14ac:dyDescent="0.25">
      <c r="M1409" s="5">
        <v>1997.25</v>
      </c>
      <c r="N1409" s="5">
        <v>-211</v>
      </c>
      <c r="O1409" s="5">
        <v>-267.68213637228502</v>
      </c>
    </row>
    <row r="1410" spans="13:15" x14ac:dyDescent="0.25">
      <c r="M1410" s="5">
        <v>1997.3333333333301</v>
      </c>
      <c r="N1410" s="5">
        <v>-256</v>
      </c>
      <c r="O1410" s="5">
        <v>-266.35290436781003</v>
      </c>
    </row>
    <row r="1411" spans="13:15" x14ac:dyDescent="0.25">
      <c r="M1411" s="5">
        <v>1997.4166666666599</v>
      </c>
      <c r="N1411" s="5">
        <v>-256</v>
      </c>
      <c r="O1411" s="5">
        <v>-261.63591564920398</v>
      </c>
    </row>
    <row r="1412" spans="13:15" x14ac:dyDescent="0.25">
      <c r="M1412" s="5">
        <v>1997.5</v>
      </c>
      <c r="N1412" s="5">
        <v>-256</v>
      </c>
      <c r="O1412" s="5">
        <v>-260.40426070683998</v>
      </c>
    </row>
    <row r="1413" spans="13:15" x14ac:dyDescent="0.25">
      <c r="M1413" s="5">
        <v>1997.5833333333301</v>
      </c>
      <c r="N1413" s="5">
        <v>-246</v>
      </c>
      <c r="O1413" s="5">
        <v>-256.65123504770099</v>
      </c>
    </row>
    <row r="1414" spans="13:15" x14ac:dyDescent="0.25">
      <c r="M1414" s="5">
        <v>1997.6666666666599</v>
      </c>
      <c r="N1414" s="5">
        <v>-219</v>
      </c>
      <c r="O1414" s="5">
        <v>-252.384013185789</v>
      </c>
    </row>
    <row r="1415" spans="13:15" x14ac:dyDescent="0.25">
      <c r="M1415" s="5">
        <v>1997.75</v>
      </c>
      <c r="N1415" s="5">
        <v>-202</v>
      </c>
      <c r="O1415" s="5">
        <v>-243.55284593977899</v>
      </c>
    </row>
    <row r="1416" spans="13:15" x14ac:dyDescent="0.25">
      <c r="M1416" s="5">
        <v>1997.8333333333301</v>
      </c>
      <c r="N1416" s="5">
        <v>-180</v>
      </c>
      <c r="O1416" s="5">
        <v>-207.24552051858001</v>
      </c>
    </row>
    <row r="1417" spans="13:15" x14ac:dyDescent="0.25">
      <c r="M1417" s="5">
        <v>1997.9166666666599</v>
      </c>
      <c r="N1417" s="5">
        <v>-120</v>
      </c>
      <c r="O1417" s="5">
        <v>-132.937343530021</v>
      </c>
    </row>
    <row r="1418" spans="13:15" x14ac:dyDescent="0.25">
      <c r="M1418" s="5">
        <v>1998</v>
      </c>
      <c r="N1418" s="5">
        <v>-56</v>
      </c>
      <c r="O1418" s="5">
        <v>-39.265771378793303</v>
      </c>
    </row>
    <row r="1419" spans="13:15" x14ac:dyDescent="0.25">
      <c r="M1419" s="5">
        <v>1998.0833333333301</v>
      </c>
      <c r="N1419" s="5">
        <v>-55</v>
      </c>
      <c r="O1419" s="5">
        <v>42.637155483907797</v>
      </c>
    </row>
    <row r="1420" spans="13:15" x14ac:dyDescent="0.25">
      <c r="M1420" s="5">
        <v>1998.1666666666599</v>
      </c>
      <c r="N1420" s="5">
        <v>-48</v>
      </c>
      <c r="O1420" s="5">
        <v>32.331170213134897</v>
      </c>
    </row>
    <row r="1421" spans="13:15" x14ac:dyDescent="0.25">
      <c r="M1421" s="5">
        <v>1998.25</v>
      </c>
      <c r="N1421" s="5">
        <v>22</v>
      </c>
      <c r="O1421" s="5">
        <v>30.9277523997633</v>
      </c>
    </row>
    <row r="1422" spans="13:15" x14ac:dyDescent="0.25">
      <c r="M1422" s="5">
        <v>1998.3333333333301</v>
      </c>
      <c r="N1422" s="5">
        <v>148</v>
      </c>
      <c r="O1422" s="5">
        <v>130.819818152789</v>
      </c>
    </row>
    <row r="1423" spans="13:15" x14ac:dyDescent="0.25">
      <c r="M1423" s="5">
        <v>1998.4166666666599</v>
      </c>
      <c r="N1423" s="5">
        <v>175</v>
      </c>
      <c r="O1423" s="5">
        <v>190.35418542547799</v>
      </c>
    </row>
    <row r="1424" spans="13:15" x14ac:dyDescent="0.25">
      <c r="M1424" s="5">
        <v>1998.5</v>
      </c>
      <c r="N1424" s="5">
        <v>192</v>
      </c>
      <c r="O1424" s="5">
        <v>208.045326962373</v>
      </c>
    </row>
    <row r="1425" spans="13:15" x14ac:dyDescent="0.25">
      <c r="M1425" s="5">
        <v>1998.5833333333301</v>
      </c>
      <c r="N1425" s="5">
        <v>203</v>
      </c>
      <c r="O1425" s="5">
        <v>206.14850875128499</v>
      </c>
    </row>
    <row r="1426" spans="13:15" x14ac:dyDescent="0.25">
      <c r="M1426" s="5">
        <v>1998.6666666666599</v>
      </c>
      <c r="N1426" s="5">
        <v>206</v>
      </c>
      <c r="O1426" s="5">
        <v>189.752795891441</v>
      </c>
    </row>
    <row r="1427" spans="13:15" x14ac:dyDescent="0.25">
      <c r="M1427" s="5">
        <v>1998.75</v>
      </c>
      <c r="N1427" s="5">
        <v>206</v>
      </c>
      <c r="O1427" s="5">
        <v>187.15752968095899</v>
      </c>
    </row>
    <row r="1428" spans="13:15" x14ac:dyDescent="0.25">
      <c r="M1428" s="5">
        <v>1998.8333333333301</v>
      </c>
      <c r="N1428" s="5">
        <v>187</v>
      </c>
      <c r="O1428" s="5">
        <v>200.19662269781401</v>
      </c>
    </row>
    <row r="1429" spans="13:15" x14ac:dyDescent="0.25">
      <c r="M1429" s="5">
        <v>1998.9166666666599</v>
      </c>
      <c r="N1429" s="5">
        <v>-37</v>
      </c>
      <c r="O1429" s="5">
        <v>181.94013847212099</v>
      </c>
    </row>
    <row r="1430" spans="13:15" x14ac:dyDescent="0.25">
      <c r="M1430" s="5">
        <v>1999</v>
      </c>
      <c r="N1430" s="5">
        <v>-175</v>
      </c>
      <c r="O1430" s="5">
        <v>100.826327929413</v>
      </c>
    </row>
    <row r="1431" spans="13:15" x14ac:dyDescent="0.25">
      <c r="M1431" s="5">
        <v>1999.0833333333301</v>
      </c>
      <c r="N1431" s="5">
        <v>-204</v>
      </c>
      <c r="O1431" s="5">
        <v>-77.9097890506699</v>
      </c>
    </row>
    <row r="1432" spans="13:15" x14ac:dyDescent="0.25">
      <c r="M1432" s="5">
        <v>1999.1666666666599</v>
      </c>
      <c r="N1432" s="5">
        <v>-204</v>
      </c>
      <c r="O1432" s="5">
        <v>-169.545350952136</v>
      </c>
    </row>
    <row r="1433" spans="13:15" x14ac:dyDescent="0.25">
      <c r="M1433" s="5">
        <v>1999.25</v>
      </c>
      <c r="N1433" s="5">
        <v>-236</v>
      </c>
      <c r="O1433" s="5">
        <v>-193.01037183832699</v>
      </c>
    </row>
    <row r="1434" spans="13:15" x14ac:dyDescent="0.25">
      <c r="M1434" s="5">
        <v>1999.3333333333301</v>
      </c>
      <c r="N1434" s="5">
        <v>-231</v>
      </c>
      <c r="O1434" s="5">
        <v>-187.34884941052599</v>
      </c>
    </row>
    <row r="1435" spans="13:15" x14ac:dyDescent="0.25">
      <c r="M1435" s="5">
        <v>1999.4166666666599</v>
      </c>
      <c r="N1435" s="5">
        <v>-242</v>
      </c>
      <c r="O1435" s="5">
        <v>-187.966080857702</v>
      </c>
    </row>
    <row r="1436" spans="13:15" x14ac:dyDescent="0.25">
      <c r="M1436" s="5">
        <v>1999.5</v>
      </c>
      <c r="N1436" s="5">
        <v>-231</v>
      </c>
      <c r="O1436" s="5">
        <v>-188.03249913986099</v>
      </c>
    </row>
    <row r="1437" spans="13:15" x14ac:dyDescent="0.25">
      <c r="M1437" s="5">
        <v>1999.5833333333301</v>
      </c>
      <c r="N1437" s="5">
        <v>-216</v>
      </c>
      <c r="O1437" s="5">
        <v>-191.794945891971</v>
      </c>
    </row>
    <row r="1438" spans="13:15" x14ac:dyDescent="0.25">
      <c r="M1438" s="5">
        <v>1999.6666666666599</v>
      </c>
      <c r="N1438" s="5">
        <v>-215</v>
      </c>
      <c r="O1438" s="5">
        <v>-212.784459561305</v>
      </c>
    </row>
    <row r="1439" spans="13:15" x14ac:dyDescent="0.25">
      <c r="M1439" s="5">
        <v>1999.75</v>
      </c>
      <c r="N1439" s="5">
        <v>-206</v>
      </c>
      <c r="O1439" s="5">
        <v>-226.299587430586</v>
      </c>
    </row>
    <row r="1440" spans="13:15" x14ac:dyDescent="0.25">
      <c r="M1440" s="5">
        <v>1999.8333333333301</v>
      </c>
      <c r="N1440" s="5">
        <v>-196</v>
      </c>
      <c r="O1440" s="5">
        <v>-235.00691050643201</v>
      </c>
    </row>
    <row r="1441" spans="13:15" x14ac:dyDescent="0.25">
      <c r="M1441" s="5">
        <v>1999.9166666666599</v>
      </c>
      <c r="N1441" s="5">
        <v>-166</v>
      </c>
      <c r="O1441" s="5">
        <v>-247.47952086374599</v>
      </c>
    </row>
    <row r="1442" spans="13:15" x14ac:dyDescent="0.25">
      <c r="M1442" s="5">
        <v>2000</v>
      </c>
      <c r="N1442" s="5">
        <v>-166</v>
      </c>
      <c r="O1442" s="5">
        <v>-252.10269789332699</v>
      </c>
    </row>
    <row r="1443" spans="13:15" x14ac:dyDescent="0.25">
      <c r="M1443" s="5">
        <v>2000.0833333333301</v>
      </c>
      <c r="N1443" s="5">
        <v>-179</v>
      </c>
      <c r="O1443" s="5">
        <v>-256.12931378596699</v>
      </c>
    </row>
    <row r="1444" spans="13:15" x14ac:dyDescent="0.25">
      <c r="M1444" s="5">
        <v>2000.1666666666599</v>
      </c>
      <c r="N1444" s="5">
        <v>-200</v>
      </c>
      <c r="O1444" s="5">
        <v>-265.97144291783002</v>
      </c>
    </row>
    <row r="1445" spans="13:15" x14ac:dyDescent="0.25">
      <c r="M1445" s="5">
        <v>2000.25</v>
      </c>
      <c r="N1445" s="5">
        <v>-200</v>
      </c>
      <c r="O1445" s="5">
        <v>-265.72617963337001</v>
      </c>
    </row>
    <row r="1446" spans="13:15" x14ac:dyDescent="0.25">
      <c r="M1446" s="5">
        <v>2000.3333333333301</v>
      </c>
      <c r="N1446" s="5">
        <v>-166</v>
      </c>
      <c r="O1446" s="5">
        <v>-245.721705945824</v>
      </c>
    </row>
    <row r="1447" spans="13:15" x14ac:dyDescent="0.25">
      <c r="M1447" s="5">
        <v>2000.4166666666599</v>
      </c>
      <c r="N1447" s="5">
        <v>-34</v>
      </c>
      <c r="O1447" s="5">
        <v>-184.24872991954899</v>
      </c>
    </row>
    <row r="1448" spans="13:15" x14ac:dyDescent="0.25">
      <c r="M1448" s="5">
        <v>2000.5</v>
      </c>
      <c r="N1448" s="5">
        <v>122</v>
      </c>
      <c r="O1448" s="5">
        <v>34.041236751576001</v>
      </c>
    </row>
    <row r="1449" spans="13:15" x14ac:dyDescent="0.25">
      <c r="M1449" s="5">
        <v>2000.5833333333301</v>
      </c>
      <c r="N1449" s="5">
        <v>177</v>
      </c>
      <c r="O1449" s="5">
        <v>145.96824481297301</v>
      </c>
    </row>
    <row r="1450" spans="13:15" x14ac:dyDescent="0.25">
      <c r="M1450" s="5">
        <v>2000.6666666666599</v>
      </c>
      <c r="N1450" s="5">
        <v>183</v>
      </c>
      <c r="O1450" s="5">
        <v>151.48940726031501</v>
      </c>
    </row>
    <row r="1451" spans="13:15" x14ac:dyDescent="0.25">
      <c r="M1451" s="5">
        <v>2000.75</v>
      </c>
      <c r="N1451" s="5">
        <v>183</v>
      </c>
      <c r="O1451" s="5">
        <v>164.201934752906</v>
      </c>
    </row>
    <row r="1452" spans="13:15" x14ac:dyDescent="0.25">
      <c r="M1452" s="5">
        <v>2000.8333333333301</v>
      </c>
      <c r="N1452" s="5">
        <v>170</v>
      </c>
      <c r="O1452" s="5">
        <v>180.80566314324699</v>
      </c>
    </row>
    <row r="1453" spans="13:15" x14ac:dyDescent="0.25">
      <c r="M1453" s="5">
        <v>2000.9166666666599</v>
      </c>
      <c r="N1453" s="5">
        <v>154</v>
      </c>
      <c r="O1453" s="5">
        <v>185.94364068757099</v>
      </c>
    </row>
    <row r="1454" spans="13:15" x14ac:dyDescent="0.25">
      <c r="M1454" s="5">
        <v>2001</v>
      </c>
      <c r="N1454" s="5">
        <v>154</v>
      </c>
      <c r="O1454" s="5">
        <v>185.80447420794499</v>
      </c>
    </row>
    <row r="1455" spans="13:15" x14ac:dyDescent="0.25">
      <c r="M1455" s="5">
        <v>2001.0833333333301</v>
      </c>
      <c r="N1455" s="5">
        <v>167</v>
      </c>
      <c r="O1455" s="5">
        <v>169.23897500443601</v>
      </c>
    </row>
    <row r="1456" spans="13:15" x14ac:dyDescent="0.25">
      <c r="M1456" s="5">
        <v>2001.1666666666599</v>
      </c>
      <c r="N1456" s="5">
        <v>167</v>
      </c>
      <c r="O1456" s="5">
        <v>155.86237057215101</v>
      </c>
    </row>
    <row r="1457" spans="13:15" x14ac:dyDescent="0.25">
      <c r="M1457" s="5">
        <v>2001.25</v>
      </c>
      <c r="N1457" s="5">
        <v>167</v>
      </c>
      <c r="O1457" s="5">
        <v>177.05580091488699</v>
      </c>
    </row>
    <row r="1458" spans="13:15" x14ac:dyDescent="0.25">
      <c r="M1458" s="5">
        <v>2001.3333333333301</v>
      </c>
      <c r="N1458" s="5">
        <v>204</v>
      </c>
      <c r="O1458" s="5">
        <v>193.573737042565</v>
      </c>
    </row>
    <row r="1459" spans="13:15" x14ac:dyDescent="0.25">
      <c r="M1459" s="5">
        <v>2001.4166666666599</v>
      </c>
      <c r="N1459" s="5">
        <v>213</v>
      </c>
      <c r="O1459" s="5">
        <v>196.019804113433</v>
      </c>
    </row>
    <row r="1460" spans="13:15" x14ac:dyDescent="0.25">
      <c r="M1460" s="5">
        <v>2001.5</v>
      </c>
      <c r="N1460" s="5">
        <v>226</v>
      </c>
      <c r="O1460" s="5">
        <v>184.70048914888201</v>
      </c>
    </row>
    <row r="1461" spans="13:15" x14ac:dyDescent="0.25">
      <c r="M1461" s="5">
        <v>2001.5833333333301</v>
      </c>
      <c r="N1461" s="5">
        <v>244</v>
      </c>
      <c r="O1461" s="5">
        <v>130.880373030437</v>
      </c>
    </row>
    <row r="1462" spans="13:15" x14ac:dyDescent="0.25">
      <c r="M1462" s="5">
        <v>2001.6666666666599</v>
      </c>
      <c r="N1462" s="5">
        <v>244</v>
      </c>
      <c r="O1462" s="5">
        <v>20.244482185796599</v>
      </c>
    </row>
    <row r="1463" spans="13:15" x14ac:dyDescent="0.25">
      <c r="M1463" s="5">
        <v>2001.75</v>
      </c>
      <c r="N1463" s="5">
        <v>202</v>
      </c>
      <c r="O1463" s="5">
        <v>-76.520542604372494</v>
      </c>
    </row>
    <row r="1464" spans="13:15" x14ac:dyDescent="0.25">
      <c r="M1464" s="5">
        <v>2001.8333333333301</v>
      </c>
      <c r="N1464" s="5">
        <v>31</v>
      </c>
      <c r="O1464" s="5">
        <v>-155.76072829644801</v>
      </c>
    </row>
    <row r="1465" spans="13:15" x14ac:dyDescent="0.25">
      <c r="M1465" s="5">
        <v>2001.9166666666599</v>
      </c>
      <c r="N1465" s="5">
        <v>-126</v>
      </c>
      <c r="O1465" s="5">
        <v>-203.55965921360601</v>
      </c>
    </row>
    <row r="1466" spans="13:15" x14ac:dyDescent="0.25">
      <c r="M1466" s="5">
        <v>2002</v>
      </c>
      <c r="N1466" s="5">
        <v>-223</v>
      </c>
      <c r="O1466" s="5">
        <v>-224.48403898724499</v>
      </c>
    </row>
    <row r="1467" spans="13:15" x14ac:dyDescent="0.25">
      <c r="M1467" s="5">
        <v>2002.0833333333301</v>
      </c>
      <c r="N1467" s="5">
        <v>-245</v>
      </c>
      <c r="O1467" s="5">
        <v>-241.688610563244</v>
      </c>
    </row>
    <row r="1468" spans="13:15" x14ac:dyDescent="0.25">
      <c r="M1468" s="5">
        <v>2002.1666666666599</v>
      </c>
      <c r="N1468" s="5">
        <v>-253</v>
      </c>
      <c r="O1468" s="5">
        <v>-255.23816816311401</v>
      </c>
    </row>
    <row r="1469" spans="13:15" x14ac:dyDescent="0.25">
      <c r="M1469" s="5">
        <v>2002.25</v>
      </c>
      <c r="N1469" s="5">
        <v>-253</v>
      </c>
      <c r="O1469" s="5">
        <v>-268.49048242153799</v>
      </c>
    </row>
    <row r="1470" spans="13:15" x14ac:dyDescent="0.25">
      <c r="M1470" s="5">
        <v>2002.3333333333301</v>
      </c>
      <c r="N1470" s="5">
        <v>-238</v>
      </c>
      <c r="O1470" s="5">
        <v>-280.57130763694698</v>
      </c>
    </row>
    <row r="1471" spans="13:15" x14ac:dyDescent="0.25">
      <c r="M1471" s="5">
        <v>2002.4166666666599</v>
      </c>
      <c r="N1471" s="5">
        <v>-234</v>
      </c>
      <c r="O1471" s="5">
        <v>-280.10453278594503</v>
      </c>
    </row>
    <row r="1472" spans="13:15" x14ac:dyDescent="0.25">
      <c r="M1472" s="5">
        <v>2002.5</v>
      </c>
      <c r="N1472" s="5">
        <v>-208</v>
      </c>
      <c r="O1472" s="5">
        <v>-269.37744903991</v>
      </c>
    </row>
    <row r="1473" spans="13:15" x14ac:dyDescent="0.25">
      <c r="M1473" s="5">
        <v>2002.5833333333301</v>
      </c>
      <c r="N1473" s="5">
        <v>-197</v>
      </c>
      <c r="O1473" s="5">
        <v>-260.97183831204001</v>
      </c>
    </row>
    <row r="1474" spans="13:15" x14ac:dyDescent="0.25">
      <c r="M1474" s="5">
        <v>2002.6666666666599</v>
      </c>
      <c r="N1474" s="5">
        <v>-188</v>
      </c>
      <c r="O1474" s="5">
        <v>-252.15247803772999</v>
      </c>
    </row>
    <row r="1475" spans="13:15" x14ac:dyDescent="0.25">
      <c r="M1475" s="5">
        <v>2002.75</v>
      </c>
      <c r="N1475" s="5">
        <v>-170</v>
      </c>
      <c r="O1475" s="5">
        <v>-238.87960755146301</v>
      </c>
    </row>
    <row r="1476" spans="13:15" x14ac:dyDescent="0.25">
      <c r="M1476" s="5">
        <v>2002.8333333333301</v>
      </c>
      <c r="N1476" s="5">
        <v>-146</v>
      </c>
      <c r="O1476" s="5">
        <v>-219.01642951179599</v>
      </c>
    </row>
    <row r="1477" spans="13:15" x14ac:dyDescent="0.25">
      <c r="M1477" s="5">
        <v>2002.9166666666599</v>
      </c>
      <c r="N1477" s="5">
        <v>-64</v>
      </c>
      <c r="O1477" s="5">
        <v>-169.16085496391099</v>
      </c>
    </row>
    <row r="1478" spans="13:15" x14ac:dyDescent="0.25">
      <c r="M1478" s="5">
        <v>2003</v>
      </c>
      <c r="N1478" s="5">
        <v>-64</v>
      </c>
      <c r="O1478" s="5">
        <v>-84.749799408769903</v>
      </c>
    </row>
    <row r="1479" spans="13:15" x14ac:dyDescent="0.25">
      <c r="M1479" s="5">
        <v>2003.0833333333301</v>
      </c>
      <c r="N1479" s="5">
        <v>-91</v>
      </c>
      <c r="O1479" s="5">
        <v>3.3354232565356701</v>
      </c>
    </row>
    <row r="1480" spans="13:15" x14ac:dyDescent="0.25">
      <c r="M1480" s="5">
        <v>2003.1666666666599</v>
      </c>
      <c r="N1480" s="5">
        <v>-91</v>
      </c>
      <c r="O1480" s="5">
        <v>106.478692539498</v>
      </c>
    </row>
    <row r="1481" spans="13:15" x14ac:dyDescent="0.25">
      <c r="M1481" s="5">
        <v>2003.25</v>
      </c>
      <c r="N1481" s="5">
        <v>-32</v>
      </c>
      <c r="O1481" s="5">
        <v>171.965217075488</v>
      </c>
    </row>
    <row r="1482" spans="13:15" x14ac:dyDescent="0.25">
      <c r="M1482" s="5">
        <v>2003.3333333333301</v>
      </c>
      <c r="N1482" s="5">
        <v>89</v>
      </c>
      <c r="O1482" s="5">
        <v>212.31397701181999</v>
      </c>
    </row>
    <row r="1483" spans="13:15" x14ac:dyDescent="0.25">
      <c r="M1483" s="5">
        <v>2003.4166666666599</v>
      </c>
      <c r="N1483" s="5">
        <v>164</v>
      </c>
      <c r="O1483" s="5">
        <v>240.159562526244</v>
      </c>
    </row>
    <row r="1484" spans="13:15" x14ac:dyDescent="0.25">
      <c r="M1484" s="5">
        <v>2003.5</v>
      </c>
      <c r="N1484" s="5">
        <v>183</v>
      </c>
      <c r="O1484" s="5">
        <v>248.75574792044199</v>
      </c>
    </row>
    <row r="1485" spans="13:15" x14ac:dyDescent="0.25">
      <c r="M1485" s="5">
        <v>2003.5833333333301</v>
      </c>
      <c r="N1485" s="5">
        <v>208</v>
      </c>
      <c r="O1485" s="5">
        <v>246.117246151709</v>
      </c>
    </row>
    <row r="1486" spans="13:15" x14ac:dyDescent="0.25">
      <c r="M1486" s="5">
        <v>2003.6666666666599</v>
      </c>
      <c r="N1486" s="5">
        <v>208</v>
      </c>
      <c r="O1486" s="5">
        <v>247.84510663386101</v>
      </c>
    </row>
    <row r="1487" spans="13:15" x14ac:dyDescent="0.25">
      <c r="M1487" s="5">
        <v>2003.75</v>
      </c>
      <c r="N1487" s="5">
        <v>208</v>
      </c>
      <c r="O1487" s="5">
        <v>249.75431673662101</v>
      </c>
    </row>
    <row r="1488" spans="13:15" x14ac:dyDescent="0.25">
      <c r="M1488" s="5">
        <v>2003.8333333333301</v>
      </c>
      <c r="N1488" s="5">
        <v>208</v>
      </c>
      <c r="O1488" s="5">
        <v>242.869414992598</v>
      </c>
    </row>
    <row r="1489" spans="13:15" x14ac:dyDescent="0.25">
      <c r="M1489" s="5">
        <v>2003.9166666666599</v>
      </c>
      <c r="N1489" s="5">
        <v>207</v>
      </c>
      <c r="O1489" s="5">
        <v>217.343781826971</v>
      </c>
    </row>
    <row r="1490" spans="13:15" x14ac:dyDescent="0.25">
      <c r="M1490" s="5">
        <v>2004</v>
      </c>
      <c r="N1490" s="5">
        <v>60</v>
      </c>
      <c r="O1490" s="5">
        <v>116.272259646115</v>
      </c>
    </row>
    <row r="1491" spans="13:15" x14ac:dyDescent="0.25">
      <c r="M1491" s="5">
        <v>2004.0833333333301</v>
      </c>
      <c r="N1491" s="5">
        <v>-89</v>
      </c>
      <c r="O1491" s="5">
        <v>-146.811010066172</v>
      </c>
    </row>
    <row r="1492" spans="13:15" x14ac:dyDescent="0.25">
      <c r="M1492" s="5">
        <v>2004.1666666666599</v>
      </c>
      <c r="N1492" s="5">
        <v>-183</v>
      </c>
      <c r="O1492" s="5">
        <v>-220.821060964597</v>
      </c>
    </row>
    <row r="1493" spans="13:15" x14ac:dyDescent="0.25">
      <c r="M1493" s="5">
        <v>2004.25</v>
      </c>
      <c r="N1493" s="5">
        <v>-217</v>
      </c>
      <c r="O1493" s="5">
        <v>-256.28295321300197</v>
      </c>
    </row>
    <row r="1494" spans="13:15" x14ac:dyDescent="0.25">
      <c r="M1494" s="5">
        <v>2004.3333333333301</v>
      </c>
      <c r="N1494" s="5">
        <v>-225</v>
      </c>
      <c r="O1494" s="5">
        <v>-273.53090350345798</v>
      </c>
    </row>
    <row r="1495" spans="13:15" x14ac:dyDescent="0.25">
      <c r="M1495" s="5">
        <v>2004.4166666666599</v>
      </c>
      <c r="N1495" s="5">
        <v>-225</v>
      </c>
      <c r="O1495" s="5">
        <v>-276.24810699981998</v>
      </c>
    </row>
    <row r="1496" spans="13:15" x14ac:dyDescent="0.25">
      <c r="M1496" s="5">
        <v>2004.5</v>
      </c>
      <c r="N1496" s="5">
        <v>-200</v>
      </c>
      <c r="O1496" s="5">
        <v>-274.17743303544103</v>
      </c>
    </row>
    <row r="1497" spans="13:15" x14ac:dyDescent="0.25">
      <c r="M1497" s="5">
        <v>2004.5833333333301</v>
      </c>
      <c r="N1497" s="5">
        <v>-200</v>
      </c>
      <c r="O1497" s="5">
        <v>-267.75925209100001</v>
      </c>
    </row>
    <row r="1498" spans="13:15" x14ac:dyDescent="0.25">
      <c r="M1498" s="5">
        <v>2004.6666666666599</v>
      </c>
      <c r="N1498" s="5">
        <v>-195</v>
      </c>
      <c r="O1498" s="5">
        <v>-259.96336361535799</v>
      </c>
    </row>
    <row r="1499" spans="13:15" x14ac:dyDescent="0.25">
      <c r="M1499" s="5">
        <v>2004.75</v>
      </c>
      <c r="N1499" s="5">
        <v>-193</v>
      </c>
      <c r="O1499" s="5">
        <v>-262.539805973336</v>
      </c>
    </row>
    <row r="1500" spans="13:15" x14ac:dyDescent="0.25">
      <c r="M1500" s="5">
        <v>2004.8333333333301</v>
      </c>
      <c r="N1500" s="5">
        <v>-178</v>
      </c>
      <c r="O1500" s="5">
        <v>-267.48479509317798</v>
      </c>
    </row>
    <row r="1501" spans="13:15" x14ac:dyDescent="0.25">
      <c r="M1501" s="5">
        <v>2004.9166666666599</v>
      </c>
      <c r="N1501" s="5">
        <v>-153</v>
      </c>
      <c r="O1501" s="5">
        <v>-269.91603469943499</v>
      </c>
    </row>
    <row r="1502" spans="13:15" x14ac:dyDescent="0.25">
      <c r="M1502" s="5">
        <v>2005</v>
      </c>
      <c r="N1502" s="5">
        <v>-119</v>
      </c>
      <c r="O1502" s="5">
        <v>-272.616045289407</v>
      </c>
    </row>
    <row r="1503" spans="13:15" x14ac:dyDescent="0.25">
      <c r="M1503" s="5">
        <v>2005.0833333333301</v>
      </c>
      <c r="N1503" s="5">
        <v>-119</v>
      </c>
      <c r="O1503" s="5">
        <v>-266.37351266671499</v>
      </c>
    </row>
    <row r="1504" spans="13:15" x14ac:dyDescent="0.25">
      <c r="M1504" s="5">
        <v>2005.1666666666599</v>
      </c>
      <c r="N1504" s="5">
        <v>-96</v>
      </c>
      <c r="O1504" s="5">
        <v>-245.70169575668299</v>
      </c>
    </row>
    <row r="1505" spans="13:15" x14ac:dyDescent="0.25">
      <c r="M1505" s="5">
        <v>2005.25</v>
      </c>
      <c r="N1505" s="5">
        <v>-96</v>
      </c>
      <c r="O1505" s="5">
        <v>-199.720205379563</v>
      </c>
    </row>
    <row r="1506" spans="13:15" x14ac:dyDescent="0.25">
      <c r="M1506" s="5">
        <v>2005.3333333333301</v>
      </c>
      <c r="N1506" s="5">
        <v>73</v>
      </c>
      <c r="O1506" s="5">
        <v>6.7104199345405799</v>
      </c>
    </row>
    <row r="1507" spans="13:15" x14ac:dyDescent="0.25">
      <c r="M1507" s="5">
        <v>2005.4166666666599</v>
      </c>
      <c r="N1507" s="5">
        <v>161</v>
      </c>
      <c r="O1507" s="5">
        <v>195.14950999129701</v>
      </c>
    </row>
    <row r="1508" spans="13:15" x14ac:dyDescent="0.25">
      <c r="M1508" s="5">
        <v>2005.5</v>
      </c>
      <c r="N1508" s="5">
        <v>181</v>
      </c>
      <c r="O1508" s="5">
        <v>227.57723319390399</v>
      </c>
    </row>
    <row r="1509" spans="13:15" x14ac:dyDescent="0.25">
      <c r="M1509" s="5">
        <v>2005.5833333333301</v>
      </c>
      <c r="N1509" s="5">
        <v>204</v>
      </c>
      <c r="O1509" s="5">
        <v>231.38521608790799</v>
      </c>
    </row>
    <row r="1510" spans="13:15" x14ac:dyDescent="0.25">
      <c r="M1510" s="5">
        <v>2005.6666666666599</v>
      </c>
      <c r="N1510" s="5">
        <v>211</v>
      </c>
      <c r="O1510" s="5">
        <v>227.39436012094299</v>
      </c>
    </row>
    <row r="1511" spans="13:15" x14ac:dyDescent="0.25">
      <c r="M1511" s="5">
        <v>2005.75</v>
      </c>
      <c r="N1511" s="5">
        <v>213</v>
      </c>
      <c r="O1511" s="5">
        <v>229.20258740833299</v>
      </c>
    </row>
    <row r="1512" spans="13:15" x14ac:dyDescent="0.25">
      <c r="M1512" s="5">
        <v>2005.8333333333301</v>
      </c>
      <c r="N1512" s="5">
        <v>215</v>
      </c>
      <c r="O1512" s="5">
        <v>242.297294911449</v>
      </c>
    </row>
    <row r="1513" spans="13:15" x14ac:dyDescent="0.25">
      <c r="M1513" s="5">
        <v>2005.9166666666599</v>
      </c>
      <c r="N1513" s="5">
        <v>219</v>
      </c>
      <c r="O1513" s="5">
        <v>244.99114292452001</v>
      </c>
    </row>
    <row r="1514" spans="13:15" x14ac:dyDescent="0.25">
      <c r="M1514" s="5">
        <v>2006</v>
      </c>
      <c r="N1514" s="5">
        <v>219</v>
      </c>
      <c r="O1514" s="5">
        <v>228.41204632975399</v>
      </c>
    </row>
    <row r="1515" spans="13:15" x14ac:dyDescent="0.25">
      <c r="M1515" s="5">
        <v>2006.0833333333301</v>
      </c>
      <c r="N1515" s="5">
        <v>183</v>
      </c>
      <c r="O1515" s="5">
        <v>201.081225805521</v>
      </c>
    </row>
    <row r="1516" spans="13:15" x14ac:dyDescent="0.25">
      <c r="M1516" s="5">
        <v>2006.1666666666599</v>
      </c>
      <c r="N1516" s="5">
        <v>-12</v>
      </c>
      <c r="O1516" s="5">
        <v>160.631276985434</v>
      </c>
    </row>
    <row r="1517" spans="13:15" x14ac:dyDescent="0.25">
      <c r="M1517" s="5">
        <v>2006.25</v>
      </c>
      <c r="N1517" s="5">
        <v>-188</v>
      </c>
      <c r="O1517" s="5">
        <v>95.568629296970101</v>
      </c>
    </row>
    <row r="1518" spans="13:15" x14ac:dyDescent="0.25">
      <c r="M1518" s="5">
        <v>2006.3333333333301</v>
      </c>
      <c r="N1518" s="5">
        <v>-190</v>
      </c>
      <c r="O1518" s="5">
        <v>5.38028188341874</v>
      </c>
    </row>
    <row r="1519" spans="13:15" x14ac:dyDescent="0.25">
      <c r="M1519" s="5">
        <v>2006.4166666666599</v>
      </c>
      <c r="N1519" s="5">
        <v>-211</v>
      </c>
      <c r="O1519" s="5">
        <v>-130.731530986021</v>
      </c>
    </row>
    <row r="1520" spans="13:15" x14ac:dyDescent="0.25">
      <c r="M1520" s="5">
        <v>2006.5</v>
      </c>
      <c r="N1520" s="5">
        <v>-228</v>
      </c>
      <c r="O1520" s="5">
        <v>-210.25776457328899</v>
      </c>
    </row>
    <row r="1521" spans="13:15" x14ac:dyDescent="0.25">
      <c r="M1521" s="5">
        <v>2006.5833333333301</v>
      </c>
      <c r="N1521" s="5">
        <v>-228</v>
      </c>
      <c r="O1521" s="5">
        <v>-243.77790895325899</v>
      </c>
    </row>
    <row r="1522" spans="13:15" x14ac:dyDescent="0.25">
      <c r="M1522" s="5">
        <v>2006.6666666666599</v>
      </c>
      <c r="N1522" s="5">
        <v>-214</v>
      </c>
      <c r="O1522" s="5">
        <v>-262.58260732945701</v>
      </c>
    </row>
    <row r="1523" spans="13:15" x14ac:dyDescent="0.25">
      <c r="M1523" s="5">
        <v>2006.75</v>
      </c>
      <c r="N1523" s="5">
        <v>-198</v>
      </c>
      <c r="O1523" s="5">
        <v>-271.59591001578798</v>
      </c>
    </row>
    <row r="1524" spans="13:15" x14ac:dyDescent="0.25">
      <c r="M1524" s="5">
        <v>2006.8333333333301</v>
      </c>
      <c r="N1524" s="5">
        <v>-198</v>
      </c>
      <c r="O1524" s="5">
        <v>-273.14477080368403</v>
      </c>
    </row>
    <row r="1525" spans="13:15" x14ac:dyDescent="0.25">
      <c r="M1525" s="5">
        <v>2006.9166666666599</v>
      </c>
      <c r="N1525" s="5">
        <v>-194</v>
      </c>
      <c r="O1525" s="5">
        <v>-276.96094797898598</v>
      </c>
    </row>
    <row r="1526" spans="13:15" x14ac:dyDescent="0.25">
      <c r="M1526" s="5">
        <v>2007</v>
      </c>
      <c r="N1526" s="5">
        <v>-178</v>
      </c>
      <c r="O1526" s="5">
        <v>-278.38535069558901</v>
      </c>
    </row>
    <row r="1527" spans="13:15" x14ac:dyDescent="0.25">
      <c r="M1527" s="5">
        <v>2007.0833333333301</v>
      </c>
      <c r="N1527" s="5">
        <v>-159</v>
      </c>
      <c r="O1527" s="5">
        <v>-272.92884970504298</v>
      </c>
    </row>
    <row r="1528" spans="13:15" x14ac:dyDescent="0.25">
      <c r="M1528" s="5">
        <v>2007.1666666666599</v>
      </c>
      <c r="N1528" s="5">
        <v>-158</v>
      </c>
      <c r="O1528" s="5">
        <v>-267.762825514003</v>
      </c>
    </row>
    <row r="1529" spans="13:15" x14ac:dyDescent="0.25">
      <c r="M1529" s="5">
        <v>2007.25</v>
      </c>
      <c r="N1529" s="5">
        <v>-119</v>
      </c>
      <c r="O1529" s="5">
        <v>-255.31353773432801</v>
      </c>
    </row>
    <row r="1530" spans="13:15" x14ac:dyDescent="0.25">
      <c r="M1530" s="5">
        <v>2007.3333333333301</v>
      </c>
      <c r="N1530" s="5">
        <v>42</v>
      </c>
      <c r="O1530" s="5">
        <v>-214.29874222138599</v>
      </c>
    </row>
    <row r="1531" spans="13:15" x14ac:dyDescent="0.25">
      <c r="M1531" s="5">
        <v>2007.4166666666599</v>
      </c>
      <c r="N1531" s="5">
        <v>148</v>
      </c>
      <c r="O1531" s="5">
        <v>-109.828368841871</v>
      </c>
    </row>
    <row r="1532" spans="13:15" x14ac:dyDescent="0.25">
      <c r="M1532" s="5">
        <v>2007.5</v>
      </c>
      <c r="N1532" s="5">
        <v>192</v>
      </c>
      <c r="O1532" s="5">
        <v>105.609866187034</v>
      </c>
    </row>
    <row r="1533" spans="13:15" x14ac:dyDescent="0.25">
      <c r="M1533" s="5">
        <v>2007.5833333333301</v>
      </c>
      <c r="N1533" s="5">
        <v>208</v>
      </c>
      <c r="O1533" s="5">
        <v>167.65517222145601</v>
      </c>
    </row>
    <row r="1534" spans="13:15" x14ac:dyDescent="0.25">
      <c r="M1534" s="5">
        <v>2007.6666666666599</v>
      </c>
      <c r="N1534" s="5">
        <v>211</v>
      </c>
      <c r="O1534" s="5">
        <v>172.80912600057201</v>
      </c>
    </row>
    <row r="1535" spans="13:15" x14ac:dyDescent="0.25">
      <c r="M1535" s="5">
        <v>2007.75</v>
      </c>
      <c r="N1535" s="5">
        <v>211</v>
      </c>
      <c r="O1535" s="5">
        <v>194.820361862396</v>
      </c>
    </row>
    <row r="1536" spans="13:15" x14ac:dyDescent="0.25">
      <c r="M1536" s="5">
        <v>2007.8333333333301</v>
      </c>
      <c r="N1536" s="5">
        <v>215</v>
      </c>
      <c r="O1536" s="5">
        <v>226.85614722065199</v>
      </c>
    </row>
    <row r="1537" spans="13:15" x14ac:dyDescent="0.25">
      <c r="M1537" s="5">
        <v>2007.9166666666599</v>
      </c>
      <c r="N1537" s="5">
        <v>211</v>
      </c>
      <c r="O1537" s="5">
        <v>238.835135641775</v>
      </c>
    </row>
    <row r="1538" spans="13:15" x14ac:dyDescent="0.25">
      <c r="M1538" s="5">
        <v>2008</v>
      </c>
      <c r="N1538" s="5">
        <v>160</v>
      </c>
      <c r="O1538" s="5">
        <v>233.85025267432201</v>
      </c>
    </row>
    <row r="1539" spans="13:15" x14ac:dyDescent="0.25">
      <c r="M1539" s="5">
        <v>2008.0833333333301</v>
      </c>
      <c r="N1539" s="5">
        <v>21</v>
      </c>
      <c r="O1539" s="5">
        <v>203.405848660071</v>
      </c>
    </row>
    <row r="1540" spans="13:15" x14ac:dyDescent="0.25">
      <c r="M1540" s="5">
        <v>2008.1666666666599</v>
      </c>
      <c r="N1540" s="5">
        <v>-143</v>
      </c>
      <c r="O1540" s="5">
        <v>111.021231466719</v>
      </c>
    </row>
    <row r="1541" spans="13:15" x14ac:dyDescent="0.25">
      <c r="M1541" s="5">
        <v>2008.25</v>
      </c>
      <c r="N1541" s="5">
        <v>-217</v>
      </c>
      <c r="O1541" s="5">
        <v>-33.233700796028799</v>
      </c>
    </row>
    <row r="1542" spans="13:15" x14ac:dyDescent="0.25">
      <c r="M1542" s="5">
        <v>2008.3333333333301</v>
      </c>
      <c r="N1542" s="5">
        <v>-229</v>
      </c>
      <c r="O1542" s="5">
        <v>-78.084244682566293</v>
      </c>
    </row>
    <row r="1543" spans="13:15" x14ac:dyDescent="0.25">
      <c r="M1543" s="5">
        <v>2008.4166666666599</v>
      </c>
      <c r="N1543" s="5">
        <v>-229</v>
      </c>
      <c r="O1543" s="5">
        <v>-100.62208732661099</v>
      </c>
    </row>
    <row r="1544" spans="13:15" x14ac:dyDescent="0.25">
      <c r="M1544" s="5">
        <v>2008.5</v>
      </c>
      <c r="N1544" s="5">
        <v>-240</v>
      </c>
      <c r="O1544" s="5">
        <v>-110.864660799145</v>
      </c>
    </row>
    <row r="1545" spans="13:15" x14ac:dyDescent="0.25">
      <c r="M1545" s="5">
        <v>2008.5833333333301</v>
      </c>
      <c r="N1545" s="5">
        <v>-240</v>
      </c>
      <c r="O1545" s="5">
        <v>-140.21943479572201</v>
      </c>
    </row>
    <row r="1546" spans="13:15" x14ac:dyDescent="0.25">
      <c r="M1546" s="5">
        <v>2008.6666666666599</v>
      </c>
      <c r="N1546" s="5">
        <v>-223</v>
      </c>
      <c r="O1546" s="5">
        <v>-171.32115574088201</v>
      </c>
    </row>
    <row r="1547" spans="13:15" x14ac:dyDescent="0.25">
      <c r="M1547" s="5">
        <v>2008.75</v>
      </c>
      <c r="N1547" s="5">
        <v>-210</v>
      </c>
      <c r="O1547" s="5">
        <v>-177.25299404156499</v>
      </c>
    </row>
    <row r="1548" spans="13:15" x14ac:dyDescent="0.25">
      <c r="M1548" s="5">
        <v>2008.8333333333301</v>
      </c>
      <c r="N1548" s="5">
        <v>-198</v>
      </c>
      <c r="O1548" s="5">
        <v>-200.054027796605</v>
      </c>
    </row>
    <row r="1549" spans="13:15" x14ac:dyDescent="0.25">
      <c r="M1549" s="5">
        <v>2008.9166666666599</v>
      </c>
      <c r="N1549" s="5">
        <v>-198</v>
      </c>
      <c r="O1549" s="5">
        <v>-238.50367896817801</v>
      </c>
    </row>
    <row r="1550" spans="13:15" x14ac:dyDescent="0.25">
      <c r="M1550" s="5">
        <v>2009</v>
      </c>
      <c r="N1550" s="5">
        <v>-216</v>
      </c>
      <c r="O1550" s="5">
        <v>-260.97380253250202</v>
      </c>
    </row>
    <row r="1551" spans="13:15" x14ac:dyDescent="0.25">
      <c r="M1551" s="5">
        <v>2009.0833333333301</v>
      </c>
      <c r="N1551" s="5">
        <v>-224</v>
      </c>
      <c r="O1551" s="5">
        <v>-273.47251045531402</v>
      </c>
    </row>
    <row r="1552" spans="13:15" x14ac:dyDescent="0.25">
      <c r="M1552" s="5">
        <v>2009.1666666666599</v>
      </c>
      <c r="N1552" s="5">
        <v>-224</v>
      </c>
      <c r="O1552" s="5">
        <v>-278.12880535021401</v>
      </c>
    </row>
    <row r="1553" spans="13:15" x14ac:dyDescent="0.25">
      <c r="M1553" s="5">
        <v>2009.25</v>
      </c>
      <c r="N1553" s="5">
        <v>-223</v>
      </c>
      <c r="O1553" s="5">
        <v>-271.21045898855101</v>
      </c>
    </row>
    <row r="1554" spans="13:15" x14ac:dyDescent="0.25">
      <c r="M1554" s="5">
        <v>2009.3333333333301</v>
      </c>
      <c r="N1554" s="5">
        <v>-208</v>
      </c>
      <c r="O1554" s="5">
        <v>-252.64594174897701</v>
      </c>
    </row>
    <row r="1555" spans="13:15" x14ac:dyDescent="0.25">
      <c r="M1555" s="5">
        <v>2009.4166666666599</v>
      </c>
      <c r="N1555" s="5">
        <v>-137</v>
      </c>
      <c r="O1555" s="5">
        <v>-202.069953576599</v>
      </c>
    </row>
    <row r="1556" spans="13:15" x14ac:dyDescent="0.25">
      <c r="M1556" s="5">
        <v>2009.5</v>
      </c>
      <c r="N1556" s="5">
        <v>29</v>
      </c>
      <c r="O1556" s="5">
        <v>-30.432443708516399</v>
      </c>
    </row>
    <row r="1557" spans="13:15" x14ac:dyDescent="0.25">
      <c r="M1557" s="5">
        <v>2009.5833333333301</v>
      </c>
      <c r="N1557" s="5">
        <v>113</v>
      </c>
      <c r="O1557" s="5">
        <v>123.081342049919</v>
      </c>
    </row>
    <row r="1558" spans="13:15" x14ac:dyDescent="0.25">
      <c r="M1558" s="5">
        <v>2009.6666666666599</v>
      </c>
      <c r="N1558" s="5">
        <v>115</v>
      </c>
      <c r="O1558" s="5">
        <v>137.46860025448501</v>
      </c>
    </row>
    <row r="1559" spans="13:15" x14ac:dyDescent="0.25">
      <c r="M1559" s="5">
        <v>2009.75</v>
      </c>
      <c r="N1559" s="5">
        <v>113</v>
      </c>
      <c r="O1559" s="5">
        <v>137.950838958155</v>
      </c>
    </row>
    <row r="1560" spans="13:15" x14ac:dyDescent="0.25">
      <c r="M1560" s="5">
        <v>2009.8333333333301</v>
      </c>
      <c r="N1560" s="5">
        <v>115</v>
      </c>
      <c r="O1560" s="5">
        <v>137.64274341414799</v>
      </c>
    </row>
    <row r="1561" spans="13:15" x14ac:dyDescent="0.25">
      <c r="M1561" s="5">
        <v>2009.9166666666599</v>
      </c>
      <c r="N1561" s="5">
        <v>147</v>
      </c>
      <c r="O1561" s="5">
        <v>160.954028746452</v>
      </c>
    </row>
    <row r="1562" spans="13:15" x14ac:dyDescent="0.25">
      <c r="M1562" s="5">
        <v>2010</v>
      </c>
      <c r="N1562" s="5">
        <v>154</v>
      </c>
      <c r="O1562" s="5">
        <v>188.98982973461099</v>
      </c>
    </row>
    <row r="1563" spans="13:15" x14ac:dyDescent="0.25">
      <c r="M1563" s="5">
        <v>2010.0833333333301</v>
      </c>
      <c r="N1563" s="5">
        <v>160</v>
      </c>
      <c r="O1563" s="5">
        <v>189.35925019475101</v>
      </c>
    </row>
    <row r="1564" spans="13:15" x14ac:dyDescent="0.25">
      <c r="M1564" s="5">
        <v>2010.1666666666599</v>
      </c>
      <c r="N1564" s="5">
        <v>164</v>
      </c>
      <c r="O1564" s="5">
        <v>178.99965574737701</v>
      </c>
    </row>
    <row r="1565" spans="13:15" x14ac:dyDescent="0.25">
      <c r="M1565" s="5">
        <v>2010.25</v>
      </c>
      <c r="N1565" s="5">
        <v>166</v>
      </c>
      <c r="O1565" s="5">
        <v>176.90395848264899</v>
      </c>
    </row>
    <row r="1566" spans="13:15" x14ac:dyDescent="0.25">
      <c r="M1566" s="5">
        <v>2010.3333333333301</v>
      </c>
      <c r="N1566" s="5">
        <v>164</v>
      </c>
      <c r="O1566" s="5">
        <v>175.66547867670101</v>
      </c>
    </row>
    <row r="1567" spans="13:15" x14ac:dyDescent="0.25">
      <c r="M1567" s="5">
        <v>2010.4166666666599</v>
      </c>
      <c r="N1567" s="5">
        <v>166</v>
      </c>
      <c r="O1567" s="5">
        <v>177.872506402293</v>
      </c>
    </row>
    <row r="1568" spans="13:15" x14ac:dyDescent="0.25">
      <c r="M1568" s="5">
        <v>2010.5</v>
      </c>
      <c r="N1568" s="5">
        <v>158</v>
      </c>
      <c r="O1568" s="5">
        <v>151.30214294557601</v>
      </c>
    </row>
    <row r="1569" spans="13:15" x14ac:dyDescent="0.25">
      <c r="M1569" s="5">
        <v>2010.5833333333301</v>
      </c>
      <c r="N1569" s="5">
        <v>-46</v>
      </c>
      <c r="O1569" s="5">
        <v>-20.883828158651301</v>
      </c>
    </row>
    <row r="1570" spans="13:15" x14ac:dyDescent="0.25">
      <c r="M1570" s="5">
        <v>2010.6666666666599</v>
      </c>
      <c r="N1570" s="5">
        <v>-222</v>
      </c>
      <c r="O1570" s="5">
        <v>-165.81088685226001</v>
      </c>
    </row>
    <row r="1571" spans="13:15" x14ac:dyDescent="0.25">
      <c r="M1571" s="5">
        <v>2010.75</v>
      </c>
      <c r="N1571" s="5">
        <v>-222</v>
      </c>
      <c r="O1571" s="5">
        <v>-206.22770033796499</v>
      </c>
    </row>
    <row r="1572" spans="13:15" x14ac:dyDescent="0.25">
      <c r="M1572" s="5">
        <v>2010.8333333333301</v>
      </c>
      <c r="N1572" s="5">
        <v>-223</v>
      </c>
      <c r="O1572" s="5">
        <v>-230.25057026553301</v>
      </c>
    </row>
    <row r="1573" spans="13:15" x14ac:dyDescent="0.25">
      <c r="M1573" s="5">
        <v>2010.9166666666599</v>
      </c>
      <c r="N1573" s="5">
        <v>-221</v>
      </c>
      <c r="O1573" s="5">
        <v>-244.96469826089501</v>
      </c>
    </row>
    <row r="1574" spans="13:15" x14ac:dyDescent="0.25">
      <c r="M1574" s="5">
        <v>2011</v>
      </c>
      <c r="N1574" s="5">
        <v>-202</v>
      </c>
      <c r="O1574" s="5">
        <v>-256.84967908516001</v>
      </c>
    </row>
    <row r="1575" spans="13:15" x14ac:dyDescent="0.25">
      <c r="M1575" s="5">
        <v>2011.0833333333301</v>
      </c>
      <c r="N1575" s="5">
        <v>-202</v>
      </c>
      <c r="O1575" s="5">
        <v>-264.93607368328702</v>
      </c>
    </row>
    <row r="1576" spans="13:15" x14ac:dyDescent="0.25">
      <c r="M1576" s="5">
        <v>2011.1666666666599</v>
      </c>
      <c r="N1576" s="5">
        <v>-202</v>
      </c>
      <c r="O1576" s="5">
        <v>-261.661517654806</v>
      </c>
    </row>
    <row r="1577" spans="13:15" x14ac:dyDescent="0.25">
      <c r="M1577" s="5">
        <v>2011.25</v>
      </c>
      <c r="N1577" s="5">
        <v>-202</v>
      </c>
      <c r="O1577" s="5">
        <v>-257.31479267336402</v>
      </c>
    </row>
    <row r="1578" spans="13:15" x14ac:dyDescent="0.25">
      <c r="M1578" s="5">
        <v>2011.3333333333301</v>
      </c>
      <c r="N1578" s="5">
        <v>-201</v>
      </c>
      <c r="O1578" s="5">
        <v>-257.59398082502599</v>
      </c>
    </row>
    <row r="1579" spans="13:15" x14ac:dyDescent="0.25">
      <c r="M1579" s="5">
        <v>2011.4166666666599</v>
      </c>
      <c r="N1579" s="5">
        <v>-197</v>
      </c>
      <c r="O1579" s="5">
        <v>-247.61462901272299</v>
      </c>
    </row>
    <row r="1580" spans="13:15" x14ac:dyDescent="0.25">
      <c r="M1580" s="5">
        <v>2011.5</v>
      </c>
      <c r="N1580" s="5">
        <v>-175</v>
      </c>
      <c r="O1580" s="5">
        <v>-225.60984973505501</v>
      </c>
    </row>
    <row r="1581" spans="13:15" x14ac:dyDescent="0.25">
      <c r="M1581" s="5">
        <v>2011.5833333333301</v>
      </c>
      <c r="N1581" s="5">
        <v>-130</v>
      </c>
      <c r="O1581" s="5">
        <v>-189.11185523228201</v>
      </c>
    </row>
    <row r="1582" spans="13:15" x14ac:dyDescent="0.25">
      <c r="M1582" s="5">
        <v>2011.6666666666599</v>
      </c>
      <c r="N1582" s="5">
        <v>-114</v>
      </c>
      <c r="O1582" s="5">
        <v>-105.41501714110299</v>
      </c>
    </row>
    <row r="1583" spans="13:15" x14ac:dyDescent="0.25">
      <c r="M1583" s="5">
        <v>2011.75</v>
      </c>
      <c r="N1583" s="5">
        <v>-73</v>
      </c>
      <c r="O1583" s="5">
        <v>20.156766578487201</v>
      </c>
    </row>
    <row r="1584" spans="13:15" x14ac:dyDescent="0.25">
      <c r="M1584" s="5">
        <v>2011.8333333333301</v>
      </c>
      <c r="N1584" s="5">
        <v>-30</v>
      </c>
      <c r="O1584" s="5">
        <v>83.804509216553498</v>
      </c>
    </row>
    <row r="1585" spans="13:15" x14ac:dyDescent="0.25">
      <c r="M1585" s="5">
        <v>2011.9166666666599</v>
      </c>
      <c r="N1585" s="5">
        <v>84</v>
      </c>
      <c r="O1585" s="5">
        <v>130.03228553854399</v>
      </c>
    </row>
    <row r="1586" spans="13:15" x14ac:dyDescent="0.25">
      <c r="M1586" s="5">
        <v>2012</v>
      </c>
      <c r="N1586" s="5">
        <v>133</v>
      </c>
      <c r="O1586" s="5">
        <v>143.09334702635701</v>
      </c>
    </row>
    <row r="1587" spans="13:15" x14ac:dyDescent="0.25">
      <c r="M1587" s="5">
        <v>2012.0833333333301</v>
      </c>
      <c r="N1587" s="5">
        <v>133</v>
      </c>
      <c r="O1587" s="5">
        <v>133.45948010435799</v>
      </c>
    </row>
    <row r="1588" spans="13:15" x14ac:dyDescent="0.25">
      <c r="M1588" s="5">
        <v>2012.1666666666599</v>
      </c>
      <c r="N1588" s="5">
        <v>112</v>
      </c>
      <c r="O1588" s="5">
        <v>120.549573553842</v>
      </c>
    </row>
    <row r="1589" spans="13:15" x14ac:dyDescent="0.25">
      <c r="M1589" s="5">
        <v>2012.25</v>
      </c>
      <c r="N1589" s="5">
        <v>112</v>
      </c>
      <c r="O1589" s="5">
        <v>92.140606860415403</v>
      </c>
    </row>
    <row r="1590" spans="13:15" x14ac:dyDescent="0.25">
      <c r="M1590" s="5">
        <v>2012.3333333333301</v>
      </c>
      <c r="N1590" s="5">
        <v>152</v>
      </c>
      <c r="O1590" s="5">
        <v>114.323855934962</v>
      </c>
    </row>
    <row r="1591" spans="13:15" x14ac:dyDescent="0.25">
      <c r="M1591" s="5">
        <v>2012.4166666666599</v>
      </c>
      <c r="N1591" s="5">
        <v>201</v>
      </c>
      <c r="O1591" s="5">
        <v>178.49291286540799</v>
      </c>
    </row>
    <row r="1592" spans="13:15" x14ac:dyDescent="0.25">
      <c r="M1592" s="5">
        <v>2012.5</v>
      </c>
      <c r="N1592" s="5">
        <v>220</v>
      </c>
      <c r="O1592" s="5">
        <v>203.56229470862201</v>
      </c>
    </row>
    <row r="1593" spans="13:15" x14ac:dyDescent="0.25">
      <c r="M1593" s="5">
        <v>2012.5833333333301</v>
      </c>
      <c r="N1593" s="5">
        <v>221</v>
      </c>
      <c r="O1593" s="5">
        <v>202.656958932527</v>
      </c>
    </row>
    <row r="1594" spans="13:15" x14ac:dyDescent="0.25">
      <c r="M1594" s="5">
        <v>2012.6666666666599</v>
      </c>
      <c r="N1594" s="5">
        <v>226</v>
      </c>
      <c r="O1594" s="5">
        <v>193.19194460523599</v>
      </c>
    </row>
    <row r="1595" spans="13:15" x14ac:dyDescent="0.25">
      <c r="M1595" s="5">
        <v>2012.75</v>
      </c>
      <c r="N1595" s="5">
        <v>231</v>
      </c>
      <c r="O1595" s="5">
        <v>173.267150810256</v>
      </c>
    </row>
    <row r="1596" spans="13:15" x14ac:dyDescent="0.25">
      <c r="M1596" s="5">
        <v>2012.8333333333301</v>
      </c>
      <c r="N1596" s="5">
        <v>230</v>
      </c>
      <c r="O1596" s="5">
        <v>149.27601208286001</v>
      </c>
    </row>
    <row r="1597" spans="13:15" x14ac:dyDescent="0.25">
      <c r="M1597" s="5">
        <v>2012.9166666666599</v>
      </c>
      <c r="N1597" s="5">
        <v>230</v>
      </c>
      <c r="O1597" s="5">
        <v>83.709678673468403</v>
      </c>
    </row>
    <row r="1598" spans="13:15" x14ac:dyDescent="0.25">
      <c r="M1598" s="5">
        <v>2013</v>
      </c>
      <c r="N1598" s="5">
        <v>56</v>
      </c>
      <c r="O1598" s="5">
        <v>-130.11660878226201</v>
      </c>
    </row>
    <row r="1599" spans="13:15" x14ac:dyDescent="0.25">
      <c r="M1599" s="5">
        <v>2013.0833333333301</v>
      </c>
      <c r="N1599" s="5">
        <v>-58</v>
      </c>
      <c r="O1599" s="5">
        <v>-211.275417009264</v>
      </c>
    </row>
    <row r="1600" spans="13:15" x14ac:dyDescent="0.25">
      <c r="M1600" s="5">
        <v>2013.1666666666599</v>
      </c>
      <c r="N1600" s="5">
        <v>-123</v>
      </c>
      <c r="O1600" s="5">
        <v>-234.633516158166</v>
      </c>
    </row>
    <row r="1601" spans="13:15" x14ac:dyDescent="0.25">
      <c r="M1601" s="5">
        <v>2013.25</v>
      </c>
      <c r="N1601" s="5">
        <v>-194</v>
      </c>
      <c r="O1601" s="5">
        <v>-245.04184679755701</v>
      </c>
    </row>
    <row r="1602" spans="13:15" x14ac:dyDescent="0.25">
      <c r="M1602" s="5">
        <v>2013.3333333333301</v>
      </c>
      <c r="N1602" s="5">
        <v>-207</v>
      </c>
      <c r="O1602" s="5">
        <v>-246.702586345387</v>
      </c>
    </row>
    <row r="1603" spans="13:15" x14ac:dyDescent="0.25">
      <c r="M1603" s="5">
        <v>2013.4166666666599</v>
      </c>
      <c r="N1603" s="5">
        <v>-214</v>
      </c>
      <c r="O1603" s="5">
        <v>-249.92849286779</v>
      </c>
    </row>
    <row r="1604" spans="13:15" x14ac:dyDescent="0.25">
      <c r="M1604" s="5">
        <v>2013.5</v>
      </c>
      <c r="N1604" s="5">
        <v>-252</v>
      </c>
      <c r="O1604" s="5">
        <v>-260.44842803881699</v>
      </c>
    </row>
    <row r="1605" spans="13:15" x14ac:dyDescent="0.25">
      <c r="M1605" s="5">
        <v>2013.5833333333301</v>
      </c>
      <c r="N1605" s="5">
        <v>-252</v>
      </c>
      <c r="O1605" s="5">
        <v>-261.69141313347399</v>
      </c>
    </row>
    <row r="1606" spans="13:15" x14ac:dyDescent="0.25">
      <c r="M1606" s="5">
        <v>2013.6666666666599</v>
      </c>
      <c r="N1606" s="5">
        <v>-244</v>
      </c>
      <c r="O1606" s="5">
        <v>-251.909068091492</v>
      </c>
    </row>
    <row r="1607" spans="13:15" x14ac:dyDescent="0.25">
      <c r="M1607" s="5">
        <v>2013.75</v>
      </c>
      <c r="N1607" s="5">
        <v>-227</v>
      </c>
      <c r="O1607" s="5">
        <v>-238.760635617991</v>
      </c>
    </row>
    <row r="1608" spans="13:15" x14ac:dyDescent="0.25">
      <c r="M1608" s="5">
        <v>2013.8333333333301</v>
      </c>
      <c r="N1608" s="5">
        <v>-224</v>
      </c>
      <c r="O1608" s="5">
        <v>-222.72372618227601</v>
      </c>
    </row>
    <row r="1609" spans="13:15" x14ac:dyDescent="0.25">
      <c r="M1609" s="5">
        <v>2013.9166666666599</v>
      </c>
      <c r="N1609" s="5">
        <v>-223</v>
      </c>
      <c r="O1609" s="5">
        <v>-220.26464069696701</v>
      </c>
    </row>
    <row r="1610" spans="13:15" x14ac:dyDescent="0.25">
      <c r="M1610" s="5">
        <v>2014</v>
      </c>
      <c r="N1610" s="5">
        <v>-223</v>
      </c>
      <c r="O1610" s="5">
        <v>-229.57810566710199</v>
      </c>
    </row>
    <row r="1611" spans="13:15" x14ac:dyDescent="0.25">
      <c r="M1611" s="5">
        <v>2014.0833333333301</v>
      </c>
      <c r="N1611" s="5">
        <v>-231</v>
      </c>
      <c r="O1611" s="5">
        <v>-224.74910804146299</v>
      </c>
    </row>
    <row r="1612" spans="13:15" x14ac:dyDescent="0.25">
      <c r="M1612" s="5">
        <v>2014.1666666666599</v>
      </c>
      <c r="N1612" s="5">
        <v>-231</v>
      </c>
      <c r="O1612" s="5">
        <v>-212.780890549536</v>
      </c>
    </row>
    <row r="1613" spans="13:15" x14ac:dyDescent="0.25">
      <c r="M1613" s="5">
        <v>2014.25</v>
      </c>
      <c r="N1613" s="5">
        <v>-218</v>
      </c>
      <c r="O1613" s="5">
        <v>-192.34730225890399</v>
      </c>
    </row>
    <row r="1614" spans="13:15" x14ac:dyDescent="0.25">
      <c r="M1614" s="5">
        <v>2014.3333333333301</v>
      </c>
      <c r="N1614" s="5">
        <v>-193</v>
      </c>
      <c r="O1614" s="5">
        <v>-99.273474694922399</v>
      </c>
    </row>
    <row r="1615" spans="13:15" x14ac:dyDescent="0.25">
      <c r="M1615" s="5">
        <v>2014.4166666666599</v>
      </c>
      <c r="N1615" s="5">
        <v>26</v>
      </c>
      <c r="O1615" s="5">
        <v>127.45047980536999</v>
      </c>
    </row>
    <row r="1616" spans="13:15" x14ac:dyDescent="0.25">
      <c r="M1616" s="5">
        <v>2014.5</v>
      </c>
      <c r="N1616" s="5">
        <v>153</v>
      </c>
      <c r="O1616" s="5">
        <v>201.61111306260199</v>
      </c>
    </row>
    <row r="1617" spans="13:15" x14ac:dyDescent="0.25">
      <c r="M1617" s="5">
        <v>2014.5833333333301</v>
      </c>
      <c r="N1617" s="5">
        <v>190</v>
      </c>
      <c r="O1617" s="5">
        <v>225.04076494084401</v>
      </c>
    </row>
    <row r="1618" spans="13:15" x14ac:dyDescent="0.25">
      <c r="M1618" s="5">
        <v>2014.6666666666599</v>
      </c>
      <c r="N1618" s="5">
        <v>202</v>
      </c>
      <c r="O1618" s="5">
        <v>220.871849573357</v>
      </c>
    </row>
    <row r="1619" spans="13:15" x14ac:dyDescent="0.25">
      <c r="M1619" s="5">
        <v>2014.75</v>
      </c>
      <c r="N1619" s="5">
        <v>212</v>
      </c>
      <c r="O1619" s="5">
        <v>208.270756782614</v>
      </c>
    </row>
    <row r="1620" spans="13:15" x14ac:dyDescent="0.25">
      <c r="M1620" s="5">
        <v>2014.8333333333301</v>
      </c>
      <c r="N1620" s="5">
        <v>212</v>
      </c>
      <c r="O1620" s="5">
        <v>207.404602216038</v>
      </c>
    </row>
    <row r="1621" spans="13:15" x14ac:dyDescent="0.25">
      <c r="M1621" s="5">
        <v>2014.9166666666599</v>
      </c>
      <c r="N1621" s="5">
        <v>207</v>
      </c>
      <c r="O1621" s="5">
        <v>198.133472820138</v>
      </c>
    </row>
    <row r="1622" spans="13:15" x14ac:dyDescent="0.25">
      <c r="M1622" s="5">
        <v>2015</v>
      </c>
      <c r="N1622" s="5">
        <v>182</v>
      </c>
      <c r="O1622" s="5">
        <v>172.55339811780101</v>
      </c>
    </row>
    <row r="1623" spans="13:15" x14ac:dyDescent="0.25">
      <c r="M1623" s="5">
        <v>2015.0833333333301</v>
      </c>
      <c r="N1623" s="5">
        <v>182</v>
      </c>
      <c r="O1623" s="5">
        <v>147.170494171911</v>
      </c>
    </row>
    <row r="1624" spans="13:15" x14ac:dyDescent="0.25">
      <c r="M1624" s="5">
        <v>2015.1666666666599</v>
      </c>
      <c r="N1624" s="5">
        <v>190</v>
      </c>
      <c r="O1624" s="5">
        <v>126.795530646316</v>
      </c>
    </row>
    <row r="1625" spans="13:15" x14ac:dyDescent="0.25">
      <c r="M1625" s="5">
        <v>2015.25</v>
      </c>
      <c r="N1625" s="5">
        <v>206</v>
      </c>
      <c r="O1625" s="5">
        <v>147.26962390409599</v>
      </c>
    </row>
    <row r="1626" spans="13:15" x14ac:dyDescent="0.25">
      <c r="M1626" s="5">
        <v>2015.3333333333301</v>
      </c>
      <c r="N1626" s="5">
        <v>206</v>
      </c>
      <c r="O1626" s="5">
        <v>181.77527094981301</v>
      </c>
    </row>
    <row r="1627" spans="13:15" x14ac:dyDescent="0.25">
      <c r="M1627" s="5">
        <v>2015.4166666666599</v>
      </c>
      <c r="N1627" s="5">
        <v>35</v>
      </c>
      <c r="O1627" s="5">
        <v>170.04834663616501</v>
      </c>
    </row>
    <row r="1628" spans="13:15" x14ac:dyDescent="0.25">
      <c r="M1628" s="5">
        <v>2015.5</v>
      </c>
      <c r="N1628" s="5">
        <v>-180</v>
      </c>
      <c r="O1628" s="5">
        <v>66.606710570998501</v>
      </c>
    </row>
    <row r="1629" spans="13:15" x14ac:dyDescent="0.25">
      <c r="M1629" s="5">
        <v>2015.5833333333301</v>
      </c>
      <c r="N1629" s="5">
        <v>-234</v>
      </c>
      <c r="O1629" s="5">
        <v>-151.974037417142</v>
      </c>
    </row>
    <row r="1630" spans="13:15" x14ac:dyDescent="0.25">
      <c r="M1630" s="5">
        <v>2015.6666666666599</v>
      </c>
      <c r="N1630" s="5">
        <v>-240</v>
      </c>
      <c r="O1630" s="5">
        <v>-225.674400638728</v>
      </c>
    </row>
    <row r="1631" spans="13:15" x14ac:dyDescent="0.25">
      <c r="M1631" s="5">
        <v>2015.75</v>
      </c>
      <c r="N1631" s="5">
        <v>-240</v>
      </c>
      <c r="O1631" s="5">
        <v>-240.049380978296</v>
      </c>
    </row>
    <row r="1632" spans="13:15" x14ac:dyDescent="0.25">
      <c r="M1632" s="5">
        <v>2015.8333333333301</v>
      </c>
      <c r="N1632" s="5">
        <v>-237</v>
      </c>
      <c r="O1632" s="5">
        <v>-236.77712633107899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32"/>
  <sheetViews>
    <sheetView zoomScale="80" zoomScaleNormal="80" workbookViewId="0">
      <selection activeCell="E21" sqref="E21"/>
    </sheetView>
  </sheetViews>
  <sheetFormatPr defaultRowHeight="15" x14ac:dyDescent="0.25"/>
  <sheetData>
    <row r="1" spans="1:18" x14ac:dyDescent="0.25">
      <c r="B1">
        <v>0.83335846212535125</v>
      </c>
      <c r="C1">
        <f>+CORREL(B3:B756,C3:C756)</f>
        <v>0.82623728586707867</v>
      </c>
      <c r="D1">
        <v>29.838644527006576</v>
      </c>
      <c r="F1">
        <v>0</v>
      </c>
      <c r="G1">
        <f>+CORREL(F5:F754,G5:G754)</f>
        <v>0.51310966281334847</v>
      </c>
      <c r="H1">
        <v>0.8</v>
      </c>
      <c r="I1">
        <f>+CORREL(H7:H752,I7:I752)</f>
        <v>0.68291933196685572</v>
      </c>
      <c r="Q1">
        <f>+SUM(Q5:Q754)/60</f>
        <v>52.116780485780758</v>
      </c>
      <c r="R1">
        <f>+SUM(R3:R756)</f>
        <v>23000.000000000025</v>
      </c>
    </row>
    <row r="2" spans="1:18" x14ac:dyDescent="0.25">
      <c r="A2" t="s">
        <v>3</v>
      </c>
      <c r="B2" t="s">
        <v>12</v>
      </c>
      <c r="C2" t="s">
        <v>5</v>
      </c>
      <c r="D2" t="s">
        <v>13</v>
      </c>
      <c r="E2" t="s">
        <v>7</v>
      </c>
      <c r="F2" t="s">
        <v>14</v>
      </c>
      <c r="G2" t="s">
        <v>5</v>
      </c>
      <c r="H2" t="s">
        <v>8</v>
      </c>
      <c r="I2" t="s">
        <v>9</v>
      </c>
      <c r="M2" s="4" t="s">
        <v>0</v>
      </c>
      <c r="N2" s="4" t="s">
        <v>11</v>
      </c>
      <c r="O2" s="4" t="s">
        <v>2</v>
      </c>
    </row>
    <row r="3" spans="1:18" x14ac:dyDescent="0.25">
      <c r="A3">
        <f>+J3</f>
        <v>1953.0833333333301</v>
      </c>
      <c r="B3">
        <f>+K3</f>
        <v>-28</v>
      </c>
      <c r="C3">
        <f>+$B$1*L3+$D$1</f>
        <v>-46.767730142981677</v>
      </c>
      <c r="J3">
        <f>+$M879</f>
        <v>1953.0833333333301</v>
      </c>
      <c r="K3">
        <f>+$N879</f>
        <v>-28</v>
      </c>
      <c r="L3">
        <f>+$O879</f>
        <v>-91.924877650627806</v>
      </c>
      <c r="M3" s="5">
        <v>1880.0833333333301</v>
      </c>
      <c r="N3" s="5">
        <v>-30</v>
      </c>
      <c r="O3" s="5">
        <v>-165.815014565963</v>
      </c>
      <c r="R3">
        <f>+ABS(B3-C3)</f>
        <v>18.767730142981677</v>
      </c>
    </row>
    <row r="4" spans="1:18" x14ac:dyDescent="0.25">
      <c r="A4">
        <f t="shared" ref="A4:C67" si="0">+J4</f>
        <v>1953.1666666666599</v>
      </c>
      <c r="B4">
        <f t="shared" si="0"/>
        <v>-28</v>
      </c>
      <c r="C4">
        <f t="shared" ref="C4:C67" si="1">+$B$1*L4+$D$1</f>
        <v>-48.766606239992129</v>
      </c>
      <c r="D4">
        <f>+B4-1/2*(B3+B5)</f>
        <v>26</v>
      </c>
      <c r="E4">
        <f>+C4-1/2*(C3+C5)</f>
        <v>9.0604671186009114</v>
      </c>
      <c r="J4">
        <f t="shared" ref="J4:J67" si="2">+$M880</f>
        <v>1953.1666666666599</v>
      </c>
      <c r="K4">
        <f t="shared" ref="K4:K67" si="3">+$N880</f>
        <v>-28</v>
      </c>
      <c r="L4">
        <f t="shared" ref="L4:L67" si="4">+$O880</f>
        <v>-94.323456638969304</v>
      </c>
      <c r="M4" s="5">
        <v>1880.1666666666599</v>
      </c>
      <c r="N4" s="5">
        <v>-30</v>
      </c>
      <c r="O4" s="5">
        <v>-160.50381051094601</v>
      </c>
      <c r="R4">
        <f t="shared" ref="R4:R67" si="5">+ABS(B4-C4)</f>
        <v>20.766606239992129</v>
      </c>
    </row>
    <row r="5" spans="1:18" x14ac:dyDescent="0.25">
      <c r="A5">
        <f t="shared" si="0"/>
        <v>1953.25</v>
      </c>
      <c r="B5">
        <f t="shared" si="0"/>
        <v>-80</v>
      </c>
      <c r="C5">
        <f t="shared" si="1"/>
        <v>-68.886416574204404</v>
      </c>
      <c r="D5">
        <f t="shared" ref="D5:E68" si="6">+B5-1/2*(B4+B6)</f>
        <v>-13.5</v>
      </c>
      <c r="E5">
        <f t="shared" si="6"/>
        <v>2.8389101887717203</v>
      </c>
      <c r="F5">
        <f>+AVERAGE(D4:D6)</f>
        <v>3.3333333333333335</v>
      </c>
      <c r="G5">
        <f>+$H$1*AVERAGE(E4:E6)+$F$1</f>
        <v>2.6442912408355674</v>
      </c>
      <c r="J5">
        <f t="shared" si="2"/>
        <v>1953.25</v>
      </c>
      <c r="K5">
        <f t="shared" si="3"/>
        <v>-80</v>
      </c>
      <c r="L5">
        <f t="shared" si="4"/>
        <v>-118.46650101737499</v>
      </c>
      <c r="M5" s="5">
        <v>1880.25</v>
      </c>
      <c r="N5" s="5">
        <v>-30</v>
      </c>
      <c r="O5" s="5">
        <v>-164.18895085187901</v>
      </c>
      <c r="Q5">
        <f>+ABS(F5-G5)</f>
        <v>0.68904209249776605</v>
      </c>
      <c r="R5">
        <f t="shared" si="5"/>
        <v>11.113583425795596</v>
      </c>
    </row>
    <row r="6" spans="1:18" x14ac:dyDescent="0.25">
      <c r="A6">
        <f t="shared" si="0"/>
        <v>1953.3333333333301</v>
      </c>
      <c r="B6">
        <f t="shared" si="0"/>
        <v>-105</v>
      </c>
      <c r="C6">
        <f t="shared" si="1"/>
        <v>-94.684047285960119</v>
      </c>
      <c r="D6">
        <f t="shared" si="6"/>
        <v>-2.5</v>
      </c>
      <c r="E6">
        <f t="shared" si="6"/>
        <v>-1.9832851542392547</v>
      </c>
      <c r="F6">
        <f t="shared" ref="F6:F69" si="7">+AVERAGE(D5:D7)</f>
        <v>-6.166666666666667</v>
      </c>
      <c r="G6">
        <f t="shared" ref="G6:G69" si="8">+$H$1*AVERAGE(E5:E7)+$F$1</f>
        <v>-1.3786077703812984</v>
      </c>
      <c r="J6">
        <f t="shared" si="2"/>
        <v>1953.3333333333301</v>
      </c>
      <c r="K6">
        <f t="shared" si="3"/>
        <v>-105</v>
      </c>
      <c r="L6">
        <f t="shared" si="4"/>
        <v>-149.42272440048299</v>
      </c>
      <c r="M6" s="5">
        <v>1880.3333333333301</v>
      </c>
      <c r="N6" s="5">
        <v>-30</v>
      </c>
      <c r="O6" s="5">
        <v>-169.07236866711099</v>
      </c>
      <c r="Q6">
        <f t="shared" ref="Q6:Q69" si="9">+ABS(F6-G6)</f>
        <v>4.788058896285369</v>
      </c>
      <c r="R6">
        <f t="shared" si="5"/>
        <v>10.315952714039881</v>
      </c>
    </row>
    <row r="7" spans="1:18" x14ac:dyDescent="0.25">
      <c r="A7">
        <f t="shared" si="0"/>
        <v>1953.4166666666599</v>
      </c>
      <c r="B7">
        <f t="shared" si="0"/>
        <v>-125</v>
      </c>
      <c r="C7">
        <f t="shared" si="1"/>
        <v>-116.51510768923734</v>
      </c>
      <c r="D7">
        <f t="shared" si="6"/>
        <v>-2.5</v>
      </c>
      <c r="E7">
        <f t="shared" si="6"/>
        <v>-6.0254041734623343</v>
      </c>
      <c r="F7">
        <f t="shared" si="7"/>
        <v>-4.166666666666667</v>
      </c>
      <c r="G7">
        <f t="shared" si="8"/>
        <v>-3.7693099376244734</v>
      </c>
      <c r="H7">
        <f>+AVERAGE(F5:F9)</f>
        <v>-3.8999999999999995</v>
      </c>
      <c r="I7">
        <f>+AVERAGE(G5:G9)</f>
        <v>-1.765491998593653</v>
      </c>
      <c r="J7">
        <f t="shared" si="2"/>
        <v>1953.4166666666599</v>
      </c>
      <c r="K7">
        <f t="shared" si="3"/>
        <v>-125</v>
      </c>
      <c r="L7">
        <f t="shared" si="4"/>
        <v>-175.61920694126201</v>
      </c>
      <c r="M7" s="5">
        <v>1880.4166666666599</v>
      </c>
      <c r="N7" s="5">
        <v>-30</v>
      </c>
      <c r="O7" s="5">
        <v>-170.549412492209</v>
      </c>
      <c r="Q7">
        <f t="shared" si="9"/>
        <v>0.39735672904219355</v>
      </c>
      <c r="R7">
        <f t="shared" si="5"/>
        <v>8.4848923107626604</v>
      </c>
    </row>
    <row r="8" spans="1:18" x14ac:dyDescent="0.25">
      <c r="A8">
        <f t="shared" si="0"/>
        <v>1953.5</v>
      </c>
      <c r="B8">
        <f t="shared" si="0"/>
        <v>-140</v>
      </c>
      <c r="C8">
        <f t="shared" si="1"/>
        <v>-126.29535974558988</v>
      </c>
      <c r="D8">
        <f t="shared" si="6"/>
        <v>-7.5</v>
      </c>
      <c r="E8">
        <f t="shared" si="6"/>
        <v>-6.1262229383901854</v>
      </c>
      <c r="F8">
        <f t="shared" si="7"/>
        <v>-9.1666666666666661</v>
      </c>
      <c r="G8">
        <f t="shared" si="8"/>
        <v>-3.9553934672630024</v>
      </c>
      <c r="H8">
        <f t="shared" ref="H8:I23" si="10">+AVERAGE(F6:F10)</f>
        <v>-4.5666666666666664</v>
      </c>
      <c r="I8">
        <f t="shared" si="10"/>
        <v>-2.4644452699483907</v>
      </c>
      <c r="J8">
        <f t="shared" si="2"/>
        <v>1953.5</v>
      </c>
      <c r="K8">
        <f t="shared" si="3"/>
        <v>-140</v>
      </c>
      <c r="L8">
        <f t="shared" si="4"/>
        <v>-187.35515551663201</v>
      </c>
      <c r="M8" s="5">
        <v>1880.5</v>
      </c>
      <c r="N8" s="5">
        <v>-30</v>
      </c>
      <c r="O8" s="5">
        <v>-159.86534570902501</v>
      </c>
      <c r="Q8">
        <f t="shared" si="9"/>
        <v>5.2112731994036636</v>
      </c>
      <c r="R8">
        <f t="shared" si="5"/>
        <v>13.704640254410123</v>
      </c>
    </row>
    <row r="9" spans="1:18" x14ac:dyDescent="0.25">
      <c r="A9">
        <f t="shared" si="0"/>
        <v>1953.5833333333301</v>
      </c>
      <c r="B9">
        <f t="shared" si="0"/>
        <v>-140</v>
      </c>
      <c r="C9">
        <f t="shared" si="1"/>
        <v>-123.82316592516204</v>
      </c>
      <c r="D9">
        <f t="shared" si="6"/>
        <v>-17.5</v>
      </c>
      <c r="E9">
        <f t="shared" si="6"/>
        <v>-2.6810983903837382</v>
      </c>
      <c r="F9">
        <f t="shared" si="7"/>
        <v>-3.3333333333333335</v>
      </c>
      <c r="G9">
        <f t="shared" si="8"/>
        <v>-2.3684400585350587</v>
      </c>
      <c r="H9">
        <f t="shared" si="10"/>
        <v>-0.66666666666666607</v>
      </c>
      <c r="I9">
        <f t="shared" si="10"/>
        <v>-2.2816177717519359</v>
      </c>
      <c r="J9">
        <f t="shared" si="2"/>
        <v>1953.5833333333301</v>
      </c>
      <c r="K9">
        <f t="shared" si="3"/>
        <v>-140</v>
      </c>
      <c r="L9">
        <f t="shared" si="4"/>
        <v>-184.38861238689299</v>
      </c>
      <c r="M9" s="5">
        <v>1880.5833333333301</v>
      </c>
      <c r="N9" s="5">
        <v>-30</v>
      </c>
      <c r="O9" s="5">
        <v>-130.44681316682099</v>
      </c>
      <c r="Q9">
        <f t="shared" si="9"/>
        <v>0.9648932747982748</v>
      </c>
      <c r="R9">
        <f t="shared" si="5"/>
        <v>16.176834074837956</v>
      </c>
    </row>
    <row r="10" spans="1:18" x14ac:dyDescent="0.25">
      <c r="A10">
        <f t="shared" si="0"/>
        <v>1953.6666666666599</v>
      </c>
      <c r="B10">
        <f t="shared" si="0"/>
        <v>-105</v>
      </c>
      <c r="C10">
        <f t="shared" si="1"/>
        <v>-115.98877532396673</v>
      </c>
      <c r="D10">
        <f t="shared" si="6"/>
        <v>15</v>
      </c>
      <c r="E10">
        <f t="shared" si="6"/>
        <v>-7.4328890732545005E-2</v>
      </c>
      <c r="F10">
        <f t="shared" si="7"/>
        <v>0</v>
      </c>
      <c r="G10">
        <f t="shared" si="8"/>
        <v>-0.85047511593811953</v>
      </c>
      <c r="H10">
        <f t="shared" si="10"/>
        <v>0.33333333333333348</v>
      </c>
      <c r="I10">
        <f t="shared" si="10"/>
        <v>-1.7049739543925946</v>
      </c>
      <c r="J10">
        <f t="shared" si="2"/>
        <v>1953.6666666666599</v>
      </c>
      <c r="K10">
        <f t="shared" si="3"/>
        <v>-105</v>
      </c>
      <c r="L10">
        <f t="shared" si="4"/>
        <v>-174.98762714794199</v>
      </c>
      <c r="M10" s="5">
        <v>1880.6666666666599</v>
      </c>
      <c r="N10" s="5">
        <v>-30</v>
      </c>
      <c r="O10" s="5">
        <v>-94.557308198751898</v>
      </c>
      <c r="Q10">
        <f t="shared" si="9"/>
        <v>0.85047511593811953</v>
      </c>
      <c r="R10">
        <f t="shared" si="5"/>
        <v>10.988775323966735</v>
      </c>
    </row>
    <row r="11" spans="1:18" x14ac:dyDescent="0.25">
      <c r="A11">
        <f t="shared" si="0"/>
        <v>1953.75</v>
      </c>
      <c r="B11">
        <f t="shared" si="0"/>
        <v>-100</v>
      </c>
      <c r="C11">
        <f t="shared" si="1"/>
        <v>-108.00572694130634</v>
      </c>
      <c r="D11">
        <f t="shared" si="6"/>
        <v>2.5</v>
      </c>
      <c r="E11">
        <f t="shared" si="6"/>
        <v>-0.43385440365166517</v>
      </c>
      <c r="F11">
        <f t="shared" si="7"/>
        <v>13.333333333333334</v>
      </c>
      <c r="G11">
        <f t="shared" si="8"/>
        <v>-0.4644702793990253</v>
      </c>
      <c r="H11">
        <f t="shared" si="10"/>
        <v>0</v>
      </c>
      <c r="I11">
        <f t="shared" si="10"/>
        <v>-0.89564950950650812</v>
      </c>
      <c r="J11">
        <f t="shared" si="2"/>
        <v>1953.75</v>
      </c>
      <c r="K11">
        <f t="shared" si="3"/>
        <v>-100</v>
      </c>
      <c r="L11">
        <f t="shared" si="4"/>
        <v>-165.408257950321</v>
      </c>
      <c r="M11" s="5">
        <v>1880.75</v>
      </c>
      <c r="N11" s="5">
        <v>-30</v>
      </c>
      <c r="O11" s="5">
        <v>-74.645883385435496</v>
      </c>
      <c r="Q11">
        <f t="shared" si="9"/>
        <v>13.797803612732359</v>
      </c>
      <c r="R11">
        <f t="shared" si="5"/>
        <v>8.0057269413063352</v>
      </c>
    </row>
    <row r="12" spans="1:18" x14ac:dyDescent="0.25">
      <c r="A12">
        <f t="shared" si="0"/>
        <v>1953.8333333333301</v>
      </c>
      <c r="B12">
        <f t="shared" si="0"/>
        <v>-100</v>
      </c>
      <c r="C12">
        <f t="shared" si="1"/>
        <v>-99.154969751342605</v>
      </c>
      <c r="D12">
        <f t="shared" si="6"/>
        <v>22.5</v>
      </c>
      <c r="E12">
        <f t="shared" si="6"/>
        <v>-1.2335802533621347</v>
      </c>
      <c r="F12">
        <f t="shared" si="7"/>
        <v>0.83333333333333337</v>
      </c>
      <c r="G12">
        <f t="shared" si="8"/>
        <v>-0.88609085082776662</v>
      </c>
      <c r="H12">
        <f t="shared" si="10"/>
        <v>-1</v>
      </c>
      <c r="I12">
        <f t="shared" si="10"/>
        <v>2.4736674660211212E-2</v>
      </c>
      <c r="J12">
        <f t="shared" si="2"/>
        <v>1953.8333333333301</v>
      </c>
      <c r="K12">
        <f t="shared" si="3"/>
        <v>-100</v>
      </c>
      <c r="L12">
        <f t="shared" si="4"/>
        <v>-154.787669581432</v>
      </c>
      <c r="M12" s="5">
        <v>1880.8333333333301</v>
      </c>
      <c r="N12" s="5">
        <v>-30</v>
      </c>
      <c r="O12" s="5">
        <v>-71.8944282166905</v>
      </c>
      <c r="Q12">
        <f t="shared" si="9"/>
        <v>1.7194241841611</v>
      </c>
      <c r="R12">
        <f t="shared" si="5"/>
        <v>0.84503024865739462</v>
      </c>
    </row>
    <row r="13" spans="1:18" x14ac:dyDescent="0.25">
      <c r="A13">
        <f t="shared" si="0"/>
        <v>1953.9166666666599</v>
      </c>
      <c r="B13">
        <f t="shared" si="0"/>
        <v>-145</v>
      </c>
      <c r="C13">
        <f t="shared" si="1"/>
        <v>-87.83705205465462</v>
      </c>
      <c r="D13">
        <f t="shared" si="6"/>
        <v>-22.5</v>
      </c>
      <c r="E13">
        <f t="shared" si="6"/>
        <v>-1.6554060335903245</v>
      </c>
      <c r="F13">
        <f t="shared" si="7"/>
        <v>-10.833333333333334</v>
      </c>
      <c r="G13">
        <f t="shared" si="8"/>
        <v>9.1228757167429342E-2</v>
      </c>
      <c r="H13">
        <f t="shared" si="10"/>
        <v>-1</v>
      </c>
      <c r="I13">
        <f t="shared" si="10"/>
        <v>0.6524856669459026</v>
      </c>
      <c r="J13">
        <f t="shared" si="2"/>
        <v>1953.9166666666599</v>
      </c>
      <c r="K13">
        <f t="shared" si="3"/>
        <v>-145</v>
      </c>
      <c r="L13">
        <f t="shared" si="4"/>
        <v>-141.20657787712099</v>
      </c>
      <c r="M13" s="5">
        <v>1880.9166666666599</v>
      </c>
      <c r="N13" s="5">
        <v>-30</v>
      </c>
      <c r="O13" s="5">
        <v>-71.280569051452801</v>
      </c>
      <c r="Q13">
        <f t="shared" si="9"/>
        <v>10.924562090500764</v>
      </c>
      <c r="R13">
        <f t="shared" si="5"/>
        <v>57.16294794534538</v>
      </c>
    </row>
    <row r="14" spans="1:18" x14ac:dyDescent="0.25">
      <c r="A14">
        <f t="shared" si="0"/>
        <v>1954</v>
      </c>
      <c r="B14">
        <f t="shared" si="0"/>
        <v>-145</v>
      </c>
      <c r="C14">
        <f t="shared" si="1"/>
        <v>-73.208322290785972</v>
      </c>
      <c r="D14">
        <f t="shared" si="6"/>
        <v>-32.5</v>
      </c>
      <c r="E14">
        <f t="shared" si="6"/>
        <v>3.2310941263303192</v>
      </c>
      <c r="F14">
        <f t="shared" si="7"/>
        <v>-8.3333333333333339</v>
      </c>
      <c r="G14">
        <f t="shared" si="8"/>
        <v>2.2334908622985381</v>
      </c>
      <c r="H14">
        <f t="shared" si="10"/>
        <v>-1.1666666666666672</v>
      </c>
      <c r="I14">
        <f t="shared" si="10"/>
        <v>0.81153108847936062</v>
      </c>
      <c r="J14">
        <f t="shared" si="2"/>
        <v>1954</v>
      </c>
      <c r="K14">
        <f t="shared" si="3"/>
        <v>-145</v>
      </c>
      <c r="L14">
        <f t="shared" si="4"/>
        <v>-123.65263149184</v>
      </c>
      <c r="M14" s="5">
        <v>1881</v>
      </c>
      <c r="N14" s="5">
        <v>-30</v>
      </c>
      <c r="O14" s="5">
        <v>-54.9948475222158</v>
      </c>
      <c r="Q14">
        <f t="shared" si="9"/>
        <v>10.566824195631872</v>
      </c>
      <c r="R14">
        <f t="shared" si="5"/>
        <v>71.791677709214028</v>
      </c>
    </row>
    <row r="15" spans="1:18" x14ac:dyDescent="0.25">
      <c r="A15">
        <f t="shared" si="0"/>
        <v>1954.0833333333301</v>
      </c>
      <c r="B15">
        <f t="shared" si="0"/>
        <v>-80</v>
      </c>
      <c r="C15">
        <f t="shared" si="1"/>
        <v>-65.041780779577962</v>
      </c>
      <c r="D15">
        <f t="shared" si="6"/>
        <v>30</v>
      </c>
      <c r="E15">
        <f t="shared" si="6"/>
        <v>6.7999026408795231</v>
      </c>
      <c r="F15">
        <f t="shared" si="7"/>
        <v>0</v>
      </c>
      <c r="G15">
        <f t="shared" si="8"/>
        <v>2.2882698454903374</v>
      </c>
      <c r="H15">
        <f t="shared" si="10"/>
        <v>-1.166666666666667</v>
      </c>
      <c r="I15">
        <f t="shared" si="10"/>
        <v>0.70367069112582237</v>
      </c>
      <c r="J15">
        <f t="shared" si="2"/>
        <v>1954.0833333333301</v>
      </c>
      <c r="K15">
        <f t="shared" si="3"/>
        <v>-80</v>
      </c>
      <c r="L15">
        <f t="shared" si="4"/>
        <v>-113.853077179545</v>
      </c>
      <c r="M15" s="5">
        <v>1881.0833333333301</v>
      </c>
      <c r="N15" s="5">
        <v>-30</v>
      </c>
      <c r="O15" s="5">
        <v>-27.958879803143901</v>
      </c>
      <c r="Q15">
        <f t="shared" si="9"/>
        <v>2.2882698454903374</v>
      </c>
      <c r="R15">
        <f t="shared" si="5"/>
        <v>14.958219220422038</v>
      </c>
    </row>
    <row r="16" spans="1:18" x14ac:dyDescent="0.25">
      <c r="A16">
        <f t="shared" si="0"/>
        <v>1954.1666666666599</v>
      </c>
      <c r="B16">
        <f t="shared" si="0"/>
        <v>-75</v>
      </c>
      <c r="C16">
        <f t="shared" si="1"/>
        <v>-70.475044550128985</v>
      </c>
      <c r="D16">
        <f t="shared" si="6"/>
        <v>2.5</v>
      </c>
      <c r="E16">
        <f t="shared" si="6"/>
        <v>-1.4499848466210778</v>
      </c>
      <c r="F16">
        <f t="shared" si="7"/>
        <v>12.5</v>
      </c>
      <c r="G16">
        <f t="shared" si="8"/>
        <v>0.33075682826826475</v>
      </c>
      <c r="H16">
        <f t="shared" si="10"/>
        <v>0.99999999999999978</v>
      </c>
      <c r="I16">
        <f t="shared" si="10"/>
        <v>0.41125094586471339</v>
      </c>
      <c r="J16">
        <f t="shared" si="2"/>
        <v>1954.1666666666599</v>
      </c>
      <c r="K16">
        <f t="shared" si="3"/>
        <v>-75</v>
      </c>
      <c r="L16">
        <f t="shared" si="4"/>
        <v>-120.37279710498299</v>
      </c>
      <c r="M16" s="5">
        <v>1881.1666666666599</v>
      </c>
      <c r="N16" s="5">
        <v>-30</v>
      </c>
      <c r="O16" s="5">
        <v>-4.2578786373566997</v>
      </c>
      <c r="Q16">
        <f t="shared" si="9"/>
        <v>12.169243171731734</v>
      </c>
      <c r="R16">
        <f t="shared" si="5"/>
        <v>4.5249554498710154</v>
      </c>
    </row>
    <row r="17" spans="1:18" x14ac:dyDescent="0.25">
      <c r="A17">
        <f t="shared" si="0"/>
        <v>1954.25</v>
      </c>
      <c r="B17">
        <f t="shared" si="0"/>
        <v>-75</v>
      </c>
      <c r="C17">
        <f t="shared" si="1"/>
        <v>-73.008338627437851</v>
      </c>
      <c r="D17">
        <f t="shared" si="6"/>
        <v>5</v>
      </c>
      <c r="E17">
        <f t="shared" si="6"/>
        <v>-4.1095796882524525</v>
      </c>
      <c r="F17">
        <f t="shared" si="7"/>
        <v>0.83333333333333337</v>
      </c>
      <c r="G17">
        <f t="shared" si="8"/>
        <v>-1.4253928375954579</v>
      </c>
      <c r="H17">
        <f t="shared" si="10"/>
        <v>1.8333333333333335</v>
      </c>
      <c r="I17">
        <f t="shared" si="10"/>
        <v>-0.23457387163724133</v>
      </c>
      <c r="J17">
        <f t="shared" si="2"/>
        <v>1954.25</v>
      </c>
      <c r="K17">
        <f t="shared" si="3"/>
        <v>-75</v>
      </c>
      <c r="L17">
        <f t="shared" si="4"/>
        <v>-123.412658332105</v>
      </c>
      <c r="M17" s="5">
        <v>1881.25</v>
      </c>
      <c r="N17" s="5">
        <v>-30</v>
      </c>
      <c r="O17" s="5">
        <v>25.680157609136099</v>
      </c>
      <c r="Q17">
        <f t="shared" si="9"/>
        <v>2.2587261709287914</v>
      </c>
      <c r="R17">
        <f t="shared" si="5"/>
        <v>1.9916613725621488</v>
      </c>
    </row>
    <row r="18" spans="1:18" x14ac:dyDescent="0.25">
      <c r="A18">
        <f t="shared" si="0"/>
        <v>1954.3333333333301</v>
      </c>
      <c r="B18">
        <f t="shared" si="0"/>
        <v>-85</v>
      </c>
      <c r="C18">
        <f t="shared" si="1"/>
        <v>-67.322473328241813</v>
      </c>
      <c r="D18">
        <f t="shared" si="6"/>
        <v>-5</v>
      </c>
      <c r="E18">
        <f t="shared" si="6"/>
        <v>0.21434139389056384</v>
      </c>
      <c r="F18">
        <f t="shared" si="7"/>
        <v>0</v>
      </c>
      <c r="G18">
        <f t="shared" si="8"/>
        <v>-1.3708699691381148</v>
      </c>
      <c r="H18">
        <f t="shared" si="10"/>
        <v>1.3333333333333335</v>
      </c>
      <c r="I18">
        <f t="shared" si="10"/>
        <v>-0.86098895726124824</v>
      </c>
      <c r="J18">
        <f t="shared" si="2"/>
        <v>1954.3333333333301</v>
      </c>
      <c r="K18">
        <f t="shared" si="3"/>
        <v>-85</v>
      </c>
      <c r="L18">
        <f t="shared" si="4"/>
        <v>-116.58982571252</v>
      </c>
      <c r="M18" s="5">
        <v>1881.3333333333301</v>
      </c>
      <c r="N18" s="5">
        <v>-30</v>
      </c>
      <c r="O18" s="5">
        <v>36.043661207618797</v>
      </c>
      <c r="Q18">
        <f t="shared" si="9"/>
        <v>1.3708699691381148</v>
      </c>
      <c r="R18">
        <f t="shared" si="5"/>
        <v>17.677526671758187</v>
      </c>
    </row>
    <row r="19" spans="1:18" x14ac:dyDescent="0.25">
      <c r="A19">
        <f t="shared" si="0"/>
        <v>1954.4166666666599</v>
      </c>
      <c r="B19">
        <f t="shared" si="0"/>
        <v>-85</v>
      </c>
      <c r="C19">
        <f t="shared" si="1"/>
        <v>-62.065290816826902</v>
      </c>
      <c r="D19">
        <f t="shared" si="6"/>
        <v>0</v>
      </c>
      <c r="E19">
        <f t="shared" si="6"/>
        <v>-1.2455240899060414</v>
      </c>
      <c r="F19">
        <f t="shared" si="7"/>
        <v>-4.166666666666667</v>
      </c>
      <c r="G19">
        <f t="shared" si="8"/>
        <v>-0.99563322521123609</v>
      </c>
      <c r="H19">
        <f t="shared" si="10"/>
        <v>-2.666666666666667</v>
      </c>
      <c r="I19">
        <f t="shared" si="10"/>
        <v>-0.94098701838860088</v>
      </c>
      <c r="J19">
        <f t="shared" si="2"/>
        <v>1954.4166666666599</v>
      </c>
      <c r="K19">
        <f t="shared" si="3"/>
        <v>-85</v>
      </c>
      <c r="L19">
        <f t="shared" si="4"/>
        <v>-110.281396926656</v>
      </c>
      <c r="M19" s="5">
        <v>1881.4166666666599</v>
      </c>
      <c r="N19" s="5">
        <v>-30</v>
      </c>
      <c r="O19" s="5">
        <v>-1.5987031705782599</v>
      </c>
      <c r="Q19">
        <f t="shared" si="9"/>
        <v>3.1710334414554309</v>
      </c>
      <c r="R19">
        <f t="shared" si="5"/>
        <v>22.934709183173098</v>
      </c>
    </row>
    <row r="20" spans="1:18" x14ac:dyDescent="0.25">
      <c r="A20">
        <f t="shared" si="0"/>
        <v>1954.5</v>
      </c>
      <c r="B20">
        <f t="shared" si="0"/>
        <v>-85</v>
      </c>
      <c r="C20">
        <f t="shared" si="1"/>
        <v>-54.317060125599909</v>
      </c>
      <c r="D20">
        <f t="shared" si="6"/>
        <v>-7.5</v>
      </c>
      <c r="E20">
        <f t="shared" si="6"/>
        <v>-2.7024418985266578</v>
      </c>
      <c r="F20">
        <f t="shared" si="7"/>
        <v>-2.5</v>
      </c>
      <c r="G20">
        <f t="shared" si="8"/>
        <v>-0.84380558262969696</v>
      </c>
      <c r="H20">
        <f t="shared" si="10"/>
        <v>-3.5</v>
      </c>
      <c r="I20">
        <f t="shared" si="10"/>
        <v>-0.33689145160297868</v>
      </c>
      <c r="J20">
        <f t="shared" si="2"/>
        <v>1954.5</v>
      </c>
      <c r="K20">
        <f t="shared" si="3"/>
        <v>-85</v>
      </c>
      <c r="L20">
        <f t="shared" si="4"/>
        <v>-100.983800462025</v>
      </c>
      <c r="M20" s="5">
        <v>1881.5</v>
      </c>
      <c r="N20" s="5">
        <v>-30</v>
      </c>
      <c r="O20" s="5">
        <v>-51.738834020174899</v>
      </c>
      <c r="Q20">
        <f t="shared" si="9"/>
        <v>1.6561944173703029</v>
      </c>
      <c r="R20">
        <f t="shared" si="5"/>
        <v>30.682939874400091</v>
      </c>
    </row>
    <row r="21" spans="1:18" x14ac:dyDescent="0.25">
      <c r="A21">
        <f t="shared" si="0"/>
        <v>1954.5833333333301</v>
      </c>
      <c r="B21">
        <f t="shared" si="0"/>
        <v>-70</v>
      </c>
      <c r="C21">
        <f t="shared" si="1"/>
        <v>-41.1639456373196</v>
      </c>
      <c r="D21">
        <f t="shared" si="6"/>
        <v>0</v>
      </c>
      <c r="E21">
        <f t="shared" si="6"/>
        <v>0.78369505357133562</v>
      </c>
      <c r="F21">
        <f t="shared" si="7"/>
        <v>-7.5</v>
      </c>
      <c r="G21">
        <f t="shared" si="8"/>
        <v>-6.9233477368498109E-2</v>
      </c>
      <c r="H21">
        <f t="shared" si="10"/>
        <v>-3.8333333333333335</v>
      </c>
      <c r="I21">
        <f t="shared" si="10"/>
        <v>0.27813021968769802</v>
      </c>
      <c r="J21">
        <f t="shared" si="2"/>
        <v>1954.5833333333301</v>
      </c>
      <c r="K21">
        <f t="shared" si="3"/>
        <v>-70</v>
      </c>
      <c r="L21">
        <f t="shared" si="4"/>
        <v>-85.200539013241794</v>
      </c>
      <c r="M21" s="5">
        <v>1881.5833333333301</v>
      </c>
      <c r="N21" s="5">
        <v>-30</v>
      </c>
      <c r="O21" s="5">
        <v>-76.428630380223495</v>
      </c>
      <c r="Q21">
        <f t="shared" si="9"/>
        <v>7.4307665226315018</v>
      </c>
      <c r="R21">
        <f t="shared" si="5"/>
        <v>28.8360543626804</v>
      </c>
    </row>
    <row r="22" spans="1:18" x14ac:dyDescent="0.25">
      <c r="A22">
        <f t="shared" si="0"/>
        <v>1954.6666666666599</v>
      </c>
      <c r="B22">
        <f t="shared" si="0"/>
        <v>-55</v>
      </c>
      <c r="C22">
        <f t="shared" si="1"/>
        <v>-29.578221256181958</v>
      </c>
      <c r="D22">
        <f t="shared" si="6"/>
        <v>-15</v>
      </c>
      <c r="E22">
        <f t="shared" si="6"/>
        <v>1.6591213048234543</v>
      </c>
      <c r="F22">
        <f t="shared" si="7"/>
        <v>-3.3333333333333335</v>
      </c>
      <c r="G22">
        <f t="shared" si="8"/>
        <v>1.5950849963326525</v>
      </c>
      <c r="H22">
        <f t="shared" si="10"/>
        <v>-1.5</v>
      </c>
      <c r="I22">
        <f t="shared" si="10"/>
        <v>0.42258975847147784</v>
      </c>
      <c r="J22">
        <f t="shared" si="2"/>
        <v>1954.6666666666599</v>
      </c>
      <c r="K22">
        <f t="shared" si="3"/>
        <v>-55</v>
      </c>
      <c r="L22">
        <f t="shared" si="4"/>
        <v>-71.2980889780072</v>
      </c>
      <c r="M22" s="5">
        <v>1881.6666666666599</v>
      </c>
      <c r="N22" s="5">
        <v>-30</v>
      </c>
      <c r="O22" s="5">
        <v>-91.598388983613205</v>
      </c>
      <c r="Q22">
        <f t="shared" si="9"/>
        <v>4.9284183296659858</v>
      </c>
      <c r="R22">
        <f t="shared" si="5"/>
        <v>25.421778743818042</v>
      </c>
    </row>
    <row r="23" spans="1:18" x14ac:dyDescent="0.25">
      <c r="A23">
        <f t="shared" si="0"/>
        <v>1954.75</v>
      </c>
      <c r="B23">
        <f t="shared" si="0"/>
        <v>-10</v>
      </c>
      <c r="C23">
        <f t="shared" si="1"/>
        <v>-21.310739484691229</v>
      </c>
      <c r="D23">
        <f t="shared" si="6"/>
        <v>5</v>
      </c>
      <c r="E23">
        <f t="shared" si="6"/>
        <v>3.5387523778526564</v>
      </c>
      <c r="F23">
        <f t="shared" si="7"/>
        <v>-1.6666666666666667</v>
      </c>
      <c r="G23">
        <f t="shared" si="8"/>
        <v>1.7042383873152689</v>
      </c>
      <c r="H23">
        <f t="shared" si="10"/>
        <v>1.5</v>
      </c>
      <c r="I23">
        <f t="shared" si="10"/>
        <v>0.25325189962253997</v>
      </c>
      <c r="J23">
        <f t="shared" si="2"/>
        <v>1954.75</v>
      </c>
      <c r="K23">
        <f t="shared" si="3"/>
        <v>-10</v>
      </c>
      <c r="L23">
        <f t="shared" si="4"/>
        <v>-61.377410005832601</v>
      </c>
      <c r="M23" s="5">
        <v>1881.75</v>
      </c>
      <c r="N23" s="5">
        <v>-30</v>
      </c>
      <c r="O23" s="5">
        <v>-109.67949675477399</v>
      </c>
      <c r="Q23">
        <f t="shared" si="9"/>
        <v>3.3709050539819359</v>
      </c>
      <c r="R23">
        <f t="shared" si="5"/>
        <v>11.310739484691229</v>
      </c>
    </row>
    <row r="24" spans="1:18" x14ac:dyDescent="0.25">
      <c r="A24">
        <f t="shared" si="0"/>
        <v>1954.8333333333301</v>
      </c>
      <c r="B24">
        <f t="shared" si="0"/>
        <v>25</v>
      </c>
      <c r="C24">
        <f t="shared" si="1"/>
        <v>-20.120762468905813</v>
      </c>
      <c r="D24">
        <f t="shared" si="6"/>
        <v>5</v>
      </c>
      <c r="E24">
        <f t="shared" si="6"/>
        <v>1.1930202697561469</v>
      </c>
      <c r="F24">
        <f t="shared" si="7"/>
        <v>7.5</v>
      </c>
      <c r="G24">
        <f t="shared" si="8"/>
        <v>-0.27333553129233701</v>
      </c>
      <c r="H24">
        <f t="shared" ref="H24:I39" si="11">+AVERAGE(F22:F26)</f>
        <v>5.833333333333333</v>
      </c>
      <c r="I24">
        <f t="shared" si="11"/>
        <v>7.4023976505531493E-3</v>
      </c>
      <c r="J24">
        <f t="shared" si="2"/>
        <v>1954.8333333333301</v>
      </c>
      <c r="K24">
        <f t="shared" si="3"/>
        <v>25</v>
      </c>
      <c r="L24">
        <f t="shared" si="4"/>
        <v>-59.949480645458003</v>
      </c>
      <c r="M24" s="5">
        <v>1881.8333333333301</v>
      </c>
      <c r="N24" s="5">
        <v>-30</v>
      </c>
      <c r="O24" s="5">
        <v>-135.325918504735</v>
      </c>
      <c r="Q24">
        <f t="shared" si="9"/>
        <v>7.7733355312923367</v>
      </c>
      <c r="R24">
        <f t="shared" si="5"/>
        <v>45.120762468905809</v>
      </c>
    </row>
    <row r="25" spans="1:18" x14ac:dyDescent="0.25">
      <c r="A25">
        <f t="shared" si="0"/>
        <v>1954.9166666666599</v>
      </c>
      <c r="B25">
        <f t="shared" si="0"/>
        <v>50</v>
      </c>
      <c r="C25">
        <f t="shared" si="1"/>
        <v>-21.31682599263269</v>
      </c>
      <c r="D25">
        <f t="shared" si="6"/>
        <v>12.5</v>
      </c>
      <c r="E25">
        <f t="shared" si="6"/>
        <v>-5.756780889955067</v>
      </c>
      <c r="F25">
        <f t="shared" si="7"/>
        <v>12.5</v>
      </c>
      <c r="G25">
        <f t="shared" si="8"/>
        <v>-1.6904948768743866</v>
      </c>
      <c r="H25">
        <f t="shared" si="11"/>
        <v>7.5</v>
      </c>
      <c r="I25">
        <f t="shared" si="11"/>
        <v>-0.23544270210430468</v>
      </c>
      <c r="J25">
        <f t="shared" si="2"/>
        <v>1954.9166666666599</v>
      </c>
      <c r="K25">
        <f t="shared" si="3"/>
        <v>50</v>
      </c>
      <c r="L25">
        <f t="shared" si="4"/>
        <v>-61.384713595125902</v>
      </c>
      <c r="M25" s="5">
        <v>1881.9166666666599</v>
      </c>
      <c r="N25" s="5">
        <v>-30</v>
      </c>
      <c r="O25" s="5">
        <v>-155.62387655278101</v>
      </c>
      <c r="Q25">
        <f t="shared" si="9"/>
        <v>14.190494876874386</v>
      </c>
      <c r="R25">
        <f t="shared" si="5"/>
        <v>71.316825992632687</v>
      </c>
    </row>
    <row r="26" spans="1:18" x14ac:dyDescent="0.25">
      <c r="A26">
        <f t="shared" si="0"/>
        <v>1955</v>
      </c>
      <c r="B26">
        <f t="shared" si="0"/>
        <v>50</v>
      </c>
      <c r="C26">
        <f t="shared" si="1"/>
        <v>-10.999327736449434</v>
      </c>
      <c r="D26">
        <f t="shared" si="6"/>
        <v>20</v>
      </c>
      <c r="E26">
        <f t="shared" si="6"/>
        <v>-1.775595168080029</v>
      </c>
      <c r="F26">
        <f t="shared" si="7"/>
        <v>14.166666666666666</v>
      </c>
      <c r="G26">
        <f t="shared" si="8"/>
        <v>-1.2984809872284322</v>
      </c>
      <c r="H26">
        <f t="shared" si="11"/>
        <v>6.5</v>
      </c>
      <c r="I26">
        <f t="shared" si="11"/>
        <v>0.2288136211972974</v>
      </c>
      <c r="J26">
        <f t="shared" si="2"/>
        <v>1955</v>
      </c>
      <c r="K26">
        <f t="shared" si="3"/>
        <v>50</v>
      </c>
      <c r="L26">
        <f t="shared" si="4"/>
        <v>-49.004089019874002</v>
      </c>
      <c r="M26" s="5">
        <v>1882</v>
      </c>
      <c r="N26" s="5">
        <v>-30</v>
      </c>
      <c r="O26" s="5">
        <v>-161.311963941616</v>
      </c>
      <c r="Q26">
        <f t="shared" si="9"/>
        <v>15.465147653895098</v>
      </c>
      <c r="R26">
        <f t="shared" si="5"/>
        <v>60.99932773644943</v>
      </c>
    </row>
    <row r="27" spans="1:18" x14ac:dyDescent="0.25">
      <c r="A27">
        <f t="shared" si="0"/>
        <v>1955.0833333333301</v>
      </c>
      <c r="B27">
        <f t="shared" si="0"/>
        <v>10</v>
      </c>
      <c r="C27">
        <f t="shared" si="1"/>
        <v>2.8693608558938806</v>
      </c>
      <c r="D27">
        <f t="shared" si="6"/>
        <v>10</v>
      </c>
      <c r="E27">
        <f t="shared" si="6"/>
        <v>2.6630723559284757</v>
      </c>
      <c r="F27">
        <f t="shared" si="7"/>
        <v>5</v>
      </c>
      <c r="G27">
        <f t="shared" si="8"/>
        <v>0.38085949755836362</v>
      </c>
      <c r="H27">
        <f t="shared" si="11"/>
        <v>2.9999999999999991</v>
      </c>
      <c r="I27">
        <f t="shared" si="11"/>
        <v>1.4056321845852815</v>
      </c>
      <c r="J27">
        <f t="shared" si="2"/>
        <v>1955.0833333333301</v>
      </c>
      <c r="K27">
        <f t="shared" si="3"/>
        <v>10</v>
      </c>
      <c r="L27">
        <f t="shared" si="4"/>
        <v>-32.362164538812898</v>
      </c>
      <c r="M27" s="5">
        <v>1882.0833333333301</v>
      </c>
      <c r="N27" s="5">
        <v>-30</v>
      </c>
      <c r="O27" s="5">
        <v>-159.36692589432201</v>
      </c>
      <c r="Q27">
        <f t="shared" si="9"/>
        <v>4.6191405024416365</v>
      </c>
      <c r="R27">
        <f t="shared" si="5"/>
        <v>7.1306391441061194</v>
      </c>
    </row>
    <row r="28" spans="1:18" x14ac:dyDescent="0.25">
      <c r="A28">
        <f t="shared" si="0"/>
        <v>1955.1666666666599</v>
      </c>
      <c r="B28">
        <f t="shared" si="0"/>
        <v>-50</v>
      </c>
      <c r="C28">
        <f t="shared" si="1"/>
        <v>11.411904736380244</v>
      </c>
      <c r="D28">
        <f t="shared" si="6"/>
        <v>-15</v>
      </c>
      <c r="E28">
        <f t="shared" si="6"/>
        <v>0.54074592799541676</v>
      </c>
      <c r="F28">
        <f t="shared" si="7"/>
        <v>-6.666666666666667</v>
      </c>
      <c r="G28">
        <f t="shared" si="8"/>
        <v>4.0255200038232797</v>
      </c>
      <c r="H28">
        <f t="shared" si="11"/>
        <v>-0.6666666666666673</v>
      </c>
      <c r="I28">
        <f t="shared" si="11"/>
        <v>2.4370082518582201</v>
      </c>
      <c r="J28">
        <f t="shared" si="2"/>
        <v>1955.1666666666599</v>
      </c>
      <c r="K28">
        <f t="shared" si="3"/>
        <v>-50</v>
      </c>
      <c r="L28">
        <f t="shared" si="4"/>
        <v>-22.111420988792499</v>
      </c>
      <c r="M28" s="5">
        <v>1882.1666666666599</v>
      </c>
      <c r="N28" s="5">
        <v>-30</v>
      </c>
      <c r="O28" s="5">
        <v>-157.61419014283101</v>
      </c>
      <c r="Q28">
        <f t="shared" si="9"/>
        <v>10.692186670489946</v>
      </c>
      <c r="R28">
        <f t="shared" si="5"/>
        <v>61.411904736380244</v>
      </c>
    </row>
    <row r="29" spans="1:18" x14ac:dyDescent="0.25">
      <c r="A29">
        <f t="shared" si="0"/>
        <v>1955.25</v>
      </c>
      <c r="B29">
        <f t="shared" si="0"/>
        <v>-80</v>
      </c>
      <c r="C29">
        <f t="shared" si="1"/>
        <v>18.872956760875773</v>
      </c>
      <c r="D29">
        <f t="shared" si="6"/>
        <v>-15</v>
      </c>
      <c r="E29">
        <f t="shared" si="6"/>
        <v>11.891881730413404</v>
      </c>
      <c r="F29">
        <f t="shared" si="7"/>
        <v>-10</v>
      </c>
      <c r="G29">
        <f t="shared" si="8"/>
        <v>5.6107572856475834</v>
      </c>
      <c r="H29">
        <f t="shared" si="11"/>
        <v>-3.7333333333333334</v>
      </c>
      <c r="I29">
        <f t="shared" si="11"/>
        <v>2.4190632249148862</v>
      </c>
      <c r="J29">
        <f t="shared" si="2"/>
        <v>1955.25</v>
      </c>
      <c r="K29">
        <f t="shared" si="3"/>
        <v>-80</v>
      </c>
      <c r="L29">
        <f t="shared" si="4"/>
        <v>-13.158428532860301</v>
      </c>
      <c r="M29" s="5">
        <v>1882.25</v>
      </c>
      <c r="N29" s="5">
        <v>-30</v>
      </c>
      <c r="O29" s="5">
        <v>-158.60501824203101</v>
      </c>
      <c r="Q29">
        <f t="shared" si="9"/>
        <v>15.610757285647583</v>
      </c>
      <c r="R29">
        <f t="shared" si="5"/>
        <v>98.87295676087578</v>
      </c>
    </row>
    <row r="30" spans="1:18" x14ac:dyDescent="0.25">
      <c r="A30">
        <f t="shared" si="0"/>
        <v>1955.3333333333301</v>
      </c>
      <c r="B30">
        <f t="shared" si="0"/>
        <v>-80</v>
      </c>
      <c r="C30">
        <f t="shared" si="1"/>
        <v>2.5502453245444947</v>
      </c>
      <c r="D30">
        <f t="shared" si="6"/>
        <v>0</v>
      </c>
      <c r="E30">
        <f t="shared" si="6"/>
        <v>8.607712162769614</v>
      </c>
      <c r="F30">
        <f t="shared" si="7"/>
        <v>-5.833333333333333</v>
      </c>
      <c r="G30">
        <f t="shared" si="8"/>
        <v>3.4663854594903052</v>
      </c>
      <c r="H30">
        <f t="shared" si="11"/>
        <v>-4.7333333333333334</v>
      </c>
      <c r="I30">
        <f t="shared" si="11"/>
        <v>1.6497189384031821</v>
      </c>
      <c r="J30">
        <f t="shared" si="2"/>
        <v>1955.3333333333301</v>
      </c>
      <c r="K30">
        <f t="shared" si="3"/>
        <v>-80</v>
      </c>
      <c r="L30">
        <f t="shared" si="4"/>
        <v>-32.745091629437901</v>
      </c>
      <c r="M30" s="5">
        <v>1882.3333333333301</v>
      </c>
      <c r="N30" s="5">
        <v>-30</v>
      </c>
      <c r="O30" s="5">
        <v>-167.21295922202</v>
      </c>
      <c r="Q30">
        <f t="shared" si="9"/>
        <v>9.2997187928236382</v>
      </c>
      <c r="R30">
        <f t="shared" si="5"/>
        <v>82.550245324544491</v>
      </c>
    </row>
    <row r="31" spans="1:18" x14ac:dyDescent="0.25">
      <c r="A31">
        <f t="shared" si="0"/>
        <v>1955.4166666666599</v>
      </c>
      <c r="B31">
        <f t="shared" si="0"/>
        <v>-80</v>
      </c>
      <c r="C31">
        <f t="shared" si="1"/>
        <v>-30.987890437326012</v>
      </c>
      <c r="D31">
        <f t="shared" si="6"/>
        <v>-2.5</v>
      </c>
      <c r="E31">
        <f t="shared" si="6"/>
        <v>-7.5006484200943753</v>
      </c>
      <c r="F31">
        <f t="shared" si="7"/>
        <v>-1.1666666666666667</v>
      </c>
      <c r="G31">
        <f t="shared" si="8"/>
        <v>-1.388206121945099</v>
      </c>
      <c r="H31">
        <f t="shared" si="11"/>
        <v>-2.1666666666666665</v>
      </c>
      <c r="I31">
        <f t="shared" si="11"/>
        <v>0.78776737829141297</v>
      </c>
      <c r="J31">
        <f t="shared" si="2"/>
        <v>1955.4166666666599</v>
      </c>
      <c r="K31">
        <f t="shared" si="3"/>
        <v>-80</v>
      </c>
      <c r="L31">
        <f t="shared" si="4"/>
        <v>-72.989640987389706</v>
      </c>
      <c r="M31" s="5">
        <v>1882.4166666666599</v>
      </c>
      <c r="N31" s="5">
        <v>-30</v>
      </c>
      <c r="O31" s="5">
        <v>-176.873458419255</v>
      </c>
      <c r="Q31">
        <f t="shared" si="9"/>
        <v>0.22153945527843222</v>
      </c>
      <c r="R31">
        <f t="shared" si="5"/>
        <v>49.012109562673984</v>
      </c>
    </row>
    <row r="32" spans="1:18" x14ac:dyDescent="0.25">
      <c r="A32">
        <f t="shared" si="0"/>
        <v>1955.5</v>
      </c>
      <c r="B32">
        <f t="shared" si="0"/>
        <v>-75</v>
      </c>
      <c r="C32">
        <f t="shared" si="1"/>
        <v>-49.524729359007765</v>
      </c>
      <c r="D32">
        <f t="shared" si="6"/>
        <v>-1</v>
      </c>
      <c r="E32">
        <f t="shared" si="6"/>
        <v>-6.3128366999693597</v>
      </c>
      <c r="F32">
        <f t="shared" si="7"/>
        <v>0</v>
      </c>
      <c r="G32">
        <f t="shared" si="8"/>
        <v>-3.4658619350001603</v>
      </c>
      <c r="H32">
        <f t="shared" si="11"/>
        <v>1.9</v>
      </c>
      <c r="I32">
        <f t="shared" si="11"/>
        <v>3.1787812770140977E-2</v>
      </c>
      <c r="J32">
        <f t="shared" si="2"/>
        <v>1955.5</v>
      </c>
      <c r="K32">
        <f t="shared" si="3"/>
        <v>-75</v>
      </c>
      <c r="L32">
        <f t="shared" si="4"/>
        <v>-95.233176949581093</v>
      </c>
      <c r="M32" s="5">
        <v>1882.5</v>
      </c>
      <c r="N32" s="5">
        <v>-30</v>
      </c>
      <c r="O32" s="5">
        <v>-175.74435343806201</v>
      </c>
      <c r="Q32">
        <f t="shared" si="9"/>
        <v>3.4658619350001603</v>
      </c>
      <c r="R32">
        <f t="shared" si="5"/>
        <v>25.475270640992235</v>
      </c>
    </row>
    <row r="33" spans="1:18" x14ac:dyDescent="0.25">
      <c r="A33">
        <f t="shared" si="0"/>
        <v>1955.5833333333301</v>
      </c>
      <c r="B33">
        <f t="shared" si="0"/>
        <v>-68</v>
      </c>
      <c r="C33">
        <f t="shared" si="1"/>
        <v>-55.435894880750794</v>
      </c>
      <c r="D33">
        <f t="shared" si="6"/>
        <v>3.5</v>
      </c>
      <c r="E33">
        <f t="shared" si="6"/>
        <v>0.81650286381313464</v>
      </c>
      <c r="F33">
        <f t="shared" si="7"/>
        <v>6.166666666666667</v>
      </c>
      <c r="G33">
        <f t="shared" si="8"/>
        <v>-0.2842377967355636</v>
      </c>
      <c r="H33">
        <f t="shared" si="11"/>
        <v>3.0666666666666669</v>
      </c>
      <c r="I33">
        <f t="shared" si="11"/>
        <v>-0.5956890841445418</v>
      </c>
      <c r="J33">
        <f t="shared" si="2"/>
        <v>1955.5833333333301</v>
      </c>
      <c r="K33">
        <f t="shared" si="3"/>
        <v>-68</v>
      </c>
      <c r="L33">
        <f t="shared" si="4"/>
        <v>-102.326361683876</v>
      </c>
      <c r="M33" s="5">
        <v>1882.5833333333301</v>
      </c>
      <c r="N33" s="5">
        <v>-30</v>
      </c>
      <c r="O33" s="5">
        <v>-161.56076966181701</v>
      </c>
      <c r="Q33">
        <f t="shared" si="9"/>
        <v>6.4509044634022308</v>
      </c>
      <c r="R33">
        <f t="shared" si="5"/>
        <v>12.564105119249206</v>
      </c>
    </row>
    <row r="34" spans="1:18" x14ac:dyDescent="0.25">
      <c r="A34">
        <f t="shared" si="0"/>
        <v>1955.6666666666599</v>
      </c>
      <c r="B34">
        <f t="shared" si="0"/>
        <v>-68</v>
      </c>
      <c r="C34">
        <f t="shared" si="1"/>
        <v>-62.980066130120093</v>
      </c>
      <c r="D34">
        <f t="shared" si="6"/>
        <v>16</v>
      </c>
      <c r="E34">
        <f t="shared" si="6"/>
        <v>4.4304420983978616</v>
      </c>
      <c r="F34">
        <f t="shared" si="7"/>
        <v>10.333333333333334</v>
      </c>
      <c r="G34">
        <f t="shared" si="8"/>
        <v>1.8308594580412223</v>
      </c>
      <c r="H34">
        <f t="shared" si="11"/>
        <v>1.7333333333333336</v>
      </c>
      <c r="I34">
        <f t="shared" si="11"/>
        <v>-0.76194475291585861</v>
      </c>
      <c r="J34">
        <f t="shared" si="2"/>
        <v>1955.6666666666599</v>
      </c>
      <c r="K34">
        <f t="shared" si="3"/>
        <v>-68</v>
      </c>
      <c r="L34">
        <f t="shared" si="4"/>
        <v>-111.37909420203999</v>
      </c>
      <c r="M34" s="5">
        <v>1882.6666666666599</v>
      </c>
      <c r="N34" s="5">
        <v>-30</v>
      </c>
      <c r="O34" s="5">
        <v>-136.42729720196601</v>
      </c>
      <c r="Q34">
        <f t="shared" si="9"/>
        <v>8.502473875292111</v>
      </c>
      <c r="R34">
        <f t="shared" si="5"/>
        <v>5.0199338698799068</v>
      </c>
    </row>
    <row r="35" spans="1:18" x14ac:dyDescent="0.25">
      <c r="A35">
        <f t="shared" si="0"/>
        <v>1955.75</v>
      </c>
      <c r="B35">
        <f t="shared" si="0"/>
        <v>-100</v>
      </c>
      <c r="C35">
        <f t="shared" si="1"/>
        <v>-79.385121576285101</v>
      </c>
      <c r="D35">
        <f t="shared" si="6"/>
        <v>11.5</v>
      </c>
      <c r="E35">
        <f t="shared" si="6"/>
        <v>1.6187780054435876</v>
      </c>
      <c r="F35">
        <f t="shared" si="7"/>
        <v>0</v>
      </c>
      <c r="G35">
        <f t="shared" si="8"/>
        <v>0.32900097491689168</v>
      </c>
      <c r="H35">
        <f t="shared" si="11"/>
        <v>-1.6</v>
      </c>
      <c r="I35">
        <f t="shared" si="11"/>
        <v>-0.57903136674258848</v>
      </c>
      <c r="J35">
        <f t="shared" si="2"/>
        <v>1955.75</v>
      </c>
      <c r="K35">
        <f t="shared" si="3"/>
        <v>-100</v>
      </c>
      <c r="L35">
        <f t="shared" si="4"/>
        <v>-131.064567130852</v>
      </c>
      <c r="M35" s="5">
        <v>1882.75</v>
      </c>
      <c r="N35" s="5">
        <v>-30</v>
      </c>
      <c r="O35" s="5">
        <v>-106.357195244102</v>
      </c>
      <c r="Q35">
        <f t="shared" si="9"/>
        <v>0.32900097491689168</v>
      </c>
      <c r="R35">
        <f t="shared" si="5"/>
        <v>20.614878423714899</v>
      </c>
    </row>
    <row r="36" spans="1:18" x14ac:dyDescent="0.25">
      <c r="A36">
        <f t="shared" si="0"/>
        <v>1955.8333333333301</v>
      </c>
      <c r="B36">
        <f t="shared" si="0"/>
        <v>-155</v>
      </c>
      <c r="C36">
        <f t="shared" si="1"/>
        <v>-99.027733033337284</v>
      </c>
      <c r="D36">
        <f t="shared" si="6"/>
        <v>-27.5</v>
      </c>
      <c r="E36">
        <f t="shared" si="6"/>
        <v>-4.8154664479031055</v>
      </c>
      <c r="F36">
        <f t="shared" si="7"/>
        <v>-7.833333333333333</v>
      </c>
      <c r="G36">
        <f t="shared" si="8"/>
        <v>-2.219484465801683</v>
      </c>
      <c r="H36">
        <f t="shared" si="11"/>
        <v>-2.8333333333333335</v>
      </c>
      <c r="I36">
        <f t="shared" si="11"/>
        <v>-0.66603835626391983</v>
      </c>
      <c r="J36">
        <f t="shared" si="2"/>
        <v>1955.8333333333301</v>
      </c>
      <c r="K36">
        <f t="shared" si="3"/>
        <v>-155</v>
      </c>
      <c r="L36">
        <f t="shared" si="4"/>
        <v>-154.63499012380601</v>
      </c>
      <c r="M36" s="5">
        <v>1882.8333333333301</v>
      </c>
      <c r="N36" s="5">
        <v>-30</v>
      </c>
      <c r="O36" s="5">
        <v>-79.209598042531596</v>
      </c>
      <c r="Q36">
        <f t="shared" si="9"/>
        <v>5.61384886753165</v>
      </c>
      <c r="R36">
        <f t="shared" si="5"/>
        <v>55.972266966662716</v>
      </c>
    </row>
    <row r="37" spans="1:18" x14ac:dyDescent="0.25">
      <c r="A37">
        <f t="shared" si="0"/>
        <v>1955.9166666666599</v>
      </c>
      <c r="B37">
        <f t="shared" si="0"/>
        <v>-155</v>
      </c>
      <c r="C37">
        <f t="shared" si="1"/>
        <v>-109.03941159458327</v>
      </c>
      <c r="D37">
        <f t="shared" si="6"/>
        <v>-7.5</v>
      </c>
      <c r="E37">
        <f t="shared" si="6"/>
        <v>-5.126378304296793</v>
      </c>
      <c r="F37">
        <f t="shared" si="7"/>
        <v>-16.666666666666668</v>
      </c>
      <c r="G37">
        <f t="shared" si="8"/>
        <v>-2.5512950041338098</v>
      </c>
      <c r="H37">
        <f t="shared" si="11"/>
        <v>-3.5666666666666664</v>
      </c>
      <c r="I37">
        <f t="shared" si="11"/>
        <v>-0.93944600118471355</v>
      </c>
      <c r="J37">
        <f t="shared" si="2"/>
        <v>1955.9166666666599</v>
      </c>
      <c r="K37">
        <f t="shared" si="3"/>
        <v>-155</v>
      </c>
      <c r="L37">
        <f t="shared" si="4"/>
        <v>-166.64864213102601</v>
      </c>
      <c r="M37" s="5">
        <v>1882.9166666666599</v>
      </c>
      <c r="N37" s="5">
        <v>-30</v>
      </c>
      <c r="O37" s="5">
        <v>-35.866069745864998</v>
      </c>
      <c r="Q37">
        <f t="shared" si="9"/>
        <v>14.115371662532858</v>
      </c>
      <c r="R37">
        <f t="shared" si="5"/>
        <v>45.960588405416729</v>
      </c>
    </row>
    <row r="38" spans="1:18" x14ac:dyDescent="0.25">
      <c r="A38">
        <f t="shared" si="0"/>
        <v>1956</v>
      </c>
      <c r="B38">
        <f t="shared" si="0"/>
        <v>-140</v>
      </c>
      <c r="C38">
        <f t="shared" si="1"/>
        <v>-108.79833354723567</v>
      </c>
      <c r="D38">
        <f t="shared" si="6"/>
        <v>-15</v>
      </c>
      <c r="E38">
        <f t="shared" si="6"/>
        <v>0.37448848669811241</v>
      </c>
      <c r="F38">
        <f t="shared" si="7"/>
        <v>0</v>
      </c>
      <c r="G38">
        <f t="shared" si="8"/>
        <v>-0.71927274434221999</v>
      </c>
      <c r="H38">
        <f t="shared" si="11"/>
        <v>0</v>
      </c>
      <c r="I38">
        <f t="shared" si="11"/>
        <v>-1.0167628753479925</v>
      </c>
      <c r="J38">
        <f t="shared" si="2"/>
        <v>1956</v>
      </c>
      <c r="K38">
        <f t="shared" si="3"/>
        <v>-140</v>
      </c>
      <c r="L38">
        <f t="shared" si="4"/>
        <v>-166.35935719746601</v>
      </c>
      <c r="M38" s="5">
        <v>1883</v>
      </c>
      <c r="N38" s="5">
        <v>-30</v>
      </c>
      <c r="O38" s="5">
        <v>34.626359956412898</v>
      </c>
      <c r="Q38">
        <f t="shared" si="9"/>
        <v>0.71927274434221999</v>
      </c>
      <c r="R38">
        <f t="shared" si="5"/>
        <v>31.201666452764329</v>
      </c>
    </row>
    <row r="39" spans="1:18" x14ac:dyDescent="0.25">
      <c r="A39">
        <f t="shared" si="0"/>
        <v>1956.0833333333301</v>
      </c>
      <c r="B39">
        <f t="shared" si="0"/>
        <v>-95</v>
      </c>
      <c r="C39">
        <f t="shared" si="1"/>
        <v>-109.3062324732843</v>
      </c>
      <c r="D39">
        <f t="shared" si="6"/>
        <v>22.5</v>
      </c>
      <c r="E39">
        <f t="shared" si="6"/>
        <v>2.0546170263153556</v>
      </c>
      <c r="F39">
        <f t="shared" si="7"/>
        <v>6.666666666666667</v>
      </c>
      <c r="G39">
        <f t="shared" si="8"/>
        <v>0.46382123343725357</v>
      </c>
      <c r="H39">
        <f t="shared" si="11"/>
        <v>1.5666666666666664</v>
      </c>
      <c r="I39">
        <f t="shared" si="11"/>
        <v>-0.8490073609380534</v>
      </c>
      <c r="J39">
        <f t="shared" si="2"/>
        <v>1956.0833333333301</v>
      </c>
      <c r="K39">
        <f t="shared" si="3"/>
        <v>-95</v>
      </c>
      <c r="L39">
        <f t="shared" si="4"/>
        <v>-166.96881753072199</v>
      </c>
      <c r="M39" s="5">
        <v>1883.0833333333301</v>
      </c>
      <c r="N39" s="5">
        <v>-30</v>
      </c>
      <c r="O39" s="5">
        <v>59.378543120902599</v>
      </c>
      <c r="Q39">
        <f t="shared" si="9"/>
        <v>6.2028454332294132</v>
      </c>
      <c r="R39">
        <f t="shared" si="5"/>
        <v>14.306232473284297</v>
      </c>
    </row>
    <row r="40" spans="1:18" x14ac:dyDescent="0.25">
      <c r="A40">
        <f t="shared" si="0"/>
        <v>1956.1666666666599</v>
      </c>
      <c r="B40">
        <f t="shared" si="0"/>
        <v>-95</v>
      </c>
      <c r="C40">
        <f t="shared" si="1"/>
        <v>-113.92336545196363</v>
      </c>
      <c r="D40">
        <f t="shared" si="6"/>
        <v>12.5</v>
      </c>
      <c r="E40">
        <f t="shared" si="6"/>
        <v>-0.6897758876237674</v>
      </c>
      <c r="F40">
        <f t="shared" si="7"/>
        <v>17.833333333333332</v>
      </c>
      <c r="G40">
        <f t="shared" si="8"/>
        <v>-5.758339589950387E-2</v>
      </c>
      <c r="H40">
        <f t="shared" ref="H40:I55" si="12">+AVERAGE(F38:F42)</f>
        <v>2.166666666666667</v>
      </c>
      <c r="I40">
        <f t="shared" si="12"/>
        <v>-0.7745089038281322</v>
      </c>
      <c r="J40">
        <f t="shared" si="2"/>
        <v>1956.1666666666599</v>
      </c>
      <c r="K40">
        <f t="shared" si="3"/>
        <v>-95</v>
      </c>
      <c r="L40">
        <f t="shared" si="4"/>
        <v>-172.509210037092</v>
      </c>
      <c r="M40" s="5">
        <v>1883.1666666666599</v>
      </c>
      <c r="N40" s="5">
        <v>-30</v>
      </c>
      <c r="O40" s="5">
        <v>51.428233329743897</v>
      </c>
      <c r="Q40">
        <f t="shared" si="9"/>
        <v>17.890916729232835</v>
      </c>
      <c r="R40">
        <f t="shared" si="5"/>
        <v>18.923365451963633</v>
      </c>
    </row>
    <row r="41" spans="1:18" x14ac:dyDescent="0.25">
      <c r="A41">
        <f t="shared" si="0"/>
        <v>1956.25</v>
      </c>
      <c r="B41">
        <f t="shared" si="0"/>
        <v>-120</v>
      </c>
      <c r="C41">
        <f t="shared" si="1"/>
        <v>-117.16094665539543</v>
      </c>
      <c r="D41">
        <f t="shared" si="6"/>
        <v>18.5</v>
      </c>
      <c r="E41">
        <f t="shared" si="6"/>
        <v>-1.5807788733147277</v>
      </c>
      <c r="F41">
        <f t="shared" si="7"/>
        <v>0</v>
      </c>
      <c r="G41">
        <f t="shared" si="8"/>
        <v>-1.3807068937519869</v>
      </c>
      <c r="H41">
        <f t="shared" si="12"/>
        <v>-2.2333333333333334</v>
      </c>
      <c r="I41">
        <f t="shared" si="12"/>
        <v>-1.0443889126868302</v>
      </c>
      <c r="J41">
        <f t="shared" si="2"/>
        <v>1956.25</v>
      </c>
      <c r="K41">
        <f t="shared" si="3"/>
        <v>-120</v>
      </c>
      <c r="L41">
        <f t="shared" si="4"/>
        <v>-176.394190331376</v>
      </c>
      <c r="M41" s="5">
        <v>1883.25</v>
      </c>
      <c r="N41" s="5">
        <v>-30</v>
      </c>
      <c r="O41" s="5">
        <v>29.969676200061599</v>
      </c>
      <c r="Q41">
        <f t="shared" si="9"/>
        <v>1.3807068937519869</v>
      </c>
      <c r="R41">
        <f t="shared" si="5"/>
        <v>2.8390533446045652</v>
      </c>
    </row>
    <row r="42" spans="1:18" x14ac:dyDescent="0.25">
      <c r="A42">
        <f t="shared" si="0"/>
        <v>1956.3333333333301</v>
      </c>
      <c r="B42">
        <f t="shared" si="0"/>
        <v>-182</v>
      </c>
      <c r="C42">
        <f t="shared" si="1"/>
        <v>-117.23697011219778</v>
      </c>
      <c r="D42">
        <f t="shared" si="6"/>
        <v>-31</v>
      </c>
      <c r="E42">
        <f t="shared" si="6"/>
        <v>-2.9070960906314554</v>
      </c>
      <c r="F42">
        <f t="shared" si="7"/>
        <v>-13.666666666666666</v>
      </c>
      <c r="G42">
        <f t="shared" si="8"/>
        <v>-2.1788027185842038</v>
      </c>
      <c r="H42">
        <f t="shared" si="12"/>
        <v>-4.666666666666667</v>
      </c>
      <c r="I42">
        <f t="shared" si="12"/>
        <v>-1.3358972429966602</v>
      </c>
      <c r="J42">
        <f t="shared" si="2"/>
        <v>1956.3333333333301</v>
      </c>
      <c r="K42">
        <f t="shared" si="3"/>
        <v>-182</v>
      </c>
      <c r="L42">
        <f t="shared" si="4"/>
        <v>-176.48541572867799</v>
      </c>
      <c r="M42" s="5">
        <v>1883.3333333333301</v>
      </c>
      <c r="N42" s="5">
        <v>-30</v>
      </c>
      <c r="O42" s="5">
        <v>-16.833619987585699</v>
      </c>
      <c r="Q42">
        <f t="shared" si="9"/>
        <v>11.487863948082463</v>
      </c>
      <c r="R42">
        <f t="shared" si="5"/>
        <v>64.763029887802219</v>
      </c>
    </row>
    <row r="43" spans="1:18" x14ac:dyDescent="0.25">
      <c r="A43">
        <f t="shared" si="0"/>
        <v>1956.4166666666599</v>
      </c>
      <c r="B43">
        <f t="shared" si="0"/>
        <v>-182</v>
      </c>
      <c r="C43">
        <f t="shared" si="1"/>
        <v>-111.49880138773722</v>
      </c>
      <c r="D43">
        <f t="shared" si="6"/>
        <v>-28.5</v>
      </c>
      <c r="E43">
        <f t="shared" si="6"/>
        <v>-3.6826352307445802</v>
      </c>
      <c r="F43">
        <f t="shared" si="7"/>
        <v>-22</v>
      </c>
      <c r="G43">
        <f t="shared" si="8"/>
        <v>-2.0686727886357104</v>
      </c>
      <c r="H43">
        <f t="shared" si="12"/>
        <v>-6.5666666666666655</v>
      </c>
      <c r="I43">
        <f t="shared" si="12"/>
        <v>-1.1929991020458197</v>
      </c>
      <c r="J43">
        <f t="shared" si="2"/>
        <v>1956.4166666666599</v>
      </c>
      <c r="K43">
        <f t="shared" si="3"/>
        <v>-182</v>
      </c>
      <c r="L43">
        <f t="shared" si="4"/>
        <v>-169.59982089134201</v>
      </c>
      <c r="M43" s="5">
        <v>1883.4166666666599</v>
      </c>
      <c r="N43" s="5">
        <v>-30</v>
      </c>
      <c r="O43" s="5">
        <v>-67.816100606002493</v>
      </c>
      <c r="Q43">
        <f t="shared" si="9"/>
        <v>19.931327211364291</v>
      </c>
      <c r="R43">
        <f t="shared" si="5"/>
        <v>70.501198612262783</v>
      </c>
    </row>
    <row r="44" spans="1:18" x14ac:dyDescent="0.25">
      <c r="A44">
        <f t="shared" si="0"/>
        <v>1956.5</v>
      </c>
      <c r="B44">
        <f t="shared" si="0"/>
        <v>-125</v>
      </c>
      <c r="C44">
        <f t="shared" si="1"/>
        <v>-98.395362201787492</v>
      </c>
      <c r="D44">
        <f t="shared" si="6"/>
        <v>-6.5</v>
      </c>
      <c r="E44">
        <f t="shared" si="6"/>
        <v>-1.1677916360078768</v>
      </c>
      <c r="F44">
        <f t="shared" si="7"/>
        <v>-5.5</v>
      </c>
      <c r="G44">
        <f t="shared" si="8"/>
        <v>-0.99372041811189638</v>
      </c>
      <c r="H44">
        <f t="shared" si="12"/>
        <v>-4.2333333333333325</v>
      </c>
      <c r="I44">
        <f t="shared" si="12"/>
        <v>-0.70215870963427496</v>
      </c>
      <c r="J44">
        <f t="shared" si="2"/>
        <v>1956.5</v>
      </c>
      <c r="K44">
        <f t="shared" si="3"/>
        <v>-125</v>
      </c>
      <c r="L44">
        <f t="shared" si="4"/>
        <v>-153.87616800788601</v>
      </c>
      <c r="M44" s="5">
        <v>1883.5</v>
      </c>
      <c r="N44" s="5">
        <v>-30</v>
      </c>
      <c r="O44" s="5">
        <v>-104.621567712409</v>
      </c>
      <c r="Q44">
        <f t="shared" si="9"/>
        <v>4.5062795818881032</v>
      </c>
      <c r="R44">
        <f t="shared" si="5"/>
        <v>26.604637798212508</v>
      </c>
    </row>
    <row r="45" spans="1:18" x14ac:dyDescent="0.25">
      <c r="A45">
        <f t="shared" si="0"/>
        <v>1956.5833333333301</v>
      </c>
      <c r="B45">
        <f t="shared" si="0"/>
        <v>-55</v>
      </c>
      <c r="C45">
        <f t="shared" si="1"/>
        <v>-82.956339743822028</v>
      </c>
      <c r="D45">
        <f t="shared" si="6"/>
        <v>18.5</v>
      </c>
      <c r="E45">
        <f t="shared" si="6"/>
        <v>1.1239752988328462</v>
      </c>
      <c r="F45">
        <f t="shared" si="7"/>
        <v>8.3333333333333339</v>
      </c>
      <c r="G45">
        <f t="shared" si="8"/>
        <v>0.6569073088547005</v>
      </c>
      <c r="H45">
        <f t="shared" si="12"/>
        <v>-0.39999999999999963</v>
      </c>
      <c r="I45">
        <f t="shared" si="12"/>
        <v>-0.64255400717659139</v>
      </c>
      <c r="J45">
        <f t="shared" si="2"/>
        <v>1956.5833333333301</v>
      </c>
      <c r="K45">
        <f t="shared" si="3"/>
        <v>-55</v>
      </c>
      <c r="L45">
        <f t="shared" si="4"/>
        <v>-135.349899709619</v>
      </c>
      <c r="M45" s="5">
        <v>1883.5833333333301</v>
      </c>
      <c r="N45" s="5">
        <v>-30</v>
      </c>
      <c r="O45" s="5">
        <v>-128.23659080949699</v>
      </c>
      <c r="Q45">
        <f t="shared" si="9"/>
        <v>7.6764260244786335</v>
      </c>
      <c r="R45">
        <f t="shared" si="5"/>
        <v>27.956339743822028</v>
      </c>
    </row>
    <row r="46" spans="1:18" x14ac:dyDescent="0.25">
      <c r="A46">
        <f t="shared" si="0"/>
        <v>1956.6666666666599</v>
      </c>
      <c r="B46">
        <f t="shared" si="0"/>
        <v>-22</v>
      </c>
      <c r="C46">
        <f t="shared" si="1"/>
        <v>-69.765267883522256</v>
      </c>
      <c r="D46">
        <f t="shared" si="6"/>
        <v>13</v>
      </c>
      <c r="E46">
        <f t="shared" si="6"/>
        <v>2.5072187453801575</v>
      </c>
      <c r="F46">
        <f t="shared" si="7"/>
        <v>11.666666666666666</v>
      </c>
      <c r="G46">
        <f t="shared" si="8"/>
        <v>1.0734950683057358</v>
      </c>
      <c r="H46">
        <f t="shared" si="12"/>
        <v>2.7333333333333334</v>
      </c>
      <c r="I46">
        <f t="shared" si="12"/>
        <v>-1.6218447777015492</v>
      </c>
      <c r="J46">
        <f t="shared" si="2"/>
        <v>1956.6666666666599</v>
      </c>
      <c r="K46">
        <f t="shared" si="3"/>
        <v>-22</v>
      </c>
      <c r="L46">
        <f t="shared" si="4"/>
        <v>-119.52109078787601</v>
      </c>
      <c r="M46" s="5">
        <v>1883.6666666666599</v>
      </c>
      <c r="N46" s="5">
        <v>-30</v>
      </c>
      <c r="O46" s="5">
        <v>-137.511418284602</v>
      </c>
      <c r="Q46">
        <f t="shared" si="9"/>
        <v>10.59317159836093</v>
      </c>
      <c r="R46">
        <f t="shared" si="5"/>
        <v>47.765267883522256</v>
      </c>
    </row>
    <row r="47" spans="1:18" x14ac:dyDescent="0.25">
      <c r="A47">
        <f t="shared" si="0"/>
        <v>1956.75</v>
      </c>
      <c r="B47">
        <f t="shared" si="0"/>
        <v>-15</v>
      </c>
      <c r="C47">
        <f t="shared" si="1"/>
        <v>-61.588633513982813</v>
      </c>
      <c r="D47">
        <f t="shared" si="6"/>
        <v>3.5</v>
      </c>
      <c r="E47">
        <f t="shared" si="6"/>
        <v>0.39441246193350565</v>
      </c>
      <c r="F47">
        <f t="shared" si="7"/>
        <v>5.5</v>
      </c>
      <c r="G47">
        <f t="shared" si="8"/>
        <v>-1.8807792062957862</v>
      </c>
      <c r="H47">
        <f t="shared" si="12"/>
        <v>3.666666666666667</v>
      </c>
      <c r="I47">
        <f t="shared" si="12"/>
        <v>-2.3535052266863423</v>
      </c>
      <c r="J47">
        <f t="shared" si="2"/>
        <v>1956.75</v>
      </c>
      <c r="K47">
        <f t="shared" si="3"/>
        <v>-15</v>
      </c>
      <c r="L47">
        <f t="shared" si="4"/>
        <v>-109.70942541078701</v>
      </c>
      <c r="M47" s="5">
        <v>1883.75</v>
      </c>
      <c r="N47" s="5">
        <v>-30</v>
      </c>
      <c r="O47" s="5">
        <v>-140.80624817923299</v>
      </c>
      <c r="Q47">
        <f t="shared" si="9"/>
        <v>7.3807792062957862</v>
      </c>
      <c r="R47">
        <f t="shared" si="5"/>
        <v>46.588633513982813</v>
      </c>
    </row>
    <row r="48" spans="1:18" x14ac:dyDescent="0.25">
      <c r="A48">
        <f t="shared" si="0"/>
        <v>1956.8333333333301</v>
      </c>
      <c r="B48">
        <f t="shared" si="0"/>
        <v>-15</v>
      </c>
      <c r="C48">
        <f t="shared" si="1"/>
        <v>-54.200824068310382</v>
      </c>
      <c r="D48">
        <f t="shared" si="6"/>
        <v>0</v>
      </c>
      <c r="E48">
        <f t="shared" si="6"/>
        <v>-9.9545532309228619</v>
      </c>
      <c r="F48">
        <f t="shared" si="7"/>
        <v>-6.333333333333333</v>
      </c>
      <c r="G48">
        <f t="shared" si="8"/>
        <v>-6.9651266412604986</v>
      </c>
      <c r="H48">
        <f t="shared" si="12"/>
        <v>1.6666666666666665</v>
      </c>
      <c r="I48">
        <f t="shared" si="12"/>
        <v>-2.1611515183077161</v>
      </c>
      <c r="J48">
        <f t="shared" si="2"/>
        <v>1956.8333333333301</v>
      </c>
      <c r="K48">
        <f t="shared" si="3"/>
        <v>-15</v>
      </c>
      <c r="L48">
        <f t="shared" si="4"/>
        <v>-100.844321399206</v>
      </c>
      <c r="M48" s="5">
        <v>1883.8333333333301</v>
      </c>
      <c r="N48" s="5">
        <v>-30</v>
      </c>
      <c r="O48" s="5">
        <v>-145.89174334164099</v>
      </c>
      <c r="Q48">
        <f t="shared" si="9"/>
        <v>0.63179330792716559</v>
      </c>
      <c r="R48">
        <f t="shared" si="5"/>
        <v>39.200824068310382</v>
      </c>
    </row>
    <row r="49" spans="1:18" x14ac:dyDescent="0.25">
      <c r="A49">
        <f t="shared" si="0"/>
        <v>1956.9166666666599</v>
      </c>
      <c r="B49">
        <f t="shared" si="0"/>
        <v>-15</v>
      </c>
      <c r="C49">
        <f t="shared" si="1"/>
        <v>-26.903908160792223</v>
      </c>
      <c r="D49">
        <f t="shared" si="6"/>
        <v>-22.5</v>
      </c>
      <c r="E49">
        <f t="shared" si="6"/>
        <v>-16.55908413573751</v>
      </c>
      <c r="F49">
        <f t="shared" si="7"/>
        <v>-0.83333333333333337</v>
      </c>
      <c r="G49">
        <f t="shared" si="8"/>
        <v>-4.6520226630358641</v>
      </c>
      <c r="H49">
        <f t="shared" si="12"/>
        <v>0.83333333333333337</v>
      </c>
      <c r="I49">
        <f t="shared" si="12"/>
        <v>-0.67415960103920303</v>
      </c>
      <c r="J49">
        <f t="shared" si="2"/>
        <v>1956.9166666666599</v>
      </c>
      <c r="K49">
        <f t="shared" si="3"/>
        <v>-15</v>
      </c>
      <c r="L49">
        <f t="shared" si="4"/>
        <v>-68.089010031872405</v>
      </c>
      <c r="M49" s="5">
        <v>1883.9166666666599</v>
      </c>
      <c r="N49" s="5">
        <v>-30</v>
      </c>
      <c r="O49" s="5">
        <v>-147.03103857479101</v>
      </c>
      <c r="Q49">
        <f t="shared" si="9"/>
        <v>3.8186893297025306</v>
      </c>
      <c r="R49">
        <f t="shared" si="5"/>
        <v>11.903908160792223</v>
      </c>
    </row>
    <row r="50" spans="1:18" x14ac:dyDescent="0.25">
      <c r="A50">
        <f t="shared" si="0"/>
        <v>1957</v>
      </c>
      <c r="B50">
        <f t="shared" si="0"/>
        <v>30</v>
      </c>
      <c r="C50">
        <f t="shared" si="1"/>
        <v>33.511176018200956</v>
      </c>
      <c r="D50">
        <f t="shared" si="6"/>
        <v>20</v>
      </c>
      <c r="E50">
        <f t="shared" si="6"/>
        <v>9.0685523802758823</v>
      </c>
      <c r="F50">
        <f t="shared" si="7"/>
        <v>-1.6666666666666667</v>
      </c>
      <c r="G50">
        <f t="shared" si="8"/>
        <v>1.6186758507478327</v>
      </c>
      <c r="H50">
        <f t="shared" si="12"/>
        <v>0.40000000000000024</v>
      </c>
      <c r="I50">
        <f t="shared" si="12"/>
        <v>1.8401352228255283</v>
      </c>
      <c r="J50">
        <f t="shared" si="2"/>
        <v>1957</v>
      </c>
      <c r="K50">
        <f t="shared" si="3"/>
        <v>30</v>
      </c>
      <c r="L50">
        <f t="shared" si="4"/>
        <v>4.4069049011972101</v>
      </c>
      <c r="M50" s="5">
        <v>1884</v>
      </c>
      <c r="N50" s="5">
        <v>-30</v>
      </c>
      <c r="O50" s="5">
        <v>-145.48199659350999</v>
      </c>
      <c r="Q50">
        <f t="shared" si="9"/>
        <v>3.2853425174144997</v>
      </c>
      <c r="R50">
        <f t="shared" si="5"/>
        <v>3.5111760182009562</v>
      </c>
    </row>
    <row r="51" spans="1:18" x14ac:dyDescent="0.25">
      <c r="A51">
        <f t="shared" si="0"/>
        <v>1957.0833333333301</v>
      </c>
      <c r="B51">
        <f t="shared" si="0"/>
        <v>35</v>
      </c>
      <c r="C51">
        <f t="shared" si="1"/>
        <v>75.789155436642375</v>
      </c>
      <c r="D51">
        <f t="shared" si="6"/>
        <v>-2.5</v>
      </c>
      <c r="E51">
        <f t="shared" si="6"/>
        <v>13.560566195766</v>
      </c>
      <c r="F51">
        <f t="shared" si="7"/>
        <v>7.5</v>
      </c>
      <c r="G51">
        <f t="shared" si="8"/>
        <v>8.5084546546483022</v>
      </c>
      <c r="H51">
        <f t="shared" si="12"/>
        <v>2.3333333333333335</v>
      </c>
      <c r="I51">
        <f t="shared" si="12"/>
        <v>5.5015165481986763</v>
      </c>
      <c r="J51">
        <f t="shared" si="2"/>
        <v>1957.0833333333301</v>
      </c>
      <c r="K51">
        <f t="shared" si="3"/>
        <v>35</v>
      </c>
      <c r="L51">
        <f t="shared" si="4"/>
        <v>55.1389504013029</v>
      </c>
      <c r="M51" s="5">
        <v>1884.0833333333301</v>
      </c>
      <c r="N51" s="5">
        <v>-30</v>
      </c>
      <c r="O51" s="5">
        <v>-147.776852859218</v>
      </c>
      <c r="Q51">
        <f t="shared" si="9"/>
        <v>1.0084546546483022</v>
      </c>
      <c r="R51">
        <f t="shared" si="5"/>
        <v>40.789155436642375</v>
      </c>
    </row>
    <row r="52" spans="1:18" x14ac:dyDescent="0.25">
      <c r="A52">
        <f t="shared" si="0"/>
        <v>1957.1666666666599</v>
      </c>
      <c r="B52">
        <f t="shared" si="0"/>
        <v>45</v>
      </c>
      <c r="C52">
        <f t="shared" si="1"/>
        <v>90.946002463551793</v>
      </c>
      <c r="D52">
        <f t="shared" si="6"/>
        <v>5</v>
      </c>
      <c r="E52">
        <f t="shared" si="6"/>
        <v>9.2775863788892536</v>
      </c>
      <c r="F52">
        <f t="shared" si="7"/>
        <v>3.3333333333333335</v>
      </c>
      <c r="G52">
        <f t="shared" si="8"/>
        <v>10.690694913027869</v>
      </c>
      <c r="H52">
        <f t="shared" si="12"/>
        <v>3.166666666666667</v>
      </c>
      <c r="I52">
        <f t="shared" si="12"/>
        <v>7.3941054597889657</v>
      </c>
      <c r="J52">
        <f t="shared" si="2"/>
        <v>1957.1666666666599</v>
      </c>
      <c r="K52">
        <f t="shared" si="3"/>
        <v>45</v>
      </c>
      <c r="L52">
        <f t="shared" si="4"/>
        <v>73.3266183926427</v>
      </c>
      <c r="M52" s="5">
        <v>1884.1666666666599</v>
      </c>
      <c r="N52" s="5">
        <v>-30</v>
      </c>
      <c r="O52" s="5">
        <v>-149.604637386403</v>
      </c>
      <c r="Q52">
        <f t="shared" si="9"/>
        <v>7.3573615796945351</v>
      </c>
      <c r="R52">
        <f t="shared" si="5"/>
        <v>45.946002463551793</v>
      </c>
    </row>
    <row r="53" spans="1:18" x14ac:dyDescent="0.25">
      <c r="A53">
        <f t="shared" si="0"/>
        <v>1957.25</v>
      </c>
      <c r="B53">
        <f t="shared" si="0"/>
        <v>45</v>
      </c>
      <c r="C53">
        <f t="shared" si="1"/>
        <v>87.547676732682689</v>
      </c>
      <c r="D53">
        <f t="shared" si="6"/>
        <v>7.5</v>
      </c>
      <c r="E53">
        <f t="shared" si="6"/>
        <v>17.251953349199255</v>
      </c>
      <c r="F53">
        <f t="shared" si="7"/>
        <v>3.3333333333333335</v>
      </c>
      <c r="G53">
        <f t="shared" si="8"/>
        <v>11.341779985605243</v>
      </c>
      <c r="H53">
        <f t="shared" si="12"/>
        <v>3.3333333333333335</v>
      </c>
      <c r="I53">
        <f t="shared" si="12"/>
        <v>6.4440988295541617</v>
      </c>
      <c r="J53">
        <f t="shared" si="2"/>
        <v>1957.25</v>
      </c>
      <c r="K53">
        <f t="shared" si="3"/>
        <v>45</v>
      </c>
      <c r="L53">
        <f t="shared" si="4"/>
        <v>69.248750481873302</v>
      </c>
      <c r="M53" s="5">
        <v>1884.25</v>
      </c>
      <c r="N53" s="5">
        <v>-30</v>
      </c>
      <c r="O53" s="5">
        <v>-151.95972123342199</v>
      </c>
      <c r="Q53">
        <f t="shared" si="9"/>
        <v>8.0084466522719087</v>
      </c>
      <c r="R53">
        <f t="shared" si="5"/>
        <v>42.547676732682689</v>
      </c>
    </row>
    <row r="54" spans="1:18" x14ac:dyDescent="0.25">
      <c r="A54">
        <f t="shared" si="0"/>
        <v>1957.3333333333301</v>
      </c>
      <c r="B54">
        <f t="shared" si="0"/>
        <v>30</v>
      </c>
      <c r="C54">
        <f t="shared" si="1"/>
        <v>49.645444303415069</v>
      </c>
      <c r="D54">
        <f t="shared" si="6"/>
        <v>-2.5</v>
      </c>
      <c r="E54">
        <f t="shared" si="6"/>
        <v>16.002135217931148</v>
      </c>
      <c r="F54">
        <f t="shared" si="7"/>
        <v>3.3333333333333335</v>
      </c>
      <c r="G54">
        <f t="shared" si="8"/>
        <v>4.8109218949155839</v>
      </c>
      <c r="H54">
        <f t="shared" si="12"/>
        <v>2</v>
      </c>
      <c r="I54">
        <f t="shared" si="12"/>
        <v>2.8577210208288824</v>
      </c>
      <c r="J54">
        <f t="shared" si="2"/>
        <v>1957.3333333333301</v>
      </c>
      <c r="K54">
        <f t="shared" si="3"/>
        <v>30</v>
      </c>
      <c r="L54">
        <f t="shared" si="4"/>
        <v>23.7674430351308</v>
      </c>
      <c r="M54" s="5">
        <v>1884.3333333333301</v>
      </c>
      <c r="N54" s="5">
        <v>-30</v>
      </c>
      <c r="O54" s="5">
        <v>-159.322962226139</v>
      </c>
      <c r="Q54">
        <f t="shared" si="9"/>
        <v>1.4775885615822504</v>
      </c>
      <c r="R54">
        <f t="shared" si="5"/>
        <v>19.645444303415069</v>
      </c>
    </row>
    <row r="55" spans="1:18" x14ac:dyDescent="0.25">
      <c r="A55">
        <f t="shared" si="0"/>
        <v>1957.4166666666599</v>
      </c>
      <c r="B55">
        <f t="shared" si="0"/>
        <v>20</v>
      </c>
      <c r="C55">
        <f t="shared" si="1"/>
        <v>-20.261058561714851</v>
      </c>
      <c r="D55">
        <f t="shared" si="6"/>
        <v>5</v>
      </c>
      <c r="E55">
        <f t="shared" si="6"/>
        <v>-15.213131461196966</v>
      </c>
      <c r="F55">
        <f t="shared" si="7"/>
        <v>-0.83333333333333337</v>
      </c>
      <c r="G55">
        <f t="shared" si="8"/>
        <v>-3.1313573004261914</v>
      </c>
      <c r="H55">
        <f t="shared" si="12"/>
        <v>1.3333333333333335</v>
      </c>
      <c r="I55">
        <f t="shared" si="12"/>
        <v>-0.27954746006490916</v>
      </c>
      <c r="J55">
        <f t="shared" si="2"/>
        <v>1957.4166666666599</v>
      </c>
      <c r="K55">
        <f t="shared" si="3"/>
        <v>20</v>
      </c>
      <c r="L55">
        <f t="shared" si="4"/>
        <v>-60.117830880303202</v>
      </c>
      <c r="M55" s="5">
        <v>1884.4166666666599</v>
      </c>
      <c r="N55" s="5">
        <v>-30</v>
      </c>
      <c r="O55" s="5">
        <v>-165.07169222414299</v>
      </c>
      <c r="Q55">
        <f t="shared" si="9"/>
        <v>2.2980239670928579</v>
      </c>
      <c r="R55">
        <f t="shared" si="5"/>
        <v>40.261058561714847</v>
      </c>
    </row>
    <row r="56" spans="1:18" x14ac:dyDescent="0.25">
      <c r="A56">
        <f t="shared" si="0"/>
        <v>1957.5</v>
      </c>
      <c r="B56">
        <f t="shared" si="0"/>
        <v>0</v>
      </c>
      <c r="C56">
        <f t="shared" si="1"/>
        <v>-59.741298504450839</v>
      </c>
      <c r="D56">
        <f t="shared" si="6"/>
        <v>-5</v>
      </c>
      <c r="E56">
        <f t="shared" si="6"/>
        <v>-12.531593633332399</v>
      </c>
      <c r="F56">
        <f t="shared" si="7"/>
        <v>0.83333333333333337</v>
      </c>
      <c r="G56">
        <f t="shared" si="8"/>
        <v>-9.4234343889780927</v>
      </c>
      <c r="H56">
        <f t="shared" ref="H56:I71" si="13">+AVERAGE(F54:F58)</f>
        <v>1.1666666666666667</v>
      </c>
      <c r="I56">
        <f t="shared" si="13"/>
        <v>-2.7208354343615633</v>
      </c>
      <c r="J56">
        <f t="shared" si="2"/>
        <v>1957.5</v>
      </c>
      <c r="K56">
        <f t="shared" si="3"/>
        <v>0</v>
      </c>
      <c r="L56">
        <f t="shared" si="4"/>
        <v>-107.492690244001</v>
      </c>
      <c r="M56" s="5">
        <v>1884.5</v>
      </c>
      <c r="N56" s="5">
        <v>-30</v>
      </c>
      <c r="O56" s="5">
        <v>-162.827017979776</v>
      </c>
      <c r="Q56">
        <f t="shared" si="9"/>
        <v>10.256767722311427</v>
      </c>
      <c r="R56">
        <f t="shared" si="5"/>
        <v>59.741298504450839</v>
      </c>
    </row>
    <row r="57" spans="1:18" x14ac:dyDescent="0.25">
      <c r="A57">
        <f t="shared" si="0"/>
        <v>1957.5833333333301</v>
      </c>
      <c r="B57">
        <f t="shared" si="0"/>
        <v>-10</v>
      </c>
      <c r="C57">
        <f t="shared" si="1"/>
        <v>-74.158351180522033</v>
      </c>
      <c r="D57">
        <f t="shared" si="6"/>
        <v>2.5</v>
      </c>
      <c r="E57">
        <f t="shared" si="6"/>
        <v>-7.5931538641384861</v>
      </c>
      <c r="F57">
        <f t="shared" si="7"/>
        <v>0</v>
      </c>
      <c r="G57">
        <f t="shared" si="8"/>
        <v>-4.9956474914410878</v>
      </c>
      <c r="H57">
        <f t="shared" si="13"/>
        <v>0</v>
      </c>
      <c r="I57">
        <f t="shared" si="13"/>
        <v>-3.6927781740072745</v>
      </c>
      <c r="J57">
        <f t="shared" si="2"/>
        <v>1957.5833333333301</v>
      </c>
      <c r="K57">
        <f t="shared" si="3"/>
        <v>-10</v>
      </c>
      <c r="L57">
        <f t="shared" si="4"/>
        <v>-124.792631783327</v>
      </c>
      <c r="M57" s="5">
        <v>1884.5833333333301</v>
      </c>
      <c r="N57" s="5">
        <v>-30</v>
      </c>
      <c r="O57" s="5">
        <v>-148.238206081811</v>
      </c>
      <c r="Q57">
        <f t="shared" si="9"/>
        <v>4.9956474914410878</v>
      </c>
      <c r="R57">
        <f t="shared" si="5"/>
        <v>64.158351180522033</v>
      </c>
    </row>
    <row r="58" spans="1:18" x14ac:dyDescent="0.25">
      <c r="A58">
        <f t="shared" si="0"/>
        <v>1957.6666666666599</v>
      </c>
      <c r="B58">
        <f t="shared" si="0"/>
        <v>-25</v>
      </c>
      <c r="C58">
        <f t="shared" si="1"/>
        <v>-73.38909612831624</v>
      </c>
      <c r="D58">
        <f t="shared" si="6"/>
        <v>2.5</v>
      </c>
      <c r="E58">
        <f t="shared" si="6"/>
        <v>1.3910694045668066</v>
      </c>
      <c r="F58">
        <f t="shared" si="7"/>
        <v>2.5</v>
      </c>
      <c r="G58">
        <f t="shared" si="8"/>
        <v>-0.86465988587802567</v>
      </c>
      <c r="H58">
        <f t="shared" si="13"/>
        <v>-1</v>
      </c>
      <c r="I58">
        <f t="shared" si="13"/>
        <v>-3.3854324297118468</v>
      </c>
      <c r="J58">
        <f t="shared" si="2"/>
        <v>1957.6666666666599</v>
      </c>
      <c r="K58">
        <f t="shared" si="3"/>
        <v>-25</v>
      </c>
      <c r="L58">
        <f t="shared" si="4"/>
        <v>-123.869553555689</v>
      </c>
      <c r="M58" s="5">
        <v>1884.6666666666599</v>
      </c>
      <c r="N58" s="5">
        <v>-30</v>
      </c>
      <c r="O58" s="5">
        <v>-121.432045152211</v>
      </c>
      <c r="Q58">
        <f t="shared" si="9"/>
        <v>3.3646598858780257</v>
      </c>
      <c r="R58">
        <f t="shared" si="5"/>
        <v>48.38909612831624</v>
      </c>
    </row>
    <row r="59" spans="1:18" x14ac:dyDescent="0.25">
      <c r="A59">
        <f t="shared" si="0"/>
        <v>1957.75</v>
      </c>
      <c r="B59">
        <f t="shared" si="0"/>
        <v>-45</v>
      </c>
      <c r="C59">
        <f t="shared" si="1"/>
        <v>-75.40197988524406</v>
      </c>
      <c r="D59">
        <f t="shared" si="6"/>
        <v>2.5</v>
      </c>
      <c r="E59">
        <f t="shared" si="6"/>
        <v>2.9596098875290835</v>
      </c>
      <c r="F59">
        <f t="shared" si="7"/>
        <v>-2.5</v>
      </c>
      <c r="G59">
        <f t="shared" si="8"/>
        <v>-4.8791803312974481E-2</v>
      </c>
      <c r="H59">
        <f t="shared" si="13"/>
        <v>-2</v>
      </c>
      <c r="I59">
        <f t="shared" si="13"/>
        <v>-1.8477578636524186</v>
      </c>
      <c r="J59">
        <f t="shared" si="2"/>
        <v>1957.75</v>
      </c>
      <c r="K59">
        <f t="shared" si="3"/>
        <v>-45</v>
      </c>
      <c r="L59">
        <f t="shared" si="4"/>
        <v>-126.284941229073</v>
      </c>
      <c r="M59" s="5">
        <v>1884.75</v>
      </c>
      <c r="N59" s="5">
        <v>-30</v>
      </c>
      <c r="O59" s="5">
        <v>-104.440943024973</v>
      </c>
      <c r="Q59">
        <f t="shared" si="9"/>
        <v>2.4512081966870256</v>
      </c>
      <c r="R59">
        <f t="shared" si="5"/>
        <v>30.40197988524406</v>
      </c>
    </row>
    <row r="60" spans="1:18" x14ac:dyDescent="0.25">
      <c r="A60">
        <f t="shared" si="0"/>
        <v>1957.8333333333301</v>
      </c>
      <c r="B60">
        <f t="shared" si="0"/>
        <v>-70</v>
      </c>
      <c r="C60">
        <f t="shared" si="1"/>
        <v>-83.334083417230048</v>
      </c>
      <c r="D60">
        <f t="shared" si="6"/>
        <v>-12.5</v>
      </c>
      <c r="E60">
        <f t="shared" si="6"/>
        <v>-4.5336485545195444</v>
      </c>
      <c r="F60">
        <f t="shared" si="7"/>
        <v>-5.833333333333333</v>
      </c>
      <c r="G60">
        <f t="shared" si="8"/>
        <v>-1.5946285789490504</v>
      </c>
      <c r="H60">
        <f t="shared" si="13"/>
        <v>-2</v>
      </c>
      <c r="I60">
        <f t="shared" si="13"/>
        <v>-0.56543004559678078</v>
      </c>
      <c r="J60">
        <f t="shared" si="2"/>
        <v>1957.8333333333301</v>
      </c>
      <c r="K60">
        <f t="shared" si="3"/>
        <v>-70</v>
      </c>
      <c r="L60">
        <f t="shared" si="4"/>
        <v>-135.80317844929201</v>
      </c>
      <c r="M60" s="5">
        <v>1884.8333333333301</v>
      </c>
      <c r="N60" s="5">
        <v>-30</v>
      </c>
      <c r="O60" s="5">
        <v>-105.83048814419401</v>
      </c>
      <c r="Q60">
        <f t="shared" si="9"/>
        <v>4.2387047543842824</v>
      </c>
      <c r="R60">
        <f t="shared" si="5"/>
        <v>13.334083417230048</v>
      </c>
    </row>
    <row r="61" spans="1:18" x14ac:dyDescent="0.25">
      <c r="A61">
        <f t="shared" si="0"/>
        <v>1957.9166666666599</v>
      </c>
      <c r="B61">
        <f t="shared" si="0"/>
        <v>-70</v>
      </c>
      <c r="C61">
        <f t="shared" si="1"/>
        <v>-82.198889840176946</v>
      </c>
      <c r="D61">
        <f t="shared" si="6"/>
        <v>-7.5</v>
      </c>
      <c r="E61">
        <f t="shared" si="6"/>
        <v>-4.4058185040684776</v>
      </c>
      <c r="F61">
        <f t="shared" si="7"/>
        <v>-4.166666666666667</v>
      </c>
      <c r="G61">
        <f t="shared" si="8"/>
        <v>-1.735061558680953</v>
      </c>
      <c r="H61">
        <f t="shared" si="13"/>
        <v>-1.8333333333333333</v>
      </c>
      <c r="I61">
        <f t="shared" si="13"/>
        <v>0.45544724015248611</v>
      </c>
      <c r="J61">
        <f t="shared" si="2"/>
        <v>1957.9166666666599</v>
      </c>
      <c r="K61">
        <f t="shared" si="3"/>
        <v>-70</v>
      </c>
      <c r="L61">
        <f t="shared" si="4"/>
        <v>-134.44098723309199</v>
      </c>
      <c r="M61" s="5">
        <v>1884.9166666666599</v>
      </c>
      <c r="N61" s="5">
        <v>-30</v>
      </c>
      <c r="O61" s="5">
        <v>-98.386466345411193</v>
      </c>
      <c r="Q61">
        <f t="shared" si="9"/>
        <v>2.4316051079857139</v>
      </c>
      <c r="R61">
        <f t="shared" si="5"/>
        <v>12.198889840176946</v>
      </c>
    </row>
    <row r="62" spans="1:18" x14ac:dyDescent="0.25">
      <c r="A62">
        <f t="shared" si="0"/>
        <v>1958</v>
      </c>
      <c r="B62">
        <f t="shared" si="0"/>
        <v>-55</v>
      </c>
      <c r="C62">
        <f t="shared" si="1"/>
        <v>-72.252059254986889</v>
      </c>
      <c r="D62">
        <f t="shared" si="6"/>
        <v>7.5</v>
      </c>
      <c r="E62">
        <f t="shared" si="6"/>
        <v>2.4329862135344484</v>
      </c>
      <c r="F62">
        <f t="shared" si="7"/>
        <v>0</v>
      </c>
      <c r="G62">
        <f t="shared" si="8"/>
        <v>1.4159915988371004</v>
      </c>
      <c r="H62">
        <f t="shared" si="13"/>
        <v>0</v>
      </c>
      <c r="I62">
        <f t="shared" si="13"/>
        <v>1.1001067483174272</v>
      </c>
      <c r="J62">
        <f t="shared" si="2"/>
        <v>1958</v>
      </c>
      <c r="K62">
        <f t="shared" si="3"/>
        <v>-55</v>
      </c>
      <c r="L62">
        <f t="shared" si="4"/>
        <v>-122.505150450656</v>
      </c>
      <c r="M62" s="5">
        <v>1885</v>
      </c>
      <c r="N62" s="5">
        <v>-30</v>
      </c>
      <c r="O62" s="5">
        <v>-78.664194417155997</v>
      </c>
      <c r="Q62">
        <f t="shared" si="9"/>
        <v>1.4159915988371004</v>
      </c>
      <c r="R62">
        <f t="shared" si="5"/>
        <v>17.252059254986889</v>
      </c>
    </row>
    <row r="63" spans="1:18" x14ac:dyDescent="0.25">
      <c r="A63">
        <f t="shared" si="0"/>
        <v>1958.0833333333301</v>
      </c>
      <c r="B63">
        <f t="shared" si="0"/>
        <v>-55</v>
      </c>
      <c r="C63">
        <f t="shared" si="1"/>
        <v>-67.171201096865744</v>
      </c>
      <c r="D63">
        <f t="shared" si="6"/>
        <v>0</v>
      </c>
      <c r="E63">
        <f t="shared" si="6"/>
        <v>7.282800786173155</v>
      </c>
      <c r="F63">
        <f t="shared" si="7"/>
        <v>3.3333333333333335</v>
      </c>
      <c r="G63">
        <f t="shared" si="8"/>
        <v>4.2397265428683077</v>
      </c>
      <c r="H63">
        <f t="shared" si="13"/>
        <v>1.6666666666666667</v>
      </c>
      <c r="I63">
        <f t="shared" si="13"/>
        <v>1.3522731981758003</v>
      </c>
      <c r="J63">
        <f t="shared" si="2"/>
        <v>1958.0833333333301</v>
      </c>
      <c r="K63">
        <f t="shared" si="3"/>
        <v>-55</v>
      </c>
      <c r="L63">
        <f t="shared" si="4"/>
        <v>-116.408304508559</v>
      </c>
      <c r="M63" s="5">
        <v>1885.0833333333301</v>
      </c>
      <c r="N63" s="5">
        <v>-30</v>
      </c>
      <c r="O63" s="5">
        <v>-63.247276953290303</v>
      </c>
      <c r="Q63">
        <f t="shared" si="9"/>
        <v>0.90639320953497426</v>
      </c>
      <c r="R63">
        <f t="shared" si="5"/>
        <v>12.171201096865744</v>
      </c>
    </row>
    <row r="64" spans="1:18" x14ac:dyDescent="0.25">
      <c r="A64">
        <f t="shared" si="0"/>
        <v>1958.1666666666599</v>
      </c>
      <c r="B64">
        <f t="shared" si="0"/>
        <v>-55</v>
      </c>
      <c r="C64">
        <f t="shared" si="1"/>
        <v>-76.655944511090908</v>
      </c>
      <c r="D64">
        <f t="shared" si="6"/>
        <v>2.5</v>
      </c>
      <c r="E64">
        <f t="shared" si="6"/>
        <v>6.1831875360485498</v>
      </c>
      <c r="F64">
        <f t="shared" si="7"/>
        <v>6.666666666666667</v>
      </c>
      <c r="G64">
        <f t="shared" si="8"/>
        <v>3.1745057375117316</v>
      </c>
      <c r="H64">
        <f t="shared" si="13"/>
        <v>2.333333333333333</v>
      </c>
      <c r="I64">
        <f t="shared" si="13"/>
        <v>1.0098411333272879</v>
      </c>
      <c r="J64">
        <f t="shared" si="2"/>
        <v>1958.1666666666599</v>
      </c>
      <c r="K64">
        <f t="shared" si="3"/>
        <v>-55</v>
      </c>
      <c r="L64">
        <f t="shared" si="4"/>
        <v>-127.78965340617</v>
      </c>
      <c r="M64" s="5">
        <v>1885.1666666666599</v>
      </c>
      <c r="N64" s="5">
        <v>-30</v>
      </c>
      <c r="O64" s="5">
        <v>-57.736851600708597</v>
      </c>
      <c r="Q64">
        <f t="shared" si="9"/>
        <v>3.4921609291549354</v>
      </c>
      <c r="R64">
        <f t="shared" si="5"/>
        <v>21.655944511090908</v>
      </c>
    </row>
    <row r="65" spans="1:18" x14ac:dyDescent="0.25">
      <c r="A65">
        <f t="shared" si="0"/>
        <v>1958.25</v>
      </c>
      <c r="B65">
        <f t="shared" si="0"/>
        <v>-60</v>
      </c>
      <c r="C65">
        <f t="shared" si="1"/>
        <v>-98.507062997413186</v>
      </c>
      <c r="D65">
        <f t="shared" si="6"/>
        <v>17.5</v>
      </c>
      <c r="E65">
        <f t="shared" si="6"/>
        <v>-1.5615918065527126</v>
      </c>
      <c r="F65">
        <f t="shared" si="7"/>
        <v>2.5</v>
      </c>
      <c r="G65">
        <f t="shared" si="8"/>
        <v>-0.33379632965718431</v>
      </c>
      <c r="H65">
        <f t="shared" si="13"/>
        <v>0.99999999999999978</v>
      </c>
      <c r="I65">
        <f t="shared" si="13"/>
        <v>-0.1678029566149159</v>
      </c>
      <c r="J65">
        <f t="shared" si="2"/>
        <v>1958.25</v>
      </c>
      <c r="K65">
        <f t="shared" si="3"/>
        <v>-60</v>
      </c>
      <c r="L65">
        <f t="shared" si="4"/>
        <v>-154.010204920814</v>
      </c>
      <c r="M65" s="5">
        <v>1885.25</v>
      </c>
      <c r="N65" s="5">
        <v>-30</v>
      </c>
      <c r="O65" s="5">
        <v>-59.309647118289398</v>
      </c>
      <c r="Q65">
        <f t="shared" si="9"/>
        <v>2.8337963296571842</v>
      </c>
      <c r="R65">
        <f t="shared" si="5"/>
        <v>38.507062997413186</v>
      </c>
    </row>
    <row r="66" spans="1:18" x14ac:dyDescent="0.25">
      <c r="A66">
        <f t="shared" si="0"/>
        <v>1958.3333333333301</v>
      </c>
      <c r="B66">
        <f t="shared" si="0"/>
        <v>-100</v>
      </c>
      <c r="C66">
        <f t="shared" si="1"/>
        <v>-117.23499787063002</v>
      </c>
      <c r="D66">
        <f t="shared" si="6"/>
        <v>-12.5</v>
      </c>
      <c r="E66">
        <f t="shared" si="6"/>
        <v>-5.8733319657102783</v>
      </c>
      <c r="F66">
        <f t="shared" si="7"/>
        <v>-0.83333333333333337</v>
      </c>
      <c r="G66">
        <f t="shared" si="8"/>
        <v>-3.4472218829235168</v>
      </c>
      <c r="H66">
        <f t="shared" si="13"/>
        <v>-0.33333333333333331</v>
      </c>
      <c r="I66">
        <f t="shared" si="13"/>
        <v>-1.7617111378183963</v>
      </c>
      <c r="J66">
        <f t="shared" si="2"/>
        <v>1958.3333333333301</v>
      </c>
      <c r="K66">
        <f t="shared" si="3"/>
        <v>-100</v>
      </c>
      <c r="L66">
        <f t="shared" si="4"/>
        <v>-176.48304911016101</v>
      </c>
      <c r="M66" s="5">
        <v>1885.3333333333301</v>
      </c>
      <c r="N66" s="5">
        <v>-30</v>
      </c>
      <c r="O66" s="5">
        <v>-50.444390294583101</v>
      </c>
      <c r="Q66">
        <f t="shared" si="9"/>
        <v>2.6138885495901834</v>
      </c>
      <c r="R66">
        <f t="shared" si="5"/>
        <v>17.234997870630025</v>
      </c>
    </row>
    <row r="67" spans="1:18" x14ac:dyDescent="0.25">
      <c r="A67">
        <f t="shared" si="0"/>
        <v>1958.4166666666599</v>
      </c>
      <c r="B67">
        <f t="shared" si="0"/>
        <v>-115</v>
      </c>
      <c r="C67">
        <f t="shared" si="1"/>
        <v>-124.21626881242631</v>
      </c>
      <c r="D67">
        <f t="shared" si="6"/>
        <v>-7.5</v>
      </c>
      <c r="E67">
        <f t="shared" si="6"/>
        <v>-5.4921582887001961</v>
      </c>
      <c r="F67">
        <f t="shared" si="7"/>
        <v>-6.666666666666667</v>
      </c>
      <c r="G67">
        <f t="shared" si="8"/>
        <v>-4.4722288508739174</v>
      </c>
      <c r="H67">
        <f t="shared" si="13"/>
        <v>-2</v>
      </c>
      <c r="I67">
        <f t="shared" si="13"/>
        <v>-2.541620715056164</v>
      </c>
      <c r="J67">
        <f t="shared" si="2"/>
        <v>1958.4166666666599</v>
      </c>
      <c r="K67">
        <f t="shared" si="3"/>
        <v>-115</v>
      </c>
      <c r="L67">
        <f t="shared" si="4"/>
        <v>-184.86032162743001</v>
      </c>
      <c r="M67" s="5">
        <v>1885.4166666666599</v>
      </c>
      <c r="N67" s="5">
        <v>-30</v>
      </c>
      <c r="O67" s="5">
        <v>-18.426005521764601</v>
      </c>
      <c r="Q67">
        <f t="shared" si="9"/>
        <v>2.1944378157927495</v>
      </c>
      <c r="R67">
        <f t="shared" si="5"/>
        <v>9.216268812426307</v>
      </c>
    </row>
    <row r="68" spans="1:18" x14ac:dyDescent="0.25">
      <c r="A68">
        <f t="shared" ref="A68:C131" si="14">+J68</f>
        <v>1958.5</v>
      </c>
      <c r="B68">
        <f t="shared" si="14"/>
        <v>-115</v>
      </c>
      <c r="C68">
        <f t="shared" ref="C68:C131" si="15">+$B$1*L68+$D$1</f>
        <v>-120.2132231768222</v>
      </c>
      <c r="D68">
        <f t="shared" si="6"/>
        <v>0</v>
      </c>
      <c r="E68">
        <f t="shared" si="6"/>
        <v>-5.4053679363667158</v>
      </c>
      <c r="F68">
        <f t="shared" si="7"/>
        <v>-3.3333333333333335</v>
      </c>
      <c r="G68">
        <f t="shared" si="8"/>
        <v>-3.7298143631490954</v>
      </c>
      <c r="H68">
        <f t="shared" si="13"/>
        <v>-3.166666666666667</v>
      </c>
      <c r="I68">
        <f t="shared" si="13"/>
        <v>-2.0821177548794827</v>
      </c>
      <c r="J68">
        <f t="shared" ref="J68:J131" si="16">+$M944</f>
        <v>1958.5</v>
      </c>
      <c r="K68">
        <f t="shared" ref="K68:K131" si="17">+$N944</f>
        <v>-115</v>
      </c>
      <c r="L68">
        <f t="shared" ref="L68:L131" si="18">+$O944</f>
        <v>-180.056811712387</v>
      </c>
      <c r="M68" s="5">
        <v>1885.5</v>
      </c>
      <c r="N68" s="5">
        <v>-30</v>
      </c>
      <c r="O68" s="5">
        <v>13.348764316241001</v>
      </c>
      <c r="Q68">
        <f t="shared" si="9"/>
        <v>0.39648102981576194</v>
      </c>
      <c r="R68">
        <f t="shared" ref="R68:R131" si="19">+ABS(B68-C68)</f>
        <v>5.213223176822197</v>
      </c>
    </row>
    <row r="69" spans="1:18" x14ac:dyDescent="0.25">
      <c r="A69">
        <f t="shared" si="14"/>
        <v>1958.5833333333301</v>
      </c>
      <c r="B69">
        <f t="shared" si="14"/>
        <v>-115</v>
      </c>
      <c r="C69">
        <f t="shared" si="15"/>
        <v>-105.39944166848466</v>
      </c>
      <c r="D69">
        <f t="shared" ref="D69:E132" si="20">+B69-1/2*(B68+B70)</f>
        <v>-2.5</v>
      </c>
      <c r="E69">
        <f t="shared" si="20"/>
        <v>-3.0892776367421959</v>
      </c>
      <c r="F69">
        <f t="shared" si="7"/>
        <v>-1.6666666666666667</v>
      </c>
      <c r="G69">
        <f t="shared" si="8"/>
        <v>-0.7250421486771037</v>
      </c>
      <c r="H69">
        <f t="shared" si="13"/>
        <v>-3.5</v>
      </c>
      <c r="I69">
        <f t="shared" si="13"/>
        <v>-1.0724424810059718</v>
      </c>
      <c r="J69">
        <f t="shared" si="16"/>
        <v>1958.5833333333301</v>
      </c>
      <c r="K69">
        <f t="shared" si="17"/>
        <v>-115</v>
      </c>
      <c r="L69">
        <f t="shared" si="18"/>
        <v>-162.280809929724</v>
      </c>
      <c r="M69" s="5">
        <v>1885.5833333333301</v>
      </c>
      <c r="N69" s="5">
        <v>-30</v>
      </c>
      <c r="O69" s="5">
        <v>19.3766671052988</v>
      </c>
      <c r="Q69">
        <f t="shared" si="9"/>
        <v>0.94162451798956304</v>
      </c>
      <c r="R69">
        <f t="shared" si="19"/>
        <v>9.6005583315153444</v>
      </c>
    </row>
    <row r="70" spans="1:18" x14ac:dyDescent="0.25">
      <c r="A70">
        <f t="shared" si="14"/>
        <v>1958.6666666666599</v>
      </c>
      <c r="B70">
        <f t="shared" si="14"/>
        <v>-110</v>
      </c>
      <c r="C70">
        <f t="shared" si="15"/>
        <v>-84.407104886662722</v>
      </c>
      <c r="D70">
        <f t="shared" si="20"/>
        <v>-2.5</v>
      </c>
      <c r="E70">
        <f t="shared" si="20"/>
        <v>5.775737515569773</v>
      </c>
      <c r="F70">
        <f t="shared" ref="F70:F133" si="21">+AVERAGE(D69:D71)</f>
        <v>-3.3333333333333335</v>
      </c>
      <c r="G70">
        <f t="shared" ref="G70:G133" si="22">+$H$1*AVERAGE(E69:E71)+$F$1</f>
        <v>1.9637184712262183</v>
      </c>
      <c r="H70">
        <f t="shared" si="13"/>
        <v>-2</v>
      </c>
      <c r="I70">
        <f t="shared" si="13"/>
        <v>-0.40982736550087939</v>
      </c>
      <c r="J70">
        <f t="shared" si="16"/>
        <v>1958.6666666666599</v>
      </c>
      <c r="K70">
        <f t="shared" si="17"/>
        <v>-110</v>
      </c>
      <c r="L70">
        <f t="shared" si="18"/>
        <v>-137.09076538600601</v>
      </c>
      <c r="M70" s="5">
        <v>1885.6666666666599</v>
      </c>
      <c r="N70" s="5">
        <v>-30</v>
      </c>
      <c r="O70" s="5">
        <v>-12.1697478763036</v>
      </c>
      <c r="Q70">
        <f t="shared" ref="Q70:Q133" si="23">+ABS(F70-G70)</f>
        <v>5.297051804559552</v>
      </c>
      <c r="R70">
        <f t="shared" si="19"/>
        <v>25.592895113337278</v>
      </c>
    </row>
    <row r="71" spans="1:18" x14ac:dyDescent="0.25">
      <c r="A71">
        <f t="shared" si="14"/>
        <v>1958.75</v>
      </c>
      <c r="B71">
        <f t="shared" si="14"/>
        <v>-100</v>
      </c>
      <c r="C71">
        <f t="shared" si="15"/>
        <v>-74.966243135980321</v>
      </c>
      <c r="D71">
        <f t="shared" si="20"/>
        <v>-5</v>
      </c>
      <c r="E71">
        <f t="shared" si="20"/>
        <v>4.6774843882707415</v>
      </c>
      <c r="F71">
        <f t="shared" si="21"/>
        <v>-2.5</v>
      </c>
      <c r="G71">
        <f t="shared" si="22"/>
        <v>1.6011544864440379</v>
      </c>
      <c r="H71">
        <f t="shared" si="13"/>
        <v>-1</v>
      </c>
      <c r="I71">
        <f t="shared" si="13"/>
        <v>-0.27503632181546361</v>
      </c>
      <c r="J71">
        <f t="shared" si="16"/>
        <v>1958.75</v>
      </c>
      <c r="K71">
        <f t="shared" si="17"/>
        <v>-100</v>
      </c>
      <c r="L71">
        <f t="shared" si="18"/>
        <v>-125.76207289681599</v>
      </c>
      <c r="M71" s="5">
        <v>1885.75</v>
      </c>
      <c r="N71" s="5">
        <v>-30</v>
      </c>
      <c r="O71" s="5">
        <v>-77.146407680268695</v>
      </c>
      <c r="Q71">
        <f t="shared" si="23"/>
        <v>4.1011544864440381</v>
      </c>
      <c r="R71">
        <f t="shared" si="19"/>
        <v>25.033756864019679</v>
      </c>
    </row>
    <row r="72" spans="1:18" x14ac:dyDescent="0.25">
      <c r="A72">
        <f t="shared" si="14"/>
        <v>1958.8333333333301</v>
      </c>
      <c r="B72">
        <f t="shared" si="14"/>
        <v>-80</v>
      </c>
      <c r="C72">
        <f t="shared" si="15"/>
        <v>-74.880350161839402</v>
      </c>
      <c r="D72">
        <f t="shared" si="20"/>
        <v>0</v>
      </c>
      <c r="E72">
        <f t="shared" si="20"/>
        <v>-4.4488925796753733</v>
      </c>
      <c r="F72">
        <f t="shared" si="21"/>
        <v>0.83333333333333337</v>
      </c>
      <c r="G72">
        <f t="shared" si="22"/>
        <v>-1.1591532733484542</v>
      </c>
      <c r="H72">
        <f t="shared" ref="H72:I87" si="24">+AVERAGE(F70:F74)</f>
        <v>-1.1000000000000001</v>
      </c>
      <c r="I72">
        <f t="shared" si="24"/>
        <v>-0.63626348446537173</v>
      </c>
      <c r="J72">
        <f t="shared" si="16"/>
        <v>1958.8333333333301</v>
      </c>
      <c r="K72">
        <f t="shared" si="17"/>
        <v>-80</v>
      </c>
      <c r="L72">
        <f t="shared" si="18"/>
        <v>-125.65900443583</v>
      </c>
      <c r="M72" s="5">
        <v>1885.8333333333301</v>
      </c>
      <c r="N72" s="5">
        <v>-30</v>
      </c>
      <c r="O72" s="5">
        <v>-121.01691930119399</v>
      </c>
      <c r="Q72">
        <f t="shared" si="23"/>
        <v>1.9924866066817875</v>
      </c>
      <c r="R72">
        <f t="shared" si="19"/>
        <v>5.1196498381605977</v>
      </c>
    </row>
    <row r="73" spans="1:18" x14ac:dyDescent="0.25">
      <c r="A73">
        <f t="shared" si="14"/>
        <v>1958.9166666666599</v>
      </c>
      <c r="B73">
        <f t="shared" si="14"/>
        <v>-60</v>
      </c>
      <c r="C73">
        <f t="shared" si="15"/>
        <v>-65.896672028347737</v>
      </c>
      <c r="D73">
        <f t="shared" si="20"/>
        <v>7.5</v>
      </c>
      <c r="E73">
        <f t="shared" si="20"/>
        <v>-4.5754165836520713</v>
      </c>
      <c r="F73">
        <f t="shared" si="21"/>
        <v>1.6666666666666667</v>
      </c>
      <c r="G73">
        <f t="shared" si="22"/>
        <v>-3.0558591447220165</v>
      </c>
      <c r="H73">
        <f t="shared" si="24"/>
        <v>-1.1666666666666665</v>
      </c>
      <c r="I73">
        <f t="shared" si="24"/>
        <v>-1.2748056885717891</v>
      </c>
      <c r="J73">
        <f t="shared" si="16"/>
        <v>1958.9166666666599</v>
      </c>
      <c r="K73">
        <f t="shared" si="17"/>
        <v>-60</v>
      </c>
      <c r="L73">
        <f t="shared" si="18"/>
        <v>-114.878915744368</v>
      </c>
      <c r="M73" s="5">
        <v>1885.9166666666599</v>
      </c>
      <c r="N73" s="5">
        <v>-30</v>
      </c>
      <c r="O73" s="5">
        <v>-137.29956551435899</v>
      </c>
      <c r="Q73">
        <f t="shared" si="23"/>
        <v>4.7225258113886834</v>
      </c>
      <c r="R73">
        <f t="shared" si="19"/>
        <v>5.8966720283477372</v>
      </c>
    </row>
    <row r="74" spans="1:18" x14ac:dyDescent="0.25">
      <c r="A74">
        <f t="shared" si="14"/>
        <v>1959</v>
      </c>
      <c r="B74">
        <f t="shared" si="14"/>
        <v>-55</v>
      </c>
      <c r="C74">
        <f t="shared" si="15"/>
        <v>-47.76216072755193</v>
      </c>
      <c r="D74">
        <f t="shared" si="20"/>
        <v>-2.5</v>
      </c>
      <c r="E74">
        <f t="shared" si="20"/>
        <v>-2.4351626293801161</v>
      </c>
      <c r="F74">
        <f t="shared" si="21"/>
        <v>-2.1666666666666665</v>
      </c>
      <c r="G74">
        <f t="shared" si="22"/>
        <v>-2.5311779619266446</v>
      </c>
      <c r="H74">
        <f t="shared" si="24"/>
        <v>-0.83333333333333326</v>
      </c>
      <c r="I74">
        <f t="shared" si="24"/>
        <v>-1.5574712977522256</v>
      </c>
      <c r="J74">
        <f t="shared" si="16"/>
        <v>1959</v>
      </c>
      <c r="K74">
        <f t="shared" si="17"/>
        <v>-55</v>
      </c>
      <c r="L74">
        <f t="shared" si="18"/>
        <v>-93.1181583692685</v>
      </c>
      <c r="M74" s="5">
        <v>1886</v>
      </c>
      <c r="N74" s="5">
        <v>-30</v>
      </c>
      <c r="O74" s="5">
        <v>-142.416583818791</v>
      </c>
      <c r="Q74">
        <f t="shared" si="23"/>
        <v>0.36451129525997805</v>
      </c>
      <c r="R74">
        <f t="shared" si="19"/>
        <v>7.2378392724480705</v>
      </c>
    </row>
    <row r="75" spans="1:18" x14ac:dyDescent="0.25">
      <c r="A75">
        <f t="shared" si="14"/>
        <v>1959.0833333333301</v>
      </c>
      <c r="B75">
        <f t="shared" si="14"/>
        <v>-45</v>
      </c>
      <c r="C75">
        <f t="shared" si="15"/>
        <v>-24.757324167995886</v>
      </c>
      <c r="D75">
        <f t="shared" si="20"/>
        <v>-11.5</v>
      </c>
      <c r="E75">
        <f t="shared" si="20"/>
        <v>-2.4813381441927298</v>
      </c>
      <c r="F75">
        <f t="shared" si="21"/>
        <v>-3.6666666666666665</v>
      </c>
      <c r="G75">
        <f t="shared" si="22"/>
        <v>-1.2289925493058682</v>
      </c>
      <c r="H75">
        <f t="shared" si="24"/>
        <v>0.10000000000000017</v>
      </c>
      <c r="I75">
        <f t="shared" si="24"/>
        <v>-0.75680164097794966</v>
      </c>
      <c r="J75">
        <f t="shared" si="16"/>
        <v>1959.0833333333301</v>
      </c>
      <c r="K75">
        <f t="shared" si="17"/>
        <v>-45</v>
      </c>
      <c r="L75">
        <f t="shared" si="18"/>
        <v>-65.513186913304907</v>
      </c>
      <c r="M75" s="5">
        <v>1886.0833333333301</v>
      </c>
      <c r="N75" s="5">
        <v>-30</v>
      </c>
      <c r="O75" s="5">
        <v>-143.73021563122001</v>
      </c>
      <c r="Q75">
        <f t="shared" si="23"/>
        <v>2.4376741173607983</v>
      </c>
      <c r="R75">
        <f t="shared" si="19"/>
        <v>20.242675832004114</v>
      </c>
    </row>
    <row r="76" spans="1:18" x14ac:dyDescent="0.25">
      <c r="A76">
        <f t="shared" si="14"/>
        <v>1959.1666666666599</v>
      </c>
      <c r="B76">
        <f t="shared" si="14"/>
        <v>-12</v>
      </c>
      <c r="C76">
        <f t="shared" si="15"/>
        <v>3.2101886799456167</v>
      </c>
      <c r="D76">
        <f t="shared" si="20"/>
        <v>3</v>
      </c>
      <c r="E76">
        <f t="shared" si="20"/>
        <v>0.30777871367584098</v>
      </c>
      <c r="F76">
        <f t="shared" si="21"/>
        <v>-0.83333333333333337</v>
      </c>
      <c r="G76">
        <f t="shared" si="22"/>
        <v>0.18782644054185579</v>
      </c>
      <c r="H76">
        <f t="shared" si="24"/>
        <v>0.50000000000000011</v>
      </c>
      <c r="I76">
        <f t="shared" si="24"/>
        <v>0.82108343403131701</v>
      </c>
      <c r="J76">
        <f t="shared" si="16"/>
        <v>1959.1666666666599</v>
      </c>
      <c r="K76">
        <f t="shared" si="17"/>
        <v>-12</v>
      </c>
      <c r="L76">
        <f t="shared" si="18"/>
        <v>-31.953183482590699</v>
      </c>
      <c r="M76" s="5">
        <v>1886.1666666666599</v>
      </c>
      <c r="N76" s="5">
        <v>-30</v>
      </c>
      <c r="O76" s="5">
        <v>-143.85968501417699</v>
      </c>
      <c r="Q76">
        <f t="shared" si="23"/>
        <v>1.0211597738751892</v>
      </c>
      <c r="R76">
        <f t="shared" si="19"/>
        <v>15.210188679945617</v>
      </c>
    </row>
    <row r="77" spans="1:18" x14ac:dyDescent="0.25">
      <c r="A77">
        <f t="shared" si="14"/>
        <v>1959.25</v>
      </c>
      <c r="B77">
        <f t="shared" si="14"/>
        <v>15</v>
      </c>
      <c r="C77">
        <f t="shared" si="15"/>
        <v>30.562144100535438</v>
      </c>
      <c r="D77">
        <f t="shared" si="20"/>
        <v>6</v>
      </c>
      <c r="E77">
        <f t="shared" si="20"/>
        <v>2.877908582548848</v>
      </c>
      <c r="F77">
        <f t="shared" si="21"/>
        <v>5.5</v>
      </c>
      <c r="G77">
        <f t="shared" si="22"/>
        <v>2.8441950105229252</v>
      </c>
      <c r="H77">
        <f t="shared" si="24"/>
        <v>1.4333333333333331</v>
      </c>
      <c r="I77">
        <f t="shared" si="24"/>
        <v>1.9441961429344381</v>
      </c>
      <c r="J77">
        <f t="shared" si="16"/>
        <v>1959.25</v>
      </c>
      <c r="K77">
        <f t="shared" si="17"/>
        <v>15</v>
      </c>
      <c r="L77">
        <f t="shared" si="18"/>
        <v>0.86817330885881805</v>
      </c>
      <c r="M77" s="5">
        <v>1886.25</v>
      </c>
      <c r="N77" s="5">
        <v>-30</v>
      </c>
      <c r="O77" s="5">
        <v>-148.07581141030499</v>
      </c>
      <c r="Q77">
        <f t="shared" si="23"/>
        <v>2.6558049894770748</v>
      </c>
      <c r="R77">
        <f t="shared" si="19"/>
        <v>15.562144100535438</v>
      </c>
    </row>
    <row r="78" spans="1:18" x14ac:dyDescent="0.25">
      <c r="A78">
        <f t="shared" si="14"/>
        <v>1959.3333333333301</v>
      </c>
      <c r="B78">
        <f t="shared" si="14"/>
        <v>30</v>
      </c>
      <c r="C78">
        <f t="shared" si="15"/>
        <v>52.158282356027563</v>
      </c>
      <c r="D78">
        <f t="shared" si="20"/>
        <v>7.5</v>
      </c>
      <c r="E78">
        <f t="shared" si="20"/>
        <v>7.4800439932362792</v>
      </c>
      <c r="F78">
        <f t="shared" si="21"/>
        <v>3.6666666666666665</v>
      </c>
      <c r="G78">
        <f t="shared" si="22"/>
        <v>4.8335662303243172</v>
      </c>
      <c r="H78">
        <f t="shared" si="24"/>
        <v>2.166666666666667</v>
      </c>
      <c r="I78">
        <f t="shared" si="24"/>
        <v>2.4882532599057785</v>
      </c>
      <c r="J78">
        <f t="shared" si="16"/>
        <v>1959.3333333333301</v>
      </c>
      <c r="K78">
        <f t="shared" si="17"/>
        <v>30</v>
      </c>
      <c r="L78">
        <f t="shared" si="18"/>
        <v>26.7827577728055</v>
      </c>
      <c r="M78" s="5">
        <v>1886.3333333333301</v>
      </c>
      <c r="N78" s="5">
        <v>-30</v>
      </c>
      <c r="O78" s="5">
        <v>-156.328508086341</v>
      </c>
      <c r="Q78">
        <f t="shared" si="23"/>
        <v>1.1668995636576507</v>
      </c>
      <c r="R78">
        <f t="shared" si="19"/>
        <v>22.158282356027563</v>
      </c>
    </row>
    <row r="79" spans="1:18" x14ac:dyDescent="0.25">
      <c r="A79">
        <f t="shared" si="14"/>
        <v>1959.4166666666599</v>
      </c>
      <c r="B79">
        <f t="shared" si="14"/>
        <v>30</v>
      </c>
      <c r="C79">
        <f t="shared" si="15"/>
        <v>58.794332625047126</v>
      </c>
      <c r="D79">
        <f t="shared" si="20"/>
        <v>-2.5</v>
      </c>
      <c r="E79">
        <f t="shared" si="20"/>
        <v>7.767920787931061</v>
      </c>
      <c r="F79">
        <f t="shared" si="21"/>
        <v>2.5</v>
      </c>
      <c r="G79">
        <f t="shared" si="22"/>
        <v>3.0843855825889612</v>
      </c>
      <c r="H79">
        <f t="shared" si="24"/>
        <v>4</v>
      </c>
      <c r="I79">
        <f t="shared" si="24"/>
        <v>3.5052434027666606</v>
      </c>
      <c r="J79">
        <f t="shared" si="16"/>
        <v>1959.4166666666599</v>
      </c>
      <c r="K79">
        <f t="shared" si="17"/>
        <v>30</v>
      </c>
      <c r="L79">
        <f t="shared" si="18"/>
        <v>34.7457779743348</v>
      </c>
      <c r="M79" s="5">
        <v>1886.4166666666599</v>
      </c>
      <c r="N79" s="5">
        <v>-30</v>
      </c>
      <c r="O79" s="5">
        <v>-168.04477570506401</v>
      </c>
      <c r="Q79">
        <f t="shared" si="23"/>
        <v>0.58438558258896123</v>
      </c>
      <c r="R79">
        <f t="shared" si="19"/>
        <v>28.794332625047126</v>
      </c>
    </row>
    <row r="80" spans="1:18" x14ac:dyDescent="0.25">
      <c r="A80">
        <f t="shared" si="14"/>
        <v>1959.5</v>
      </c>
      <c r="B80">
        <f t="shared" si="14"/>
        <v>35</v>
      </c>
      <c r="C80">
        <f t="shared" si="15"/>
        <v>49.894541318204567</v>
      </c>
      <c r="D80">
        <f t="shared" si="20"/>
        <v>2.5</v>
      </c>
      <c r="E80">
        <f t="shared" si="20"/>
        <v>-3.6815188464587365</v>
      </c>
      <c r="F80">
        <f t="shared" si="21"/>
        <v>0</v>
      </c>
      <c r="G80">
        <f t="shared" si="22"/>
        <v>1.4912930355508347</v>
      </c>
      <c r="H80">
        <f t="shared" si="24"/>
        <v>5.0666666666666673</v>
      </c>
      <c r="I80">
        <f t="shared" si="24"/>
        <v>4.2792549644525852</v>
      </c>
      <c r="J80">
        <f t="shared" si="16"/>
        <v>1959.5</v>
      </c>
      <c r="K80">
        <f t="shared" si="17"/>
        <v>35</v>
      </c>
      <c r="L80">
        <f t="shared" si="18"/>
        <v>24.0663504394598</v>
      </c>
      <c r="M80" s="5">
        <v>1886.5</v>
      </c>
      <c r="N80" s="5">
        <v>-30</v>
      </c>
      <c r="O80" s="5">
        <v>-177.947736182646</v>
      </c>
      <c r="Q80">
        <f t="shared" si="23"/>
        <v>1.4912930355508347</v>
      </c>
      <c r="R80">
        <f t="shared" si="19"/>
        <v>14.894541318204567</v>
      </c>
    </row>
    <row r="81" spans="1:18" x14ac:dyDescent="0.25">
      <c r="A81">
        <f t="shared" si="14"/>
        <v>1959.5833333333301</v>
      </c>
      <c r="B81">
        <f t="shared" si="14"/>
        <v>35</v>
      </c>
      <c r="C81">
        <f t="shared" si="15"/>
        <v>48.357787704279474</v>
      </c>
      <c r="D81">
        <f t="shared" si="20"/>
        <v>0</v>
      </c>
      <c r="E81">
        <f t="shared" si="20"/>
        <v>1.5059469418433054</v>
      </c>
      <c r="F81">
        <f t="shared" si="21"/>
        <v>8.3333333333333339</v>
      </c>
      <c r="G81">
        <f t="shared" si="22"/>
        <v>5.272777154846267</v>
      </c>
      <c r="H81">
        <f t="shared" si="24"/>
        <v>5.166666666666667</v>
      </c>
      <c r="I81">
        <f t="shared" si="24"/>
        <v>4.0080842411637203</v>
      </c>
      <c r="J81">
        <f t="shared" si="16"/>
        <v>1959.5833333333301</v>
      </c>
      <c r="K81">
        <f t="shared" si="17"/>
        <v>35</v>
      </c>
      <c r="L81">
        <f t="shared" si="18"/>
        <v>22.2223017092101</v>
      </c>
      <c r="M81" s="5">
        <v>1886.5833333333301</v>
      </c>
      <c r="N81" s="5">
        <v>-30</v>
      </c>
      <c r="O81" s="5">
        <v>-176.94587212553299</v>
      </c>
      <c r="Q81">
        <f t="shared" si="23"/>
        <v>3.060556178487067</v>
      </c>
      <c r="R81">
        <f t="shared" si="19"/>
        <v>13.357787704279474</v>
      </c>
    </row>
    <row r="82" spans="1:18" x14ac:dyDescent="0.25">
      <c r="A82">
        <f t="shared" si="14"/>
        <v>1959.6666666666599</v>
      </c>
      <c r="B82">
        <f t="shared" si="14"/>
        <v>35</v>
      </c>
      <c r="C82">
        <f t="shared" si="15"/>
        <v>43.809140206667763</v>
      </c>
      <c r="D82">
        <f t="shared" si="20"/>
        <v>22.5</v>
      </c>
      <c r="E82">
        <f t="shared" si="20"/>
        <v>21.948486235288932</v>
      </c>
      <c r="F82">
        <f t="shared" si="21"/>
        <v>10.833333333333334</v>
      </c>
      <c r="G82">
        <f t="shared" si="22"/>
        <v>6.7142528189525494</v>
      </c>
      <c r="H82">
        <f t="shared" si="24"/>
        <v>3.166666666666667</v>
      </c>
      <c r="I82">
        <f t="shared" si="24"/>
        <v>2.487555710206705</v>
      </c>
      <c r="J82">
        <f t="shared" si="16"/>
        <v>1959.6666666666599</v>
      </c>
      <c r="K82">
        <f t="shared" si="17"/>
        <v>35</v>
      </c>
      <c r="L82">
        <f t="shared" si="18"/>
        <v>16.7640893020173</v>
      </c>
      <c r="M82" s="5">
        <v>1886.6666666666599</v>
      </c>
      <c r="N82" s="5">
        <v>-30</v>
      </c>
      <c r="O82" s="5">
        <v>-167.07173431616599</v>
      </c>
      <c r="Q82">
        <f t="shared" si="23"/>
        <v>4.1190805143807845</v>
      </c>
      <c r="R82">
        <f t="shared" si="19"/>
        <v>8.8091402066677631</v>
      </c>
    </row>
    <row r="83" spans="1:18" x14ac:dyDescent="0.25">
      <c r="A83">
        <f t="shared" si="14"/>
        <v>1959.75</v>
      </c>
      <c r="B83">
        <f t="shared" si="14"/>
        <v>-10</v>
      </c>
      <c r="C83">
        <f t="shared" si="15"/>
        <v>-4.6364797615218087</v>
      </c>
      <c r="D83">
        <f t="shared" si="20"/>
        <v>10</v>
      </c>
      <c r="E83">
        <f t="shared" si="20"/>
        <v>1.7240148939398203</v>
      </c>
      <c r="F83">
        <f t="shared" si="21"/>
        <v>4.166666666666667</v>
      </c>
      <c r="G83">
        <f t="shared" si="22"/>
        <v>3.4777126138799925</v>
      </c>
      <c r="H83">
        <f t="shared" si="24"/>
        <v>0.83333333333333393</v>
      </c>
      <c r="I83">
        <f t="shared" si="24"/>
        <v>0.8876079230376076</v>
      </c>
      <c r="J83">
        <f t="shared" si="16"/>
        <v>1959.75</v>
      </c>
      <c r="K83">
        <f t="shared" si="17"/>
        <v>-10</v>
      </c>
      <c r="L83">
        <f t="shared" si="18"/>
        <v>-41.368901685602303</v>
      </c>
      <c r="M83" s="5">
        <v>1886.75</v>
      </c>
      <c r="N83" s="5">
        <v>-30</v>
      </c>
      <c r="O83" s="5">
        <v>-158.101945538346</v>
      </c>
      <c r="Q83">
        <f t="shared" si="23"/>
        <v>0.68895405278667443</v>
      </c>
      <c r="R83">
        <f t="shared" si="19"/>
        <v>5.3635202384781913</v>
      </c>
    </row>
    <row r="84" spans="1:18" x14ac:dyDescent="0.25">
      <c r="A84">
        <f t="shared" si="14"/>
        <v>1959.8333333333301</v>
      </c>
      <c r="B84">
        <f t="shared" si="14"/>
        <v>-75</v>
      </c>
      <c r="C84">
        <f t="shared" si="15"/>
        <v>-56.530129517591021</v>
      </c>
      <c r="D84">
        <f t="shared" si="20"/>
        <v>-20</v>
      </c>
      <c r="E84">
        <f t="shared" si="20"/>
        <v>-10.631078827178783</v>
      </c>
      <c r="F84">
        <f t="shared" si="21"/>
        <v>-7.5</v>
      </c>
      <c r="G84">
        <f t="shared" si="22"/>
        <v>-4.5182570721961204</v>
      </c>
      <c r="H84">
        <f t="shared" si="24"/>
        <v>-2.1666666666666665</v>
      </c>
      <c r="I84">
        <f t="shared" si="24"/>
        <v>-0.97584520884364756</v>
      </c>
      <c r="J84">
        <f t="shared" si="16"/>
        <v>1959.8333333333301</v>
      </c>
      <c r="K84">
        <f t="shared" si="17"/>
        <v>-75</v>
      </c>
      <c r="L84">
        <f t="shared" si="18"/>
        <v>-103.63940365389399</v>
      </c>
      <c r="M84" s="5">
        <v>1886.8333333333301</v>
      </c>
      <c r="N84" s="5">
        <v>-30</v>
      </c>
      <c r="O84" s="5">
        <v>-146.90674873946099</v>
      </c>
      <c r="Q84">
        <f t="shared" si="23"/>
        <v>2.9817429278038796</v>
      </c>
      <c r="R84">
        <f t="shared" si="19"/>
        <v>18.469870482408979</v>
      </c>
    </row>
    <row r="85" spans="1:18" x14ac:dyDescent="0.25">
      <c r="A85">
        <f t="shared" si="14"/>
        <v>1959.9166666666599</v>
      </c>
      <c r="B85">
        <f t="shared" si="14"/>
        <v>-100</v>
      </c>
      <c r="C85">
        <f t="shared" si="15"/>
        <v>-87.161621619302664</v>
      </c>
      <c r="D85">
        <f t="shared" si="20"/>
        <v>-12.5</v>
      </c>
      <c r="E85">
        <f t="shared" si="20"/>
        <v>-8.0364000874964887</v>
      </c>
      <c r="F85">
        <f t="shared" si="21"/>
        <v>-11.666666666666666</v>
      </c>
      <c r="G85">
        <f t="shared" si="22"/>
        <v>-6.5084459002946504</v>
      </c>
      <c r="H85">
        <f t="shared" si="24"/>
        <v>-4.3333333333333339</v>
      </c>
      <c r="I85">
        <f t="shared" si="24"/>
        <v>-2.5646655175448019</v>
      </c>
      <c r="J85">
        <f t="shared" si="16"/>
        <v>1959.9166666666599</v>
      </c>
      <c r="K85">
        <f t="shared" si="17"/>
        <v>-100</v>
      </c>
      <c r="L85">
        <f t="shared" si="18"/>
        <v>-140.39608579472301</v>
      </c>
      <c r="M85" s="5">
        <v>1886.9166666666599</v>
      </c>
      <c r="N85" s="5">
        <v>-30</v>
      </c>
      <c r="O85" s="5">
        <v>-121.509423075081</v>
      </c>
      <c r="Q85">
        <f t="shared" si="23"/>
        <v>5.1582207663720157</v>
      </c>
      <c r="R85">
        <f t="shared" si="19"/>
        <v>12.838378380697336</v>
      </c>
    </row>
    <row r="86" spans="1:18" x14ac:dyDescent="0.25">
      <c r="A86">
        <f t="shared" si="14"/>
        <v>1960</v>
      </c>
      <c r="B86">
        <f t="shared" si="14"/>
        <v>-100</v>
      </c>
      <c r="C86">
        <f t="shared" si="15"/>
        <v>-101.72031354602132</v>
      </c>
      <c r="D86">
        <f t="shared" si="20"/>
        <v>-2.5</v>
      </c>
      <c r="E86">
        <f t="shared" si="20"/>
        <v>-5.7391932114296651</v>
      </c>
      <c r="F86">
        <f t="shared" si="21"/>
        <v>-6.666666666666667</v>
      </c>
      <c r="G86">
        <f t="shared" si="22"/>
        <v>-4.0444885045600101</v>
      </c>
      <c r="H86">
        <f t="shared" si="24"/>
        <v>-4.5</v>
      </c>
      <c r="I86">
        <f t="shared" si="24"/>
        <v>-3.1189935023372963</v>
      </c>
      <c r="J86">
        <f t="shared" si="16"/>
        <v>1960</v>
      </c>
      <c r="K86">
        <f t="shared" si="17"/>
        <v>-100</v>
      </c>
      <c r="L86">
        <f t="shared" si="18"/>
        <v>-157.86598930969899</v>
      </c>
      <c r="M86" s="5">
        <v>1887</v>
      </c>
      <c r="N86" s="5">
        <v>-30</v>
      </c>
      <c r="O86" s="5">
        <v>-70.859551835729306</v>
      </c>
      <c r="Q86">
        <f t="shared" si="23"/>
        <v>2.6221781621066569</v>
      </c>
      <c r="R86">
        <f t="shared" si="19"/>
        <v>1.7203135460213161</v>
      </c>
    </row>
    <row r="87" spans="1:18" x14ac:dyDescent="0.25">
      <c r="A87">
        <f t="shared" si="14"/>
        <v>1960.0833333333301</v>
      </c>
      <c r="B87">
        <f t="shared" si="14"/>
        <v>-95</v>
      </c>
      <c r="C87">
        <f t="shared" si="15"/>
        <v>-104.80061904988062</v>
      </c>
      <c r="D87">
        <f t="shared" si="20"/>
        <v>-5</v>
      </c>
      <c r="E87">
        <f t="shared" si="20"/>
        <v>-1.3912385931738811</v>
      </c>
      <c r="F87">
        <f t="shared" si="21"/>
        <v>0</v>
      </c>
      <c r="G87">
        <f t="shared" si="22"/>
        <v>-1.2298487245532215</v>
      </c>
      <c r="H87">
        <f t="shared" si="24"/>
        <v>-1.9999999999999996</v>
      </c>
      <c r="I87">
        <f t="shared" si="24"/>
        <v>-2.0230238271427838</v>
      </c>
      <c r="J87">
        <f t="shared" si="16"/>
        <v>1960.0833333333301</v>
      </c>
      <c r="K87">
        <f t="shared" si="17"/>
        <v>-95</v>
      </c>
      <c r="L87">
        <f t="shared" si="18"/>
        <v>-161.56224445541801</v>
      </c>
      <c r="M87" s="5">
        <v>1887.0833333333301</v>
      </c>
      <c r="N87" s="5">
        <v>-30</v>
      </c>
      <c r="O87" s="5">
        <v>7.5014536172623298</v>
      </c>
      <c r="Q87">
        <f t="shared" si="23"/>
        <v>1.2298487245532215</v>
      </c>
      <c r="R87">
        <f t="shared" si="19"/>
        <v>9.8006190498806234</v>
      </c>
    </row>
    <row r="88" spans="1:18" x14ac:dyDescent="0.25">
      <c r="A88">
        <f t="shared" si="14"/>
        <v>1960.1666666666599</v>
      </c>
      <c r="B88">
        <f t="shared" si="14"/>
        <v>-80</v>
      </c>
      <c r="C88">
        <f t="shared" si="15"/>
        <v>-105.09844736739217</v>
      </c>
      <c r="D88">
        <f t="shared" si="20"/>
        <v>7.5</v>
      </c>
      <c r="E88">
        <f t="shared" si="20"/>
        <v>2.5184990875289657</v>
      </c>
      <c r="F88">
        <f t="shared" si="21"/>
        <v>3.3333333333333335</v>
      </c>
      <c r="G88">
        <f t="shared" si="22"/>
        <v>0.70607268991752037</v>
      </c>
      <c r="H88">
        <f t="shared" ref="H88:I103" si="25">+AVERAGE(F86:F90)</f>
        <v>0.33333333333333331</v>
      </c>
      <c r="I88">
        <f t="shared" si="25"/>
        <v>-0.83231510799791297</v>
      </c>
      <c r="J88">
        <f t="shared" si="16"/>
        <v>1960.1666666666599</v>
      </c>
      <c r="K88">
        <f t="shared" si="17"/>
        <v>-80</v>
      </c>
      <c r="L88">
        <f t="shared" si="18"/>
        <v>-161.919627659702</v>
      </c>
      <c r="M88" s="5">
        <v>1887.1666666666599</v>
      </c>
      <c r="N88" s="5">
        <v>-30</v>
      </c>
      <c r="O88" s="5">
        <v>30.4572783104698</v>
      </c>
      <c r="Q88">
        <f t="shared" si="23"/>
        <v>2.6272606434158132</v>
      </c>
      <c r="R88">
        <f t="shared" si="19"/>
        <v>25.098447367392168</v>
      </c>
    </row>
    <row r="89" spans="1:18" x14ac:dyDescent="0.25">
      <c r="A89">
        <f t="shared" si="14"/>
        <v>1960.25</v>
      </c>
      <c r="B89">
        <f t="shared" si="14"/>
        <v>-80</v>
      </c>
      <c r="C89">
        <f t="shared" si="15"/>
        <v>-110.43327385996164</v>
      </c>
      <c r="D89">
        <f t="shared" si="20"/>
        <v>7.5</v>
      </c>
      <c r="E89">
        <f t="shared" si="20"/>
        <v>1.5205120928356166</v>
      </c>
      <c r="F89">
        <f t="shared" si="21"/>
        <v>5</v>
      </c>
      <c r="G89">
        <f t="shared" si="22"/>
        <v>0.96159130377644342</v>
      </c>
      <c r="H89">
        <f t="shared" si="25"/>
        <v>-1.5666666666666669</v>
      </c>
      <c r="I89">
        <f t="shared" si="25"/>
        <v>-0.50911302147357673</v>
      </c>
      <c r="J89">
        <f t="shared" si="16"/>
        <v>1960.25</v>
      </c>
      <c r="K89">
        <f t="shared" si="17"/>
        <v>-80</v>
      </c>
      <c r="L89">
        <f t="shared" si="18"/>
        <v>-168.32122641345299</v>
      </c>
      <c r="M89" s="5">
        <v>1887.25</v>
      </c>
      <c r="N89" s="5">
        <v>-30</v>
      </c>
      <c r="O89" s="5">
        <v>-25.757153305727801</v>
      </c>
      <c r="Q89">
        <f t="shared" si="23"/>
        <v>4.0384086962235566</v>
      </c>
      <c r="R89">
        <f t="shared" si="19"/>
        <v>30.433273859961645</v>
      </c>
    </row>
    <row r="90" spans="1:18" x14ac:dyDescent="0.25">
      <c r="A90">
        <f t="shared" si="14"/>
        <v>1960.3333333333301</v>
      </c>
      <c r="B90">
        <f t="shared" si="14"/>
        <v>-95</v>
      </c>
      <c r="C90">
        <f t="shared" si="15"/>
        <v>-118.80912453820235</v>
      </c>
      <c r="D90">
        <f t="shared" si="20"/>
        <v>0</v>
      </c>
      <c r="E90">
        <f t="shared" si="20"/>
        <v>-0.43304379120291969</v>
      </c>
      <c r="F90">
        <f t="shared" si="21"/>
        <v>0</v>
      </c>
      <c r="G90">
        <f t="shared" si="22"/>
        <v>-0.55490230457029766</v>
      </c>
      <c r="H90">
        <f t="shared" si="25"/>
        <v>-2.666666666666667</v>
      </c>
      <c r="I90">
        <f t="shared" si="25"/>
        <v>-0.87985946465836162</v>
      </c>
      <c r="J90">
        <f t="shared" si="16"/>
        <v>1960.3333333333301</v>
      </c>
      <c r="K90">
        <f t="shared" si="17"/>
        <v>-95</v>
      </c>
      <c r="L90">
        <f t="shared" si="18"/>
        <v>-178.37194415246699</v>
      </c>
      <c r="M90" s="5">
        <v>1887.3333333333301</v>
      </c>
      <c r="N90" s="5">
        <v>-30</v>
      </c>
      <c r="O90" s="5">
        <v>-87.420621872710001</v>
      </c>
      <c r="Q90">
        <f t="shared" si="23"/>
        <v>0.55490230457029766</v>
      </c>
      <c r="R90">
        <f t="shared" si="19"/>
        <v>23.809124538202354</v>
      </c>
    </row>
    <row r="91" spans="1:18" x14ac:dyDescent="0.25">
      <c r="A91">
        <f t="shared" si="14"/>
        <v>1960.4166666666599</v>
      </c>
      <c r="B91">
        <f t="shared" si="14"/>
        <v>-110</v>
      </c>
      <c r="C91">
        <f t="shared" si="15"/>
        <v>-126.31888763403722</v>
      </c>
      <c r="D91">
        <f t="shared" si="20"/>
        <v>-7.5</v>
      </c>
      <c r="E91">
        <f t="shared" si="20"/>
        <v>-3.168351943771313</v>
      </c>
      <c r="F91">
        <f t="shared" si="21"/>
        <v>-16.166666666666668</v>
      </c>
      <c r="G91">
        <f t="shared" si="22"/>
        <v>-2.4284780719383283</v>
      </c>
      <c r="H91">
        <f t="shared" si="25"/>
        <v>-4</v>
      </c>
      <c r="I91">
        <f t="shared" si="25"/>
        <v>-1.3148602358586277</v>
      </c>
      <c r="J91">
        <f t="shared" si="16"/>
        <v>1960.4166666666599</v>
      </c>
      <c r="K91">
        <f t="shared" si="17"/>
        <v>-110</v>
      </c>
      <c r="L91">
        <f t="shared" si="18"/>
        <v>-187.38338813142701</v>
      </c>
      <c r="M91" s="5">
        <v>1887.4166666666599</v>
      </c>
      <c r="N91" s="5">
        <v>-30</v>
      </c>
      <c r="O91" s="5">
        <v>-120.710446839518</v>
      </c>
      <c r="Q91">
        <f t="shared" si="23"/>
        <v>13.738188594728339</v>
      </c>
      <c r="R91">
        <f t="shared" si="19"/>
        <v>16.318887634037225</v>
      </c>
    </row>
    <row r="92" spans="1:18" x14ac:dyDescent="0.25">
      <c r="A92">
        <f t="shared" si="14"/>
        <v>1960.5</v>
      </c>
      <c r="B92">
        <f t="shared" si="14"/>
        <v>-110</v>
      </c>
      <c r="C92">
        <f t="shared" si="15"/>
        <v>-127.49194684232947</v>
      </c>
      <c r="D92">
        <f t="shared" si="20"/>
        <v>-41</v>
      </c>
      <c r="E92">
        <f t="shared" si="20"/>
        <v>-5.5053970347944983</v>
      </c>
      <c r="F92">
        <f t="shared" si="21"/>
        <v>-5.5</v>
      </c>
      <c r="G92">
        <f t="shared" si="22"/>
        <v>-3.0835809404771455</v>
      </c>
      <c r="H92">
        <f t="shared" si="25"/>
        <v>-2.2666666666666666</v>
      </c>
      <c r="I92">
        <f t="shared" si="25"/>
        <v>-1.4380488183872726</v>
      </c>
      <c r="J92">
        <f t="shared" si="16"/>
        <v>1960.5</v>
      </c>
      <c r="K92">
        <f t="shared" si="17"/>
        <v>-110</v>
      </c>
      <c r="L92">
        <f t="shared" si="18"/>
        <v>-188.79101673496999</v>
      </c>
      <c r="M92" s="5">
        <v>1887.5</v>
      </c>
      <c r="N92" s="5">
        <v>-30</v>
      </c>
      <c r="O92" s="5">
        <v>-127.556662831496</v>
      </c>
      <c r="Q92">
        <f t="shared" si="23"/>
        <v>2.4164190595228545</v>
      </c>
      <c r="R92">
        <f t="shared" si="19"/>
        <v>17.491946842329469</v>
      </c>
    </row>
    <row r="93" spans="1:18" x14ac:dyDescent="0.25">
      <c r="A93">
        <f t="shared" si="14"/>
        <v>1960.5833333333301</v>
      </c>
      <c r="B93">
        <f t="shared" si="14"/>
        <v>-28</v>
      </c>
      <c r="C93">
        <f t="shared" si="15"/>
        <v>-117.65421198103272</v>
      </c>
      <c r="D93">
        <f t="shared" si="20"/>
        <v>32</v>
      </c>
      <c r="E93">
        <f t="shared" si="20"/>
        <v>-2.8896795482234836</v>
      </c>
      <c r="F93">
        <f t="shared" si="21"/>
        <v>-3.3333333333333335</v>
      </c>
      <c r="G93">
        <f t="shared" si="22"/>
        <v>-1.4689311660838107</v>
      </c>
      <c r="H93">
        <f t="shared" si="25"/>
        <v>-2</v>
      </c>
      <c r="I93">
        <f t="shared" si="25"/>
        <v>-1.3149290702277896</v>
      </c>
      <c r="J93">
        <f t="shared" si="16"/>
        <v>1960.5833333333301</v>
      </c>
      <c r="K93">
        <f t="shared" si="17"/>
        <v>-28</v>
      </c>
      <c r="L93">
        <f t="shared" si="18"/>
        <v>-176.98609087364599</v>
      </c>
      <c r="M93" s="5">
        <v>1887.5833333333301</v>
      </c>
      <c r="N93" s="5">
        <v>-30</v>
      </c>
      <c r="O93" s="5">
        <v>-109.06580171207101</v>
      </c>
      <c r="Q93">
        <f t="shared" si="23"/>
        <v>1.8644021672495228</v>
      </c>
      <c r="R93">
        <f t="shared" si="19"/>
        <v>89.654211981032716</v>
      </c>
    </row>
    <row r="94" spans="1:18" x14ac:dyDescent="0.25">
      <c r="A94">
        <f t="shared" si="14"/>
        <v>1960.6666666666599</v>
      </c>
      <c r="B94">
        <f t="shared" si="14"/>
        <v>-10</v>
      </c>
      <c r="C94">
        <f t="shared" si="15"/>
        <v>-102.037118023289</v>
      </c>
      <c r="D94">
        <f t="shared" si="20"/>
        <v>-1</v>
      </c>
      <c r="E94">
        <f t="shared" si="20"/>
        <v>2.8865847102036923</v>
      </c>
      <c r="F94">
        <f t="shared" si="21"/>
        <v>13.666666666666666</v>
      </c>
      <c r="G94">
        <f t="shared" si="22"/>
        <v>0.34564839113321949</v>
      </c>
      <c r="H94">
        <f t="shared" si="25"/>
        <v>0.39999999999999963</v>
      </c>
      <c r="I94">
        <f t="shared" si="25"/>
        <v>-1.4413744067351633</v>
      </c>
      <c r="J94">
        <f t="shared" si="16"/>
        <v>1960.6666666666599</v>
      </c>
      <c r="K94">
        <f t="shared" si="17"/>
        <v>-10</v>
      </c>
      <c r="L94">
        <f t="shared" si="18"/>
        <v>-158.24614321905</v>
      </c>
      <c r="M94" s="5">
        <v>1887.6666666666599</v>
      </c>
      <c r="N94" s="5">
        <v>-30</v>
      </c>
      <c r="O94" s="5">
        <v>-87.444020787847506</v>
      </c>
      <c r="Q94">
        <f t="shared" si="23"/>
        <v>13.321018275533447</v>
      </c>
      <c r="R94">
        <f t="shared" si="19"/>
        <v>92.037118023288997</v>
      </c>
    </row>
    <row r="95" spans="1:18" x14ac:dyDescent="0.25">
      <c r="A95">
        <f t="shared" si="14"/>
        <v>1960.75</v>
      </c>
      <c r="B95">
        <f t="shared" si="14"/>
        <v>10</v>
      </c>
      <c r="C95">
        <f t="shared" si="15"/>
        <v>-92.193193485952648</v>
      </c>
      <c r="D95">
        <f t="shared" si="20"/>
        <v>10</v>
      </c>
      <c r="E95">
        <f t="shared" si="20"/>
        <v>1.2992763047693643</v>
      </c>
      <c r="F95">
        <f t="shared" si="21"/>
        <v>1.3333333333333333</v>
      </c>
      <c r="G95">
        <f t="shared" si="22"/>
        <v>6.0696436227116617E-2</v>
      </c>
      <c r="H95">
        <f t="shared" si="25"/>
        <v>1.3333333333333333</v>
      </c>
      <c r="I95">
        <f t="shared" si="25"/>
        <v>-2.1362888221626655</v>
      </c>
      <c r="J95">
        <f t="shared" si="16"/>
        <v>1960.75</v>
      </c>
      <c r="K95">
        <f t="shared" si="17"/>
        <v>10</v>
      </c>
      <c r="L95">
        <f t="shared" si="18"/>
        <v>-146.433789970448</v>
      </c>
      <c r="M95" s="5">
        <v>1887.75</v>
      </c>
      <c r="N95" s="5">
        <v>-30</v>
      </c>
      <c r="O95" s="5">
        <v>-88.771304299985104</v>
      </c>
      <c r="Q95">
        <f t="shared" si="23"/>
        <v>1.2726368971062167</v>
      </c>
      <c r="R95">
        <f t="shared" si="19"/>
        <v>102.19319348595265</v>
      </c>
    </row>
    <row r="96" spans="1:18" x14ac:dyDescent="0.25">
      <c r="A96">
        <f t="shared" si="14"/>
        <v>1960.8333333333301</v>
      </c>
      <c r="B96">
        <f t="shared" si="14"/>
        <v>10</v>
      </c>
      <c r="C96">
        <f t="shared" si="15"/>
        <v>-84.947821558155027</v>
      </c>
      <c r="D96">
        <f t="shared" si="20"/>
        <v>-5</v>
      </c>
      <c r="E96">
        <f t="shared" si="20"/>
        <v>-3.9582493791213693</v>
      </c>
      <c r="F96">
        <f t="shared" si="21"/>
        <v>-4.166666666666667</v>
      </c>
      <c r="G96">
        <f t="shared" si="22"/>
        <v>-3.0607047544751977</v>
      </c>
      <c r="H96">
        <f t="shared" si="25"/>
        <v>2.333333333333333</v>
      </c>
      <c r="I96">
        <f t="shared" si="25"/>
        <v>-2.5732285603568679</v>
      </c>
      <c r="J96">
        <f t="shared" si="16"/>
        <v>1960.8333333333301</v>
      </c>
      <c r="K96">
        <f t="shared" si="17"/>
        <v>10</v>
      </c>
      <c r="L96">
        <f t="shared" si="18"/>
        <v>-137.739605826305</v>
      </c>
      <c r="M96" s="5">
        <v>1887.8333333333301</v>
      </c>
      <c r="N96" s="5">
        <v>-30</v>
      </c>
      <c r="O96" s="5">
        <v>-96.323303640886607</v>
      </c>
      <c r="Q96">
        <f t="shared" si="23"/>
        <v>1.1059619121914692</v>
      </c>
      <c r="R96">
        <f t="shared" si="19"/>
        <v>94.947821558155027</v>
      </c>
    </row>
    <row r="97" spans="1:18" x14ac:dyDescent="0.25">
      <c r="A97">
        <f t="shared" si="14"/>
        <v>1960.9166666666599</v>
      </c>
      <c r="B97">
        <f t="shared" si="14"/>
        <v>20</v>
      </c>
      <c r="C97">
        <f t="shared" si="15"/>
        <v>-69.785950872114668</v>
      </c>
      <c r="D97">
        <f t="shared" si="20"/>
        <v>-17.5</v>
      </c>
      <c r="E97">
        <f t="shared" si="20"/>
        <v>-8.8186697549299851</v>
      </c>
      <c r="F97">
        <f t="shared" si="21"/>
        <v>-0.83333333333333337</v>
      </c>
      <c r="G97">
        <f t="shared" si="22"/>
        <v>-6.5581530176146563</v>
      </c>
      <c r="H97">
        <f t="shared" si="25"/>
        <v>1.3666666666666667</v>
      </c>
      <c r="I97">
        <f t="shared" si="25"/>
        <v>-2.1174587402279839</v>
      </c>
      <c r="J97">
        <f t="shared" si="16"/>
        <v>1960.9166666666599</v>
      </c>
      <c r="K97">
        <f t="shared" si="17"/>
        <v>20</v>
      </c>
      <c r="L97">
        <f t="shared" si="18"/>
        <v>-119.545909625786</v>
      </c>
      <c r="M97" s="5">
        <v>1887.9166666666599</v>
      </c>
      <c r="N97" s="5">
        <v>-30</v>
      </c>
      <c r="O97" s="5">
        <v>-95.054400726492503</v>
      </c>
      <c r="Q97">
        <f t="shared" si="23"/>
        <v>5.7248196842813233</v>
      </c>
      <c r="R97">
        <f t="shared" si="19"/>
        <v>89.785950872114668</v>
      </c>
    </row>
    <row r="98" spans="1:18" x14ac:dyDescent="0.25">
      <c r="A98">
        <f t="shared" si="14"/>
        <v>1961</v>
      </c>
      <c r="B98">
        <f t="shared" si="14"/>
        <v>65</v>
      </c>
      <c r="C98">
        <f t="shared" si="15"/>
        <v>-36.986740676214339</v>
      </c>
      <c r="D98">
        <f t="shared" si="20"/>
        <v>20</v>
      </c>
      <c r="E98">
        <f t="shared" si="20"/>
        <v>-11.816154682003607</v>
      </c>
      <c r="F98">
        <f t="shared" si="21"/>
        <v>1.6666666666666667</v>
      </c>
      <c r="G98">
        <f t="shared" si="22"/>
        <v>-3.6536298570548222</v>
      </c>
      <c r="H98">
        <f t="shared" si="25"/>
        <v>2.0333333333333337</v>
      </c>
      <c r="I98">
        <f t="shared" si="25"/>
        <v>-0.66558702780725199</v>
      </c>
      <c r="J98">
        <f t="shared" si="16"/>
        <v>1961</v>
      </c>
      <c r="K98">
        <f t="shared" si="17"/>
        <v>65</v>
      </c>
      <c r="L98">
        <f t="shared" si="18"/>
        <v>-80.188044209442793</v>
      </c>
      <c r="M98" s="5">
        <v>1888</v>
      </c>
      <c r="N98" s="5">
        <v>-30</v>
      </c>
      <c r="O98" s="5">
        <v>-84.381402381197702</v>
      </c>
      <c r="Q98">
        <f t="shared" si="23"/>
        <v>5.3202965237214892</v>
      </c>
      <c r="R98">
        <f t="shared" si="19"/>
        <v>101.98674067621434</v>
      </c>
    </row>
    <row r="99" spans="1:18" x14ac:dyDescent="0.25">
      <c r="A99">
        <f t="shared" si="14"/>
        <v>1961.0833333333301</v>
      </c>
      <c r="B99">
        <f t="shared" si="14"/>
        <v>70</v>
      </c>
      <c r="C99">
        <f t="shared" si="15"/>
        <v>19.444778883693203</v>
      </c>
      <c r="D99">
        <f t="shared" si="20"/>
        <v>2.5</v>
      </c>
      <c r="E99">
        <f t="shared" si="20"/>
        <v>6.9337124729780086</v>
      </c>
      <c r="F99">
        <f t="shared" si="21"/>
        <v>8.8333333333333339</v>
      </c>
      <c r="G99">
        <f t="shared" si="22"/>
        <v>2.6244974917776389</v>
      </c>
      <c r="H99">
        <f t="shared" si="25"/>
        <v>2.9666666666666672</v>
      </c>
      <c r="I99">
        <f t="shared" si="25"/>
        <v>1.6713354308873996</v>
      </c>
      <c r="J99">
        <f t="shared" si="16"/>
        <v>1961.0833333333301</v>
      </c>
      <c r="K99">
        <f t="shared" si="17"/>
        <v>70</v>
      </c>
      <c r="L99">
        <f t="shared" si="18"/>
        <v>-12.4722626765023</v>
      </c>
      <c r="M99" s="5">
        <v>1888.0833333333301</v>
      </c>
      <c r="N99" s="5">
        <v>-30</v>
      </c>
      <c r="O99" s="5">
        <v>-75.084353177638306</v>
      </c>
      <c r="Q99">
        <f t="shared" si="23"/>
        <v>6.208835841555695</v>
      </c>
      <c r="R99">
        <f t="shared" si="19"/>
        <v>50.555221116306797</v>
      </c>
    </row>
    <row r="100" spans="1:18" x14ac:dyDescent="0.25">
      <c r="A100">
        <f t="shared" si="14"/>
        <v>1961.1666666666599</v>
      </c>
      <c r="B100">
        <f t="shared" si="14"/>
        <v>70</v>
      </c>
      <c r="C100">
        <f t="shared" si="15"/>
        <v>62.008873497644728</v>
      </c>
      <c r="D100">
        <f t="shared" si="20"/>
        <v>4</v>
      </c>
      <c r="E100">
        <f t="shared" si="20"/>
        <v>14.724307803191742</v>
      </c>
      <c r="F100">
        <f t="shared" si="21"/>
        <v>4.666666666666667</v>
      </c>
      <c r="G100">
        <f t="shared" si="22"/>
        <v>7.320054998330777</v>
      </c>
      <c r="H100">
        <f t="shared" si="25"/>
        <v>5.3333333333333339</v>
      </c>
      <c r="I100">
        <f t="shared" si="25"/>
        <v>4.458783824328596</v>
      </c>
      <c r="J100">
        <f t="shared" si="16"/>
        <v>1961.1666666666599</v>
      </c>
      <c r="K100">
        <f t="shared" si="17"/>
        <v>70</v>
      </c>
      <c r="L100">
        <f t="shared" si="18"/>
        <v>38.603110705317597</v>
      </c>
      <c r="M100" s="5">
        <v>1888.1666666666599</v>
      </c>
      <c r="N100" s="5">
        <v>-30</v>
      </c>
      <c r="O100" s="5">
        <v>-84.239298360261401</v>
      </c>
      <c r="Q100">
        <f t="shared" si="23"/>
        <v>2.65338833166411</v>
      </c>
      <c r="R100">
        <f t="shared" si="19"/>
        <v>7.9911265023552716</v>
      </c>
    </row>
    <row r="101" spans="1:18" x14ac:dyDescent="0.25">
      <c r="A101">
        <f t="shared" si="14"/>
        <v>1961.25</v>
      </c>
      <c r="B101">
        <f t="shared" si="14"/>
        <v>62</v>
      </c>
      <c r="C101">
        <f t="shared" si="15"/>
        <v>75.124352505212769</v>
      </c>
      <c r="D101">
        <f t="shared" si="20"/>
        <v>7.5</v>
      </c>
      <c r="E101">
        <f t="shared" si="20"/>
        <v>5.79218596757066</v>
      </c>
      <c r="F101">
        <f t="shared" si="21"/>
        <v>0.5</v>
      </c>
      <c r="G101">
        <f t="shared" si="22"/>
        <v>8.6239075389980595</v>
      </c>
      <c r="H101">
        <f t="shared" si="25"/>
        <v>4.7333333333333334</v>
      </c>
      <c r="I101">
        <f t="shared" si="25"/>
        <v>5.792675713184348</v>
      </c>
      <c r="J101">
        <f t="shared" si="16"/>
        <v>1961.25</v>
      </c>
      <c r="K101">
        <f t="shared" si="17"/>
        <v>62</v>
      </c>
      <c r="L101">
        <f t="shared" si="18"/>
        <v>54.341210939062201</v>
      </c>
      <c r="M101" s="5">
        <v>1888.25</v>
      </c>
      <c r="N101" s="5">
        <v>-30</v>
      </c>
      <c r="O101" s="5">
        <v>-98.573121303891796</v>
      </c>
      <c r="Q101">
        <f t="shared" si="23"/>
        <v>8.1239075389980595</v>
      </c>
      <c r="R101">
        <f t="shared" si="19"/>
        <v>13.124352505212769</v>
      </c>
    </row>
    <row r="102" spans="1:18" x14ac:dyDescent="0.25">
      <c r="A102">
        <f t="shared" si="14"/>
        <v>1961.3333333333301</v>
      </c>
      <c r="B102">
        <f t="shared" si="14"/>
        <v>39</v>
      </c>
      <c r="C102">
        <f t="shared" si="15"/>
        <v>76.65545957763949</v>
      </c>
      <c r="D102">
        <f t="shared" si="20"/>
        <v>-10</v>
      </c>
      <c r="E102">
        <f t="shared" si="20"/>
        <v>11.823159500480315</v>
      </c>
      <c r="F102">
        <f t="shared" si="21"/>
        <v>11</v>
      </c>
      <c r="G102">
        <f t="shared" si="22"/>
        <v>7.3790889495913277</v>
      </c>
      <c r="H102">
        <f t="shared" si="25"/>
        <v>2.8666666666666667</v>
      </c>
      <c r="I102">
        <f t="shared" si="25"/>
        <v>4.9634271079632315</v>
      </c>
      <c r="J102">
        <f t="shared" si="16"/>
        <v>1961.3333333333301</v>
      </c>
      <c r="K102">
        <f t="shared" si="17"/>
        <v>39</v>
      </c>
      <c r="L102">
        <f t="shared" si="18"/>
        <v>56.1784840238304</v>
      </c>
      <c r="M102" s="5">
        <v>1888.3333333333301</v>
      </c>
      <c r="N102" s="5">
        <v>-30</v>
      </c>
      <c r="O102" s="5">
        <v>-108.482163769214</v>
      </c>
      <c r="Q102">
        <f t="shared" si="23"/>
        <v>3.6209110504086723</v>
      </c>
      <c r="R102">
        <f t="shared" si="19"/>
        <v>37.65545957763949</v>
      </c>
    </row>
    <row r="103" spans="1:18" x14ac:dyDescent="0.25">
      <c r="A103">
        <f t="shared" si="14"/>
        <v>1961.4166666666599</v>
      </c>
      <c r="B103">
        <f t="shared" si="14"/>
        <v>36</v>
      </c>
      <c r="C103">
        <f t="shared" si="15"/>
        <v>54.540247649105581</v>
      </c>
      <c r="D103">
        <f t="shared" si="20"/>
        <v>35.5</v>
      </c>
      <c r="E103">
        <f t="shared" si="20"/>
        <v>10.056238092916502</v>
      </c>
      <c r="F103">
        <f t="shared" si="21"/>
        <v>-1.3333333333333333</v>
      </c>
      <c r="G103">
        <f t="shared" si="22"/>
        <v>3.0158295872239376</v>
      </c>
      <c r="H103">
        <f t="shared" si="25"/>
        <v>-0.53333333333333355</v>
      </c>
      <c r="I103">
        <f t="shared" si="25"/>
        <v>2.5732283952425261</v>
      </c>
      <c r="J103">
        <f t="shared" si="16"/>
        <v>1961.4166666666599</v>
      </c>
      <c r="K103">
        <f t="shared" si="17"/>
        <v>36</v>
      </c>
      <c r="L103">
        <f t="shared" si="18"/>
        <v>29.641029934587099</v>
      </c>
      <c r="M103" s="5">
        <v>1888.4166666666599</v>
      </c>
      <c r="N103" s="5">
        <v>-30</v>
      </c>
      <c r="O103" s="5">
        <v>-122.549561898371</v>
      </c>
      <c r="Q103">
        <f t="shared" si="23"/>
        <v>4.3491629205572711</v>
      </c>
      <c r="R103">
        <f t="shared" si="19"/>
        <v>18.540247649105581</v>
      </c>
    </row>
    <row r="104" spans="1:18" x14ac:dyDescent="0.25">
      <c r="A104">
        <f t="shared" si="14"/>
        <v>1961.5</v>
      </c>
      <c r="B104">
        <f t="shared" si="14"/>
        <v>-38</v>
      </c>
      <c r="C104">
        <f t="shared" si="15"/>
        <v>12.312559534738671</v>
      </c>
      <c r="D104">
        <f t="shared" si="20"/>
        <v>-29.5</v>
      </c>
      <c r="E104">
        <f t="shared" si="20"/>
        <v>-10.570036641307052</v>
      </c>
      <c r="F104">
        <f t="shared" si="21"/>
        <v>-0.5</v>
      </c>
      <c r="G104">
        <f t="shared" si="22"/>
        <v>-1.5217455343279456</v>
      </c>
      <c r="H104">
        <f t="shared" ref="H104:I119" si="26">+AVERAGE(F102:F106)</f>
        <v>-1.0000000000000002</v>
      </c>
      <c r="I104">
        <f t="shared" si="26"/>
        <v>0.37758195890831692</v>
      </c>
      <c r="J104">
        <f t="shared" si="16"/>
        <v>1961.5</v>
      </c>
      <c r="K104">
        <f t="shared" si="17"/>
        <v>-38</v>
      </c>
      <c r="L104">
        <f t="shared" si="18"/>
        <v>-21.030667820388299</v>
      </c>
      <c r="M104" s="5">
        <v>1888.5</v>
      </c>
      <c r="N104" s="5">
        <v>-30</v>
      </c>
      <c r="O104" s="5">
        <v>-130.94899349688899</v>
      </c>
      <c r="Q104">
        <f t="shared" si="23"/>
        <v>1.0217455343279456</v>
      </c>
      <c r="R104">
        <f t="shared" si="19"/>
        <v>50.312559534738668</v>
      </c>
    </row>
    <row r="105" spans="1:18" x14ac:dyDescent="0.25">
      <c r="A105">
        <f t="shared" si="14"/>
        <v>1961.5833333333301</v>
      </c>
      <c r="B105">
        <f t="shared" si="14"/>
        <v>-53</v>
      </c>
      <c r="C105">
        <f t="shared" si="15"/>
        <v>-8.7750552970141378</v>
      </c>
      <c r="D105">
        <f t="shared" si="20"/>
        <v>-7.5</v>
      </c>
      <c r="E105">
        <f t="shared" si="20"/>
        <v>-5.1927472053392449</v>
      </c>
      <c r="F105">
        <f t="shared" si="21"/>
        <v>-12.333333333333334</v>
      </c>
      <c r="G105">
        <f t="shared" si="22"/>
        <v>-4.6309385652727491</v>
      </c>
      <c r="H105">
        <f t="shared" si="26"/>
        <v>-3.0666666666666669</v>
      </c>
      <c r="I105">
        <f t="shared" si="26"/>
        <v>-1.2727068402916273</v>
      </c>
      <c r="J105">
        <f t="shared" si="16"/>
        <v>1961.5833333333301</v>
      </c>
      <c r="K105">
        <f t="shared" si="17"/>
        <v>-53</v>
      </c>
      <c r="L105">
        <f t="shared" si="18"/>
        <v>-46.335042576447201</v>
      </c>
      <c r="M105" s="5">
        <v>1888.5833333333301</v>
      </c>
      <c r="N105" s="5">
        <v>-30</v>
      </c>
      <c r="O105" s="5">
        <v>-124.42496062411701</v>
      </c>
      <c r="Q105">
        <f t="shared" si="23"/>
        <v>7.7023947680605849</v>
      </c>
      <c r="R105">
        <f t="shared" si="19"/>
        <v>44.224944702985866</v>
      </c>
    </row>
    <row r="106" spans="1:18" x14ac:dyDescent="0.25">
      <c r="A106">
        <f t="shared" si="14"/>
        <v>1961.6666666666599</v>
      </c>
      <c r="B106">
        <f t="shared" si="14"/>
        <v>-53</v>
      </c>
      <c r="C106">
        <f t="shared" si="15"/>
        <v>-19.477175718088457</v>
      </c>
      <c r="D106">
        <f t="shared" si="20"/>
        <v>0</v>
      </c>
      <c r="E106">
        <f t="shared" si="20"/>
        <v>-1.6032357731265101</v>
      </c>
      <c r="F106">
        <f t="shared" si="21"/>
        <v>-1.8333333333333333</v>
      </c>
      <c r="G106">
        <f t="shared" si="22"/>
        <v>-2.3543246426729865</v>
      </c>
      <c r="H106">
        <f t="shared" si="26"/>
        <v>-2.0333333333333337</v>
      </c>
      <c r="I106">
        <f t="shared" si="26"/>
        <v>-2.0324516104337222</v>
      </c>
      <c r="J106">
        <f t="shared" si="16"/>
        <v>1961.6666666666599</v>
      </c>
      <c r="K106">
        <f t="shared" si="17"/>
        <v>-53</v>
      </c>
      <c r="L106">
        <f t="shared" si="18"/>
        <v>-59.177199832257898</v>
      </c>
      <c r="M106" s="5">
        <v>1888.6666666666599</v>
      </c>
      <c r="N106" s="5">
        <v>-30</v>
      </c>
      <c r="O106" s="5">
        <v>-115.09392962036399</v>
      </c>
      <c r="Q106">
        <f t="shared" si="23"/>
        <v>0.52099130933965321</v>
      </c>
      <c r="R106">
        <f t="shared" si="19"/>
        <v>33.522824281911539</v>
      </c>
    </row>
    <row r="107" spans="1:18" x14ac:dyDescent="0.25">
      <c r="A107">
        <f t="shared" si="14"/>
        <v>1961.75</v>
      </c>
      <c r="B107">
        <f t="shared" si="14"/>
        <v>-53</v>
      </c>
      <c r="C107">
        <f t="shared" si="15"/>
        <v>-26.972824592909756</v>
      </c>
      <c r="D107">
        <f t="shared" si="20"/>
        <v>2</v>
      </c>
      <c r="E107">
        <f t="shared" si="20"/>
        <v>-2.0327344315579445</v>
      </c>
      <c r="F107">
        <f t="shared" si="21"/>
        <v>0.66666666666666663</v>
      </c>
      <c r="G107">
        <f t="shared" si="22"/>
        <v>-0.87235504640839379</v>
      </c>
      <c r="H107">
        <f t="shared" si="26"/>
        <v>-2.666666666666667</v>
      </c>
      <c r="I107">
        <f t="shared" si="26"/>
        <v>-1.7296748891885492</v>
      </c>
      <c r="J107">
        <f t="shared" si="16"/>
        <v>1961.75</v>
      </c>
      <c r="K107">
        <f t="shared" si="17"/>
        <v>-53</v>
      </c>
      <c r="L107">
        <f t="shared" si="18"/>
        <v>-68.171707256715806</v>
      </c>
      <c r="M107" s="5">
        <v>1888.75</v>
      </c>
      <c r="N107" s="5">
        <v>-30</v>
      </c>
      <c r="O107" s="5">
        <v>-117.532782268842</v>
      </c>
      <c r="Q107">
        <f t="shared" si="23"/>
        <v>1.5390217130750603</v>
      </c>
      <c r="R107">
        <f t="shared" si="19"/>
        <v>26.027175407090244</v>
      </c>
    </row>
    <row r="108" spans="1:18" x14ac:dyDescent="0.25">
      <c r="A108">
        <f t="shared" si="14"/>
        <v>1961.8333333333301</v>
      </c>
      <c r="B108">
        <f t="shared" si="14"/>
        <v>-57</v>
      </c>
      <c r="C108">
        <f t="shared" si="15"/>
        <v>-30.403004604615166</v>
      </c>
      <c r="D108">
        <f t="shared" si="20"/>
        <v>0</v>
      </c>
      <c r="E108">
        <f t="shared" si="20"/>
        <v>0.36463878065297806</v>
      </c>
      <c r="F108">
        <f t="shared" si="21"/>
        <v>3.8333333333333335</v>
      </c>
      <c r="G108">
        <f t="shared" si="22"/>
        <v>-0.78289426348653712</v>
      </c>
      <c r="H108">
        <f t="shared" si="26"/>
        <v>0.26666666666666677</v>
      </c>
      <c r="I108">
        <f t="shared" si="26"/>
        <v>-0.51401250384675756</v>
      </c>
      <c r="J108">
        <f t="shared" si="16"/>
        <v>1961.8333333333301</v>
      </c>
      <c r="K108">
        <f t="shared" si="17"/>
        <v>-57</v>
      </c>
      <c r="L108">
        <f t="shared" si="18"/>
        <v>-72.287799151861705</v>
      </c>
      <c r="M108" s="5">
        <v>1888.8333333333301</v>
      </c>
      <c r="N108" s="5">
        <v>-30</v>
      </c>
      <c r="O108" s="5">
        <v>-131.839044137163</v>
      </c>
      <c r="Q108">
        <f t="shared" si="23"/>
        <v>4.6162275968198703</v>
      </c>
      <c r="R108">
        <f t="shared" si="19"/>
        <v>26.596995395384834</v>
      </c>
    </row>
    <row r="109" spans="1:18" x14ac:dyDescent="0.25">
      <c r="A109">
        <f t="shared" si="14"/>
        <v>1961.9166666666599</v>
      </c>
      <c r="B109">
        <f t="shared" si="14"/>
        <v>-61</v>
      </c>
      <c r="C109">
        <f t="shared" si="15"/>
        <v>-34.562462177626529</v>
      </c>
      <c r="D109">
        <f t="shared" si="20"/>
        <v>9.5</v>
      </c>
      <c r="E109">
        <f t="shared" si="20"/>
        <v>-1.2677578371695475</v>
      </c>
      <c r="F109">
        <f t="shared" si="21"/>
        <v>-3.6666666666666665</v>
      </c>
      <c r="G109">
        <f t="shared" si="22"/>
        <v>-7.8619281020801662E-3</v>
      </c>
      <c r="H109">
        <f t="shared" si="26"/>
        <v>0.4</v>
      </c>
      <c r="I109">
        <f t="shared" si="26"/>
        <v>0.46562029961438756</v>
      </c>
      <c r="J109">
        <f t="shared" si="16"/>
        <v>1961.9166666666599</v>
      </c>
      <c r="K109">
        <f t="shared" si="17"/>
        <v>-61</v>
      </c>
      <c r="L109">
        <f t="shared" si="18"/>
        <v>-77.278997732126101</v>
      </c>
      <c r="M109" s="5">
        <v>1888.9166666666599</v>
      </c>
      <c r="N109" s="5">
        <v>-30</v>
      </c>
      <c r="O109" s="5">
        <v>-146.770885170529</v>
      </c>
      <c r="Q109">
        <f t="shared" si="23"/>
        <v>3.6588047385645863</v>
      </c>
      <c r="R109">
        <f t="shared" si="19"/>
        <v>26.437537822373471</v>
      </c>
    </row>
    <row r="110" spans="1:18" x14ac:dyDescent="0.25">
      <c r="A110">
        <f t="shared" si="14"/>
        <v>1962</v>
      </c>
      <c r="B110">
        <f t="shared" si="14"/>
        <v>-84</v>
      </c>
      <c r="C110">
        <f t="shared" si="15"/>
        <v>-36.1864040762988</v>
      </c>
      <c r="D110">
        <f t="shared" si="20"/>
        <v>-20.5</v>
      </c>
      <c r="E110">
        <f t="shared" si="20"/>
        <v>0.87363682613376881</v>
      </c>
      <c r="F110">
        <f t="shared" si="21"/>
        <v>2.3333333333333335</v>
      </c>
      <c r="G110">
        <f t="shared" si="22"/>
        <v>1.4473733614362099</v>
      </c>
      <c r="H110">
        <f t="shared" si="26"/>
        <v>1.9</v>
      </c>
      <c r="I110">
        <f t="shared" si="26"/>
        <v>1.2009002618300548</v>
      </c>
      <c r="J110">
        <f t="shared" si="16"/>
        <v>1962</v>
      </c>
      <c r="K110">
        <f t="shared" si="17"/>
        <v>-84</v>
      </c>
      <c r="L110">
        <f t="shared" si="18"/>
        <v>-79.227669249219304</v>
      </c>
      <c r="M110" s="5">
        <v>1889</v>
      </c>
      <c r="N110" s="5">
        <v>-30</v>
      </c>
      <c r="O110" s="5">
        <v>-149.52391562293701</v>
      </c>
      <c r="Q110">
        <f t="shared" si="23"/>
        <v>0.88595997189712361</v>
      </c>
      <c r="R110">
        <f t="shared" si="19"/>
        <v>47.8135959237012</v>
      </c>
    </row>
    <row r="111" spans="1:18" x14ac:dyDescent="0.25">
      <c r="A111">
        <f t="shared" si="14"/>
        <v>1962.0833333333301</v>
      </c>
      <c r="B111">
        <f t="shared" si="14"/>
        <v>-66</v>
      </c>
      <c r="C111">
        <f t="shared" si="15"/>
        <v>-39.557619627238608</v>
      </c>
      <c r="D111">
        <f t="shared" si="20"/>
        <v>18</v>
      </c>
      <c r="E111">
        <f t="shared" si="20"/>
        <v>5.8217711164215658</v>
      </c>
      <c r="F111">
        <f t="shared" si="21"/>
        <v>-1.1666666666666667</v>
      </c>
      <c r="G111">
        <f t="shared" si="22"/>
        <v>2.5438393746327392</v>
      </c>
      <c r="H111">
        <f t="shared" si="26"/>
        <v>1.6666666666666665</v>
      </c>
      <c r="I111">
        <f t="shared" si="26"/>
        <v>1.5622190501717188</v>
      </c>
      <c r="J111">
        <f t="shared" si="16"/>
        <v>1962.0833333333301</v>
      </c>
      <c r="K111">
        <f t="shared" si="17"/>
        <v>-66</v>
      </c>
      <c r="L111">
        <f t="shared" si="18"/>
        <v>-83.273005925038305</v>
      </c>
      <c r="M111" s="5">
        <v>1889.0833333333301</v>
      </c>
      <c r="N111" s="5">
        <v>-30</v>
      </c>
      <c r="O111" s="5">
        <v>-141.925748234314</v>
      </c>
      <c r="Q111">
        <f t="shared" si="23"/>
        <v>3.7105060412994062</v>
      </c>
      <c r="R111">
        <f t="shared" si="19"/>
        <v>26.442380372761392</v>
      </c>
    </row>
    <row r="112" spans="1:18" x14ac:dyDescent="0.25">
      <c r="A112">
        <f t="shared" si="14"/>
        <v>1962.1666666666599</v>
      </c>
      <c r="B112">
        <f t="shared" si="14"/>
        <v>-84</v>
      </c>
      <c r="C112">
        <f t="shared" si="15"/>
        <v>-54.572377411021549</v>
      </c>
      <c r="D112">
        <f t="shared" si="20"/>
        <v>-1</v>
      </c>
      <c r="E112">
        <f t="shared" si="20"/>
        <v>2.8439897123174376</v>
      </c>
      <c r="F112">
        <f t="shared" si="21"/>
        <v>8.1666666666666661</v>
      </c>
      <c r="G112">
        <f t="shared" si="22"/>
        <v>2.8040447646699422</v>
      </c>
      <c r="H112">
        <f t="shared" si="26"/>
        <v>1.8666666666666665</v>
      </c>
      <c r="I112">
        <f t="shared" si="26"/>
        <v>1.3075718765826454</v>
      </c>
      <c r="J112">
        <f t="shared" si="16"/>
        <v>1962.1666666666599</v>
      </c>
      <c r="K112">
        <f t="shared" si="17"/>
        <v>-84</v>
      </c>
      <c r="L112">
        <f t="shared" si="18"/>
        <v>-101.290171966036</v>
      </c>
      <c r="M112" s="5">
        <v>1889.1666666666599</v>
      </c>
      <c r="N112" s="5">
        <v>-30</v>
      </c>
      <c r="O112" s="5">
        <v>-135.95284831766301</v>
      </c>
      <c r="Q112">
        <f t="shared" si="23"/>
        <v>5.3626219019967234</v>
      </c>
      <c r="R112">
        <f t="shared" si="19"/>
        <v>29.427622588978451</v>
      </c>
    </row>
    <row r="113" spans="1:18" x14ac:dyDescent="0.25">
      <c r="A113">
        <f t="shared" si="14"/>
        <v>1962.25</v>
      </c>
      <c r="B113">
        <f t="shared" si="14"/>
        <v>-100</v>
      </c>
      <c r="C113">
        <f t="shared" si="15"/>
        <v>-75.275114619439364</v>
      </c>
      <c r="D113">
        <f t="shared" si="20"/>
        <v>7.5</v>
      </c>
      <c r="E113">
        <f t="shared" si="20"/>
        <v>1.8494070387732791</v>
      </c>
      <c r="F113">
        <f t="shared" si="21"/>
        <v>2.6666666666666665</v>
      </c>
      <c r="G113">
        <f t="shared" si="22"/>
        <v>1.0236996782217831</v>
      </c>
      <c r="H113">
        <f t="shared" si="26"/>
        <v>0.3</v>
      </c>
      <c r="I113">
        <f t="shared" si="26"/>
        <v>0.3541800319103669</v>
      </c>
      <c r="J113">
        <f t="shared" si="16"/>
        <v>1962.25</v>
      </c>
      <c r="K113">
        <f t="shared" si="17"/>
        <v>-100</v>
      </c>
      <c r="L113">
        <f t="shared" si="18"/>
        <v>-126.132707500647</v>
      </c>
      <c r="M113" s="5">
        <v>1889.25</v>
      </c>
      <c r="N113" s="5">
        <v>-30</v>
      </c>
      <c r="O113" s="5">
        <v>-135.958462857548</v>
      </c>
      <c r="Q113">
        <f t="shared" si="23"/>
        <v>1.6429669884448834</v>
      </c>
      <c r="R113">
        <f t="shared" si="19"/>
        <v>24.724885380560636</v>
      </c>
    </row>
    <row r="114" spans="1:18" x14ac:dyDescent="0.25">
      <c r="A114">
        <f t="shared" si="14"/>
        <v>1962.3333333333301</v>
      </c>
      <c r="B114">
        <f t="shared" si="14"/>
        <v>-131</v>
      </c>
      <c r="C114">
        <f t="shared" si="15"/>
        <v>-99.676665905403723</v>
      </c>
      <c r="D114">
        <f t="shared" si="20"/>
        <v>1.5</v>
      </c>
      <c r="E114">
        <f t="shared" si="20"/>
        <v>-0.85452295775903053</v>
      </c>
      <c r="F114">
        <f t="shared" si="21"/>
        <v>-2.6666666666666665</v>
      </c>
      <c r="G114">
        <f t="shared" si="22"/>
        <v>-1.2810977960474474</v>
      </c>
      <c r="H114">
        <f t="shared" si="26"/>
        <v>-2.2999999999999998</v>
      </c>
      <c r="I114">
        <f t="shared" si="26"/>
        <v>-0.94515428975768034</v>
      </c>
      <c r="J114">
        <f t="shared" si="16"/>
        <v>1962.3333333333301</v>
      </c>
      <c r="K114">
        <f t="shared" si="17"/>
        <v>-131</v>
      </c>
      <c r="L114">
        <f t="shared" si="18"/>
        <v>-155.41368608905901</v>
      </c>
      <c r="M114" s="5">
        <v>1889.3333333333301</v>
      </c>
      <c r="N114" s="5">
        <v>-30</v>
      </c>
      <c r="O114" s="5">
        <v>-143.974733222303</v>
      </c>
      <c r="Q114">
        <f t="shared" si="23"/>
        <v>1.3855688706192191</v>
      </c>
      <c r="R114">
        <f t="shared" si="19"/>
        <v>31.323334094596277</v>
      </c>
    </row>
    <row r="115" spans="1:18" x14ac:dyDescent="0.25">
      <c r="A115">
        <f t="shared" si="14"/>
        <v>1962.4166666666599</v>
      </c>
      <c r="B115">
        <f t="shared" si="14"/>
        <v>-165</v>
      </c>
      <c r="C115">
        <f t="shared" si="15"/>
        <v>-122.36917127585002</v>
      </c>
      <c r="D115">
        <f t="shared" si="20"/>
        <v>-17</v>
      </c>
      <c r="E115">
        <f t="shared" si="20"/>
        <v>-5.7990008161921764</v>
      </c>
      <c r="F115">
        <f t="shared" si="21"/>
        <v>-5.5</v>
      </c>
      <c r="G115">
        <f t="shared" si="22"/>
        <v>-3.3195858619251832</v>
      </c>
      <c r="H115">
        <f t="shared" si="26"/>
        <v>-3.9999999999999991</v>
      </c>
      <c r="I115">
        <f t="shared" si="26"/>
        <v>-2.0310977876028029</v>
      </c>
      <c r="J115">
        <f t="shared" si="16"/>
        <v>1962.4166666666599</v>
      </c>
      <c r="K115">
        <f t="shared" si="17"/>
        <v>-165</v>
      </c>
      <c r="L115">
        <f t="shared" si="18"/>
        <v>-182.64387141959801</v>
      </c>
      <c r="M115" s="5">
        <v>1889.4166666666599</v>
      </c>
      <c r="N115" s="5">
        <v>-30</v>
      </c>
      <c r="O115" s="5">
        <v>-154.081161911138</v>
      </c>
      <c r="Q115">
        <f t="shared" si="23"/>
        <v>2.1804141380748168</v>
      </c>
      <c r="R115">
        <f t="shared" si="19"/>
        <v>42.630828724149978</v>
      </c>
    </row>
    <row r="116" spans="1:18" x14ac:dyDescent="0.25">
      <c r="A116">
        <f t="shared" si="14"/>
        <v>1962.5</v>
      </c>
      <c r="B116">
        <f t="shared" si="14"/>
        <v>-165</v>
      </c>
      <c r="C116">
        <f t="shared" si="15"/>
        <v>-133.46367501391197</v>
      </c>
      <c r="D116">
        <f t="shared" si="20"/>
        <v>-1</v>
      </c>
      <c r="E116">
        <f t="shared" si="20"/>
        <v>-5.79492320826823</v>
      </c>
      <c r="F116">
        <f t="shared" si="21"/>
        <v>-14.166666666666666</v>
      </c>
      <c r="G116">
        <f t="shared" si="22"/>
        <v>-3.9528322337074964</v>
      </c>
      <c r="H116">
        <f t="shared" si="26"/>
        <v>-4.4666666666666668</v>
      </c>
      <c r="I116">
        <f t="shared" si="26"/>
        <v>-2.395961716513594</v>
      </c>
      <c r="J116">
        <f t="shared" si="16"/>
        <v>1962.5</v>
      </c>
      <c r="K116">
        <f t="shared" si="17"/>
        <v>-165</v>
      </c>
      <c r="L116">
        <f t="shared" si="18"/>
        <v>-195.956874457651</v>
      </c>
      <c r="M116" s="5">
        <v>1889.5</v>
      </c>
      <c r="N116" s="5">
        <v>-30</v>
      </c>
      <c r="O116" s="5">
        <v>-149.32829875401899</v>
      </c>
      <c r="Q116">
        <f t="shared" si="23"/>
        <v>10.213834432959169</v>
      </c>
      <c r="R116">
        <f t="shared" si="19"/>
        <v>31.536324986088033</v>
      </c>
    </row>
    <row r="117" spans="1:18" x14ac:dyDescent="0.25">
      <c r="A117">
        <f t="shared" si="14"/>
        <v>1962.5833333333301</v>
      </c>
      <c r="B117">
        <f t="shared" si="14"/>
        <v>-163</v>
      </c>
      <c r="C117">
        <f t="shared" si="15"/>
        <v>-132.96833233543745</v>
      </c>
      <c r="D117">
        <f t="shared" si="20"/>
        <v>-24.5</v>
      </c>
      <c r="E117">
        <f t="shared" si="20"/>
        <v>-3.229196851942703</v>
      </c>
      <c r="F117">
        <f t="shared" si="21"/>
        <v>-0.33333333333333331</v>
      </c>
      <c r="G117">
        <f t="shared" si="22"/>
        <v>-2.6256727245556704</v>
      </c>
      <c r="H117">
        <f t="shared" si="26"/>
        <v>-2.2333333333333329</v>
      </c>
      <c r="I117">
        <f t="shared" si="26"/>
        <v>-2.1296775971306792</v>
      </c>
      <c r="J117">
        <f t="shared" si="16"/>
        <v>1962.5833333333301</v>
      </c>
      <c r="K117">
        <f t="shared" si="17"/>
        <v>-163</v>
      </c>
      <c r="L117">
        <f t="shared" si="18"/>
        <v>-195.36248116714401</v>
      </c>
      <c r="M117" s="5">
        <v>1889.5833333333301</v>
      </c>
      <c r="N117" s="5">
        <v>-30</v>
      </c>
      <c r="O117" s="5">
        <v>-124.37023991661501</v>
      </c>
      <c r="Q117">
        <f t="shared" si="23"/>
        <v>2.2923393912223369</v>
      </c>
      <c r="R117">
        <f t="shared" si="19"/>
        <v>30.031667664562548</v>
      </c>
    </row>
    <row r="118" spans="1:18" x14ac:dyDescent="0.25">
      <c r="A118">
        <f t="shared" si="14"/>
        <v>1962.6666666666599</v>
      </c>
      <c r="B118">
        <f t="shared" si="14"/>
        <v>-112</v>
      </c>
      <c r="C118">
        <f t="shared" si="15"/>
        <v>-126.01459595307756</v>
      </c>
      <c r="D118">
        <f t="shared" si="20"/>
        <v>24.5</v>
      </c>
      <c r="E118">
        <f t="shared" si="20"/>
        <v>-0.82215265687283079</v>
      </c>
      <c r="F118">
        <f t="shared" si="21"/>
        <v>0.33333333333333331</v>
      </c>
      <c r="G118">
        <f t="shared" si="22"/>
        <v>-0.80061996633217325</v>
      </c>
      <c r="H118">
        <f t="shared" si="26"/>
        <v>-1.1999999999999997</v>
      </c>
      <c r="I118">
        <f t="shared" si="26"/>
        <v>-1.5704825714326984</v>
      </c>
      <c r="J118">
        <f t="shared" si="16"/>
        <v>1962.6666666666599</v>
      </c>
      <c r="K118">
        <f t="shared" si="17"/>
        <v>-112</v>
      </c>
      <c r="L118">
        <f t="shared" si="18"/>
        <v>-187.018249124878</v>
      </c>
      <c r="M118" s="5">
        <v>1889.6666666666599</v>
      </c>
      <c r="N118" s="5">
        <v>-30</v>
      </c>
      <c r="O118" s="5">
        <v>-95.675970394105605</v>
      </c>
      <c r="Q118">
        <f t="shared" si="23"/>
        <v>1.1339532996655066</v>
      </c>
      <c r="R118">
        <f t="shared" si="19"/>
        <v>14.01459595307756</v>
      </c>
    </row>
    <row r="119" spans="1:18" x14ac:dyDescent="0.25">
      <c r="A119">
        <f t="shared" si="14"/>
        <v>1962.75</v>
      </c>
      <c r="B119">
        <f t="shared" si="14"/>
        <v>-110</v>
      </c>
      <c r="C119">
        <f t="shared" si="15"/>
        <v>-117.41655425697201</v>
      </c>
      <c r="D119">
        <f t="shared" si="20"/>
        <v>1</v>
      </c>
      <c r="E119">
        <f t="shared" si="20"/>
        <v>1.049024635069884</v>
      </c>
      <c r="F119">
        <f t="shared" si="21"/>
        <v>8.5</v>
      </c>
      <c r="G119">
        <f t="shared" si="22"/>
        <v>5.0322800867127176E-2</v>
      </c>
      <c r="H119">
        <f t="shared" si="26"/>
        <v>-0.26666666666666677</v>
      </c>
      <c r="I119">
        <f t="shared" si="26"/>
        <v>-0.93988413639701984</v>
      </c>
      <c r="J119">
        <f t="shared" si="16"/>
        <v>1962.75</v>
      </c>
      <c r="K119">
        <f t="shared" si="17"/>
        <v>-110</v>
      </c>
      <c r="L119">
        <f t="shared" si="18"/>
        <v>-176.70091020426801</v>
      </c>
      <c r="M119" s="5">
        <v>1889.75</v>
      </c>
      <c r="N119" s="5">
        <v>-30</v>
      </c>
      <c r="O119" s="5">
        <v>-91.305953777773198</v>
      </c>
      <c r="Q119">
        <f t="shared" si="23"/>
        <v>8.4496771991328732</v>
      </c>
      <c r="R119">
        <f t="shared" si="19"/>
        <v>7.416554256972006</v>
      </c>
    </row>
    <row r="120" spans="1:18" x14ac:dyDescent="0.25">
      <c r="A120">
        <f t="shared" si="14"/>
        <v>1962.8333333333301</v>
      </c>
      <c r="B120">
        <f t="shared" si="14"/>
        <v>-110</v>
      </c>
      <c r="C120">
        <f t="shared" si="15"/>
        <v>-110.91656183100622</v>
      </c>
      <c r="D120">
        <f t="shared" si="20"/>
        <v>0</v>
      </c>
      <c r="E120">
        <f t="shared" si="20"/>
        <v>-3.816147494532629E-2</v>
      </c>
      <c r="F120">
        <f t="shared" si="21"/>
        <v>-0.33333333333333331</v>
      </c>
      <c r="G120">
        <f t="shared" si="22"/>
        <v>-0.52361073343527853</v>
      </c>
      <c r="H120">
        <f t="shared" ref="H120:I135" si="27">+AVERAGE(F118:F122)</f>
        <v>-0.46666666666666662</v>
      </c>
      <c r="I120">
        <f t="shared" si="27"/>
        <v>-0.37391613487748904</v>
      </c>
      <c r="J120">
        <f t="shared" si="16"/>
        <v>1962.8333333333301</v>
      </c>
      <c r="K120">
        <f t="shared" si="17"/>
        <v>-110</v>
      </c>
      <c r="L120">
        <f t="shared" si="18"/>
        <v>-168.90115449123601</v>
      </c>
      <c r="M120" s="5">
        <v>1889.8333333333301</v>
      </c>
      <c r="N120" s="5">
        <v>-30</v>
      </c>
      <c r="O120" s="5">
        <v>-111.867394589993</v>
      </c>
      <c r="Q120">
        <f t="shared" si="23"/>
        <v>0.19027740010194522</v>
      </c>
      <c r="R120">
        <f t="shared" si="19"/>
        <v>0.91656183100622002</v>
      </c>
    </row>
    <row r="121" spans="1:18" x14ac:dyDescent="0.25">
      <c r="A121">
        <f t="shared" si="14"/>
        <v>1962.9166666666599</v>
      </c>
      <c r="B121">
        <f t="shared" si="14"/>
        <v>-110</v>
      </c>
      <c r="C121">
        <f t="shared" si="15"/>
        <v>-104.34024645514978</v>
      </c>
      <c r="D121">
        <f t="shared" si="20"/>
        <v>-2</v>
      </c>
      <c r="E121">
        <f t="shared" si="20"/>
        <v>-2.9744034105068522</v>
      </c>
      <c r="F121">
        <f t="shared" si="21"/>
        <v>-9.5</v>
      </c>
      <c r="G121">
        <f t="shared" si="22"/>
        <v>-0.79984005852910522</v>
      </c>
      <c r="H121">
        <f t="shared" si="27"/>
        <v>-0.40000000000000008</v>
      </c>
      <c r="I121">
        <f t="shared" si="27"/>
        <v>-9.4072373227808523E-2</v>
      </c>
      <c r="J121">
        <f t="shared" si="16"/>
        <v>1962.9166666666599</v>
      </c>
      <c r="K121">
        <f t="shared" si="17"/>
        <v>-110</v>
      </c>
      <c r="L121">
        <f t="shared" si="18"/>
        <v>-161.009814000033</v>
      </c>
      <c r="M121" s="5">
        <v>1889.9166666666599</v>
      </c>
      <c r="N121" s="5">
        <v>-30</v>
      </c>
      <c r="O121" s="5">
        <v>-127.95534581419</v>
      </c>
      <c r="Q121">
        <f t="shared" si="23"/>
        <v>8.7001599414708952</v>
      </c>
      <c r="R121">
        <f t="shared" si="19"/>
        <v>5.6597535448502185</v>
      </c>
    </row>
    <row r="122" spans="1:18" x14ac:dyDescent="0.25">
      <c r="A122">
        <f t="shared" si="14"/>
        <v>1963</v>
      </c>
      <c r="B122">
        <f t="shared" si="14"/>
        <v>-106</v>
      </c>
      <c r="C122">
        <f t="shared" si="15"/>
        <v>-91.815124258279653</v>
      </c>
      <c r="D122">
        <f t="shared" si="20"/>
        <v>-26.5</v>
      </c>
      <c r="E122">
        <f t="shared" si="20"/>
        <v>1.3164665968034228E-2</v>
      </c>
      <c r="F122">
        <f t="shared" si="21"/>
        <v>-1.3333333333333333</v>
      </c>
      <c r="G122">
        <f t="shared" si="22"/>
        <v>0.20416728304198464</v>
      </c>
      <c r="H122">
        <f t="shared" si="27"/>
        <v>-0.93333333333333379</v>
      </c>
      <c r="I122">
        <f t="shared" si="27"/>
        <v>-0.24781056595191969</v>
      </c>
      <c r="J122">
        <f t="shared" si="16"/>
        <v>1963</v>
      </c>
      <c r="K122">
        <f t="shared" si="17"/>
        <v>-106</v>
      </c>
      <c r="L122">
        <f t="shared" si="18"/>
        <v>-145.98012057743699</v>
      </c>
      <c r="M122" s="5">
        <v>1890</v>
      </c>
      <c r="N122" s="5">
        <v>-30</v>
      </c>
      <c r="O122" s="5">
        <v>-125.089396469923</v>
      </c>
      <c r="Q122">
        <f t="shared" si="23"/>
        <v>1.537500616375318</v>
      </c>
      <c r="R122">
        <f t="shared" si="19"/>
        <v>14.184875741720347</v>
      </c>
    </row>
    <row r="123" spans="1:18" x14ac:dyDescent="0.25">
      <c r="A123">
        <f t="shared" si="14"/>
        <v>1963.0833333333301</v>
      </c>
      <c r="B123">
        <f t="shared" si="14"/>
        <v>-49</v>
      </c>
      <c r="C123">
        <f t="shared" si="15"/>
        <v>-79.316331393345607</v>
      </c>
      <c r="D123">
        <f t="shared" si="20"/>
        <v>24.5</v>
      </c>
      <c r="E123">
        <f t="shared" si="20"/>
        <v>3.7268660559462603</v>
      </c>
      <c r="F123">
        <f t="shared" si="21"/>
        <v>0.66666666666666663</v>
      </c>
      <c r="G123">
        <f t="shared" si="22"/>
        <v>0.59859884191622925</v>
      </c>
      <c r="H123">
        <f t="shared" si="27"/>
        <v>-1.3000000000000003</v>
      </c>
      <c r="I123">
        <f t="shared" si="27"/>
        <v>-0.91282043515883937</v>
      </c>
      <c r="J123">
        <f t="shared" si="16"/>
        <v>1963.0833333333301</v>
      </c>
      <c r="K123">
        <f t="shared" si="17"/>
        <v>-49</v>
      </c>
      <c r="L123">
        <f t="shared" si="18"/>
        <v>-130.98202140045399</v>
      </c>
      <c r="M123" s="5">
        <v>1890.0833333333301</v>
      </c>
      <c r="N123" s="5">
        <v>-30</v>
      </c>
      <c r="O123" s="5">
        <v>-114.98458678545499</v>
      </c>
      <c r="Q123">
        <f t="shared" si="23"/>
        <v>6.8067824750437378E-2</v>
      </c>
      <c r="R123">
        <f t="shared" si="19"/>
        <v>30.316331393345607</v>
      </c>
    </row>
    <row r="124" spans="1:18" x14ac:dyDescent="0.25">
      <c r="A124">
        <f t="shared" si="14"/>
        <v>1963.1666666666599</v>
      </c>
      <c r="B124">
        <f t="shared" si="14"/>
        <v>-41</v>
      </c>
      <c r="C124">
        <f t="shared" si="15"/>
        <v>-74.271270640304081</v>
      </c>
      <c r="D124">
        <f t="shared" si="20"/>
        <v>4</v>
      </c>
      <c r="E124">
        <f t="shared" si="20"/>
        <v>-1.495285064728435</v>
      </c>
      <c r="F124">
        <f t="shared" si="21"/>
        <v>5.833333333333333</v>
      </c>
      <c r="G124">
        <f t="shared" si="22"/>
        <v>-0.71836816275342885</v>
      </c>
      <c r="H124">
        <f t="shared" si="27"/>
        <v>-0.66666666666666674</v>
      </c>
      <c r="I124">
        <f t="shared" si="27"/>
        <v>-2.3733326286666694</v>
      </c>
      <c r="J124">
        <f t="shared" si="16"/>
        <v>1963.1666666666599</v>
      </c>
      <c r="K124">
        <f t="shared" si="17"/>
        <v>-41</v>
      </c>
      <c r="L124">
        <f t="shared" si="18"/>
        <v>-124.928131049146</v>
      </c>
      <c r="M124" s="5">
        <v>1890.1666666666599</v>
      </c>
      <c r="N124" s="5">
        <v>-30</v>
      </c>
      <c r="O124" s="5">
        <v>-107.66795602786701</v>
      </c>
      <c r="Q124">
        <f t="shared" si="23"/>
        <v>6.5517014960867623</v>
      </c>
      <c r="R124">
        <f t="shared" si="19"/>
        <v>33.271270640304081</v>
      </c>
    </row>
    <row r="125" spans="1:18" x14ac:dyDescent="0.25">
      <c r="A125">
        <f t="shared" si="14"/>
        <v>1963.25</v>
      </c>
      <c r="B125">
        <f t="shared" si="14"/>
        <v>-41</v>
      </c>
      <c r="C125">
        <f t="shared" si="15"/>
        <v>-66.235639757805686</v>
      </c>
      <c r="D125">
        <f t="shared" si="20"/>
        <v>-11</v>
      </c>
      <c r="E125">
        <f t="shared" si="20"/>
        <v>-4.9254616015431836</v>
      </c>
      <c r="F125">
        <f t="shared" si="21"/>
        <v>-2.1666666666666665</v>
      </c>
      <c r="G125">
        <f t="shared" si="22"/>
        <v>-3.8486600794698766</v>
      </c>
      <c r="H125">
        <f t="shared" si="27"/>
        <v>-1.8666666666666665</v>
      </c>
      <c r="I125">
        <f t="shared" si="27"/>
        <v>-3.1101465069526619</v>
      </c>
      <c r="J125">
        <f t="shared" si="16"/>
        <v>1963.25</v>
      </c>
      <c r="K125">
        <f t="shared" si="17"/>
        <v>-41</v>
      </c>
      <c r="L125">
        <f t="shared" si="18"/>
        <v>-115.285664754384</v>
      </c>
      <c r="M125" s="5">
        <v>1890.25</v>
      </c>
      <c r="N125" s="5">
        <v>-30</v>
      </c>
      <c r="O125" s="5">
        <v>-95.074916562826303</v>
      </c>
      <c r="Q125">
        <f t="shared" si="23"/>
        <v>1.6819934128032101</v>
      </c>
      <c r="R125">
        <f t="shared" si="19"/>
        <v>25.235639757805686</v>
      </c>
    </row>
    <row r="126" spans="1:18" x14ac:dyDescent="0.25">
      <c r="A126">
        <f t="shared" si="14"/>
        <v>1963.3333333333301</v>
      </c>
      <c r="B126">
        <f t="shared" si="14"/>
        <v>-19</v>
      </c>
      <c r="C126">
        <f t="shared" si="15"/>
        <v>-48.349085672220923</v>
      </c>
      <c r="D126">
        <f t="shared" si="20"/>
        <v>0.5</v>
      </c>
      <c r="E126">
        <f t="shared" si="20"/>
        <v>-8.0117286317404179</v>
      </c>
      <c r="F126">
        <f t="shared" si="21"/>
        <v>-6.333333333333333</v>
      </c>
      <c r="G126">
        <f t="shared" si="22"/>
        <v>-8.1024010260682555</v>
      </c>
      <c r="H126">
        <f t="shared" si="27"/>
        <v>-2.3666666666666667</v>
      </c>
      <c r="I126">
        <f t="shared" si="27"/>
        <v>-2.6463087051233001</v>
      </c>
      <c r="J126">
        <f t="shared" si="16"/>
        <v>1963.3333333333301</v>
      </c>
      <c r="K126">
        <f t="shared" si="17"/>
        <v>-19</v>
      </c>
      <c r="L126">
        <f t="shared" si="18"/>
        <v>-93.822447065362297</v>
      </c>
      <c r="M126" s="5">
        <v>1890.3333333333301</v>
      </c>
      <c r="N126" s="5">
        <v>-30</v>
      </c>
      <c r="O126" s="5">
        <v>-83.910257982755994</v>
      </c>
      <c r="Q126">
        <f t="shared" si="23"/>
        <v>1.7690676927349225</v>
      </c>
      <c r="R126">
        <f t="shared" si="19"/>
        <v>29.349085672220923</v>
      </c>
    </row>
    <row r="127" spans="1:18" x14ac:dyDescent="0.25">
      <c r="A127">
        <f t="shared" si="14"/>
        <v>1963.4166666666599</v>
      </c>
      <c r="B127">
        <f t="shared" si="14"/>
        <v>2</v>
      </c>
      <c r="C127">
        <f t="shared" si="15"/>
        <v>-14.439074323155328</v>
      </c>
      <c r="D127">
        <f t="shared" si="20"/>
        <v>-8.5</v>
      </c>
      <c r="E127">
        <f t="shared" si="20"/>
        <v>-17.446813614472351</v>
      </c>
      <c r="F127">
        <f t="shared" si="21"/>
        <v>-7.333333333333333</v>
      </c>
      <c r="G127">
        <f t="shared" si="22"/>
        <v>-3.4799021083879773</v>
      </c>
      <c r="H127">
        <f t="shared" si="27"/>
        <v>-2.2666666666666666</v>
      </c>
      <c r="I127">
        <f t="shared" si="27"/>
        <v>-0.45422941850411647</v>
      </c>
      <c r="J127">
        <f t="shared" si="16"/>
        <v>1963.4166666666599</v>
      </c>
      <c r="K127">
        <f t="shared" si="17"/>
        <v>2</v>
      </c>
      <c r="L127">
        <f t="shared" si="18"/>
        <v>-53.131660458859997</v>
      </c>
      <c r="M127" s="5">
        <v>1890.4166666666599</v>
      </c>
      <c r="N127" s="5">
        <v>-30</v>
      </c>
      <c r="O127" s="5">
        <v>-84.656997326518507</v>
      </c>
      <c r="Q127">
        <f t="shared" si="23"/>
        <v>3.8534312249453557</v>
      </c>
      <c r="R127">
        <f t="shared" si="19"/>
        <v>16.439074323155328</v>
      </c>
    </row>
    <row r="128" spans="1:18" x14ac:dyDescent="0.25">
      <c r="A128">
        <f t="shared" si="14"/>
        <v>1963.5</v>
      </c>
      <c r="B128">
        <f t="shared" si="14"/>
        <v>40</v>
      </c>
      <c r="C128">
        <f t="shared" si="15"/>
        <v>54.364564254854969</v>
      </c>
      <c r="D128">
        <f t="shared" si="20"/>
        <v>-14</v>
      </c>
      <c r="E128">
        <f t="shared" si="20"/>
        <v>12.408909339757855</v>
      </c>
      <c r="F128">
        <f t="shared" si="21"/>
        <v>-1.8333333333333333</v>
      </c>
      <c r="G128">
        <f t="shared" si="22"/>
        <v>2.9177878510630375</v>
      </c>
      <c r="H128">
        <f t="shared" si="27"/>
        <v>3.3666666666666663</v>
      </c>
      <c r="I128">
        <f t="shared" si="27"/>
        <v>2.260362924522072</v>
      </c>
      <c r="J128">
        <f t="shared" si="16"/>
        <v>1963.5</v>
      </c>
      <c r="K128">
        <f t="shared" si="17"/>
        <v>40</v>
      </c>
      <c r="L128">
        <f t="shared" si="18"/>
        <v>29.430216218479199</v>
      </c>
      <c r="M128" s="5">
        <v>1890.5</v>
      </c>
      <c r="N128" s="5">
        <v>-30</v>
      </c>
      <c r="O128" s="5">
        <v>-87.288270791795</v>
      </c>
      <c r="Q128">
        <f t="shared" si="23"/>
        <v>4.7511211843963705</v>
      </c>
      <c r="R128">
        <f t="shared" si="19"/>
        <v>14.364564254854969</v>
      </c>
    </row>
    <row r="129" spans="1:18" x14ac:dyDescent="0.25">
      <c r="A129">
        <f t="shared" si="14"/>
        <v>1963.5833333333301</v>
      </c>
      <c r="B129">
        <f t="shared" si="14"/>
        <v>106</v>
      </c>
      <c r="C129">
        <f t="shared" si="15"/>
        <v>98.350384153349552</v>
      </c>
      <c r="D129">
        <f t="shared" si="20"/>
        <v>17</v>
      </c>
      <c r="E129">
        <f t="shared" si="20"/>
        <v>15.979608716200886</v>
      </c>
      <c r="F129">
        <f t="shared" si="21"/>
        <v>6.333333333333333</v>
      </c>
      <c r="G129">
        <f t="shared" si="22"/>
        <v>10.242028270342489</v>
      </c>
      <c r="H129">
        <f t="shared" si="27"/>
        <v>8.1666666666666679</v>
      </c>
      <c r="I129">
        <f t="shared" si="27"/>
        <v>5.3854138955087656</v>
      </c>
      <c r="J129">
        <f t="shared" si="16"/>
        <v>1963.5833333333301</v>
      </c>
      <c r="K129">
        <f t="shared" si="17"/>
        <v>106</v>
      </c>
      <c r="L129">
        <f t="shared" si="18"/>
        <v>82.211608497517901</v>
      </c>
      <c r="M129" s="5">
        <v>1890.5833333333301</v>
      </c>
      <c r="N129" s="5">
        <v>-30</v>
      </c>
      <c r="O129" s="5">
        <v>-88.888622702488703</v>
      </c>
      <c r="Q129">
        <f t="shared" si="23"/>
        <v>3.9086949370091562</v>
      </c>
      <c r="R129">
        <f t="shared" si="19"/>
        <v>7.6496158466504482</v>
      </c>
    </row>
    <row r="130" spans="1:18" x14ac:dyDescent="0.25">
      <c r="A130">
        <f t="shared" si="14"/>
        <v>1963.6666666666599</v>
      </c>
      <c r="B130">
        <f t="shared" si="14"/>
        <v>138</v>
      </c>
      <c r="C130">
        <f t="shared" si="15"/>
        <v>110.37698661944235</v>
      </c>
      <c r="D130">
        <f t="shared" si="20"/>
        <v>16</v>
      </c>
      <c r="E130">
        <f t="shared" si="20"/>
        <v>10.01908795782559</v>
      </c>
      <c r="F130">
        <f t="shared" si="21"/>
        <v>26</v>
      </c>
      <c r="G130">
        <f t="shared" si="22"/>
        <v>9.7243016356610656</v>
      </c>
      <c r="H130">
        <f t="shared" si="27"/>
        <v>10.100000000000001</v>
      </c>
      <c r="I130">
        <f t="shared" si="27"/>
        <v>6.7941427096723386</v>
      </c>
      <c r="J130">
        <f t="shared" si="16"/>
        <v>1963.6666666666599</v>
      </c>
      <c r="K130">
        <f t="shared" si="17"/>
        <v>138</v>
      </c>
      <c r="L130">
        <f t="shared" si="18"/>
        <v>96.643096281803196</v>
      </c>
      <c r="M130" s="5">
        <v>1890.6666666666599</v>
      </c>
      <c r="N130" s="5">
        <v>-30</v>
      </c>
      <c r="O130" s="5">
        <v>-88.219338760055905</v>
      </c>
      <c r="Q130">
        <f t="shared" si="23"/>
        <v>16.275698364338936</v>
      </c>
      <c r="R130">
        <f t="shared" si="19"/>
        <v>27.623013380557651</v>
      </c>
    </row>
    <row r="131" spans="1:18" x14ac:dyDescent="0.25">
      <c r="A131">
        <f t="shared" si="14"/>
        <v>1963.75</v>
      </c>
      <c r="B131">
        <f t="shared" si="14"/>
        <v>138</v>
      </c>
      <c r="C131">
        <f t="shared" si="15"/>
        <v>102.36541316988398</v>
      </c>
      <c r="D131">
        <f t="shared" si="20"/>
        <v>45</v>
      </c>
      <c r="E131">
        <f t="shared" si="20"/>
        <v>10.467434459702517</v>
      </c>
      <c r="F131">
        <f t="shared" si="21"/>
        <v>17.666666666666668</v>
      </c>
      <c r="G131">
        <f t="shared" si="22"/>
        <v>7.5228538288652134</v>
      </c>
      <c r="H131">
        <f t="shared" si="27"/>
        <v>7.4666666666666668</v>
      </c>
      <c r="I131">
        <f t="shared" si="27"/>
        <v>6.2454895793006466</v>
      </c>
      <c r="J131">
        <f t="shared" si="16"/>
        <v>1963.75</v>
      </c>
      <c r="K131">
        <f t="shared" si="17"/>
        <v>138</v>
      </c>
      <c r="L131">
        <f t="shared" si="18"/>
        <v>87.029498036066201</v>
      </c>
      <c r="M131" s="5">
        <v>1890.75</v>
      </c>
      <c r="N131" s="5">
        <v>-30</v>
      </c>
      <c r="O131" s="5">
        <v>-84.640615318280695</v>
      </c>
      <c r="Q131">
        <f t="shared" si="23"/>
        <v>10.143812837801455</v>
      </c>
      <c r="R131">
        <f t="shared" si="19"/>
        <v>35.634586830116021</v>
      </c>
    </row>
    <row r="132" spans="1:18" x14ac:dyDescent="0.25">
      <c r="A132">
        <f t="shared" ref="A132:C195" si="28">+J132</f>
        <v>1963.8333333333301</v>
      </c>
      <c r="B132">
        <f t="shared" si="28"/>
        <v>48</v>
      </c>
      <c r="C132">
        <f t="shared" ref="C132:C195" si="29">+$B$1*L132+$D$1</f>
        <v>73.418970800920576</v>
      </c>
      <c r="D132">
        <f t="shared" si="20"/>
        <v>-8</v>
      </c>
      <c r="E132">
        <f t="shared" si="20"/>
        <v>7.7241794407164406</v>
      </c>
      <c r="F132">
        <f t="shared" si="21"/>
        <v>2.3333333333333335</v>
      </c>
      <c r="G132">
        <f t="shared" si="22"/>
        <v>3.5637419624298881</v>
      </c>
      <c r="H132">
        <f t="shared" si="27"/>
        <v>3.7333333333333343</v>
      </c>
      <c r="I132">
        <f t="shared" si="27"/>
        <v>3.5453925576415637</v>
      </c>
      <c r="J132">
        <f t="shared" ref="J132:J195" si="30">+$M1008</f>
        <v>1963.8333333333301</v>
      </c>
      <c r="K132">
        <f t="shared" ref="K132:K195" si="31">+$N1008</f>
        <v>48</v>
      </c>
      <c r="L132">
        <f t="shared" ref="L132:L195" si="32">+$O1008</f>
        <v>52.294814602073103</v>
      </c>
      <c r="M132" s="5">
        <v>1890.8333333333301</v>
      </c>
      <c r="N132" s="5">
        <v>-30</v>
      </c>
      <c r="O132" s="5">
        <v>-84.524487782452297</v>
      </c>
      <c r="Q132">
        <f t="shared" si="23"/>
        <v>1.2304086290965546</v>
      </c>
      <c r="R132">
        <f t="shared" ref="R132:R195" si="33">+ABS(B132-C132)</f>
        <v>25.418970800920576</v>
      </c>
    </row>
    <row r="133" spans="1:18" x14ac:dyDescent="0.25">
      <c r="A133">
        <f t="shared" si="28"/>
        <v>1963.9166666666599</v>
      </c>
      <c r="B133">
        <f t="shared" si="28"/>
        <v>-26</v>
      </c>
      <c r="C133">
        <f t="shared" si="29"/>
        <v>29.024169550524292</v>
      </c>
      <c r="D133">
        <f t="shared" ref="D133:E196" si="34">+B133-1/2*(B132+B134)</f>
        <v>-30</v>
      </c>
      <c r="E133">
        <f t="shared" si="34"/>
        <v>-4.827581541306877</v>
      </c>
      <c r="F133">
        <f t="shared" si="21"/>
        <v>-15</v>
      </c>
      <c r="G133">
        <f t="shared" si="22"/>
        <v>0.17452219920457709</v>
      </c>
      <c r="H133">
        <f t="shared" si="27"/>
        <v>-1.5666666666666669</v>
      </c>
      <c r="I133">
        <f t="shared" si="27"/>
        <v>0.81730934356115559</v>
      </c>
      <c r="J133">
        <f t="shared" si="30"/>
        <v>1963.9166666666599</v>
      </c>
      <c r="K133">
        <f t="shared" si="31"/>
        <v>-26</v>
      </c>
      <c r="L133">
        <f t="shared" si="32"/>
        <v>-0.97734050051534005</v>
      </c>
      <c r="M133" s="5">
        <v>1890.9166666666599</v>
      </c>
      <c r="N133" s="5">
        <v>-30</v>
      </c>
      <c r="O133" s="5">
        <v>-75.834580935539293</v>
      </c>
      <c r="Q133">
        <f t="shared" si="23"/>
        <v>15.174522199204578</v>
      </c>
      <c r="R133">
        <f t="shared" si="33"/>
        <v>55.024169550524292</v>
      </c>
    </row>
    <row r="134" spans="1:18" x14ac:dyDescent="0.25">
      <c r="A134">
        <f t="shared" si="28"/>
        <v>1964</v>
      </c>
      <c r="B134">
        <f t="shared" si="28"/>
        <v>-40</v>
      </c>
      <c r="C134">
        <f t="shared" si="29"/>
        <v>-5.7154686172582423</v>
      </c>
      <c r="D134">
        <f t="shared" si="34"/>
        <v>-7</v>
      </c>
      <c r="E134">
        <f t="shared" si="34"/>
        <v>-2.2421396523923995</v>
      </c>
      <c r="F134">
        <f t="shared" ref="F134:F197" si="35">+AVERAGE(D133:D135)</f>
        <v>-12.333333333333334</v>
      </c>
      <c r="G134">
        <f t="shared" ref="G134:G197" si="36">+$H$1*AVERAGE(E133:E135)+$F$1</f>
        <v>-3.2584568379529282</v>
      </c>
      <c r="H134">
        <f t="shared" si="27"/>
        <v>-4.7</v>
      </c>
      <c r="I134">
        <f t="shared" si="27"/>
        <v>-1.3108222500660243</v>
      </c>
      <c r="J134">
        <f t="shared" si="30"/>
        <v>1964</v>
      </c>
      <c r="K134">
        <f t="shared" si="31"/>
        <v>-40</v>
      </c>
      <c r="L134">
        <f t="shared" si="32"/>
        <v>-42.663649269954703</v>
      </c>
      <c r="M134" s="5">
        <v>1891</v>
      </c>
      <c r="N134" s="5">
        <v>-30</v>
      </c>
      <c r="O134" s="5">
        <v>-46.521643348523398</v>
      </c>
      <c r="Q134">
        <f t="shared" ref="Q134:Q197" si="37">+ABS(F134-G134)</f>
        <v>9.0748764953804049</v>
      </c>
      <c r="R134">
        <f t="shared" si="33"/>
        <v>34.284531382741761</v>
      </c>
    </row>
    <row r="135" spans="1:18" x14ac:dyDescent="0.25">
      <c r="A135">
        <f t="shared" si="28"/>
        <v>1964.0833333333301</v>
      </c>
      <c r="B135">
        <f t="shared" si="28"/>
        <v>-40</v>
      </c>
      <c r="C135">
        <f t="shared" si="29"/>
        <v>-35.970827480255977</v>
      </c>
      <c r="D135">
        <f t="shared" si="34"/>
        <v>0</v>
      </c>
      <c r="E135">
        <f t="shared" si="34"/>
        <v>-5.1494919486242026</v>
      </c>
      <c r="F135">
        <f t="shared" si="35"/>
        <v>-0.5</v>
      </c>
      <c r="G135">
        <f t="shared" si="36"/>
        <v>-3.9161144347409724</v>
      </c>
      <c r="H135">
        <f t="shared" si="27"/>
        <v>-4.166666666666667</v>
      </c>
      <c r="I135">
        <f t="shared" si="27"/>
        <v>-2.1799115811475156</v>
      </c>
      <c r="J135">
        <f t="shared" si="30"/>
        <v>1964.0833333333301</v>
      </c>
      <c r="K135">
        <f t="shared" si="31"/>
        <v>-40</v>
      </c>
      <c r="L135">
        <f t="shared" si="32"/>
        <v>-78.968985134471097</v>
      </c>
      <c r="M135" s="5">
        <v>1891.0833333333301</v>
      </c>
      <c r="N135" s="5">
        <v>-30</v>
      </c>
      <c r="O135" s="5">
        <v>-15.108702763213699</v>
      </c>
      <c r="Q135">
        <f t="shared" si="37"/>
        <v>3.4161144347409724</v>
      </c>
      <c r="R135">
        <f t="shared" si="33"/>
        <v>4.0291725197440229</v>
      </c>
    </row>
    <row r="136" spans="1:18" x14ac:dyDescent="0.25">
      <c r="A136">
        <f t="shared" si="28"/>
        <v>1964.1666666666599</v>
      </c>
      <c r="B136">
        <f t="shared" si="28"/>
        <v>-40</v>
      </c>
      <c r="C136">
        <f t="shared" si="29"/>
        <v>-55.92720244600531</v>
      </c>
      <c r="D136">
        <f t="shared" si="34"/>
        <v>5.5</v>
      </c>
      <c r="E136">
        <f t="shared" si="34"/>
        <v>-7.2937975292620436</v>
      </c>
      <c r="F136">
        <f t="shared" si="35"/>
        <v>2</v>
      </c>
      <c r="G136">
        <f t="shared" si="36"/>
        <v>-3.1178041392706861</v>
      </c>
      <c r="H136">
        <f t="shared" ref="H136:I151" si="38">+AVERAGE(F134:F138)</f>
        <v>-0.66666666666666674</v>
      </c>
      <c r="I136">
        <f t="shared" si="38"/>
        <v>-2.0094920734660424</v>
      </c>
      <c r="J136">
        <f t="shared" si="30"/>
        <v>1964.1666666666599</v>
      </c>
      <c r="K136">
        <f t="shared" si="31"/>
        <v>-40</v>
      </c>
      <c r="L136">
        <f t="shared" si="32"/>
        <v>-102.915912984527</v>
      </c>
      <c r="M136" s="5">
        <v>1891.1666666666599</v>
      </c>
      <c r="N136" s="5">
        <v>-30</v>
      </c>
      <c r="O136" s="5">
        <v>-0.232651883205168</v>
      </c>
      <c r="Q136">
        <f t="shared" si="37"/>
        <v>5.1178041392706861</v>
      </c>
      <c r="R136">
        <f t="shared" si="33"/>
        <v>15.92720244600531</v>
      </c>
    </row>
    <row r="137" spans="1:18" x14ac:dyDescent="0.25">
      <c r="A137">
        <f t="shared" si="28"/>
        <v>1964.25</v>
      </c>
      <c r="B137">
        <f t="shared" si="28"/>
        <v>-51</v>
      </c>
      <c r="C137">
        <f t="shared" si="29"/>
        <v>-61.295982353230556</v>
      </c>
      <c r="D137">
        <f t="shared" si="34"/>
        <v>0.5</v>
      </c>
      <c r="E137">
        <f t="shared" si="34"/>
        <v>0.75152395562117391</v>
      </c>
      <c r="F137">
        <f t="shared" si="35"/>
        <v>5</v>
      </c>
      <c r="G137">
        <f t="shared" si="36"/>
        <v>-0.78170469297756817</v>
      </c>
      <c r="H137">
        <f t="shared" si="38"/>
        <v>1.4</v>
      </c>
      <c r="I137">
        <f t="shared" si="38"/>
        <v>-1.3084754270576562</v>
      </c>
      <c r="J137">
        <f t="shared" si="30"/>
        <v>1964.25</v>
      </c>
      <c r="K137">
        <f t="shared" si="31"/>
        <v>-51</v>
      </c>
      <c r="L137">
        <f t="shared" si="32"/>
        <v>-109.35825460728201</v>
      </c>
      <c r="M137" s="5">
        <v>1891.25</v>
      </c>
      <c r="N137" s="5">
        <v>-30</v>
      </c>
      <c r="O137" s="5">
        <v>-21.945486168146601</v>
      </c>
      <c r="Q137">
        <f t="shared" si="37"/>
        <v>5.7817046929775682</v>
      </c>
      <c r="R137">
        <f t="shared" si="33"/>
        <v>10.295982353230556</v>
      </c>
    </row>
    <row r="138" spans="1:18" x14ac:dyDescent="0.25">
      <c r="A138">
        <f t="shared" si="28"/>
        <v>1964.3333333333301</v>
      </c>
      <c r="B138">
        <f t="shared" si="28"/>
        <v>-63</v>
      </c>
      <c r="C138">
        <f t="shared" si="29"/>
        <v>-68.16781017169815</v>
      </c>
      <c r="D138">
        <f t="shared" si="34"/>
        <v>9</v>
      </c>
      <c r="E138">
        <f t="shared" si="34"/>
        <v>3.6108809749749895</v>
      </c>
      <c r="F138">
        <f t="shared" si="35"/>
        <v>2.5</v>
      </c>
      <c r="G138">
        <f t="shared" si="36"/>
        <v>1.0266197376119428</v>
      </c>
      <c r="H138">
        <f t="shared" si="38"/>
        <v>0.46666666666666662</v>
      </c>
      <c r="I138">
        <f t="shared" si="38"/>
        <v>-0.79532966718472498</v>
      </c>
      <c r="J138">
        <f t="shared" si="30"/>
        <v>1964.3333333333301</v>
      </c>
      <c r="K138">
        <f t="shared" si="31"/>
        <v>-63</v>
      </c>
      <c r="L138">
        <f t="shared" si="32"/>
        <v>-117.604199336687</v>
      </c>
      <c r="M138" s="5">
        <v>1891.3333333333301</v>
      </c>
      <c r="N138" s="5">
        <v>-30</v>
      </c>
      <c r="O138" s="5">
        <v>-90.181118131514097</v>
      </c>
      <c r="Q138">
        <f t="shared" si="37"/>
        <v>1.4733802623880572</v>
      </c>
      <c r="R138">
        <f t="shared" si="33"/>
        <v>5.1678101716981502</v>
      </c>
    </row>
    <row r="139" spans="1:18" x14ac:dyDescent="0.25">
      <c r="A139">
        <f t="shared" si="28"/>
        <v>1964.4166666666599</v>
      </c>
      <c r="B139">
        <f t="shared" si="28"/>
        <v>-93</v>
      </c>
      <c r="C139">
        <f t="shared" si="29"/>
        <v>-82.261399940115737</v>
      </c>
      <c r="D139">
        <f t="shared" si="34"/>
        <v>-2</v>
      </c>
      <c r="E139">
        <f t="shared" si="34"/>
        <v>-0.51258091455137844</v>
      </c>
      <c r="F139">
        <f t="shared" si="35"/>
        <v>-2</v>
      </c>
      <c r="G139">
        <f t="shared" si="36"/>
        <v>0.24662639408900305</v>
      </c>
      <c r="H139">
        <f t="shared" si="38"/>
        <v>-0.96666666666666679</v>
      </c>
      <c r="I139">
        <f t="shared" si="38"/>
        <v>-0.43140531734208754</v>
      </c>
      <c r="J139">
        <f t="shared" si="30"/>
        <v>1964.4166666666599</v>
      </c>
      <c r="K139">
        <f t="shared" si="31"/>
        <v>-93</v>
      </c>
      <c r="L139">
        <f t="shared" si="32"/>
        <v>-134.51599709113</v>
      </c>
      <c r="M139" s="5">
        <v>1891.4166666666599</v>
      </c>
      <c r="N139" s="5">
        <v>-30</v>
      </c>
      <c r="O139" s="5">
        <v>-147.98294317115099</v>
      </c>
      <c r="Q139">
        <f t="shared" si="37"/>
        <v>2.2466263940890032</v>
      </c>
      <c r="R139">
        <f t="shared" si="33"/>
        <v>10.738600059884263</v>
      </c>
    </row>
    <row r="140" spans="1:18" x14ac:dyDescent="0.25">
      <c r="A140">
        <f t="shared" si="28"/>
        <v>1964.5</v>
      </c>
      <c r="B140">
        <f t="shared" si="28"/>
        <v>-119</v>
      </c>
      <c r="C140">
        <f t="shared" si="29"/>
        <v>-95.329827879430582</v>
      </c>
      <c r="D140">
        <f t="shared" si="34"/>
        <v>-13</v>
      </c>
      <c r="E140">
        <f t="shared" si="34"/>
        <v>-2.1734510825898496</v>
      </c>
      <c r="F140">
        <f t="shared" si="35"/>
        <v>-5.166666666666667</v>
      </c>
      <c r="G140">
        <f t="shared" si="36"/>
        <v>-1.3503856353763164</v>
      </c>
      <c r="H140">
        <f t="shared" si="38"/>
        <v>-1.9666666666666668</v>
      </c>
      <c r="I140">
        <f t="shared" si="38"/>
        <v>-0.39667715823464167</v>
      </c>
      <c r="J140">
        <f t="shared" si="30"/>
        <v>1964.5</v>
      </c>
      <c r="K140">
        <f t="shared" si="31"/>
        <v>-119</v>
      </c>
      <c r="L140">
        <f t="shared" si="32"/>
        <v>-150.197637745484</v>
      </c>
      <c r="M140" s="5">
        <v>1891.5</v>
      </c>
      <c r="N140" s="5">
        <v>-30</v>
      </c>
      <c r="O140" s="5">
        <v>-176.49955718154899</v>
      </c>
      <c r="Q140">
        <f t="shared" si="37"/>
        <v>3.8162810312903508</v>
      </c>
      <c r="R140">
        <f t="shared" si="33"/>
        <v>23.670172120569418</v>
      </c>
    </row>
    <row r="141" spans="1:18" x14ac:dyDescent="0.25">
      <c r="A141">
        <f t="shared" si="28"/>
        <v>1964.5833333333301</v>
      </c>
      <c r="B141">
        <f t="shared" si="28"/>
        <v>-119</v>
      </c>
      <c r="C141">
        <f t="shared" si="29"/>
        <v>-104.05135365356574</v>
      </c>
      <c r="D141">
        <f t="shared" si="34"/>
        <v>-0.5</v>
      </c>
      <c r="E141">
        <f t="shared" si="34"/>
        <v>-2.3779141355199584</v>
      </c>
      <c r="F141">
        <f t="shared" si="35"/>
        <v>-5.166666666666667</v>
      </c>
      <c r="G141">
        <f t="shared" si="36"/>
        <v>-1.2981823900574987</v>
      </c>
      <c r="H141">
        <f t="shared" si="38"/>
        <v>-2.4333333333333336</v>
      </c>
      <c r="I141">
        <f t="shared" si="38"/>
        <v>-0.78944030631195417</v>
      </c>
      <c r="J141">
        <f t="shared" si="30"/>
        <v>1964.5833333333301</v>
      </c>
      <c r="K141">
        <f t="shared" si="31"/>
        <v>-119</v>
      </c>
      <c r="L141">
        <f t="shared" si="32"/>
        <v>-160.663153091536</v>
      </c>
      <c r="M141" s="5">
        <v>1891.5833333333301</v>
      </c>
      <c r="N141" s="5">
        <v>-30</v>
      </c>
      <c r="O141" s="5">
        <v>-185.047826018108</v>
      </c>
      <c r="Q141">
        <f t="shared" si="37"/>
        <v>3.868484276609168</v>
      </c>
      <c r="R141">
        <f t="shared" si="33"/>
        <v>14.948646346434259</v>
      </c>
    </row>
    <row r="142" spans="1:18" x14ac:dyDescent="0.25">
      <c r="A142">
        <f t="shared" si="28"/>
        <v>1964.6666666666599</v>
      </c>
      <c r="B142">
        <f t="shared" si="28"/>
        <v>-118</v>
      </c>
      <c r="C142">
        <f t="shared" si="29"/>
        <v>-108.01705115666098</v>
      </c>
      <c r="D142">
        <f t="shared" si="34"/>
        <v>-2</v>
      </c>
      <c r="E142">
        <f t="shared" si="34"/>
        <v>-0.31681874460581128</v>
      </c>
      <c r="F142">
        <f t="shared" si="35"/>
        <v>0</v>
      </c>
      <c r="G142">
        <f t="shared" si="36"/>
        <v>-0.60806389744033895</v>
      </c>
      <c r="H142">
        <f t="shared" si="38"/>
        <v>-3.0666666666666673</v>
      </c>
      <c r="I142">
        <f t="shared" si="38"/>
        <v>-1.2905565639339831</v>
      </c>
      <c r="J142">
        <f t="shared" si="30"/>
        <v>1964.6666666666599</v>
      </c>
      <c r="K142">
        <f t="shared" si="31"/>
        <v>-118</v>
      </c>
      <c r="L142">
        <f t="shared" si="32"/>
        <v>-165.421846598987</v>
      </c>
      <c r="M142" s="5">
        <v>1891.6666666666599</v>
      </c>
      <c r="N142" s="5">
        <v>-30</v>
      </c>
      <c r="O142" s="5">
        <v>-180.68820574491599</v>
      </c>
      <c r="Q142">
        <f t="shared" si="37"/>
        <v>0.60806389744033895</v>
      </c>
      <c r="R142">
        <f t="shared" si="33"/>
        <v>9.9829488433390168</v>
      </c>
    </row>
    <row r="143" spans="1:18" x14ac:dyDescent="0.25">
      <c r="A143">
        <f t="shared" si="28"/>
        <v>1964.75</v>
      </c>
      <c r="B143">
        <f t="shared" si="28"/>
        <v>-113</v>
      </c>
      <c r="C143">
        <f t="shared" si="29"/>
        <v>-111.3491111705446</v>
      </c>
      <c r="D143">
        <f t="shared" si="34"/>
        <v>2.5</v>
      </c>
      <c r="E143">
        <f t="shared" si="34"/>
        <v>0.41449326472449854</v>
      </c>
      <c r="F143">
        <f t="shared" si="35"/>
        <v>0.16666666666666666</v>
      </c>
      <c r="G143">
        <f t="shared" si="36"/>
        <v>-0.93719600277462034</v>
      </c>
      <c r="H143">
        <f t="shared" si="38"/>
        <v>-2.0333333333333337</v>
      </c>
      <c r="I143">
        <f t="shared" si="38"/>
        <v>-1.5571147958404754</v>
      </c>
      <c r="J143">
        <f t="shared" si="30"/>
        <v>1964.75</v>
      </c>
      <c r="K143">
        <f t="shared" si="31"/>
        <v>-113</v>
      </c>
      <c r="L143">
        <f t="shared" si="32"/>
        <v>-169.42019804715699</v>
      </c>
      <c r="M143" s="5">
        <v>1891.75</v>
      </c>
      <c r="N143" s="5">
        <v>-30</v>
      </c>
      <c r="O143" s="5">
        <v>-172.65260654430301</v>
      </c>
      <c r="Q143">
        <f t="shared" si="37"/>
        <v>1.103862669441287</v>
      </c>
      <c r="R143">
        <f t="shared" si="33"/>
        <v>1.6508888294553969</v>
      </c>
    </row>
    <row r="144" spans="1:18" x14ac:dyDescent="0.25">
      <c r="A144">
        <f t="shared" si="28"/>
        <v>1964.8333333333301</v>
      </c>
      <c r="B144">
        <f t="shared" si="28"/>
        <v>-113</v>
      </c>
      <c r="C144">
        <f t="shared" si="29"/>
        <v>-115.51015771387722</v>
      </c>
      <c r="D144">
        <f t="shared" si="34"/>
        <v>0</v>
      </c>
      <c r="E144">
        <f t="shared" si="34"/>
        <v>-3.6121595305235132</v>
      </c>
      <c r="F144">
        <f t="shared" si="35"/>
        <v>-5.166666666666667</v>
      </c>
      <c r="G144">
        <f t="shared" si="36"/>
        <v>-2.2589548940211404</v>
      </c>
      <c r="H144">
        <f t="shared" si="38"/>
        <v>-0.56666666666666665</v>
      </c>
      <c r="I144">
        <f t="shared" si="38"/>
        <v>-1.4461807597534266</v>
      </c>
      <c r="J144">
        <f t="shared" si="30"/>
        <v>1964.8333333333301</v>
      </c>
      <c r="K144">
        <f t="shared" si="31"/>
        <v>-113</v>
      </c>
      <c r="L144">
        <f t="shared" si="32"/>
        <v>-174.413303334311</v>
      </c>
      <c r="M144" s="5">
        <v>1891.8333333333301</v>
      </c>
      <c r="N144" s="5">
        <v>-30</v>
      </c>
      <c r="O144" s="5">
        <v>-168.30106017667501</v>
      </c>
      <c r="Q144">
        <f t="shared" si="37"/>
        <v>2.9077117726455266</v>
      </c>
      <c r="R144">
        <f t="shared" si="33"/>
        <v>2.51015771387722</v>
      </c>
    </row>
    <row r="145" spans="1:18" x14ac:dyDescent="0.25">
      <c r="A145">
        <f t="shared" si="28"/>
        <v>1964.9166666666599</v>
      </c>
      <c r="B145">
        <f t="shared" si="28"/>
        <v>-113</v>
      </c>
      <c r="C145">
        <f t="shared" si="29"/>
        <v>-112.44688519616281</v>
      </c>
      <c r="D145">
        <f t="shared" si="34"/>
        <v>-18</v>
      </c>
      <c r="E145">
        <f t="shared" si="34"/>
        <v>-5.2734145867802624</v>
      </c>
      <c r="F145">
        <f t="shared" si="35"/>
        <v>0</v>
      </c>
      <c r="G145">
        <f t="shared" si="36"/>
        <v>-2.6831767949087788</v>
      </c>
      <c r="H145">
        <f t="shared" si="38"/>
        <v>0.6333333333333333</v>
      </c>
      <c r="I145">
        <f t="shared" si="38"/>
        <v>-0.83219691350558733</v>
      </c>
      <c r="J145">
        <f t="shared" si="30"/>
        <v>1964.9166666666599</v>
      </c>
      <c r="K145">
        <f t="shared" si="31"/>
        <v>-113</v>
      </c>
      <c r="L145">
        <f t="shared" si="32"/>
        <v>-170.73748715563801</v>
      </c>
      <c r="M145" s="5">
        <v>1891.9166666666599</v>
      </c>
      <c r="N145" s="5">
        <v>-30</v>
      </c>
      <c r="O145" s="5">
        <v>-160.377487582334</v>
      </c>
      <c r="Q145">
        <f t="shared" si="37"/>
        <v>2.6831767949087788</v>
      </c>
      <c r="R145">
        <f t="shared" si="33"/>
        <v>0.55311480383718958</v>
      </c>
    </row>
    <row r="146" spans="1:18" x14ac:dyDescent="0.25">
      <c r="A146">
        <f t="shared" si="28"/>
        <v>1965</v>
      </c>
      <c r="B146">
        <f t="shared" si="28"/>
        <v>-77</v>
      </c>
      <c r="C146">
        <f t="shared" si="29"/>
        <v>-98.836783504887876</v>
      </c>
      <c r="D146">
        <f t="shared" si="34"/>
        <v>18</v>
      </c>
      <c r="E146">
        <f t="shared" si="34"/>
        <v>-1.1763388636041441</v>
      </c>
      <c r="F146">
        <f t="shared" si="35"/>
        <v>2.1666666666666665</v>
      </c>
      <c r="G146">
        <f t="shared" si="36"/>
        <v>-0.74351220962225473</v>
      </c>
      <c r="H146">
        <f t="shared" si="38"/>
        <v>1.6333333333333333</v>
      </c>
      <c r="I146">
        <f t="shared" si="38"/>
        <v>0.15503803723567228</v>
      </c>
      <c r="J146">
        <f t="shared" si="30"/>
        <v>1965</v>
      </c>
      <c r="K146">
        <f t="shared" si="31"/>
        <v>-77</v>
      </c>
      <c r="L146">
        <f t="shared" si="32"/>
        <v>-154.405857599055</v>
      </c>
      <c r="M146" s="5">
        <v>1892</v>
      </c>
      <c r="N146" s="5">
        <v>-30</v>
      </c>
      <c r="O146" s="5">
        <v>-146.09529795794899</v>
      </c>
      <c r="Q146">
        <f t="shared" si="37"/>
        <v>2.9101788762889211</v>
      </c>
      <c r="R146">
        <f t="shared" si="33"/>
        <v>21.836783504887876</v>
      </c>
    </row>
    <row r="147" spans="1:18" x14ac:dyDescent="0.25">
      <c r="A147">
        <f t="shared" si="28"/>
        <v>1965.0833333333301</v>
      </c>
      <c r="B147">
        <f t="shared" si="28"/>
        <v>-77</v>
      </c>
      <c r="C147">
        <f t="shared" si="29"/>
        <v>-82.874004086404668</v>
      </c>
      <c r="D147">
        <f t="shared" si="34"/>
        <v>6.5</v>
      </c>
      <c r="E147">
        <f t="shared" si="34"/>
        <v>3.6615826643009513</v>
      </c>
      <c r="F147">
        <f t="shared" si="35"/>
        <v>6</v>
      </c>
      <c r="G147">
        <f t="shared" si="36"/>
        <v>2.4618553337988565</v>
      </c>
      <c r="H147">
        <f t="shared" si="38"/>
        <v>4.0999999999999996</v>
      </c>
      <c r="I147">
        <f t="shared" si="38"/>
        <v>1.0560527396278145</v>
      </c>
      <c r="J147">
        <f t="shared" si="30"/>
        <v>1965.0833333333301</v>
      </c>
      <c r="K147">
        <f t="shared" si="31"/>
        <v>-77</v>
      </c>
      <c r="L147">
        <f t="shared" si="32"/>
        <v>-135.25109989998199</v>
      </c>
      <c r="M147" s="5">
        <v>1892.0833333333301</v>
      </c>
      <c r="N147" s="5">
        <v>-30</v>
      </c>
      <c r="O147" s="5">
        <v>-137.05630699605999</v>
      </c>
      <c r="Q147">
        <f t="shared" si="37"/>
        <v>3.5381446662011435</v>
      </c>
      <c r="R147">
        <f t="shared" si="33"/>
        <v>5.8740040864046676</v>
      </c>
    </row>
    <row r="148" spans="1:18" x14ac:dyDescent="0.25">
      <c r="A148">
        <f t="shared" si="28"/>
        <v>1965.1666666666599</v>
      </c>
      <c r="B148">
        <f t="shared" si="28"/>
        <v>-90</v>
      </c>
      <c r="C148">
        <f t="shared" si="29"/>
        <v>-74.234389996523376</v>
      </c>
      <c r="D148">
        <f t="shared" si="34"/>
        <v>-6.5</v>
      </c>
      <c r="E148">
        <f t="shared" si="34"/>
        <v>6.746713701048904</v>
      </c>
      <c r="F148">
        <f t="shared" si="35"/>
        <v>5.166666666666667</v>
      </c>
      <c r="G148">
        <f t="shared" si="36"/>
        <v>3.9989787509316788</v>
      </c>
      <c r="H148">
        <f t="shared" si="38"/>
        <v>4.0999999999999996</v>
      </c>
      <c r="I148">
        <f t="shared" si="38"/>
        <v>1.4025308857526786</v>
      </c>
      <c r="J148">
        <f t="shared" si="30"/>
        <v>1965.1666666666599</v>
      </c>
      <c r="K148">
        <f t="shared" si="31"/>
        <v>-90</v>
      </c>
      <c r="L148">
        <f t="shared" si="32"/>
        <v>-124.883875611112</v>
      </c>
      <c r="M148" s="5">
        <v>1892.1666666666599</v>
      </c>
      <c r="N148" s="5">
        <v>-30</v>
      </c>
      <c r="O148" s="5">
        <v>-136.36345891994199</v>
      </c>
      <c r="Q148">
        <f t="shared" si="37"/>
        <v>1.1676879157349882</v>
      </c>
      <c r="R148">
        <f t="shared" si="33"/>
        <v>15.765610003476624</v>
      </c>
    </row>
    <row r="149" spans="1:18" x14ac:dyDescent="0.25">
      <c r="A149">
        <f t="shared" si="28"/>
        <v>1965.25</v>
      </c>
      <c r="B149">
        <f t="shared" si="28"/>
        <v>-90</v>
      </c>
      <c r="C149">
        <f t="shared" si="29"/>
        <v>-79.088203308739878</v>
      </c>
      <c r="D149">
        <f t="shared" si="34"/>
        <v>15.5</v>
      </c>
      <c r="E149">
        <f t="shared" si="34"/>
        <v>4.5878739506439388</v>
      </c>
      <c r="F149">
        <f t="shared" si="35"/>
        <v>7.166666666666667</v>
      </c>
      <c r="G149">
        <f t="shared" si="36"/>
        <v>2.2461186179395707</v>
      </c>
      <c r="H149">
        <f t="shared" si="38"/>
        <v>2.3666666666666671</v>
      </c>
      <c r="I149">
        <f t="shared" si="38"/>
        <v>0.90232168675883584</v>
      </c>
      <c r="J149">
        <f t="shared" si="30"/>
        <v>1965.25</v>
      </c>
      <c r="K149">
        <f t="shared" si="31"/>
        <v>-90</v>
      </c>
      <c r="L149">
        <f t="shared" si="32"/>
        <v>-130.70827595359799</v>
      </c>
      <c r="M149" s="5">
        <v>1892.25</v>
      </c>
      <c r="N149" s="5">
        <v>-30</v>
      </c>
      <c r="O149" s="5">
        <v>-139.24961038789201</v>
      </c>
      <c r="Q149">
        <f t="shared" si="37"/>
        <v>4.9205480487270963</v>
      </c>
      <c r="R149">
        <f t="shared" si="33"/>
        <v>10.911796691260122</v>
      </c>
    </row>
    <row r="150" spans="1:18" x14ac:dyDescent="0.25">
      <c r="A150">
        <f t="shared" si="28"/>
        <v>1965.3333333333301</v>
      </c>
      <c r="B150">
        <f t="shared" si="28"/>
        <v>-121</v>
      </c>
      <c r="C150">
        <f t="shared" si="29"/>
        <v>-93.117764522244244</v>
      </c>
      <c r="D150">
        <f t="shared" si="34"/>
        <v>12.5</v>
      </c>
      <c r="E150">
        <f t="shared" si="34"/>
        <v>-2.9116428344194532</v>
      </c>
      <c r="F150">
        <f t="shared" si="35"/>
        <v>0</v>
      </c>
      <c r="G150">
        <f t="shared" si="36"/>
        <v>-0.95078606428445855</v>
      </c>
      <c r="H150">
        <f t="shared" si="38"/>
        <v>-2.333333333333333</v>
      </c>
      <c r="I150">
        <f t="shared" si="38"/>
        <v>-0.18745346159090176</v>
      </c>
      <c r="J150">
        <f t="shared" si="30"/>
        <v>1965.3333333333301</v>
      </c>
      <c r="K150">
        <f t="shared" si="31"/>
        <v>-121</v>
      </c>
      <c r="L150">
        <f t="shared" si="32"/>
        <v>-147.54324175897801</v>
      </c>
      <c r="M150" s="5">
        <v>1892.3333333333301</v>
      </c>
      <c r="N150" s="5">
        <v>-30</v>
      </c>
      <c r="O150" s="5">
        <v>-140.49330799194399</v>
      </c>
      <c r="Q150">
        <f t="shared" si="37"/>
        <v>0.95078606428445855</v>
      </c>
      <c r="R150">
        <f t="shared" si="33"/>
        <v>27.882235477755756</v>
      </c>
    </row>
    <row r="151" spans="1:18" x14ac:dyDescent="0.25">
      <c r="A151">
        <f t="shared" si="28"/>
        <v>1965.4166666666599</v>
      </c>
      <c r="B151">
        <f t="shared" si="28"/>
        <v>-177</v>
      </c>
      <c r="C151">
        <f t="shared" si="29"/>
        <v>-101.3240400669097</v>
      </c>
      <c r="D151">
        <f t="shared" si="34"/>
        <v>-28</v>
      </c>
      <c r="E151">
        <f t="shared" si="34"/>
        <v>-5.2416788572912054</v>
      </c>
      <c r="F151">
        <f t="shared" si="35"/>
        <v>-6.5</v>
      </c>
      <c r="G151">
        <f t="shared" si="36"/>
        <v>-3.2445582045914687</v>
      </c>
      <c r="H151">
        <f t="shared" si="38"/>
        <v>-3.5</v>
      </c>
      <c r="I151">
        <f t="shared" si="38"/>
        <v>-1.1410565575624392</v>
      </c>
      <c r="J151">
        <f t="shared" si="30"/>
        <v>1965.4166666666599</v>
      </c>
      <c r="K151">
        <f t="shared" si="31"/>
        <v>-177</v>
      </c>
      <c r="L151">
        <f t="shared" si="32"/>
        <v>-157.39047547367099</v>
      </c>
      <c r="M151" s="5">
        <v>1892.4166666666599</v>
      </c>
      <c r="N151" s="5">
        <v>-30</v>
      </c>
      <c r="O151" s="5">
        <v>-130.479559202465</v>
      </c>
      <c r="Q151">
        <f t="shared" si="37"/>
        <v>3.2554417954085313</v>
      </c>
      <c r="R151">
        <f t="shared" si="33"/>
        <v>75.675959933090297</v>
      </c>
    </row>
    <row r="152" spans="1:18" x14ac:dyDescent="0.25">
      <c r="A152">
        <f t="shared" si="28"/>
        <v>1965.5</v>
      </c>
      <c r="B152">
        <f t="shared" si="28"/>
        <v>-177</v>
      </c>
      <c r="C152">
        <f t="shared" si="29"/>
        <v>-99.046957896992751</v>
      </c>
      <c r="D152">
        <f t="shared" si="34"/>
        <v>-4</v>
      </c>
      <c r="E152">
        <f t="shared" si="34"/>
        <v>-4.0137715755073486</v>
      </c>
      <c r="F152">
        <f t="shared" si="35"/>
        <v>-17.5</v>
      </c>
      <c r="G152">
        <f t="shared" si="36"/>
        <v>-2.987020407949831</v>
      </c>
      <c r="H152">
        <f t="shared" ref="H152:I167" si="39">+AVERAGE(F150:F154)</f>
        <v>-5.6333333333333337</v>
      </c>
      <c r="I152">
        <f t="shared" si="39"/>
        <v>-1.5033488488858515</v>
      </c>
      <c r="J152">
        <f t="shared" si="30"/>
        <v>1965.5</v>
      </c>
      <c r="K152">
        <f t="shared" si="31"/>
        <v>-177</v>
      </c>
      <c r="L152">
        <f t="shared" si="32"/>
        <v>-154.658059264553</v>
      </c>
      <c r="M152" s="5">
        <v>1892.5</v>
      </c>
      <c r="N152" s="5">
        <v>-30</v>
      </c>
      <c r="O152" s="5">
        <v>-106.539027981098</v>
      </c>
      <c r="Q152">
        <f t="shared" si="37"/>
        <v>14.512979592050169</v>
      </c>
      <c r="R152">
        <f t="shared" si="33"/>
        <v>77.953042103007249</v>
      </c>
    </row>
    <row r="153" spans="1:18" x14ac:dyDescent="0.25">
      <c r="A153">
        <f t="shared" si="28"/>
        <v>1965.5833333333301</v>
      </c>
      <c r="B153">
        <f t="shared" si="28"/>
        <v>-169</v>
      </c>
      <c r="C153">
        <f t="shared" si="29"/>
        <v>-88.742332576061116</v>
      </c>
      <c r="D153">
        <f t="shared" si="34"/>
        <v>-20.5</v>
      </c>
      <c r="E153">
        <f t="shared" si="34"/>
        <v>-1.9458760970133113</v>
      </c>
      <c r="F153">
        <f t="shared" si="35"/>
        <v>-0.66666666666666663</v>
      </c>
      <c r="G153">
        <f t="shared" si="36"/>
        <v>-0.76903672892600916</v>
      </c>
      <c r="H153">
        <f t="shared" si="39"/>
        <v>-6.3</v>
      </c>
      <c r="I153">
        <f t="shared" si="39"/>
        <v>-1.7511498563864898</v>
      </c>
      <c r="J153">
        <f t="shared" si="30"/>
        <v>1965.5833333333301</v>
      </c>
      <c r="K153">
        <f t="shared" si="31"/>
        <v>-169</v>
      </c>
      <c r="L153">
        <f t="shared" si="32"/>
        <v>-142.29288174580401</v>
      </c>
      <c r="M153" s="5">
        <v>1892.5833333333301</v>
      </c>
      <c r="N153" s="5">
        <v>-30</v>
      </c>
      <c r="O153" s="5">
        <v>-70.982980460634494</v>
      </c>
      <c r="Q153">
        <f t="shared" si="37"/>
        <v>0.10237006225934253</v>
      </c>
      <c r="R153">
        <f t="shared" si="33"/>
        <v>80.257667423938884</v>
      </c>
    </row>
    <row r="154" spans="1:18" x14ac:dyDescent="0.25">
      <c r="A154">
        <f t="shared" si="28"/>
        <v>1965.6666666666599</v>
      </c>
      <c r="B154">
        <f t="shared" si="28"/>
        <v>-120</v>
      </c>
      <c r="C154">
        <f t="shared" si="29"/>
        <v>-74.545955061102873</v>
      </c>
      <c r="D154">
        <f t="shared" si="34"/>
        <v>22.5</v>
      </c>
      <c r="E154">
        <f t="shared" si="34"/>
        <v>3.0757599390481261</v>
      </c>
      <c r="F154">
        <f t="shared" si="35"/>
        <v>-3.5</v>
      </c>
      <c r="G154">
        <f t="shared" si="36"/>
        <v>0.43465716132250992</v>
      </c>
      <c r="H154">
        <f t="shared" si="39"/>
        <v>-7.2</v>
      </c>
      <c r="I154">
        <f t="shared" si="39"/>
        <v>-2.5428260317141151</v>
      </c>
      <c r="J154">
        <f t="shared" si="30"/>
        <v>1965.6666666666599</v>
      </c>
      <c r="K154">
        <f t="shared" si="31"/>
        <v>-120</v>
      </c>
      <c r="L154">
        <f t="shared" si="32"/>
        <v>-125.257742414822</v>
      </c>
      <c r="M154" s="5">
        <v>1892.6666666666599</v>
      </c>
      <c r="N154" s="5">
        <v>-30</v>
      </c>
      <c r="O154" s="5">
        <v>-28.3407650901603</v>
      </c>
      <c r="Q154">
        <f t="shared" si="37"/>
        <v>3.9346571613225101</v>
      </c>
      <c r="R154">
        <f t="shared" si="33"/>
        <v>45.454044938897127</v>
      </c>
    </row>
    <row r="155" spans="1:18" x14ac:dyDescent="0.25">
      <c r="A155">
        <f t="shared" si="28"/>
        <v>1965.75</v>
      </c>
      <c r="B155">
        <f t="shared" si="28"/>
        <v>-116</v>
      </c>
      <c r="C155">
        <f t="shared" si="29"/>
        <v>-66.501097424240896</v>
      </c>
      <c r="D155">
        <f t="shared" si="34"/>
        <v>-12.5</v>
      </c>
      <c r="E155">
        <f t="shared" si="34"/>
        <v>0.50008051292459754</v>
      </c>
      <c r="F155">
        <f t="shared" si="35"/>
        <v>-3.3333333333333335</v>
      </c>
      <c r="G155">
        <f t="shared" si="36"/>
        <v>-2.1897911017876481</v>
      </c>
      <c r="H155">
        <f t="shared" si="39"/>
        <v>-2.8333333333333335</v>
      </c>
      <c r="I155">
        <f t="shared" si="39"/>
        <v>-2.7164116761624806</v>
      </c>
      <c r="J155">
        <f t="shared" si="30"/>
        <v>1965.75</v>
      </c>
      <c r="K155">
        <f t="shared" si="31"/>
        <v>-116</v>
      </c>
      <c r="L155">
        <f t="shared" si="32"/>
        <v>-115.604204348688</v>
      </c>
      <c r="M155" s="5">
        <v>1892.75</v>
      </c>
      <c r="N155" s="5">
        <v>-30</v>
      </c>
      <c r="O155" s="5">
        <v>-11.8292524505966</v>
      </c>
      <c r="Q155">
        <f t="shared" si="37"/>
        <v>1.1435422315456854</v>
      </c>
      <c r="R155">
        <f t="shared" si="33"/>
        <v>49.498902575759104</v>
      </c>
    </row>
    <row r="156" spans="1:18" x14ac:dyDescent="0.25">
      <c r="A156">
        <f t="shared" si="28"/>
        <v>1965.8333333333301</v>
      </c>
      <c r="B156">
        <f t="shared" si="28"/>
        <v>-87</v>
      </c>
      <c r="C156">
        <f t="shared" si="29"/>
        <v>-59.4564008132281</v>
      </c>
      <c r="D156">
        <f t="shared" si="34"/>
        <v>-20</v>
      </c>
      <c r="E156">
        <f t="shared" si="34"/>
        <v>-11.787557083676404</v>
      </c>
      <c r="F156">
        <f t="shared" si="35"/>
        <v>-11</v>
      </c>
      <c r="G156">
        <f t="shared" si="36"/>
        <v>-7.2029390812295988</v>
      </c>
      <c r="H156">
        <f t="shared" si="39"/>
        <v>-0.40000000000000069</v>
      </c>
      <c r="I156">
        <f t="shared" si="39"/>
        <v>-1.8364667605098721</v>
      </c>
      <c r="J156">
        <f t="shared" si="30"/>
        <v>1965.8333333333301</v>
      </c>
      <c r="K156">
        <f t="shared" si="31"/>
        <v>-87</v>
      </c>
      <c r="L156">
        <f t="shared" si="32"/>
        <v>-107.150823323377</v>
      </c>
      <c r="M156" s="5">
        <v>1892.8333333333301</v>
      </c>
      <c r="N156" s="5">
        <v>-30</v>
      </c>
      <c r="O156" s="5">
        <v>-24.785227346084199</v>
      </c>
      <c r="Q156">
        <f t="shared" si="37"/>
        <v>3.7970609187704012</v>
      </c>
      <c r="R156">
        <f t="shared" si="33"/>
        <v>27.5435991867719</v>
      </c>
    </row>
    <row r="157" spans="1:18" x14ac:dyDescent="0.25">
      <c r="A157">
        <f t="shared" si="28"/>
        <v>1965.9166666666599</v>
      </c>
      <c r="B157">
        <f t="shared" si="28"/>
        <v>-18</v>
      </c>
      <c r="C157">
        <f t="shared" si="29"/>
        <v>-28.836590034862493</v>
      </c>
      <c r="D157">
        <f t="shared" si="34"/>
        <v>-0.5</v>
      </c>
      <c r="E157">
        <f t="shared" si="34"/>
        <v>-15.723544983859188</v>
      </c>
      <c r="F157">
        <f t="shared" si="35"/>
        <v>4.333333333333333</v>
      </c>
      <c r="G157">
        <f t="shared" si="36"/>
        <v>-3.8549486301916573</v>
      </c>
      <c r="H157">
        <f t="shared" si="39"/>
        <v>2.7333333333333334</v>
      </c>
      <c r="I157">
        <f t="shared" si="39"/>
        <v>0.19279581676632382</v>
      </c>
      <c r="J157">
        <f t="shared" si="30"/>
        <v>1965.9166666666599</v>
      </c>
      <c r="K157">
        <f t="shared" si="31"/>
        <v>-18</v>
      </c>
      <c r="L157">
        <f t="shared" si="32"/>
        <v>-70.408158347881894</v>
      </c>
      <c r="M157" s="5">
        <v>1892.9166666666599</v>
      </c>
      <c r="N157" s="5">
        <v>-30</v>
      </c>
      <c r="O157" s="5">
        <v>-28.1904815534437</v>
      </c>
      <c r="Q157">
        <f t="shared" si="37"/>
        <v>8.1882819635249895</v>
      </c>
      <c r="R157">
        <f t="shared" si="33"/>
        <v>10.836590034862493</v>
      </c>
    </row>
    <row r="158" spans="1:18" x14ac:dyDescent="0.25">
      <c r="A158">
        <f t="shared" si="28"/>
        <v>1966</v>
      </c>
      <c r="B158">
        <f t="shared" si="28"/>
        <v>52</v>
      </c>
      <c r="C158">
        <f t="shared" si="29"/>
        <v>33.230310711221492</v>
      </c>
      <c r="D158">
        <f t="shared" si="34"/>
        <v>33.5</v>
      </c>
      <c r="E158">
        <f t="shared" si="34"/>
        <v>13.055044704316877</v>
      </c>
      <c r="F158">
        <f t="shared" si="35"/>
        <v>11.5</v>
      </c>
      <c r="G158">
        <f t="shared" si="36"/>
        <v>3.6306878493370345</v>
      </c>
      <c r="H158">
        <f t="shared" si="39"/>
        <v>3.5</v>
      </c>
      <c r="I158">
        <f t="shared" si="39"/>
        <v>2.5408227430349033</v>
      </c>
      <c r="J158">
        <f t="shared" si="30"/>
        <v>1966</v>
      </c>
      <c r="K158">
        <f t="shared" si="31"/>
        <v>52</v>
      </c>
      <c r="L158">
        <f t="shared" si="32"/>
        <v>4.0698766957558696</v>
      </c>
      <c r="M158" s="5">
        <v>1893</v>
      </c>
      <c r="N158" s="5">
        <v>-30</v>
      </c>
      <c r="O158" s="5">
        <v>-33.658369888302303</v>
      </c>
      <c r="Q158">
        <f t="shared" si="37"/>
        <v>7.8693121506629655</v>
      </c>
      <c r="R158">
        <f t="shared" si="33"/>
        <v>18.769689288778508</v>
      </c>
    </row>
    <row r="159" spans="1:18" x14ac:dyDescent="0.25">
      <c r="A159">
        <f t="shared" si="28"/>
        <v>1966.0833333333301</v>
      </c>
      <c r="B159">
        <f t="shared" si="28"/>
        <v>55</v>
      </c>
      <c r="C159">
        <f t="shared" si="29"/>
        <v>69.187122048671725</v>
      </c>
      <c r="D159">
        <f t="shared" si="34"/>
        <v>1.5</v>
      </c>
      <c r="E159">
        <f t="shared" si="34"/>
        <v>16.28357971455619</v>
      </c>
      <c r="F159">
        <f t="shared" si="35"/>
        <v>12.166666666666666</v>
      </c>
      <c r="G159">
        <f t="shared" si="36"/>
        <v>10.580970047703488</v>
      </c>
      <c r="H159">
        <f t="shared" si="39"/>
        <v>5.6</v>
      </c>
      <c r="I159">
        <f t="shared" si="39"/>
        <v>4.9099069692374888</v>
      </c>
      <c r="J159">
        <f t="shared" si="30"/>
        <v>1966.0833333333301</v>
      </c>
      <c r="K159">
        <f t="shared" si="31"/>
        <v>55</v>
      </c>
      <c r="L159">
        <f t="shared" si="32"/>
        <v>47.216749226152899</v>
      </c>
      <c r="M159" s="5">
        <v>1893.0833333333301</v>
      </c>
      <c r="N159" s="5">
        <v>-30</v>
      </c>
      <c r="O159" s="5">
        <v>-52.634539041544798</v>
      </c>
      <c r="Q159">
        <f t="shared" si="37"/>
        <v>1.585696618963178</v>
      </c>
      <c r="R159">
        <f t="shared" si="33"/>
        <v>14.187122048671725</v>
      </c>
    </row>
    <row r="160" spans="1:18" x14ac:dyDescent="0.25">
      <c r="A160">
        <f t="shared" si="28"/>
        <v>1966.1666666666599</v>
      </c>
      <c r="B160">
        <f t="shared" si="28"/>
        <v>55</v>
      </c>
      <c r="C160">
        <f t="shared" si="29"/>
        <v>72.576773957009578</v>
      </c>
      <c r="D160">
        <f t="shared" si="34"/>
        <v>1.5</v>
      </c>
      <c r="E160">
        <f t="shared" si="34"/>
        <v>10.340013260015013</v>
      </c>
      <c r="F160">
        <f t="shared" si="35"/>
        <v>0.5</v>
      </c>
      <c r="G160">
        <f t="shared" si="36"/>
        <v>9.5503435295552492</v>
      </c>
      <c r="H160">
        <f t="shared" si="39"/>
        <v>4.6333333333333329</v>
      </c>
      <c r="I160">
        <f t="shared" si="39"/>
        <v>5.8620018599392463</v>
      </c>
      <c r="J160">
        <f t="shared" si="30"/>
        <v>1966.1666666666599</v>
      </c>
      <c r="K160">
        <f t="shared" si="31"/>
        <v>55</v>
      </c>
      <c r="L160">
        <f t="shared" si="32"/>
        <v>51.284208863741597</v>
      </c>
      <c r="M160" s="5">
        <v>1893.1666666666599</v>
      </c>
      <c r="N160" s="5">
        <v>-30</v>
      </c>
      <c r="O160" s="5">
        <v>-63.004336484289901</v>
      </c>
      <c r="Q160">
        <f t="shared" si="37"/>
        <v>9.0503435295552492</v>
      </c>
      <c r="R160">
        <f t="shared" si="33"/>
        <v>17.576773957009578</v>
      </c>
    </row>
    <row r="161" spans="1:18" x14ac:dyDescent="0.25">
      <c r="A161">
        <f t="shared" si="28"/>
        <v>1966.25</v>
      </c>
      <c r="B161">
        <f t="shared" si="28"/>
        <v>52</v>
      </c>
      <c r="C161">
        <f t="shared" si="29"/>
        <v>55.286399345317406</v>
      </c>
      <c r="D161">
        <f t="shared" si="34"/>
        <v>-1.5</v>
      </c>
      <c r="E161">
        <f t="shared" si="34"/>
        <v>9.1901952612609819</v>
      </c>
      <c r="F161">
        <f t="shared" si="35"/>
        <v>-0.5</v>
      </c>
      <c r="G161">
        <f t="shared" si="36"/>
        <v>4.6424820497833279</v>
      </c>
      <c r="H161">
        <f t="shared" si="39"/>
        <v>4.333333333333333</v>
      </c>
      <c r="I161">
        <f t="shared" si="39"/>
        <v>4.4900138763568842</v>
      </c>
      <c r="J161">
        <f t="shared" si="30"/>
        <v>1966.25</v>
      </c>
      <c r="K161">
        <f t="shared" si="31"/>
        <v>52</v>
      </c>
      <c r="L161">
        <f t="shared" si="32"/>
        <v>30.536384971012701</v>
      </c>
      <c r="M161" s="5">
        <v>1893.25</v>
      </c>
      <c r="N161" s="5">
        <v>-30</v>
      </c>
      <c r="O161" s="5">
        <v>-64.519540025841195</v>
      </c>
      <c r="Q161">
        <f t="shared" si="37"/>
        <v>5.1424820497833279</v>
      </c>
      <c r="R161">
        <f t="shared" si="33"/>
        <v>3.2863993453174061</v>
      </c>
    </row>
    <row r="162" spans="1:18" x14ac:dyDescent="0.25">
      <c r="A162">
        <f t="shared" si="28"/>
        <v>1966.3333333333301</v>
      </c>
      <c r="B162">
        <f t="shared" si="28"/>
        <v>52</v>
      </c>
      <c r="C162">
        <f t="shared" si="29"/>
        <v>19.615634211103266</v>
      </c>
      <c r="D162">
        <f t="shared" si="34"/>
        <v>-1.5</v>
      </c>
      <c r="E162">
        <f t="shared" si="34"/>
        <v>-2.1209008345885145</v>
      </c>
      <c r="F162">
        <f t="shared" si="35"/>
        <v>-0.5</v>
      </c>
      <c r="G162">
        <f t="shared" si="36"/>
        <v>0.90552582331712927</v>
      </c>
      <c r="H162">
        <f t="shared" si="39"/>
        <v>2.5</v>
      </c>
      <c r="I162">
        <f t="shared" si="39"/>
        <v>1.5768242225802638</v>
      </c>
      <c r="J162">
        <f t="shared" si="30"/>
        <v>1966.3333333333301</v>
      </c>
      <c r="K162">
        <f t="shared" si="31"/>
        <v>52</v>
      </c>
      <c r="L162">
        <f t="shared" si="32"/>
        <v>-12.2672424659025</v>
      </c>
      <c r="M162" s="5">
        <v>1893.3333333333301</v>
      </c>
      <c r="N162" s="5">
        <v>-30</v>
      </c>
      <c r="O162" s="5">
        <v>-68.468459333406003</v>
      </c>
      <c r="Q162">
        <f t="shared" si="37"/>
        <v>1.4055258233171293</v>
      </c>
      <c r="R162">
        <f t="shared" si="33"/>
        <v>32.38436578889673</v>
      </c>
    </row>
    <row r="163" spans="1:18" x14ac:dyDescent="0.25">
      <c r="A163">
        <f t="shared" si="28"/>
        <v>1966.4166666666599</v>
      </c>
      <c r="B163">
        <f t="shared" si="28"/>
        <v>55</v>
      </c>
      <c r="C163">
        <f t="shared" si="29"/>
        <v>-11.813329253933841</v>
      </c>
      <c r="D163">
        <f t="shared" si="34"/>
        <v>1.5</v>
      </c>
      <c r="E163">
        <f t="shared" si="34"/>
        <v>-3.6735725892332329</v>
      </c>
      <c r="F163">
        <f t="shared" si="35"/>
        <v>10</v>
      </c>
      <c r="G163">
        <f t="shared" si="36"/>
        <v>-3.2292520685747754</v>
      </c>
      <c r="H163">
        <f t="shared" si="39"/>
        <v>3</v>
      </c>
      <c r="I163">
        <f t="shared" si="39"/>
        <v>-0.70585579351538241</v>
      </c>
      <c r="J163">
        <f t="shared" si="30"/>
        <v>1966.4166666666599</v>
      </c>
      <c r="K163">
        <f t="shared" si="31"/>
        <v>55</v>
      </c>
      <c r="L163">
        <f t="shared" si="32"/>
        <v>-49.980861386723703</v>
      </c>
      <c r="M163" s="5">
        <v>1893.4166666666599</v>
      </c>
      <c r="N163" s="5">
        <v>-30</v>
      </c>
      <c r="O163" s="5">
        <v>-81.117660799113693</v>
      </c>
      <c r="Q163">
        <f t="shared" si="37"/>
        <v>13.229252068574775</v>
      </c>
      <c r="R163">
        <f t="shared" si="33"/>
        <v>66.813329253933844</v>
      </c>
    </row>
    <row r="164" spans="1:18" x14ac:dyDescent="0.25">
      <c r="A164">
        <f t="shared" si="28"/>
        <v>1966.5</v>
      </c>
      <c r="B164">
        <f t="shared" si="28"/>
        <v>55</v>
      </c>
      <c r="C164">
        <f t="shared" si="29"/>
        <v>-35.895147540504482</v>
      </c>
      <c r="D164">
        <f t="shared" si="34"/>
        <v>30</v>
      </c>
      <c r="E164">
        <f t="shared" si="34"/>
        <v>-6.3152218333336592</v>
      </c>
      <c r="F164">
        <f t="shared" si="35"/>
        <v>3</v>
      </c>
      <c r="G164">
        <f t="shared" si="36"/>
        <v>-3.9849782211796128</v>
      </c>
      <c r="H164">
        <f t="shared" si="39"/>
        <v>2.5666666666666669</v>
      </c>
      <c r="I164">
        <f t="shared" si="39"/>
        <v>-1.5487766833178065</v>
      </c>
      <c r="J164">
        <f t="shared" si="30"/>
        <v>1966.5</v>
      </c>
      <c r="K164">
        <f t="shared" si="31"/>
        <v>55</v>
      </c>
      <c r="L164">
        <f t="shared" si="32"/>
        <v>-78.878171945200194</v>
      </c>
      <c r="M164" s="5">
        <v>1893.5</v>
      </c>
      <c r="N164" s="5">
        <v>-30</v>
      </c>
      <c r="O164" s="5">
        <v>-100.896739096125</v>
      </c>
      <c r="Q164">
        <f t="shared" si="37"/>
        <v>6.9849782211796132</v>
      </c>
      <c r="R164">
        <f t="shared" si="33"/>
        <v>90.895147540504482</v>
      </c>
    </row>
    <row r="165" spans="1:18" x14ac:dyDescent="0.25">
      <c r="A165">
        <f t="shared" si="28"/>
        <v>1966.5833333333301</v>
      </c>
      <c r="B165">
        <f t="shared" si="28"/>
        <v>-5</v>
      </c>
      <c r="C165">
        <f t="shared" si="29"/>
        <v>-47.346522160407801</v>
      </c>
      <c r="D165">
        <f t="shared" si="34"/>
        <v>-22.5</v>
      </c>
      <c r="E165">
        <f t="shared" si="34"/>
        <v>-4.9548739068566547</v>
      </c>
      <c r="F165">
        <f t="shared" si="35"/>
        <v>3</v>
      </c>
      <c r="G165">
        <f t="shared" si="36"/>
        <v>-1.8630565509229808</v>
      </c>
      <c r="H165">
        <f t="shared" si="39"/>
        <v>3.0666666666666669</v>
      </c>
      <c r="I165">
        <f t="shared" si="39"/>
        <v>-1.6205855383275363</v>
      </c>
      <c r="J165">
        <f t="shared" si="30"/>
        <v>1966.5833333333301</v>
      </c>
      <c r="K165">
        <f t="shared" si="31"/>
        <v>-5</v>
      </c>
      <c r="L165">
        <f t="shared" si="32"/>
        <v>-92.619407128315004</v>
      </c>
      <c r="M165" s="5">
        <v>1893.5833333333301</v>
      </c>
      <c r="N165" s="5">
        <v>-30</v>
      </c>
      <c r="O165" s="5">
        <v>-110.494535049779</v>
      </c>
      <c r="Q165">
        <f t="shared" si="37"/>
        <v>4.8630565509229804</v>
      </c>
      <c r="R165">
        <f t="shared" si="33"/>
        <v>42.346522160407801</v>
      </c>
    </row>
    <row r="166" spans="1:18" x14ac:dyDescent="0.25">
      <c r="A166">
        <f t="shared" si="28"/>
        <v>1966.6666666666599</v>
      </c>
      <c r="B166">
        <f t="shared" si="28"/>
        <v>-20</v>
      </c>
      <c r="C166">
        <f t="shared" si="29"/>
        <v>-48.888148966597811</v>
      </c>
      <c r="D166">
        <f t="shared" si="34"/>
        <v>1.5</v>
      </c>
      <c r="E166">
        <f t="shared" si="34"/>
        <v>4.2836336742291365</v>
      </c>
      <c r="F166">
        <f t="shared" si="35"/>
        <v>-2.6666666666666665</v>
      </c>
      <c r="G166">
        <f t="shared" si="36"/>
        <v>0.42787760077120729</v>
      </c>
      <c r="H166">
        <f t="shared" si="39"/>
        <v>0.46666666666666679</v>
      </c>
      <c r="I166">
        <f t="shared" si="39"/>
        <v>-1.2609470574578721</v>
      </c>
      <c r="J166">
        <f t="shared" si="30"/>
        <v>1966.6666666666599</v>
      </c>
      <c r="K166">
        <f t="shared" si="31"/>
        <v>-20</v>
      </c>
      <c r="L166">
        <f t="shared" si="32"/>
        <v>-94.469303512949196</v>
      </c>
      <c r="M166" s="5">
        <v>1893.6666666666599</v>
      </c>
      <c r="N166" s="5">
        <v>-30</v>
      </c>
      <c r="O166" s="5">
        <v>-110.04362997061</v>
      </c>
      <c r="Q166">
        <f t="shared" si="37"/>
        <v>3.0945442674378736</v>
      </c>
      <c r="R166">
        <f t="shared" si="33"/>
        <v>28.888148966597811</v>
      </c>
    </row>
    <row r="167" spans="1:18" x14ac:dyDescent="0.25">
      <c r="A167">
        <f t="shared" si="28"/>
        <v>1966.75</v>
      </c>
      <c r="B167">
        <f t="shared" si="28"/>
        <v>-38</v>
      </c>
      <c r="C167">
        <f t="shared" si="29"/>
        <v>-58.997043121246094</v>
      </c>
      <c r="D167">
        <f t="shared" si="34"/>
        <v>13</v>
      </c>
      <c r="E167">
        <f t="shared" si="34"/>
        <v>2.2757812355195455</v>
      </c>
      <c r="F167">
        <f t="shared" si="35"/>
        <v>2</v>
      </c>
      <c r="G167">
        <f t="shared" si="36"/>
        <v>0.54648154826847983</v>
      </c>
      <c r="H167">
        <f t="shared" si="39"/>
        <v>-1.6</v>
      </c>
      <c r="I167">
        <f t="shared" si="39"/>
        <v>-0.92143820842549273</v>
      </c>
      <c r="J167">
        <f t="shared" si="30"/>
        <v>1966.75</v>
      </c>
      <c r="K167">
        <f t="shared" si="31"/>
        <v>-38</v>
      </c>
      <c r="L167">
        <f t="shared" si="32"/>
        <v>-106.59961071456701</v>
      </c>
      <c r="M167" s="5">
        <v>1893.75</v>
      </c>
      <c r="N167" s="5">
        <v>-30</v>
      </c>
      <c r="O167" s="5">
        <v>-121.430040511079</v>
      </c>
      <c r="Q167">
        <f t="shared" si="37"/>
        <v>1.4535184517315201</v>
      </c>
      <c r="R167">
        <f t="shared" si="33"/>
        <v>20.997043121246094</v>
      </c>
    </row>
    <row r="168" spans="1:18" x14ac:dyDescent="0.25">
      <c r="A168">
        <f t="shared" si="28"/>
        <v>1966.8333333333301</v>
      </c>
      <c r="B168">
        <f t="shared" si="28"/>
        <v>-82</v>
      </c>
      <c r="C168">
        <f t="shared" si="29"/>
        <v>-73.657499746933468</v>
      </c>
      <c r="D168">
        <f t="shared" si="34"/>
        <v>-8.5</v>
      </c>
      <c r="E168">
        <f t="shared" si="34"/>
        <v>-4.5101091037418826</v>
      </c>
      <c r="F168">
        <f t="shared" si="35"/>
        <v>-3</v>
      </c>
      <c r="G168">
        <f t="shared" si="36"/>
        <v>-1.4310596642264537</v>
      </c>
      <c r="H168">
        <f t="shared" ref="H168:I183" si="40">+AVERAGE(F166:F170)</f>
        <v>-3.6333333333333337</v>
      </c>
      <c r="I168">
        <f t="shared" si="40"/>
        <v>-0.66589068977588151</v>
      </c>
      <c r="J168">
        <f t="shared" si="30"/>
        <v>1966.8333333333301</v>
      </c>
      <c r="K168">
        <f t="shared" si="31"/>
        <v>-82</v>
      </c>
      <c r="L168">
        <f t="shared" si="32"/>
        <v>-124.191628186014</v>
      </c>
      <c r="M168" s="5">
        <v>1893.8333333333301</v>
      </c>
      <c r="N168" s="5">
        <v>-30</v>
      </c>
      <c r="O168" s="5">
        <v>-140.15091349379199</v>
      </c>
      <c r="Q168">
        <f t="shared" si="37"/>
        <v>1.5689403357735463</v>
      </c>
      <c r="R168">
        <f t="shared" si="33"/>
        <v>8.3425002530665324</v>
      </c>
    </row>
    <row r="169" spans="1:18" x14ac:dyDescent="0.25">
      <c r="A169">
        <f t="shared" si="28"/>
        <v>1966.9166666666599</v>
      </c>
      <c r="B169">
        <f t="shared" si="28"/>
        <v>-109</v>
      </c>
      <c r="C169">
        <f t="shared" si="29"/>
        <v>-79.297738165137091</v>
      </c>
      <c r="D169">
        <f t="shared" si="34"/>
        <v>-13.5</v>
      </c>
      <c r="E169">
        <f t="shared" si="34"/>
        <v>-3.1321458726268645</v>
      </c>
      <c r="F169">
        <f t="shared" si="35"/>
        <v>-7.333333333333333</v>
      </c>
      <c r="G169">
        <f t="shared" si="36"/>
        <v>-2.287433976017716</v>
      </c>
      <c r="H169">
        <f t="shared" si="40"/>
        <v>-3.1</v>
      </c>
      <c r="I169">
        <f t="shared" si="40"/>
        <v>-0.39987366438076077</v>
      </c>
      <c r="J169">
        <f t="shared" si="30"/>
        <v>1966.9166666666599</v>
      </c>
      <c r="K169">
        <f t="shared" si="31"/>
        <v>-109</v>
      </c>
      <c r="L169">
        <f t="shared" si="32"/>
        <v>-130.95971019938801</v>
      </c>
      <c r="M169" s="5">
        <v>1893.9166666666599</v>
      </c>
      <c r="N169" s="5">
        <v>-30</v>
      </c>
      <c r="O169" s="5">
        <v>-150.27739244190201</v>
      </c>
      <c r="Q169">
        <f t="shared" si="37"/>
        <v>5.0458993573156175</v>
      </c>
      <c r="R169">
        <f t="shared" si="33"/>
        <v>29.702261834862909</v>
      </c>
    </row>
    <row r="170" spans="1:18" x14ac:dyDescent="0.25">
      <c r="A170">
        <f t="shared" si="28"/>
        <v>1967</v>
      </c>
      <c r="B170">
        <f t="shared" si="28"/>
        <v>-109</v>
      </c>
      <c r="C170">
        <f t="shared" si="29"/>
        <v>-78.673684838086984</v>
      </c>
      <c r="D170">
        <f t="shared" si="34"/>
        <v>0</v>
      </c>
      <c r="E170">
        <f t="shared" si="34"/>
        <v>-0.93562243369768794</v>
      </c>
      <c r="F170">
        <f t="shared" si="35"/>
        <v>-7.166666666666667</v>
      </c>
      <c r="G170">
        <f t="shared" si="36"/>
        <v>-0.58531895767492492</v>
      </c>
      <c r="H170">
        <f t="shared" si="40"/>
        <v>-2.5666666666666664</v>
      </c>
      <c r="I170">
        <f t="shared" si="40"/>
        <v>-2.783596042311336E-2</v>
      </c>
      <c r="J170">
        <f t="shared" si="30"/>
        <v>1967</v>
      </c>
      <c r="K170">
        <f t="shared" si="31"/>
        <v>-109</v>
      </c>
      <c r="L170">
        <f t="shared" si="32"/>
        <v>-130.21086878790399</v>
      </c>
      <c r="M170" s="5">
        <v>1894</v>
      </c>
      <c r="N170" s="5">
        <v>-30</v>
      </c>
      <c r="O170" s="5">
        <v>-153.531360805573</v>
      </c>
      <c r="Q170">
        <f t="shared" si="37"/>
        <v>6.5813477089917418</v>
      </c>
      <c r="R170">
        <f t="shared" si="33"/>
        <v>30.326315161913016</v>
      </c>
    </row>
    <row r="171" spans="1:18" x14ac:dyDescent="0.25">
      <c r="A171">
        <f t="shared" si="28"/>
        <v>1967.0833333333301</v>
      </c>
      <c r="B171">
        <f t="shared" si="28"/>
        <v>-109</v>
      </c>
      <c r="C171">
        <f t="shared" si="29"/>
        <v>-76.178386643641517</v>
      </c>
      <c r="D171">
        <f t="shared" si="34"/>
        <v>-8</v>
      </c>
      <c r="E171">
        <f t="shared" si="34"/>
        <v>1.872822215043584</v>
      </c>
      <c r="F171">
        <f t="shared" si="35"/>
        <v>0</v>
      </c>
      <c r="G171">
        <f t="shared" si="36"/>
        <v>1.7579627277468111</v>
      </c>
      <c r="H171">
        <f t="shared" si="40"/>
        <v>0.7000000000000004</v>
      </c>
      <c r="I171">
        <f t="shared" si="40"/>
        <v>0.46471348051026407</v>
      </c>
      <c r="J171">
        <f t="shared" si="30"/>
        <v>1967.0833333333301</v>
      </c>
      <c r="K171">
        <f t="shared" si="31"/>
        <v>-109</v>
      </c>
      <c r="L171">
        <f t="shared" si="32"/>
        <v>-127.21660124536101</v>
      </c>
      <c r="M171" s="5">
        <v>1894.0833333333301</v>
      </c>
      <c r="N171" s="5">
        <v>-30</v>
      </c>
      <c r="O171" s="5">
        <v>-154.00780148555299</v>
      </c>
      <c r="Q171">
        <f t="shared" si="37"/>
        <v>1.7579627277468111</v>
      </c>
      <c r="R171">
        <f t="shared" si="33"/>
        <v>32.821613356358483</v>
      </c>
    </row>
    <row r="172" spans="1:18" x14ac:dyDescent="0.25">
      <c r="A172">
        <f t="shared" si="28"/>
        <v>1967.1666666666599</v>
      </c>
      <c r="B172">
        <f t="shared" si="28"/>
        <v>-93</v>
      </c>
      <c r="C172">
        <f t="shared" si="29"/>
        <v>-77.428732879283203</v>
      </c>
      <c r="D172">
        <f t="shared" si="34"/>
        <v>8</v>
      </c>
      <c r="E172">
        <f t="shared" si="34"/>
        <v>5.6551604477046453</v>
      </c>
      <c r="F172">
        <f t="shared" si="35"/>
        <v>4.666666666666667</v>
      </c>
      <c r="G172">
        <f t="shared" si="36"/>
        <v>2.4066700680567163</v>
      </c>
      <c r="H172">
        <f t="shared" si="40"/>
        <v>2.166666666666667</v>
      </c>
      <c r="I172">
        <f t="shared" si="40"/>
        <v>0.55990823660282341</v>
      </c>
      <c r="J172">
        <f t="shared" si="30"/>
        <v>1967.1666666666599</v>
      </c>
      <c r="K172">
        <f t="shared" si="31"/>
        <v>-93</v>
      </c>
      <c r="L172">
        <f t="shared" si="32"/>
        <v>-128.71697148514099</v>
      </c>
      <c r="M172" s="5">
        <v>1894.1666666666599</v>
      </c>
      <c r="N172" s="5">
        <v>-30</v>
      </c>
      <c r="O172" s="5">
        <v>-156.55771614377801</v>
      </c>
      <c r="Q172">
        <f t="shared" si="37"/>
        <v>2.2599965986099506</v>
      </c>
      <c r="R172">
        <f t="shared" si="33"/>
        <v>15.571267120716797</v>
      </c>
    </row>
    <row r="173" spans="1:18" x14ac:dyDescent="0.25">
      <c r="A173">
        <f t="shared" si="28"/>
        <v>1967.25</v>
      </c>
      <c r="B173">
        <f t="shared" si="28"/>
        <v>-93</v>
      </c>
      <c r="C173">
        <f t="shared" si="29"/>
        <v>-89.98940001033418</v>
      </c>
      <c r="D173">
        <f t="shared" si="34"/>
        <v>14</v>
      </c>
      <c r="E173">
        <f t="shared" si="34"/>
        <v>1.4970300924644562</v>
      </c>
      <c r="F173">
        <f t="shared" si="35"/>
        <v>13.333333333333334</v>
      </c>
      <c r="G173">
        <f t="shared" si="36"/>
        <v>1.0316875404404338</v>
      </c>
      <c r="H173">
        <f t="shared" si="40"/>
        <v>2.6</v>
      </c>
      <c r="I173">
        <f t="shared" si="40"/>
        <v>-0.13195919032322542</v>
      </c>
      <c r="J173">
        <f t="shared" si="30"/>
        <v>1967.25</v>
      </c>
      <c r="K173">
        <f t="shared" si="31"/>
        <v>-93</v>
      </c>
      <c r="L173">
        <f t="shared" si="32"/>
        <v>-143.78931754258301</v>
      </c>
      <c r="M173" s="5">
        <v>1894.25</v>
      </c>
      <c r="N173" s="5">
        <v>-30</v>
      </c>
      <c r="O173" s="5">
        <v>-164.81984713742</v>
      </c>
      <c r="Q173">
        <f t="shared" si="37"/>
        <v>12.3016457928929</v>
      </c>
      <c r="R173">
        <f t="shared" si="33"/>
        <v>3.0105999896658204</v>
      </c>
    </row>
    <row r="174" spans="1:18" x14ac:dyDescent="0.25">
      <c r="A174">
        <f t="shared" si="28"/>
        <v>1967.3333333333301</v>
      </c>
      <c r="B174">
        <f t="shared" si="28"/>
        <v>-121</v>
      </c>
      <c r="C174">
        <f t="shared" si="29"/>
        <v>-105.54412732631405</v>
      </c>
      <c r="D174">
        <f t="shared" si="34"/>
        <v>18</v>
      </c>
      <c r="E174">
        <f t="shared" si="34"/>
        <v>-3.2833622635174748</v>
      </c>
      <c r="F174">
        <f t="shared" si="35"/>
        <v>0</v>
      </c>
      <c r="G174">
        <f t="shared" si="36"/>
        <v>-1.8114601955549194</v>
      </c>
      <c r="H174">
        <f t="shared" si="40"/>
        <v>-0.76666666666666639</v>
      </c>
      <c r="I174">
        <f t="shared" si="40"/>
        <v>-1.2789603635907838</v>
      </c>
      <c r="J174">
        <f t="shared" si="30"/>
        <v>1967.3333333333301</v>
      </c>
      <c r="K174">
        <f t="shared" si="31"/>
        <v>-121</v>
      </c>
      <c r="L174">
        <f t="shared" si="32"/>
        <v>-162.45442748376001</v>
      </c>
      <c r="M174" s="5">
        <v>1894.3333333333301</v>
      </c>
      <c r="N174" s="5">
        <v>-30</v>
      </c>
      <c r="O174" s="5">
        <v>-171.37450908734399</v>
      </c>
      <c r="Q174">
        <f t="shared" si="37"/>
        <v>1.8114601955549194</v>
      </c>
      <c r="R174">
        <f t="shared" si="33"/>
        <v>15.455872673685946</v>
      </c>
    </row>
    <row r="175" spans="1:18" x14ac:dyDescent="0.25">
      <c r="A175">
        <f t="shared" si="28"/>
        <v>1967.4166666666599</v>
      </c>
      <c r="B175">
        <f t="shared" si="28"/>
        <v>-185</v>
      </c>
      <c r="C175">
        <f t="shared" si="29"/>
        <v>-114.53213011525898</v>
      </c>
      <c r="D175">
        <f t="shared" si="34"/>
        <v>-32</v>
      </c>
      <c r="E175">
        <f t="shared" si="34"/>
        <v>-5.0066435622779295</v>
      </c>
      <c r="F175">
        <f t="shared" si="35"/>
        <v>-5</v>
      </c>
      <c r="G175">
        <f t="shared" si="36"/>
        <v>-4.0446560923051686</v>
      </c>
      <c r="H175">
        <f t="shared" si="40"/>
        <v>-2.2999999999999998</v>
      </c>
      <c r="I175">
        <f t="shared" si="40"/>
        <v>-1.7725037717326284</v>
      </c>
      <c r="J175">
        <f t="shared" si="30"/>
        <v>1967.4166666666599</v>
      </c>
      <c r="K175">
        <f t="shared" si="31"/>
        <v>-185</v>
      </c>
      <c r="L175">
        <f t="shared" si="32"/>
        <v>-173.23970560528099</v>
      </c>
      <c r="M175" s="5">
        <v>1894.4166666666599</v>
      </c>
      <c r="N175" s="5">
        <v>-30</v>
      </c>
      <c r="O175" s="5">
        <v>-171.12270996785699</v>
      </c>
      <c r="Q175">
        <f t="shared" si="37"/>
        <v>0.95534390769483135</v>
      </c>
      <c r="R175">
        <f t="shared" si="33"/>
        <v>70.46786988474102</v>
      </c>
    </row>
    <row r="176" spans="1:18" x14ac:dyDescent="0.25">
      <c r="A176">
        <f t="shared" si="28"/>
        <v>1967.5</v>
      </c>
      <c r="B176">
        <f t="shared" si="28"/>
        <v>-185</v>
      </c>
      <c r="C176">
        <f t="shared" si="29"/>
        <v>-113.50684577964805</v>
      </c>
      <c r="D176">
        <f t="shared" si="34"/>
        <v>-1</v>
      </c>
      <c r="E176">
        <f t="shared" si="34"/>
        <v>-6.8774545203489765</v>
      </c>
      <c r="F176">
        <f t="shared" si="35"/>
        <v>-16.833333333333332</v>
      </c>
      <c r="G176">
        <f t="shared" si="36"/>
        <v>-3.977043138590981</v>
      </c>
      <c r="H176">
        <f t="shared" si="40"/>
        <v>-5.2666666666666666</v>
      </c>
      <c r="I176">
        <f t="shared" si="40"/>
        <v>-1.259102722775276</v>
      </c>
      <c r="J176">
        <f t="shared" si="30"/>
        <v>1967.5</v>
      </c>
      <c r="K176">
        <f t="shared" si="31"/>
        <v>-185</v>
      </c>
      <c r="L176">
        <f t="shared" si="32"/>
        <v>-172.00940150181501</v>
      </c>
      <c r="M176" s="5">
        <v>1894.5</v>
      </c>
      <c r="N176" s="5">
        <v>-30</v>
      </c>
      <c r="O176" s="5">
        <v>-163.63032423036299</v>
      </c>
      <c r="Q176">
        <f t="shared" si="37"/>
        <v>12.856290194742352</v>
      </c>
      <c r="R176">
        <f t="shared" si="33"/>
        <v>71.493154220351954</v>
      </c>
    </row>
    <row r="177" spans="1:18" x14ac:dyDescent="0.25">
      <c r="A177">
        <f t="shared" si="28"/>
        <v>1967.5833333333301</v>
      </c>
      <c r="B177">
        <f t="shared" si="28"/>
        <v>-183</v>
      </c>
      <c r="C177">
        <f t="shared" si="29"/>
        <v>-98.726652403339159</v>
      </c>
      <c r="D177">
        <f t="shared" si="34"/>
        <v>-17.5</v>
      </c>
      <c r="E177">
        <f t="shared" si="34"/>
        <v>-3.0298136870892733</v>
      </c>
      <c r="F177">
        <f t="shared" si="35"/>
        <v>-3</v>
      </c>
      <c r="G177">
        <f t="shared" si="36"/>
        <v>-6.1046972652506304E-2</v>
      </c>
      <c r="H177">
        <f t="shared" si="40"/>
        <v>-4.3</v>
      </c>
      <c r="I177">
        <f t="shared" si="40"/>
        <v>-0.17429781875736977</v>
      </c>
      <c r="J177">
        <f t="shared" si="30"/>
        <v>1967.5833333333301</v>
      </c>
      <c r="K177">
        <f t="shared" si="31"/>
        <v>-183</v>
      </c>
      <c r="L177">
        <f t="shared" si="32"/>
        <v>-154.273704262221</v>
      </c>
      <c r="M177" s="5">
        <v>1894.5833333333301</v>
      </c>
      <c r="N177" s="5">
        <v>-30</v>
      </c>
      <c r="O177" s="5">
        <v>-146.66404068108301</v>
      </c>
      <c r="Q177">
        <f t="shared" si="37"/>
        <v>2.9389530273474938</v>
      </c>
      <c r="R177">
        <f t="shared" si="33"/>
        <v>84.273347596660841</v>
      </c>
    </row>
    <row r="178" spans="1:18" x14ac:dyDescent="0.25">
      <c r="A178">
        <f t="shared" si="28"/>
        <v>1967.6666666666599</v>
      </c>
      <c r="B178">
        <f t="shared" si="28"/>
        <v>-146</v>
      </c>
      <c r="C178">
        <f t="shared" si="29"/>
        <v>-77.88683165285174</v>
      </c>
      <c r="D178">
        <f t="shared" si="34"/>
        <v>9.5</v>
      </c>
      <c r="E178">
        <f t="shared" si="34"/>
        <v>9.6783420599913512</v>
      </c>
      <c r="F178">
        <f t="shared" si="35"/>
        <v>-1.5</v>
      </c>
      <c r="G178">
        <f t="shared" si="36"/>
        <v>3.598692785227195</v>
      </c>
      <c r="H178">
        <f t="shared" si="40"/>
        <v>-2.9666666666666668</v>
      </c>
      <c r="I178">
        <f t="shared" si="40"/>
        <v>0.6277992233730304</v>
      </c>
      <c r="J178">
        <f t="shared" si="30"/>
        <v>1967.6666666666599</v>
      </c>
      <c r="K178">
        <f t="shared" si="31"/>
        <v>-146</v>
      </c>
      <c r="L178">
        <f t="shared" si="32"/>
        <v>-129.266673437408</v>
      </c>
      <c r="M178" s="5">
        <v>1894.6666666666599</v>
      </c>
      <c r="N178" s="5">
        <v>-30</v>
      </c>
      <c r="O178" s="5">
        <v>-130.03880009711699</v>
      </c>
      <c r="Q178">
        <f t="shared" si="37"/>
        <v>5.098692785227195</v>
      </c>
      <c r="R178">
        <f t="shared" si="33"/>
        <v>68.11316834714826</v>
      </c>
    </row>
    <row r="179" spans="1:18" x14ac:dyDescent="0.25">
      <c r="A179">
        <f t="shared" si="28"/>
        <v>1967.75</v>
      </c>
      <c r="B179">
        <f t="shared" si="28"/>
        <v>-128</v>
      </c>
      <c r="C179">
        <f t="shared" si="29"/>
        <v>-76.403695022347009</v>
      </c>
      <c r="D179">
        <f t="shared" si="34"/>
        <v>3.5</v>
      </c>
      <c r="E179">
        <f t="shared" si="34"/>
        <v>6.8465695716999022</v>
      </c>
      <c r="F179">
        <f t="shared" si="35"/>
        <v>4.833333333333333</v>
      </c>
      <c r="G179">
        <f t="shared" si="36"/>
        <v>3.6125643245346133</v>
      </c>
      <c r="H179">
        <f t="shared" si="40"/>
        <v>1</v>
      </c>
      <c r="I179">
        <f t="shared" si="40"/>
        <v>0.91543881574994757</v>
      </c>
      <c r="J179">
        <f t="shared" si="30"/>
        <v>1967.75</v>
      </c>
      <c r="K179">
        <f t="shared" si="31"/>
        <v>-128</v>
      </c>
      <c r="L179">
        <f t="shared" si="32"/>
        <v>-127.48696314716599</v>
      </c>
      <c r="M179" s="5">
        <v>1894.75</v>
      </c>
      <c r="N179" s="5">
        <v>-30</v>
      </c>
      <c r="O179" s="5">
        <v>-129.23578791007</v>
      </c>
      <c r="Q179">
        <f t="shared" si="37"/>
        <v>1.2207690087987197</v>
      </c>
      <c r="R179">
        <f t="shared" si="33"/>
        <v>51.596304977652991</v>
      </c>
    </row>
    <row r="180" spans="1:18" x14ac:dyDescent="0.25">
      <c r="A180">
        <f t="shared" si="28"/>
        <v>1967.8333333333301</v>
      </c>
      <c r="B180">
        <f t="shared" si="28"/>
        <v>-117</v>
      </c>
      <c r="C180">
        <f t="shared" si="29"/>
        <v>-88.613697535242096</v>
      </c>
      <c r="D180">
        <f t="shared" si="34"/>
        <v>1.5</v>
      </c>
      <c r="E180">
        <f t="shared" si="34"/>
        <v>-2.9777954146864545</v>
      </c>
      <c r="F180">
        <f t="shared" si="35"/>
        <v>1.6666666666666667</v>
      </c>
      <c r="G180">
        <f t="shared" si="36"/>
        <v>-3.417088165316879E-2</v>
      </c>
      <c r="H180">
        <f t="shared" si="40"/>
        <v>1</v>
      </c>
      <c r="I180">
        <f t="shared" si="40"/>
        <v>0.61942114126877268</v>
      </c>
      <c r="J180">
        <f t="shared" si="30"/>
        <v>1967.8333333333301</v>
      </c>
      <c r="K180">
        <f t="shared" si="31"/>
        <v>-117</v>
      </c>
      <c r="L180">
        <f t="shared" si="32"/>
        <v>-142.13852435139901</v>
      </c>
      <c r="M180" s="5">
        <v>1894.8333333333301</v>
      </c>
      <c r="N180" s="5">
        <v>-30</v>
      </c>
      <c r="O180" s="5">
        <v>-127.012089631279</v>
      </c>
      <c r="Q180">
        <f t="shared" si="37"/>
        <v>1.7008375483198355</v>
      </c>
      <c r="R180">
        <f t="shared" si="33"/>
        <v>28.386302464757904</v>
      </c>
    </row>
    <row r="181" spans="1:18" x14ac:dyDescent="0.25">
      <c r="A181">
        <f t="shared" si="28"/>
        <v>1967.9166666666599</v>
      </c>
      <c r="B181">
        <f t="shared" si="28"/>
        <v>-109</v>
      </c>
      <c r="C181">
        <f t="shared" si="29"/>
        <v>-94.868109218764261</v>
      </c>
      <c r="D181">
        <f t="shared" si="34"/>
        <v>0</v>
      </c>
      <c r="E181">
        <f t="shared" si="34"/>
        <v>-3.9969149632128307</v>
      </c>
      <c r="F181">
        <f t="shared" si="35"/>
        <v>3</v>
      </c>
      <c r="G181">
        <f t="shared" si="36"/>
        <v>-2.538845176706396</v>
      </c>
      <c r="H181">
        <f t="shared" si="40"/>
        <v>1.5666666666666667</v>
      </c>
      <c r="I181">
        <f t="shared" si="40"/>
        <v>-0.1208264549437406</v>
      </c>
      <c r="J181">
        <f t="shared" si="30"/>
        <v>1967.9166666666599</v>
      </c>
      <c r="K181">
        <f t="shared" si="31"/>
        <v>-109</v>
      </c>
      <c r="L181">
        <f t="shared" si="32"/>
        <v>-149.64359205968299</v>
      </c>
      <c r="M181" s="5">
        <v>1894.9166666666599</v>
      </c>
      <c r="N181" s="5">
        <v>-30</v>
      </c>
      <c r="O181" s="5">
        <v>-103.204931006995</v>
      </c>
      <c r="Q181">
        <f t="shared" si="37"/>
        <v>5.5388451767063955</v>
      </c>
      <c r="R181">
        <f t="shared" si="33"/>
        <v>14.131890781235739</v>
      </c>
    </row>
    <row r="182" spans="1:18" x14ac:dyDescent="0.25">
      <c r="A182">
        <f t="shared" si="28"/>
        <v>1968</v>
      </c>
      <c r="B182">
        <f t="shared" si="28"/>
        <v>-101</v>
      </c>
      <c r="C182">
        <f t="shared" si="29"/>
        <v>-93.128690975860764</v>
      </c>
      <c r="D182">
        <f t="shared" si="34"/>
        <v>7.5</v>
      </c>
      <c r="E182">
        <f t="shared" si="34"/>
        <v>-2.5459590347496999</v>
      </c>
      <c r="F182">
        <f t="shared" si="35"/>
        <v>-3</v>
      </c>
      <c r="G182">
        <f t="shared" si="36"/>
        <v>-1.5411353450583798</v>
      </c>
      <c r="H182">
        <f t="shared" si="40"/>
        <v>0.36666666666666664</v>
      </c>
      <c r="I182">
        <f t="shared" si="40"/>
        <v>-0.88983436983382647</v>
      </c>
      <c r="J182">
        <f t="shared" si="30"/>
        <v>1968</v>
      </c>
      <c r="K182">
        <f t="shared" si="31"/>
        <v>-101</v>
      </c>
      <c r="L182">
        <f t="shared" si="32"/>
        <v>-147.556353107951</v>
      </c>
      <c r="M182" s="5">
        <v>1895</v>
      </c>
      <c r="N182" s="5">
        <v>-30</v>
      </c>
      <c r="O182" s="5">
        <v>-52.765825101899203</v>
      </c>
      <c r="Q182">
        <f t="shared" si="37"/>
        <v>1.4588646549416202</v>
      </c>
      <c r="R182">
        <f t="shared" si="33"/>
        <v>7.8713090241392365</v>
      </c>
    </row>
    <row r="183" spans="1:18" x14ac:dyDescent="0.25">
      <c r="A183">
        <f t="shared" si="28"/>
        <v>1968.0833333333301</v>
      </c>
      <c r="B183">
        <f t="shared" si="28"/>
        <v>-108</v>
      </c>
      <c r="C183">
        <f t="shared" si="29"/>
        <v>-86.297354663457853</v>
      </c>
      <c r="D183">
        <f t="shared" si="34"/>
        <v>-16.5</v>
      </c>
      <c r="E183">
        <f t="shared" si="34"/>
        <v>0.76361645399360611</v>
      </c>
      <c r="F183">
        <f t="shared" si="35"/>
        <v>1.3333333333333333</v>
      </c>
      <c r="G183">
        <f t="shared" si="36"/>
        <v>-0.10254519583537179</v>
      </c>
      <c r="H183">
        <f t="shared" si="40"/>
        <v>1.9333333333333331</v>
      </c>
      <c r="I183">
        <f t="shared" si="40"/>
        <v>-1.1354030707766016</v>
      </c>
      <c r="J183">
        <f t="shared" si="30"/>
        <v>1968.0833333333301</v>
      </c>
      <c r="K183">
        <f t="shared" si="31"/>
        <v>-108</v>
      </c>
      <c r="L183">
        <f t="shared" si="32"/>
        <v>-139.35899672066401</v>
      </c>
      <c r="M183" s="5">
        <v>1895.0833333333301</v>
      </c>
      <c r="N183" s="5">
        <v>-30</v>
      </c>
      <c r="O183" s="5">
        <v>15.992313228978899</v>
      </c>
      <c r="Q183">
        <f t="shared" si="37"/>
        <v>1.4358785291687051</v>
      </c>
      <c r="R183">
        <f t="shared" si="33"/>
        <v>21.702645336542147</v>
      </c>
    </row>
    <row r="184" spans="1:18" x14ac:dyDescent="0.25">
      <c r="A184">
        <f t="shared" si="28"/>
        <v>1968.1666666666599</v>
      </c>
      <c r="B184">
        <f t="shared" si="28"/>
        <v>-82</v>
      </c>
      <c r="C184">
        <f t="shared" si="29"/>
        <v>-80.993251259042154</v>
      </c>
      <c r="D184">
        <f t="shared" si="34"/>
        <v>13</v>
      </c>
      <c r="E184">
        <f t="shared" si="34"/>
        <v>1.3977980963734495</v>
      </c>
      <c r="F184">
        <f t="shared" si="35"/>
        <v>-1.1666666666666667</v>
      </c>
      <c r="G184">
        <f t="shared" si="36"/>
        <v>-0.23247524991581564</v>
      </c>
      <c r="H184">
        <f t="shared" ref="H184:I199" si="41">+AVERAGE(F182:F186)</f>
        <v>1.3333333333333333</v>
      </c>
      <c r="I184">
        <f t="shared" si="41"/>
        <v>-1.0858495158879873</v>
      </c>
      <c r="J184">
        <f t="shared" si="30"/>
        <v>1968.1666666666599</v>
      </c>
      <c r="K184">
        <f t="shared" si="31"/>
        <v>-82</v>
      </c>
      <c r="L184">
        <f t="shared" si="32"/>
        <v>-132.99426456100201</v>
      </c>
      <c r="M184" s="5">
        <v>1895.1666666666599</v>
      </c>
      <c r="N184" s="5">
        <v>-30</v>
      </c>
      <c r="O184" s="5">
        <v>42.704542249900101</v>
      </c>
      <c r="Q184">
        <f t="shared" si="37"/>
        <v>0.93419141675085116</v>
      </c>
      <c r="R184">
        <f t="shared" si="33"/>
        <v>1.0067487409578462</v>
      </c>
    </row>
    <row r="185" spans="1:18" x14ac:dyDescent="0.25">
      <c r="A185">
        <f t="shared" si="28"/>
        <v>1968.25</v>
      </c>
      <c r="B185">
        <f t="shared" si="28"/>
        <v>-82</v>
      </c>
      <c r="C185">
        <f t="shared" si="29"/>
        <v>-78.484744047373354</v>
      </c>
      <c r="D185">
        <f t="shared" si="34"/>
        <v>0</v>
      </c>
      <c r="E185">
        <f t="shared" si="34"/>
        <v>-3.0331967375513642</v>
      </c>
      <c r="F185">
        <f t="shared" si="35"/>
        <v>9.5</v>
      </c>
      <c r="G185">
        <f t="shared" si="36"/>
        <v>-1.2620143863670441</v>
      </c>
      <c r="H185">
        <f t="shared" si="41"/>
        <v>1.5999999999999999</v>
      </c>
      <c r="I185">
        <f t="shared" si="41"/>
        <v>-1.4753557004397837</v>
      </c>
      <c r="J185">
        <f t="shared" si="30"/>
        <v>1968.25</v>
      </c>
      <c r="K185">
        <f t="shared" si="31"/>
        <v>-82</v>
      </c>
      <c r="L185">
        <f t="shared" si="32"/>
        <v>-129.98414667575099</v>
      </c>
      <c r="M185" s="5">
        <v>1895.25</v>
      </c>
      <c r="N185" s="5">
        <v>-30</v>
      </c>
      <c r="O185" s="5">
        <v>34.218731924194699</v>
      </c>
      <c r="Q185">
        <f t="shared" si="37"/>
        <v>10.762014386367044</v>
      </c>
      <c r="R185">
        <f t="shared" si="33"/>
        <v>3.5152559526266458</v>
      </c>
    </row>
    <row r="186" spans="1:18" x14ac:dyDescent="0.25">
      <c r="A186">
        <f t="shared" si="28"/>
        <v>1968.3333333333301</v>
      </c>
      <c r="B186">
        <f t="shared" si="28"/>
        <v>-82</v>
      </c>
      <c r="C186">
        <f t="shared" si="29"/>
        <v>-69.909843360601812</v>
      </c>
      <c r="D186">
        <f t="shared" si="34"/>
        <v>15.5</v>
      </c>
      <c r="E186">
        <f t="shared" si="34"/>
        <v>-3.0971553076985003</v>
      </c>
      <c r="F186">
        <f t="shared" si="35"/>
        <v>0</v>
      </c>
      <c r="G186">
        <f t="shared" si="36"/>
        <v>-2.2910774022633253</v>
      </c>
      <c r="H186">
        <f t="shared" si="41"/>
        <v>-1.0333333333333334</v>
      </c>
      <c r="I186">
        <f t="shared" si="41"/>
        <v>-1.9576097179163849</v>
      </c>
      <c r="J186">
        <f t="shared" si="30"/>
        <v>1968.3333333333301</v>
      </c>
      <c r="K186">
        <f t="shared" si="31"/>
        <v>-82</v>
      </c>
      <c r="L186">
        <f t="shared" si="32"/>
        <v>-119.694576128999</v>
      </c>
      <c r="M186" s="5">
        <v>1895.3333333333301</v>
      </c>
      <c r="N186" s="5">
        <v>-30</v>
      </c>
      <c r="O186" s="5">
        <v>8.6381349979415702</v>
      </c>
      <c r="Q186">
        <f t="shared" si="37"/>
        <v>2.2910774022633253</v>
      </c>
      <c r="R186">
        <f t="shared" si="33"/>
        <v>12.090156639398188</v>
      </c>
    </row>
    <row r="187" spans="1:18" x14ac:dyDescent="0.25">
      <c r="A187">
        <f t="shared" si="28"/>
        <v>1968.4166666666599</v>
      </c>
      <c r="B187">
        <f t="shared" si="28"/>
        <v>-113</v>
      </c>
      <c r="C187">
        <f t="shared" si="29"/>
        <v>-55.140632058433269</v>
      </c>
      <c r="D187">
        <f t="shared" si="34"/>
        <v>-15.5</v>
      </c>
      <c r="E187">
        <f t="shared" si="34"/>
        <v>-2.4611882132376053</v>
      </c>
      <c r="F187">
        <f t="shared" si="35"/>
        <v>-1.6666666666666667</v>
      </c>
      <c r="G187">
        <f t="shared" si="36"/>
        <v>-3.4886662678173623</v>
      </c>
      <c r="H187">
        <f t="shared" si="41"/>
        <v>-0.80000000000000016</v>
      </c>
      <c r="I187">
        <f t="shared" si="41"/>
        <v>-1.3483968552359298</v>
      </c>
      <c r="J187">
        <f t="shared" si="30"/>
        <v>1968.4166666666599</v>
      </c>
      <c r="K187">
        <f t="shared" si="31"/>
        <v>-113</v>
      </c>
      <c r="L187">
        <f t="shared" si="32"/>
        <v>-101.972056980994</v>
      </c>
      <c r="M187" s="5">
        <v>1895.4166666666599</v>
      </c>
      <c r="N187" s="5">
        <v>-30</v>
      </c>
      <c r="O187" s="5">
        <v>-44.046837307126999</v>
      </c>
      <c r="Q187">
        <f t="shared" si="37"/>
        <v>1.8219996011506956</v>
      </c>
      <c r="R187">
        <f t="shared" si="33"/>
        <v>57.859367941566731</v>
      </c>
    </row>
    <row r="188" spans="1:18" x14ac:dyDescent="0.25">
      <c r="A188">
        <f t="shared" si="28"/>
        <v>1968.5</v>
      </c>
      <c r="B188">
        <f t="shared" si="28"/>
        <v>-113</v>
      </c>
      <c r="C188">
        <f t="shared" si="29"/>
        <v>-35.449044329789515</v>
      </c>
      <c r="D188">
        <f t="shared" si="34"/>
        <v>-5</v>
      </c>
      <c r="E188">
        <f t="shared" si="34"/>
        <v>-7.5241549833790025</v>
      </c>
      <c r="F188">
        <f t="shared" si="35"/>
        <v>-11.833333333333334</v>
      </c>
      <c r="G188">
        <f t="shared" si="36"/>
        <v>-2.5138152832183769</v>
      </c>
      <c r="H188">
        <f t="shared" si="41"/>
        <v>-2.666666666666667</v>
      </c>
      <c r="I188">
        <f t="shared" si="41"/>
        <v>0.17520215873639308</v>
      </c>
      <c r="J188">
        <f t="shared" si="30"/>
        <v>1968.5</v>
      </c>
      <c r="K188">
        <f t="shared" si="31"/>
        <v>-113</v>
      </c>
      <c r="L188">
        <f t="shared" si="32"/>
        <v>-78.342864234305594</v>
      </c>
      <c r="M188" s="5">
        <v>1895.5</v>
      </c>
      <c r="N188" s="5">
        <v>-30</v>
      </c>
      <c r="O188" s="5">
        <v>-91.965439469706595</v>
      </c>
      <c r="Q188">
        <f t="shared" si="37"/>
        <v>9.3195180501149579</v>
      </c>
      <c r="R188">
        <f t="shared" si="33"/>
        <v>77.550955670210485</v>
      </c>
    </row>
    <row r="189" spans="1:18" x14ac:dyDescent="0.25">
      <c r="A189">
        <f t="shared" si="28"/>
        <v>1968.5833333333301</v>
      </c>
      <c r="B189">
        <f t="shared" si="28"/>
        <v>-103</v>
      </c>
      <c r="C189">
        <f t="shared" si="29"/>
        <v>-0.70914663438775705</v>
      </c>
      <c r="D189">
        <f t="shared" si="34"/>
        <v>-15</v>
      </c>
      <c r="E189">
        <f t="shared" si="34"/>
        <v>0.55853588454769465</v>
      </c>
      <c r="F189">
        <f t="shared" si="35"/>
        <v>0</v>
      </c>
      <c r="G189">
        <f t="shared" si="36"/>
        <v>2.8135890634864582</v>
      </c>
      <c r="H189">
        <f t="shared" si="41"/>
        <v>-1.3333333333333335</v>
      </c>
      <c r="I189">
        <f t="shared" si="41"/>
        <v>1.6454251686218697</v>
      </c>
      <c r="J189">
        <f t="shared" si="30"/>
        <v>1968.5833333333301</v>
      </c>
      <c r="K189">
        <f t="shared" si="31"/>
        <v>-103</v>
      </c>
      <c r="L189">
        <f t="shared" si="32"/>
        <v>-36.656244041114</v>
      </c>
      <c r="M189" s="5">
        <v>1895.5833333333301</v>
      </c>
      <c r="N189" s="5">
        <v>-30</v>
      </c>
      <c r="O189" s="5">
        <v>-113.807769539738</v>
      </c>
      <c r="Q189">
        <f t="shared" si="37"/>
        <v>2.8135890634864582</v>
      </c>
      <c r="R189">
        <f t="shared" si="33"/>
        <v>102.29085336561224</v>
      </c>
    </row>
    <row r="190" spans="1:18" x14ac:dyDescent="0.25">
      <c r="A190">
        <f t="shared" si="28"/>
        <v>1968.6666666666599</v>
      </c>
      <c r="B190">
        <f t="shared" si="28"/>
        <v>-63</v>
      </c>
      <c r="C190">
        <f t="shared" si="29"/>
        <v>32.913679291918612</v>
      </c>
      <c r="D190">
        <f t="shared" si="34"/>
        <v>20</v>
      </c>
      <c r="E190">
        <f t="shared" si="34"/>
        <v>17.516578086905525</v>
      </c>
      <c r="F190">
        <f t="shared" si="35"/>
        <v>0.16666666666666666</v>
      </c>
      <c r="G190">
        <f t="shared" si="36"/>
        <v>6.3559806834945727</v>
      </c>
      <c r="H190">
        <f t="shared" si="41"/>
        <v>-2.1333333333333337</v>
      </c>
      <c r="I190">
        <f t="shared" si="41"/>
        <v>2.0302410966456916</v>
      </c>
      <c r="J190">
        <f t="shared" si="30"/>
        <v>1968.6666666666599</v>
      </c>
      <c r="K190">
        <f t="shared" si="31"/>
        <v>-63</v>
      </c>
      <c r="L190">
        <f t="shared" si="32"/>
        <v>3.68993044970065</v>
      </c>
      <c r="M190" s="5">
        <v>1895.6666666666599</v>
      </c>
      <c r="N190" s="5">
        <v>-30</v>
      </c>
      <c r="O190" s="5">
        <v>-123.21415768006401</v>
      </c>
      <c r="Q190">
        <f t="shared" si="37"/>
        <v>6.1893140168279057</v>
      </c>
      <c r="R190">
        <f t="shared" si="33"/>
        <v>95.913679291918612</v>
      </c>
    </row>
    <row r="191" spans="1:18" x14ac:dyDescent="0.25">
      <c r="A191">
        <f t="shared" si="28"/>
        <v>1968.75</v>
      </c>
      <c r="B191">
        <f t="shared" si="28"/>
        <v>-63</v>
      </c>
      <c r="C191">
        <f t="shared" si="29"/>
        <v>31.503349044413934</v>
      </c>
      <c r="D191">
        <f t="shared" si="34"/>
        <v>-4.5</v>
      </c>
      <c r="E191">
        <f t="shared" si="34"/>
        <v>5.7598135916514259</v>
      </c>
      <c r="F191">
        <f t="shared" si="35"/>
        <v>6.666666666666667</v>
      </c>
      <c r="G191">
        <f t="shared" si="36"/>
        <v>5.0600376471640569</v>
      </c>
      <c r="H191">
        <f t="shared" si="41"/>
        <v>-0.1999999999999999</v>
      </c>
      <c r="I191">
        <f t="shared" si="41"/>
        <v>1.5362387138018527</v>
      </c>
      <c r="J191">
        <f t="shared" si="30"/>
        <v>1968.75</v>
      </c>
      <c r="K191">
        <f t="shared" si="31"/>
        <v>-63</v>
      </c>
      <c r="L191">
        <f t="shared" si="32"/>
        <v>1.99758518460566</v>
      </c>
      <c r="M191" s="5">
        <v>1895.75</v>
      </c>
      <c r="N191" s="5">
        <v>-30</v>
      </c>
      <c r="O191" s="5">
        <v>-131.166278488469</v>
      </c>
      <c r="Q191">
        <f t="shared" si="37"/>
        <v>1.6066290195026101</v>
      </c>
      <c r="R191">
        <f t="shared" si="33"/>
        <v>94.503349044413937</v>
      </c>
    </row>
    <row r="192" spans="1:18" x14ac:dyDescent="0.25">
      <c r="A192">
        <f t="shared" si="28"/>
        <v>1968.8333333333301</v>
      </c>
      <c r="B192">
        <f t="shared" si="28"/>
        <v>-54</v>
      </c>
      <c r="C192">
        <f t="shared" si="29"/>
        <v>18.573391613606404</v>
      </c>
      <c r="D192">
        <f t="shared" si="34"/>
        <v>4.5</v>
      </c>
      <c r="E192">
        <f t="shared" si="34"/>
        <v>-4.3012505016917402</v>
      </c>
      <c r="F192">
        <f t="shared" si="35"/>
        <v>-5.666666666666667</v>
      </c>
      <c r="G192">
        <f t="shared" si="36"/>
        <v>-1.5645866276982532</v>
      </c>
      <c r="H192">
        <f t="shared" si="41"/>
        <v>-0.79999999999999993</v>
      </c>
      <c r="I192">
        <f t="shared" si="41"/>
        <v>0.64241658458317441</v>
      </c>
      <c r="J192">
        <f t="shared" si="30"/>
        <v>1968.8333333333301</v>
      </c>
      <c r="K192">
        <f t="shared" si="31"/>
        <v>-54</v>
      </c>
      <c r="L192">
        <f t="shared" si="32"/>
        <v>-13.5178958700076</v>
      </c>
      <c r="M192" s="5">
        <v>1895.8333333333301</v>
      </c>
      <c r="N192" s="5">
        <v>-30</v>
      </c>
      <c r="O192" s="5">
        <v>-132.754955387693</v>
      </c>
      <c r="Q192">
        <f t="shared" si="37"/>
        <v>4.1020800389684133</v>
      </c>
      <c r="R192">
        <f t="shared" si="33"/>
        <v>72.573391613606404</v>
      </c>
    </row>
    <row r="193" spans="1:18" x14ac:dyDescent="0.25">
      <c r="A193">
        <f t="shared" si="28"/>
        <v>1968.9166666666599</v>
      </c>
      <c r="B193">
        <f t="shared" si="28"/>
        <v>-54</v>
      </c>
      <c r="C193">
        <f t="shared" si="29"/>
        <v>14.245935186182358</v>
      </c>
      <c r="D193">
        <f t="shared" si="34"/>
        <v>-17</v>
      </c>
      <c r="E193">
        <f t="shared" si="34"/>
        <v>-7.3257629438281349</v>
      </c>
      <c r="F193">
        <f t="shared" si="35"/>
        <v>-2.1666666666666665</v>
      </c>
      <c r="G193">
        <f t="shared" si="36"/>
        <v>-4.9838271974375719</v>
      </c>
      <c r="H193">
        <f t="shared" si="41"/>
        <v>-0.39999999999999991</v>
      </c>
      <c r="I193">
        <f t="shared" si="41"/>
        <v>0.31541804991965955</v>
      </c>
      <c r="J193">
        <f t="shared" si="30"/>
        <v>1968.9166666666599</v>
      </c>
      <c r="K193">
        <f t="shared" si="31"/>
        <v>-54</v>
      </c>
      <c r="L193">
        <f t="shared" si="32"/>
        <v>-18.7106869966346</v>
      </c>
      <c r="M193" s="5">
        <v>1895.9166666666599</v>
      </c>
      <c r="N193" s="5">
        <v>-30</v>
      </c>
      <c r="O193" s="5">
        <v>-126.051495787075</v>
      </c>
      <c r="Q193">
        <f t="shared" si="37"/>
        <v>2.8171605307709053</v>
      </c>
      <c r="R193">
        <f t="shared" si="33"/>
        <v>68.245935186182351</v>
      </c>
    </row>
    <row r="194" spans="1:18" x14ac:dyDescent="0.25">
      <c r="A194">
        <f t="shared" si="28"/>
        <v>1969</v>
      </c>
      <c r="B194">
        <f t="shared" si="28"/>
        <v>-20</v>
      </c>
      <c r="C194">
        <f t="shared" si="29"/>
        <v>24.570004646414581</v>
      </c>
      <c r="D194">
        <f t="shared" si="34"/>
        <v>6</v>
      </c>
      <c r="E194">
        <f t="shared" si="34"/>
        <v>-7.0623385448710181</v>
      </c>
      <c r="F194">
        <f t="shared" si="35"/>
        <v>-3</v>
      </c>
      <c r="G194">
        <f t="shared" si="36"/>
        <v>-1.6555215826069334</v>
      </c>
      <c r="H194">
        <f t="shared" si="41"/>
        <v>-1.0000000000000004</v>
      </c>
      <c r="I194">
        <f t="shared" si="41"/>
        <v>1.553289567818678</v>
      </c>
      <c r="J194">
        <f t="shared" si="30"/>
        <v>1969</v>
      </c>
      <c r="K194">
        <f t="shared" si="31"/>
        <v>-20</v>
      </c>
      <c r="L194">
        <f t="shared" si="32"/>
        <v>-6.3221772142988097</v>
      </c>
      <c r="M194" s="5">
        <v>1896</v>
      </c>
      <c r="N194" s="5">
        <v>-30</v>
      </c>
      <c r="O194" s="5">
        <v>-110.079631072567</v>
      </c>
      <c r="Q194">
        <f t="shared" si="37"/>
        <v>1.3444784173930666</v>
      </c>
      <c r="R194">
        <f t="shared" si="33"/>
        <v>44.570004646414581</v>
      </c>
    </row>
    <row r="195" spans="1:18" x14ac:dyDescent="0.25">
      <c r="A195">
        <f t="shared" si="28"/>
        <v>1969.0833333333301</v>
      </c>
      <c r="B195">
        <f t="shared" si="28"/>
        <v>2</v>
      </c>
      <c r="C195">
        <f t="shared" si="29"/>
        <v>49.018751196388841</v>
      </c>
      <c r="D195">
        <f t="shared" si="34"/>
        <v>2</v>
      </c>
      <c r="E195">
        <f t="shared" si="34"/>
        <v>8.1798955539231528</v>
      </c>
      <c r="F195">
        <f t="shared" si="35"/>
        <v>2.1666666666666665</v>
      </c>
      <c r="G195">
        <f t="shared" si="36"/>
        <v>4.720988010176999</v>
      </c>
      <c r="H195">
        <f t="shared" si="41"/>
        <v>1.1333333333333333</v>
      </c>
      <c r="I195">
        <f t="shared" si="41"/>
        <v>3.5320993986012139</v>
      </c>
      <c r="J195">
        <f t="shared" si="30"/>
        <v>1969.0833333333301</v>
      </c>
      <c r="K195">
        <f t="shared" si="31"/>
        <v>2</v>
      </c>
      <c r="L195">
        <f t="shared" si="32"/>
        <v>23.0154339831942</v>
      </c>
      <c r="M195" s="5">
        <v>1896.0833333333301</v>
      </c>
      <c r="N195" s="5">
        <v>-30</v>
      </c>
      <c r="O195" s="5">
        <v>-89.728895952162702</v>
      </c>
      <c r="Q195">
        <f t="shared" si="37"/>
        <v>2.5543213435103325</v>
      </c>
      <c r="R195">
        <f t="shared" si="33"/>
        <v>47.018751196388841</v>
      </c>
    </row>
    <row r="196" spans="1:18" x14ac:dyDescent="0.25">
      <c r="A196">
        <f t="shared" ref="A196:C259" si="42">+J196</f>
        <v>1969.1666666666599</v>
      </c>
      <c r="B196">
        <f t="shared" si="42"/>
        <v>20</v>
      </c>
      <c r="C196">
        <f t="shared" ref="C196:C259" si="43">+$B$1*L196+$D$1</f>
        <v>57.107706638516788</v>
      </c>
      <c r="D196">
        <f t="shared" si="34"/>
        <v>-1.5</v>
      </c>
      <c r="E196">
        <f t="shared" si="34"/>
        <v>16.586148029111612</v>
      </c>
      <c r="F196">
        <f t="shared" si="35"/>
        <v>3.6666666666666665</v>
      </c>
      <c r="G196">
        <f t="shared" si="36"/>
        <v>11.249395236659149</v>
      </c>
      <c r="H196">
        <f t="shared" si="41"/>
        <v>4.4333333333333336</v>
      </c>
      <c r="I196">
        <f t="shared" si="41"/>
        <v>4.6083295886556748</v>
      </c>
      <c r="J196">
        <f t="shared" ref="J196:J259" si="44">+$M1072</f>
        <v>1969.1666666666599</v>
      </c>
      <c r="K196">
        <f t="shared" ref="K196:K259" si="45">+$N1072</f>
        <v>20</v>
      </c>
      <c r="L196">
        <f t="shared" ref="L196:L259" si="46">+$O1072</f>
        <v>32.721887819996098</v>
      </c>
      <c r="M196" s="5">
        <v>1896.1666666666599</v>
      </c>
      <c r="N196" s="5">
        <v>-30</v>
      </c>
      <c r="O196" s="5">
        <v>-90.932206934955303</v>
      </c>
      <c r="Q196">
        <f t="shared" si="37"/>
        <v>7.5827285699924829</v>
      </c>
      <c r="R196">
        <f t="shared" ref="R196:R259" si="47">+ABS(B196-C196)</f>
        <v>37.107706638516788</v>
      </c>
    </row>
    <row r="197" spans="1:18" x14ac:dyDescent="0.25">
      <c r="A197">
        <f t="shared" si="42"/>
        <v>1969.25</v>
      </c>
      <c r="B197">
        <f t="shared" si="42"/>
        <v>41</v>
      </c>
      <c r="C197">
        <f t="shared" si="43"/>
        <v>32.024366022421503</v>
      </c>
      <c r="D197">
        <f t="shared" ref="D197:E260" si="48">+B197-1/2*(B196+B198)</f>
        <v>10.5</v>
      </c>
      <c r="E197">
        <f t="shared" si="48"/>
        <v>17.419188554437042</v>
      </c>
      <c r="F197">
        <f t="shared" si="35"/>
        <v>5</v>
      </c>
      <c r="G197">
        <f t="shared" si="36"/>
        <v>8.3294625262144262</v>
      </c>
      <c r="H197">
        <f t="shared" si="41"/>
        <v>7.6333333333333329</v>
      </c>
      <c r="I197">
        <f t="shared" si="41"/>
        <v>3.5199852764230974</v>
      </c>
      <c r="J197">
        <f t="shared" si="44"/>
        <v>1969.25</v>
      </c>
      <c r="K197">
        <f t="shared" si="45"/>
        <v>41</v>
      </c>
      <c r="L197">
        <f t="shared" si="46"/>
        <v>2.6227867055439602</v>
      </c>
      <c r="M197" s="5">
        <v>1896.25</v>
      </c>
      <c r="N197" s="5">
        <v>-30</v>
      </c>
      <c r="O197" s="5">
        <v>-116.173749353471</v>
      </c>
      <c r="Q197">
        <f t="shared" si="37"/>
        <v>3.3294625262144262</v>
      </c>
      <c r="R197">
        <f t="shared" si="47"/>
        <v>8.9756339775784966</v>
      </c>
    </row>
    <row r="198" spans="1:18" x14ac:dyDescent="0.25">
      <c r="A198">
        <f t="shared" si="42"/>
        <v>1969.3333333333301</v>
      </c>
      <c r="B198">
        <f t="shared" si="42"/>
        <v>41</v>
      </c>
      <c r="C198">
        <f t="shared" si="43"/>
        <v>-27.897351702547869</v>
      </c>
      <c r="D198">
        <f t="shared" si="48"/>
        <v>6</v>
      </c>
      <c r="E198">
        <f t="shared" si="48"/>
        <v>-2.7698521102445604</v>
      </c>
      <c r="F198">
        <f t="shared" ref="F198:F261" si="49">+AVERAGE(D197:D199)</f>
        <v>14.333333333333334</v>
      </c>
      <c r="G198">
        <f t="shared" ref="G198:G261" si="50">+$H$1*AVERAGE(E197:E199)+$F$1</f>
        <v>0.39732375283473309</v>
      </c>
      <c r="H198">
        <f t="shared" si="41"/>
        <v>6.8666666666666671</v>
      </c>
      <c r="I198">
        <f t="shared" si="41"/>
        <v>1.0812060607989404</v>
      </c>
      <c r="J198">
        <f t="shared" si="44"/>
        <v>1969.3333333333301</v>
      </c>
      <c r="K198">
        <f t="shared" si="45"/>
        <v>41</v>
      </c>
      <c r="L198">
        <f t="shared" si="46"/>
        <v>-69.281106334851103</v>
      </c>
      <c r="M198" s="5">
        <v>1896.3333333333301</v>
      </c>
      <c r="N198" s="5">
        <v>-30</v>
      </c>
      <c r="O198" s="5">
        <v>-143.69154007255099</v>
      </c>
      <c r="Q198">
        <f t="shared" ref="Q198:Q261" si="51">+ABS(F198-G198)</f>
        <v>13.936009580498601</v>
      </c>
      <c r="R198">
        <f t="shared" si="47"/>
        <v>68.897351702547866</v>
      </c>
    </row>
    <row r="199" spans="1:18" x14ac:dyDescent="0.25">
      <c r="A199">
        <f t="shared" si="42"/>
        <v>1969.4166666666599</v>
      </c>
      <c r="B199">
        <f t="shared" si="42"/>
        <v>29</v>
      </c>
      <c r="C199">
        <f t="shared" si="43"/>
        <v>-82.279365207028121</v>
      </c>
      <c r="D199">
        <f t="shared" si="48"/>
        <v>26.5</v>
      </c>
      <c r="E199">
        <f t="shared" si="48"/>
        <v>-13.159372371062233</v>
      </c>
      <c r="F199">
        <f t="shared" si="49"/>
        <v>13</v>
      </c>
      <c r="G199">
        <f t="shared" si="50"/>
        <v>-7.0972431437698198</v>
      </c>
      <c r="H199">
        <f t="shared" si="41"/>
        <v>3.9666666666666672</v>
      </c>
      <c r="I199">
        <f t="shared" si="41"/>
        <v>-1.9336575644736276</v>
      </c>
      <c r="J199">
        <f t="shared" si="44"/>
        <v>1969.4166666666599</v>
      </c>
      <c r="K199">
        <f t="shared" si="45"/>
        <v>29</v>
      </c>
      <c r="L199">
        <f t="shared" si="46"/>
        <v>-134.537554761363</v>
      </c>
      <c r="M199" s="5">
        <v>1896.4166666666599</v>
      </c>
      <c r="N199" s="5">
        <v>-30</v>
      </c>
      <c r="O199" s="5">
        <v>-163.04947352149401</v>
      </c>
      <c r="Q199">
        <f t="shared" si="51"/>
        <v>20.09724314376982</v>
      </c>
      <c r="R199">
        <f t="shared" si="47"/>
        <v>111.27936520702812</v>
      </c>
    </row>
    <row r="200" spans="1:18" x14ac:dyDescent="0.25">
      <c r="A200">
        <f t="shared" si="42"/>
        <v>1969.5</v>
      </c>
      <c r="B200">
        <f t="shared" si="42"/>
        <v>-36</v>
      </c>
      <c r="C200">
        <f t="shared" si="43"/>
        <v>-110.34263396938391</v>
      </c>
      <c r="D200">
        <f t="shared" si="48"/>
        <v>6.5</v>
      </c>
      <c r="E200">
        <f t="shared" si="48"/>
        <v>-10.685437307830028</v>
      </c>
      <c r="F200">
        <f t="shared" si="49"/>
        <v>-1.6666666666666667</v>
      </c>
      <c r="G200">
        <f t="shared" si="50"/>
        <v>-7.472908067943786</v>
      </c>
      <c r="H200">
        <f t="shared" ref="H200:I215" si="52">+AVERAGE(F198:F202)</f>
        <v>0.36666666666666681</v>
      </c>
      <c r="I200">
        <f t="shared" si="52"/>
        <v>-3.7392257273906395</v>
      </c>
      <c r="J200">
        <f t="shared" si="44"/>
        <v>1969.5</v>
      </c>
      <c r="K200">
        <f t="shared" si="45"/>
        <v>-36</v>
      </c>
      <c r="L200">
        <f t="shared" si="46"/>
        <v>-168.21246182450699</v>
      </c>
      <c r="M200" s="5">
        <v>1896.5</v>
      </c>
      <c r="N200" s="5">
        <v>-30</v>
      </c>
      <c r="O200" s="5">
        <v>-164.78146430864999</v>
      </c>
      <c r="Q200">
        <f t="shared" si="51"/>
        <v>5.8062414012771191</v>
      </c>
      <c r="R200">
        <f t="shared" si="47"/>
        <v>74.342633969383911</v>
      </c>
    </row>
    <row r="201" spans="1:18" x14ac:dyDescent="0.25">
      <c r="A201">
        <f t="shared" si="42"/>
        <v>1969.5833333333301</v>
      </c>
      <c r="B201">
        <f t="shared" si="42"/>
        <v>-114</v>
      </c>
      <c r="C201">
        <f t="shared" si="43"/>
        <v>-117.03502811607964</v>
      </c>
      <c r="D201">
        <f t="shared" si="48"/>
        <v>-38</v>
      </c>
      <c r="E201">
        <f t="shared" si="48"/>
        <v>-4.1785955758969351</v>
      </c>
      <c r="F201">
        <f t="shared" si="49"/>
        <v>-10.833333333333334</v>
      </c>
      <c r="G201">
        <f t="shared" si="50"/>
        <v>-3.8249228897036915</v>
      </c>
      <c r="H201">
        <f t="shared" si="52"/>
        <v>-2.666666666666667</v>
      </c>
      <c r="I201">
        <f t="shared" si="52"/>
        <v>-3.7760475376620009</v>
      </c>
      <c r="J201">
        <f t="shared" si="44"/>
        <v>1969.5833333333301</v>
      </c>
      <c r="K201">
        <f t="shared" si="45"/>
        <v>-114</v>
      </c>
      <c r="L201">
        <f t="shared" si="46"/>
        <v>-176.24309264048</v>
      </c>
      <c r="M201" s="5">
        <v>1896.5833333333301</v>
      </c>
      <c r="N201" s="5">
        <v>-30</v>
      </c>
      <c r="O201" s="5">
        <v>-145.570505537293</v>
      </c>
      <c r="Q201">
        <f t="shared" si="51"/>
        <v>7.0084104436296428</v>
      </c>
      <c r="R201">
        <f t="shared" si="47"/>
        <v>3.0350281160796442</v>
      </c>
    </row>
    <row r="202" spans="1:18" x14ac:dyDescent="0.25">
      <c r="A202">
        <f t="shared" si="42"/>
        <v>1969.6666666666599</v>
      </c>
      <c r="B202">
        <f t="shared" si="42"/>
        <v>-116</v>
      </c>
      <c r="C202">
        <f t="shared" si="43"/>
        <v>-115.37023111098151</v>
      </c>
      <c r="D202">
        <f t="shared" si="48"/>
        <v>-1</v>
      </c>
      <c r="E202">
        <f t="shared" si="48"/>
        <v>0.52057204733812057</v>
      </c>
      <c r="F202">
        <f t="shared" si="49"/>
        <v>-13</v>
      </c>
      <c r="G202">
        <f t="shared" si="50"/>
        <v>-0.69837828837063398</v>
      </c>
      <c r="H202">
        <f t="shared" si="52"/>
        <v>-5.7333333333333325</v>
      </c>
      <c r="I202">
        <f t="shared" si="52"/>
        <v>-2.5230279526809447</v>
      </c>
      <c r="J202">
        <f t="shared" si="44"/>
        <v>1969.6666666666599</v>
      </c>
      <c r="K202">
        <f t="shared" si="45"/>
        <v>-116</v>
      </c>
      <c r="L202">
        <f t="shared" si="46"/>
        <v>-174.245396473992</v>
      </c>
      <c r="M202" s="5">
        <v>1896.6666666666599</v>
      </c>
      <c r="N202" s="5">
        <v>-30</v>
      </c>
      <c r="O202" s="5">
        <v>-121.162089725388</v>
      </c>
      <c r="Q202">
        <f t="shared" si="51"/>
        <v>12.301621711629366</v>
      </c>
      <c r="R202">
        <f t="shared" si="47"/>
        <v>0.62976888901849293</v>
      </c>
    </row>
    <row r="203" spans="1:18" x14ac:dyDescent="0.25">
      <c r="A203">
        <f t="shared" si="42"/>
        <v>1969.75</v>
      </c>
      <c r="B203">
        <f t="shared" si="42"/>
        <v>-116</v>
      </c>
      <c r="C203">
        <f t="shared" si="43"/>
        <v>-114.74657820055961</v>
      </c>
      <c r="D203">
        <f t="shared" si="48"/>
        <v>0</v>
      </c>
      <c r="E203">
        <f t="shared" si="48"/>
        <v>1.0391049471689371</v>
      </c>
      <c r="F203">
        <f t="shared" si="49"/>
        <v>-0.83333333333333337</v>
      </c>
      <c r="G203">
        <f t="shared" si="50"/>
        <v>0.21321470147792831</v>
      </c>
      <c r="H203">
        <f t="shared" si="52"/>
        <v>-5.4333333333333336</v>
      </c>
      <c r="I203">
        <f t="shared" si="52"/>
        <v>-1.390776994268941</v>
      </c>
      <c r="J203">
        <f t="shared" si="44"/>
        <v>1969.75</v>
      </c>
      <c r="K203">
        <f t="shared" si="45"/>
        <v>-116</v>
      </c>
      <c r="L203">
        <f t="shared" si="46"/>
        <v>-173.49703554797301</v>
      </c>
      <c r="M203" s="5">
        <v>1896.75</v>
      </c>
      <c r="N203" s="5">
        <v>-30</v>
      </c>
      <c r="O203" s="5">
        <v>-117.889136398628</v>
      </c>
      <c r="Q203">
        <f t="shared" si="51"/>
        <v>1.0465480348112617</v>
      </c>
      <c r="R203">
        <f t="shared" si="47"/>
        <v>1.2534217994403889</v>
      </c>
    </row>
    <row r="204" spans="1:18" x14ac:dyDescent="0.25">
      <c r="A204">
        <f t="shared" si="42"/>
        <v>1969.8333333333301</v>
      </c>
      <c r="B204">
        <f t="shared" si="42"/>
        <v>-116</v>
      </c>
      <c r="C204">
        <f t="shared" si="43"/>
        <v>-116.20113518447559</v>
      </c>
      <c r="D204">
        <f t="shared" si="48"/>
        <v>-1.5</v>
      </c>
      <c r="E204">
        <f t="shared" si="48"/>
        <v>-0.76012186396482662</v>
      </c>
      <c r="F204">
        <f t="shared" si="49"/>
        <v>-2.3333333333333335</v>
      </c>
      <c r="G204">
        <f t="shared" si="50"/>
        <v>-0.8321452188645404</v>
      </c>
      <c r="H204">
        <f t="shared" si="52"/>
        <v>-3.8333333333333335</v>
      </c>
      <c r="I204">
        <f t="shared" si="52"/>
        <v>-0.82264517083145383</v>
      </c>
      <c r="J204">
        <f t="shared" si="44"/>
        <v>1969.8333333333301</v>
      </c>
      <c r="K204">
        <f t="shared" si="45"/>
        <v>-116</v>
      </c>
      <c r="L204">
        <f t="shared" si="46"/>
        <v>-175.24245129644501</v>
      </c>
      <c r="M204" s="5">
        <v>1896.8333333333301</v>
      </c>
      <c r="N204" s="5">
        <v>-30</v>
      </c>
      <c r="O204" s="5">
        <v>-131.974073548213</v>
      </c>
      <c r="Q204">
        <f t="shared" si="51"/>
        <v>1.5011881144687931</v>
      </c>
      <c r="R204">
        <f t="shared" si="47"/>
        <v>0.20113518447558931</v>
      </c>
    </row>
    <row r="205" spans="1:18" x14ac:dyDescent="0.25">
      <c r="A205">
        <f t="shared" si="42"/>
        <v>1969.9166666666599</v>
      </c>
      <c r="B205">
        <f t="shared" si="42"/>
        <v>-113</v>
      </c>
      <c r="C205">
        <f t="shared" si="43"/>
        <v>-116.13544844046191</v>
      </c>
      <c r="D205">
        <f t="shared" si="48"/>
        <v>-5.5</v>
      </c>
      <c r="E205">
        <f t="shared" si="48"/>
        <v>-3.3995276539461372</v>
      </c>
      <c r="F205">
        <f t="shared" si="49"/>
        <v>-0.16666666666666666</v>
      </c>
      <c r="G205">
        <f t="shared" si="50"/>
        <v>-1.8116532758837669</v>
      </c>
      <c r="H205">
        <f t="shared" si="52"/>
        <v>-1.6333333333333335</v>
      </c>
      <c r="I205">
        <f t="shared" si="52"/>
        <v>-0.56284212307275694</v>
      </c>
      <c r="J205">
        <f t="shared" si="44"/>
        <v>1969.9166666666599</v>
      </c>
      <c r="K205">
        <f t="shared" si="45"/>
        <v>-113</v>
      </c>
      <c r="L205">
        <f t="shared" si="46"/>
        <v>-175.16362958046199</v>
      </c>
      <c r="M205" s="5">
        <v>1896.9166666666599</v>
      </c>
      <c r="N205" s="5">
        <v>-30</v>
      </c>
      <c r="O205" s="5">
        <v>-143.17918479670999</v>
      </c>
      <c r="Q205">
        <f t="shared" si="51"/>
        <v>1.6449866092171002</v>
      </c>
      <c r="R205">
        <f t="shared" si="47"/>
        <v>3.1354484404619143</v>
      </c>
    </row>
    <row r="206" spans="1:18" x14ac:dyDescent="0.25">
      <c r="A206">
        <f t="shared" si="42"/>
        <v>1970</v>
      </c>
      <c r="B206">
        <f t="shared" si="42"/>
        <v>-99</v>
      </c>
      <c r="C206">
        <f t="shared" si="43"/>
        <v>-109.27070638855596</v>
      </c>
      <c r="D206">
        <f t="shared" si="48"/>
        <v>6.5</v>
      </c>
      <c r="E206">
        <f t="shared" si="48"/>
        <v>-2.634050266653162</v>
      </c>
      <c r="F206">
        <f t="shared" si="49"/>
        <v>-2.8333333333333335</v>
      </c>
      <c r="G206">
        <f t="shared" si="50"/>
        <v>-0.98426377251625663</v>
      </c>
      <c r="H206">
        <f t="shared" si="52"/>
        <v>-0.56666666666666676</v>
      </c>
      <c r="I206">
        <f t="shared" si="52"/>
        <v>-0.31113231892566928</v>
      </c>
      <c r="J206">
        <f t="shared" si="44"/>
        <v>1970</v>
      </c>
      <c r="K206">
        <f t="shared" si="45"/>
        <v>-99</v>
      </c>
      <c r="L206">
        <f t="shared" si="46"/>
        <v>-166.92618751453699</v>
      </c>
      <c r="M206" s="5">
        <v>1897</v>
      </c>
      <c r="N206" s="5">
        <v>-30</v>
      </c>
      <c r="O206" s="5">
        <v>-140.85818016956799</v>
      </c>
      <c r="Q206">
        <f t="shared" si="51"/>
        <v>1.8490695608170769</v>
      </c>
      <c r="R206">
        <f t="shared" si="47"/>
        <v>10.270706388555965</v>
      </c>
    </row>
    <row r="207" spans="1:18" x14ac:dyDescent="0.25">
      <c r="A207">
        <f t="shared" si="42"/>
        <v>1970.0833333333301</v>
      </c>
      <c r="B207">
        <f t="shared" si="42"/>
        <v>-98</v>
      </c>
      <c r="C207">
        <f t="shared" si="43"/>
        <v>-97.137863803343677</v>
      </c>
      <c r="D207">
        <f t="shared" si="48"/>
        <v>-9.5</v>
      </c>
      <c r="E207">
        <f t="shared" si="48"/>
        <v>2.3425887736633371</v>
      </c>
      <c r="F207">
        <f t="shared" si="49"/>
        <v>-2</v>
      </c>
      <c r="G207">
        <f t="shared" si="50"/>
        <v>0.60063695042285126</v>
      </c>
      <c r="H207">
        <f t="shared" si="52"/>
        <v>1.1333333333333333</v>
      </c>
      <c r="I207">
        <f t="shared" si="52"/>
        <v>3.4736182752349888E-2</v>
      </c>
      <c r="J207">
        <f t="shared" si="44"/>
        <v>1970.0833333333301</v>
      </c>
      <c r="K207">
        <f t="shared" si="45"/>
        <v>-98</v>
      </c>
      <c r="L207">
        <f t="shared" si="46"/>
        <v>-152.36721543153999</v>
      </c>
      <c r="M207" s="5">
        <v>1897.0833333333301</v>
      </c>
      <c r="N207" s="5">
        <v>-30</v>
      </c>
      <c r="O207" s="5">
        <v>-132.49947330519899</v>
      </c>
      <c r="Q207">
        <f t="shared" si="51"/>
        <v>2.6006369504228513</v>
      </c>
      <c r="R207">
        <f t="shared" si="47"/>
        <v>0.8621361966563228</v>
      </c>
    </row>
    <row r="208" spans="1:18" x14ac:dyDescent="0.25">
      <c r="A208">
        <f t="shared" si="42"/>
        <v>1970.1666666666599</v>
      </c>
      <c r="B208">
        <f t="shared" si="42"/>
        <v>-78</v>
      </c>
      <c r="C208">
        <f t="shared" si="43"/>
        <v>-89.690198765458049</v>
      </c>
      <c r="D208">
        <f t="shared" si="48"/>
        <v>-3</v>
      </c>
      <c r="E208">
        <f t="shared" si="48"/>
        <v>2.5438500570755167</v>
      </c>
      <c r="F208">
        <f t="shared" si="49"/>
        <v>4.5</v>
      </c>
      <c r="G208">
        <f t="shared" si="50"/>
        <v>1.4717637222133666</v>
      </c>
      <c r="H208">
        <f t="shared" si="52"/>
        <v>2.333333333333333</v>
      </c>
      <c r="I208">
        <f t="shared" si="52"/>
        <v>0.20696731846245564</v>
      </c>
      <c r="J208">
        <f t="shared" si="44"/>
        <v>1970.1666666666599</v>
      </c>
      <c r="K208">
        <f t="shared" si="45"/>
        <v>-78</v>
      </c>
      <c r="L208">
        <f t="shared" si="46"/>
        <v>-143.43028687514001</v>
      </c>
      <c r="M208" s="5">
        <v>1897.1666666666599</v>
      </c>
      <c r="N208" s="5">
        <v>-30</v>
      </c>
      <c r="O208" s="5">
        <v>-131.58130622307701</v>
      </c>
      <c r="Q208">
        <f t="shared" si="51"/>
        <v>3.0282362777866334</v>
      </c>
      <c r="R208">
        <f t="shared" si="47"/>
        <v>11.690198765458049</v>
      </c>
    </row>
    <row r="209" spans="1:18" x14ac:dyDescent="0.25">
      <c r="A209">
        <f t="shared" si="42"/>
        <v>1970.25</v>
      </c>
      <c r="B209">
        <f t="shared" si="42"/>
        <v>-52</v>
      </c>
      <c r="C209">
        <f t="shared" si="43"/>
        <v>-87.330233841723441</v>
      </c>
      <c r="D209">
        <f t="shared" si="48"/>
        <v>26</v>
      </c>
      <c r="E209">
        <f t="shared" si="48"/>
        <v>0.63267512756127076</v>
      </c>
      <c r="F209">
        <f t="shared" si="49"/>
        <v>6.166666666666667</v>
      </c>
      <c r="G209">
        <f t="shared" si="50"/>
        <v>0.89719728952555533</v>
      </c>
      <c r="H209">
        <f t="shared" si="52"/>
        <v>2.0333333333333337</v>
      </c>
      <c r="I209">
        <f t="shared" si="52"/>
        <v>-0.15424694995488525</v>
      </c>
      <c r="J209">
        <f t="shared" si="44"/>
        <v>1970.25</v>
      </c>
      <c r="K209">
        <f t="shared" si="45"/>
        <v>-52</v>
      </c>
      <c r="L209">
        <f t="shared" si="46"/>
        <v>-140.59841436050101</v>
      </c>
      <c r="M209" s="5">
        <v>1897.25</v>
      </c>
      <c r="N209" s="5">
        <v>-30</v>
      </c>
      <c r="O209" s="5">
        <v>-130.66194188551</v>
      </c>
      <c r="Q209">
        <f t="shared" si="51"/>
        <v>5.2694693771411121</v>
      </c>
      <c r="R209">
        <f t="shared" si="47"/>
        <v>35.330233841723441</v>
      </c>
    </row>
    <row r="210" spans="1:18" x14ac:dyDescent="0.25">
      <c r="A210">
        <f t="shared" si="42"/>
        <v>1970.3333333333301</v>
      </c>
      <c r="B210">
        <f t="shared" si="42"/>
        <v>-78</v>
      </c>
      <c r="C210">
        <f t="shared" si="43"/>
        <v>-86.23561917311136</v>
      </c>
      <c r="D210">
        <f t="shared" si="48"/>
        <v>-4.5</v>
      </c>
      <c r="E210">
        <f t="shared" si="48"/>
        <v>0.18796465108404448</v>
      </c>
      <c r="F210">
        <f t="shared" si="49"/>
        <v>5.833333333333333</v>
      </c>
      <c r="G210">
        <f t="shared" si="50"/>
        <v>-0.95049759733323835</v>
      </c>
      <c r="H210">
        <f t="shared" si="52"/>
        <v>0.93333333333333357</v>
      </c>
      <c r="I210">
        <f t="shared" si="52"/>
        <v>-0.83456499627309688</v>
      </c>
      <c r="J210">
        <f t="shared" si="44"/>
        <v>1970.3333333333301</v>
      </c>
      <c r="K210">
        <f t="shared" si="45"/>
        <v>-78</v>
      </c>
      <c r="L210">
        <f t="shared" si="46"/>
        <v>-139.28491636610801</v>
      </c>
      <c r="M210" s="5">
        <v>1897.3333333333301</v>
      </c>
      <c r="N210" s="5">
        <v>-30</v>
      </c>
      <c r="O210" s="5">
        <v>-123.180553529937</v>
      </c>
      <c r="Q210">
        <f t="shared" si="51"/>
        <v>6.7838309306665714</v>
      </c>
      <c r="R210">
        <f t="shared" si="47"/>
        <v>8.2356191731113597</v>
      </c>
    </row>
    <row r="211" spans="1:18" x14ac:dyDescent="0.25">
      <c r="A211">
        <f t="shared" si="42"/>
        <v>1970.4166666666599</v>
      </c>
      <c r="B211">
        <f t="shared" si="42"/>
        <v>-95</v>
      </c>
      <c r="C211">
        <f t="shared" si="43"/>
        <v>-85.516933806667367</v>
      </c>
      <c r="D211">
        <f t="shared" si="48"/>
        <v>-4</v>
      </c>
      <c r="E211">
        <f t="shared" si="48"/>
        <v>-4.3850057686449588</v>
      </c>
      <c r="F211">
        <f t="shared" si="49"/>
        <v>-4.333333333333333</v>
      </c>
      <c r="G211">
        <f t="shared" si="50"/>
        <v>-2.7903351146029611</v>
      </c>
      <c r="H211">
        <f t="shared" si="52"/>
        <v>-0.46666666666666662</v>
      </c>
      <c r="I211">
        <f t="shared" si="52"/>
        <v>-1.2187811254767409</v>
      </c>
      <c r="J211">
        <f t="shared" si="44"/>
        <v>1970.4166666666599</v>
      </c>
      <c r="K211">
        <f t="shared" si="45"/>
        <v>-95</v>
      </c>
      <c r="L211">
        <f t="shared" si="46"/>
        <v>-138.42251993155199</v>
      </c>
      <c r="M211" s="5">
        <v>1897.4166666666599</v>
      </c>
      <c r="N211" s="5">
        <v>-30</v>
      </c>
      <c r="O211" s="5">
        <v>-112.723161324599</v>
      </c>
      <c r="Q211">
        <f t="shared" si="51"/>
        <v>1.5429982187303719</v>
      </c>
      <c r="R211">
        <f t="shared" si="47"/>
        <v>9.4830661933326326</v>
      </c>
    </row>
    <row r="212" spans="1:18" x14ac:dyDescent="0.25">
      <c r="A212">
        <f t="shared" si="42"/>
        <v>1970.5</v>
      </c>
      <c r="B212">
        <f t="shared" si="42"/>
        <v>-104</v>
      </c>
      <c r="C212">
        <f t="shared" si="43"/>
        <v>-76.028236902933443</v>
      </c>
      <c r="D212">
        <f t="shared" si="48"/>
        <v>-4.5</v>
      </c>
      <c r="E212">
        <f t="shared" si="48"/>
        <v>-6.26671556220019</v>
      </c>
      <c r="F212">
        <f t="shared" si="49"/>
        <v>-7.5</v>
      </c>
      <c r="G212">
        <f t="shared" si="50"/>
        <v>-2.8009532811682067</v>
      </c>
      <c r="H212">
        <f t="shared" si="52"/>
        <v>-2.7333333333333334</v>
      </c>
      <c r="I212">
        <f t="shared" si="52"/>
        <v>-1.0063728261850664</v>
      </c>
      <c r="J212">
        <f t="shared" si="44"/>
        <v>1970.5</v>
      </c>
      <c r="K212">
        <f t="shared" si="45"/>
        <v>-104</v>
      </c>
      <c r="L212">
        <f t="shared" si="46"/>
        <v>-127.036426989585</v>
      </c>
      <c r="M212" s="5">
        <v>1897.5</v>
      </c>
      <c r="N212" s="5">
        <v>-30</v>
      </c>
      <c r="O212" s="5">
        <v>-91.944103164724794</v>
      </c>
      <c r="Q212">
        <f t="shared" si="51"/>
        <v>4.6990467188317933</v>
      </c>
      <c r="R212">
        <f t="shared" si="47"/>
        <v>27.971763097066557</v>
      </c>
    </row>
    <row r="213" spans="1:18" x14ac:dyDescent="0.25">
      <c r="A213">
        <f t="shared" si="42"/>
        <v>1970.5833333333301</v>
      </c>
      <c r="B213">
        <f t="shared" si="42"/>
        <v>-104</v>
      </c>
      <c r="C213">
        <f t="shared" si="43"/>
        <v>-54.006108874799139</v>
      </c>
      <c r="D213">
        <f t="shared" si="48"/>
        <v>-14</v>
      </c>
      <c r="E213">
        <f t="shared" si="48"/>
        <v>0.1481465264643731</v>
      </c>
      <c r="F213">
        <f t="shared" si="49"/>
        <v>-2.5</v>
      </c>
      <c r="G213">
        <f t="shared" si="50"/>
        <v>-0.44931692380485333</v>
      </c>
      <c r="H213">
        <f t="shared" si="52"/>
        <v>-3.3333333333333335</v>
      </c>
      <c r="I213">
        <f t="shared" si="52"/>
        <v>-0.51634913117092796</v>
      </c>
      <c r="J213">
        <f t="shared" si="44"/>
        <v>1970.5833333333301</v>
      </c>
      <c r="K213">
        <f t="shared" si="45"/>
        <v>-104</v>
      </c>
      <c r="L213">
        <f t="shared" si="46"/>
        <v>-100.61067021263899</v>
      </c>
      <c r="M213" s="5">
        <v>1897.5833333333301</v>
      </c>
      <c r="N213" s="5">
        <v>-30</v>
      </c>
      <c r="O213" s="5">
        <v>-60.125476615265498</v>
      </c>
      <c r="Q213">
        <f t="shared" si="51"/>
        <v>2.0506830761951464</v>
      </c>
      <c r="R213">
        <f t="shared" si="47"/>
        <v>49.993891125200861</v>
      </c>
    </row>
    <row r="214" spans="1:18" x14ac:dyDescent="0.25">
      <c r="A214">
        <f t="shared" si="42"/>
        <v>1970.6666666666599</v>
      </c>
      <c r="B214">
        <f t="shared" si="42"/>
        <v>-76</v>
      </c>
      <c r="C214">
        <f t="shared" si="43"/>
        <v>-32.280273899593581</v>
      </c>
      <c r="D214">
        <f t="shared" si="48"/>
        <v>11</v>
      </c>
      <c r="E214">
        <f t="shared" si="48"/>
        <v>4.4336305714676172</v>
      </c>
      <c r="F214">
        <f t="shared" si="49"/>
        <v>-5.166666666666667</v>
      </c>
      <c r="G214">
        <f t="shared" si="50"/>
        <v>1.9592387859839289</v>
      </c>
      <c r="H214">
        <f t="shared" si="52"/>
        <v>-3.2</v>
      </c>
      <c r="I214">
        <f t="shared" si="52"/>
        <v>-0.26066159216673151</v>
      </c>
      <c r="J214">
        <f t="shared" si="44"/>
        <v>1970.6666666666599</v>
      </c>
      <c r="K214">
        <f t="shared" si="45"/>
        <v>-76</v>
      </c>
      <c r="L214">
        <f t="shared" si="46"/>
        <v>-74.540454378030205</v>
      </c>
      <c r="M214" s="5">
        <v>1897.6666666666599</v>
      </c>
      <c r="N214" s="5">
        <v>-30</v>
      </c>
      <c r="O214" s="5">
        <v>-41.634668193689102</v>
      </c>
      <c r="Q214">
        <f t="shared" si="51"/>
        <v>7.1259054526505956</v>
      </c>
      <c r="R214">
        <f t="shared" si="47"/>
        <v>43.719726100406419</v>
      </c>
    </row>
    <row r="215" spans="1:18" x14ac:dyDescent="0.25">
      <c r="A215">
        <f t="shared" si="42"/>
        <v>1970.75</v>
      </c>
      <c r="B215">
        <f t="shared" si="42"/>
        <v>-70</v>
      </c>
      <c r="C215">
        <f t="shared" si="43"/>
        <v>-19.421700067323261</v>
      </c>
      <c r="D215">
        <f t="shared" si="48"/>
        <v>-12.5</v>
      </c>
      <c r="E215">
        <f t="shared" si="48"/>
        <v>2.7653683495077424</v>
      </c>
      <c r="F215">
        <f t="shared" si="49"/>
        <v>2.8333333333333335</v>
      </c>
      <c r="G215">
        <f t="shared" si="50"/>
        <v>1.4996208777374529</v>
      </c>
      <c r="H215">
        <f t="shared" si="52"/>
        <v>-1.0666666666666669</v>
      </c>
      <c r="I215">
        <f t="shared" si="52"/>
        <v>-2.9093421483091129E-3</v>
      </c>
      <c r="J215">
        <f t="shared" si="44"/>
        <v>1970.75</v>
      </c>
      <c r="K215">
        <f t="shared" si="45"/>
        <v>-70</v>
      </c>
      <c r="L215">
        <f t="shared" si="46"/>
        <v>-59.110631058691098</v>
      </c>
      <c r="M215" s="5">
        <v>1897.75</v>
      </c>
      <c r="N215" s="5">
        <v>-30</v>
      </c>
      <c r="O215" s="5">
        <v>-47.848051372189602</v>
      </c>
      <c r="Q215">
        <f t="shared" si="51"/>
        <v>1.3337124555958806</v>
      </c>
      <c r="R215">
        <f t="shared" si="47"/>
        <v>50.578299932676742</v>
      </c>
    </row>
    <row r="216" spans="1:18" x14ac:dyDescent="0.25">
      <c r="A216">
        <f t="shared" si="42"/>
        <v>1970.8333333333301</v>
      </c>
      <c r="B216">
        <f t="shared" si="42"/>
        <v>-39</v>
      </c>
      <c r="C216">
        <f t="shared" si="43"/>
        <v>-12.093862934068429</v>
      </c>
      <c r="D216">
        <f t="shared" si="48"/>
        <v>10</v>
      </c>
      <c r="E216">
        <f t="shared" si="48"/>
        <v>-1.5754206294599111</v>
      </c>
      <c r="F216">
        <f t="shared" si="49"/>
        <v>-3.6666666666666665</v>
      </c>
      <c r="G216">
        <f t="shared" si="50"/>
        <v>-1.511897419581979</v>
      </c>
      <c r="H216">
        <f t="shared" ref="H216:I231" si="53">+AVERAGE(F214:F218)</f>
        <v>-0.66666666666666674</v>
      </c>
      <c r="I216">
        <f t="shared" si="53"/>
        <v>0.32486007128090266</v>
      </c>
      <c r="J216">
        <f t="shared" si="44"/>
        <v>1970.8333333333301</v>
      </c>
      <c r="K216">
        <f t="shared" si="45"/>
        <v>-39</v>
      </c>
      <c r="L216">
        <f t="shared" si="46"/>
        <v>-50.317491651950903</v>
      </c>
      <c r="M216" s="5">
        <v>1897.8333333333301</v>
      </c>
      <c r="N216" s="5">
        <v>-30</v>
      </c>
      <c r="O216" s="5">
        <v>-68.594709308985998</v>
      </c>
      <c r="Q216">
        <f t="shared" si="51"/>
        <v>2.1547692470846878</v>
      </c>
      <c r="R216">
        <f t="shared" si="47"/>
        <v>26.906137065931571</v>
      </c>
    </row>
    <row r="217" spans="1:18" x14ac:dyDescent="0.25">
      <c r="A217">
        <f t="shared" si="42"/>
        <v>1970.9166666666599</v>
      </c>
      <c r="B217">
        <f t="shared" si="42"/>
        <v>-28</v>
      </c>
      <c r="C217">
        <f t="shared" si="43"/>
        <v>-1.6151845418937754</v>
      </c>
      <c r="D217">
        <f t="shared" si="48"/>
        <v>-8.5</v>
      </c>
      <c r="E217">
        <f t="shared" si="48"/>
        <v>-6.8595630434802519</v>
      </c>
      <c r="F217">
        <f t="shared" si="49"/>
        <v>3.1666666666666665</v>
      </c>
      <c r="G217">
        <f t="shared" si="50"/>
        <v>-1.5121920310760952</v>
      </c>
      <c r="H217">
        <f t="shared" si="53"/>
        <v>0.6</v>
      </c>
      <c r="I217">
        <f t="shared" si="53"/>
        <v>0.49769830127529974</v>
      </c>
      <c r="J217">
        <f t="shared" si="44"/>
        <v>1970.9166666666599</v>
      </c>
      <c r="K217">
        <f t="shared" si="45"/>
        <v>-28</v>
      </c>
      <c r="L217">
        <f t="shared" si="46"/>
        <v>-37.743456745710901</v>
      </c>
      <c r="M217" s="5">
        <v>1897.9166666666599</v>
      </c>
      <c r="N217" s="5">
        <v>-30</v>
      </c>
      <c r="O217" s="5">
        <v>-83.470129615316097</v>
      </c>
      <c r="Q217">
        <f t="shared" si="51"/>
        <v>4.6788586977427613</v>
      </c>
      <c r="R217">
        <f t="shared" si="47"/>
        <v>26.384815458106225</v>
      </c>
    </row>
    <row r="218" spans="1:18" x14ac:dyDescent="0.25">
      <c r="A218">
        <f t="shared" si="42"/>
        <v>1971</v>
      </c>
      <c r="B218">
        <f t="shared" si="42"/>
        <v>0</v>
      </c>
      <c r="C218">
        <f t="shared" si="43"/>
        <v>22.582619937241383</v>
      </c>
      <c r="D218">
        <f t="shared" si="48"/>
        <v>8</v>
      </c>
      <c r="E218">
        <f t="shared" si="48"/>
        <v>2.7642635564048064</v>
      </c>
      <c r="F218">
        <f t="shared" si="49"/>
        <v>-0.5</v>
      </c>
      <c r="G218">
        <f t="shared" si="50"/>
        <v>1.1895301433412058</v>
      </c>
      <c r="H218">
        <f t="shared" si="53"/>
        <v>0.4</v>
      </c>
      <c r="I218">
        <f t="shared" si="53"/>
        <v>1.1830655607978027</v>
      </c>
      <c r="J218">
        <f t="shared" si="44"/>
        <v>1971</v>
      </c>
      <c r="K218">
        <f t="shared" si="45"/>
        <v>0</v>
      </c>
      <c r="L218">
        <f t="shared" si="46"/>
        <v>-8.7069669530442297</v>
      </c>
      <c r="M218" s="5">
        <v>1898</v>
      </c>
      <c r="N218" s="5">
        <v>-30</v>
      </c>
      <c r="O218" s="5">
        <v>-77.558604929260596</v>
      </c>
      <c r="Q218">
        <f t="shared" si="51"/>
        <v>1.6895301433412058</v>
      </c>
      <c r="R218">
        <f t="shared" si="47"/>
        <v>22.582619937241383</v>
      </c>
    </row>
    <row r="219" spans="1:18" x14ac:dyDescent="0.25">
      <c r="A219">
        <f t="shared" si="42"/>
        <v>1971.0833333333301</v>
      </c>
      <c r="B219">
        <f t="shared" si="42"/>
        <v>12</v>
      </c>
      <c r="C219">
        <f t="shared" si="43"/>
        <v>41.251897303566928</v>
      </c>
      <c r="D219">
        <f t="shared" si="48"/>
        <v>-1</v>
      </c>
      <c r="E219">
        <f t="shared" si="48"/>
        <v>8.5560375246049674</v>
      </c>
      <c r="F219">
        <f t="shared" si="49"/>
        <v>1.1666666666666667</v>
      </c>
      <c r="G219">
        <f t="shared" si="50"/>
        <v>2.8234299359559145</v>
      </c>
      <c r="H219">
        <f t="shared" si="53"/>
        <v>1.6</v>
      </c>
      <c r="I219">
        <f t="shared" si="53"/>
        <v>2.8751072912176725</v>
      </c>
      <c r="J219">
        <f t="shared" si="44"/>
        <v>1971.0833333333301</v>
      </c>
      <c r="K219">
        <f t="shared" si="45"/>
        <v>12</v>
      </c>
      <c r="L219">
        <f t="shared" si="46"/>
        <v>13.695490350518099</v>
      </c>
      <c r="M219" s="5">
        <v>1898.0833333333301</v>
      </c>
      <c r="N219" s="5">
        <v>-30</v>
      </c>
      <c r="O219" s="5">
        <v>-63.851428537593698</v>
      </c>
      <c r="Q219">
        <f t="shared" si="51"/>
        <v>1.6567632692892478</v>
      </c>
      <c r="R219">
        <f t="shared" si="47"/>
        <v>29.251897303566928</v>
      </c>
    </row>
    <row r="220" spans="1:18" x14ac:dyDescent="0.25">
      <c r="A220">
        <f t="shared" si="42"/>
        <v>1971.1666666666599</v>
      </c>
      <c r="B220">
        <f t="shared" si="42"/>
        <v>26</v>
      </c>
      <c r="C220">
        <f t="shared" si="43"/>
        <v>42.809099620682545</v>
      </c>
      <c r="D220">
        <f t="shared" si="48"/>
        <v>-3.5</v>
      </c>
      <c r="E220">
        <f t="shared" si="48"/>
        <v>-0.73243882117509429</v>
      </c>
      <c r="F220">
        <f t="shared" si="49"/>
        <v>1.8333333333333333</v>
      </c>
      <c r="G220">
        <f t="shared" si="50"/>
        <v>4.9264571753499675</v>
      </c>
      <c r="H220">
        <f t="shared" si="53"/>
        <v>3.8666666666666671</v>
      </c>
      <c r="I220">
        <f t="shared" si="53"/>
        <v>4.211178713227488</v>
      </c>
      <c r="J220">
        <f t="shared" si="44"/>
        <v>1971.1666666666599</v>
      </c>
      <c r="K220">
        <f t="shared" si="45"/>
        <v>26</v>
      </c>
      <c r="L220">
        <f t="shared" si="46"/>
        <v>15.564076784673</v>
      </c>
      <c r="M220" s="5">
        <v>1898.1666666666599</v>
      </c>
      <c r="N220" s="5">
        <v>-30</v>
      </c>
      <c r="O220" s="5">
        <v>-60.390384882787799</v>
      </c>
      <c r="Q220">
        <f t="shared" si="51"/>
        <v>3.0931238420166345</v>
      </c>
      <c r="R220">
        <f t="shared" si="47"/>
        <v>16.809099620682545</v>
      </c>
    </row>
    <row r="221" spans="1:18" x14ac:dyDescent="0.25">
      <c r="A221">
        <f t="shared" si="42"/>
        <v>1971.25</v>
      </c>
      <c r="B221">
        <f t="shared" si="42"/>
        <v>47</v>
      </c>
      <c r="C221">
        <f t="shared" si="43"/>
        <v>45.831179580148344</v>
      </c>
      <c r="D221">
        <f t="shared" si="48"/>
        <v>10</v>
      </c>
      <c r="E221">
        <f t="shared" si="48"/>
        <v>10.650615704132505</v>
      </c>
      <c r="F221">
        <f t="shared" si="49"/>
        <v>2.3333333333333335</v>
      </c>
      <c r="G221">
        <f t="shared" si="50"/>
        <v>6.9483112325173693</v>
      </c>
      <c r="H221">
        <f t="shared" si="53"/>
        <v>6.2</v>
      </c>
      <c r="I221">
        <f t="shared" si="53"/>
        <v>3.8989539460838087</v>
      </c>
      <c r="J221">
        <f t="shared" si="44"/>
        <v>1971.25</v>
      </c>
      <c r="K221">
        <f t="shared" si="45"/>
        <v>47</v>
      </c>
      <c r="L221">
        <f t="shared" si="46"/>
        <v>19.1904633839744</v>
      </c>
      <c r="M221" s="5">
        <v>1898.25</v>
      </c>
      <c r="N221" s="5">
        <v>-30</v>
      </c>
      <c r="O221" s="5">
        <v>-71.114732690220507</v>
      </c>
      <c r="Q221">
        <f t="shared" si="51"/>
        <v>4.6149778991840353</v>
      </c>
      <c r="R221">
        <f t="shared" si="47"/>
        <v>1.1688204198516559</v>
      </c>
    </row>
    <row r="222" spans="1:18" x14ac:dyDescent="0.25">
      <c r="A222">
        <f t="shared" si="42"/>
        <v>1971.3333333333301</v>
      </c>
      <c r="B222">
        <f t="shared" si="42"/>
        <v>48</v>
      </c>
      <c r="C222">
        <f t="shared" si="43"/>
        <v>27.552028131349136</v>
      </c>
      <c r="D222">
        <f t="shared" si="48"/>
        <v>0.5</v>
      </c>
      <c r="E222">
        <f t="shared" si="48"/>
        <v>16.137990238982724</v>
      </c>
      <c r="F222">
        <f t="shared" si="49"/>
        <v>14.5</v>
      </c>
      <c r="G222">
        <f t="shared" si="50"/>
        <v>5.1681650789729838</v>
      </c>
      <c r="H222">
        <f t="shared" si="53"/>
        <v>5.9666666666666668</v>
      </c>
      <c r="I222">
        <f t="shared" si="53"/>
        <v>2.0969302598578032</v>
      </c>
      <c r="J222">
        <f t="shared" si="44"/>
        <v>1971.3333333333301</v>
      </c>
      <c r="K222">
        <f t="shared" si="45"/>
        <v>48</v>
      </c>
      <c r="L222">
        <f t="shared" si="46"/>
        <v>-2.74385693501663</v>
      </c>
      <c r="M222" s="5">
        <v>1898.3333333333301</v>
      </c>
      <c r="N222" s="5">
        <v>-30</v>
      </c>
      <c r="O222" s="5">
        <v>-107.28078301132101</v>
      </c>
      <c r="Q222">
        <f t="shared" si="51"/>
        <v>9.3318349210270171</v>
      </c>
      <c r="R222">
        <f t="shared" si="47"/>
        <v>20.447971868650864</v>
      </c>
    </row>
    <row r="223" spans="1:18" x14ac:dyDescent="0.25">
      <c r="A223">
        <f t="shared" si="42"/>
        <v>1971.4166666666599</v>
      </c>
      <c r="B223">
        <f t="shared" si="42"/>
        <v>48</v>
      </c>
      <c r="C223">
        <f t="shared" si="43"/>
        <v>-23.003103795415516</v>
      </c>
      <c r="D223">
        <f t="shared" si="48"/>
        <v>33</v>
      </c>
      <c r="E223">
        <f t="shared" si="48"/>
        <v>-7.4079868969665394</v>
      </c>
      <c r="F223">
        <f t="shared" si="49"/>
        <v>11.166666666666666</v>
      </c>
      <c r="G223">
        <f t="shared" si="50"/>
        <v>-0.37159369237719064</v>
      </c>
      <c r="H223">
        <f t="shared" si="53"/>
        <v>2.0666666666666664</v>
      </c>
      <c r="I223">
        <f t="shared" si="53"/>
        <v>0.21637148809774551</v>
      </c>
      <c r="J223">
        <f t="shared" si="44"/>
        <v>1971.4166666666599</v>
      </c>
      <c r="K223">
        <f t="shared" si="45"/>
        <v>48</v>
      </c>
      <c r="L223">
        <f t="shared" si="46"/>
        <v>-63.408185941566401</v>
      </c>
      <c r="M223" s="5">
        <v>1898.4166666666599</v>
      </c>
      <c r="N223" s="5">
        <v>-30</v>
      </c>
      <c r="O223" s="5">
        <v>-146.79270806683701</v>
      </c>
      <c r="Q223">
        <f t="shared" si="51"/>
        <v>11.538260359043857</v>
      </c>
      <c r="R223">
        <f t="shared" si="47"/>
        <v>71.003103795415512</v>
      </c>
    </row>
    <row r="224" spans="1:18" x14ac:dyDescent="0.25">
      <c r="A224">
        <f t="shared" si="42"/>
        <v>1971.5</v>
      </c>
      <c r="B224">
        <f t="shared" si="42"/>
        <v>-18</v>
      </c>
      <c r="C224">
        <f t="shared" si="43"/>
        <v>-58.742261928247089</v>
      </c>
      <c r="D224">
        <f t="shared" si="48"/>
        <v>0</v>
      </c>
      <c r="E224">
        <f t="shared" si="48"/>
        <v>-10.123479688430649</v>
      </c>
      <c r="F224">
        <f t="shared" si="49"/>
        <v>0</v>
      </c>
      <c r="G224">
        <f t="shared" si="50"/>
        <v>-6.1866884951741126</v>
      </c>
      <c r="H224">
        <f t="shared" si="53"/>
        <v>-0.60000000000000075</v>
      </c>
      <c r="I224">
        <f t="shared" si="53"/>
        <v>-1.3338905106560937</v>
      </c>
      <c r="J224">
        <f t="shared" si="44"/>
        <v>1971.5</v>
      </c>
      <c r="K224">
        <f t="shared" si="45"/>
        <v>-18</v>
      </c>
      <c r="L224">
        <f t="shared" si="46"/>
        <v>-106.293882502065</v>
      </c>
      <c r="M224" s="5">
        <v>1898.5</v>
      </c>
      <c r="N224" s="5">
        <v>-30</v>
      </c>
      <c r="O224" s="5">
        <v>-165.092729768765</v>
      </c>
      <c r="Q224">
        <f t="shared" si="51"/>
        <v>6.1866884951741126</v>
      </c>
      <c r="R224">
        <f t="shared" si="47"/>
        <v>40.742261928247089</v>
      </c>
    </row>
    <row r="225" spans="1:18" x14ac:dyDescent="0.25">
      <c r="A225">
        <f t="shared" si="42"/>
        <v>1971.5833333333301</v>
      </c>
      <c r="B225">
        <f t="shared" si="42"/>
        <v>-84</v>
      </c>
      <c r="C225">
        <f t="shared" si="43"/>
        <v>-74.234460684217368</v>
      </c>
      <c r="D225">
        <f t="shared" si="48"/>
        <v>-33</v>
      </c>
      <c r="E225">
        <f t="shared" si="48"/>
        <v>-5.668615271505729</v>
      </c>
      <c r="F225">
        <f t="shared" si="49"/>
        <v>-17.666666666666668</v>
      </c>
      <c r="G225">
        <f t="shared" si="50"/>
        <v>-4.4763366834503211</v>
      </c>
      <c r="H225">
        <f t="shared" si="53"/>
        <v>-2.6333333333333337</v>
      </c>
      <c r="I225">
        <f t="shared" si="53"/>
        <v>-2.1932999640181765</v>
      </c>
      <c r="J225">
        <f t="shared" si="44"/>
        <v>1971.5833333333301</v>
      </c>
      <c r="K225">
        <f t="shared" si="45"/>
        <v>-84</v>
      </c>
      <c r="L225">
        <f t="shared" si="46"/>
        <v>-124.883960433787</v>
      </c>
      <c r="M225" s="5">
        <v>1898.5833333333301</v>
      </c>
      <c r="N225" s="5">
        <v>-30</v>
      </c>
      <c r="O225" s="5">
        <v>-164.03001415819401</v>
      </c>
      <c r="Q225">
        <f t="shared" si="51"/>
        <v>13.190329983216348</v>
      </c>
      <c r="R225">
        <f t="shared" si="47"/>
        <v>9.7655393157826325</v>
      </c>
    </row>
    <row r="226" spans="1:18" x14ac:dyDescent="0.25">
      <c r="A226">
        <f t="shared" si="42"/>
        <v>1971.6666666666599</v>
      </c>
      <c r="B226">
        <f t="shared" si="42"/>
        <v>-84</v>
      </c>
      <c r="C226">
        <f t="shared" si="43"/>
        <v>-78.389428897176202</v>
      </c>
      <c r="D226">
        <f t="shared" si="48"/>
        <v>-20</v>
      </c>
      <c r="E226">
        <f t="shared" si="48"/>
        <v>-0.99416760300232454</v>
      </c>
      <c r="F226">
        <f t="shared" si="49"/>
        <v>-11</v>
      </c>
      <c r="G226">
        <f t="shared" si="50"/>
        <v>-0.80299876125182745</v>
      </c>
      <c r="H226">
        <f t="shared" si="53"/>
        <v>-3.2</v>
      </c>
      <c r="I226">
        <f t="shared" si="53"/>
        <v>-2.0319969704085223</v>
      </c>
      <c r="J226">
        <f t="shared" si="44"/>
        <v>1971.6666666666599</v>
      </c>
      <c r="K226">
        <f t="shared" si="45"/>
        <v>-84</v>
      </c>
      <c r="L226">
        <f t="shared" si="46"/>
        <v>-129.86977194443301</v>
      </c>
      <c r="M226" s="5">
        <v>1898.6666666666599</v>
      </c>
      <c r="N226" s="5">
        <v>-30</v>
      </c>
      <c r="O226" s="5">
        <v>-151.346807501744</v>
      </c>
      <c r="Q226">
        <f t="shared" si="51"/>
        <v>10.197001238748172</v>
      </c>
      <c r="R226">
        <f t="shared" si="47"/>
        <v>5.6105711028237977</v>
      </c>
    </row>
    <row r="227" spans="1:18" x14ac:dyDescent="0.25">
      <c r="A227">
        <f t="shared" si="42"/>
        <v>1971.75</v>
      </c>
      <c r="B227">
        <f t="shared" si="42"/>
        <v>-44</v>
      </c>
      <c r="C227">
        <f t="shared" si="43"/>
        <v>-80.556061904130388</v>
      </c>
      <c r="D227">
        <f t="shared" si="48"/>
        <v>20</v>
      </c>
      <c r="E227">
        <f t="shared" si="48"/>
        <v>3.6515375198137008</v>
      </c>
      <c r="F227">
        <f t="shared" si="49"/>
        <v>4.333333333333333</v>
      </c>
      <c r="G227">
        <f t="shared" si="50"/>
        <v>0.87111781216256845</v>
      </c>
      <c r="H227">
        <f t="shared" si="53"/>
        <v>-2.6333333333333333</v>
      </c>
      <c r="I227">
        <f t="shared" si="53"/>
        <v>-0.90771797841453628</v>
      </c>
      <c r="J227">
        <f t="shared" si="44"/>
        <v>1971.75</v>
      </c>
      <c r="K227">
        <f t="shared" si="45"/>
        <v>-44</v>
      </c>
      <c r="L227">
        <f t="shared" si="46"/>
        <v>-132.469653154529</v>
      </c>
      <c r="M227" s="5">
        <v>1898.75</v>
      </c>
      <c r="N227" s="5">
        <v>-30</v>
      </c>
      <c r="O227" s="5">
        <v>-139.44637567034701</v>
      </c>
      <c r="Q227">
        <f t="shared" si="51"/>
        <v>3.4622155211707648</v>
      </c>
      <c r="R227">
        <f t="shared" si="47"/>
        <v>36.556061904130388</v>
      </c>
    </row>
    <row r="228" spans="1:18" x14ac:dyDescent="0.25">
      <c r="A228">
        <f t="shared" si="42"/>
        <v>1971.8333333333301</v>
      </c>
      <c r="B228">
        <f t="shared" si="42"/>
        <v>-44</v>
      </c>
      <c r="C228">
        <f t="shared" si="43"/>
        <v>-90.02576995071199</v>
      </c>
      <c r="D228">
        <f t="shared" si="48"/>
        <v>13</v>
      </c>
      <c r="E228">
        <f t="shared" si="48"/>
        <v>0.60932187879825506</v>
      </c>
      <c r="F228">
        <f t="shared" si="49"/>
        <v>8.3333333333333339</v>
      </c>
      <c r="G228">
        <f t="shared" si="50"/>
        <v>0.4349212756710813</v>
      </c>
      <c r="H228">
        <f t="shared" si="53"/>
        <v>3.3333333333333395E-2</v>
      </c>
      <c r="I228">
        <f t="shared" si="53"/>
        <v>-0.13984772363898551</v>
      </c>
      <c r="J228">
        <f t="shared" si="44"/>
        <v>1971.8333333333301</v>
      </c>
      <c r="K228">
        <f t="shared" si="45"/>
        <v>-44</v>
      </c>
      <c r="L228">
        <f t="shared" si="46"/>
        <v>-143.83296015501301</v>
      </c>
      <c r="M228" s="5">
        <v>1898.8333333333301</v>
      </c>
      <c r="N228" s="5">
        <v>-30</v>
      </c>
      <c r="O228" s="5">
        <v>-140.930542362051</v>
      </c>
      <c r="Q228">
        <f t="shared" si="51"/>
        <v>7.8984120576622523</v>
      </c>
      <c r="R228">
        <f t="shared" si="47"/>
        <v>46.02576995071199</v>
      </c>
    </row>
    <row r="229" spans="1:18" x14ac:dyDescent="0.25">
      <c r="A229">
        <f t="shared" si="42"/>
        <v>1971.9166666666599</v>
      </c>
      <c r="B229">
        <f t="shared" si="42"/>
        <v>-70</v>
      </c>
      <c r="C229">
        <f t="shared" si="43"/>
        <v>-100.7141217548901</v>
      </c>
      <c r="D229">
        <f t="shared" si="48"/>
        <v>-8</v>
      </c>
      <c r="E229">
        <f t="shared" si="48"/>
        <v>-2.6299046148454011</v>
      </c>
      <c r="F229">
        <f t="shared" si="49"/>
        <v>2.8333333333333335</v>
      </c>
      <c r="G229">
        <f t="shared" si="50"/>
        <v>-0.56529353520418224</v>
      </c>
      <c r="H229">
        <f t="shared" si="53"/>
        <v>2.8666666666666667</v>
      </c>
      <c r="I229">
        <f t="shared" si="53"/>
        <v>-2.5265042909459922E-2</v>
      </c>
      <c r="J229">
        <f t="shared" si="44"/>
        <v>1971.9166666666599</v>
      </c>
      <c r="K229">
        <f t="shared" si="45"/>
        <v>-70</v>
      </c>
      <c r="L229">
        <f t="shared" si="46"/>
        <v>-156.65859556875699</v>
      </c>
      <c r="M229" s="5">
        <v>1898.9166666666599</v>
      </c>
      <c r="N229" s="5">
        <v>-30</v>
      </c>
      <c r="O229" s="5">
        <v>-143.533898494444</v>
      </c>
      <c r="Q229">
        <f t="shared" si="51"/>
        <v>3.3986268685375158</v>
      </c>
      <c r="R229">
        <f t="shared" si="47"/>
        <v>30.714121754890101</v>
      </c>
    </row>
    <row r="230" spans="1:18" x14ac:dyDescent="0.25">
      <c r="A230">
        <f t="shared" si="42"/>
        <v>1972</v>
      </c>
      <c r="B230">
        <f t="shared" si="42"/>
        <v>-80</v>
      </c>
      <c r="C230">
        <f t="shared" si="43"/>
        <v>-106.1426643293774</v>
      </c>
      <c r="D230">
        <f t="shared" si="48"/>
        <v>3.5</v>
      </c>
      <c r="E230">
        <f t="shared" si="48"/>
        <v>-9.9268020968537485E-2</v>
      </c>
      <c r="F230">
        <f t="shared" si="49"/>
        <v>-4.333333333333333</v>
      </c>
      <c r="G230">
        <f t="shared" si="50"/>
        <v>-0.63698540957256755</v>
      </c>
      <c r="H230">
        <f t="shared" si="53"/>
        <v>1.7000000000000004</v>
      </c>
      <c r="I230">
        <f t="shared" si="53"/>
        <v>-0.27752043100259849</v>
      </c>
      <c r="J230">
        <f t="shared" si="44"/>
        <v>1972</v>
      </c>
      <c r="K230">
        <f t="shared" si="45"/>
        <v>-80</v>
      </c>
      <c r="L230">
        <f t="shared" si="46"/>
        <v>-163.17265022975201</v>
      </c>
      <c r="M230" s="5">
        <v>1899</v>
      </c>
      <c r="N230" s="5">
        <v>-30</v>
      </c>
      <c r="O230" s="5">
        <v>-134.380103599585</v>
      </c>
      <c r="Q230">
        <f t="shared" si="51"/>
        <v>3.6963479237607655</v>
      </c>
      <c r="R230">
        <f t="shared" si="47"/>
        <v>26.142664329377396</v>
      </c>
    </row>
    <row r="231" spans="1:18" x14ac:dyDescent="0.25">
      <c r="A231">
        <f t="shared" si="42"/>
        <v>1972.0833333333301</v>
      </c>
      <c r="B231">
        <f t="shared" si="42"/>
        <v>-97</v>
      </c>
      <c r="C231">
        <f t="shared" si="43"/>
        <v>-111.37267086192762</v>
      </c>
      <c r="D231">
        <f t="shared" si="48"/>
        <v>-8.5</v>
      </c>
      <c r="E231">
        <f t="shared" si="48"/>
        <v>0.34047734991681011</v>
      </c>
      <c r="F231">
        <f t="shared" si="49"/>
        <v>3.1666666666666665</v>
      </c>
      <c r="G231">
        <f t="shared" si="50"/>
        <v>-0.23008535760419968</v>
      </c>
      <c r="H231">
        <f t="shared" si="53"/>
        <v>0.4333333333333334</v>
      </c>
      <c r="I231">
        <f t="shared" si="53"/>
        <v>-0.58795552606523493</v>
      </c>
      <c r="J231">
        <f t="shared" si="44"/>
        <v>1972.0833333333301</v>
      </c>
      <c r="K231">
        <f t="shared" si="45"/>
        <v>-97</v>
      </c>
      <c r="L231">
        <f t="shared" si="46"/>
        <v>-169.44846882432401</v>
      </c>
      <c r="M231" s="5">
        <v>1899.0833333333301</v>
      </c>
      <c r="N231" s="5">
        <v>-30</v>
      </c>
      <c r="O231" s="5">
        <v>-123.307082206407</v>
      </c>
      <c r="Q231">
        <f t="shared" si="51"/>
        <v>3.3967520242708664</v>
      </c>
      <c r="R231">
        <f t="shared" si="47"/>
        <v>14.372670861927617</v>
      </c>
    </row>
    <row r="232" spans="1:18" x14ac:dyDescent="0.25">
      <c r="A232">
        <f t="shared" si="42"/>
        <v>1972.1666666666599</v>
      </c>
      <c r="B232">
        <f t="shared" si="42"/>
        <v>-97</v>
      </c>
      <c r="C232">
        <f t="shared" si="43"/>
        <v>-117.28363209431146</v>
      </c>
      <c r="D232">
        <f t="shared" si="48"/>
        <v>14.5</v>
      </c>
      <c r="E232">
        <f t="shared" si="48"/>
        <v>-1.1040294199640215</v>
      </c>
      <c r="F232">
        <f t="shared" si="49"/>
        <v>-1.5</v>
      </c>
      <c r="G232">
        <f t="shared" si="50"/>
        <v>-0.39015912830312427</v>
      </c>
      <c r="H232">
        <f t="shared" ref="H232:I247" si="54">+AVERAGE(F230:F234)</f>
        <v>-1.5</v>
      </c>
      <c r="I232">
        <f t="shared" si="54"/>
        <v>-0.9245529513559434</v>
      </c>
      <c r="J232">
        <f t="shared" si="44"/>
        <v>1972.1666666666599</v>
      </c>
      <c r="K232">
        <f t="shared" si="45"/>
        <v>-97</v>
      </c>
      <c r="L232">
        <f t="shared" si="46"/>
        <v>-176.54140841878001</v>
      </c>
      <c r="M232" s="5">
        <v>1899.1666666666599</v>
      </c>
      <c r="N232" s="5">
        <v>-30</v>
      </c>
      <c r="O232" s="5">
        <v>-120.08587230719699</v>
      </c>
      <c r="Q232">
        <f t="shared" si="51"/>
        <v>1.1098408716968757</v>
      </c>
      <c r="R232">
        <f t="shared" si="47"/>
        <v>20.283632094311457</v>
      </c>
    </row>
    <row r="233" spans="1:18" x14ac:dyDescent="0.25">
      <c r="A233">
        <f t="shared" si="42"/>
        <v>1972.25</v>
      </c>
      <c r="B233">
        <f t="shared" si="42"/>
        <v>-126</v>
      </c>
      <c r="C233">
        <f t="shared" si="43"/>
        <v>-120.98653448676725</v>
      </c>
      <c r="D233">
        <f t="shared" si="48"/>
        <v>-10.5</v>
      </c>
      <c r="E233">
        <f t="shared" si="48"/>
        <v>-0.69954466108950442</v>
      </c>
      <c r="F233">
        <f t="shared" si="49"/>
        <v>2</v>
      </c>
      <c r="G233">
        <f t="shared" si="50"/>
        <v>-1.1172541996421008</v>
      </c>
      <c r="H233">
        <f t="shared" si="54"/>
        <v>-1.3666666666666667</v>
      </c>
      <c r="I233">
        <f t="shared" si="54"/>
        <v>-1.5303754831954151</v>
      </c>
      <c r="J233">
        <f t="shared" si="44"/>
        <v>1972.25</v>
      </c>
      <c r="K233">
        <f t="shared" si="45"/>
        <v>-126</v>
      </c>
      <c r="L233">
        <f t="shared" si="46"/>
        <v>-180.98475730253901</v>
      </c>
      <c r="M233" s="5">
        <v>1899.25</v>
      </c>
      <c r="N233" s="5">
        <v>-30</v>
      </c>
      <c r="O233" s="5">
        <v>-123.129538987937</v>
      </c>
      <c r="Q233">
        <f t="shared" si="51"/>
        <v>3.117254199642101</v>
      </c>
      <c r="R233">
        <f t="shared" si="47"/>
        <v>5.0134655132327453</v>
      </c>
    </row>
    <row r="234" spans="1:18" x14ac:dyDescent="0.25">
      <c r="A234">
        <f t="shared" si="42"/>
        <v>1972.3333333333301</v>
      </c>
      <c r="B234">
        <f t="shared" si="42"/>
        <v>-134</v>
      </c>
      <c r="C234">
        <f t="shared" si="43"/>
        <v>-123.29034755704404</v>
      </c>
      <c r="D234">
        <f t="shared" si="48"/>
        <v>2</v>
      </c>
      <c r="E234">
        <f t="shared" si="48"/>
        <v>-2.3861291676043521</v>
      </c>
      <c r="F234">
        <f t="shared" si="49"/>
        <v>-6.833333333333333</v>
      </c>
      <c r="G234">
        <f t="shared" si="50"/>
        <v>-2.2482806616577249</v>
      </c>
      <c r="H234">
        <f t="shared" si="54"/>
        <v>-3.666666666666667</v>
      </c>
      <c r="I234">
        <f t="shared" si="54"/>
        <v>-2.3005982612377878</v>
      </c>
      <c r="J234">
        <f t="shared" si="44"/>
        <v>1972.3333333333301</v>
      </c>
      <c r="K234">
        <f t="shared" si="45"/>
        <v>-134</v>
      </c>
      <c r="L234">
        <f t="shared" si="46"/>
        <v>-183.74924962484801</v>
      </c>
      <c r="M234" s="5">
        <v>1899.3333333333301</v>
      </c>
      <c r="N234" s="5">
        <v>-30</v>
      </c>
      <c r="O234" s="5">
        <v>-132.491676229371</v>
      </c>
      <c r="Q234">
        <f t="shared" si="51"/>
        <v>4.5850526716756086</v>
      </c>
      <c r="R234">
        <f t="shared" si="47"/>
        <v>10.709652442955957</v>
      </c>
    </row>
    <row r="235" spans="1:18" x14ac:dyDescent="0.25">
      <c r="A235">
        <f t="shared" si="42"/>
        <v>1972.4166666666599</v>
      </c>
      <c r="B235">
        <f t="shared" si="42"/>
        <v>-146</v>
      </c>
      <c r="C235">
        <f t="shared" si="43"/>
        <v>-120.82190229211213</v>
      </c>
      <c r="D235">
        <f t="shared" si="48"/>
        <v>-12</v>
      </c>
      <c r="E235">
        <f t="shared" si="48"/>
        <v>-5.3453786525226121</v>
      </c>
      <c r="F235">
        <f t="shared" si="49"/>
        <v>-3.6666666666666665</v>
      </c>
      <c r="G235">
        <f t="shared" si="50"/>
        <v>-3.6660980687699261</v>
      </c>
      <c r="H235">
        <f t="shared" si="54"/>
        <v>-4.8333333333333339</v>
      </c>
      <c r="I235">
        <f t="shared" si="54"/>
        <v>-2.5719759878877047</v>
      </c>
      <c r="J235">
        <f t="shared" si="44"/>
        <v>1972.4166666666599</v>
      </c>
      <c r="K235">
        <f t="shared" si="45"/>
        <v>-146</v>
      </c>
      <c r="L235">
        <f t="shared" si="46"/>
        <v>-180.78720462606501</v>
      </c>
      <c r="M235" s="5">
        <v>1899.4166666666599</v>
      </c>
      <c r="N235" s="5">
        <v>-30</v>
      </c>
      <c r="O235" s="5">
        <v>-137.97768646660299</v>
      </c>
      <c r="Q235">
        <f t="shared" si="51"/>
        <v>5.6859789674046368E-4</v>
      </c>
      <c r="R235">
        <f t="shared" si="47"/>
        <v>25.178097707887872</v>
      </c>
    </row>
    <row r="236" spans="1:18" x14ac:dyDescent="0.25">
      <c r="A236">
        <f t="shared" si="42"/>
        <v>1972.5</v>
      </c>
      <c r="B236">
        <f t="shared" si="42"/>
        <v>-134</v>
      </c>
      <c r="C236">
        <f t="shared" si="43"/>
        <v>-107.66269972213499</v>
      </c>
      <c r="D236">
        <f t="shared" si="48"/>
        <v>-1</v>
      </c>
      <c r="E236">
        <f t="shared" si="48"/>
        <v>-6.0163599377602566</v>
      </c>
      <c r="F236">
        <f t="shared" si="49"/>
        <v>-8.3333333333333339</v>
      </c>
      <c r="G236">
        <f t="shared" si="50"/>
        <v>-4.0811992478160617</v>
      </c>
      <c r="H236">
        <f t="shared" si="54"/>
        <v>-5.0999999999999996</v>
      </c>
      <c r="I236">
        <f t="shared" si="54"/>
        <v>-2.016449116293995</v>
      </c>
      <c r="J236">
        <f t="shared" si="44"/>
        <v>1972.5</v>
      </c>
      <c r="K236">
        <f t="shared" si="45"/>
        <v>-134</v>
      </c>
      <c r="L236">
        <f t="shared" si="46"/>
        <v>-164.99663769953901</v>
      </c>
      <c r="M236" s="5">
        <v>1899.5</v>
      </c>
      <c r="N236" s="5">
        <v>-30</v>
      </c>
      <c r="O236" s="5">
        <v>-131.37859203879901</v>
      </c>
      <c r="Q236">
        <f t="shared" si="51"/>
        <v>4.2521340855172722</v>
      </c>
      <c r="R236">
        <f t="shared" si="47"/>
        <v>26.337300277865012</v>
      </c>
    </row>
    <row r="237" spans="1:18" x14ac:dyDescent="0.25">
      <c r="A237">
        <f t="shared" si="42"/>
        <v>1972.5833333333301</v>
      </c>
      <c r="B237">
        <f t="shared" si="42"/>
        <v>-120</v>
      </c>
      <c r="C237">
        <f t="shared" si="43"/>
        <v>-82.470777276637321</v>
      </c>
      <c r="D237">
        <f t="shared" si="48"/>
        <v>-12</v>
      </c>
      <c r="E237">
        <f t="shared" si="48"/>
        <v>-3.9427585890273633</v>
      </c>
      <c r="F237">
        <f t="shared" si="49"/>
        <v>-7.333333333333333</v>
      </c>
      <c r="G237">
        <f t="shared" si="50"/>
        <v>-1.7470477615527085</v>
      </c>
      <c r="H237">
        <f t="shared" si="54"/>
        <v>-3.4999999999999991</v>
      </c>
      <c r="I237">
        <f t="shared" si="54"/>
        <v>-1.5501224572019998</v>
      </c>
      <c r="J237">
        <f t="shared" si="44"/>
        <v>1972.5833333333301</v>
      </c>
      <c r="K237">
        <f t="shared" si="45"/>
        <v>-120</v>
      </c>
      <c r="L237">
        <f t="shared" si="46"/>
        <v>-134.76724231876901</v>
      </c>
      <c r="M237" s="5">
        <v>1899.5833333333301</v>
      </c>
      <c r="N237" s="5">
        <v>-30</v>
      </c>
      <c r="O237" s="5">
        <v>-117.35309083098301</v>
      </c>
      <c r="Q237">
        <f t="shared" si="51"/>
        <v>5.5862855717806248</v>
      </c>
      <c r="R237">
        <f t="shared" si="47"/>
        <v>37.529222723362679</v>
      </c>
    </row>
    <row r="238" spans="1:18" x14ac:dyDescent="0.25">
      <c r="A238">
        <f t="shared" si="42"/>
        <v>1972.6666666666599</v>
      </c>
      <c r="B238">
        <f t="shared" si="42"/>
        <v>-82</v>
      </c>
      <c r="C238">
        <f t="shared" si="43"/>
        <v>-49.393337653084927</v>
      </c>
      <c r="D238">
        <f t="shared" si="48"/>
        <v>-9</v>
      </c>
      <c r="E238">
        <f t="shared" si="48"/>
        <v>3.4076894209649637</v>
      </c>
      <c r="F238">
        <f t="shared" si="49"/>
        <v>0.66666666666666663</v>
      </c>
      <c r="G238">
        <f t="shared" si="50"/>
        <v>1.660380158326447</v>
      </c>
      <c r="H238">
        <f t="shared" si="54"/>
        <v>-2.1333333333333337</v>
      </c>
      <c r="I238">
        <f t="shared" si="54"/>
        <v>-1.4668061212531183</v>
      </c>
      <c r="J238">
        <f t="shared" si="44"/>
        <v>1972.6666666666599</v>
      </c>
      <c r="K238">
        <f t="shared" si="45"/>
        <v>-82</v>
      </c>
      <c r="L238">
        <f t="shared" si="46"/>
        <v>-95.075511656799705</v>
      </c>
      <c r="M238" s="5">
        <v>1899.6666666666599</v>
      </c>
      <c r="N238" s="5">
        <v>-30</v>
      </c>
      <c r="O238" s="5">
        <v>-102.96448065191601</v>
      </c>
      <c r="Q238">
        <f t="shared" si="51"/>
        <v>0.9937134916597804</v>
      </c>
      <c r="R238">
        <f t="shared" si="47"/>
        <v>32.606662346915073</v>
      </c>
    </row>
    <row r="239" spans="1:18" x14ac:dyDescent="0.25">
      <c r="A239">
        <f t="shared" si="42"/>
        <v>1972.75</v>
      </c>
      <c r="B239">
        <f t="shared" si="42"/>
        <v>-26</v>
      </c>
      <c r="C239">
        <f t="shared" si="43"/>
        <v>-23.131276871462457</v>
      </c>
      <c r="D239">
        <f t="shared" si="48"/>
        <v>23</v>
      </c>
      <c r="E239">
        <f t="shared" si="48"/>
        <v>6.7614947617865759</v>
      </c>
      <c r="F239">
        <f t="shared" si="49"/>
        <v>1.1666666666666667</v>
      </c>
      <c r="G239">
        <f t="shared" si="50"/>
        <v>8.3352633802249929E-2</v>
      </c>
      <c r="H239">
        <f t="shared" si="54"/>
        <v>-0.13333333333333316</v>
      </c>
      <c r="I239">
        <f t="shared" si="54"/>
        <v>-0.82805419746660669</v>
      </c>
      <c r="J239">
        <f t="shared" si="44"/>
        <v>1972.75</v>
      </c>
      <c r="K239">
        <f t="shared" si="45"/>
        <v>-26</v>
      </c>
      <c r="L239">
        <f t="shared" si="46"/>
        <v>-63.561988994960799</v>
      </c>
      <c r="M239" s="5">
        <v>1899.75</v>
      </c>
      <c r="N239" s="5">
        <v>-30</v>
      </c>
      <c r="O239" s="5">
        <v>-98.512359334083499</v>
      </c>
      <c r="Q239">
        <f t="shared" si="51"/>
        <v>1.0833140328644169</v>
      </c>
      <c r="R239">
        <f t="shared" si="47"/>
        <v>2.8687231285375425</v>
      </c>
    </row>
    <row r="240" spans="1:18" x14ac:dyDescent="0.25">
      <c r="A240">
        <f t="shared" si="42"/>
        <v>1972.8333333333301</v>
      </c>
      <c r="B240">
        <f t="shared" si="42"/>
        <v>-16</v>
      </c>
      <c r="C240">
        <f t="shared" si="43"/>
        <v>-10.392205613413136</v>
      </c>
      <c r="D240">
        <f t="shared" si="48"/>
        <v>-10.5</v>
      </c>
      <c r="E240">
        <f t="shared" si="48"/>
        <v>-9.8566118059931025</v>
      </c>
      <c r="F240">
        <f t="shared" si="49"/>
        <v>3.1666666666666665</v>
      </c>
      <c r="G240">
        <f t="shared" si="50"/>
        <v>-3.2495163890255192</v>
      </c>
      <c r="H240">
        <f t="shared" si="54"/>
        <v>2.3666666666666667</v>
      </c>
      <c r="I240">
        <f t="shared" si="54"/>
        <v>0.31917362959396878</v>
      </c>
      <c r="J240">
        <f t="shared" si="44"/>
        <v>1972.8333333333301</v>
      </c>
      <c r="K240">
        <f t="shared" si="45"/>
        <v>-16</v>
      </c>
      <c r="L240">
        <f t="shared" si="46"/>
        <v>-48.275564440561602</v>
      </c>
      <c r="M240" s="5">
        <v>1899.8333333333301</v>
      </c>
      <c r="N240" s="5">
        <v>-30</v>
      </c>
      <c r="O240" s="5">
        <v>-103.511602163164</v>
      </c>
      <c r="Q240">
        <f t="shared" si="51"/>
        <v>6.4161830556921853</v>
      </c>
      <c r="R240">
        <f t="shared" si="47"/>
        <v>5.607794386586864</v>
      </c>
    </row>
    <row r="241" spans="1:18" x14ac:dyDescent="0.25">
      <c r="A241">
        <f t="shared" si="42"/>
        <v>1972.9166666666599</v>
      </c>
      <c r="B241">
        <f t="shared" si="42"/>
        <v>15</v>
      </c>
      <c r="C241">
        <f t="shared" si="43"/>
        <v>22.060089256622391</v>
      </c>
      <c r="D241">
        <f t="shared" si="48"/>
        <v>-3</v>
      </c>
      <c r="E241">
        <f t="shared" si="48"/>
        <v>-9.0905694146391696</v>
      </c>
      <c r="F241">
        <f t="shared" si="49"/>
        <v>1.6666666666666667</v>
      </c>
      <c r="G241">
        <f t="shared" si="50"/>
        <v>-0.88743962888350247</v>
      </c>
      <c r="H241">
        <f t="shared" si="54"/>
        <v>2.5666666666666669</v>
      </c>
      <c r="I241">
        <f t="shared" si="54"/>
        <v>1.4185957070883073</v>
      </c>
      <c r="J241">
        <f t="shared" si="44"/>
        <v>1972.9166666666599</v>
      </c>
      <c r="K241">
        <f t="shared" si="45"/>
        <v>15</v>
      </c>
      <c r="L241">
        <f t="shared" si="46"/>
        <v>-9.3339848623438595</v>
      </c>
      <c r="M241" s="5">
        <v>1899.9166666666599</v>
      </c>
      <c r="N241" s="5">
        <v>-30</v>
      </c>
      <c r="O241" s="5">
        <v>-94.817555237688595</v>
      </c>
      <c r="Q241">
        <f t="shared" si="51"/>
        <v>2.5541062955501692</v>
      </c>
      <c r="R241">
        <f t="shared" si="47"/>
        <v>7.0600892566223905</v>
      </c>
    </row>
    <row r="242" spans="1:18" x14ac:dyDescent="0.25">
      <c r="A242">
        <f t="shared" si="42"/>
        <v>1973</v>
      </c>
      <c r="B242">
        <f t="shared" si="42"/>
        <v>52</v>
      </c>
      <c r="C242">
        <f t="shared" si="43"/>
        <v>72.69352295593626</v>
      </c>
      <c r="D242">
        <f t="shared" si="48"/>
        <v>18.5</v>
      </c>
      <c r="E242">
        <f t="shared" si="48"/>
        <v>15.61928261231914</v>
      </c>
      <c r="F242">
        <f t="shared" si="49"/>
        <v>5.166666666666667</v>
      </c>
      <c r="G242">
        <f t="shared" si="50"/>
        <v>3.9890913737501688</v>
      </c>
      <c r="H242">
        <f t="shared" si="54"/>
        <v>2.333333333333333</v>
      </c>
      <c r="I242">
        <f t="shared" si="54"/>
        <v>2.3347158646810406</v>
      </c>
      <c r="J242">
        <f t="shared" si="44"/>
        <v>1973</v>
      </c>
      <c r="K242">
        <f t="shared" si="45"/>
        <v>52</v>
      </c>
      <c r="L242">
        <f t="shared" si="46"/>
        <v>51.424303437964703</v>
      </c>
      <c r="M242" s="5">
        <v>1900</v>
      </c>
      <c r="N242" s="5">
        <v>-30</v>
      </c>
      <c r="O242" s="5">
        <v>-65.560240161270897</v>
      </c>
      <c r="Q242">
        <f t="shared" si="51"/>
        <v>1.1775752929164982</v>
      </c>
      <c r="R242">
        <f t="shared" si="47"/>
        <v>20.69352295593626</v>
      </c>
    </row>
    <row r="243" spans="1:18" x14ac:dyDescent="0.25">
      <c r="A243">
        <f t="shared" si="42"/>
        <v>1973.0833333333301</v>
      </c>
      <c r="B243">
        <f t="shared" si="42"/>
        <v>52</v>
      </c>
      <c r="C243">
        <f t="shared" si="43"/>
        <v>92.08839143061185</v>
      </c>
      <c r="D243">
        <f t="shared" si="48"/>
        <v>0</v>
      </c>
      <c r="E243">
        <f t="shared" si="48"/>
        <v>8.4303794538831625</v>
      </c>
      <c r="F243">
        <f t="shared" si="49"/>
        <v>1.6666666666666667</v>
      </c>
      <c r="G243">
        <f t="shared" si="50"/>
        <v>7.1574905457981393</v>
      </c>
      <c r="H243">
        <f t="shared" si="54"/>
        <v>4.7666666666666675</v>
      </c>
      <c r="I243">
        <f t="shared" si="54"/>
        <v>4.0958194106992902</v>
      </c>
      <c r="J243">
        <f t="shared" si="44"/>
        <v>1973.0833333333301</v>
      </c>
      <c r="K243">
        <f t="shared" si="45"/>
        <v>52</v>
      </c>
      <c r="L243">
        <f t="shared" si="46"/>
        <v>74.697443816490406</v>
      </c>
      <c r="M243" s="5">
        <v>1900.0833333333301</v>
      </c>
      <c r="N243" s="5">
        <v>-30</v>
      </c>
      <c r="O243" s="5">
        <v>-30.4991631436815</v>
      </c>
      <c r="Q243">
        <f t="shared" si="51"/>
        <v>5.4908238791314723</v>
      </c>
      <c r="R243">
        <f t="shared" si="47"/>
        <v>40.08839143061185</v>
      </c>
    </row>
    <row r="244" spans="1:18" x14ac:dyDescent="0.25">
      <c r="A244">
        <f t="shared" si="42"/>
        <v>1973.1666666666599</v>
      </c>
      <c r="B244">
        <f t="shared" si="42"/>
        <v>52</v>
      </c>
      <c r="C244">
        <f t="shared" si="43"/>
        <v>94.622500997521115</v>
      </c>
      <c r="D244">
        <f t="shared" si="48"/>
        <v>-13.5</v>
      </c>
      <c r="E244">
        <f t="shared" si="48"/>
        <v>2.7909274805407165</v>
      </c>
      <c r="F244">
        <f t="shared" si="49"/>
        <v>0</v>
      </c>
      <c r="G244">
        <f t="shared" si="50"/>
        <v>4.6639534217659167</v>
      </c>
      <c r="H244">
        <f t="shared" si="54"/>
        <v>8.0666666666666664</v>
      </c>
      <c r="I244">
        <f t="shared" si="54"/>
        <v>5.7950553116220807</v>
      </c>
      <c r="J244">
        <f t="shared" si="44"/>
        <v>1973.1666666666599</v>
      </c>
      <c r="K244">
        <f t="shared" si="45"/>
        <v>52</v>
      </c>
      <c r="L244">
        <f t="shared" si="46"/>
        <v>77.7382836016249</v>
      </c>
      <c r="M244" s="5">
        <v>1900.1666666666599</v>
      </c>
      <c r="N244" s="5">
        <v>-30</v>
      </c>
      <c r="O244" s="5">
        <v>14.5999160252656</v>
      </c>
      <c r="Q244">
        <f t="shared" si="51"/>
        <v>4.6639534217659167</v>
      </c>
      <c r="R244">
        <f t="shared" si="47"/>
        <v>42.622500997521115</v>
      </c>
    </row>
    <row r="245" spans="1:18" x14ac:dyDescent="0.25">
      <c r="A245">
        <f t="shared" si="42"/>
        <v>1973.25</v>
      </c>
      <c r="B245">
        <f t="shared" si="42"/>
        <v>79</v>
      </c>
      <c r="C245">
        <f t="shared" si="43"/>
        <v>91.574755603348933</v>
      </c>
      <c r="D245">
        <f t="shared" si="48"/>
        <v>13.5</v>
      </c>
      <c r="E245">
        <f t="shared" si="48"/>
        <v>6.2685183971983065</v>
      </c>
      <c r="F245">
        <f t="shared" si="49"/>
        <v>15.333333333333334</v>
      </c>
      <c r="G245">
        <f t="shared" si="50"/>
        <v>5.556001341065727</v>
      </c>
      <c r="H245">
        <f t="shared" si="54"/>
        <v>7.0333333333333341</v>
      </c>
      <c r="I245">
        <f t="shared" si="54"/>
        <v>5.7068454211525825</v>
      </c>
      <c r="J245">
        <f t="shared" si="44"/>
        <v>1973.25</v>
      </c>
      <c r="K245">
        <f t="shared" si="45"/>
        <v>79</v>
      </c>
      <c r="L245">
        <f t="shared" si="46"/>
        <v>74.081099409363404</v>
      </c>
      <c r="M245" s="5">
        <v>1900.25</v>
      </c>
      <c r="N245" s="5">
        <v>-30</v>
      </c>
      <c r="O245" s="5">
        <v>46.3018425724633</v>
      </c>
      <c r="Q245">
        <f t="shared" si="51"/>
        <v>9.777331992267607</v>
      </c>
      <c r="R245">
        <f t="shared" si="47"/>
        <v>12.574755603348933</v>
      </c>
    </row>
    <row r="246" spans="1:18" x14ac:dyDescent="0.25">
      <c r="A246">
        <f t="shared" si="42"/>
        <v>1973.3333333333301</v>
      </c>
      <c r="B246">
        <f t="shared" si="42"/>
        <v>79</v>
      </c>
      <c r="C246">
        <f t="shared" si="43"/>
        <v>75.989973414780124</v>
      </c>
      <c r="D246">
        <f t="shared" si="48"/>
        <v>46</v>
      </c>
      <c r="E246">
        <f t="shared" si="48"/>
        <v>11.775559151257454</v>
      </c>
      <c r="F246">
        <f t="shared" si="49"/>
        <v>18.166666666666668</v>
      </c>
      <c r="G246">
        <f t="shared" si="50"/>
        <v>7.6087398757304543</v>
      </c>
      <c r="H246">
        <f t="shared" si="54"/>
        <v>3.7666666666666671</v>
      </c>
      <c r="I246">
        <f t="shared" si="54"/>
        <v>3.8315530224093139</v>
      </c>
      <c r="J246">
        <f t="shared" si="44"/>
        <v>1973.3333333333301</v>
      </c>
      <c r="K246">
        <f t="shared" si="45"/>
        <v>79</v>
      </c>
      <c r="L246">
        <f t="shared" si="46"/>
        <v>55.379924708596299</v>
      </c>
      <c r="M246" s="5">
        <v>1900.3333333333301</v>
      </c>
      <c r="N246" s="5">
        <v>-30</v>
      </c>
      <c r="O246" s="5">
        <v>36.739862798257597</v>
      </c>
      <c r="Q246">
        <f t="shared" si="51"/>
        <v>10.557926790936214</v>
      </c>
      <c r="R246">
        <f t="shared" si="47"/>
        <v>3.010026585219876</v>
      </c>
    </row>
    <row r="247" spans="1:18" x14ac:dyDescent="0.25">
      <c r="A247">
        <f t="shared" si="42"/>
        <v>1973.4166666666599</v>
      </c>
      <c r="B247">
        <f t="shared" si="42"/>
        <v>-13</v>
      </c>
      <c r="C247">
        <f t="shared" si="43"/>
        <v>36.854072923696407</v>
      </c>
      <c r="D247">
        <f t="shared" si="48"/>
        <v>-5</v>
      </c>
      <c r="E247">
        <f t="shared" si="48"/>
        <v>10.488696985533444</v>
      </c>
      <c r="F247">
        <f t="shared" si="49"/>
        <v>0</v>
      </c>
      <c r="G247">
        <f t="shared" si="50"/>
        <v>3.5480419214026777</v>
      </c>
      <c r="H247">
        <f t="shared" si="54"/>
        <v>1.2000000000000004</v>
      </c>
      <c r="I247">
        <f t="shared" si="54"/>
        <v>1.6548154978155836</v>
      </c>
      <c r="J247">
        <f t="shared" si="44"/>
        <v>1973.4166666666599</v>
      </c>
      <c r="K247">
        <f t="shared" si="45"/>
        <v>-13</v>
      </c>
      <c r="L247">
        <f t="shared" si="46"/>
        <v>8.4182602271753204</v>
      </c>
      <c r="M247" s="5">
        <v>1900.4166666666599</v>
      </c>
      <c r="N247" s="5">
        <v>-30</v>
      </c>
      <c r="O247" s="5">
        <v>-28.134488158699099</v>
      </c>
      <c r="Q247">
        <f t="shared" si="51"/>
        <v>3.5480419214026777</v>
      </c>
      <c r="R247">
        <f t="shared" si="47"/>
        <v>49.854072923696407</v>
      </c>
    </row>
    <row r="248" spans="1:18" x14ac:dyDescent="0.25">
      <c r="A248">
        <f t="shared" si="42"/>
        <v>1973.5</v>
      </c>
      <c r="B248">
        <f t="shared" si="42"/>
        <v>-95</v>
      </c>
      <c r="C248">
        <f t="shared" si="43"/>
        <v>-23.259221538454195</v>
      </c>
      <c r="D248">
        <f t="shared" si="48"/>
        <v>-41</v>
      </c>
      <c r="E248">
        <f t="shared" si="48"/>
        <v>-8.9590989315308569</v>
      </c>
      <c r="F248">
        <f t="shared" si="49"/>
        <v>-14.666666666666666</v>
      </c>
      <c r="G248">
        <f t="shared" si="50"/>
        <v>-2.218971447918209</v>
      </c>
      <c r="H248">
        <f t="shared" ref="H248:I263" si="55">+AVERAGE(F246:F250)</f>
        <v>-1.533333333333333</v>
      </c>
      <c r="I248">
        <f t="shared" si="55"/>
        <v>-0.3663453633613708</v>
      </c>
      <c r="J248">
        <f t="shared" si="44"/>
        <v>1973.5</v>
      </c>
      <c r="K248">
        <f t="shared" si="45"/>
        <v>-95</v>
      </c>
      <c r="L248">
        <f t="shared" si="46"/>
        <v>-63.715517965753797</v>
      </c>
      <c r="M248" s="5">
        <v>1900.5</v>
      </c>
      <c r="N248" s="5">
        <v>-30</v>
      </c>
      <c r="O248" s="5">
        <v>-93.346444304088607</v>
      </c>
      <c r="Q248">
        <f t="shared" si="51"/>
        <v>12.447695218748457</v>
      </c>
      <c r="R248">
        <f t="shared" si="47"/>
        <v>71.740778461545801</v>
      </c>
    </row>
    <row r="249" spans="1:18" x14ac:dyDescent="0.25">
      <c r="A249">
        <f t="shared" si="42"/>
        <v>1973.5833333333301</v>
      </c>
      <c r="B249">
        <f t="shared" si="42"/>
        <v>-95</v>
      </c>
      <c r="C249">
        <f t="shared" si="43"/>
        <v>-65.454318137543083</v>
      </c>
      <c r="D249">
        <f t="shared" si="48"/>
        <v>2</v>
      </c>
      <c r="E249">
        <f t="shared" si="48"/>
        <v>-9.8507409836958715</v>
      </c>
      <c r="F249">
        <f t="shared" si="49"/>
        <v>-12.833333333333334</v>
      </c>
      <c r="G249">
        <f t="shared" si="50"/>
        <v>-6.2197342012027317</v>
      </c>
      <c r="H249">
        <f t="shared" si="55"/>
        <v>-5.3</v>
      </c>
      <c r="I249">
        <f t="shared" si="55"/>
        <v>-2.5121809424803185</v>
      </c>
      <c r="J249">
        <f t="shared" si="44"/>
        <v>1973.5833333333301</v>
      </c>
      <c r="K249">
        <f t="shared" si="45"/>
        <v>-95</v>
      </c>
      <c r="L249">
        <f t="shared" si="46"/>
        <v>-114.348107081699</v>
      </c>
      <c r="M249" s="5">
        <v>1900.5833333333301</v>
      </c>
      <c r="N249" s="5">
        <v>-30</v>
      </c>
      <c r="O249" s="5">
        <v>-126.53749869646801</v>
      </c>
      <c r="Q249">
        <f t="shared" si="51"/>
        <v>6.6135991321306022</v>
      </c>
      <c r="R249">
        <f t="shared" si="47"/>
        <v>29.545681862456917</v>
      </c>
    </row>
    <row r="250" spans="1:18" x14ac:dyDescent="0.25">
      <c r="A250">
        <f t="shared" si="42"/>
        <v>1973.6666666666599</v>
      </c>
      <c r="B250">
        <f t="shared" si="42"/>
        <v>-99</v>
      </c>
      <c r="C250">
        <f t="shared" si="43"/>
        <v>-87.947932769240225</v>
      </c>
      <c r="D250">
        <f t="shared" si="48"/>
        <v>0.5</v>
      </c>
      <c r="E250">
        <f t="shared" si="48"/>
        <v>-4.5141633392835132</v>
      </c>
      <c r="F250">
        <f t="shared" si="49"/>
        <v>1.6666666666666667</v>
      </c>
      <c r="G250">
        <f t="shared" si="50"/>
        <v>-4.5498029648190448</v>
      </c>
      <c r="H250">
        <f t="shared" si="55"/>
        <v>-5.8666666666666663</v>
      </c>
      <c r="I250">
        <f t="shared" si="55"/>
        <v>-3.7392542871760908</v>
      </c>
      <c r="J250">
        <f t="shared" si="44"/>
        <v>1973.6666666666599</v>
      </c>
      <c r="K250">
        <f t="shared" si="45"/>
        <v>-99</v>
      </c>
      <c r="L250">
        <f t="shared" si="46"/>
        <v>-141.33963072247499</v>
      </c>
      <c r="M250" s="5">
        <v>1900.6666666666599</v>
      </c>
      <c r="N250" s="5">
        <v>-30</v>
      </c>
      <c r="O250" s="5">
        <v>-135.274686096561</v>
      </c>
      <c r="Q250">
        <f t="shared" si="51"/>
        <v>6.2164696314857117</v>
      </c>
      <c r="R250">
        <f t="shared" si="47"/>
        <v>11.052067230759775</v>
      </c>
    </row>
    <row r="251" spans="1:18" x14ac:dyDescent="0.25">
      <c r="A251">
        <f t="shared" si="42"/>
        <v>1973.75</v>
      </c>
      <c r="B251">
        <f t="shared" si="42"/>
        <v>-104</v>
      </c>
      <c r="C251">
        <f t="shared" si="43"/>
        <v>-101.41322072237034</v>
      </c>
      <c r="D251">
        <f t="shared" si="48"/>
        <v>2.5</v>
      </c>
      <c r="E251">
        <f t="shared" si="48"/>
        <v>-2.6968567950920317</v>
      </c>
      <c r="F251">
        <f t="shared" si="49"/>
        <v>-0.66666666666666663</v>
      </c>
      <c r="G251">
        <f t="shared" si="50"/>
        <v>-3.1204380198642867</v>
      </c>
      <c r="H251">
        <f t="shared" si="55"/>
        <v>-3.5333333333333337</v>
      </c>
      <c r="I251">
        <f t="shared" si="55"/>
        <v>-3.5927033030487729</v>
      </c>
      <c r="J251">
        <f t="shared" si="44"/>
        <v>1973.75</v>
      </c>
      <c r="K251">
        <f t="shared" si="45"/>
        <v>-104</v>
      </c>
      <c r="L251">
        <f t="shared" si="46"/>
        <v>-157.49748903327799</v>
      </c>
      <c r="M251" s="5">
        <v>1900.75</v>
      </c>
      <c r="N251" s="5">
        <v>-30</v>
      </c>
      <c r="O251" s="5">
        <v>-140.273962591866</v>
      </c>
      <c r="Q251">
        <f t="shared" si="51"/>
        <v>2.4537713531976202</v>
      </c>
      <c r="R251">
        <f t="shared" si="47"/>
        <v>2.5867792776296596</v>
      </c>
    </row>
    <row r="252" spans="1:18" x14ac:dyDescent="0.25">
      <c r="A252">
        <f t="shared" si="42"/>
        <v>1973.8333333333301</v>
      </c>
      <c r="B252">
        <f t="shared" si="42"/>
        <v>-114</v>
      </c>
      <c r="C252">
        <f t="shared" si="43"/>
        <v>-109.48479508531639</v>
      </c>
      <c r="D252">
        <f t="shared" si="48"/>
        <v>-5</v>
      </c>
      <c r="E252">
        <f t="shared" si="48"/>
        <v>-4.4906224401155299</v>
      </c>
      <c r="F252">
        <f t="shared" si="49"/>
        <v>-2.8333333333333335</v>
      </c>
      <c r="G252">
        <f t="shared" si="50"/>
        <v>-2.5873248020761821</v>
      </c>
      <c r="H252">
        <f t="shared" si="55"/>
        <v>-0.96666666666666679</v>
      </c>
      <c r="I252">
        <f t="shared" si="55"/>
        <v>-2.2856285844588795</v>
      </c>
      <c r="J252">
        <f t="shared" si="44"/>
        <v>1973.8333333333301</v>
      </c>
      <c r="K252">
        <f t="shared" si="45"/>
        <v>-114</v>
      </c>
      <c r="L252">
        <f t="shared" si="46"/>
        <v>-167.183086203985</v>
      </c>
      <c r="M252" s="5">
        <v>1900.8333333333301</v>
      </c>
      <c r="N252" s="5">
        <v>-30</v>
      </c>
      <c r="O252" s="5">
        <v>-150.96625093359401</v>
      </c>
      <c r="Q252">
        <f t="shared" si="51"/>
        <v>0.24600853125715139</v>
      </c>
      <c r="R252">
        <f t="shared" si="47"/>
        <v>4.5152049146836077</v>
      </c>
    </row>
    <row r="253" spans="1:18" x14ac:dyDescent="0.25">
      <c r="A253">
        <f t="shared" si="42"/>
        <v>1973.9166666666599</v>
      </c>
      <c r="B253">
        <f t="shared" si="42"/>
        <v>-114</v>
      </c>
      <c r="C253">
        <f t="shared" si="43"/>
        <v>-108.57512456803138</v>
      </c>
      <c r="D253">
        <f t="shared" si="48"/>
        <v>-6</v>
      </c>
      <c r="E253">
        <f t="shared" si="48"/>
        <v>-2.5149887725781213</v>
      </c>
      <c r="F253">
        <f t="shared" si="49"/>
        <v>-3</v>
      </c>
      <c r="G253">
        <f t="shared" si="50"/>
        <v>-1.4862165272816166</v>
      </c>
      <c r="H253">
        <f t="shared" si="55"/>
        <v>-0.6</v>
      </c>
      <c r="I253">
        <f t="shared" si="55"/>
        <v>-1.0084640252091313</v>
      </c>
      <c r="J253">
        <f t="shared" si="44"/>
        <v>1973.9166666666599</v>
      </c>
      <c r="K253">
        <f t="shared" si="45"/>
        <v>-114</v>
      </c>
      <c r="L253">
        <f t="shared" si="46"/>
        <v>-166.091514499097</v>
      </c>
      <c r="M253" s="5">
        <v>1900.9166666666599</v>
      </c>
      <c r="N253" s="5">
        <v>-30</v>
      </c>
      <c r="O253" s="5">
        <v>-158.32075382555001</v>
      </c>
      <c r="Q253">
        <f t="shared" si="51"/>
        <v>1.5137834727183834</v>
      </c>
      <c r="R253">
        <f t="shared" si="47"/>
        <v>5.4248754319686157</v>
      </c>
    </row>
    <row r="254" spans="1:18" x14ac:dyDescent="0.25">
      <c r="A254">
        <f t="shared" si="42"/>
        <v>1974</v>
      </c>
      <c r="B254">
        <f t="shared" si="42"/>
        <v>-102</v>
      </c>
      <c r="C254">
        <f t="shared" si="43"/>
        <v>-102.63547650559013</v>
      </c>
      <c r="D254">
        <f t="shared" si="48"/>
        <v>2</v>
      </c>
      <c r="E254">
        <f t="shared" si="48"/>
        <v>1.432299235387589</v>
      </c>
      <c r="F254">
        <f t="shared" si="49"/>
        <v>0</v>
      </c>
      <c r="G254">
        <f t="shared" si="50"/>
        <v>0.31563939174673128</v>
      </c>
      <c r="H254">
        <f t="shared" si="55"/>
        <v>0</v>
      </c>
      <c r="I254">
        <f t="shared" si="55"/>
        <v>-1.4376201610114103E-2</v>
      </c>
      <c r="J254">
        <f t="shared" si="44"/>
        <v>1974</v>
      </c>
      <c r="K254">
        <f t="shared" si="45"/>
        <v>-102</v>
      </c>
      <c r="L254">
        <f t="shared" si="46"/>
        <v>-158.96415174658699</v>
      </c>
      <c r="M254" s="5">
        <v>1901</v>
      </c>
      <c r="N254" s="5">
        <v>-30</v>
      </c>
      <c r="O254" s="5">
        <v>-162.84395389693501</v>
      </c>
      <c r="Q254">
        <f t="shared" si="51"/>
        <v>0.31563939174673128</v>
      </c>
      <c r="R254">
        <f t="shared" si="47"/>
        <v>0.63547650559013391</v>
      </c>
    </row>
    <row r="255" spans="1:18" x14ac:dyDescent="0.25">
      <c r="A255">
        <f t="shared" si="42"/>
        <v>1974.0833333333301</v>
      </c>
      <c r="B255">
        <f t="shared" si="42"/>
        <v>-94</v>
      </c>
      <c r="C255">
        <f t="shared" si="43"/>
        <v>-99.560426913924061</v>
      </c>
      <c r="D255">
        <f t="shared" si="48"/>
        <v>4</v>
      </c>
      <c r="E255">
        <f t="shared" si="48"/>
        <v>2.2663372562407744</v>
      </c>
      <c r="F255">
        <f t="shared" si="49"/>
        <v>3.5</v>
      </c>
      <c r="G255">
        <f t="shared" si="50"/>
        <v>1.8360198314296969</v>
      </c>
      <c r="H255">
        <f t="shared" si="55"/>
        <v>0.86666666666666681</v>
      </c>
      <c r="I255">
        <f t="shared" si="55"/>
        <v>0.61406697318890724</v>
      </c>
      <c r="J255">
        <f t="shared" si="44"/>
        <v>1974.0833333333301</v>
      </c>
      <c r="K255">
        <f t="shared" si="45"/>
        <v>-94</v>
      </c>
      <c r="L255">
        <f t="shared" si="46"/>
        <v>-155.27420350531801</v>
      </c>
      <c r="M255" s="5">
        <v>1901.0833333333301</v>
      </c>
      <c r="N255" s="5">
        <v>-30</v>
      </c>
      <c r="O255" s="5">
        <v>-168.845367028684</v>
      </c>
      <c r="Q255">
        <f t="shared" si="51"/>
        <v>1.6639801685703031</v>
      </c>
      <c r="R255">
        <f t="shared" si="47"/>
        <v>5.5604269139240614</v>
      </c>
    </row>
    <row r="256" spans="1:18" x14ac:dyDescent="0.25">
      <c r="A256">
        <f t="shared" si="42"/>
        <v>1974.1666666666599</v>
      </c>
      <c r="B256">
        <f t="shared" si="42"/>
        <v>-94</v>
      </c>
      <c r="C256">
        <f t="shared" si="43"/>
        <v>-101.01805183473954</v>
      </c>
      <c r="D256">
        <f t="shared" si="48"/>
        <v>4.5</v>
      </c>
      <c r="E256">
        <f t="shared" si="48"/>
        <v>3.1864378762330006</v>
      </c>
      <c r="F256">
        <f t="shared" si="49"/>
        <v>2.3333333333333335</v>
      </c>
      <c r="G256">
        <f t="shared" si="50"/>
        <v>1.8500010981307999</v>
      </c>
      <c r="H256">
        <f t="shared" si="55"/>
        <v>1.6</v>
      </c>
      <c r="I256">
        <f t="shared" si="55"/>
        <v>0.62184638808797144</v>
      </c>
      <c r="J256">
        <f t="shared" si="44"/>
        <v>1974.1666666666599</v>
      </c>
      <c r="K256">
        <f t="shared" si="45"/>
        <v>-94</v>
      </c>
      <c r="L256">
        <f t="shared" si="46"/>
        <v>-157.02330066705801</v>
      </c>
      <c r="M256" s="5">
        <v>1901.1666666666599</v>
      </c>
      <c r="N256" s="5">
        <v>-30</v>
      </c>
      <c r="O256" s="5">
        <v>-175.288929967238</v>
      </c>
      <c r="Q256">
        <f t="shared" si="51"/>
        <v>0.48333223520253354</v>
      </c>
      <c r="R256">
        <f t="shared" si="47"/>
        <v>7.0180518347395378</v>
      </c>
    </row>
    <row r="257" spans="1:18" x14ac:dyDescent="0.25">
      <c r="A257">
        <f t="shared" si="42"/>
        <v>1974.25</v>
      </c>
      <c r="B257">
        <f t="shared" si="42"/>
        <v>-103</v>
      </c>
      <c r="C257">
        <f t="shared" si="43"/>
        <v>-108.84855250802102</v>
      </c>
      <c r="D257">
        <f t="shared" si="48"/>
        <v>-1.5</v>
      </c>
      <c r="E257">
        <f t="shared" si="48"/>
        <v>1.4847289855167247</v>
      </c>
      <c r="F257">
        <f t="shared" si="49"/>
        <v>1.5</v>
      </c>
      <c r="G257">
        <f t="shared" si="50"/>
        <v>0.55489107191892417</v>
      </c>
      <c r="H257">
        <f t="shared" si="55"/>
        <v>1.4</v>
      </c>
      <c r="I257">
        <f t="shared" si="55"/>
        <v>-0.11818784296625014</v>
      </c>
      <c r="J257">
        <f t="shared" si="44"/>
        <v>1974.25</v>
      </c>
      <c r="K257">
        <f t="shared" si="45"/>
        <v>-103</v>
      </c>
      <c r="L257">
        <f t="shared" si="46"/>
        <v>-166.41961813326699</v>
      </c>
      <c r="M257" s="5">
        <v>1901.25</v>
      </c>
      <c r="N257" s="5">
        <v>-30</v>
      </c>
      <c r="O257" s="5">
        <v>-183.25901118955599</v>
      </c>
      <c r="Q257">
        <f t="shared" si="51"/>
        <v>0.94510892808107583</v>
      </c>
      <c r="R257">
        <f t="shared" si="47"/>
        <v>5.8485525080210152</v>
      </c>
    </row>
    <row r="258" spans="1:18" x14ac:dyDescent="0.25">
      <c r="A258">
        <f t="shared" si="42"/>
        <v>1974.3333333333301</v>
      </c>
      <c r="B258">
        <f t="shared" si="42"/>
        <v>-109</v>
      </c>
      <c r="C258">
        <f t="shared" si="43"/>
        <v>-119.64851115233594</v>
      </c>
      <c r="D258">
        <f t="shared" si="48"/>
        <v>1.5</v>
      </c>
      <c r="E258">
        <f t="shared" si="48"/>
        <v>-2.5903253420537595</v>
      </c>
      <c r="F258">
        <f t="shared" si="49"/>
        <v>0.66666666666666663</v>
      </c>
      <c r="G258">
        <f t="shared" si="50"/>
        <v>-1.4473194527862954</v>
      </c>
      <c r="H258">
        <f t="shared" si="55"/>
        <v>0.1</v>
      </c>
      <c r="I258">
        <f t="shared" si="55"/>
        <v>-1.3035604539761707</v>
      </c>
      <c r="J258">
        <f t="shared" si="44"/>
        <v>1974.3333333333301</v>
      </c>
      <c r="K258">
        <f t="shared" si="45"/>
        <v>-109</v>
      </c>
      <c r="L258">
        <f t="shared" si="46"/>
        <v>-179.379177716752</v>
      </c>
      <c r="M258" s="5">
        <v>1901.3333333333301</v>
      </c>
      <c r="N258" s="5">
        <v>-30</v>
      </c>
      <c r="O258" s="5">
        <v>-189.796125827362</v>
      </c>
      <c r="Q258">
        <f t="shared" si="51"/>
        <v>2.1139861194529619</v>
      </c>
      <c r="R258">
        <f t="shared" si="47"/>
        <v>10.648511152335942</v>
      </c>
    </row>
    <row r="259" spans="1:18" x14ac:dyDescent="0.25">
      <c r="A259">
        <f t="shared" si="42"/>
        <v>1974.4166666666599</v>
      </c>
      <c r="B259">
        <f t="shared" si="42"/>
        <v>-118</v>
      </c>
      <c r="C259">
        <f t="shared" si="43"/>
        <v>-125.26781911254335</v>
      </c>
      <c r="D259">
        <f t="shared" si="48"/>
        <v>2</v>
      </c>
      <c r="E259">
        <f t="shared" si="48"/>
        <v>-4.3218515914115727</v>
      </c>
      <c r="F259">
        <f t="shared" si="49"/>
        <v>-1</v>
      </c>
      <c r="G259">
        <f t="shared" si="50"/>
        <v>-3.3845317635243761</v>
      </c>
      <c r="H259">
        <f t="shared" si="55"/>
        <v>-1.7666666666666668</v>
      </c>
      <c r="I259">
        <f t="shared" si="55"/>
        <v>-2.0360353163129674</v>
      </c>
      <c r="J259">
        <f t="shared" si="44"/>
        <v>1974.4166666666599</v>
      </c>
      <c r="K259">
        <f t="shared" si="45"/>
        <v>-118</v>
      </c>
      <c r="L259">
        <f t="shared" si="46"/>
        <v>-186.12214393788599</v>
      </c>
      <c r="M259" s="5">
        <v>1901.4166666666599</v>
      </c>
      <c r="N259" s="5">
        <v>-30</v>
      </c>
      <c r="O259" s="5">
        <v>-188.822698197726</v>
      </c>
      <c r="Q259">
        <f t="shared" si="51"/>
        <v>2.3845317635243761</v>
      </c>
      <c r="R259">
        <f t="shared" si="47"/>
        <v>7.26781911254335</v>
      </c>
    </row>
    <row r="260" spans="1:18" x14ac:dyDescent="0.25">
      <c r="A260">
        <f t="shared" ref="A260:C323" si="56">+J260</f>
        <v>1974.5</v>
      </c>
      <c r="B260">
        <f t="shared" si="56"/>
        <v>-131</v>
      </c>
      <c r="C260">
        <f t="shared" ref="C260:C323" si="57">+$B$1*L260+$D$1</f>
        <v>-122.24342388992761</v>
      </c>
      <c r="D260">
        <f t="shared" si="48"/>
        <v>-6.5</v>
      </c>
      <c r="E260">
        <f t="shared" si="48"/>
        <v>-5.7798171797510776</v>
      </c>
      <c r="F260">
        <f t="shared" si="49"/>
        <v>-3</v>
      </c>
      <c r="G260">
        <f t="shared" si="50"/>
        <v>-4.0908432236199053</v>
      </c>
      <c r="H260">
        <f t="shared" si="55"/>
        <v>-3.1</v>
      </c>
      <c r="I260">
        <f t="shared" si="55"/>
        <v>-1.8508880540627941</v>
      </c>
      <c r="J260">
        <f t="shared" ref="J260:J323" si="58">+$M1136</f>
        <v>1974.5</v>
      </c>
      <c r="K260">
        <f t="shared" ref="K260:K323" si="59">+$N1136</f>
        <v>-131</v>
      </c>
      <c r="L260">
        <f t="shared" ref="L260:L323" si="60">+$O1136</f>
        <v>-182.492979106581</v>
      </c>
      <c r="M260" s="5">
        <v>1901.5</v>
      </c>
      <c r="N260" s="5">
        <v>-30</v>
      </c>
      <c r="O260" s="5">
        <v>-177.32440652891199</v>
      </c>
      <c r="Q260">
        <f t="shared" si="51"/>
        <v>1.0908432236199053</v>
      </c>
      <c r="R260">
        <f t="shared" ref="R260:R323" si="61">+ABS(B260-C260)</f>
        <v>8.7565761100723876</v>
      </c>
    </row>
    <row r="261" spans="1:18" x14ac:dyDescent="0.25">
      <c r="A261">
        <f t="shared" si="56"/>
        <v>1974.5833333333301</v>
      </c>
      <c r="B261">
        <f t="shared" si="56"/>
        <v>-131</v>
      </c>
      <c r="C261">
        <f t="shared" si="57"/>
        <v>-107.65939430780972</v>
      </c>
      <c r="D261">
        <f t="shared" ref="D261:E324" si="62">+B261-1/2*(B260+B262)</f>
        <v>-4.5</v>
      </c>
      <c r="E261">
        <f t="shared" si="62"/>
        <v>-5.238993317411996</v>
      </c>
      <c r="F261">
        <f t="shared" si="49"/>
        <v>-7</v>
      </c>
      <c r="G261">
        <f t="shared" si="50"/>
        <v>-1.8123732135531823</v>
      </c>
      <c r="H261">
        <f t="shared" si="55"/>
        <v>-3.7666666666666671</v>
      </c>
      <c r="I261">
        <f t="shared" si="55"/>
        <v>-1.2616220349048155</v>
      </c>
      <c r="J261">
        <f t="shared" si="58"/>
        <v>1974.5833333333301</v>
      </c>
      <c r="K261">
        <f t="shared" si="59"/>
        <v>-131</v>
      </c>
      <c r="L261">
        <f t="shared" si="60"/>
        <v>-164.992671321953</v>
      </c>
      <c r="M261" s="5">
        <v>1901.5833333333301</v>
      </c>
      <c r="N261" s="5">
        <v>-30</v>
      </c>
      <c r="O261" s="5">
        <v>-150.006198264977</v>
      </c>
      <c r="Q261">
        <f t="shared" si="51"/>
        <v>5.1876267864468177</v>
      </c>
      <c r="R261">
        <f t="shared" si="61"/>
        <v>23.34060569219028</v>
      </c>
    </row>
    <row r="262" spans="1:18" x14ac:dyDescent="0.25">
      <c r="A262">
        <f t="shared" si="56"/>
        <v>1974.6666666666599</v>
      </c>
      <c r="B262">
        <f t="shared" si="56"/>
        <v>-122</v>
      </c>
      <c r="C262">
        <f t="shared" si="57"/>
        <v>-82.597378090867835</v>
      </c>
      <c r="D262">
        <f t="shared" si="62"/>
        <v>-10</v>
      </c>
      <c r="E262">
        <f t="shared" si="62"/>
        <v>4.2224109463386412</v>
      </c>
      <c r="F262">
        <f t="shared" ref="F262:F325" si="63">+AVERAGE(D261:D263)</f>
        <v>-5.166666666666667</v>
      </c>
      <c r="G262">
        <f t="shared" ref="G262:G325" si="64">+$H$1*AVERAGE(E261:E263)+$F$1</f>
        <v>1.4806273831697885</v>
      </c>
      <c r="H262">
        <f t="shared" si="55"/>
        <v>-3.5666666666666673</v>
      </c>
      <c r="I262">
        <f t="shared" si="55"/>
        <v>-0.96206529517342809</v>
      </c>
      <c r="J262">
        <f t="shared" si="58"/>
        <v>1974.6666666666599</v>
      </c>
      <c r="K262">
        <f t="shared" si="59"/>
        <v>-122</v>
      </c>
      <c r="L262">
        <f t="shared" si="60"/>
        <v>-134.91915871487501</v>
      </c>
      <c r="M262" s="5">
        <v>1901.6666666666599</v>
      </c>
      <c r="N262" s="5">
        <v>-30</v>
      </c>
      <c r="O262" s="5">
        <v>-104.600808091102</v>
      </c>
      <c r="Q262">
        <f t="shared" ref="Q262:Q325" si="65">+ABS(F262-G262)</f>
        <v>6.6472940498364554</v>
      </c>
      <c r="R262">
        <f t="shared" si="61"/>
        <v>39.402621909132165</v>
      </c>
    </row>
    <row r="263" spans="1:18" x14ac:dyDescent="0.25">
      <c r="A263">
        <f t="shared" si="56"/>
        <v>1974.75</v>
      </c>
      <c r="B263">
        <f t="shared" si="56"/>
        <v>-93</v>
      </c>
      <c r="C263">
        <f t="shared" si="57"/>
        <v>-65.980183766603233</v>
      </c>
      <c r="D263">
        <f t="shared" si="62"/>
        <v>-1</v>
      </c>
      <c r="E263">
        <f t="shared" si="62"/>
        <v>6.5689350579600614</v>
      </c>
      <c r="F263">
        <f t="shared" si="63"/>
        <v>-2.6666666666666665</v>
      </c>
      <c r="G263">
        <f t="shared" si="64"/>
        <v>1.499010643003599</v>
      </c>
      <c r="H263">
        <f t="shared" si="55"/>
        <v>-2.5</v>
      </c>
      <c r="I263">
        <f t="shared" si="55"/>
        <v>-1.0951783171896827</v>
      </c>
      <c r="J263">
        <f t="shared" si="58"/>
        <v>1974.75</v>
      </c>
      <c r="K263">
        <f t="shared" si="59"/>
        <v>-93</v>
      </c>
      <c r="L263">
        <f t="shared" si="60"/>
        <v>-114.97912680845501</v>
      </c>
      <c r="M263" s="5">
        <v>1901.75</v>
      </c>
      <c r="N263" s="5">
        <v>-30</v>
      </c>
      <c r="O263" s="5">
        <v>-66.673029352824599</v>
      </c>
      <c r="Q263">
        <f t="shared" si="65"/>
        <v>4.1656773096702651</v>
      </c>
      <c r="R263">
        <f t="shared" si="61"/>
        <v>27.019816233396767</v>
      </c>
    </row>
    <row r="264" spans="1:18" x14ac:dyDescent="0.25">
      <c r="A264">
        <f t="shared" si="56"/>
        <v>1974.8333333333301</v>
      </c>
      <c r="B264">
        <f t="shared" si="56"/>
        <v>-62</v>
      </c>
      <c r="C264">
        <f t="shared" si="57"/>
        <v>-62.500859558258767</v>
      </c>
      <c r="D264">
        <f t="shared" si="62"/>
        <v>3</v>
      </c>
      <c r="E264">
        <f t="shared" si="62"/>
        <v>-5.1700560930352069</v>
      </c>
      <c r="F264">
        <f t="shared" si="63"/>
        <v>0</v>
      </c>
      <c r="G264">
        <f t="shared" si="64"/>
        <v>-1.88674806486744</v>
      </c>
      <c r="H264">
        <f t="shared" ref="H264:I279" si="66">+AVERAGE(F262:F266)</f>
        <v>-1.4</v>
      </c>
      <c r="I264">
        <f t="shared" si="66"/>
        <v>-1.1424564847981653</v>
      </c>
      <c r="J264">
        <f t="shared" si="58"/>
        <v>1974.8333333333301</v>
      </c>
      <c r="K264">
        <f t="shared" si="59"/>
        <v>-62</v>
      </c>
      <c r="L264">
        <f t="shared" si="60"/>
        <v>-110.80406365559401</v>
      </c>
      <c r="M264" s="5">
        <v>1901.8333333333301</v>
      </c>
      <c r="N264" s="5">
        <v>-30</v>
      </c>
      <c r="O264" s="5">
        <v>-46.474620348452902</v>
      </c>
      <c r="Q264">
        <f t="shared" si="65"/>
        <v>1.88674806486744</v>
      </c>
      <c r="R264">
        <f t="shared" si="61"/>
        <v>0.50085955825876738</v>
      </c>
    </row>
    <row r="265" spans="1:18" x14ac:dyDescent="0.25">
      <c r="A265">
        <f t="shared" si="56"/>
        <v>1974.9166666666599</v>
      </c>
      <c r="B265">
        <f t="shared" si="56"/>
        <v>-37</v>
      </c>
      <c r="C265">
        <f t="shared" si="57"/>
        <v>-48.681423163843888</v>
      </c>
      <c r="D265">
        <f t="shared" si="62"/>
        <v>-2</v>
      </c>
      <c r="E265">
        <f t="shared" si="62"/>
        <v>-8.4741842081777534</v>
      </c>
      <c r="F265">
        <f t="shared" si="63"/>
        <v>2.3333333333333335</v>
      </c>
      <c r="G265">
        <f t="shared" si="64"/>
        <v>-4.7564083337011791</v>
      </c>
      <c r="H265">
        <f t="shared" si="66"/>
        <v>0.6</v>
      </c>
      <c r="I265">
        <f t="shared" si="66"/>
        <v>-0.88336723097637238</v>
      </c>
      <c r="J265">
        <f t="shared" si="58"/>
        <v>1974.9166666666599</v>
      </c>
      <c r="K265">
        <f t="shared" si="59"/>
        <v>-37</v>
      </c>
      <c r="L265">
        <f t="shared" si="60"/>
        <v>-94.221240029887298</v>
      </c>
      <c r="M265" s="5">
        <v>1901.9166666666599</v>
      </c>
      <c r="N265" s="5">
        <v>-30</v>
      </c>
      <c r="O265" s="5">
        <v>-9.7053221793040407</v>
      </c>
      <c r="Q265">
        <f t="shared" si="65"/>
        <v>7.089741667034513</v>
      </c>
      <c r="R265">
        <f t="shared" si="61"/>
        <v>11.681423163843888</v>
      </c>
    </row>
    <row r="266" spans="1:18" x14ac:dyDescent="0.25">
      <c r="A266">
        <f t="shared" si="56"/>
        <v>1975</v>
      </c>
      <c r="B266">
        <f t="shared" si="56"/>
        <v>-8</v>
      </c>
      <c r="C266">
        <f t="shared" si="57"/>
        <v>-17.913618353073506</v>
      </c>
      <c r="D266">
        <f t="shared" si="62"/>
        <v>6</v>
      </c>
      <c r="E266">
        <f t="shared" si="62"/>
        <v>-4.1922909501664574</v>
      </c>
      <c r="F266">
        <f t="shared" si="63"/>
        <v>-1.5</v>
      </c>
      <c r="G266">
        <f t="shared" si="64"/>
        <v>-2.0487640515955952</v>
      </c>
      <c r="H266">
        <f t="shared" si="66"/>
        <v>1.6</v>
      </c>
      <c r="I266">
        <f t="shared" si="66"/>
        <v>-0.50441369607572972</v>
      </c>
      <c r="J266">
        <f t="shared" si="58"/>
        <v>1975</v>
      </c>
      <c r="K266">
        <f t="shared" si="59"/>
        <v>-8</v>
      </c>
      <c r="L266">
        <f t="shared" si="60"/>
        <v>-57.300987570577199</v>
      </c>
      <c r="M266" s="5">
        <v>1902</v>
      </c>
      <c r="N266" s="5">
        <v>-30</v>
      </c>
      <c r="O266" s="5">
        <v>33.560964184188897</v>
      </c>
      <c r="Q266">
        <f t="shared" si="65"/>
        <v>0.54876405159559516</v>
      </c>
      <c r="R266">
        <f t="shared" si="61"/>
        <v>9.913618353073506</v>
      </c>
    </row>
    <row r="267" spans="1:18" x14ac:dyDescent="0.25">
      <c r="A267">
        <f t="shared" si="56"/>
        <v>1975.0833333333301</v>
      </c>
      <c r="B267">
        <f t="shared" si="56"/>
        <v>9</v>
      </c>
      <c r="C267">
        <f t="shared" si="57"/>
        <v>21.238768358029791</v>
      </c>
      <c r="D267">
        <f t="shared" si="62"/>
        <v>-8.5</v>
      </c>
      <c r="E267">
        <f t="shared" si="62"/>
        <v>4.9836099648607295</v>
      </c>
      <c r="F267">
        <f t="shared" si="63"/>
        <v>4.833333333333333</v>
      </c>
      <c r="G267">
        <f t="shared" si="64"/>
        <v>2.7760736522787544</v>
      </c>
      <c r="H267">
        <f t="shared" si="66"/>
        <v>2.6666666666666665</v>
      </c>
      <c r="I267">
        <f t="shared" si="66"/>
        <v>0.13673743429720892</v>
      </c>
      <c r="J267">
        <f t="shared" si="58"/>
        <v>1975.0833333333301</v>
      </c>
      <c r="K267">
        <f t="shared" si="59"/>
        <v>9</v>
      </c>
      <c r="L267">
        <f t="shared" si="60"/>
        <v>-10.319540221676201</v>
      </c>
      <c r="M267" s="5">
        <v>1902.0833333333301</v>
      </c>
      <c r="N267" s="5">
        <v>-30</v>
      </c>
      <c r="O267" s="5">
        <v>56.041365265274898</v>
      </c>
      <c r="Q267">
        <f t="shared" si="65"/>
        <v>2.0572596810545787</v>
      </c>
      <c r="R267">
        <f t="shared" si="61"/>
        <v>12.238768358029791</v>
      </c>
    </row>
    <row r="268" spans="1:18" x14ac:dyDescent="0.25">
      <c r="A268">
        <f t="shared" si="56"/>
        <v>1975.1666666666599</v>
      </c>
      <c r="B268">
        <f t="shared" si="56"/>
        <v>43</v>
      </c>
      <c r="C268">
        <f t="shared" si="57"/>
        <v>50.423935139411626</v>
      </c>
      <c r="D268">
        <f t="shared" si="62"/>
        <v>17</v>
      </c>
      <c r="E268">
        <f t="shared" si="62"/>
        <v>9.6189571813510568</v>
      </c>
      <c r="F268">
        <f t="shared" si="63"/>
        <v>2.3333333333333335</v>
      </c>
      <c r="G268">
        <f t="shared" si="64"/>
        <v>3.3937783175068121</v>
      </c>
      <c r="H268">
        <f t="shared" si="66"/>
        <v>1.8666666666666667</v>
      </c>
      <c r="I268">
        <f t="shared" si="66"/>
        <v>1.0921871288090654</v>
      </c>
      <c r="J268">
        <f t="shared" si="58"/>
        <v>1975.1666666666599</v>
      </c>
      <c r="K268">
        <f t="shared" si="59"/>
        <v>43</v>
      </c>
      <c r="L268">
        <f t="shared" si="60"/>
        <v>24.7016038691267</v>
      </c>
      <c r="M268" s="5">
        <v>1902.1666666666599</v>
      </c>
      <c r="N268" s="5">
        <v>-30</v>
      </c>
      <c r="O268" s="5">
        <v>69.648047634068007</v>
      </c>
      <c r="Q268">
        <f t="shared" si="65"/>
        <v>1.0604449841734787</v>
      </c>
      <c r="R268">
        <f t="shared" si="61"/>
        <v>7.4239351394116255</v>
      </c>
    </row>
    <row r="269" spans="1:18" x14ac:dyDescent="0.25">
      <c r="A269">
        <f t="shared" si="56"/>
        <v>1975.25</v>
      </c>
      <c r="B269">
        <f t="shared" si="56"/>
        <v>43</v>
      </c>
      <c r="C269">
        <f t="shared" si="57"/>
        <v>60.371187558091343</v>
      </c>
      <c r="D269">
        <f t="shared" si="62"/>
        <v>-1.5</v>
      </c>
      <c r="E269">
        <f t="shared" si="62"/>
        <v>-1.8758984555612415</v>
      </c>
      <c r="F269">
        <f t="shared" si="63"/>
        <v>5.333333333333333</v>
      </c>
      <c r="G269">
        <f t="shared" si="64"/>
        <v>1.3190075869972533</v>
      </c>
      <c r="H269">
        <f t="shared" si="66"/>
        <v>2.6</v>
      </c>
      <c r="I269">
        <f t="shared" si="66"/>
        <v>1.8993175434433343</v>
      </c>
      <c r="J269">
        <f t="shared" si="58"/>
        <v>1975.25</v>
      </c>
      <c r="K269">
        <f t="shared" si="59"/>
        <v>43</v>
      </c>
      <c r="L269">
        <f t="shared" si="60"/>
        <v>36.637946836486499</v>
      </c>
      <c r="M269" s="5">
        <v>1902.25</v>
      </c>
      <c r="N269" s="5">
        <v>-30</v>
      </c>
      <c r="O269" s="5">
        <v>79.742430031074804</v>
      </c>
      <c r="Q269">
        <f t="shared" si="65"/>
        <v>4.0143257463360795</v>
      </c>
      <c r="R269">
        <f t="shared" si="61"/>
        <v>17.371187558091343</v>
      </c>
    </row>
    <row r="270" spans="1:18" x14ac:dyDescent="0.25">
      <c r="A270">
        <f t="shared" si="56"/>
        <v>1975.3333333333301</v>
      </c>
      <c r="B270">
        <f t="shared" si="56"/>
        <v>46</v>
      </c>
      <c r="C270">
        <f t="shared" si="57"/>
        <v>74.070236887893543</v>
      </c>
      <c r="D270">
        <f t="shared" si="62"/>
        <v>0.5</v>
      </c>
      <c r="E270">
        <f t="shared" si="62"/>
        <v>-2.796780274550116</v>
      </c>
      <c r="F270">
        <f t="shared" si="63"/>
        <v>-1.6666666666666667</v>
      </c>
      <c r="G270">
        <f t="shared" si="64"/>
        <v>2.0840138858102365E-2</v>
      </c>
      <c r="H270">
        <f t="shared" si="66"/>
        <v>2.5333333333333332</v>
      </c>
      <c r="I270">
        <f t="shared" si="66"/>
        <v>2.4616944639712628</v>
      </c>
      <c r="J270">
        <f t="shared" si="58"/>
        <v>1975.3333333333301</v>
      </c>
      <c r="K270">
        <f t="shared" si="59"/>
        <v>46</v>
      </c>
      <c r="L270">
        <f t="shared" si="60"/>
        <v>53.076310340787998</v>
      </c>
      <c r="M270" s="5">
        <v>1902.3333333333301</v>
      </c>
      <c r="N270" s="5">
        <v>-30</v>
      </c>
      <c r="O270" s="5">
        <v>89.9757382774484</v>
      </c>
      <c r="Q270">
        <f t="shared" si="65"/>
        <v>1.6875068055247691</v>
      </c>
      <c r="R270">
        <f t="shared" si="61"/>
        <v>28.070236887893543</v>
      </c>
    </row>
    <row r="271" spans="1:18" x14ac:dyDescent="0.25">
      <c r="A271">
        <f t="shared" si="56"/>
        <v>1975.4166666666599</v>
      </c>
      <c r="B271">
        <f t="shared" si="56"/>
        <v>48</v>
      </c>
      <c r="C271">
        <f t="shared" si="57"/>
        <v>93.362846766795968</v>
      </c>
      <c r="D271">
        <f t="shared" si="62"/>
        <v>-4</v>
      </c>
      <c r="E271">
        <f t="shared" si="62"/>
        <v>4.7508292508292413</v>
      </c>
      <c r="F271">
        <f t="shared" si="63"/>
        <v>2.1666666666666665</v>
      </c>
      <c r="G271">
        <f t="shared" si="64"/>
        <v>1.9868880215757487</v>
      </c>
      <c r="H271">
        <f t="shared" si="66"/>
        <v>3.5333333333333328</v>
      </c>
      <c r="I271">
        <f t="shared" si="66"/>
        <v>4.1338327296761621</v>
      </c>
      <c r="J271">
        <f t="shared" si="58"/>
        <v>1975.4166666666599</v>
      </c>
      <c r="K271">
        <f t="shared" si="59"/>
        <v>48</v>
      </c>
      <c r="L271">
        <f t="shared" si="60"/>
        <v>76.2267441045487</v>
      </c>
      <c r="M271" s="5">
        <v>1902.4166666666599</v>
      </c>
      <c r="N271" s="5">
        <v>-30</v>
      </c>
      <c r="O271" s="5">
        <v>88.355555704302404</v>
      </c>
      <c r="Q271">
        <f t="shared" si="65"/>
        <v>0.17977864509091779</v>
      </c>
      <c r="R271">
        <f t="shared" si="61"/>
        <v>45.362846766795968</v>
      </c>
    </row>
    <row r="272" spans="1:18" x14ac:dyDescent="0.25">
      <c r="A272">
        <f t="shared" si="56"/>
        <v>1975.5</v>
      </c>
      <c r="B272">
        <f t="shared" si="56"/>
        <v>58</v>
      </c>
      <c r="C272">
        <f t="shared" si="57"/>
        <v>103.15379814403992</v>
      </c>
      <c r="D272">
        <f t="shared" si="62"/>
        <v>10</v>
      </c>
      <c r="E272">
        <f t="shared" si="62"/>
        <v>5.4967811046299317</v>
      </c>
      <c r="F272">
        <f t="shared" si="63"/>
        <v>4.5</v>
      </c>
      <c r="G272">
        <f t="shared" si="64"/>
        <v>5.587958254918397</v>
      </c>
      <c r="H272">
        <f t="shared" si="66"/>
        <v>4.4333333333333327</v>
      </c>
      <c r="I272">
        <f t="shared" si="66"/>
        <v>5.3920378679770788</v>
      </c>
      <c r="J272">
        <f t="shared" si="58"/>
        <v>1975.5</v>
      </c>
      <c r="K272">
        <f t="shared" si="59"/>
        <v>58</v>
      </c>
      <c r="L272">
        <f t="shared" si="60"/>
        <v>87.975531477840207</v>
      </c>
      <c r="M272" s="5">
        <v>1902.5</v>
      </c>
      <c r="N272" s="5">
        <v>-30</v>
      </c>
      <c r="O272" s="5">
        <v>57.154763342420601</v>
      </c>
      <c r="Q272">
        <f t="shared" si="65"/>
        <v>1.087958254918397</v>
      </c>
      <c r="R272">
        <f t="shared" si="61"/>
        <v>45.153798144039925</v>
      </c>
    </row>
    <row r="273" spans="1:18" x14ac:dyDescent="0.25">
      <c r="A273">
        <f t="shared" si="56"/>
        <v>1975.5833333333301</v>
      </c>
      <c r="B273">
        <f t="shared" si="56"/>
        <v>48</v>
      </c>
      <c r="C273">
        <f t="shared" si="57"/>
        <v>101.95118731202403</v>
      </c>
      <c r="D273">
        <f t="shared" si="62"/>
        <v>7.5</v>
      </c>
      <c r="E273">
        <f t="shared" si="62"/>
        <v>10.707233100484814</v>
      </c>
      <c r="F273">
        <f t="shared" si="63"/>
        <v>7.333333333333333</v>
      </c>
      <c r="G273">
        <f t="shared" si="64"/>
        <v>11.754469646031311</v>
      </c>
      <c r="H273">
        <f t="shared" si="66"/>
        <v>3.9333333333333336</v>
      </c>
      <c r="I273">
        <f t="shared" si="66"/>
        <v>5.3686761112651116</v>
      </c>
      <c r="J273">
        <f t="shared" si="58"/>
        <v>1975.5833333333301</v>
      </c>
      <c r="K273">
        <f t="shared" si="59"/>
        <v>48</v>
      </c>
      <c r="L273">
        <f t="shared" si="60"/>
        <v>86.532441995135699</v>
      </c>
      <c r="M273" s="5">
        <v>1902.5833333333301</v>
      </c>
      <c r="N273" s="5">
        <v>-30</v>
      </c>
      <c r="O273" s="5">
        <v>-7.1288241304889297</v>
      </c>
      <c r="Q273">
        <f t="shared" si="65"/>
        <v>4.4211363126979775</v>
      </c>
      <c r="R273">
        <f t="shared" si="61"/>
        <v>53.951187312024032</v>
      </c>
    </row>
    <row r="274" spans="1:18" x14ac:dyDescent="0.25">
      <c r="A274">
        <f t="shared" si="56"/>
        <v>1975.6666666666599</v>
      </c>
      <c r="B274">
        <f t="shared" si="56"/>
        <v>23</v>
      </c>
      <c r="C274">
        <f t="shared" si="57"/>
        <v>79.334110279038512</v>
      </c>
      <c r="D274">
        <f t="shared" si="62"/>
        <v>4.5</v>
      </c>
      <c r="E274">
        <f t="shared" si="62"/>
        <v>27.875246967502662</v>
      </c>
      <c r="F274">
        <f t="shared" si="63"/>
        <v>9.8333333333333339</v>
      </c>
      <c r="G274">
        <f t="shared" si="64"/>
        <v>7.6100332785018354</v>
      </c>
      <c r="H274">
        <f t="shared" si="66"/>
        <v>1.9333333333333329</v>
      </c>
      <c r="I274">
        <f t="shared" si="66"/>
        <v>3.0861061138622721</v>
      </c>
      <c r="J274">
        <f t="shared" si="58"/>
        <v>1975.6666666666599</v>
      </c>
      <c r="K274">
        <f t="shared" si="59"/>
        <v>23</v>
      </c>
      <c r="L274">
        <f t="shared" si="60"/>
        <v>59.392767940222797</v>
      </c>
      <c r="M274" s="5">
        <v>1902.6666666666599</v>
      </c>
      <c r="N274" s="5">
        <v>-30</v>
      </c>
      <c r="O274" s="5">
        <v>-67.061757492010599</v>
      </c>
      <c r="Q274">
        <f t="shared" si="65"/>
        <v>2.2233000548314985</v>
      </c>
      <c r="R274">
        <f t="shared" si="61"/>
        <v>56.334110279038512</v>
      </c>
    </row>
    <row r="275" spans="1:18" x14ac:dyDescent="0.25">
      <c r="A275">
        <f t="shared" si="56"/>
        <v>1975.75</v>
      </c>
      <c r="B275">
        <f t="shared" si="56"/>
        <v>-11</v>
      </c>
      <c r="C275">
        <f t="shared" si="57"/>
        <v>0.96653931104767565</v>
      </c>
      <c r="D275">
        <f t="shared" si="62"/>
        <v>17.5</v>
      </c>
      <c r="E275">
        <f t="shared" si="62"/>
        <v>-10.044855273605592</v>
      </c>
      <c r="F275">
        <f t="shared" si="63"/>
        <v>-4.166666666666667</v>
      </c>
      <c r="G275">
        <f t="shared" si="64"/>
        <v>-9.5968644701732359E-2</v>
      </c>
      <c r="H275">
        <f t="shared" si="66"/>
        <v>-1.4</v>
      </c>
      <c r="I275">
        <f t="shared" si="66"/>
        <v>0.47173312625532199</v>
      </c>
      <c r="J275">
        <f t="shared" si="58"/>
        <v>1975.75</v>
      </c>
      <c r="K275">
        <f t="shared" si="59"/>
        <v>-11</v>
      </c>
      <c r="L275">
        <f t="shared" si="60"/>
        <v>-34.645481540230698</v>
      </c>
      <c r="M275" s="5">
        <v>1902.75</v>
      </c>
      <c r="N275" s="5">
        <v>-30</v>
      </c>
      <c r="O275" s="5">
        <v>-109.835168825301</v>
      </c>
      <c r="Q275">
        <f t="shared" si="65"/>
        <v>4.0706980219649349</v>
      </c>
      <c r="R275">
        <f t="shared" si="61"/>
        <v>11.966539311047676</v>
      </c>
    </row>
    <row r="276" spans="1:18" x14ac:dyDescent="0.25">
      <c r="A276">
        <f t="shared" si="56"/>
        <v>1975.8333333333301</v>
      </c>
      <c r="B276">
        <f t="shared" si="56"/>
        <v>-80</v>
      </c>
      <c r="C276">
        <f t="shared" si="57"/>
        <v>-57.311321109731978</v>
      </c>
      <c r="D276">
        <f t="shared" si="62"/>
        <v>-34.5</v>
      </c>
      <c r="E276">
        <f t="shared" si="62"/>
        <v>-18.190274111528566</v>
      </c>
      <c r="F276">
        <f t="shared" si="63"/>
        <v>-7.833333333333333</v>
      </c>
      <c r="G276">
        <f t="shared" si="64"/>
        <v>-9.4259619654384519</v>
      </c>
      <c r="H276">
        <f t="shared" si="66"/>
        <v>-2.8666666666666663</v>
      </c>
      <c r="I276">
        <f t="shared" si="66"/>
        <v>-2.3386373392935123</v>
      </c>
      <c r="J276">
        <f t="shared" si="58"/>
        <v>1975.8333333333301</v>
      </c>
      <c r="K276">
        <f t="shared" si="59"/>
        <v>-80</v>
      </c>
      <c r="L276">
        <f t="shared" si="60"/>
        <v>-104.576805297538</v>
      </c>
      <c r="M276" s="5">
        <v>1902.8333333333301</v>
      </c>
      <c r="N276" s="5">
        <v>-30</v>
      </c>
      <c r="O276" s="5">
        <v>-131.854138299895</v>
      </c>
      <c r="Q276">
        <f t="shared" si="65"/>
        <v>1.5926286321051188</v>
      </c>
      <c r="R276">
        <f t="shared" si="61"/>
        <v>22.688678890268022</v>
      </c>
    </row>
    <row r="277" spans="1:18" x14ac:dyDescent="0.25">
      <c r="A277">
        <f t="shared" si="56"/>
        <v>1975.9166666666599</v>
      </c>
      <c r="B277">
        <f t="shared" si="56"/>
        <v>-80</v>
      </c>
      <c r="C277">
        <f t="shared" si="57"/>
        <v>-79.208633307454505</v>
      </c>
      <c r="D277">
        <f t="shared" si="62"/>
        <v>-6.5</v>
      </c>
      <c r="E277">
        <f t="shared" si="62"/>
        <v>-7.1122279852600343</v>
      </c>
      <c r="F277">
        <f t="shared" si="63"/>
        <v>-12.166666666666666</v>
      </c>
      <c r="G277">
        <f t="shared" si="64"/>
        <v>-7.4839066831163521</v>
      </c>
      <c r="H277">
        <f t="shared" si="66"/>
        <v>-3.7999999999999994</v>
      </c>
      <c r="I277">
        <f t="shared" si="66"/>
        <v>-3.7283745013541014</v>
      </c>
      <c r="J277">
        <f t="shared" si="58"/>
        <v>1975.9166666666599</v>
      </c>
      <c r="K277">
        <f t="shared" si="59"/>
        <v>-80</v>
      </c>
      <c r="L277">
        <f t="shared" si="60"/>
        <v>-130.85278759437199</v>
      </c>
      <c r="M277" s="5">
        <v>1902.9166666666599</v>
      </c>
      <c r="N277" s="5">
        <v>-30</v>
      </c>
      <c r="O277" s="5">
        <v>-137.336492314943</v>
      </c>
      <c r="Q277">
        <f t="shared" si="65"/>
        <v>4.682759983550314</v>
      </c>
      <c r="R277">
        <f t="shared" si="61"/>
        <v>0.79136669254549474</v>
      </c>
    </row>
    <row r="278" spans="1:18" x14ac:dyDescent="0.25">
      <c r="A278">
        <f t="shared" si="56"/>
        <v>1976</v>
      </c>
      <c r="B278">
        <f t="shared" si="56"/>
        <v>-67</v>
      </c>
      <c r="C278">
        <f t="shared" si="57"/>
        <v>-86.881489534656978</v>
      </c>
      <c r="D278">
        <f t="shared" si="62"/>
        <v>4.5</v>
      </c>
      <c r="E278">
        <f t="shared" si="62"/>
        <v>-2.7621479648977214</v>
      </c>
      <c r="F278">
        <f t="shared" si="63"/>
        <v>0</v>
      </c>
      <c r="G278">
        <f t="shared" si="64"/>
        <v>-2.2973826817128611</v>
      </c>
      <c r="H278">
        <f t="shared" si="66"/>
        <v>-2.1</v>
      </c>
      <c r="I278">
        <f t="shared" si="66"/>
        <v>-3.346940058588904</v>
      </c>
      <c r="J278">
        <f t="shared" si="58"/>
        <v>1976</v>
      </c>
      <c r="K278">
        <f t="shared" si="59"/>
        <v>-67</v>
      </c>
      <c r="L278">
        <f t="shared" si="60"/>
        <v>-140.05993742955101</v>
      </c>
      <c r="M278" s="5">
        <v>1903</v>
      </c>
      <c r="N278" s="5">
        <v>-30</v>
      </c>
      <c r="O278" s="5">
        <v>-137.78945176305299</v>
      </c>
      <c r="Q278">
        <f t="shared" si="65"/>
        <v>2.2973826817128611</v>
      </c>
      <c r="R278">
        <f t="shared" si="61"/>
        <v>19.881489534656978</v>
      </c>
    </row>
    <row r="279" spans="1:18" x14ac:dyDescent="0.25">
      <c r="A279">
        <f t="shared" si="56"/>
        <v>1976.0833333333301</v>
      </c>
      <c r="B279">
        <f t="shared" si="56"/>
        <v>-63</v>
      </c>
      <c r="C279">
        <f t="shared" si="57"/>
        <v>-89.030049832063995</v>
      </c>
      <c r="D279">
        <f t="shared" si="62"/>
        <v>2</v>
      </c>
      <c r="E279">
        <f t="shared" si="62"/>
        <v>1.2591908937345266</v>
      </c>
      <c r="F279">
        <f t="shared" si="63"/>
        <v>5.166666666666667</v>
      </c>
      <c r="G279">
        <f t="shared" si="64"/>
        <v>0.6613474681988919</v>
      </c>
      <c r="H279">
        <f t="shared" si="66"/>
        <v>-0.13333333333333322</v>
      </c>
      <c r="I279">
        <f t="shared" si="66"/>
        <v>-1.2125149799130273</v>
      </c>
      <c r="J279">
        <f t="shared" si="58"/>
        <v>1976.0833333333301</v>
      </c>
      <c r="K279">
        <f t="shared" si="59"/>
        <v>-63</v>
      </c>
      <c r="L279">
        <f t="shared" si="60"/>
        <v>-142.63813204214</v>
      </c>
      <c r="M279" s="5">
        <v>1903.0833333333301</v>
      </c>
      <c r="N279" s="5">
        <v>-30</v>
      </c>
      <c r="O279" s="5">
        <v>-140.43184577993699</v>
      </c>
      <c r="Q279">
        <f t="shared" si="65"/>
        <v>4.5053191984677747</v>
      </c>
      <c r="R279">
        <f t="shared" si="61"/>
        <v>26.030049832063995</v>
      </c>
    </row>
    <row r="280" spans="1:18" x14ac:dyDescent="0.25">
      <c r="A280">
        <f t="shared" si="56"/>
        <v>1976.1666666666599</v>
      </c>
      <c r="B280">
        <f t="shared" si="56"/>
        <v>-63</v>
      </c>
      <c r="C280">
        <f t="shared" si="57"/>
        <v>-93.696991916940078</v>
      </c>
      <c r="D280">
        <f t="shared" si="62"/>
        <v>9</v>
      </c>
      <c r="E280">
        <f t="shared" si="62"/>
        <v>3.9830100769090393</v>
      </c>
      <c r="F280">
        <f t="shared" si="63"/>
        <v>4.333333333333333</v>
      </c>
      <c r="G280">
        <f t="shared" si="64"/>
        <v>1.811203569124257</v>
      </c>
      <c r="H280">
        <f t="shared" ref="H280:I295" si="67">+AVERAGE(F278:F282)</f>
        <v>1.7</v>
      </c>
      <c r="I280">
        <f t="shared" si="67"/>
        <v>0.14449894340395153</v>
      </c>
      <c r="J280">
        <f t="shared" si="58"/>
        <v>1976.1666666666599</v>
      </c>
      <c r="K280">
        <f t="shared" si="59"/>
        <v>-63</v>
      </c>
      <c r="L280">
        <f t="shared" si="60"/>
        <v>-148.23829367363501</v>
      </c>
      <c r="M280" s="5">
        <v>1903.1666666666599</v>
      </c>
      <c r="N280" s="5">
        <v>-30</v>
      </c>
      <c r="O280" s="5">
        <v>-153.873614461405</v>
      </c>
      <c r="Q280">
        <f t="shared" si="65"/>
        <v>2.5221297642090761</v>
      </c>
      <c r="R280">
        <f t="shared" si="61"/>
        <v>30.696991916940078</v>
      </c>
    </row>
    <row r="281" spans="1:18" x14ac:dyDescent="0.25">
      <c r="A281">
        <f t="shared" si="56"/>
        <v>1976.25</v>
      </c>
      <c r="B281">
        <f t="shared" si="56"/>
        <v>-81</v>
      </c>
      <c r="C281">
        <f t="shared" si="57"/>
        <v>-106.32995415563425</v>
      </c>
      <c r="D281">
        <f t="shared" si="62"/>
        <v>2</v>
      </c>
      <c r="E281">
        <f t="shared" si="62"/>
        <v>1.549812413572397</v>
      </c>
      <c r="F281">
        <f t="shared" si="63"/>
        <v>2</v>
      </c>
      <c r="G281">
        <f t="shared" si="64"/>
        <v>1.2461634279409282</v>
      </c>
      <c r="H281">
        <f t="shared" si="67"/>
        <v>0.8</v>
      </c>
      <c r="I281">
        <f t="shared" si="67"/>
        <v>0.10992113833620269</v>
      </c>
      <c r="J281">
        <f t="shared" si="58"/>
        <v>1976.25</v>
      </c>
      <c r="K281">
        <f t="shared" si="59"/>
        <v>-81</v>
      </c>
      <c r="L281">
        <f t="shared" si="60"/>
        <v>-163.39739124429599</v>
      </c>
      <c r="M281" s="5">
        <v>1903.25</v>
      </c>
      <c r="N281" s="5">
        <v>-30</v>
      </c>
      <c r="O281" s="5">
        <v>-176.66101374161701</v>
      </c>
      <c r="Q281">
        <f t="shared" si="65"/>
        <v>0.75383657205907184</v>
      </c>
      <c r="R281">
        <f t="shared" si="61"/>
        <v>25.329954155634255</v>
      </c>
    </row>
    <row r="282" spans="1:18" x14ac:dyDescent="0.25">
      <c r="A282">
        <f t="shared" si="56"/>
        <v>1976.3333333333301</v>
      </c>
      <c r="B282">
        <f t="shared" si="56"/>
        <v>-103</v>
      </c>
      <c r="C282">
        <f t="shared" si="57"/>
        <v>-122.06254122147323</v>
      </c>
      <c r="D282">
        <f t="shared" si="62"/>
        <v>-5</v>
      </c>
      <c r="E282">
        <f t="shared" si="62"/>
        <v>-0.85970963570295567</v>
      </c>
      <c r="F282">
        <f t="shared" si="63"/>
        <v>-3</v>
      </c>
      <c r="G282">
        <f t="shared" si="64"/>
        <v>-0.69883706653145816</v>
      </c>
      <c r="H282">
        <f t="shared" si="67"/>
        <v>-0.86666666666666681</v>
      </c>
      <c r="I282">
        <f t="shared" si="67"/>
        <v>-0.68443558325948073</v>
      </c>
      <c r="J282">
        <f t="shared" si="58"/>
        <v>1976.3333333333301</v>
      </c>
      <c r="K282">
        <f t="shared" si="59"/>
        <v>-103</v>
      </c>
      <c r="L282">
        <f t="shared" si="60"/>
        <v>-182.27592644956101</v>
      </c>
      <c r="M282" s="5">
        <v>1903.3333333333301</v>
      </c>
      <c r="N282" s="5">
        <v>-30</v>
      </c>
      <c r="O282" s="5">
        <v>-197.02406133234999</v>
      </c>
      <c r="Q282">
        <f t="shared" si="65"/>
        <v>2.3011629334685417</v>
      </c>
      <c r="R282">
        <f t="shared" si="61"/>
        <v>19.062541221473225</v>
      </c>
    </row>
    <row r="283" spans="1:18" x14ac:dyDescent="0.25">
      <c r="A283">
        <f t="shared" si="56"/>
        <v>1976.4166666666599</v>
      </c>
      <c r="B283">
        <f t="shared" si="56"/>
        <v>-115</v>
      </c>
      <c r="C283">
        <f t="shared" si="57"/>
        <v>-136.07570901590628</v>
      </c>
      <c r="D283">
        <f t="shared" si="62"/>
        <v>-6</v>
      </c>
      <c r="E283">
        <f t="shared" si="62"/>
        <v>-3.3107417773624093</v>
      </c>
      <c r="F283">
        <f t="shared" si="63"/>
        <v>-4.5</v>
      </c>
      <c r="G283">
        <f t="shared" si="64"/>
        <v>-2.4702717070516051</v>
      </c>
      <c r="H283">
        <f t="shared" si="67"/>
        <v>-2.0333333333333332</v>
      </c>
      <c r="I283">
        <f t="shared" si="67"/>
        <v>-1.5814763613227361</v>
      </c>
      <c r="J283">
        <f t="shared" si="58"/>
        <v>1976.4166666666599</v>
      </c>
      <c r="K283">
        <f t="shared" si="59"/>
        <v>-115</v>
      </c>
      <c r="L283">
        <f t="shared" si="60"/>
        <v>-199.091220745241</v>
      </c>
      <c r="M283" s="5">
        <v>1903.4166666666599</v>
      </c>
      <c r="N283" s="5">
        <v>-30</v>
      </c>
      <c r="O283" s="5">
        <v>-210.76256507161301</v>
      </c>
      <c r="Q283">
        <f t="shared" si="65"/>
        <v>2.0297282929483949</v>
      </c>
      <c r="R283">
        <f t="shared" si="61"/>
        <v>21.075709015906284</v>
      </c>
    </row>
    <row r="284" spans="1:18" x14ac:dyDescent="0.25">
      <c r="A284">
        <f t="shared" si="56"/>
        <v>1976.5</v>
      </c>
      <c r="B284">
        <f t="shared" si="56"/>
        <v>-115</v>
      </c>
      <c r="C284">
        <f t="shared" si="57"/>
        <v>-143.46739325561452</v>
      </c>
      <c r="D284">
        <f t="shared" si="62"/>
        <v>-2.5</v>
      </c>
      <c r="E284">
        <f t="shared" si="62"/>
        <v>-5.0930674883781535</v>
      </c>
      <c r="F284">
        <f t="shared" si="63"/>
        <v>-3.1666666666666665</v>
      </c>
      <c r="G284">
        <f t="shared" si="64"/>
        <v>-3.3104361397795254</v>
      </c>
      <c r="H284">
        <f t="shared" si="67"/>
        <v>-2.333333333333333</v>
      </c>
      <c r="I284">
        <f t="shared" si="67"/>
        <v>-2.1164591285824779</v>
      </c>
      <c r="J284">
        <f t="shared" si="58"/>
        <v>1976.5</v>
      </c>
      <c r="K284">
        <f t="shared" si="59"/>
        <v>-115</v>
      </c>
      <c r="L284">
        <f t="shared" si="60"/>
        <v>-207.960974369458</v>
      </c>
      <c r="M284" s="5">
        <v>1903.5</v>
      </c>
      <c r="N284" s="5">
        <v>-30</v>
      </c>
      <c r="O284" s="5">
        <v>-215.69853124578199</v>
      </c>
      <c r="Q284">
        <f t="shared" si="65"/>
        <v>0.14376947311285893</v>
      </c>
      <c r="R284">
        <f t="shared" si="61"/>
        <v>28.467393255614525</v>
      </c>
    </row>
    <row r="285" spans="1:18" x14ac:dyDescent="0.25">
      <c r="A285">
        <f t="shared" si="56"/>
        <v>1976.5833333333301</v>
      </c>
      <c r="B285">
        <f t="shared" si="56"/>
        <v>-110</v>
      </c>
      <c r="C285">
        <f t="shared" si="57"/>
        <v>-140.67294251856646</v>
      </c>
      <c r="D285">
        <f t="shared" si="62"/>
        <v>-1</v>
      </c>
      <c r="E285">
        <f t="shared" si="62"/>
        <v>-4.0103262584326558</v>
      </c>
      <c r="F285">
        <f t="shared" si="63"/>
        <v>-1.5</v>
      </c>
      <c r="G285">
        <f t="shared" si="64"/>
        <v>-2.6740003211920187</v>
      </c>
      <c r="H285">
        <f t="shared" si="67"/>
        <v>-1.5333333333333332</v>
      </c>
      <c r="I285">
        <f t="shared" si="67"/>
        <v>-2.1877064379871691</v>
      </c>
      <c r="J285">
        <f t="shared" si="58"/>
        <v>1976.5833333333301</v>
      </c>
      <c r="K285">
        <f t="shared" si="59"/>
        <v>-110</v>
      </c>
      <c r="L285">
        <f t="shared" si="60"/>
        <v>-204.60773460043799</v>
      </c>
      <c r="M285" s="5">
        <v>1903.5833333333301</v>
      </c>
      <c r="N285" s="5">
        <v>-30</v>
      </c>
      <c r="O285" s="5">
        <v>-209.92517270195199</v>
      </c>
      <c r="Q285">
        <f t="shared" si="65"/>
        <v>1.1740003211920187</v>
      </c>
      <c r="R285">
        <f t="shared" si="61"/>
        <v>30.672942518566458</v>
      </c>
    </row>
    <row r="286" spans="1:18" x14ac:dyDescent="0.25">
      <c r="A286">
        <f t="shared" si="56"/>
        <v>1976.6666666666599</v>
      </c>
      <c r="B286">
        <f t="shared" si="56"/>
        <v>-103</v>
      </c>
      <c r="C286">
        <f t="shared" si="57"/>
        <v>-129.85783926465308</v>
      </c>
      <c r="D286">
        <f t="shared" si="62"/>
        <v>-1</v>
      </c>
      <c r="E286">
        <f t="shared" si="62"/>
        <v>-0.92410745765926094</v>
      </c>
      <c r="F286">
        <f t="shared" si="63"/>
        <v>0.5</v>
      </c>
      <c r="G286">
        <f t="shared" si="64"/>
        <v>-1.4287504083577802</v>
      </c>
      <c r="H286">
        <f t="shared" si="67"/>
        <v>-0.53333333333333321</v>
      </c>
      <c r="I286">
        <f t="shared" si="67"/>
        <v>-2.1636864214268314</v>
      </c>
      <c r="J286">
        <f t="shared" si="58"/>
        <v>1976.6666666666599</v>
      </c>
      <c r="K286">
        <f t="shared" si="59"/>
        <v>-103</v>
      </c>
      <c r="L286">
        <f t="shared" si="60"/>
        <v>-191.63000203343299</v>
      </c>
      <c r="M286" s="5">
        <v>1903.6666666666599</v>
      </c>
      <c r="N286" s="5">
        <v>-30</v>
      </c>
      <c r="O286" s="5">
        <v>-196.97119960135899</v>
      </c>
      <c r="Q286">
        <f t="shared" si="65"/>
        <v>1.9287504083577802</v>
      </c>
      <c r="R286">
        <f t="shared" si="61"/>
        <v>26.85783926465308</v>
      </c>
    </row>
    <row r="287" spans="1:18" x14ac:dyDescent="0.25">
      <c r="A287">
        <f t="shared" si="56"/>
        <v>1976.75</v>
      </c>
      <c r="B287">
        <f t="shared" si="56"/>
        <v>-94</v>
      </c>
      <c r="C287">
        <f t="shared" si="57"/>
        <v>-117.19452109542121</v>
      </c>
      <c r="D287">
        <f t="shared" si="62"/>
        <v>3.5</v>
      </c>
      <c r="E287">
        <f t="shared" si="62"/>
        <v>-0.42338031524975861</v>
      </c>
      <c r="F287">
        <f t="shared" si="63"/>
        <v>1</v>
      </c>
      <c r="G287">
        <f t="shared" si="64"/>
        <v>-1.055073613554915</v>
      </c>
      <c r="H287">
        <f t="shared" si="67"/>
        <v>-0.33333333333333331</v>
      </c>
      <c r="I287">
        <f t="shared" si="67"/>
        <v>-2.2857636578887801</v>
      </c>
      <c r="J287">
        <f t="shared" si="58"/>
        <v>1976.75</v>
      </c>
      <c r="K287">
        <f t="shared" si="59"/>
        <v>-94</v>
      </c>
      <c r="L287">
        <f t="shared" si="60"/>
        <v>-176.43447844453701</v>
      </c>
      <c r="M287" s="5">
        <v>1903.75</v>
      </c>
      <c r="N287" s="5">
        <v>-30</v>
      </c>
      <c r="O287" s="5">
        <v>-184.00067660252299</v>
      </c>
      <c r="Q287">
        <f t="shared" si="65"/>
        <v>2.055073613554915</v>
      </c>
      <c r="R287">
        <f t="shared" si="61"/>
        <v>23.194521095421209</v>
      </c>
    </row>
    <row r="288" spans="1:18" x14ac:dyDescent="0.25">
      <c r="A288">
        <f t="shared" si="56"/>
        <v>1976.8333333333301</v>
      </c>
      <c r="B288">
        <f t="shared" si="56"/>
        <v>-92</v>
      </c>
      <c r="C288">
        <f t="shared" si="57"/>
        <v>-103.68444229568982</v>
      </c>
      <c r="D288">
        <f t="shared" si="62"/>
        <v>0.5</v>
      </c>
      <c r="E288">
        <f t="shared" si="62"/>
        <v>-2.6090382779219112</v>
      </c>
      <c r="F288">
        <f t="shared" si="63"/>
        <v>0.5</v>
      </c>
      <c r="G288">
        <f t="shared" si="64"/>
        <v>-2.3501716242499167</v>
      </c>
      <c r="H288">
        <f t="shared" si="67"/>
        <v>-3.3333333333333305E-2</v>
      </c>
      <c r="I288">
        <f t="shared" si="67"/>
        <v>-1.8314608850699194</v>
      </c>
      <c r="J288">
        <f t="shared" si="58"/>
        <v>1976.8333333333301</v>
      </c>
      <c r="K288">
        <f t="shared" si="59"/>
        <v>-92</v>
      </c>
      <c r="L288">
        <f t="shared" si="60"/>
        <v>-160.22287273854101</v>
      </c>
      <c r="M288" s="5">
        <v>1903.8333333333301</v>
      </c>
      <c r="N288" s="5">
        <v>-30</v>
      </c>
      <c r="O288" s="5">
        <v>-170.318273001557</v>
      </c>
      <c r="Q288">
        <f t="shared" si="65"/>
        <v>2.8501716242499167</v>
      </c>
      <c r="R288">
        <f t="shared" si="61"/>
        <v>11.68444229568982</v>
      </c>
    </row>
    <row r="289" spans="1:18" x14ac:dyDescent="0.25">
      <c r="A289">
        <f t="shared" si="56"/>
        <v>1976.9166666666599</v>
      </c>
      <c r="B289">
        <f t="shared" si="56"/>
        <v>-91</v>
      </c>
      <c r="C289">
        <f t="shared" si="57"/>
        <v>-84.956286940114623</v>
      </c>
      <c r="D289">
        <f t="shared" si="62"/>
        <v>-2.5</v>
      </c>
      <c r="E289">
        <f t="shared" si="62"/>
        <v>-5.7807249977655175</v>
      </c>
      <c r="F289">
        <f t="shared" si="63"/>
        <v>-2.1666666666666665</v>
      </c>
      <c r="G289">
        <f t="shared" si="64"/>
        <v>-3.9208223220892684</v>
      </c>
      <c r="H289">
        <f t="shared" si="67"/>
        <v>-0.23333333333333331</v>
      </c>
      <c r="I289">
        <f t="shared" si="67"/>
        <v>-0.32055048960195637</v>
      </c>
      <c r="J289">
        <f t="shared" si="58"/>
        <v>1976.9166666666599</v>
      </c>
      <c r="K289">
        <f t="shared" si="59"/>
        <v>-91</v>
      </c>
      <c r="L289">
        <f t="shared" si="60"/>
        <v>-137.749763978342</v>
      </c>
      <c r="M289" s="5">
        <v>1903.9166666666599</v>
      </c>
      <c r="N289" s="5">
        <v>-30</v>
      </c>
      <c r="O289" s="5">
        <v>-149.439570919083</v>
      </c>
      <c r="Q289">
        <f t="shared" si="65"/>
        <v>1.7541556554226019</v>
      </c>
      <c r="R289">
        <f t="shared" si="61"/>
        <v>6.043713059885377</v>
      </c>
    </row>
    <row r="290" spans="1:18" x14ac:dyDescent="0.25">
      <c r="A290">
        <f t="shared" si="56"/>
        <v>1977</v>
      </c>
      <c r="B290">
        <f t="shared" si="56"/>
        <v>-85</v>
      </c>
      <c r="C290">
        <f t="shared" si="57"/>
        <v>-54.666681589008391</v>
      </c>
      <c r="D290">
        <f t="shared" si="62"/>
        <v>-4.5</v>
      </c>
      <c r="E290">
        <f t="shared" si="62"/>
        <v>-6.3133204321473286</v>
      </c>
      <c r="F290">
        <f t="shared" si="63"/>
        <v>0</v>
      </c>
      <c r="G290">
        <f t="shared" si="64"/>
        <v>-0.40248645709771824</v>
      </c>
      <c r="H290">
        <f t="shared" si="67"/>
        <v>6.6666666666666693E-2</v>
      </c>
      <c r="I290">
        <f t="shared" si="67"/>
        <v>1.4780766560981535</v>
      </c>
      <c r="J290">
        <f t="shared" si="58"/>
        <v>1977</v>
      </c>
      <c r="K290">
        <f t="shared" si="59"/>
        <v>-85</v>
      </c>
      <c r="L290">
        <f t="shared" si="60"/>
        <v>-101.403333567283</v>
      </c>
      <c r="M290" s="5">
        <v>1904</v>
      </c>
      <c r="N290" s="5">
        <v>-30</v>
      </c>
      <c r="O290" s="5">
        <v>-114.01453139189</v>
      </c>
      <c r="Q290">
        <f t="shared" si="65"/>
        <v>0.40248645709771824</v>
      </c>
      <c r="R290">
        <f t="shared" si="61"/>
        <v>30.333318410991609</v>
      </c>
    </row>
    <row r="291" spans="1:18" x14ac:dyDescent="0.25">
      <c r="A291">
        <f t="shared" si="56"/>
        <v>1977.0833333333301</v>
      </c>
      <c r="B291">
        <f t="shared" si="56"/>
        <v>-70</v>
      </c>
      <c r="C291">
        <f t="shared" si="57"/>
        <v>-11.750435373607505</v>
      </c>
      <c r="D291">
        <f t="shared" si="62"/>
        <v>7</v>
      </c>
      <c r="E291">
        <f t="shared" si="62"/>
        <v>10.584721215796403</v>
      </c>
      <c r="F291">
        <f t="shared" si="63"/>
        <v>-0.5</v>
      </c>
      <c r="G291">
        <f t="shared" si="64"/>
        <v>6.1258015689820366</v>
      </c>
      <c r="H291">
        <f t="shared" si="67"/>
        <v>-6.6666666666666624E-2</v>
      </c>
      <c r="I291">
        <f t="shared" si="67"/>
        <v>2.5843131097086274</v>
      </c>
      <c r="J291">
        <f t="shared" si="58"/>
        <v>1977.0833333333301</v>
      </c>
      <c r="K291">
        <f t="shared" si="59"/>
        <v>-70</v>
      </c>
      <c r="L291">
        <f t="shared" si="60"/>
        <v>-49.9053910061075</v>
      </c>
      <c r="M291" s="5">
        <v>1904.0833333333301</v>
      </c>
      <c r="N291" s="5">
        <v>-30</v>
      </c>
      <c r="O291" s="5">
        <v>-60.981085635501799</v>
      </c>
      <c r="Q291">
        <f t="shared" si="65"/>
        <v>6.6258015689820366</v>
      </c>
      <c r="R291">
        <f t="shared" si="61"/>
        <v>58.249564626392498</v>
      </c>
    </row>
    <row r="292" spans="1:18" x14ac:dyDescent="0.25">
      <c r="A292">
        <f t="shared" si="56"/>
        <v>1977.1666666666599</v>
      </c>
      <c r="B292">
        <f t="shared" si="56"/>
        <v>-69</v>
      </c>
      <c r="C292">
        <f t="shared" si="57"/>
        <v>9.9963684102005779</v>
      </c>
      <c r="D292">
        <f t="shared" si="62"/>
        <v>-4</v>
      </c>
      <c r="E292">
        <f t="shared" si="62"/>
        <v>18.700355100033562</v>
      </c>
      <c r="F292">
        <f t="shared" si="63"/>
        <v>2.5</v>
      </c>
      <c r="G292">
        <f t="shared" si="64"/>
        <v>7.9380621149456347</v>
      </c>
      <c r="H292">
        <f t="shared" si="67"/>
        <v>-1.1666666666666667</v>
      </c>
      <c r="I292">
        <f t="shared" si="67"/>
        <v>2.1488801074745219</v>
      </c>
      <c r="J292">
        <f t="shared" si="58"/>
        <v>1977.1666666666599</v>
      </c>
      <c r="K292">
        <f t="shared" si="59"/>
        <v>-69</v>
      </c>
      <c r="L292">
        <f t="shared" si="60"/>
        <v>-23.810013359918798</v>
      </c>
      <c r="M292" s="5">
        <v>1904.1666666666599</v>
      </c>
      <c r="N292" s="5">
        <v>-30</v>
      </c>
      <c r="O292" s="5">
        <v>-8.1897723520587995</v>
      </c>
      <c r="Q292">
        <f t="shared" si="65"/>
        <v>5.4380621149456347</v>
      </c>
      <c r="R292">
        <f t="shared" si="61"/>
        <v>78.996368410200574</v>
      </c>
    </row>
    <row r="293" spans="1:18" x14ac:dyDescent="0.25">
      <c r="A293">
        <f t="shared" si="56"/>
        <v>1977.25</v>
      </c>
      <c r="B293">
        <f t="shared" si="56"/>
        <v>-60</v>
      </c>
      <c r="C293">
        <f t="shared" si="57"/>
        <v>-5.6575380060584628</v>
      </c>
      <c r="D293">
        <f t="shared" si="62"/>
        <v>4.5</v>
      </c>
      <c r="E293">
        <f t="shared" si="62"/>
        <v>0.48265661521616465</v>
      </c>
      <c r="F293">
        <f t="shared" si="63"/>
        <v>-0.16666666666666666</v>
      </c>
      <c r="G293">
        <f t="shared" si="64"/>
        <v>3.1810106438024537</v>
      </c>
      <c r="H293">
        <f t="shared" si="67"/>
        <v>-2.9333333333333336</v>
      </c>
      <c r="I293">
        <f t="shared" si="67"/>
        <v>-4.1057702242929039E-2</v>
      </c>
      <c r="J293">
        <f t="shared" si="58"/>
        <v>1977.25</v>
      </c>
      <c r="K293">
        <f t="shared" si="59"/>
        <v>-60</v>
      </c>
      <c r="L293">
        <f t="shared" si="60"/>
        <v>-42.594134632697603</v>
      </c>
      <c r="M293" s="5">
        <v>1904.25</v>
      </c>
      <c r="N293" s="5">
        <v>-30</v>
      </c>
      <c r="O293" s="5">
        <v>42.815411959217698</v>
      </c>
      <c r="Q293">
        <f t="shared" si="65"/>
        <v>3.3476773104691202</v>
      </c>
      <c r="R293">
        <f t="shared" si="61"/>
        <v>54.342461993941541</v>
      </c>
    </row>
    <row r="294" spans="1:18" x14ac:dyDescent="0.25">
      <c r="A294">
        <f t="shared" si="56"/>
        <v>1977.3333333333301</v>
      </c>
      <c r="B294">
        <f t="shared" si="56"/>
        <v>-60</v>
      </c>
      <c r="C294">
        <f t="shared" si="57"/>
        <v>-22.276757652749833</v>
      </c>
      <c r="D294">
        <f t="shared" si="62"/>
        <v>-1</v>
      </c>
      <c r="E294">
        <f t="shared" si="62"/>
        <v>-7.2542218009905248</v>
      </c>
      <c r="F294">
        <f t="shared" si="63"/>
        <v>-7.666666666666667</v>
      </c>
      <c r="G294">
        <f t="shared" si="64"/>
        <v>-6.0979873332597982</v>
      </c>
      <c r="H294">
        <f t="shared" si="67"/>
        <v>-2.7666666666666666</v>
      </c>
      <c r="I294">
        <f t="shared" si="67"/>
        <v>-2.0837154855347051</v>
      </c>
      <c r="J294">
        <f t="shared" si="58"/>
        <v>1977.3333333333301</v>
      </c>
      <c r="K294">
        <f t="shared" si="59"/>
        <v>-60</v>
      </c>
      <c r="L294">
        <f t="shared" si="60"/>
        <v>-62.536596852744701</v>
      </c>
      <c r="M294" s="5">
        <v>1904.3333333333301</v>
      </c>
      <c r="N294" s="5">
        <v>-30</v>
      </c>
      <c r="O294" s="5">
        <v>95.073217138760199</v>
      </c>
      <c r="Q294">
        <f t="shared" si="65"/>
        <v>1.5686793334068687</v>
      </c>
      <c r="R294">
        <f t="shared" si="61"/>
        <v>37.723242347250164</v>
      </c>
    </row>
    <row r="295" spans="1:18" x14ac:dyDescent="0.25">
      <c r="A295">
        <f t="shared" si="56"/>
        <v>1977.4166666666599</v>
      </c>
      <c r="B295">
        <f t="shared" si="56"/>
        <v>-58</v>
      </c>
      <c r="C295">
        <f t="shared" si="57"/>
        <v>-24.387533697460153</v>
      </c>
      <c r="D295">
        <f t="shared" si="62"/>
        <v>-26.5</v>
      </c>
      <c r="E295">
        <f t="shared" si="62"/>
        <v>-16.095887313949881</v>
      </c>
      <c r="F295">
        <f t="shared" si="63"/>
        <v>-8.8333333333333339</v>
      </c>
      <c r="G295">
        <f t="shared" si="64"/>
        <v>-11.35217550568497</v>
      </c>
      <c r="H295">
        <f t="shared" si="67"/>
        <v>-1.3666666666666671</v>
      </c>
      <c r="I295">
        <f t="shared" si="67"/>
        <v>-2.7070822555651728</v>
      </c>
      <c r="J295">
        <f t="shared" si="58"/>
        <v>1977.4166666666599</v>
      </c>
      <c r="K295">
        <f t="shared" si="59"/>
        <v>-58</v>
      </c>
      <c r="L295">
        <f t="shared" si="60"/>
        <v>-65.069451729297</v>
      </c>
      <c r="M295" s="5">
        <v>1904.4166666666599</v>
      </c>
      <c r="N295" s="5">
        <v>-30</v>
      </c>
      <c r="O295" s="5">
        <v>132.14067700645501</v>
      </c>
      <c r="Q295">
        <f t="shared" si="65"/>
        <v>2.5188421723516363</v>
      </c>
      <c r="R295">
        <f t="shared" si="61"/>
        <v>33.612466302539843</v>
      </c>
    </row>
    <row r="296" spans="1:18" x14ac:dyDescent="0.25">
      <c r="A296">
        <f t="shared" si="56"/>
        <v>1977.5</v>
      </c>
      <c r="B296">
        <f t="shared" si="56"/>
        <v>-3</v>
      </c>
      <c r="C296">
        <f t="shared" si="57"/>
        <v>5.6934648857292878</v>
      </c>
      <c r="D296">
        <f t="shared" si="62"/>
        <v>1</v>
      </c>
      <c r="E296">
        <f t="shared" si="62"/>
        <v>-19.22054903137823</v>
      </c>
      <c r="F296">
        <f t="shared" si="63"/>
        <v>0.33333333333333331</v>
      </c>
      <c r="G296">
        <f t="shared" si="64"/>
        <v>-4.0874873474768458</v>
      </c>
      <c r="H296">
        <f t="shared" ref="H296:I311" si="68">+AVERAGE(F294:F298)</f>
        <v>0.43333333333333324</v>
      </c>
      <c r="I296">
        <f t="shared" si="68"/>
        <v>-0.77674821714969267</v>
      </c>
      <c r="J296">
        <f t="shared" si="58"/>
        <v>1977.5</v>
      </c>
      <c r="K296">
        <f t="shared" si="59"/>
        <v>-3</v>
      </c>
      <c r="L296">
        <f t="shared" si="60"/>
        <v>-28.973341891433801</v>
      </c>
      <c r="M296" s="5">
        <v>1904.5</v>
      </c>
      <c r="N296" s="5">
        <v>-30</v>
      </c>
      <c r="O296" s="5">
        <v>154.42102931047</v>
      </c>
      <c r="Q296">
        <f t="shared" si="65"/>
        <v>4.4208206808101789</v>
      </c>
      <c r="R296">
        <f t="shared" si="61"/>
        <v>8.6934648857292878</v>
      </c>
    </row>
    <row r="297" spans="1:18" x14ac:dyDescent="0.25">
      <c r="A297">
        <f t="shared" si="56"/>
        <v>1977.5833333333301</v>
      </c>
      <c r="B297">
        <f t="shared" si="56"/>
        <v>50</v>
      </c>
      <c r="C297">
        <f t="shared" si="57"/>
        <v>74.215561531675192</v>
      </c>
      <c r="D297">
        <f t="shared" si="62"/>
        <v>26.5</v>
      </c>
      <c r="E297">
        <f t="shared" si="62"/>
        <v>19.988358792289944</v>
      </c>
      <c r="F297">
        <f t="shared" si="63"/>
        <v>9.5</v>
      </c>
      <c r="G297">
        <f t="shared" si="64"/>
        <v>4.8212282647932962</v>
      </c>
      <c r="H297">
        <f t="shared" si="68"/>
        <v>1.5</v>
      </c>
      <c r="I297">
        <f t="shared" si="68"/>
        <v>2.2647301408083775</v>
      </c>
      <c r="J297">
        <f t="shared" si="58"/>
        <v>1977.5833333333301</v>
      </c>
      <c r="K297">
        <f t="shared" si="59"/>
        <v>50</v>
      </c>
      <c r="L297">
        <f t="shared" si="60"/>
        <v>53.250694654845397</v>
      </c>
      <c r="M297" s="5">
        <v>1904.5833333333301</v>
      </c>
      <c r="N297" s="5">
        <v>-30</v>
      </c>
      <c r="O297" s="5">
        <v>164.87510694112501</v>
      </c>
      <c r="Q297">
        <f t="shared" si="65"/>
        <v>4.6787717352067038</v>
      </c>
      <c r="R297">
        <f t="shared" si="61"/>
        <v>24.215561531675192</v>
      </c>
    </row>
    <row r="298" spans="1:18" x14ac:dyDescent="0.25">
      <c r="A298">
        <f t="shared" si="56"/>
        <v>1977.6666666666599</v>
      </c>
      <c r="B298">
        <f t="shared" si="56"/>
        <v>50</v>
      </c>
      <c r="C298">
        <f t="shared" si="57"/>
        <v>102.76094059304121</v>
      </c>
      <c r="D298">
        <f t="shared" si="62"/>
        <v>1</v>
      </c>
      <c r="E298">
        <f t="shared" si="62"/>
        <v>17.311796232063145</v>
      </c>
      <c r="F298">
        <f t="shared" si="63"/>
        <v>8.8333333333333339</v>
      </c>
      <c r="G298">
        <f t="shared" si="64"/>
        <v>12.832680835879854</v>
      </c>
      <c r="H298">
        <f t="shared" si="68"/>
        <v>3.2000000000000006</v>
      </c>
      <c r="I298">
        <f t="shared" si="68"/>
        <v>4.9440000726724671</v>
      </c>
      <c r="J298">
        <f t="shared" si="58"/>
        <v>1977.6666666666599</v>
      </c>
      <c r="K298">
        <f t="shared" si="59"/>
        <v>50</v>
      </c>
      <c r="L298">
        <f t="shared" si="60"/>
        <v>87.504116631944498</v>
      </c>
      <c r="M298" s="5">
        <v>1904.6666666666599</v>
      </c>
      <c r="N298" s="5">
        <v>-30</v>
      </c>
      <c r="O298" s="5">
        <v>159.48281687105501</v>
      </c>
      <c r="Q298">
        <f t="shared" si="65"/>
        <v>3.9993475025465202</v>
      </c>
      <c r="R298">
        <f t="shared" si="61"/>
        <v>52.760940593041212</v>
      </c>
    </row>
    <row r="299" spans="1:18" x14ac:dyDescent="0.25">
      <c r="A299">
        <f t="shared" si="56"/>
        <v>1977.75</v>
      </c>
      <c r="B299">
        <f t="shared" si="56"/>
        <v>48</v>
      </c>
      <c r="C299">
        <f t="shared" si="57"/>
        <v>96.682727190280929</v>
      </c>
      <c r="D299">
        <f t="shared" si="62"/>
        <v>-1</v>
      </c>
      <c r="E299">
        <f t="shared" si="62"/>
        <v>10.82239811019636</v>
      </c>
      <c r="F299">
        <f t="shared" si="63"/>
        <v>-2.3333333333333335</v>
      </c>
      <c r="G299">
        <f t="shared" si="64"/>
        <v>9.1094044565305534</v>
      </c>
      <c r="H299">
        <f t="shared" si="68"/>
        <v>4.6000000000000005</v>
      </c>
      <c r="I299">
        <f t="shared" si="68"/>
        <v>5.1087463111170184</v>
      </c>
      <c r="J299">
        <f t="shared" si="58"/>
        <v>1977.75</v>
      </c>
      <c r="K299">
        <f t="shared" si="59"/>
        <v>48</v>
      </c>
      <c r="L299">
        <f t="shared" si="60"/>
        <v>80.210480484951105</v>
      </c>
      <c r="M299" s="5">
        <v>1904.75</v>
      </c>
      <c r="N299" s="5">
        <v>-30</v>
      </c>
      <c r="O299" s="5">
        <v>133.464264869837</v>
      </c>
      <c r="Q299">
        <f t="shared" si="65"/>
        <v>11.442737789863887</v>
      </c>
      <c r="R299">
        <f t="shared" si="61"/>
        <v>48.682727190280929</v>
      </c>
    </row>
    <row r="300" spans="1:18" x14ac:dyDescent="0.25">
      <c r="A300">
        <f t="shared" si="56"/>
        <v>1977.8333333333301</v>
      </c>
      <c r="B300">
        <f t="shared" si="56"/>
        <v>48</v>
      </c>
      <c r="C300">
        <f t="shared" si="57"/>
        <v>68.959717567127925</v>
      </c>
      <c r="D300">
        <f t="shared" si="62"/>
        <v>-7</v>
      </c>
      <c r="E300">
        <f t="shared" si="62"/>
        <v>6.0260723697300662</v>
      </c>
      <c r="F300">
        <f t="shared" si="63"/>
        <v>-0.33333333333333331</v>
      </c>
      <c r="G300">
        <f t="shared" si="64"/>
        <v>2.0441741536354767</v>
      </c>
      <c r="H300">
        <f t="shared" si="68"/>
        <v>4.5</v>
      </c>
      <c r="I300">
        <f t="shared" si="68"/>
        <v>3.2303649323281838</v>
      </c>
      <c r="J300">
        <f t="shared" si="58"/>
        <v>1977.8333333333301</v>
      </c>
      <c r="K300">
        <f t="shared" si="59"/>
        <v>48</v>
      </c>
      <c r="L300">
        <f t="shared" si="60"/>
        <v>46.943872076788097</v>
      </c>
      <c r="M300" s="5">
        <v>1904.8333333333301</v>
      </c>
      <c r="N300" s="5">
        <v>-30</v>
      </c>
      <c r="O300" s="5">
        <v>79.053717486174094</v>
      </c>
      <c r="Q300">
        <f t="shared" si="65"/>
        <v>2.3775074869688102</v>
      </c>
      <c r="R300">
        <f t="shared" si="61"/>
        <v>20.959717567127925</v>
      </c>
    </row>
    <row r="301" spans="1:18" x14ac:dyDescent="0.25">
      <c r="A301">
        <f t="shared" si="56"/>
        <v>1977.9166666666599</v>
      </c>
      <c r="B301">
        <f t="shared" si="56"/>
        <v>62</v>
      </c>
      <c r="C301">
        <f t="shared" si="57"/>
        <v>29.184563204514792</v>
      </c>
      <c r="D301">
        <f t="shared" si="62"/>
        <v>7</v>
      </c>
      <c r="E301">
        <f t="shared" si="62"/>
        <v>-9.1828174037933898</v>
      </c>
      <c r="F301">
        <f t="shared" si="63"/>
        <v>7.333333333333333</v>
      </c>
      <c r="G301">
        <f t="shared" si="64"/>
        <v>-3.2637561552540895</v>
      </c>
      <c r="H301">
        <f t="shared" si="68"/>
        <v>3.1333333333333333</v>
      </c>
      <c r="I301">
        <f t="shared" si="68"/>
        <v>0.24083516908737765</v>
      </c>
      <c r="J301">
        <f t="shared" si="58"/>
        <v>1977.9166666666599</v>
      </c>
      <c r="K301">
        <f t="shared" si="59"/>
        <v>62</v>
      </c>
      <c r="L301">
        <f t="shared" si="60"/>
        <v>-0.78487391946995999</v>
      </c>
      <c r="M301" s="5">
        <v>1904.9166666666599</v>
      </c>
      <c r="N301" s="5">
        <v>-30</v>
      </c>
      <c r="O301" s="5">
        <v>-14.977337039266301</v>
      </c>
      <c r="Q301">
        <f t="shared" si="65"/>
        <v>10.597089488587422</v>
      </c>
      <c r="R301">
        <f t="shared" si="61"/>
        <v>32.815436795485212</v>
      </c>
    </row>
    <row r="302" spans="1:18" x14ac:dyDescent="0.25">
      <c r="A302">
        <f t="shared" si="56"/>
        <v>1978</v>
      </c>
      <c r="B302">
        <f t="shared" si="56"/>
        <v>62</v>
      </c>
      <c r="C302">
        <f t="shared" si="57"/>
        <v>7.7750436494884454</v>
      </c>
      <c r="D302">
        <f t="shared" si="62"/>
        <v>22</v>
      </c>
      <c r="E302">
        <f t="shared" si="62"/>
        <v>-9.0823405481395127</v>
      </c>
      <c r="F302">
        <f t="shared" si="63"/>
        <v>9</v>
      </c>
      <c r="G302">
        <f t="shared" si="64"/>
        <v>-4.5706786291508763</v>
      </c>
      <c r="H302">
        <f t="shared" si="68"/>
        <v>3.8333333333333335</v>
      </c>
      <c r="I302">
        <f t="shared" si="68"/>
        <v>-1.1718167084677211</v>
      </c>
      <c r="J302">
        <f t="shared" si="58"/>
        <v>1978</v>
      </c>
      <c r="K302">
        <f t="shared" si="59"/>
        <v>62</v>
      </c>
      <c r="L302">
        <f t="shared" si="60"/>
        <v>-26.475522695537698</v>
      </c>
      <c r="M302" s="5">
        <v>1905</v>
      </c>
      <c r="N302" s="5">
        <v>-30</v>
      </c>
      <c r="O302" s="5">
        <v>-68.897000130480194</v>
      </c>
      <c r="Q302">
        <f t="shared" si="65"/>
        <v>13.570678629150876</v>
      </c>
      <c r="R302">
        <f t="shared" si="61"/>
        <v>54.224956350511555</v>
      </c>
    </row>
    <row r="303" spans="1:18" x14ac:dyDescent="0.25">
      <c r="A303">
        <f t="shared" si="56"/>
        <v>1978.0833333333301</v>
      </c>
      <c r="B303">
        <f t="shared" si="56"/>
        <v>18</v>
      </c>
      <c r="C303">
        <f t="shared" si="57"/>
        <v>4.5302051907411283</v>
      </c>
      <c r="D303">
        <f t="shared" si="62"/>
        <v>-2</v>
      </c>
      <c r="E303">
        <f t="shared" si="62"/>
        <v>1.1251130926171165</v>
      </c>
      <c r="F303">
        <f t="shared" si="63"/>
        <v>2</v>
      </c>
      <c r="G303">
        <f t="shared" si="64"/>
        <v>-2.1149679803241752</v>
      </c>
      <c r="H303">
        <f t="shared" si="68"/>
        <v>2.7666666666666666</v>
      </c>
      <c r="I303">
        <f t="shared" si="68"/>
        <v>-0.66263457197905118</v>
      </c>
      <c r="J303">
        <f t="shared" si="58"/>
        <v>1978.0833333333301</v>
      </c>
      <c r="K303">
        <f t="shared" si="59"/>
        <v>18</v>
      </c>
      <c r="L303">
        <f t="shared" si="60"/>
        <v>-30.369211433601102</v>
      </c>
      <c r="M303" s="5">
        <v>1905.0833333333301</v>
      </c>
      <c r="N303" s="5">
        <v>-30</v>
      </c>
      <c r="O303" s="5">
        <v>-89.703326595400796</v>
      </c>
      <c r="Q303">
        <f t="shared" si="65"/>
        <v>4.1149679803241757</v>
      </c>
      <c r="R303">
        <f t="shared" si="61"/>
        <v>13.469794809258872</v>
      </c>
    </row>
    <row r="304" spans="1:18" x14ac:dyDescent="0.25">
      <c r="A304">
        <f t="shared" si="56"/>
        <v>1978.1666666666599</v>
      </c>
      <c r="B304">
        <f t="shared" si="56"/>
        <v>-22</v>
      </c>
      <c r="C304">
        <f t="shared" si="57"/>
        <v>-0.96485945324042177</v>
      </c>
      <c r="D304">
        <f t="shared" si="62"/>
        <v>-14</v>
      </c>
      <c r="E304">
        <f t="shared" si="62"/>
        <v>2.6097529306740697E-2</v>
      </c>
      <c r="F304">
        <f t="shared" si="63"/>
        <v>1.1666666666666667</v>
      </c>
      <c r="G304">
        <f t="shared" si="64"/>
        <v>2.0461450687550582</v>
      </c>
      <c r="H304">
        <f t="shared" si="68"/>
        <v>0.8999999999999998</v>
      </c>
      <c r="I304">
        <f t="shared" si="68"/>
        <v>0.67832528594898556</v>
      </c>
      <c r="J304">
        <f t="shared" si="58"/>
        <v>1978.1666666666599</v>
      </c>
      <c r="K304">
        <f t="shared" si="59"/>
        <v>-22</v>
      </c>
      <c r="L304">
        <f t="shared" si="60"/>
        <v>-36.963090170930101</v>
      </c>
      <c r="M304" s="5">
        <v>1905.1666666666599</v>
      </c>
      <c r="N304" s="5">
        <v>-30</v>
      </c>
      <c r="O304" s="5">
        <v>-112.17016683007</v>
      </c>
      <c r="Q304">
        <f t="shared" si="65"/>
        <v>0.87947840208839145</v>
      </c>
      <c r="R304">
        <f t="shared" si="61"/>
        <v>21.035140546759578</v>
      </c>
    </row>
    <row r="305" spans="1:18" x14ac:dyDescent="0.25">
      <c r="A305">
        <f t="shared" si="56"/>
        <v>1978.25</v>
      </c>
      <c r="B305">
        <f t="shared" si="56"/>
        <v>-34</v>
      </c>
      <c r="C305">
        <f t="shared" si="57"/>
        <v>-6.5121191558354532</v>
      </c>
      <c r="D305">
        <f t="shared" si="62"/>
        <v>19.5</v>
      </c>
      <c r="E305">
        <f t="shared" si="62"/>
        <v>6.5218333859076107</v>
      </c>
      <c r="F305">
        <f t="shared" si="63"/>
        <v>-5.666666666666667</v>
      </c>
      <c r="G305">
        <f t="shared" si="64"/>
        <v>4.5900848360788276</v>
      </c>
      <c r="H305">
        <f t="shared" si="68"/>
        <v>-2.4</v>
      </c>
      <c r="I305">
        <f t="shared" si="68"/>
        <v>1.5092361677416206</v>
      </c>
      <c r="J305">
        <f t="shared" si="58"/>
        <v>1978.25</v>
      </c>
      <c r="K305">
        <f t="shared" si="59"/>
        <v>-34</v>
      </c>
      <c r="L305">
        <f t="shared" si="60"/>
        <v>-43.619601089950002</v>
      </c>
      <c r="M305" s="5">
        <v>1905.25</v>
      </c>
      <c r="N305" s="5">
        <v>-30</v>
      </c>
      <c r="O305" s="5">
        <v>-138.19015013349599</v>
      </c>
      <c r="Q305">
        <f t="shared" si="65"/>
        <v>10.256751502745495</v>
      </c>
      <c r="R305">
        <f t="shared" si="61"/>
        <v>27.487880844164547</v>
      </c>
    </row>
    <row r="306" spans="1:18" x14ac:dyDescent="0.25">
      <c r="A306">
        <f t="shared" si="56"/>
        <v>1978.3333333333301</v>
      </c>
      <c r="B306">
        <f t="shared" si="56"/>
        <v>-85</v>
      </c>
      <c r="C306">
        <f t="shared" si="57"/>
        <v>-25.103045630245706</v>
      </c>
      <c r="D306">
        <f t="shared" si="62"/>
        <v>-22.5</v>
      </c>
      <c r="E306">
        <f t="shared" si="62"/>
        <v>10.664887220081251</v>
      </c>
      <c r="F306">
        <f t="shared" si="63"/>
        <v>-2</v>
      </c>
      <c r="G306">
        <f t="shared" si="64"/>
        <v>3.4410431343860943</v>
      </c>
      <c r="H306">
        <f t="shared" si="68"/>
        <v>-3</v>
      </c>
      <c r="I306">
        <f t="shared" si="68"/>
        <v>1.0774839509361729</v>
      </c>
      <c r="J306">
        <f t="shared" si="58"/>
        <v>1978.3333333333301</v>
      </c>
      <c r="K306">
        <f t="shared" si="59"/>
        <v>-85</v>
      </c>
      <c r="L306">
        <f t="shared" si="60"/>
        <v>-65.928040158291594</v>
      </c>
      <c r="M306" s="5">
        <v>1905.3333333333301</v>
      </c>
      <c r="N306" s="5">
        <v>-30</v>
      </c>
      <c r="O306" s="5">
        <v>-167.876336563525</v>
      </c>
      <c r="Q306">
        <f t="shared" si="65"/>
        <v>5.4410431343860939</v>
      </c>
      <c r="R306">
        <f t="shared" si="61"/>
        <v>59.896954369754297</v>
      </c>
    </row>
    <row r="307" spans="1:18" x14ac:dyDescent="0.25">
      <c r="A307">
        <f t="shared" si="56"/>
        <v>1978.4166666666599</v>
      </c>
      <c r="B307">
        <f t="shared" si="56"/>
        <v>-91</v>
      </c>
      <c r="C307">
        <f t="shared" si="57"/>
        <v>-65.023746544818465</v>
      </c>
      <c r="D307">
        <f t="shared" si="62"/>
        <v>-3</v>
      </c>
      <c r="E307">
        <f t="shared" si="62"/>
        <v>-4.2828088520410077</v>
      </c>
      <c r="F307">
        <f t="shared" si="63"/>
        <v>-7.5</v>
      </c>
      <c r="G307">
        <f t="shared" si="64"/>
        <v>-0.41612422018770207</v>
      </c>
      <c r="H307">
        <f t="shared" si="68"/>
        <v>-3.2</v>
      </c>
      <c r="I307">
        <f t="shared" si="68"/>
        <v>-3.4505661590082504E-2</v>
      </c>
      <c r="J307">
        <f t="shared" si="58"/>
        <v>1978.4166666666599</v>
      </c>
      <c r="K307">
        <f t="shared" si="59"/>
        <v>-91</v>
      </c>
      <c r="L307">
        <f t="shared" si="60"/>
        <v>-113.83143675039101</v>
      </c>
      <c r="M307" s="5">
        <v>1905.4166666666599</v>
      </c>
      <c r="N307" s="5">
        <v>-30</v>
      </c>
      <c r="O307" s="5">
        <v>-195.728564836738</v>
      </c>
      <c r="Q307">
        <f t="shared" si="65"/>
        <v>7.0838757798122982</v>
      </c>
      <c r="R307">
        <f t="shared" si="61"/>
        <v>25.976253455181535</v>
      </c>
    </row>
    <row r="308" spans="1:18" x14ac:dyDescent="0.25">
      <c r="A308">
        <f t="shared" si="56"/>
        <v>1978.5</v>
      </c>
      <c r="B308">
        <f t="shared" si="56"/>
        <v>-91</v>
      </c>
      <c r="C308">
        <f t="shared" si="57"/>
        <v>-96.378829755309212</v>
      </c>
      <c r="D308">
        <f t="shared" si="62"/>
        <v>3</v>
      </c>
      <c r="E308">
        <f t="shared" si="62"/>
        <v>-7.9425441937441263</v>
      </c>
      <c r="F308">
        <f t="shared" si="63"/>
        <v>-1</v>
      </c>
      <c r="G308">
        <f t="shared" si="64"/>
        <v>-4.2737290643514125</v>
      </c>
      <c r="H308">
        <f t="shared" si="68"/>
        <v>-2.2333333333333334</v>
      </c>
      <c r="I308">
        <f t="shared" si="68"/>
        <v>-1.24957042963484</v>
      </c>
      <c r="J308">
        <f t="shared" si="58"/>
        <v>1978.5</v>
      </c>
      <c r="K308">
        <f t="shared" si="59"/>
        <v>-91</v>
      </c>
      <c r="L308">
        <f t="shared" si="60"/>
        <v>-151.456402039067</v>
      </c>
      <c r="M308" s="5">
        <v>1905.5</v>
      </c>
      <c r="N308" s="5">
        <v>-30</v>
      </c>
      <c r="O308" s="5">
        <v>-211.664224707101</v>
      </c>
      <c r="Q308">
        <f t="shared" si="65"/>
        <v>3.2737290643514125</v>
      </c>
      <c r="R308">
        <f t="shared" si="61"/>
        <v>5.3788297553092121</v>
      </c>
    </row>
    <row r="309" spans="1:18" x14ac:dyDescent="0.25">
      <c r="A309">
        <f t="shared" si="56"/>
        <v>1978.5833333333301</v>
      </c>
      <c r="B309">
        <f t="shared" si="56"/>
        <v>-97</v>
      </c>
      <c r="C309">
        <f t="shared" si="57"/>
        <v>-111.84882457831171</v>
      </c>
      <c r="D309">
        <f t="shared" si="62"/>
        <v>-3</v>
      </c>
      <c r="E309">
        <f t="shared" si="62"/>
        <v>-3.8011309455326625</v>
      </c>
      <c r="F309">
        <f t="shared" si="63"/>
        <v>0.16666666666666666</v>
      </c>
      <c r="G309">
        <f t="shared" si="64"/>
        <v>-3.5138029938762205</v>
      </c>
      <c r="H309">
        <f t="shared" si="68"/>
        <v>-1.8333333333333335</v>
      </c>
      <c r="I309">
        <f t="shared" si="68"/>
        <v>-2.082357939011577</v>
      </c>
      <c r="J309">
        <f t="shared" si="58"/>
        <v>1978.5833333333301</v>
      </c>
      <c r="K309">
        <f t="shared" si="59"/>
        <v>-97</v>
      </c>
      <c r="L309">
        <f t="shared" si="60"/>
        <v>-170.01983605466299</v>
      </c>
      <c r="M309" s="5">
        <v>1905.5833333333301</v>
      </c>
      <c r="N309" s="5">
        <v>-30</v>
      </c>
      <c r="O309" s="5">
        <v>-216.50580587875399</v>
      </c>
      <c r="Q309">
        <f t="shared" si="65"/>
        <v>3.680469660542887</v>
      </c>
      <c r="R309">
        <f t="shared" si="61"/>
        <v>14.848824578311707</v>
      </c>
    </row>
    <row r="310" spans="1:18" x14ac:dyDescent="0.25">
      <c r="A310">
        <f t="shared" si="56"/>
        <v>1978.6666666666599</v>
      </c>
      <c r="B310">
        <f t="shared" si="56"/>
        <v>-97</v>
      </c>
      <c r="C310">
        <f t="shared" si="57"/>
        <v>-119.71655751024889</v>
      </c>
      <c r="D310">
        <f t="shared" si="62"/>
        <v>0.5</v>
      </c>
      <c r="E310">
        <f t="shared" si="62"/>
        <v>-1.4330860877590368</v>
      </c>
      <c r="F310">
        <f t="shared" si="63"/>
        <v>-0.83333333333333337</v>
      </c>
      <c r="G310">
        <f t="shared" si="64"/>
        <v>-1.485239004144959</v>
      </c>
      <c r="H310">
        <f t="shared" si="68"/>
        <v>-0.4</v>
      </c>
      <c r="I310">
        <f t="shared" si="68"/>
        <v>-2.21602171549016</v>
      </c>
      <c r="J310">
        <f t="shared" si="58"/>
        <v>1978.6666666666599</v>
      </c>
      <c r="K310">
        <f t="shared" si="59"/>
        <v>-97</v>
      </c>
      <c r="L310">
        <f t="shared" si="60"/>
        <v>-179.46083088403299</v>
      </c>
      <c r="M310" s="5">
        <v>1905.6666666666599</v>
      </c>
      <c r="N310" s="5">
        <v>-30</v>
      </c>
      <c r="O310" s="5">
        <v>-215.585731480909</v>
      </c>
      <c r="Q310">
        <f t="shared" si="65"/>
        <v>0.65190567081162565</v>
      </c>
      <c r="R310">
        <f t="shared" si="61"/>
        <v>22.71655751024889</v>
      </c>
    </row>
    <row r="311" spans="1:18" x14ac:dyDescent="0.25">
      <c r="A311">
        <f t="shared" si="56"/>
        <v>1978.75</v>
      </c>
      <c r="B311">
        <f t="shared" si="56"/>
        <v>-98</v>
      </c>
      <c r="C311">
        <f t="shared" si="57"/>
        <v>-124.718118266668</v>
      </c>
      <c r="D311">
        <f t="shared" si="62"/>
        <v>0</v>
      </c>
      <c r="E311">
        <f t="shared" si="62"/>
        <v>-0.33542923225189725</v>
      </c>
      <c r="F311">
        <f t="shared" si="63"/>
        <v>0</v>
      </c>
      <c r="G311">
        <f t="shared" si="64"/>
        <v>-0.72289441249759356</v>
      </c>
      <c r="H311">
        <f t="shared" si="68"/>
        <v>-1.2333333333333334</v>
      </c>
      <c r="I311">
        <f t="shared" si="68"/>
        <v>-1.6601480966913662</v>
      </c>
      <c r="J311">
        <f t="shared" si="58"/>
        <v>1978.75</v>
      </c>
      <c r="K311">
        <f t="shared" si="59"/>
        <v>-98</v>
      </c>
      <c r="L311">
        <f t="shared" si="60"/>
        <v>-185.46252281341401</v>
      </c>
      <c r="M311" s="5">
        <v>1905.75</v>
      </c>
      <c r="N311" s="5">
        <v>-30</v>
      </c>
      <c r="O311" s="5">
        <v>-212.29694080964899</v>
      </c>
      <c r="Q311">
        <f t="shared" si="65"/>
        <v>0.72289441249759356</v>
      </c>
      <c r="R311">
        <f t="shared" si="61"/>
        <v>26.718118266668</v>
      </c>
    </row>
    <row r="312" spans="1:18" x14ac:dyDescent="0.25">
      <c r="A312">
        <f t="shared" si="56"/>
        <v>1978.8333333333301</v>
      </c>
      <c r="B312">
        <f t="shared" si="56"/>
        <v>-99</v>
      </c>
      <c r="C312">
        <f t="shared" si="57"/>
        <v>-129.04882055858332</v>
      </c>
      <c r="D312">
        <f t="shared" si="62"/>
        <v>-0.5</v>
      </c>
      <c r="E312">
        <f t="shared" si="62"/>
        <v>-0.94233872685504139</v>
      </c>
      <c r="F312">
        <f t="shared" si="63"/>
        <v>-0.33333333333333331</v>
      </c>
      <c r="G312">
        <f t="shared" si="64"/>
        <v>-1.084443102580614</v>
      </c>
      <c r="H312">
        <f t="shared" ref="H312:I327" si="69">+AVERAGE(F310:F314)</f>
        <v>-1.2666666666666668</v>
      </c>
      <c r="I312">
        <f t="shared" si="69"/>
        <v>-1.1672016088018868</v>
      </c>
      <c r="J312">
        <f t="shared" si="58"/>
        <v>1978.8333333333301</v>
      </c>
      <c r="K312">
        <f t="shared" si="59"/>
        <v>-99</v>
      </c>
      <c r="L312">
        <f t="shared" si="60"/>
        <v>-190.65920885998099</v>
      </c>
      <c r="M312" s="5">
        <v>1905.8333333333301</v>
      </c>
      <c r="N312" s="5">
        <v>-30</v>
      </c>
      <c r="O312" s="5">
        <v>-207.90772711978801</v>
      </c>
      <c r="Q312">
        <f t="shared" si="65"/>
        <v>0.75110976924728079</v>
      </c>
      <c r="R312">
        <f t="shared" si="61"/>
        <v>30.048820558583316</v>
      </c>
    </row>
    <row r="313" spans="1:18" x14ac:dyDescent="0.25">
      <c r="A313">
        <f t="shared" si="56"/>
        <v>1978.9166666666599</v>
      </c>
      <c r="B313">
        <f t="shared" si="56"/>
        <v>-99</v>
      </c>
      <c r="C313">
        <f t="shared" si="57"/>
        <v>-131.49484539678855</v>
      </c>
      <c r="D313">
        <f t="shared" si="62"/>
        <v>-0.5</v>
      </c>
      <c r="E313">
        <f t="shared" si="62"/>
        <v>-2.7888936755703639</v>
      </c>
      <c r="F313">
        <f t="shared" si="63"/>
        <v>-5.166666666666667</v>
      </c>
      <c r="G313">
        <f t="shared" si="64"/>
        <v>-1.4943609703574454</v>
      </c>
      <c r="H313">
        <f t="shared" si="69"/>
        <v>-0.86666666666666659</v>
      </c>
      <c r="I313">
        <f t="shared" si="69"/>
        <v>-0.86569677164228709</v>
      </c>
      <c r="J313">
        <f t="shared" si="58"/>
        <v>1978.9166666666599</v>
      </c>
      <c r="K313">
        <f t="shared" si="59"/>
        <v>-99</v>
      </c>
      <c r="L313">
        <f t="shared" si="60"/>
        <v>-193.594350157961</v>
      </c>
      <c r="M313" s="5">
        <v>1905.9166666666599</v>
      </c>
      <c r="N313" s="5">
        <v>-30</v>
      </c>
      <c r="O313" s="5">
        <v>-199.708887875112</v>
      </c>
      <c r="Q313">
        <f t="shared" si="65"/>
        <v>3.6723056963092215</v>
      </c>
      <c r="R313">
        <f t="shared" si="61"/>
        <v>32.494845396788548</v>
      </c>
    </row>
    <row r="314" spans="1:18" x14ac:dyDescent="0.25">
      <c r="A314">
        <f t="shared" si="56"/>
        <v>1979</v>
      </c>
      <c r="B314">
        <f t="shared" si="56"/>
        <v>-98</v>
      </c>
      <c r="C314">
        <f t="shared" si="57"/>
        <v>-128.36308288385305</v>
      </c>
      <c r="D314">
        <f t="shared" si="62"/>
        <v>-14.5</v>
      </c>
      <c r="E314">
        <f t="shared" si="62"/>
        <v>-1.8726212364150143</v>
      </c>
      <c r="F314">
        <f t="shared" si="63"/>
        <v>0</v>
      </c>
      <c r="G314">
        <f t="shared" si="64"/>
        <v>-1.0490705544288212</v>
      </c>
      <c r="H314">
        <f t="shared" si="69"/>
        <v>0.46666666666666679</v>
      </c>
      <c r="I314">
        <f t="shared" si="69"/>
        <v>-0.51757058984112658</v>
      </c>
      <c r="J314">
        <f t="shared" si="58"/>
        <v>1979</v>
      </c>
      <c r="K314">
        <f t="shared" si="59"/>
        <v>-98</v>
      </c>
      <c r="L314">
        <f t="shared" si="60"/>
        <v>-189.83634846328999</v>
      </c>
      <c r="M314" s="5">
        <v>1906</v>
      </c>
      <c r="N314" s="5">
        <v>-30</v>
      </c>
      <c r="O314" s="5">
        <v>-182.03099572532599</v>
      </c>
      <c r="Q314">
        <f t="shared" si="65"/>
        <v>1.0490705544288212</v>
      </c>
      <c r="R314">
        <f t="shared" si="61"/>
        <v>30.363082883853053</v>
      </c>
    </row>
    <row r="315" spans="1:18" x14ac:dyDescent="0.25">
      <c r="A315">
        <f t="shared" si="56"/>
        <v>1979.0833333333301</v>
      </c>
      <c r="B315">
        <f t="shared" si="56"/>
        <v>-68</v>
      </c>
      <c r="C315">
        <f t="shared" si="57"/>
        <v>-121.48607789808753</v>
      </c>
      <c r="D315">
        <f t="shared" si="62"/>
        <v>15</v>
      </c>
      <c r="E315">
        <f t="shared" si="62"/>
        <v>0.72750033287729821</v>
      </c>
      <c r="F315">
        <f t="shared" si="63"/>
        <v>1.1666666666666667</v>
      </c>
      <c r="G315">
        <f t="shared" si="64"/>
        <v>2.2285181653038916E-2</v>
      </c>
      <c r="H315">
        <f t="shared" si="69"/>
        <v>2.2999999999999998</v>
      </c>
      <c r="I315">
        <f t="shared" si="69"/>
        <v>-0.14654970996905378</v>
      </c>
      <c r="J315">
        <f t="shared" si="58"/>
        <v>1979.0833333333301</v>
      </c>
      <c r="K315">
        <f t="shared" si="59"/>
        <v>-68</v>
      </c>
      <c r="L315">
        <f t="shared" si="60"/>
        <v>-181.58419132046001</v>
      </c>
      <c r="M315" s="5">
        <v>1906.0833333333301</v>
      </c>
      <c r="N315" s="5">
        <v>-30</v>
      </c>
      <c r="O315" s="5">
        <v>-158.18992728079499</v>
      </c>
      <c r="Q315">
        <f t="shared" si="65"/>
        <v>1.1443814850136278</v>
      </c>
      <c r="R315">
        <f t="shared" si="61"/>
        <v>53.48607789808753</v>
      </c>
    </row>
    <row r="316" spans="1:18" x14ac:dyDescent="0.25">
      <c r="A316">
        <f t="shared" si="56"/>
        <v>1979.1666666666599</v>
      </c>
      <c r="B316">
        <f t="shared" si="56"/>
        <v>-68</v>
      </c>
      <c r="C316">
        <f t="shared" si="57"/>
        <v>-116.0640735780766</v>
      </c>
      <c r="D316">
        <f t="shared" si="62"/>
        <v>3</v>
      </c>
      <c r="E316">
        <f t="shared" si="62"/>
        <v>1.228690334736612</v>
      </c>
      <c r="F316">
        <f t="shared" si="63"/>
        <v>6.666666666666667</v>
      </c>
      <c r="G316">
        <f t="shared" si="64"/>
        <v>1.0177364965082083</v>
      </c>
      <c r="H316">
        <f t="shared" si="69"/>
        <v>3.1333333333333337</v>
      </c>
      <c r="I316">
        <f t="shared" si="69"/>
        <v>-9.0484915536140575E-2</v>
      </c>
      <c r="J316">
        <f t="shared" si="58"/>
        <v>1979.1666666666599</v>
      </c>
      <c r="K316">
        <f t="shared" si="59"/>
        <v>-68</v>
      </c>
      <c r="L316">
        <f t="shared" si="60"/>
        <v>-175.077982328254</v>
      </c>
      <c r="M316" s="5">
        <v>1906.1666666666599</v>
      </c>
      <c r="N316" s="5">
        <v>-30</v>
      </c>
      <c r="O316" s="5">
        <v>-142.92135659246401</v>
      </c>
      <c r="Q316">
        <f t="shared" si="65"/>
        <v>5.6489301701584589</v>
      </c>
      <c r="R316">
        <f t="shared" si="61"/>
        <v>48.064073578076602</v>
      </c>
    </row>
    <row r="317" spans="1:18" x14ac:dyDescent="0.25">
      <c r="A317">
        <f t="shared" si="56"/>
        <v>1979.25</v>
      </c>
      <c r="B317">
        <f t="shared" si="56"/>
        <v>-74</v>
      </c>
      <c r="C317">
        <f t="shared" si="57"/>
        <v>-113.0994499275389</v>
      </c>
      <c r="D317">
        <f t="shared" si="62"/>
        <v>2</v>
      </c>
      <c r="E317">
        <f t="shared" si="62"/>
        <v>1.8603211942918705</v>
      </c>
      <c r="F317">
        <f t="shared" si="63"/>
        <v>8.8333333333333339</v>
      </c>
      <c r="G317">
        <f t="shared" si="64"/>
        <v>0.7706612967797507</v>
      </c>
      <c r="H317">
        <f t="shared" si="69"/>
        <v>1.0666666666666669</v>
      </c>
      <c r="I317">
        <f t="shared" si="69"/>
        <v>-0.80649696818356842</v>
      </c>
      <c r="J317">
        <f t="shared" si="58"/>
        <v>1979.25</v>
      </c>
      <c r="K317">
        <f t="shared" si="59"/>
        <v>-74</v>
      </c>
      <c r="L317">
        <f t="shared" si="60"/>
        <v>-171.52054122064601</v>
      </c>
      <c r="M317" s="5">
        <v>1906.25</v>
      </c>
      <c r="N317" s="5">
        <v>-30</v>
      </c>
      <c r="O317" s="5">
        <v>-138.77086704065599</v>
      </c>
      <c r="Q317">
        <f t="shared" si="65"/>
        <v>8.0626720365535824</v>
      </c>
      <c r="R317">
        <f t="shared" si="61"/>
        <v>39.099449927538899</v>
      </c>
    </row>
    <row r="318" spans="1:18" x14ac:dyDescent="0.25">
      <c r="A318">
        <f t="shared" si="56"/>
        <v>1979.3333333333301</v>
      </c>
      <c r="B318">
        <f t="shared" si="56"/>
        <v>-84</v>
      </c>
      <c r="C318">
        <f t="shared" si="57"/>
        <v>-113.85546866558494</v>
      </c>
      <c r="D318">
        <f t="shared" si="62"/>
        <v>21.5</v>
      </c>
      <c r="E318">
        <f t="shared" si="62"/>
        <v>-0.19903166610441758</v>
      </c>
      <c r="F318">
        <f t="shared" si="63"/>
        <v>-1</v>
      </c>
      <c r="G318">
        <f t="shared" si="64"/>
        <v>-1.2140369981928796</v>
      </c>
      <c r="H318">
        <f t="shared" si="69"/>
        <v>-1.3</v>
      </c>
      <c r="I318">
        <f t="shared" si="69"/>
        <v>-2.3954223470338305</v>
      </c>
      <c r="J318">
        <f t="shared" si="58"/>
        <v>1979.3333333333301</v>
      </c>
      <c r="K318">
        <f t="shared" si="59"/>
        <v>-84</v>
      </c>
      <c r="L318">
        <f t="shared" si="60"/>
        <v>-172.42773635024</v>
      </c>
      <c r="M318" s="5">
        <v>1906.3333333333301</v>
      </c>
      <c r="N318" s="5">
        <v>-30</v>
      </c>
      <c r="O318" s="5">
        <v>-138.34025028149301</v>
      </c>
      <c r="Q318">
        <f t="shared" si="65"/>
        <v>0.21403699819287958</v>
      </c>
      <c r="R318">
        <f t="shared" si="61"/>
        <v>29.855468665584937</v>
      </c>
    </row>
    <row r="319" spans="1:18" x14ac:dyDescent="0.25">
      <c r="A319">
        <f t="shared" si="56"/>
        <v>1979.4166666666599</v>
      </c>
      <c r="B319">
        <f t="shared" si="56"/>
        <v>-137</v>
      </c>
      <c r="C319">
        <f t="shared" si="57"/>
        <v>-114.21342407142214</v>
      </c>
      <c r="D319">
        <f t="shared" si="62"/>
        <v>-26.5</v>
      </c>
      <c r="E319">
        <f t="shared" si="62"/>
        <v>-6.2139282714107509</v>
      </c>
      <c r="F319">
        <f t="shared" si="63"/>
        <v>-10.333333333333334</v>
      </c>
      <c r="G319">
        <f t="shared" si="64"/>
        <v>-4.6291308176659607</v>
      </c>
      <c r="H319">
        <f t="shared" si="69"/>
        <v>-3.5333333333333328</v>
      </c>
      <c r="I319">
        <f t="shared" si="69"/>
        <v>-3.8869678237599388</v>
      </c>
      <c r="J319">
        <f t="shared" si="58"/>
        <v>1979.4166666666599</v>
      </c>
      <c r="K319">
        <f t="shared" si="59"/>
        <v>-137</v>
      </c>
      <c r="L319">
        <f t="shared" si="60"/>
        <v>-172.85726988485399</v>
      </c>
      <c r="M319" s="5">
        <v>1906.4166666666599</v>
      </c>
      <c r="N319" s="5">
        <v>-30</v>
      </c>
      <c r="O319" s="5">
        <v>-126.793018733918</v>
      </c>
      <c r="Q319">
        <f t="shared" si="65"/>
        <v>5.7042025156673732</v>
      </c>
      <c r="R319">
        <f t="shared" si="61"/>
        <v>22.786575928577861</v>
      </c>
    </row>
    <row r="320" spans="1:18" x14ac:dyDescent="0.25">
      <c r="A320">
        <f t="shared" si="56"/>
        <v>1979.5</v>
      </c>
      <c r="B320">
        <f t="shared" si="56"/>
        <v>-137</v>
      </c>
      <c r="C320">
        <f t="shared" si="57"/>
        <v>-102.14352293443784</v>
      </c>
      <c r="D320">
        <f t="shared" si="62"/>
        <v>-26</v>
      </c>
      <c r="E320">
        <f t="shared" si="62"/>
        <v>-10.946280628732183</v>
      </c>
      <c r="F320">
        <f t="shared" si="63"/>
        <v>-10.666666666666666</v>
      </c>
      <c r="G320">
        <f t="shared" si="64"/>
        <v>-7.9223417125982722</v>
      </c>
      <c r="H320">
        <f t="shared" si="69"/>
        <v>-4.3</v>
      </c>
      <c r="I320">
        <f t="shared" si="69"/>
        <v>-3.4853521361161306</v>
      </c>
      <c r="J320">
        <f t="shared" si="58"/>
        <v>1979.5</v>
      </c>
      <c r="K320">
        <f t="shared" si="59"/>
        <v>-137</v>
      </c>
      <c r="L320">
        <f t="shared" si="60"/>
        <v>-158.37382526223399</v>
      </c>
      <c r="M320" s="5">
        <v>1906.5</v>
      </c>
      <c r="N320" s="5">
        <v>-30</v>
      </c>
      <c r="O320" s="5">
        <v>-72.434986601131101</v>
      </c>
      <c r="Q320">
        <f t="shared" si="65"/>
        <v>2.7443249540683938</v>
      </c>
      <c r="R320">
        <f t="shared" si="61"/>
        <v>34.85647706556216</v>
      </c>
    </row>
    <row r="321" spans="1:18" x14ac:dyDescent="0.25">
      <c r="A321">
        <f t="shared" si="56"/>
        <v>1979.5833333333301</v>
      </c>
      <c r="B321">
        <f t="shared" si="56"/>
        <v>-85</v>
      </c>
      <c r="C321">
        <f t="shared" si="57"/>
        <v>-68.181060539989161</v>
      </c>
      <c r="D321">
        <f t="shared" si="62"/>
        <v>20.5</v>
      </c>
      <c r="E321">
        <f t="shared" si="62"/>
        <v>-12.548572522100585</v>
      </c>
      <c r="F321">
        <f t="shared" si="63"/>
        <v>-4.5</v>
      </c>
      <c r="G321">
        <f t="shared" si="64"/>
        <v>-6.4399908871223293</v>
      </c>
      <c r="H321">
        <f t="shared" si="69"/>
        <v>-4.6333333333333337</v>
      </c>
      <c r="I321">
        <f t="shared" si="69"/>
        <v>-1.6980727784458807</v>
      </c>
      <c r="J321">
        <f t="shared" si="58"/>
        <v>1979.5833333333301</v>
      </c>
      <c r="K321">
        <f t="shared" si="59"/>
        <v>-85</v>
      </c>
      <c r="L321">
        <f t="shared" si="60"/>
        <v>-117.62009929918</v>
      </c>
      <c r="M321" s="5">
        <v>1906.5833333333301</v>
      </c>
      <c r="N321" s="5">
        <v>-30</v>
      </c>
      <c r="O321" s="5">
        <v>60.716109646061902</v>
      </c>
      <c r="Q321">
        <f t="shared" si="65"/>
        <v>1.9399908871223293</v>
      </c>
      <c r="R321">
        <f t="shared" si="61"/>
        <v>16.818939460010839</v>
      </c>
    </row>
    <row r="322" spans="1:18" x14ac:dyDescent="0.25">
      <c r="A322">
        <f t="shared" si="56"/>
        <v>1979.6666666666599</v>
      </c>
      <c r="B322">
        <f t="shared" si="56"/>
        <v>-74</v>
      </c>
      <c r="C322">
        <f t="shared" si="57"/>
        <v>-9.1214531013393092</v>
      </c>
      <c r="D322">
        <f t="shared" si="62"/>
        <v>-8</v>
      </c>
      <c r="E322">
        <f t="shared" si="62"/>
        <v>-0.65511267587596578</v>
      </c>
      <c r="F322">
        <f t="shared" si="63"/>
        <v>5</v>
      </c>
      <c r="G322">
        <f t="shared" si="64"/>
        <v>2.7787397349987915</v>
      </c>
      <c r="H322">
        <f t="shared" si="69"/>
        <v>-2.4333333333333331</v>
      </c>
      <c r="I322">
        <f t="shared" si="69"/>
        <v>0.56841763747297258</v>
      </c>
      <c r="J322">
        <f t="shared" si="58"/>
        <v>1979.6666666666599</v>
      </c>
      <c r="K322">
        <f t="shared" si="59"/>
        <v>-74</v>
      </c>
      <c r="L322">
        <f t="shared" si="60"/>
        <v>-46.750707407451301</v>
      </c>
      <c r="M322" s="5">
        <v>1906.6666666666599</v>
      </c>
      <c r="N322" s="5">
        <v>-30</v>
      </c>
      <c r="O322" s="5">
        <v>123.06436628901599</v>
      </c>
      <c r="Q322">
        <f t="shared" si="65"/>
        <v>2.2212602650012085</v>
      </c>
      <c r="R322">
        <f t="shared" si="61"/>
        <v>64.878546898660687</v>
      </c>
    </row>
    <row r="323" spans="1:18" x14ac:dyDescent="0.25">
      <c r="A323">
        <f t="shared" si="56"/>
        <v>1979.75</v>
      </c>
      <c r="B323">
        <f t="shared" si="56"/>
        <v>-47</v>
      </c>
      <c r="C323">
        <f t="shared" si="57"/>
        <v>51.248379689062475</v>
      </c>
      <c r="D323">
        <f t="shared" si="62"/>
        <v>2.5</v>
      </c>
      <c r="E323">
        <f t="shared" si="62"/>
        <v>23.623959204222018</v>
      </c>
      <c r="F323">
        <f t="shared" si="63"/>
        <v>-2.6666666666666665</v>
      </c>
      <c r="G323">
        <f t="shared" si="64"/>
        <v>7.7223597901583689</v>
      </c>
      <c r="H323">
        <f t="shared" si="69"/>
        <v>0.43333333333333329</v>
      </c>
      <c r="I323">
        <f t="shared" si="69"/>
        <v>2.4244351130266208</v>
      </c>
      <c r="J323">
        <f t="shared" si="58"/>
        <v>1979.75</v>
      </c>
      <c r="K323">
        <f t="shared" si="59"/>
        <v>-47</v>
      </c>
      <c r="L323">
        <f t="shared" si="60"/>
        <v>25.690907496701598</v>
      </c>
      <c r="M323" s="5">
        <v>1906.75</v>
      </c>
      <c r="N323" s="5">
        <v>-30</v>
      </c>
      <c r="O323" s="5">
        <v>142.88330425705999</v>
      </c>
      <c r="Q323">
        <f t="shared" si="65"/>
        <v>10.389026456825036</v>
      </c>
      <c r="R323">
        <f t="shared" si="61"/>
        <v>98.248379689062475</v>
      </c>
    </row>
    <row r="324" spans="1:18" x14ac:dyDescent="0.25">
      <c r="A324">
        <f t="shared" ref="A324:C387" si="70">+J324</f>
        <v>1979.8333333333301</v>
      </c>
      <c r="B324">
        <f t="shared" si="70"/>
        <v>-25</v>
      </c>
      <c r="C324">
        <f t="shared" ref="C324:C387" si="71">+$B$1*L324+$D$1</f>
        <v>64.370294071020226</v>
      </c>
      <c r="D324">
        <f t="shared" si="62"/>
        <v>-2.5</v>
      </c>
      <c r="E324">
        <f t="shared" si="62"/>
        <v>5.9900026847478287</v>
      </c>
      <c r="F324">
        <f t="shared" si="63"/>
        <v>0.66666666666666663</v>
      </c>
      <c r="G324">
        <f t="shared" si="64"/>
        <v>6.7033212619283056</v>
      </c>
      <c r="H324">
        <f t="shared" si="69"/>
        <v>2.2333333333333334</v>
      </c>
      <c r="I324">
        <f t="shared" si="69"/>
        <v>3.7850933818608352</v>
      </c>
      <c r="J324">
        <f t="shared" ref="J324:J387" si="72">+$M1200</f>
        <v>1979.8333333333301</v>
      </c>
      <c r="K324">
        <f t="shared" ref="K324:K387" si="73">+$N1200</f>
        <v>-25</v>
      </c>
      <c r="L324">
        <f t="shared" ref="L324:L387" si="74">+$O1200</f>
        <v>41.436729946853902</v>
      </c>
      <c r="M324" s="5">
        <v>1906.8333333333301</v>
      </c>
      <c r="N324" s="5">
        <v>-30</v>
      </c>
      <c r="O324" s="5">
        <v>143.814971562187</v>
      </c>
      <c r="Q324">
        <f t="shared" si="65"/>
        <v>6.0366545952616386</v>
      </c>
      <c r="R324">
        <f t="shared" ref="R324:R387" si="75">+ABS(B324-C324)</f>
        <v>89.370294071020226</v>
      </c>
    </row>
    <row r="325" spans="1:18" x14ac:dyDescent="0.25">
      <c r="A325">
        <f t="shared" si="70"/>
        <v>1979.9166666666599</v>
      </c>
      <c r="B325">
        <f t="shared" si="70"/>
        <v>2</v>
      </c>
      <c r="C325">
        <f t="shared" si="71"/>
        <v>65.512203083482319</v>
      </c>
      <c r="D325">
        <f t="shared" ref="D325:E388" si="76">+B325-1/2*(B324+B326)</f>
        <v>2</v>
      </c>
      <c r="E325">
        <f t="shared" si="76"/>
        <v>-4.4765071567387054</v>
      </c>
      <c r="F325">
        <f t="shared" si="63"/>
        <v>3.6666666666666665</v>
      </c>
      <c r="G325">
        <f t="shared" si="64"/>
        <v>1.3577456651699684</v>
      </c>
      <c r="H325">
        <f t="shared" si="69"/>
        <v>1.0999999999999999</v>
      </c>
      <c r="I325">
        <f t="shared" si="69"/>
        <v>3.2090568278436757</v>
      </c>
      <c r="J325">
        <f t="shared" si="72"/>
        <v>1979.9166666666599</v>
      </c>
      <c r="K325">
        <f t="shared" si="73"/>
        <v>2</v>
      </c>
      <c r="L325">
        <f t="shared" si="74"/>
        <v>42.806979442550897</v>
      </c>
      <c r="M325" s="5">
        <v>1906.9166666666599</v>
      </c>
      <c r="N325" s="5">
        <v>-30</v>
      </c>
      <c r="O325" s="5">
        <v>140.01513720262599</v>
      </c>
      <c r="Q325">
        <f t="shared" si="65"/>
        <v>2.3089210014966981</v>
      </c>
      <c r="R325">
        <f t="shared" si="75"/>
        <v>63.512203083482319</v>
      </c>
    </row>
    <row r="326" spans="1:18" x14ac:dyDescent="0.25">
      <c r="A326">
        <f t="shared" si="70"/>
        <v>1980</v>
      </c>
      <c r="B326">
        <f t="shared" si="70"/>
        <v>25</v>
      </c>
      <c r="C326">
        <f t="shared" si="71"/>
        <v>75.607126409421838</v>
      </c>
      <c r="D326">
        <f t="shared" si="76"/>
        <v>11.5</v>
      </c>
      <c r="E326">
        <f t="shared" si="76"/>
        <v>3.5780507163782573</v>
      </c>
      <c r="F326">
        <f t="shared" ref="F326:F389" si="77">+AVERAGE(D325:D327)</f>
        <v>4.5</v>
      </c>
      <c r="G326">
        <f t="shared" ref="G326:G389" si="78">+$H$1*AVERAGE(E325:E327)+$F$1</f>
        <v>0.36330045704874014</v>
      </c>
      <c r="H326">
        <f t="shared" si="69"/>
        <v>1.5999999999999999</v>
      </c>
      <c r="I326">
        <f t="shared" si="69"/>
        <v>1.4885053360571323</v>
      </c>
      <c r="J326">
        <f t="shared" si="72"/>
        <v>1980</v>
      </c>
      <c r="K326">
        <f t="shared" si="73"/>
        <v>25</v>
      </c>
      <c r="L326">
        <f t="shared" si="74"/>
        <v>54.920522155243802</v>
      </c>
      <c r="M326" s="5">
        <v>1907</v>
      </c>
      <c r="N326" s="5">
        <v>-30</v>
      </c>
      <c r="O326" s="5">
        <v>139.309567104644</v>
      </c>
      <c r="Q326">
        <f t="shared" ref="Q326:Q389" si="79">+ABS(F326-G326)</f>
        <v>4.1366995429512601</v>
      </c>
      <c r="R326">
        <f t="shared" si="75"/>
        <v>50.607126409421838</v>
      </c>
    </row>
    <row r="327" spans="1:18" x14ac:dyDescent="0.25">
      <c r="A327">
        <f t="shared" si="70"/>
        <v>1980.0833333333301</v>
      </c>
      <c r="B327">
        <f t="shared" si="70"/>
        <v>25</v>
      </c>
      <c r="C327">
        <f t="shared" si="71"/>
        <v>78.545948302604856</v>
      </c>
      <c r="D327">
        <f t="shared" si="76"/>
        <v>0</v>
      </c>
      <c r="E327">
        <f t="shared" si="76"/>
        <v>2.2608331542932234</v>
      </c>
      <c r="F327">
        <f t="shared" si="77"/>
        <v>-0.66666666666666663</v>
      </c>
      <c r="G327">
        <f t="shared" si="78"/>
        <v>-0.10144303508700432</v>
      </c>
      <c r="H327">
        <f t="shared" si="69"/>
        <v>1.1666666666666665</v>
      </c>
      <c r="I327">
        <f t="shared" si="69"/>
        <v>0.22294447183283075</v>
      </c>
      <c r="J327">
        <f t="shared" si="72"/>
        <v>1980.0833333333301</v>
      </c>
      <c r="K327">
        <f t="shared" si="73"/>
        <v>25</v>
      </c>
      <c r="L327">
        <f t="shared" si="74"/>
        <v>58.447002087646503</v>
      </c>
      <c r="M327" s="5">
        <v>1907.0833333333301</v>
      </c>
      <c r="N327" s="5">
        <v>-30</v>
      </c>
      <c r="O327" s="5">
        <v>134.38049363790699</v>
      </c>
      <c r="Q327">
        <f t="shared" si="79"/>
        <v>0.56522363157966227</v>
      </c>
      <c r="R327">
        <f t="shared" si="75"/>
        <v>53.545948302604856</v>
      </c>
    </row>
    <row r="328" spans="1:18" x14ac:dyDescent="0.25">
      <c r="A328">
        <f t="shared" si="70"/>
        <v>1980.1666666666599</v>
      </c>
      <c r="B328">
        <f t="shared" si="70"/>
        <v>25</v>
      </c>
      <c r="C328">
        <f t="shared" si="71"/>
        <v>76.963103887201441</v>
      </c>
      <c r="D328">
        <f t="shared" si="76"/>
        <v>-13.5</v>
      </c>
      <c r="E328">
        <f t="shared" si="76"/>
        <v>-6.2192952522477469</v>
      </c>
      <c r="F328">
        <f t="shared" si="77"/>
        <v>-0.16666666666666666</v>
      </c>
      <c r="G328">
        <f t="shared" si="78"/>
        <v>-0.88039766877434811</v>
      </c>
      <c r="H328">
        <f t="shared" ref="H328:I343" si="80">+AVERAGE(F326:F330)</f>
        <v>1.3333333333333335</v>
      </c>
      <c r="I328">
        <f t="shared" si="80"/>
        <v>0.82816880446793528</v>
      </c>
      <c r="J328">
        <f t="shared" si="72"/>
        <v>1980.1666666666599</v>
      </c>
      <c r="K328">
        <f t="shared" si="73"/>
        <v>25</v>
      </c>
      <c r="L328">
        <f t="shared" si="74"/>
        <v>56.547646063389401</v>
      </c>
      <c r="M328" s="5">
        <v>1907.1666666666599</v>
      </c>
      <c r="N328" s="5">
        <v>-30</v>
      </c>
      <c r="O328" s="5">
        <v>123.206626388548</v>
      </c>
      <c r="Q328">
        <f t="shared" si="79"/>
        <v>0.71373100210768148</v>
      </c>
      <c r="R328">
        <f t="shared" si="75"/>
        <v>51.963103887201441</v>
      </c>
    </row>
    <row r="329" spans="1:18" x14ac:dyDescent="0.25">
      <c r="A329">
        <f t="shared" si="70"/>
        <v>1980.25</v>
      </c>
      <c r="B329">
        <f t="shared" si="70"/>
        <v>52</v>
      </c>
      <c r="C329">
        <f t="shared" si="71"/>
        <v>87.818849976293535</v>
      </c>
      <c r="D329">
        <f t="shared" si="76"/>
        <v>13</v>
      </c>
      <c r="E329">
        <f t="shared" si="76"/>
        <v>0.65697084005071815</v>
      </c>
      <c r="F329">
        <f t="shared" si="77"/>
        <v>-1.5</v>
      </c>
      <c r="G329">
        <f t="shared" si="78"/>
        <v>0.37551694080679759</v>
      </c>
      <c r="H329">
        <f t="shared" si="80"/>
        <v>3.7</v>
      </c>
      <c r="I329">
        <f t="shared" si="80"/>
        <v>2.4563018307146312</v>
      </c>
      <c r="J329">
        <f t="shared" si="72"/>
        <v>1980.25</v>
      </c>
      <c r="K329">
        <f t="shared" si="73"/>
        <v>52</v>
      </c>
      <c r="L329">
        <f t="shared" si="74"/>
        <v>69.574148561973502</v>
      </c>
      <c r="M329" s="5">
        <v>1907.25</v>
      </c>
      <c r="N329" s="5">
        <v>-30</v>
      </c>
      <c r="O329" s="5">
        <v>107.375210605172</v>
      </c>
      <c r="Q329">
        <f t="shared" si="79"/>
        <v>1.8755169408067975</v>
      </c>
      <c r="R329">
        <f t="shared" si="75"/>
        <v>35.818849976293535</v>
      </c>
    </row>
    <row r="330" spans="1:18" x14ac:dyDescent="0.25">
      <c r="A330">
        <f t="shared" si="70"/>
        <v>1980.3333333333301</v>
      </c>
      <c r="B330">
        <f t="shared" si="70"/>
        <v>53</v>
      </c>
      <c r="C330">
        <f t="shared" si="71"/>
        <v>97.360654385284207</v>
      </c>
      <c r="D330">
        <f t="shared" si="76"/>
        <v>-4</v>
      </c>
      <c r="E330">
        <f t="shared" si="76"/>
        <v>6.9705129402225197</v>
      </c>
      <c r="F330">
        <f t="shared" si="77"/>
        <v>4.5</v>
      </c>
      <c r="G330">
        <f t="shared" si="78"/>
        <v>4.3838673283454908</v>
      </c>
      <c r="H330">
        <f t="shared" si="80"/>
        <v>4.5333333333333332</v>
      </c>
      <c r="I330">
        <f t="shared" si="80"/>
        <v>3.6816271565192542</v>
      </c>
      <c r="J330">
        <f t="shared" si="72"/>
        <v>1980.3333333333301</v>
      </c>
      <c r="K330">
        <f t="shared" si="73"/>
        <v>53</v>
      </c>
      <c r="L330">
        <f t="shared" si="74"/>
        <v>81.023968588586996</v>
      </c>
      <c r="M330" s="5">
        <v>1907.3333333333301</v>
      </c>
      <c r="N330" s="5">
        <v>-30</v>
      </c>
      <c r="O330" s="5">
        <v>64.978680525076697</v>
      </c>
      <c r="Q330">
        <f t="shared" si="79"/>
        <v>0.11613267165450925</v>
      </c>
      <c r="R330">
        <f t="shared" si="75"/>
        <v>44.360654385284207</v>
      </c>
    </row>
    <row r="331" spans="1:18" x14ac:dyDescent="0.25">
      <c r="A331">
        <f t="shared" si="70"/>
        <v>1980.4166666666599</v>
      </c>
      <c r="B331">
        <f t="shared" si="70"/>
        <v>62</v>
      </c>
      <c r="C331">
        <f t="shared" si="71"/>
        <v>92.961432913829853</v>
      </c>
      <c r="D331">
        <f t="shared" si="76"/>
        <v>4.5</v>
      </c>
      <c r="E331">
        <f t="shared" si="76"/>
        <v>8.8120187010223532</v>
      </c>
      <c r="F331">
        <f t="shared" si="77"/>
        <v>16.333333333333332</v>
      </c>
      <c r="G331">
        <f t="shared" si="78"/>
        <v>8.5039655882822203</v>
      </c>
      <c r="H331">
        <f t="shared" si="80"/>
        <v>5</v>
      </c>
      <c r="I331">
        <f t="shared" si="80"/>
        <v>4.0336072203531437</v>
      </c>
      <c r="J331">
        <f t="shared" si="72"/>
        <v>1980.4166666666599</v>
      </c>
      <c r="K331">
        <f t="shared" si="73"/>
        <v>62</v>
      </c>
      <c r="L331">
        <f t="shared" si="74"/>
        <v>75.7450620058965</v>
      </c>
      <c r="M331" s="5">
        <v>1907.4166666666599</v>
      </c>
      <c r="N331" s="5">
        <v>-30</v>
      </c>
      <c r="O331" s="5">
        <v>-50.798359007334703</v>
      </c>
      <c r="Q331">
        <f t="shared" si="79"/>
        <v>7.8293677450511119</v>
      </c>
      <c r="R331">
        <f t="shared" si="75"/>
        <v>30.961432913829853</v>
      </c>
    </row>
    <row r="332" spans="1:18" x14ac:dyDescent="0.25">
      <c r="A332">
        <f t="shared" si="70"/>
        <v>1980.5</v>
      </c>
      <c r="B332">
        <f t="shared" si="70"/>
        <v>62</v>
      </c>
      <c r="C332">
        <f t="shared" si="71"/>
        <v>70.938174040330793</v>
      </c>
      <c r="D332">
        <f t="shared" si="76"/>
        <v>48.5</v>
      </c>
      <c r="E332">
        <f t="shared" si="76"/>
        <v>16.107339314813451</v>
      </c>
      <c r="F332">
        <f t="shared" si="77"/>
        <v>3.5</v>
      </c>
      <c r="G332">
        <f t="shared" si="78"/>
        <v>6.0251835939361111</v>
      </c>
      <c r="H332">
        <f t="shared" si="80"/>
        <v>3.0666666666666669</v>
      </c>
      <c r="I332">
        <f t="shared" si="80"/>
        <v>2.9815781880813459</v>
      </c>
      <c r="J332">
        <f t="shared" si="72"/>
        <v>1980.5</v>
      </c>
      <c r="K332">
        <f t="shared" si="73"/>
        <v>62</v>
      </c>
      <c r="L332">
        <f t="shared" si="74"/>
        <v>49.317948255431702</v>
      </c>
      <c r="M332" s="5">
        <v>1907.5</v>
      </c>
      <c r="N332" s="5">
        <v>-30</v>
      </c>
      <c r="O332" s="5">
        <v>-128.140614177229</v>
      </c>
      <c r="Q332">
        <f t="shared" si="79"/>
        <v>2.5251835939361111</v>
      </c>
      <c r="R332">
        <f t="shared" si="75"/>
        <v>8.938174040330793</v>
      </c>
    </row>
    <row r="333" spans="1:18" x14ac:dyDescent="0.25">
      <c r="A333">
        <f t="shared" si="70"/>
        <v>1980.5833333333301</v>
      </c>
      <c r="B333">
        <f t="shared" si="70"/>
        <v>-35</v>
      </c>
      <c r="C333">
        <f t="shared" si="71"/>
        <v>16.700236537204827</v>
      </c>
      <c r="D333">
        <f t="shared" si="76"/>
        <v>-42.5</v>
      </c>
      <c r="E333">
        <f t="shared" si="76"/>
        <v>-2.32491953857539</v>
      </c>
      <c r="F333">
        <f t="shared" si="77"/>
        <v>2.1666666666666665</v>
      </c>
      <c r="G333">
        <f t="shared" si="78"/>
        <v>0.87950265039510134</v>
      </c>
      <c r="H333">
        <f t="shared" si="80"/>
        <v>1.7666666666666668</v>
      </c>
      <c r="I333">
        <f t="shared" si="80"/>
        <v>0.89289000313750078</v>
      </c>
      <c r="J333">
        <f t="shared" si="72"/>
        <v>1980.5833333333301</v>
      </c>
      <c r="K333">
        <f t="shared" si="73"/>
        <v>-35</v>
      </c>
      <c r="L333">
        <f t="shared" si="74"/>
        <v>-15.7656141827543</v>
      </c>
      <c r="M333" s="5">
        <v>1907.5833333333301</v>
      </c>
      <c r="N333" s="5">
        <v>-30</v>
      </c>
      <c r="O333" s="5">
        <v>-164.61822208098101</v>
      </c>
      <c r="Q333">
        <f t="shared" si="79"/>
        <v>1.2871640162715652</v>
      </c>
      <c r="R333">
        <f t="shared" si="75"/>
        <v>51.70023653720483</v>
      </c>
    </row>
    <row r="334" spans="1:18" x14ac:dyDescent="0.25">
      <c r="A334">
        <f t="shared" si="70"/>
        <v>1980.6666666666599</v>
      </c>
      <c r="B334">
        <f t="shared" si="70"/>
        <v>-47</v>
      </c>
      <c r="C334">
        <f t="shared" si="71"/>
        <v>-32.88786188877036</v>
      </c>
      <c r="D334">
        <f t="shared" si="76"/>
        <v>0.5</v>
      </c>
      <c r="E334">
        <f t="shared" si="76"/>
        <v>-10.484284837256432</v>
      </c>
      <c r="F334">
        <f t="shared" si="77"/>
        <v>-11.166666666666666</v>
      </c>
      <c r="G334">
        <f t="shared" si="78"/>
        <v>-4.8846282205521909</v>
      </c>
      <c r="H334">
        <f t="shared" si="80"/>
        <v>-2.2666666666666666</v>
      </c>
      <c r="I334">
        <f t="shared" si="80"/>
        <v>-1.7232660969018574</v>
      </c>
      <c r="J334">
        <f t="shared" si="72"/>
        <v>1980.6666666666599</v>
      </c>
      <c r="K334">
        <f t="shared" si="73"/>
        <v>-47</v>
      </c>
      <c r="L334">
        <f t="shared" si="74"/>
        <v>-75.269537979854107</v>
      </c>
      <c r="M334" s="5">
        <v>1907.6666666666599</v>
      </c>
      <c r="N334" s="5">
        <v>-30</v>
      </c>
      <c r="O334" s="5">
        <v>-181.744963857063</v>
      </c>
      <c r="Q334">
        <f t="shared" si="79"/>
        <v>6.2820384461144751</v>
      </c>
      <c r="R334">
        <f t="shared" si="75"/>
        <v>14.11213811122964</v>
      </c>
    </row>
    <row r="335" spans="1:18" x14ac:dyDescent="0.25">
      <c r="A335">
        <f t="shared" si="70"/>
        <v>1980.75</v>
      </c>
      <c r="B335">
        <f t="shared" si="70"/>
        <v>-60</v>
      </c>
      <c r="C335">
        <f t="shared" si="71"/>
        <v>-61.507390640232686</v>
      </c>
      <c r="D335">
        <f t="shared" si="76"/>
        <v>8.5</v>
      </c>
      <c r="E335">
        <f t="shared" si="76"/>
        <v>-5.5081514512388949</v>
      </c>
      <c r="F335">
        <f t="shared" si="77"/>
        <v>-2</v>
      </c>
      <c r="G335">
        <f t="shared" si="78"/>
        <v>-6.0595735963737383</v>
      </c>
      <c r="H335">
        <f t="shared" si="80"/>
        <v>-4.5999999999999996</v>
      </c>
      <c r="I335">
        <f t="shared" si="80"/>
        <v>-3.4437199705322548</v>
      </c>
      <c r="J335">
        <f t="shared" si="72"/>
        <v>1980.75</v>
      </c>
      <c r="K335">
        <f t="shared" si="73"/>
        <v>-60</v>
      </c>
      <c r="L335">
        <f t="shared" si="74"/>
        <v>-109.61193690200901</v>
      </c>
      <c r="M335" s="5">
        <v>1907.75</v>
      </c>
      <c r="N335" s="5">
        <v>-30</v>
      </c>
      <c r="O335" s="5">
        <v>-192.385673564558</v>
      </c>
      <c r="Q335">
        <f t="shared" si="79"/>
        <v>4.0595735963737383</v>
      </c>
      <c r="R335">
        <f t="shared" si="75"/>
        <v>1.5073906402326855</v>
      </c>
    </row>
    <row r="336" spans="1:18" x14ac:dyDescent="0.25">
      <c r="A336">
        <f t="shared" si="70"/>
        <v>1980.8333333333301</v>
      </c>
      <c r="B336">
        <f t="shared" si="70"/>
        <v>-90</v>
      </c>
      <c r="C336">
        <f t="shared" si="71"/>
        <v>-79.110616489217222</v>
      </c>
      <c r="D336">
        <f t="shared" si="76"/>
        <v>-15</v>
      </c>
      <c r="E336">
        <f t="shared" si="76"/>
        <v>-6.7309646979061881</v>
      </c>
      <c r="F336">
        <f t="shared" si="77"/>
        <v>-3.8333333333333335</v>
      </c>
      <c r="G336">
        <f t="shared" si="78"/>
        <v>-4.5768149119145711</v>
      </c>
      <c r="H336">
        <f t="shared" si="80"/>
        <v>-5.0333333333333332</v>
      </c>
      <c r="I336">
        <f t="shared" si="80"/>
        <v>-3.5453310135827634</v>
      </c>
      <c r="J336">
        <f t="shared" si="72"/>
        <v>1980.8333333333301</v>
      </c>
      <c r="K336">
        <f t="shared" si="73"/>
        <v>-90</v>
      </c>
      <c r="L336">
        <f t="shared" si="74"/>
        <v>-130.73517095916401</v>
      </c>
      <c r="M336" s="5">
        <v>1907.8333333333301</v>
      </c>
      <c r="N336" s="5">
        <v>-30</v>
      </c>
      <c r="O336" s="5">
        <v>-202.07415512991301</v>
      </c>
      <c r="Q336">
        <f t="shared" si="79"/>
        <v>0.74348157858123765</v>
      </c>
      <c r="R336">
        <f t="shared" si="75"/>
        <v>10.889383510782778</v>
      </c>
    </row>
    <row r="337" spans="1:18" x14ac:dyDescent="0.25">
      <c r="A337">
        <f t="shared" si="70"/>
        <v>1980.9166666666599</v>
      </c>
      <c r="B337">
        <f t="shared" si="70"/>
        <v>-90</v>
      </c>
      <c r="C337">
        <f t="shared" si="71"/>
        <v>-83.251912942389367</v>
      </c>
      <c r="D337">
        <f t="shared" si="76"/>
        <v>-5</v>
      </c>
      <c r="E337">
        <f t="shared" si="76"/>
        <v>-4.9239397705345596</v>
      </c>
      <c r="F337">
        <f t="shared" si="77"/>
        <v>-8.1666666666666661</v>
      </c>
      <c r="G337">
        <f t="shared" si="78"/>
        <v>-2.5770857742158757</v>
      </c>
      <c r="H337">
        <f t="shared" si="80"/>
        <v>-1.7</v>
      </c>
      <c r="I337">
        <f t="shared" si="80"/>
        <v>-1.9773935833098766</v>
      </c>
      <c r="J337">
        <f t="shared" si="72"/>
        <v>1980.9166666666599</v>
      </c>
      <c r="K337">
        <f t="shared" si="73"/>
        <v>-90</v>
      </c>
      <c r="L337">
        <f t="shared" si="74"/>
        <v>-135.70457685277</v>
      </c>
      <c r="M337" s="5">
        <v>1907.9166666666599</v>
      </c>
      <c r="N337" s="5">
        <v>-30</v>
      </c>
      <c r="O337" s="5">
        <v>-206.61545800762701</v>
      </c>
      <c r="Q337">
        <f t="shared" si="79"/>
        <v>5.5895808924507904</v>
      </c>
      <c r="R337">
        <f t="shared" si="75"/>
        <v>6.7480870576106327</v>
      </c>
    </row>
    <row r="338" spans="1:18" x14ac:dyDescent="0.25">
      <c r="A338">
        <f t="shared" si="70"/>
        <v>1981</v>
      </c>
      <c r="B338">
        <f t="shared" si="70"/>
        <v>-80</v>
      </c>
      <c r="C338">
        <f t="shared" si="71"/>
        <v>-77.545329854492408</v>
      </c>
      <c r="D338">
        <f t="shared" si="76"/>
        <v>-4.5</v>
      </c>
      <c r="E338">
        <f t="shared" si="76"/>
        <v>1.9908328151312134</v>
      </c>
      <c r="F338">
        <f t="shared" si="77"/>
        <v>0</v>
      </c>
      <c r="G338">
        <f t="shared" si="78"/>
        <v>0.37144743514255651</v>
      </c>
      <c r="H338">
        <f t="shared" si="80"/>
        <v>3.3333333333333395E-2</v>
      </c>
      <c r="I338">
        <f t="shared" si="80"/>
        <v>-9.9077972223195504E-2</v>
      </c>
      <c r="J338">
        <f t="shared" si="72"/>
        <v>1981</v>
      </c>
      <c r="K338">
        <f t="shared" si="73"/>
        <v>-80</v>
      </c>
      <c r="L338">
        <f t="shared" si="74"/>
        <v>-128.85688363640401</v>
      </c>
      <c r="M338" s="5">
        <v>1908</v>
      </c>
      <c r="N338" s="5">
        <v>-30</v>
      </c>
      <c r="O338" s="5">
        <v>-204.55726959278499</v>
      </c>
      <c r="Q338">
        <f t="shared" si="79"/>
        <v>0.37144743514255651</v>
      </c>
      <c r="R338">
        <f t="shared" si="75"/>
        <v>2.4546701455075919</v>
      </c>
    </row>
    <row r="339" spans="1:18" x14ac:dyDescent="0.25">
      <c r="A339">
        <f t="shared" si="70"/>
        <v>1981.0833333333301</v>
      </c>
      <c r="B339">
        <f t="shared" si="70"/>
        <v>-61</v>
      </c>
      <c r="C339">
        <f t="shared" si="71"/>
        <v>-75.820412396857876</v>
      </c>
      <c r="D339">
        <f t="shared" si="76"/>
        <v>9.5</v>
      </c>
      <c r="E339">
        <f t="shared" si="76"/>
        <v>4.3260348371879331</v>
      </c>
      <c r="F339">
        <f t="shared" si="77"/>
        <v>5.5</v>
      </c>
      <c r="G339">
        <f t="shared" si="78"/>
        <v>2.9550589308122466</v>
      </c>
      <c r="H339">
        <f t="shared" si="80"/>
        <v>1.0333333333333337</v>
      </c>
      <c r="I339">
        <f t="shared" si="80"/>
        <v>1.1102769568116471</v>
      </c>
      <c r="J339">
        <f t="shared" si="72"/>
        <v>1981.0833333333301</v>
      </c>
      <c r="K339">
        <f t="shared" si="73"/>
        <v>-61</v>
      </c>
      <c r="L339">
        <f t="shared" si="74"/>
        <v>-126.78704510229301</v>
      </c>
      <c r="M339" s="5">
        <v>1908.0833333333301</v>
      </c>
      <c r="N339" s="5">
        <v>-30</v>
      </c>
      <c r="O339" s="5">
        <v>-199.49719314215099</v>
      </c>
      <c r="Q339">
        <f t="shared" si="79"/>
        <v>2.5449410691877534</v>
      </c>
      <c r="R339">
        <f t="shared" si="75"/>
        <v>14.820412396857876</v>
      </c>
    </row>
    <row r="340" spans="1:18" x14ac:dyDescent="0.25">
      <c r="A340">
        <f t="shared" si="70"/>
        <v>1981.1666666666599</v>
      </c>
      <c r="B340">
        <f t="shared" si="70"/>
        <v>-61</v>
      </c>
      <c r="C340">
        <f t="shared" si="71"/>
        <v>-82.747564613599195</v>
      </c>
      <c r="D340">
        <f t="shared" si="76"/>
        <v>11.5</v>
      </c>
      <c r="E340">
        <f t="shared" si="76"/>
        <v>4.7646033382267774</v>
      </c>
      <c r="F340">
        <f t="shared" si="77"/>
        <v>6.666666666666667</v>
      </c>
      <c r="G340">
        <f t="shared" si="78"/>
        <v>3.3320044590596662</v>
      </c>
      <c r="H340">
        <f t="shared" si="80"/>
        <v>2.3666666666666667</v>
      </c>
      <c r="I340">
        <f t="shared" si="80"/>
        <v>1.4127409225200409</v>
      </c>
      <c r="J340">
        <f t="shared" si="72"/>
        <v>1981.1666666666599</v>
      </c>
      <c r="K340">
        <f t="shared" si="73"/>
        <v>-61</v>
      </c>
      <c r="L340">
        <f t="shared" si="74"/>
        <v>-135.09937710774801</v>
      </c>
      <c r="M340" s="5">
        <v>1908.1666666666599</v>
      </c>
      <c r="N340" s="5">
        <v>-30</v>
      </c>
      <c r="O340" s="5">
        <v>-193.62048073321</v>
      </c>
      <c r="Q340">
        <f t="shared" si="79"/>
        <v>3.3346622076070007</v>
      </c>
      <c r="R340">
        <f t="shared" si="75"/>
        <v>21.747564613599195</v>
      </c>
    </row>
    <row r="341" spans="1:18" x14ac:dyDescent="0.25">
      <c r="A341">
        <f t="shared" si="70"/>
        <v>1981.25</v>
      </c>
      <c r="B341">
        <f t="shared" si="70"/>
        <v>-84</v>
      </c>
      <c r="C341">
        <f t="shared" si="71"/>
        <v>-99.203923506794069</v>
      </c>
      <c r="D341">
        <f t="shared" si="76"/>
        <v>-1</v>
      </c>
      <c r="E341">
        <f t="shared" si="76"/>
        <v>3.4043785460590357</v>
      </c>
      <c r="F341">
        <f t="shared" si="77"/>
        <v>1.1666666666666667</v>
      </c>
      <c r="G341">
        <f t="shared" si="78"/>
        <v>1.4699597332596417</v>
      </c>
      <c r="H341">
        <f t="shared" si="80"/>
        <v>1.6666666666666667</v>
      </c>
      <c r="I341">
        <f t="shared" si="80"/>
        <v>0.71818209644877484</v>
      </c>
      <c r="J341">
        <f t="shared" si="72"/>
        <v>1981.25</v>
      </c>
      <c r="K341">
        <f t="shared" si="73"/>
        <v>-84</v>
      </c>
      <c r="L341">
        <f t="shared" si="74"/>
        <v>-154.846412316613</v>
      </c>
      <c r="M341" s="5">
        <v>1908.25</v>
      </c>
      <c r="N341" s="5">
        <v>-30</v>
      </c>
      <c r="O341" s="5">
        <v>-190.474844577304</v>
      </c>
      <c r="Q341">
        <f t="shared" si="79"/>
        <v>0.30329306659297495</v>
      </c>
      <c r="R341">
        <f t="shared" si="75"/>
        <v>15.203923506794069</v>
      </c>
    </row>
    <row r="342" spans="1:18" x14ac:dyDescent="0.25">
      <c r="A342">
        <f t="shared" si="70"/>
        <v>1981.3333333333301</v>
      </c>
      <c r="B342">
        <f t="shared" si="70"/>
        <v>-105</v>
      </c>
      <c r="C342">
        <f t="shared" si="71"/>
        <v>-122.46903949210702</v>
      </c>
      <c r="D342">
        <f t="shared" si="76"/>
        <v>-7</v>
      </c>
      <c r="E342">
        <f t="shared" si="76"/>
        <v>-2.656632884562157</v>
      </c>
      <c r="F342">
        <f t="shared" si="77"/>
        <v>-1.5</v>
      </c>
      <c r="G342">
        <f t="shared" si="78"/>
        <v>-1.0647659456739045</v>
      </c>
      <c r="H342">
        <f t="shared" si="80"/>
        <v>-0.26666666666666661</v>
      </c>
      <c r="I342">
        <f t="shared" si="80"/>
        <v>-0.55474763884878631</v>
      </c>
      <c r="J342">
        <f t="shared" si="72"/>
        <v>1981.3333333333301</v>
      </c>
      <c r="K342">
        <f t="shared" si="73"/>
        <v>-105</v>
      </c>
      <c r="L342">
        <f t="shared" si="74"/>
        <v>-182.763709665438</v>
      </c>
      <c r="M342" s="5">
        <v>1908.3333333333301</v>
      </c>
      <c r="N342" s="5">
        <v>-30</v>
      </c>
      <c r="O342" s="5">
        <v>-192.64320115961399</v>
      </c>
      <c r="Q342">
        <f t="shared" si="79"/>
        <v>0.43523405432609552</v>
      </c>
      <c r="R342">
        <f t="shared" si="75"/>
        <v>17.469039492107015</v>
      </c>
    </row>
    <row r="343" spans="1:18" x14ac:dyDescent="0.25">
      <c r="A343">
        <f t="shared" si="70"/>
        <v>1981.4166666666599</v>
      </c>
      <c r="B343">
        <f t="shared" si="70"/>
        <v>-112</v>
      </c>
      <c r="C343">
        <f t="shared" si="71"/>
        <v>-140.42088970829565</v>
      </c>
      <c r="D343">
        <f t="shared" si="76"/>
        <v>3.5</v>
      </c>
      <c r="E343">
        <f t="shared" si="76"/>
        <v>-4.7406179577740204</v>
      </c>
      <c r="F343">
        <f t="shared" si="77"/>
        <v>-3.5</v>
      </c>
      <c r="G343">
        <f t="shared" si="78"/>
        <v>-3.1013466952137758</v>
      </c>
      <c r="H343">
        <f t="shared" si="80"/>
        <v>-2.2999999999999998</v>
      </c>
      <c r="I343">
        <f t="shared" si="80"/>
        <v>-1.7643197635629817</v>
      </c>
      <c r="J343">
        <f t="shared" si="72"/>
        <v>1981.4166666666599</v>
      </c>
      <c r="K343">
        <f t="shared" si="73"/>
        <v>-112</v>
      </c>
      <c r="L343">
        <f t="shared" si="74"/>
        <v>-204.30528034848501</v>
      </c>
      <c r="M343" s="5">
        <v>1908.4166666666599</v>
      </c>
      <c r="N343" s="5">
        <v>-30</v>
      </c>
      <c r="O343" s="5">
        <v>-192.633363909634</v>
      </c>
      <c r="Q343">
        <f t="shared" si="79"/>
        <v>0.39865330478622418</v>
      </c>
      <c r="R343">
        <f t="shared" si="75"/>
        <v>28.420889708295647</v>
      </c>
    </row>
    <row r="344" spans="1:18" x14ac:dyDescent="0.25">
      <c r="A344">
        <f t="shared" si="70"/>
        <v>1981.5</v>
      </c>
      <c r="B344">
        <f t="shared" si="70"/>
        <v>-126</v>
      </c>
      <c r="C344">
        <f t="shared" si="71"/>
        <v>-148.89150400893624</v>
      </c>
      <c r="D344">
        <f t="shared" si="76"/>
        <v>-7</v>
      </c>
      <c r="E344">
        <f t="shared" si="76"/>
        <v>-4.2327992647154815</v>
      </c>
      <c r="F344">
        <f t="shared" si="77"/>
        <v>-4.166666666666667</v>
      </c>
      <c r="G344">
        <f t="shared" si="78"/>
        <v>-3.4095897456755591</v>
      </c>
      <c r="H344">
        <f t="shared" ref="H344:I359" si="81">+AVERAGE(F342:F346)</f>
        <v>-2.5333333333333337</v>
      </c>
      <c r="I344">
        <f t="shared" si="81"/>
        <v>-2.4177615118724214</v>
      </c>
      <c r="J344">
        <f t="shared" si="72"/>
        <v>1981.5</v>
      </c>
      <c r="K344">
        <f t="shared" si="73"/>
        <v>-126</v>
      </c>
      <c r="L344">
        <f t="shared" si="74"/>
        <v>-214.469711005417</v>
      </c>
      <c r="M344" s="5">
        <v>1908.5</v>
      </c>
      <c r="N344" s="5">
        <v>-30</v>
      </c>
      <c r="O344" s="5">
        <v>-182.13030104333799</v>
      </c>
      <c r="Q344">
        <f t="shared" si="79"/>
        <v>0.7570769209911079</v>
      </c>
      <c r="R344">
        <f t="shared" si="75"/>
        <v>22.891504008936238</v>
      </c>
    </row>
    <row r="345" spans="1:18" x14ac:dyDescent="0.25">
      <c r="A345">
        <f t="shared" si="70"/>
        <v>1981.5833333333301</v>
      </c>
      <c r="B345">
        <f t="shared" si="70"/>
        <v>-126</v>
      </c>
      <c r="C345">
        <f t="shared" si="71"/>
        <v>-148.89651978014584</v>
      </c>
      <c r="D345">
        <f t="shared" si="76"/>
        <v>-9</v>
      </c>
      <c r="E345">
        <f t="shared" si="76"/>
        <v>-3.8125443237938441</v>
      </c>
      <c r="F345">
        <f t="shared" si="77"/>
        <v>-3.5</v>
      </c>
      <c r="G345">
        <f t="shared" si="78"/>
        <v>-2.7158561645113122</v>
      </c>
      <c r="H345">
        <f t="shared" si="81"/>
        <v>-1.6333333333333335</v>
      </c>
      <c r="I345">
        <f t="shared" si="81"/>
        <v>-2.5604861728499211</v>
      </c>
      <c r="J345">
        <f t="shared" si="72"/>
        <v>1981.5833333333301</v>
      </c>
      <c r="K345">
        <f t="shared" si="73"/>
        <v>-126</v>
      </c>
      <c r="L345">
        <f t="shared" si="74"/>
        <v>-214.475729749376</v>
      </c>
      <c r="M345" s="5">
        <v>1908.5833333333301</v>
      </c>
      <c r="N345" s="5">
        <v>-30</v>
      </c>
      <c r="O345" s="5">
        <v>-154.05272706722999</v>
      </c>
      <c r="Q345">
        <f t="shared" si="79"/>
        <v>0.78414383548868782</v>
      </c>
      <c r="R345">
        <f t="shared" si="75"/>
        <v>22.896519780145837</v>
      </c>
    </row>
    <row r="346" spans="1:18" x14ac:dyDescent="0.25">
      <c r="A346">
        <f t="shared" si="70"/>
        <v>1981.6666666666599</v>
      </c>
      <c r="B346">
        <f t="shared" si="70"/>
        <v>-108</v>
      </c>
      <c r="C346">
        <f t="shared" si="71"/>
        <v>-141.27644690376778</v>
      </c>
      <c r="D346">
        <f t="shared" si="76"/>
        <v>5.5</v>
      </c>
      <c r="E346">
        <f t="shared" si="76"/>
        <v>-2.1391170284080943</v>
      </c>
      <c r="F346">
        <f t="shared" si="77"/>
        <v>0</v>
      </c>
      <c r="G346">
        <f t="shared" si="78"/>
        <v>-1.7972490082875539</v>
      </c>
      <c r="H346">
        <f t="shared" si="81"/>
        <v>-1.7666666666666668</v>
      </c>
      <c r="I346">
        <f t="shared" si="81"/>
        <v>-2.398366723095477</v>
      </c>
      <c r="J346">
        <f t="shared" si="72"/>
        <v>1981.6666666666599</v>
      </c>
      <c r="K346">
        <f t="shared" si="73"/>
        <v>-108</v>
      </c>
      <c r="L346">
        <f t="shared" si="74"/>
        <v>-205.331918025254</v>
      </c>
      <c r="M346" s="5">
        <v>1908.6666666666599</v>
      </c>
      <c r="N346" s="5">
        <v>-30</v>
      </c>
      <c r="O346" s="5">
        <v>-99.786891524369594</v>
      </c>
      <c r="Q346">
        <f t="shared" si="79"/>
        <v>1.7972490082875539</v>
      </c>
      <c r="R346">
        <f t="shared" si="75"/>
        <v>33.276446903767777</v>
      </c>
    </row>
    <row r="347" spans="1:18" x14ac:dyDescent="0.25">
      <c r="A347">
        <f t="shared" si="70"/>
        <v>1981.75</v>
      </c>
      <c r="B347">
        <f t="shared" si="70"/>
        <v>-101</v>
      </c>
      <c r="C347">
        <f t="shared" si="71"/>
        <v>-129.37813997057356</v>
      </c>
      <c r="D347">
        <f t="shared" si="76"/>
        <v>3.5</v>
      </c>
      <c r="E347">
        <f t="shared" si="76"/>
        <v>-0.7880224288763884</v>
      </c>
      <c r="F347">
        <f t="shared" si="77"/>
        <v>3</v>
      </c>
      <c r="G347">
        <f t="shared" si="78"/>
        <v>-1.7783892505614025</v>
      </c>
      <c r="H347">
        <f t="shared" si="81"/>
        <v>-1.4</v>
      </c>
      <c r="I347">
        <f t="shared" si="81"/>
        <v>-1.8873936745380759</v>
      </c>
      <c r="J347">
        <f t="shared" si="72"/>
        <v>1981.75</v>
      </c>
      <c r="K347">
        <f t="shared" si="73"/>
        <v>-101</v>
      </c>
      <c r="L347">
        <f t="shared" si="74"/>
        <v>-191.05438023815401</v>
      </c>
      <c r="M347" s="5">
        <v>1908.75</v>
      </c>
      <c r="N347" s="5">
        <v>-30</v>
      </c>
      <c r="O347" s="5">
        <v>-38.908778748423799</v>
      </c>
      <c r="Q347">
        <f t="shared" si="79"/>
        <v>4.7783892505614025</v>
      </c>
      <c r="R347">
        <f t="shared" si="75"/>
        <v>28.378139970573557</v>
      </c>
    </row>
    <row r="348" spans="1:18" x14ac:dyDescent="0.25">
      <c r="A348">
        <f t="shared" si="70"/>
        <v>1981.8333333333301</v>
      </c>
      <c r="B348">
        <f t="shared" si="70"/>
        <v>-101</v>
      </c>
      <c r="C348">
        <f t="shared" si="71"/>
        <v>-115.90378817962653</v>
      </c>
      <c r="D348">
        <f t="shared" si="76"/>
        <v>0</v>
      </c>
      <c r="E348">
        <f t="shared" si="76"/>
        <v>-3.7418202323207765</v>
      </c>
      <c r="F348">
        <f t="shared" si="77"/>
        <v>-4.166666666666667</v>
      </c>
      <c r="G348">
        <f t="shared" si="78"/>
        <v>-2.2907494464415588</v>
      </c>
      <c r="H348">
        <f t="shared" si="81"/>
        <v>-0.70000000000000007</v>
      </c>
      <c r="I348">
        <f t="shared" si="81"/>
        <v>-0.92378384412629555</v>
      </c>
      <c r="J348">
        <f t="shared" si="72"/>
        <v>1981.8333333333301</v>
      </c>
      <c r="K348">
        <f t="shared" si="73"/>
        <v>-101</v>
      </c>
      <c r="L348">
        <f t="shared" si="74"/>
        <v>-174.88564564993999</v>
      </c>
      <c r="M348" s="5">
        <v>1908.8333333333301</v>
      </c>
      <c r="N348" s="5">
        <v>-30</v>
      </c>
      <c r="O348" s="5">
        <v>-14.8072492858666</v>
      </c>
      <c r="Q348">
        <f t="shared" si="79"/>
        <v>1.8759172202251082</v>
      </c>
      <c r="R348">
        <f t="shared" si="75"/>
        <v>14.903788179626531</v>
      </c>
    </row>
    <row r="349" spans="1:18" x14ac:dyDescent="0.25">
      <c r="A349">
        <f t="shared" si="70"/>
        <v>1981.9166666666599</v>
      </c>
      <c r="B349">
        <f t="shared" si="70"/>
        <v>-101</v>
      </c>
      <c r="C349">
        <f t="shared" si="71"/>
        <v>-94.945795924037967</v>
      </c>
      <c r="D349">
        <f t="shared" si="76"/>
        <v>-16</v>
      </c>
      <c r="E349">
        <f t="shared" si="76"/>
        <v>-4.0604677629586803</v>
      </c>
      <c r="F349">
        <f t="shared" si="77"/>
        <v>-2.3333333333333335</v>
      </c>
      <c r="G349">
        <f t="shared" si="78"/>
        <v>-0.85472450288855273</v>
      </c>
      <c r="H349">
        <f t="shared" si="81"/>
        <v>0.73333333333333328</v>
      </c>
      <c r="I349">
        <f t="shared" si="81"/>
        <v>0.11058809364048443</v>
      </c>
      <c r="J349">
        <f t="shared" si="72"/>
        <v>1981.9166666666599</v>
      </c>
      <c r="K349">
        <f t="shared" si="73"/>
        <v>-101</v>
      </c>
      <c r="L349">
        <f t="shared" si="74"/>
        <v>-149.73681329496699</v>
      </c>
      <c r="M349" s="5">
        <v>1908.9166666666599</v>
      </c>
      <c r="N349" s="5">
        <v>-30</v>
      </c>
      <c r="O349" s="5">
        <v>1.5434174236162801</v>
      </c>
      <c r="Q349">
        <f t="shared" si="79"/>
        <v>1.4786088304447809</v>
      </c>
      <c r="R349">
        <f t="shared" si="75"/>
        <v>6.0542040759620335</v>
      </c>
    </row>
    <row r="350" spans="1:18" x14ac:dyDescent="0.25">
      <c r="A350">
        <f t="shared" si="70"/>
        <v>1982</v>
      </c>
      <c r="B350">
        <f t="shared" si="70"/>
        <v>-69</v>
      </c>
      <c r="C350">
        <f t="shared" si="71"/>
        <v>-65.866868142532056</v>
      </c>
      <c r="D350">
        <f t="shared" si="76"/>
        <v>9</v>
      </c>
      <c r="E350">
        <f t="shared" si="76"/>
        <v>4.5970711094473842</v>
      </c>
      <c r="F350">
        <f t="shared" si="77"/>
        <v>0</v>
      </c>
      <c r="G350">
        <f t="shared" si="78"/>
        <v>2.1021929875475904</v>
      </c>
      <c r="H350">
        <f t="shared" si="81"/>
        <v>0.60000000000000009</v>
      </c>
      <c r="I350">
        <f t="shared" si="81"/>
        <v>0.36389728735310578</v>
      </c>
      <c r="J350">
        <f t="shared" si="72"/>
        <v>1982</v>
      </c>
      <c r="K350">
        <f t="shared" si="73"/>
        <v>-69</v>
      </c>
      <c r="L350">
        <f t="shared" si="74"/>
        <v>-114.843152159824</v>
      </c>
      <c r="M350" s="5">
        <v>1909</v>
      </c>
      <c r="N350" s="5">
        <v>-30</v>
      </c>
      <c r="O350" s="5">
        <v>18.7788063268633</v>
      </c>
      <c r="Q350">
        <f t="shared" si="79"/>
        <v>2.1021929875475904</v>
      </c>
      <c r="R350">
        <f t="shared" si="75"/>
        <v>3.1331318574679443</v>
      </c>
    </row>
    <row r="351" spans="1:18" x14ac:dyDescent="0.25">
      <c r="A351">
        <f t="shared" si="70"/>
        <v>1982.0833333333301</v>
      </c>
      <c r="B351">
        <f t="shared" si="70"/>
        <v>-55</v>
      </c>
      <c r="C351">
        <f t="shared" si="71"/>
        <v>-45.982082579920899</v>
      </c>
      <c r="D351">
        <f t="shared" si="76"/>
        <v>7</v>
      </c>
      <c r="E351">
        <f t="shared" si="76"/>
        <v>7.3466203568147606</v>
      </c>
      <c r="F351">
        <f t="shared" si="77"/>
        <v>7.166666666666667</v>
      </c>
      <c r="G351">
        <f t="shared" si="78"/>
        <v>3.3746106805463456</v>
      </c>
      <c r="H351">
        <f t="shared" si="81"/>
        <v>-1.6666666666666665</v>
      </c>
      <c r="I351">
        <f t="shared" si="81"/>
        <v>-1.0776296624638988</v>
      </c>
      <c r="J351">
        <f t="shared" si="72"/>
        <v>1982.0833333333301</v>
      </c>
      <c r="K351">
        <f t="shared" si="73"/>
        <v>-55</v>
      </c>
      <c r="L351">
        <f t="shared" si="74"/>
        <v>-90.982129003116498</v>
      </c>
      <c r="M351" s="5">
        <v>1909.0833333333301</v>
      </c>
      <c r="N351" s="5">
        <v>-30</v>
      </c>
      <c r="O351" s="5">
        <v>22.181792788276599</v>
      </c>
      <c r="Q351">
        <f t="shared" si="79"/>
        <v>3.7920559861203214</v>
      </c>
      <c r="R351">
        <f t="shared" si="75"/>
        <v>9.017917420079101</v>
      </c>
    </row>
    <row r="352" spans="1:18" x14ac:dyDescent="0.25">
      <c r="A352">
        <f t="shared" si="70"/>
        <v>1982.1666666666599</v>
      </c>
      <c r="B352">
        <f t="shared" si="70"/>
        <v>-55</v>
      </c>
      <c r="C352">
        <f t="shared" si="71"/>
        <v>-40.790537730939263</v>
      </c>
      <c r="D352">
        <f t="shared" si="76"/>
        <v>5.5</v>
      </c>
      <c r="E352">
        <f t="shared" si="76"/>
        <v>0.71109858578665097</v>
      </c>
      <c r="F352">
        <f t="shared" si="77"/>
        <v>2.3333333333333335</v>
      </c>
      <c r="G352">
        <f t="shared" si="78"/>
        <v>-0.51184328199829565</v>
      </c>
      <c r="H352">
        <f t="shared" si="81"/>
        <v>-3.0666666666666669</v>
      </c>
      <c r="I352">
        <f t="shared" si="81"/>
        <v>-2.3161873603567322</v>
      </c>
      <c r="J352">
        <f t="shared" si="72"/>
        <v>1982.1666666666599</v>
      </c>
      <c r="K352">
        <f t="shared" si="73"/>
        <v>-55</v>
      </c>
      <c r="L352">
        <f t="shared" si="74"/>
        <v>-84.752463037115007</v>
      </c>
      <c r="M352" s="5">
        <v>1909.1666666666599</v>
      </c>
      <c r="N352" s="5">
        <v>-30</v>
      </c>
      <c r="O352" s="5">
        <v>33.206197604714198</v>
      </c>
      <c r="Q352">
        <f t="shared" si="79"/>
        <v>2.8451766153316291</v>
      </c>
      <c r="R352">
        <f t="shared" si="75"/>
        <v>14.209462269060737</v>
      </c>
    </row>
    <row r="353" spans="1:18" x14ac:dyDescent="0.25">
      <c r="A353">
        <f t="shared" si="70"/>
        <v>1982.25</v>
      </c>
      <c r="B353">
        <f t="shared" si="70"/>
        <v>-66</v>
      </c>
      <c r="C353">
        <f t="shared" si="71"/>
        <v>-37.02119005353093</v>
      </c>
      <c r="D353">
        <f t="shared" si="76"/>
        <v>-5.5</v>
      </c>
      <c r="E353">
        <f t="shared" si="76"/>
        <v>-9.9771312500950202</v>
      </c>
      <c r="F353">
        <f t="shared" si="77"/>
        <v>-15.5</v>
      </c>
      <c r="G353">
        <f t="shared" si="78"/>
        <v>-9.4983841955265813</v>
      </c>
      <c r="H353">
        <f t="shared" si="81"/>
        <v>-4.0999999999999996</v>
      </c>
      <c r="I353">
        <f t="shared" si="81"/>
        <v>-2.779121615649748</v>
      </c>
      <c r="J353">
        <f t="shared" si="72"/>
        <v>1982.25</v>
      </c>
      <c r="K353">
        <f t="shared" si="73"/>
        <v>-66</v>
      </c>
      <c r="L353">
        <f t="shared" si="74"/>
        <v>-80.229382215693704</v>
      </c>
      <c r="M353" s="5">
        <v>1909.25</v>
      </c>
      <c r="N353" s="5">
        <v>-30</v>
      </c>
      <c r="O353" s="5">
        <v>57.861473916063197</v>
      </c>
      <c r="Q353">
        <f t="shared" si="79"/>
        <v>6.0016158044734187</v>
      </c>
      <c r="R353">
        <f t="shared" si="75"/>
        <v>28.97880994646907</v>
      </c>
    </row>
    <row r="354" spans="1:18" x14ac:dyDescent="0.25">
      <c r="A354">
        <f t="shared" si="70"/>
        <v>1982.3333333333301</v>
      </c>
      <c r="B354">
        <f t="shared" si="70"/>
        <v>-66</v>
      </c>
      <c r="C354">
        <f t="shared" si="71"/>
        <v>-13.297579875932559</v>
      </c>
      <c r="D354">
        <f t="shared" si="76"/>
        <v>-46.5</v>
      </c>
      <c r="E354">
        <f t="shared" si="76"/>
        <v>-26.35290806891631</v>
      </c>
      <c r="F354">
        <f t="shared" si="77"/>
        <v>-9.3333333333333339</v>
      </c>
      <c r="G354">
        <f t="shared" si="78"/>
        <v>-7.0475129923527211</v>
      </c>
      <c r="H354">
        <f t="shared" si="81"/>
        <v>-2.4333333333333336</v>
      </c>
      <c r="I354">
        <f t="shared" si="81"/>
        <v>-1.598035935764186</v>
      </c>
      <c r="J354">
        <f t="shared" si="72"/>
        <v>1982.3333333333301</v>
      </c>
      <c r="K354">
        <f t="shared" si="73"/>
        <v>-66</v>
      </c>
      <c r="L354">
        <f t="shared" si="74"/>
        <v>-51.761908426449402</v>
      </c>
      <c r="M354" s="5">
        <v>1909.3333333333301</v>
      </c>
      <c r="N354" s="5">
        <v>-30</v>
      </c>
      <c r="O354" s="5">
        <v>84.064688174915005</v>
      </c>
      <c r="Q354">
        <f t="shared" si="79"/>
        <v>2.2858203409806128</v>
      </c>
      <c r="R354">
        <f t="shared" si="75"/>
        <v>52.702420124067444</v>
      </c>
    </row>
    <row r="355" spans="1:18" x14ac:dyDescent="0.25">
      <c r="A355">
        <f t="shared" si="70"/>
        <v>1982.4166666666599</v>
      </c>
      <c r="B355">
        <f t="shared" si="70"/>
        <v>27</v>
      </c>
      <c r="C355">
        <f t="shared" si="71"/>
        <v>63.131846439498432</v>
      </c>
      <c r="D355">
        <f t="shared" si="76"/>
        <v>24</v>
      </c>
      <c r="E355">
        <f t="shared" si="76"/>
        <v>9.9018655976886336</v>
      </c>
      <c r="F355">
        <f t="shared" si="77"/>
        <v>-5.166666666666667</v>
      </c>
      <c r="G355">
        <f t="shared" si="78"/>
        <v>-0.21247828891748577</v>
      </c>
      <c r="H355">
        <f t="shared" si="81"/>
        <v>-1.3333333333333341</v>
      </c>
      <c r="I355">
        <f t="shared" si="81"/>
        <v>0.33045268623843321</v>
      </c>
      <c r="J355">
        <f t="shared" si="72"/>
        <v>1982.4166666666599</v>
      </c>
      <c r="K355">
        <f t="shared" si="73"/>
        <v>27</v>
      </c>
      <c r="L355">
        <f t="shared" si="74"/>
        <v>39.950637601474298</v>
      </c>
      <c r="M355" s="5">
        <v>1909.4166666666599</v>
      </c>
      <c r="N355" s="5">
        <v>-30</v>
      </c>
      <c r="O355" s="5">
        <v>101.472019409624</v>
      </c>
      <c r="Q355">
        <f t="shared" si="79"/>
        <v>4.9541883777491815</v>
      </c>
      <c r="R355">
        <f t="shared" si="75"/>
        <v>36.131846439498432</v>
      </c>
    </row>
    <row r="356" spans="1:18" x14ac:dyDescent="0.25">
      <c r="A356">
        <f t="shared" si="70"/>
        <v>1982.5</v>
      </c>
      <c r="B356">
        <f t="shared" si="70"/>
        <v>72</v>
      </c>
      <c r="C356">
        <f t="shared" si="71"/>
        <v>119.75754155955215</v>
      </c>
      <c r="D356">
        <f t="shared" si="76"/>
        <v>7</v>
      </c>
      <c r="E356">
        <f t="shared" si="76"/>
        <v>15.654248887787105</v>
      </c>
      <c r="F356">
        <f t="shared" si="77"/>
        <v>15.5</v>
      </c>
      <c r="G356">
        <f t="shared" si="78"/>
        <v>9.2800390799741521</v>
      </c>
      <c r="H356">
        <f t="shared" si="81"/>
        <v>3.4</v>
      </c>
      <c r="I356">
        <f t="shared" si="81"/>
        <v>3.7424263237697004</v>
      </c>
      <c r="J356">
        <f t="shared" si="72"/>
        <v>1982.5</v>
      </c>
      <c r="K356">
        <f t="shared" si="73"/>
        <v>72</v>
      </c>
      <c r="L356">
        <f t="shared" si="74"/>
        <v>107.89942278047</v>
      </c>
      <c r="M356" s="5">
        <v>1909.5</v>
      </c>
      <c r="N356" s="5">
        <v>-30</v>
      </c>
      <c r="O356" s="5">
        <v>100.313373365155</v>
      </c>
      <c r="Q356">
        <f t="shared" si="79"/>
        <v>6.2199609200258479</v>
      </c>
      <c r="R356">
        <f t="shared" si="75"/>
        <v>47.757541559552152</v>
      </c>
    </row>
    <row r="357" spans="1:18" x14ac:dyDescent="0.25">
      <c r="A357">
        <f t="shared" si="70"/>
        <v>1982.5833333333301</v>
      </c>
      <c r="B357">
        <f t="shared" si="70"/>
        <v>103</v>
      </c>
      <c r="C357">
        <f t="shared" si="71"/>
        <v>145.07473890403168</v>
      </c>
      <c r="D357">
        <f t="shared" si="76"/>
        <v>15.5</v>
      </c>
      <c r="E357">
        <f t="shared" si="76"/>
        <v>9.2440320644273299</v>
      </c>
      <c r="F357">
        <f t="shared" si="77"/>
        <v>7.833333333333333</v>
      </c>
      <c r="G357">
        <f t="shared" si="78"/>
        <v>9.1305998280148</v>
      </c>
      <c r="H357">
        <f t="shared" si="81"/>
        <v>6.3666666666666654</v>
      </c>
      <c r="I357">
        <f t="shared" si="81"/>
        <v>6.4384380362990568</v>
      </c>
      <c r="J357">
        <f t="shared" si="72"/>
        <v>1982.5833333333301</v>
      </c>
      <c r="K357">
        <f t="shared" si="73"/>
        <v>103</v>
      </c>
      <c r="L357">
        <f t="shared" si="74"/>
        <v>138.279143507025</v>
      </c>
      <c r="M357" s="5">
        <v>1909.5833333333301</v>
      </c>
      <c r="N357" s="5">
        <v>-30</v>
      </c>
      <c r="O357" s="5">
        <v>83.097460210742895</v>
      </c>
      <c r="Q357">
        <f t="shared" si="79"/>
        <v>1.2972664946814669</v>
      </c>
      <c r="R357">
        <f t="shared" si="75"/>
        <v>42.074738904031676</v>
      </c>
    </row>
    <row r="358" spans="1:18" x14ac:dyDescent="0.25">
      <c r="A358">
        <f t="shared" si="70"/>
        <v>1982.6666666666599</v>
      </c>
      <c r="B358">
        <f t="shared" si="70"/>
        <v>103</v>
      </c>
      <c r="C358">
        <f t="shared" si="71"/>
        <v>151.90387211965654</v>
      </c>
      <c r="D358">
        <f t="shared" si="76"/>
        <v>1</v>
      </c>
      <c r="E358">
        <f t="shared" si="76"/>
        <v>9.3414684028410591</v>
      </c>
      <c r="F358">
        <f t="shared" si="77"/>
        <v>8.1666666666666661</v>
      </c>
      <c r="G358">
        <f t="shared" si="78"/>
        <v>7.5614839921297587</v>
      </c>
      <c r="H358">
        <f t="shared" si="81"/>
        <v>10.3</v>
      </c>
      <c r="I358">
        <f t="shared" si="81"/>
        <v>7.4368384451073339</v>
      </c>
      <c r="J358">
        <f t="shared" si="72"/>
        <v>1982.6666666666599</v>
      </c>
      <c r="K358">
        <f t="shared" si="73"/>
        <v>103</v>
      </c>
      <c r="L358">
        <f t="shared" si="74"/>
        <v>146.47385625789599</v>
      </c>
      <c r="M358" s="5">
        <v>1909.6666666666599</v>
      </c>
      <c r="N358" s="5">
        <v>-30</v>
      </c>
      <c r="O358" s="5">
        <v>52.662013860363103</v>
      </c>
      <c r="Q358">
        <f t="shared" si="79"/>
        <v>0.60518267453690733</v>
      </c>
      <c r="R358">
        <f t="shared" si="75"/>
        <v>48.90387211965654</v>
      </c>
    </row>
    <row r="359" spans="1:18" x14ac:dyDescent="0.25">
      <c r="A359">
        <f t="shared" si="70"/>
        <v>1982.75</v>
      </c>
      <c r="B359">
        <f t="shared" si="70"/>
        <v>101</v>
      </c>
      <c r="C359">
        <f t="shared" si="71"/>
        <v>140.05006852959929</v>
      </c>
      <c r="D359">
        <f t="shared" si="76"/>
        <v>8</v>
      </c>
      <c r="E359">
        <f t="shared" si="76"/>
        <v>9.7700645032182081</v>
      </c>
      <c r="F359">
        <f t="shared" si="77"/>
        <v>5.5</v>
      </c>
      <c r="G359">
        <f t="shared" si="78"/>
        <v>6.4325455702940602</v>
      </c>
      <c r="H359">
        <f t="shared" si="81"/>
        <v>6.7666666666666675</v>
      </c>
      <c r="I359">
        <f t="shared" si="81"/>
        <v>5.6246676206648987</v>
      </c>
      <c r="J359">
        <f t="shared" si="72"/>
        <v>1982.75</v>
      </c>
      <c r="K359">
        <f t="shared" si="73"/>
        <v>101</v>
      </c>
      <c r="L359">
        <f t="shared" si="74"/>
        <v>132.249720872235</v>
      </c>
      <c r="M359" s="5">
        <v>1909.75</v>
      </c>
      <c r="N359" s="5">
        <v>-30</v>
      </c>
      <c r="O359" s="5">
        <v>-17.5430989222316</v>
      </c>
      <c r="Q359">
        <f t="shared" si="79"/>
        <v>0.93254557029406016</v>
      </c>
      <c r="R359">
        <f t="shared" si="75"/>
        <v>39.050068529599287</v>
      </c>
    </row>
    <row r="360" spans="1:18" x14ac:dyDescent="0.25">
      <c r="A360">
        <f t="shared" si="70"/>
        <v>1982.8333333333301</v>
      </c>
      <c r="B360">
        <f t="shared" si="70"/>
        <v>83</v>
      </c>
      <c r="C360">
        <f t="shared" si="71"/>
        <v>108.6561359331056</v>
      </c>
      <c r="D360">
        <f t="shared" si="76"/>
        <v>7.5</v>
      </c>
      <c r="E360">
        <f t="shared" si="76"/>
        <v>5.0105129825434602</v>
      </c>
      <c r="F360">
        <f t="shared" si="77"/>
        <v>14.5</v>
      </c>
      <c r="G360">
        <f t="shared" si="78"/>
        <v>4.7795237551238952</v>
      </c>
      <c r="H360">
        <f t="shared" ref="H360:I375" si="82">+AVERAGE(F358:F362)</f>
        <v>4.0999999999999996</v>
      </c>
      <c r="I360">
        <f t="shared" si="82"/>
        <v>3.0483129008726784</v>
      </c>
      <c r="J360">
        <f t="shared" si="72"/>
        <v>1982.8333333333301</v>
      </c>
      <c r="K360">
        <f t="shared" si="73"/>
        <v>83</v>
      </c>
      <c r="L360">
        <f t="shared" si="74"/>
        <v>94.578137726096003</v>
      </c>
      <c r="M360" s="5">
        <v>1909.8333333333301</v>
      </c>
      <c r="N360" s="5">
        <v>-30</v>
      </c>
      <c r="O360" s="5">
        <v>-80.444042661901804</v>
      </c>
      <c r="Q360">
        <f t="shared" si="79"/>
        <v>9.7204762448761048</v>
      </c>
      <c r="R360">
        <f t="shared" si="75"/>
        <v>25.656135933105602</v>
      </c>
    </row>
    <row r="361" spans="1:18" x14ac:dyDescent="0.25">
      <c r="A361">
        <f t="shared" si="70"/>
        <v>1982.9166666666599</v>
      </c>
      <c r="B361">
        <f t="shared" si="70"/>
        <v>50</v>
      </c>
      <c r="C361">
        <f t="shared" si="71"/>
        <v>67.241177371524984</v>
      </c>
      <c r="D361">
        <f t="shared" si="76"/>
        <v>28</v>
      </c>
      <c r="E361">
        <f t="shared" si="76"/>
        <v>3.1426365959529363</v>
      </c>
      <c r="F361">
        <f t="shared" si="77"/>
        <v>-2.1666666666666665</v>
      </c>
      <c r="G361">
        <f t="shared" si="78"/>
        <v>0.21918495776197347</v>
      </c>
      <c r="H361">
        <f t="shared" si="82"/>
        <v>-0.7000000000000004</v>
      </c>
      <c r="I361">
        <f t="shared" si="82"/>
        <v>0.55104996506970116</v>
      </c>
      <c r="J361">
        <f t="shared" si="72"/>
        <v>1982.9166666666599</v>
      </c>
      <c r="K361">
        <f t="shared" si="73"/>
        <v>50</v>
      </c>
      <c r="L361">
        <f t="shared" si="74"/>
        <v>44.881686026357798</v>
      </c>
      <c r="M361" s="5">
        <v>1909.9166666666599</v>
      </c>
      <c r="N361" s="5">
        <v>-30</v>
      </c>
      <c r="O361" s="5">
        <v>-105.41481290928</v>
      </c>
      <c r="Q361">
        <f t="shared" si="79"/>
        <v>2.3858516244286401</v>
      </c>
      <c r="R361">
        <f t="shared" si="75"/>
        <v>17.241177371524984</v>
      </c>
    </row>
    <row r="362" spans="1:18" x14ac:dyDescent="0.25">
      <c r="A362">
        <f t="shared" si="70"/>
        <v>1983</v>
      </c>
      <c r="B362">
        <f t="shared" si="70"/>
        <v>-39</v>
      </c>
      <c r="C362">
        <f t="shared" si="71"/>
        <v>19.540945618038485</v>
      </c>
      <c r="D362">
        <f t="shared" si="76"/>
        <v>-42</v>
      </c>
      <c r="E362">
        <f t="shared" si="76"/>
        <v>-7.3312059868889961</v>
      </c>
      <c r="F362">
        <f t="shared" si="77"/>
        <v>-5.5</v>
      </c>
      <c r="G362">
        <f t="shared" si="78"/>
        <v>-3.7511737709462993</v>
      </c>
      <c r="H362">
        <f t="shared" si="82"/>
        <v>-1.9666666666666668</v>
      </c>
      <c r="I362">
        <f t="shared" si="82"/>
        <v>-1.133671292477328</v>
      </c>
      <c r="J362">
        <f t="shared" si="72"/>
        <v>1983</v>
      </c>
      <c r="K362">
        <f t="shared" si="73"/>
        <v>-39</v>
      </c>
      <c r="L362">
        <f t="shared" si="74"/>
        <v>-12.3568660750206</v>
      </c>
      <c r="M362" s="5">
        <v>1910</v>
      </c>
      <c r="N362" s="5">
        <v>-30</v>
      </c>
      <c r="O362" s="5">
        <v>-113.668369405978</v>
      </c>
      <c r="Q362">
        <f t="shared" si="79"/>
        <v>1.7488262290537007</v>
      </c>
      <c r="R362">
        <f t="shared" si="75"/>
        <v>58.540945618038485</v>
      </c>
    </row>
    <row r="363" spans="1:18" x14ac:dyDescent="0.25">
      <c r="A363">
        <f t="shared" si="70"/>
        <v>1983.0833333333301</v>
      </c>
      <c r="B363">
        <f t="shared" si="70"/>
        <v>-44</v>
      </c>
      <c r="C363">
        <f t="shared" si="71"/>
        <v>-13.496874161670018</v>
      </c>
      <c r="D363">
        <f t="shared" si="76"/>
        <v>-2.5</v>
      </c>
      <c r="E363">
        <f t="shared" si="76"/>
        <v>-9.8783322501125621</v>
      </c>
      <c r="F363">
        <f t="shared" si="77"/>
        <v>-15.833333333333334</v>
      </c>
      <c r="G363">
        <f t="shared" si="78"/>
        <v>-4.924830686885123</v>
      </c>
      <c r="H363">
        <f t="shared" si="82"/>
        <v>-2.333333333333333</v>
      </c>
      <c r="I363">
        <f t="shared" si="82"/>
        <v>-1.7769295854765506</v>
      </c>
      <c r="J363">
        <f t="shared" si="72"/>
        <v>1983.0833333333301</v>
      </c>
      <c r="K363">
        <f t="shared" si="73"/>
        <v>-44</v>
      </c>
      <c r="L363">
        <f t="shared" si="74"/>
        <v>-52.001054357996303</v>
      </c>
      <c r="M363" s="5">
        <v>1910.0833333333301</v>
      </c>
      <c r="N363" s="5">
        <v>-30</v>
      </c>
      <c r="O363" s="5">
        <v>-114.144295699004</v>
      </c>
      <c r="Q363">
        <f t="shared" si="79"/>
        <v>10.908502646448211</v>
      </c>
      <c r="R363">
        <f t="shared" si="75"/>
        <v>30.503125838329982</v>
      </c>
    </row>
    <row r="364" spans="1:18" x14ac:dyDescent="0.25">
      <c r="A364">
        <f t="shared" si="70"/>
        <v>1983.1666666666599</v>
      </c>
      <c r="B364">
        <f t="shared" si="70"/>
        <v>-44</v>
      </c>
      <c r="C364">
        <f t="shared" si="71"/>
        <v>-26.778029441153397</v>
      </c>
      <c r="D364">
        <f t="shared" si="76"/>
        <v>-3</v>
      </c>
      <c r="E364">
        <f t="shared" si="76"/>
        <v>-1.2585768388176497</v>
      </c>
      <c r="F364">
        <f t="shared" si="77"/>
        <v>-0.83333333333333337</v>
      </c>
      <c r="G364">
        <f t="shared" si="78"/>
        <v>-1.9910607174410857</v>
      </c>
      <c r="H364">
        <f t="shared" si="82"/>
        <v>-1.7000000000000004</v>
      </c>
      <c r="I364">
        <f t="shared" si="82"/>
        <v>-1.469400595995856</v>
      </c>
      <c r="J364">
        <f t="shared" si="72"/>
        <v>1983.1666666666599</v>
      </c>
      <c r="K364">
        <f t="shared" si="73"/>
        <v>-44</v>
      </c>
      <c r="L364">
        <f t="shared" si="74"/>
        <v>-67.937960123147903</v>
      </c>
      <c r="M364" s="5">
        <v>1910.1666666666599</v>
      </c>
      <c r="N364" s="5">
        <v>-30</v>
      </c>
      <c r="O364" s="5">
        <v>-113.382257482879</v>
      </c>
      <c r="Q364">
        <f t="shared" si="79"/>
        <v>1.1577273841077522</v>
      </c>
      <c r="R364">
        <f t="shared" si="75"/>
        <v>17.221970558846603</v>
      </c>
    </row>
    <row r="365" spans="1:18" x14ac:dyDescent="0.25">
      <c r="A365">
        <f t="shared" si="70"/>
        <v>1983.25</v>
      </c>
      <c r="B365">
        <f t="shared" si="70"/>
        <v>-38</v>
      </c>
      <c r="C365">
        <f t="shared" si="71"/>
        <v>-37.542031043001472</v>
      </c>
      <c r="D365">
        <f t="shared" si="76"/>
        <v>3</v>
      </c>
      <c r="E365">
        <f t="shared" si="76"/>
        <v>3.6704313985261408</v>
      </c>
      <c r="F365">
        <f t="shared" si="77"/>
        <v>12.666666666666666</v>
      </c>
      <c r="G365">
        <f t="shared" si="78"/>
        <v>1.5632322901277813</v>
      </c>
      <c r="H365">
        <f t="shared" si="82"/>
        <v>-0.66666666666666707</v>
      </c>
      <c r="I365">
        <f t="shared" si="82"/>
        <v>-0.83266041500132781</v>
      </c>
      <c r="J365">
        <f t="shared" si="72"/>
        <v>1983.25</v>
      </c>
      <c r="K365">
        <f t="shared" si="73"/>
        <v>-38</v>
      </c>
      <c r="L365">
        <f t="shared" si="74"/>
        <v>-80.854372556755607</v>
      </c>
      <c r="M365" s="5">
        <v>1910.25</v>
      </c>
      <c r="N365" s="5">
        <v>-30</v>
      </c>
      <c r="O365" s="5">
        <v>-128.749456395057</v>
      </c>
      <c r="Q365">
        <f t="shared" si="79"/>
        <v>11.103434376538885</v>
      </c>
      <c r="R365">
        <f t="shared" si="75"/>
        <v>0.45796895699852769</v>
      </c>
    </row>
    <row r="366" spans="1:18" x14ac:dyDescent="0.25">
      <c r="A366">
        <f t="shared" si="70"/>
        <v>1983.3333333333301</v>
      </c>
      <c r="B366">
        <f t="shared" si="70"/>
        <v>-38</v>
      </c>
      <c r="C366">
        <f t="shared" si="71"/>
        <v>-55.646895441901833</v>
      </c>
      <c r="D366">
        <f t="shared" si="76"/>
        <v>38</v>
      </c>
      <c r="E366">
        <f t="shared" si="76"/>
        <v>3.4502665282706886</v>
      </c>
      <c r="F366">
        <f t="shared" si="77"/>
        <v>1</v>
      </c>
      <c r="G366">
        <f t="shared" si="78"/>
        <v>1.7568299051654455</v>
      </c>
      <c r="H366">
        <f t="shared" si="82"/>
        <v>-0.20000000000000034</v>
      </c>
      <c r="I366">
        <f t="shared" si="82"/>
        <v>-0.31724587508083146</v>
      </c>
      <c r="J366">
        <f t="shared" si="72"/>
        <v>1983.3333333333301</v>
      </c>
      <c r="K366">
        <f t="shared" si="73"/>
        <v>-38</v>
      </c>
      <c r="L366">
        <f t="shared" si="74"/>
        <v>-102.579554722335</v>
      </c>
      <c r="M366" s="5">
        <v>1910.3333333333301</v>
      </c>
      <c r="N366" s="5">
        <v>-30</v>
      </c>
      <c r="O366" s="5">
        <v>-158.27479798157401</v>
      </c>
      <c r="Q366">
        <f t="shared" si="79"/>
        <v>0.75682990516544546</v>
      </c>
      <c r="R366">
        <f t="shared" si="75"/>
        <v>17.646895441901833</v>
      </c>
    </row>
    <row r="367" spans="1:18" x14ac:dyDescent="0.25">
      <c r="A367">
        <f t="shared" si="70"/>
        <v>1983.4166666666599</v>
      </c>
      <c r="B367">
        <f t="shared" si="70"/>
        <v>-114</v>
      </c>
      <c r="C367">
        <f t="shared" si="71"/>
        <v>-80.652292897343571</v>
      </c>
      <c r="D367">
        <f t="shared" si="76"/>
        <v>-38</v>
      </c>
      <c r="E367">
        <f t="shared" si="76"/>
        <v>-0.53258578242640908</v>
      </c>
      <c r="F367">
        <f t="shared" si="77"/>
        <v>-0.33333333333333331</v>
      </c>
      <c r="G367">
        <f t="shared" si="78"/>
        <v>-0.56747286597365776</v>
      </c>
      <c r="H367">
        <f t="shared" si="82"/>
        <v>-0.16666666666666691</v>
      </c>
      <c r="I367">
        <f t="shared" si="82"/>
        <v>-0.35227053793167384</v>
      </c>
      <c r="J367">
        <f t="shared" si="72"/>
        <v>1983.4166666666599</v>
      </c>
      <c r="K367">
        <f t="shared" si="73"/>
        <v>-114</v>
      </c>
      <c r="L367">
        <f t="shared" si="74"/>
        <v>-132.58512686432701</v>
      </c>
      <c r="M367" s="5">
        <v>1910.4166666666599</v>
      </c>
      <c r="N367" s="5">
        <v>-30</v>
      </c>
      <c r="O367" s="5">
        <v>-186.36132134119001</v>
      </c>
      <c r="Q367">
        <f t="shared" si="79"/>
        <v>0.23413953264032444</v>
      </c>
      <c r="R367">
        <f t="shared" si="75"/>
        <v>33.347707102656429</v>
      </c>
    </row>
    <row r="368" spans="1:18" x14ac:dyDescent="0.25">
      <c r="A368">
        <f t="shared" si="70"/>
        <v>1983.5</v>
      </c>
      <c r="B368">
        <f t="shared" si="70"/>
        <v>-114</v>
      </c>
      <c r="C368">
        <f t="shared" si="71"/>
        <v>-104.59251878793251</v>
      </c>
      <c r="D368">
        <f t="shared" si="76"/>
        <v>-1</v>
      </c>
      <c r="E368">
        <f t="shared" si="76"/>
        <v>-5.0457039932454961</v>
      </c>
      <c r="F368">
        <f t="shared" si="77"/>
        <v>-13.5</v>
      </c>
      <c r="G368">
        <f t="shared" si="78"/>
        <v>-2.3477579872826406</v>
      </c>
      <c r="H368">
        <f t="shared" si="82"/>
        <v>-2.7</v>
      </c>
      <c r="I368">
        <f t="shared" si="82"/>
        <v>-0.90007734891948277</v>
      </c>
      <c r="J368">
        <f t="shared" si="72"/>
        <v>1983.5</v>
      </c>
      <c r="K368">
        <f t="shared" si="73"/>
        <v>-114</v>
      </c>
      <c r="L368">
        <f t="shared" si="74"/>
        <v>-161.312531671057</v>
      </c>
      <c r="M368" s="5">
        <v>1910.5</v>
      </c>
      <c r="N368" s="5">
        <v>-30</v>
      </c>
      <c r="O368" s="5">
        <v>-204.321342684878</v>
      </c>
      <c r="Q368">
        <f t="shared" si="79"/>
        <v>11.152242012717359</v>
      </c>
      <c r="R368">
        <f t="shared" si="75"/>
        <v>9.4074812120674949</v>
      </c>
    </row>
    <row r="369" spans="1:18" x14ac:dyDescent="0.25">
      <c r="A369">
        <f t="shared" si="70"/>
        <v>1983.5833333333301</v>
      </c>
      <c r="B369">
        <f t="shared" si="70"/>
        <v>-112</v>
      </c>
      <c r="C369">
        <f t="shared" si="71"/>
        <v>-118.44133669203046</v>
      </c>
      <c r="D369">
        <f t="shared" si="76"/>
        <v>-1.5</v>
      </c>
      <c r="E369">
        <f t="shared" si="76"/>
        <v>-3.225802676637997</v>
      </c>
      <c r="F369">
        <f t="shared" si="77"/>
        <v>-0.66666666666666663</v>
      </c>
      <c r="G369">
        <f t="shared" si="78"/>
        <v>-2.1661840316952978</v>
      </c>
      <c r="H369">
        <f t="shared" si="82"/>
        <v>-2.7333333333333334</v>
      </c>
      <c r="I369">
        <f t="shared" si="82"/>
        <v>-1.493988585540996</v>
      </c>
      <c r="J369">
        <f t="shared" si="72"/>
        <v>1983.5833333333301</v>
      </c>
      <c r="K369">
        <f t="shared" si="73"/>
        <v>-112</v>
      </c>
      <c r="L369">
        <f t="shared" si="74"/>
        <v>-177.93061204523201</v>
      </c>
      <c r="M369" s="5">
        <v>1910.5833333333301</v>
      </c>
      <c r="N369" s="5">
        <v>-30</v>
      </c>
      <c r="O369" s="5">
        <v>-209.451953334557</v>
      </c>
      <c r="Q369">
        <f t="shared" si="79"/>
        <v>1.4995173650286313</v>
      </c>
      <c r="R369">
        <f t="shared" si="75"/>
        <v>6.4413366920304611</v>
      </c>
    </row>
    <row r="370" spans="1:18" x14ac:dyDescent="0.25">
      <c r="A370">
        <f t="shared" si="70"/>
        <v>1983.6666666666599</v>
      </c>
      <c r="B370">
        <f t="shared" si="70"/>
        <v>-107</v>
      </c>
      <c r="C370">
        <f t="shared" si="71"/>
        <v>-125.83854924285242</v>
      </c>
      <c r="D370">
        <f t="shared" si="76"/>
        <v>0.5</v>
      </c>
      <c r="E370">
        <f t="shared" si="76"/>
        <v>0.14831655102612729</v>
      </c>
      <c r="F370">
        <f t="shared" si="77"/>
        <v>0</v>
      </c>
      <c r="G370">
        <f t="shared" si="78"/>
        <v>-1.1758017648112629</v>
      </c>
      <c r="H370">
        <f t="shared" si="82"/>
        <v>-3.0333333333333332</v>
      </c>
      <c r="I370">
        <f t="shared" si="82"/>
        <v>-1.7961909831402174</v>
      </c>
      <c r="J370">
        <f t="shared" si="72"/>
        <v>1983.6666666666599</v>
      </c>
      <c r="K370">
        <f t="shared" si="73"/>
        <v>-107</v>
      </c>
      <c r="L370">
        <f t="shared" si="74"/>
        <v>-186.80699944274701</v>
      </c>
      <c r="M370" s="5">
        <v>1910.6666666666599</v>
      </c>
      <c r="N370" s="5">
        <v>-30</v>
      </c>
      <c r="O370" s="5">
        <v>-205.36332714986199</v>
      </c>
      <c r="Q370">
        <f t="shared" si="79"/>
        <v>1.1758017648112629</v>
      </c>
      <c r="R370">
        <f t="shared" si="75"/>
        <v>18.838549242852423</v>
      </c>
    </row>
    <row r="371" spans="1:18" x14ac:dyDescent="0.25">
      <c r="A371">
        <f t="shared" si="70"/>
        <v>1983.75</v>
      </c>
      <c r="B371">
        <f t="shared" si="70"/>
        <v>-103</v>
      </c>
      <c r="C371">
        <f t="shared" si="71"/>
        <v>-133.53239489572664</v>
      </c>
      <c r="D371">
        <f t="shared" si="76"/>
        <v>1</v>
      </c>
      <c r="E371">
        <f t="shared" si="76"/>
        <v>-1.3317704924303655</v>
      </c>
      <c r="F371">
        <f t="shared" si="77"/>
        <v>0.83333333333333337</v>
      </c>
      <c r="G371">
        <f t="shared" si="78"/>
        <v>-1.2127262779421208</v>
      </c>
      <c r="H371">
        <f t="shared" si="82"/>
        <v>-0.6333333333333333</v>
      </c>
      <c r="I371">
        <f t="shared" si="82"/>
        <v>-1.7643937672626027</v>
      </c>
      <c r="J371">
        <f t="shared" si="72"/>
        <v>1983.75</v>
      </c>
      <c r="K371">
        <f t="shared" si="73"/>
        <v>-103</v>
      </c>
      <c r="L371">
        <f t="shared" si="74"/>
        <v>-196.03933582924299</v>
      </c>
      <c r="M371" s="5">
        <v>1910.75</v>
      </c>
      <c r="N371" s="5">
        <v>-30</v>
      </c>
      <c r="O371" s="5">
        <v>-198.06948461578699</v>
      </c>
      <c r="Q371">
        <f t="shared" si="79"/>
        <v>2.0460596112754543</v>
      </c>
      <c r="R371">
        <f t="shared" si="75"/>
        <v>30.53239489572664</v>
      </c>
    </row>
    <row r="372" spans="1:18" x14ac:dyDescent="0.25">
      <c r="A372">
        <f t="shared" si="70"/>
        <v>1983.8333333333301</v>
      </c>
      <c r="B372">
        <f t="shared" si="70"/>
        <v>-101</v>
      </c>
      <c r="C372">
        <f t="shared" si="71"/>
        <v>-138.56269956374015</v>
      </c>
      <c r="D372">
        <f t="shared" si="76"/>
        <v>1</v>
      </c>
      <c r="E372">
        <f t="shared" si="76"/>
        <v>-3.3642696008787141</v>
      </c>
      <c r="F372">
        <f t="shared" si="77"/>
        <v>-1.8333333333333333</v>
      </c>
      <c r="G372">
        <f t="shared" si="78"/>
        <v>-2.0784848539697651</v>
      </c>
      <c r="H372">
        <f t="shared" si="82"/>
        <v>-0.66666666666666674</v>
      </c>
      <c r="I372">
        <f t="shared" si="82"/>
        <v>-1.4648934916887675</v>
      </c>
      <c r="J372">
        <f t="shared" si="72"/>
        <v>1983.8333333333301</v>
      </c>
      <c r="K372">
        <f t="shared" si="73"/>
        <v>-101</v>
      </c>
      <c r="L372">
        <f t="shared" si="74"/>
        <v>-202.075519412457</v>
      </c>
      <c r="M372" s="5">
        <v>1910.8333333333301</v>
      </c>
      <c r="N372" s="5">
        <v>-30</v>
      </c>
      <c r="O372" s="5">
        <v>-186.45528838997299</v>
      </c>
      <c r="Q372">
        <f t="shared" si="79"/>
        <v>0.24515152063643186</v>
      </c>
      <c r="R372">
        <f t="shared" si="75"/>
        <v>37.562699563740154</v>
      </c>
    </row>
    <row r="373" spans="1:18" x14ac:dyDescent="0.25">
      <c r="A373">
        <f t="shared" si="70"/>
        <v>1983.9166666666599</v>
      </c>
      <c r="B373">
        <f t="shared" si="70"/>
        <v>-101</v>
      </c>
      <c r="C373">
        <f t="shared" si="71"/>
        <v>-136.86446502999627</v>
      </c>
      <c r="D373">
        <f t="shared" si="76"/>
        <v>-7.5</v>
      </c>
      <c r="E373">
        <f t="shared" si="76"/>
        <v>-3.0982781090775404</v>
      </c>
      <c r="F373">
        <f t="shared" si="77"/>
        <v>-1.5</v>
      </c>
      <c r="G373">
        <f t="shared" si="78"/>
        <v>-2.188771907894568</v>
      </c>
      <c r="H373">
        <f t="shared" si="82"/>
        <v>-0.16666666666666669</v>
      </c>
      <c r="I373">
        <f t="shared" si="82"/>
        <v>-0.92285496315455406</v>
      </c>
      <c r="J373">
        <f t="shared" si="72"/>
        <v>1983.9166666666599</v>
      </c>
      <c r="K373">
        <f t="shared" si="73"/>
        <v>-101</v>
      </c>
      <c r="L373">
        <f t="shared" si="74"/>
        <v>-200.03769942151001</v>
      </c>
      <c r="M373" s="5">
        <v>1910.9166666666599</v>
      </c>
      <c r="N373" s="5">
        <v>-30</v>
      </c>
      <c r="O373" s="5">
        <v>-165.101028920555</v>
      </c>
      <c r="Q373">
        <f t="shared" si="79"/>
        <v>0.68877190789456799</v>
      </c>
      <c r="R373">
        <f t="shared" si="75"/>
        <v>35.864465029996268</v>
      </c>
    </row>
    <row r="374" spans="1:18" x14ac:dyDescent="0.25">
      <c r="A374">
        <f t="shared" si="70"/>
        <v>1984</v>
      </c>
      <c r="B374">
        <f t="shared" si="70"/>
        <v>-86</v>
      </c>
      <c r="C374">
        <f t="shared" si="71"/>
        <v>-128.9696742780973</v>
      </c>
      <c r="D374">
        <f t="shared" si="76"/>
        <v>2</v>
      </c>
      <c r="E374">
        <f t="shared" si="76"/>
        <v>-1.7453469446483751</v>
      </c>
      <c r="F374">
        <f t="shared" si="77"/>
        <v>-0.83333333333333337</v>
      </c>
      <c r="G374">
        <f t="shared" si="78"/>
        <v>-0.66868265382612058</v>
      </c>
      <c r="H374">
        <f t="shared" si="82"/>
        <v>0.33333333333333348</v>
      </c>
      <c r="I374">
        <f t="shared" si="82"/>
        <v>-0.24492017669743288</v>
      </c>
      <c r="J374">
        <f t="shared" si="72"/>
        <v>1984</v>
      </c>
      <c r="K374">
        <f t="shared" si="73"/>
        <v>-86</v>
      </c>
      <c r="L374">
        <f t="shared" si="74"/>
        <v>-190.564236187256</v>
      </c>
      <c r="M374" s="5">
        <v>1911</v>
      </c>
      <c r="N374" s="5">
        <v>-30</v>
      </c>
      <c r="O374" s="5">
        <v>-135.59912789043301</v>
      </c>
      <c r="Q374">
        <f t="shared" si="79"/>
        <v>0.16465067950721279</v>
      </c>
      <c r="R374">
        <f t="shared" si="75"/>
        <v>42.969674278097301</v>
      </c>
    </row>
    <row r="375" spans="1:18" x14ac:dyDescent="0.25">
      <c r="A375">
        <f t="shared" si="70"/>
        <v>1984.0833333333301</v>
      </c>
      <c r="B375">
        <f t="shared" si="70"/>
        <v>-75</v>
      </c>
      <c r="C375">
        <f t="shared" si="71"/>
        <v>-117.58418963690158</v>
      </c>
      <c r="D375">
        <f t="shared" si="76"/>
        <v>3</v>
      </c>
      <c r="E375">
        <f t="shared" si="76"/>
        <v>2.3360651018779635</v>
      </c>
      <c r="F375">
        <f t="shared" si="77"/>
        <v>2.5</v>
      </c>
      <c r="G375">
        <f t="shared" si="78"/>
        <v>1.5343908778598045</v>
      </c>
      <c r="H375">
        <f t="shared" si="82"/>
        <v>0.96666666666666656</v>
      </c>
      <c r="I375">
        <f t="shared" si="82"/>
        <v>0.31441321300595304</v>
      </c>
      <c r="J375">
        <f t="shared" si="72"/>
        <v>1984.0833333333301</v>
      </c>
      <c r="K375">
        <f t="shared" si="73"/>
        <v>-75</v>
      </c>
      <c r="L375">
        <f t="shared" si="74"/>
        <v>-176.90206659440301</v>
      </c>
      <c r="M375" s="5">
        <v>1911.0833333333301</v>
      </c>
      <c r="N375" s="5">
        <v>-30</v>
      </c>
      <c r="O375" s="5">
        <v>-110.897235080266</v>
      </c>
      <c r="Q375">
        <f t="shared" si="79"/>
        <v>0.96560912214019545</v>
      </c>
      <c r="R375">
        <f t="shared" si="75"/>
        <v>42.584189636901584</v>
      </c>
    </row>
    <row r="376" spans="1:18" x14ac:dyDescent="0.25">
      <c r="A376">
        <f t="shared" si="70"/>
        <v>1984.1666666666599</v>
      </c>
      <c r="B376">
        <f t="shared" si="70"/>
        <v>-70</v>
      </c>
      <c r="C376">
        <f t="shared" si="71"/>
        <v>-110.87083519946179</v>
      </c>
      <c r="D376">
        <f t="shared" si="76"/>
        <v>2.5</v>
      </c>
      <c r="E376">
        <f t="shared" si="76"/>
        <v>5.1632476347446783</v>
      </c>
      <c r="F376">
        <f t="shared" si="77"/>
        <v>3.3333333333333335</v>
      </c>
      <c r="G376">
        <f t="shared" si="78"/>
        <v>2.1769476543434849</v>
      </c>
      <c r="H376">
        <f t="shared" ref="H376:I391" si="83">+AVERAGE(F374:F378)</f>
        <v>1.2666666666666666</v>
      </c>
      <c r="I376">
        <f t="shared" si="83"/>
        <v>0.31730464254792745</v>
      </c>
      <c r="J376">
        <f t="shared" si="72"/>
        <v>1984.1666666666599</v>
      </c>
      <c r="K376">
        <f t="shared" si="73"/>
        <v>-70</v>
      </c>
      <c r="L376">
        <f t="shared" si="74"/>
        <v>-168.846284187972</v>
      </c>
      <c r="M376" s="5">
        <v>1911.1666666666599</v>
      </c>
      <c r="N376" s="5">
        <v>-30</v>
      </c>
      <c r="O376" s="5">
        <v>-111.427572334925</v>
      </c>
      <c r="Q376">
        <f t="shared" si="79"/>
        <v>1.1563856789898486</v>
      </c>
      <c r="R376">
        <f t="shared" si="75"/>
        <v>40.870835199461794</v>
      </c>
    </row>
    <row r="377" spans="1:18" x14ac:dyDescent="0.25">
      <c r="A377">
        <f t="shared" si="70"/>
        <v>1984.25</v>
      </c>
      <c r="B377">
        <f t="shared" si="70"/>
        <v>-70</v>
      </c>
      <c r="C377">
        <f t="shared" si="71"/>
        <v>-114.48397603151136</v>
      </c>
      <c r="D377">
        <f t="shared" si="76"/>
        <v>4.5</v>
      </c>
      <c r="E377">
        <f t="shared" si="76"/>
        <v>0.66424096716542635</v>
      </c>
      <c r="F377">
        <f t="shared" si="77"/>
        <v>1.3333333333333333</v>
      </c>
      <c r="G377">
        <f t="shared" si="78"/>
        <v>0.71818209454716386</v>
      </c>
      <c r="H377">
        <f t="shared" si="83"/>
        <v>-0.79999999999999982</v>
      </c>
      <c r="I377">
        <f t="shared" si="83"/>
        <v>-0.59371510974243236</v>
      </c>
      <c r="J377">
        <f t="shared" si="72"/>
        <v>1984.25</v>
      </c>
      <c r="K377">
        <f t="shared" si="73"/>
        <v>-70</v>
      </c>
      <c r="L377">
        <f t="shared" si="74"/>
        <v>-173.18192244720899</v>
      </c>
      <c r="M377" s="5">
        <v>1911.25</v>
      </c>
      <c r="N377" s="5">
        <v>-30</v>
      </c>
      <c r="O377" s="5">
        <v>-128.570528808917</v>
      </c>
      <c r="Q377">
        <f t="shared" si="79"/>
        <v>0.6151512387861694</v>
      </c>
      <c r="R377">
        <f t="shared" si="75"/>
        <v>44.483976031511361</v>
      </c>
    </row>
    <row r="378" spans="1:18" x14ac:dyDescent="0.25">
      <c r="A378">
        <f t="shared" si="70"/>
        <v>1984.3333333333301</v>
      </c>
      <c r="B378">
        <f t="shared" si="70"/>
        <v>-79</v>
      </c>
      <c r="C378">
        <f t="shared" si="71"/>
        <v>-119.42559879789178</v>
      </c>
      <c r="D378">
        <f t="shared" si="76"/>
        <v>-3</v>
      </c>
      <c r="E378">
        <f t="shared" si="76"/>
        <v>-3.1343057473582405</v>
      </c>
      <c r="F378">
        <f t="shared" si="77"/>
        <v>0</v>
      </c>
      <c r="G378">
        <f t="shared" si="78"/>
        <v>-2.1743147601846959</v>
      </c>
      <c r="H378">
        <f t="shared" si="83"/>
        <v>-2.7</v>
      </c>
      <c r="I378">
        <f t="shared" si="83"/>
        <v>-2.3954627917786127</v>
      </c>
      <c r="J378">
        <f t="shared" si="72"/>
        <v>1984.3333333333301</v>
      </c>
      <c r="K378">
        <f t="shared" si="73"/>
        <v>-79</v>
      </c>
      <c r="L378">
        <f t="shared" si="74"/>
        <v>-179.11169095736199</v>
      </c>
      <c r="M378" s="5">
        <v>1911.3333333333301</v>
      </c>
      <c r="N378" s="5">
        <v>-30</v>
      </c>
      <c r="O378" s="5">
        <v>-134.878296879852</v>
      </c>
      <c r="Q378">
        <f t="shared" si="79"/>
        <v>2.1743147601846959</v>
      </c>
      <c r="R378">
        <f t="shared" si="75"/>
        <v>40.42559879789178</v>
      </c>
    </row>
    <row r="379" spans="1:18" x14ac:dyDescent="0.25">
      <c r="A379">
        <f t="shared" si="70"/>
        <v>1984.4166666666599</v>
      </c>
      <c r="B379">
        <f t="shared" si="70"/>
        <v>-82</v>
      </c>
      <c r="C379">
        <f t="shared" si="71"/>
        <v>-118.09861006955572</v>
      </c>
      <c r="D379">
        <f t="shared" si="76"/>
        <v>-1.5</v>
      </c>
      <c r="E379">
        <f t="shared" si="76"/>
        <v>-5.6836155704997964</v>
      </c>
      <c r="F379">
        <f t="shared" si="77"/>
        <v>-11.166666666666666</v>
      </c>
      <c r="G379">
        <f t="shared" si="78"/>
        <v>-5.2237814152779194</v>
      </c>
      <c r="H379">
        <f t="shared" si="83"/>
        <v>-4.0666666666666664</v>
      </c>
      <c r="I379">
        <f t="shared" si="83"/>
        <v>-3.8439972195666883</v>
      </c>
      <c r="J379">
        <f t="shared" si="72"/>
        <v>1984.4166666666599</v>
      </c>
      <c r="K379">
        <f t="shared" si="73"/>
        <v>-82</v>
      </c>
      <c r="L379">
        <f t="shared" si="74"/>
        <v>-177.519352499609</v>
      </c>
      <c r="M379" s="5">
        <v>1911.4166666666599</v>
      </c>
      <c r="N379" s="5">
        <v>-30</v>
      </c>
      <c r="O379" s="5">
        <v>-124.253424787687</v>
      </c>
      <c r="Q379">
        <f t="shared" si="79"/>
        <v>5.9428852513887467</v>
      </c>
      <c r="R379">
        <f t="shared" si="75"/>
        <v>36.098610069555718</v>
      </c>
    </row>
    <row r="380" spans="1:18" x14ac:dyDescent="0.25">
      <c r="A380">
        <f t="shared" si="70"/>
        <v>1984.5</v>
      </c>
      <c r="B380">
        <f t="shared" si="70"/>
        <v>-82</v>
      </c>
      <c r="C380">
        <f t="shared" si="71"/>
        <v>-105.40439020022006</v>
      </c>
      <c r="D380">
        <f t="shared" si="76"/>
        <v>-29</v>
      </c>
      <c r="E380">
        <f t="shared" si="76"/>
        <v>-10.771258989434159</v>
      </c>
      <c r="F380">
        <f t="shared" si="77"/>
        <v>-7</v>
      </c>
      <c r="G380">
        <f t="shared" si="78"/>
        <v>-7.4743475323210973</v>
      </c>
      <c r="H380">
        <f t="shared" si="83"/>
        <v>-2.566666666666666</v>
      </c>
      <c r="I380">
        <f t="shared" si="83"/>
        <v>-3.9084578013511839</v>
      </c>
      <c r="J380">
        <f t="shared" si="72"/>
        <v>1984.5</v>
      </c>
      <c r="K380">
        <f t="shared" si="73"/>
        <v>-82</v>
      </c>
      <c r="L380">
        <f t="shared" si="74"/>
        <v>-162.28674798874701</v>
      </c>
      <c r="M380" s="5">
        <v>1911.5</v>
      </c>
      <c r="N380" s="5">
        <v>-30</v>
      </c>
      <c r="O380" s="5">
        <v>-93.785708260177103</v>
      </c>
      <c r="Q380">
        <f t="shared" si="79"/>
        <v>0.47434753232109728</v>
      </c>
      <c r="R380">
        <f t="shared" si="75"/>
        <v>23.404390200220064</v>
      </c>
    </row>
    <row r="381" spans="1:18" x14ac:dyDescent="0.25">
      <c r="A381">
        <f t="shared" si="70"/>
        <v>1984.5833333333301</v>
      </c>
      <c r="B381">
        <f t="shared" si="70"/>
        <v>-24</v>
      </c>
      <c r="C381">
        <f t="shared" si="71"/>
        <v>-71.167652352016106</v>
      </c>
      <c r="D381">
        <f t="shared" si="76"/>
        <v>9.5</v>
      </c>
      <c r="E381">
        <f t="shared" si="76"/>
        <v>-11.573928686270158</v>
      </c>
      <c r="F381">
        <f t="shared" si="77"/>
        <v>-3.5</v>
      </c>
      <c r="G381">
        <f t="shared" si="78"/>
        <v>-5.065724484596891</v>
      </c>
      <c r="H381">
        <f t="shared" si="83"/>
        <v>-1.3333333333333326</v>
      </c>
      <c r="I381">
        <f t="shared" si="83"/>
        <v>-2.7204679361029371</v>
      </c>
      <c r="J381">
        <f t="shared" si="72"/>
        <v>1984.5833333333301</v>
      </c>
      <c r="K381">
        <f t="shared" si="73"/>
        <v>-24</v>
      </c>
      <c r="L381">
        <f t="shared" si="74"/>
        <v>-121.203901405671</v>
      </c>
      <c r="M381" s="5">
        <v>1911.5833333333301</v>
      </c>
      <c r="N381" s="5">
        <v>-30</v>
      </c>
      <c r="O381" s="5">
        <v>-25.360197487938901</v>
      </c>
      <c r="Q381">
        <f t="shared" si="79"/>
        <v>1.565724484596891</v>
      </c>
      <c r="R381">
        <f t="shared" si="75"/>
        <v>47.167652352016106</v>
      </c>
    </row>
    <row r="382" spans="1:18" x14ac:dyDescent="0.25">
      <c r="A382">
        <f t="shared" si="70"/>
        <v>1984.6666666666599</v>
      </c>
      <c r="B382">
        <f t="shared" si="70"/>
        <v>15</v>
      </c>
      <c r="C382">
        <f t="shared" si="71"/>
        <v>-13.783057131271836</v>
      </c>
      <c r="D382">
        <f t="shared" si="76"/>
        <v>9</v>
      </c>
      <c r="E382">
        <f t="shared" si="76"/>
        <v>3.3487208584659776</v>
      </c>
      <c r="F382">
        <f t="shared" si="77"/>
        <v>8.8333333333333339</v>
      </c>
      <c r="G382">
        <f t="shared" si="78"/>
        <v>0.39587918562468477</v>
      </c>
      <c r="H382">
        <f t="shared" si="83"/>
        <v>1.6</v>
      </c>
      <c r="I382">
        <f t="shared" si="83"/>
        <v>-0.93516929302231944</v>
      </c>
      <c r="J382">
        <f t="shared" si="72"/>
        <v>1984.6666666666599</v>
      </c>
      <c r="K382">
        <f t="shared" si="73"/>
        <v>15</v>
      </c>
      <c r="L382">
        <f t="shared" si="74"/>
        <v>-52.344463566168201</v>
      </c>
      <c r="M382" s="5">
        <v>1911.6666666666599</v>
      </c>
      <c r="N382" s="5">
        <v>-30</v>
      </c>
      <c r="O382" s="5">
        <v>48.444009657998997</v>
      </c>
      <c r="Q382">
        <f t="shared" si="79"/>
        <v>8.4374541477086495</v>
      </c>
      <c r="R382">
        <f t="shared" si="75"/>
        <v>28.783057131271836</v>
      </c>
    </row>
    <row r="383" spans="1:18" x14ac:dyDescent="0.25">
      <c r="A383">
        <f t="shared" si="70"/>
        <v>1984.75</v>
      </c>
      <c r="B383">
        <f t="shared" si="70"/>
        <v>36</v>
      </c>
      <c r="C383">
        <f t="shared" si="71"/>
        <v>36.904096372540479</v>
      </c>
      <c r="D383">
        <f t="shared" si="76"/>
        <v>8</v>
      </c>
      <c r="E383">
        <f t="shared" si="76"/>
        <v>9.7097547738967478</v>
      </c>
      <c r="F383">
        <f t="shared" si="77"/>
        <v>6.166666666666667</v>
      </c>
      <c r="G383">
        <f t="shared" si="78"/>
        <v>3.7656345660565371</v>
      </c>
      <c r="H383">
        <f t="shared" si="83"/>
        <v>3.2</v>
      </c>
      <c r="I383">
        <f t="shared" si="83"/>
        <v>1.0462515766694409</v>
      </c>
      <c r="J383">
        <f t="shared" si="72"/>
        <v>1984.75</v>
      </c>
      <c r="K383">
        <f t="shared" si="73"/>
        <v>36</v>
      </c>
      <c r="L383">
        <f t="shared" si="74"/>
        <v>8.4782865557212492</v>
      </c>
      <c r="M383" s="5">
        <v>1911.75</v>
      </c>
      <c r="N383" s="5">
        <v>-30</v>
      </c>
      <c r="O383" s="5">
        <v>65.853727150092197</v>
      </c>
      <c r="Q383">
        <f t="shared" si="79"/>
        <v>2.4010321006101298</v>
      </c>
      <c r="R383">
        <f t="shared" si="75"/>
        <v>0.90409637254047936</v>
      </c>
    </row>
    <row r="384" spans="1:18" x14ac:dyDescent="0.25">
      <c r="A384">
        <f t="shared" si="70"/>
        <v>1984.8333333333301</v>
      </c>
      <c r="B384">
        <f t="shared" si="70"/>
        <v>41</v>
      </c>
      <c r="C384">
        <f t="shared" si="71"/>
        <v>68.171740328559295</v>
      </c>
      <c r="D384">
        <f t="shared" si="76"/>
        <v>1.5</v>
      </c>
      <c r="E384">
        <f t="shared" si="76"/>
        <v>1.0626539903492898</v>
      </c>
      <c r="F384">
        <f t="shared" si="77"/>
        <v>3.5</v>
      </c>
      <c r="G384">
        <f t="shared" si="78"/>
        <v>3.7027118001251704</v>
      </c>
      <c r="H384">
        <f t="shared" si="83"/>
        <v>3.9666666666666663</v>
      </c>
      <c r="I384">
        <f t="shared" si="83"/>
        <v>2.8255739256746049</v>
      </c>
      <c r="J384">
        <f t="shared" si="72"/>
        <v>1984.8333333333301</v>
      </c>
      <c r="K384">
        <f t="shared" si="73"/>
        <v>41</v>
      </c>
      <c r="L384">
        <f t="shared" si="74"/>
        <v>45.998327902965201</v>
      </c>
      <c r="M384" s="5">
        <v>1911.8333333333301</v>
      </c>
      <c r="N384" s="5">
        <v>-30</v>
      </c>
      <c r="O384" s="5">
        <v>66.674622492794498</v>
      </c>
      <c r="Q384">
        <f t="shared" si="79"/>
        <v>0.20271180012517043</v>
      </c>
      <c r="R384">
        <f t="shared" si="75"/>
        <v>27.171740328559295</v>
      </c>
    </row>
    <row r="385" spans="1:18" x14ac:dyDescent="0.25">
      <c r="A385">
        <f t="shared" si="70"/>
        <v>1984.9166666666599</v>
      </c>
      <c r="B385">
        <f t="shared" si="70"/>
        <v>43</v>
      </c>
      <c r="C385">
        <f t="shared" si="71"/>
        <v>97.314076303879531</v>
      </c>
      <c r="D385">
        <f t="shared" si="76"/>
        <v>1</v>
      </c>
      <c r="E385">
        <f t="shared" si="76"/>
        <v>3.1127604862233511</v>
      </c>
      <c r="F385">
        <f t="shared" si="77"/>
        <v>1</v>
      </c>
      <c r="G385">
        <f t="shared" si="78"/>
        <v>2.4327568161377031</v>
      </c>
      <c r="H385">
        <f t="shared" si="83"/>
        <v>2.3333333333333335</v>
      </c>
      <c r="I385">
        <f t="shared" si="83"/>
        <v>3.615577689804907</v>
      </c>
      <c r="J385">
        <f t="shared" si="72"/>
        <v>1984.9166666666599</v>
      </c>
      <c r="K385">
        <f t="shared" si="73"/>
        <v>43</v>
      </c>
      <c r="L385">
        <f t="shared" si="74"/>
        <v>80.968076576299893</v>
      </c>
      <c r="M385" s="5">
        <v>1911.9166666666599</v>
      </c>
      <c r="N385" s="5">
        <v>-30</v>
      </c>
      <c r="O385" s="5">
        <v>63.511378725122697</v>
      </c>
      <c r="Q385">
        <f t="shared" si="79"/>
        <v>1.4327568161377031</v>
      </c>
      <c r="R385">
        <f t="shared" si="75"/>
        <v>54.314076303879531</v>
      </c>
    </row>
    <row r="386" spans="1:18" x14ac:dyDescent="0.25">
      <c r="A386">
        <f t="shared" si="70"/>
        <v>1985</v>
      </c>
      <c r="B386">
        <f t="shared" si="70"/>
        <v>43</v>
      </c>
      <c r="C386">
        <f t="shared" si="71"/>
        <v>120.23089130675307</v>
      </c>
      <c r="D386">
        <f t="shared" si="76"/>
        <v>0.5</v>
      </c>
      <c r="E386">
        <f t="shared" si="76"/>
        <v>4.9474235839437455</v>
      </c>
      <c r="F386">
        <f t="shared" si="77"/>
        <v>0.33333333333333331</v>
      </c>
      <c r="G386">
        <f t="shared" si="78"/>
        <v>3.8308872604289301</v>
      </c>
      <c r="H386">
        <f t="shared" si="83"/>
        <v>1.0666666666666667</v>
      </c>
      <c r="I386">
        <f t="shared" si="83"/>
        <v>3.7011029753452034</v>
      </c>
      <c r="J386">
        <f t="shared" si="72"/>
        <v>1985</v>
      </c>
      <c r="K386">
        <f t="shared" si="73"/>
        <v>43</v>
      </c>
      <c r="L386">
        <f t="shared" si="74"/>
        <v>108.467425349249</v>
      </c>
      <c r="M386" s="5">
        <v>1912</v>
      </c>
      <c r="N386" s="5">
        <v>-30</v>
      </c>
      <c r="O386" s="5">
        <v>55.5884431661541</v>
      </c>
      <c r="Q386">
        <f t="shared" si="79"/>
        <v>3.4975539270955966</v>
      </c>
      <c r="R386">
        <f t="shared" si="75"/>
        <v>77.230891306753065</v>
      </c>
    </row>
    <row r="387" spans="1:18" x14ac:dyDescent="0.25">
      <c r="A387">
        <f t="shared" si="70"/>
        <v>1985.0833333333301</v>
      </c>
      <c r="B387">
        <f t="shared" si="70"/>
        <v>42</v>
      </c>
      <c r="C387">
        <f t="shared" si="71"/>
        <v>133.25285914173909</v>
      </c>
      <c r="D387">
        <f t="shared" si="76"/>
        <v>-0.5</v>
      </c>
      <c r="E387">
        <f t="shared" si="76"/>
        <v>6.3056431564413913</v>
      </c>
      <c r="F387">
        <f t="shared" si="77"/>
        <v>0.66666666666666663</v>
      </c>
      <c r="G387">
        <f t="shared" si="78"/>
        <v>4.3458980062761956</v>
      </c>
      <c r="H387">
        <f t="shared" si="83"/>
        <v>2.1333333333333337</v>
      </c>
      <c r="I387">
        <f t="shared" si="83"/>
        <v>4.1854783520814873</v>
      </c>
      <c r="J387">
        <f t="shared" si="72"/>
        <v>1985.0833333333301</v>
      </c>
      <c r="K387">
        <f t="shared" si="73"/>
        <v>42</v>
      </c>
      <c r="L387">
        <f t="shared" si="74"/>
        <v>124.093315559538</v>
      </c>
      <c r="M387" s="5">
        <v>1912.0833333333301</v>
      </c>
      <c r="N387" s="5">
        <v>-30</v>
      </c>
      <c r="O387" s="5">
        <v>46.733112177251201</v>
      </c>
      <c r="Q387">
        <f t="shared" si="79"/>
        <v>3.6792313396095291</v>
      </c>
      <c r="R387">
        <f t="shared" si="75"/>
        <v>91.252859141739094</v>
      </c>
    </row>
    <row r="388" spans="1:18" x14ac:dyDescent="0.25">
      <c r="A388">
        <f t="shared" ref="A388:C451" si="84">+J388</f>
        <v>1985.1666666666599</v>
      </c>
      <c r="B388">
        <f t="shared" si="84"/>
        <v>42</v>
      </c>
      <c r="C388">
        <f t="shared" ref="C388:C451" si="85">+$B$1*L388+$D$1</f>
        <v>133.66354066384233</v>
      </c>
      <c r="D388">
        <f t="shared" si="76"/>
        <v>2</v>
      </c>
      <c r="E388">
        <f t="shared" si="76"/>
        <v>5.0440507831505954</v>
      </c>
      <c r="F388">
        <f t="shared" si="77"/>
        <v>-0.16666666666666666</v>
      </c>
      <c r="G388">
        <f t="shared" si="78"/>
        <v>4.1932609937580194</v>
      </c>
      <c r="H388">
        <f t="shared" si="83"/>
        <v>2.1000000000000005</v>
      </c>
      <c r="I388">
        <f t="shared" si="83"/>
        <v>5.4670464499501286</v>
      </c>
      <c r="J388">
        <f t="shared" ref="J388:J451" si="86">+$M1264</f>
        <v>1985.1666666666599</v>
      </c>
      <c r="K388">
        <f t="shared" ref="K388:K451" si="87">+$N1264</f>
        <v>42</v>
      </c>
      <c r="L388">
        <f t="shared" ref="L388:L451" si="88">+$O1264</f>
        <v>124.58611852580999</v>
      </c>
      <c r="M388" s="5">
        <v>1912.1666666666599</v>
      </c>
      <c r="N388" s="5">
        <v>-30</v>
      </c>
      <c r="O388" s="5">
        <v>35.072971741138403</v>
      </c>
      <c r="Q388">
        <f t="shared" si="79"/>
        <v>4.3599276604246864</v>
      </c>
      <c r="R388">
        <f t="shared" ref="R388:R451" si="89">+ABS(B388-C388)</f>
        <v>91.663540663842326</v>
      </c>
    </row>
    <row r="389" spans="1:18" x14ac:dyDescent="0.25">
      <c r="A389">
        <f t="shared" si="84"/>
        <v>1985.25</v>
      </c>
      <c r="B389">
        <f t="shared" si="84"/>
        <v>38</v>
      </c>
      <c r="C389">
        <f t="shared" si="85"/>
        <v>123.98612061964438</v>
      </c>
      <c r="D389">
        <f t="shared" ref="D389:E452" si="90">+B389-1/2*(B388+B390)</f>
        <v>-2</v>
      </c>
      <c r="E389">
        <f t="shared" si="90"/>
        <v>4.3750347870005868</v>
      </c>
      <c r="F389">
        <f t="shared" si="77"/>
        <v>8.8333333333333339</v>
      </c>
      <c r="G389">
        <f t="shared" si="78"/>
        <v>6.1245886838065875</v>
      </c>
      <c r="H389">
        <f t="shared" si="83"/>
        <v>3.6333333333333337</v>
      </c>
      <c r="I389">
        <f t="shared" si="83"/>
        <v>5.1267133685180344</v>
      </c>
      <c r="J389">
        <f t="shared" si="86"/>
        <v>1985.25</v>
      </c>
      <c r="K389">
        <f t="shared" si="87"/>
        <v>38</v>
      </c>
      <c r="L389">
        <f t="shared" si="88"/>
        <v>112.97356464411401</v>
      </c>
      <c r="M389" s="5">
        <v>1912.25</v>
      </c>
      <c r="N389" s="5">
        <v>-30</v>
      </c>
      <c r="O389" s="5">
        <v>30.180498697335999</v>
      </c>
      <c r="Q389">
        <f t="shared" si="79"/>
        <v>2.7087446495267464</v>
      </c>
      <c r="R389">
        <f t="shared" si="89"/>
        <v>85.986120619644382</v>
      </c>
    </row>
    <row r="390" spans="1:18" x14ac:dyDescent="0.25">
      <c r="A390">
        <f t="shared" si="84"/>
        <v>1985.3333333333301</v>
      </c>
      <c r="B390">
        <f t="shared" si="84"/>
        <v>38</v>
      </c>
      <c r="C390">
        <f t="shared" si="85"/>
        <v>105.55863100144526</v>
      </c>
      <c r="D390">
        <f t="shared" si="90"/>
        <v>26.5</v>
      </c>
      <c r="E390">
        <f t="shared" si="90"/>
        <v>13.54812199412352</v>
      </c>
      <c r="F390">
        <f t="shared" ref="F390:F453" si="91">+AVERAGE(D389:D391)</f>
        <v>0.83333333333333337</v>
      </c>
      <c r="G390">
        <f t="shared" ref="G390:G453" si="92">+$H$1*AVERAGE(E389:E391)+$F$1</f>
        <v>8.8405973054809088</v>
      </c>
      <c r="H390">
        <f t="shared" si="83"/>
        <v>1.8666666666666667</v>
      </c>
      <c r="I390">
        <f t="shared" si="83"/>
        <v>3.5633048163717547</v>
      </c>
      <c r="J390">
        <f t="shared" si="86"/>
        <v>1985.3333333333301</v>
      </c>
      <c r="K390">
        <f t="shared" si="87"/>
        <v>38</v>
      </c>
      <c r="L390">
        <f t="shared" si="88"/>
        <v>90.861243889366193</v>
      </c>
      <c r="M390" s="5">
        <v>1912.3333333333301</v>
      </c>
      <c r="N390" s="5">
        <v>-30</v>
      </c>
      <c r="O390" s="5">
        <v>30.257515826400301</v>
      </c>
      <c r="Q390">
        <f t="shared" ref="Q390:Q453" si="93">+ABS(F390-G390)</f>
        <v>8.0072639721475749</v>
      </c>
      <c r="R390">
        <f t="shared" si="89"/>
        <v>67.558631001445264</v>
      </c>
    </row>
    <row r="391" spans="1:18" x14ac:dyDescent="0.25">
      <c r="A391">
        <f t="shared" si="84"/>
        <v>1985.4166666666599</v>
      </c>
      <c r="B391">
        <f t="shared" si="84"/>
        <v>-15</v>
      </c>
      <c r="C391">
        <f t="shared" si="85"/>
        <v>60.034897394999106</v>
      </c>
      <c r="D391">
        <f t="shared" si="90"/>
        <v>-22</v>
      </c>
      <c r="E391">
        <f t="shared" si="90"/>
        <v>15.229083114429301</v>
      </c>
      <c r="F391">
        <f t="shared" si="91"/>
        <v>8</v>
      </c>
      <c r="G391">
        <f t="shared" si="92"/>
        <v>2.1292218532684628</v>
      </c>
      <c r="H391">
        <f t="shared" si="83"/>
        <v>1.9666666666666672</v>
      </c>
      <c r="I391">
        <f t="shared" si="83"/>
        <v>1.1674302972018471</v>
      </c>
      <c r="J391">
        <f t="shared" si="86"/>
        <v>1985.4166666666599</v>
      </c>
      <c r="K391">
        <f t="shared" si="87"/>
        <v>-15</v>
      </c>
      <c r="L391">
        <f t="shared" si="88"/>
        <v>36.234410809223299</v>
      </c>
      <c r="M391" s="5">
        <v>1912.4166666666599</v>
      </c>
      <c r="N391" s="5">
        <v>-30</v>
      </c>
      <c r="O391" s="5">
        <v>-1.54389502908024</v>
      </c>
      <c r="Q391">
        <f t="shared" si="93"/>
        <v>5.8707781467315368</v>
      </c>
      <c r="R391">
        <f t="shared" si="89"/>
        <v>75.034897394999106</v>
      </c>
    </row>
    <row r="392" spans="1:18" x14ac:dyDescent="0.25">
      <c r="A392">
        <f t="shared" si="84"/>
        <v>1985.5</v>
      </c>
      <c r="B392">
        <f t="shared" si="84"/>
        <v>-24</v>
      </c>
      <c r="C392">
        <f t="shared" si="85"/>
        <v>-15.947002440305656</v>
      </c>
      <c r="D392">
        <f t="shared" si="90"/>
        <v>19.5</v>
      </c>
      <c r="E392">
        <f t="shared" si="90"/>
        <v>-20.792623158796086</v>
      </c>
      <c r="F392">
        <f t="shared" si="91"/>
        <v>-8.1666666666666661</v>
      </c>
      <c r="G392">
        <f t="shared" si="92"/>
        <v>-3.4711447544552048</v>
      </c>
      <c r="H392">
        <f t="shared" ref="H392:I407" si="94">+AVERAGE(F390:F394)</f>
        <v>-1.4</v>
      </c>
      <c r="I392">
        <f t="shared" si="94"/>
        <v>-0.63487954302988958</v>
      </c>
      <c r="J392">
        <f t="shared" si="86"/>
        <v>1985.5</v>
      </c>
      <c r="K392">
        <f t="shared" si="87"/>
        <v>-24</v>
      </c>
      <c r="L392">
        <f t="shared" si="88"/>
        <v>-54.941119636012402</v>
      </c>
      <c r="M392" s="5">
        <v>1912.5</v>
      </c>
      <c r="N392" s="5">
        <v>-30</v>
      </c>
      <c r="O392" s="5">
        <v>-51.0547476540739</v>
      </c>
      <c r="Q392">
        <f t="shared" si="93"/>
        <v>4.6955219122114613</v>
      </c>
      <c r="R392">
        <f t="shared" si="89"/>
        <v>8.0529975596943437</v>
      </c>
    </row>
    <row r="393" spans="1:18" x14ac:dyDescent="0.25">
      <c r="A393">
        <f t="shared" si="84"/>
        <v>1985.5833333333301</v>
      </c>
      <c r="B393">
        <f t="shared" si="84"/>
        <v>-72</v>
      </c>
      <c r="C393">
        <f t="shared" si="85"/>
        <v>-50.343655958018246</v>
      </c>
      <c r="D393">
        <f t="shared" si="90"/>
        <v>-22</v>
      </c>
      <c r="E393">
        <f t="shared" si="90"/>
        <v>-7.453252784840231</v>
      </c>
      <c r="F393">
        <f t="shared" si="91"/>
        <v>0.33333333333333331</v>
      </c>
      <c r="G393">
        <f t="shared" si="92"/>
        <v>-7.7861116020915198</v>
      </c>
      <c r="H393">
        <f t="shared" si="94"/>
        <v>-1.8333333333333333</v>
      </c>
      <c r="I393">
        <f t="shared" si="94"/>
        <v>-2.7574835416672299</v>
      </c>
      <c r="J393">
        <f t="shared" si="86"/>
        <v>1985.5833333333301</v>
      </c>
      <c r="K393">
        <f t="shared" si="87"/>
        <v>-72</v>
      </c>
      <c r="L393">
        <f t="shared" si="88"/>
        <v>-96.215859236051102</v>
      </c>
      <c r="M393" s="5">
        <v>1912.5833333333301</v>
      </c>
      <c r="N393" s="5">
        <v>-30</v>
      </c>
      <c r="O393" s="5">
        <v>-79.9789458788254</v>
      </c>
      <c r="Q393">
        <f t="shared" si="93"/>
        <v>8.1194449354248537</v>
      </c>
      <c r="R393">
        <f t="shared" si="89"/>
        <v>21.656344041981754</v>
      </c>
    </row>
    <row r="394" spans="1:18" x14ac:dyDescent="0.25">
      <c r="A394">
        <f t="shared" si="84"/>
        <v>1985.6666666666599</v>
      </c>
      <c r="B394">
        <f t="shared" si="84"/>
        <v>-76</v>
      </c>
      <c r="C394">
        <f t="shared" si="85"/>
        <v>-69.833803906050377</v>
      </c>
      <c r="D394">
        <f t="shared" si="90"/>
        <v>3.5</v>
      </c>
      <c r="E394">
        <f t="shared" si="90"/>
        <v>-0.95204256420687727</v>
      </c>
      <c r="F394">
        <f t="shared" si="91"/>
        <v>-8</v>
      </c>
      <c r="G394">
        <f t="shared" si="92"/>
        <v>-2.8869605173520956</v>
      </c>
      <c r="H394">
        <f t="shared" si="94"/>
        <v>-4.8666666666666663</v>
      </c>
      <c r="I394">
        <f t="shared" si="94"/>
        <v>-3.7251947860227395</v>
      </c>
      <c r="J394">
        <f t="shared" si="86"/>
        <v>1985.6666666666599</v>
      </c>
      <c r="K394">
        <f t="shared" si="87"/>
        <v>-76</v>
      </c>
      <c r="L394">
        <f t="shared" si="88"/>
        <v>-119.603331534977</v>
      </c>
      <c r="M394" s="5">
        <v>1912.6666666666599</v>
      </c>
      <c r="N394" s="5">
        <v>-30</v>
      </c>
      <c r="O394" s="5">
        <v>-110.226038629024</v>
      </c>
      <c r="Q394">
        <f t="shared" si="93"/>
        <v>5.1130394826479044</v>
      </c>
      <c r="R394">
        <f t="shared" si="89"/>
        <v>6.1661960939496225</v>
      </c>
    </row>
    <row r="395" spans="1:18" x14ac:dyDescent="0.25">
      <c r="A395">
        <f t="shared" si="84"/>
        <v>1985.75</v>
      </c>
      <c r="B395">
        <f t="shared" si="84"/>
        <v>-87</v>
      </c>
      <c r="C395">
        <f t="shared" si="85"/>
        <v>-87.419866725668754</v>
      </c>
      <c r="D395">
        <f t="shared" si="90"/>
        <v>-5.5</v>
      </c>
      <c r="E395">
        <f t="shared" si="90"/>
        <v>-2.4208065910232506</v>
      </c>
      <c r="F395">
        <f t="shared" si="91"/>
        <v>-1.3333333333333333</v>
      </c>
      <c r="G395">
        <f t="shared" si="92"/>
        <v>-1.772422687705792</v>
      </c>
      <c r="H395">
        <f t="shared" si="94"/>
        <v>-3.2333333333333334</v>
      </c>
      <c r="I395">
        <f t="shared" si="94"/>
        <v>-3.6058150464169998</v>
      </c>
      <c r="J395">
        <f t="shared" si="86"/>
        <v>1985.75</v>
      </c>
      <c r="K395">
        <f t="shared" si="87"/>
        <v>-87</v>
      </c>
      <c r="L395">
        <f t="shared" si="88"/>
        <v>-140.705970577926</v>
      </c>
      <c r="M395" s="5">
        <v>1912.75</v>
      </c>
      <c r="N395" s="5">
        <v>-30</v>
      </c>
      <c r="O395" s="5">
        <v>-145.32808183384199</v>
      </c>
      <c r="Q395">
        <f t="shared" si="93"/>
        <v>0.43908935437245877</v>
      </c>
      <c r="R395">
        <f t="shared" si="89"/>
        <v>0.41986672566875427</v>
      </c>
    </row>
    <row r="396" spans="1:18" x14ac:dyDescent="0.25">
      <c r="A396">
        <f t="shared" si="84"/>
        <v>1985.8333333333301</v>
      </c>
      <c r="B396">
        <f t="shared" si="84"/>
        <v>-87</v>
      </c>
      <c r="C396">
        <f t="shared" si="85"/>
        <v>-100.16431636324063</v>
      </c>
      <c r="D396">
        <f t="shared" si="90"/>
        <v>-2</v>
      </c>
      <c r="E396">
        <f t="shared" si="90"/>
        <v>-3.2737359236665924</v>
      </c>
      <c r="F396">
        <f t="shared" si="91"/>
        <v>-7.166666666666667</v>
      </c>
      <c r="G396">
        <f t="shared" si="92"/>
        <v>-2.7093343685090874</v>
      </c>
      <c r="H396">
        <f t="shared" si="94"/>
        <v>-2.6333333333333333</v>
      </c>
      <c r="I396">
        <f t="shared" si="94"/>
        <v>-2.26713999112537</v>
      </c>
      <c r="J396">
        <f t="shared" si="86"/>
        <v>1985.8333333333301</v>
      </c>
      <c r="K396">
        <f t="shared" si="87"/>
        <v>-87</v>
      </c>
      <c r="L396">
        <f t="shared" si="88"/>
        <v>-155.99884899313901</v>
      </c>
      <c r="M396" s="5">
        <v>1912.8333333333301</v>
      </c>
      <c r="N396" s="5">
        <v>-30</v>
      </c>
      <c r="O396" s="5">
        <v>-171.68851815164899</v>
      </c>
      <c r="Q396">
        <f t="shared" si="93"/>
        <v>4.4573322981575796</v>
      </c>
      <c r="R396">
        <f t="shared" si="89"/>
        <v>13.16431636324063</v>
      </c>
    </row>
    <row r="397" spans="1:18" x14ac:dyDescent="0.25">
      <c r="A397">
        <f t="shared" si="84"/>
        <v>1985.9166666666599</v>
      </c>
      <c r="B397">
        <f t="shared" si="84"/>
        <v>-83</v>
      </c>
      <c r="C397">
        <f t="shared" si="85"/>
        <v>-106.36129415347932</v>
      </c>
      <c r="D397">
        <f t="shared" si="90"/>
        <v>-14</v>
      </c>
      <c r="E397">
        <f t="shared" si="90"/>
        <v>-4.465461367219234</v>
      </c>
      <c r="F397">
        <f t="shared" si="91"/>
        <v>0</v>
      </c>
      <c r="G397">
        <f t="shared" si="92"/>
        <v>-2.8742460564265042</v>
      </c>
      <c r="H397">
        <f t="shared" si="94"/>
        <v>0.56666666666666676</v>
      </c>
      <c r="I397">
        <f t="shared" si="94"/>
        <v>-1.3634181963809435</v>
      </c>
      <c r="J397">
        <f t="shared" si="86"/>
        <v>1985.9166666666599</v>
      </c>
      <c r="K397">
        <f t="shared" si="87"/>
        <v>-83</v>
      </c>
      <c r="L397">
        <f t="shared" si="88"/>
        <v>-163.434998107692</v>
      </c>
      <c r="M397" s="5">
        <v>1912.9166666666599</v>
      </c>
      <c r="N397" s="5">
        <v>-30</v>
      </c>
      <c r="O397" s="5">
        <v>-185.70500775170899</v>
      </c>
      <c r="Q397">
        <f t="shared" si="93"/>
        <v>2.8742460564265042</v>
      </c>
      <c r="R397">
        <f t="shared" si="89"/>
        <v>23.361294153479321</v>
      </c>
    </row>
    <row r="398" spans="1:18" x14ac:dyDescent="0.25">
      <c r="A398">
        <f t="shared" si="84"/>
        <v>1986</v>
      </c>
      <c r="B398">
        <f t="shared" si="84"/>
        <v>-51</v>
      </c>
      <c r="C398">
        <f t="shared" si="85"/>
        <v>-103.62734920927954</v>
      </c>
      <c r="D398">
        <f t="shared" si="90"/>
        <v>16</v>
      </c>
      <c r="E398">
        <f t="shared" si="90"/>
        <v>-3.0392254207135636</v>
      </c>
      <c r="F398">
        <f t="shared" si="91"/>
        <v>3.3333333333333335</v>
      </c>
      <c r="G398">
        <f t="shared" si="92"/>
        <v>-1.0927363256333706</v>
      </c>
      <c r="H398">
        <f t="shared" si="94"/>
        <v>1.0999999999999999</v>
      </c>
      <c r="I398">
        <f t="shared" si="94"/>
        <v>-0.37772970888776169</v>
      </c>
      <c r="J398">
        <f t="shared" si="86"/>
        <v>1986</v>
      </c>
      <c r="K398">
        <f t="shared" si="87"/>
        <v>-51</v>
      </c>
      <c r="L398">
        <f t="shared" si="88"/>
        <v>-160.15436310072599</v>
      </c>
      <c r="M398" s="5">
        <v>1913</v>
      </c>
      <c r="N398" s="5">
        <v>-30</v>
      </c>
      <c r="O398" s="5">
        <v>-187.961007066701</v>
      </c>
      <c r="Q398">
        <f t="shared" si="93"/>
        <v>4.4260696589667043</v>
      </c>
      <c r="R398">
        <f t="shared" si="89"/>
        <v>52.627349209279544</v>
      </c>
    </row>
    <row r="399" spans="1:18" x14ac:dyDescent="0.25">
      <c r="A399">
        <f t="shared" si="84"/>
        <v>1986.0833333333301</v>
      </c>
      <c r="B399">
        <f t="shared" si="84"/>
        <v>-51</v>
      </c>
      <c r="C399">
        <f t="shared" si="85"/>
        <v>-94.814953423652653</v>
      </c>
      <c r="D399">
        <f t="shared" si="90"/>
        <v>8</v>
      </c>
      <c r="E399">
        <f t="shared" si="90"/>
        <v>3.4069255668076579</v>
      </c>
      <c r="F399">
        <f t="shared" si="91"/>
        <v>8</v>
      </c>
      <c r="G399">
        <f t="shared" si="92"/>
        <v>1.6316484563700369</v>
      </c>
      <c r="H399">
        <f t="shared" si="94"/>
        <v>3.1000000000000005</v>
      </c>
      <c r="I399">
        <f t="shared" si="94"/>
        <v>0.54736041811622882</v>
      </c>
      <c r="J399">
        <f t="shared" si="86"/>
        <v>1986.0833333333301</v>
      </c>
      <c r="K399">
        <f t="shared" si="87"/>
        <v>-51</v>
      </c>
      <c r="L399">
        <f t="shared" si="88"/>
        <v>-149.57980702895799</v>
      </c>
      <c r="M399" s="5">
        <v>1913.0833333333301</v>
      </c>
      <c r="N399" s="5">
        <v>-30</v>
      </c>
      <c r="O399" s="5">
        <v>-184.789825408057</v>
      </c>
      <c r="Q399">
        <f t="shared" si="93"/>
        <v>6.3683515436299629</v>
      </c>
      <c r="R399">
        <f t="shared" si="89"/>
        <v>43.814953423652653</v>
      </c>
    </row>
    <row r="400" spans="1:18" x14ac:dyDescent="0.25">
      <c r="A400">
        <f t="shared" si="84"/>
        <v>1986.1666666666599</v>
      </c>
      <c r="B400">
        <f t="shared" si="84"/>
        <v>-67</v>
      </c>
      <c r="C400">
        <f t="shared" si="85"/>
        <v>-92.816408771641065</v>
      </c>
      <c r="D400">
        <f t="shared" si="90"/>
        <v>0</v>
      </c>
      <c r="E400">
        <f t="shared" si="90"/>
        <v>5.750981565293543</v>
      </c>
      <c r="F400">
        <f t="shared" si="91"/>
        <v>1.3333333333333333</v>
      </c>
      <c r="G400">
        <f t="shared" si="92"/>
        <v>3.1560197497601168</v>
      </c>
      <c r="H400">
        <f t="shared" si="94"/>
        <v>2.5666666666666673</v>
      </c>
      <c r="I400">
        <f t="shared" si="94"/>
        <v>0.90971428004584143</v>
      </c>
      <c r="J400">
        <f t="shared" si="86"/>
        <v>1986.1666666666599</v>
      </c>
      <c r="K400">
        <f t="shared" si="87"/>
        <v>-67</v>
      </c>
      <c r="L400">
        <f t="shared" si="88"/>
        <v>-147.18162576262199</v>
      </c>
      <c r="M400" s="5">
        <v>1913.1666666666599</v>
      </c>
      <c r="N400" s="5">
        <v>-30</v>
      </c>
      <c r="O400" s="5">
        <v>-186.38288403513599</v>
      </c>
      <c r="Q400">
        <f t="shared" si="93"/>
        <v>1.8226864164267835</v>
      </c>
      <c r="R400">
        <f t="shared" si="89"/>
        <v>25.816408771641065</v>
      </c>
    </row>
    <row r="401" spans="1:18" x14ac:dyDescent="0.25">
      <c r="A401">
        <f t="shared" si="84"/>
        <v>1986.25</v>
      </c>
      <c r="B401">
        <f t="shared" si="84"/>
        <v>-83</v>
      </c>
      <c r="C401">
        <f t="shared" si="85"/>
        <v>-102.31982725021658</v>
      </c>
      <c r="D401">
        <f t="shared" si="90"/>
        <v>-4</v>
      </c>
      <c r="E401">
        <f t="shared" si="90"/>
        <v>2.6771669294992364</v>
      </c>
      <c r="F401">
        <f t="shared" si="91"/>
        <v>2.8333333333333335</v>
      </c>
      <c r="G401">
        <f t="shared" si="92"/>
        <v>1.9161162665108653</v>
      </c>
      <c r="H401">
        <f t="shared" si="94"/>
        <v>1.3666666666666671</v>
      </c>
      <c r="I401">
        <f t="shared" si="94"/>
        <v>0.42045352522129942</v>
      </c>
      <c r="J401">
        <f t="shared" si="86"/>
        <v>1986.25</v>
      </c>
      <c r="K401">
        <f t="shared" si="87"/>
        <v>-83</v>
      </c>
      <c r="L401">
        <f t="shared" si="88"/>
        <v>-158.585384061708</v>
      </c>
      <c r="M401" s="5">
        <v>1913.25</v>
      </c>
      <c r="N401" s="5">
        <v>-30</v>
      </c>
      <c r="O401" s="5">
        <v>-192.23885971895399</v>
      </c>
      <c r="Q401">
        <f t="shared" si="93"/>
        <v>0.91721706682246817</v>
      </c>
      <c r="R401">
        <f t="shared" si="89"/>
        <v>19.319827250216576</v>
      </c>
    </row>
    <row r="402" spans="1:18" x14ac:dyDescent="0.25">
      <c r="A402">
        <f t="shared" si="84"/>
        <v>1986.3333333333301</v>
      </c>
      <c r="B402">
        <f t="shared" si="84"/>
        <v>-91</v>
      </c>
      <c r="C402">
        <f t="shared" si="85"/>
        <v>-117.17757958779055</v>
      </c>
      <c r="D402">
        <f t="shared" si="90"/>
        <v>12.5</v>
      </c>
      <c r="E402">
        <f t="shared" si="90"/>
        <v>-1.2427124953770345</v>
      </c>
      <c r="F402">
        <f t="shared" si="91"/>
        <v>-2.6666666666666665</v>
      </c>
      <c r="G402">
        <f t="shared" si="92"/>
        <v>-1.0624767467784408</v>
      </c>
      <c r="H402">
        <f t="shared" si="94"/>
        <v>-2.0666666666666664</v>
      </c>
      <c r="I402">
        <f t="shared" si="94"/>
        <v>-0.7401005083978347</v>
      </c>
      <c r="J402">
        <f t="shared" si="86"/>
        <v>1986.3333333333301</v>
      </c>
      <c r="K402">
        <f t="shared" si="87"/>
        <v>-91</v>
      </c>
      <c r="L402">
        <f t="shared" si="88"/>
        <v>-176.41414924839799</v>
      </c>
      <c r="M402" s="5">
        <v>1913.3333333333301</v>
      </c>
      <c r="N402" s="5">
        <v>-30</v>
      </c>
      <c r="O402" s="5">
        <v>-197.246451439087</v>
      </c>
      <c r="Q402">
        <f t="shared" si="93"/>
        <v>1.6041899198882257</v>
      </c>
      <c r="R402">
        <f t="shared" si="89"/>
        <v>26.177579587790547</v>
      </c>
    </row>
    <row r="403" spans="1:18" x14ac:dyDescent="0.25">
      <c r="A403">
        <f t="shared" si="84"/>
        <v>1986.4166666666599</v>
      </c>
      <c r="B403">
        <f t="shared" si="84"/>
        <v>-124</v>
      </c>
      <c r="C403">
        <f t="shared" si="85"/>
        <v>-129.54990693461045</v>
      </c>
      <c r="D403">
        <f t="shared" si="90"/>
        <v>-16.5</v>
      </c>
      <c r="E403">
        <f t="shared" si="90"/>
        <v>-5.4187422345413552</v>
      </c>
      <c r="F403">
        <f t="shared" si="91"/>
        <v>-2.6666666666666665</v>
      </c>
      <c r="G403">
        <f t="shared" si="92"/>
        <v>-3.5390400997560811</v>
      </c>
      <c r="H403">
        <f t="shared" si="94"/>
        <v>-2.333333333333333</v>
      </c>
      <c r="I403">
        <f t="shared" si="94"/>
        <v>-1.7918760977850858</v>
      </c>
      <c r="J403">
        <f t="shared" si="86"/>
        <v>1986.4166666666599</v>
      </c>
      <c r="K403">
        <f t="shared" si="87"/>
        <v>-124</v>
      </c>
      <c r="L403">
        <f t="shared" si="88"/>
        <v>-191.26049437971901</v>
      </c>
      <c r="M403" s="5">
        <v>1913.4166666666599</v>
      </c>
      <c r="N403" s="5">
        <v>-30</v>
      </c>
      <c r="O403" s="5">
        <v>-198.39068558815899</v>
      </c>
      <c r="Q403">
        <f t="shared" si="93"/>
        <v>0.87237343308941462</v>
      </c>
      <c r="R403">
        <f t="shared" si="89"/>
        <v>5.5499069346104477</v>
      </c>
    </row>
    <row r="404" spans="1:18" x14ac:dyDescent="0.25">
      <c r="A404">
        <f t="shared" si="84"/>
        <v>1986.5</v>
      </c>
      <c r="B404">
        <f t="shared" si="84"/>
        <v>-124</v>
      </c>
      <c r="C404">
        <f t="shared" si="85"/>
        <v>-131.08474981234764</v>
      </c>
      <c r="D404">
        <f t="shared" si="90"/>
        <v>-4</v>
      </c>
      <c r="E404">
        <f t="shared" si="90"/>
        <v>-6.6099456441669133</v>
      </c>
      <c r="F404">
        <f t="shared" si="91"/>
        <v>-9.1666666666666661</v>
      </c>
      <c r="G404">
        <f t="shared" si="92"/>
        <v>-4.1711217117256334</v>
      </c>
      <c r="H404">
        <f t="shared" si="94"/>
        <v>-2.166666666666667</v>
      </c>
      <c r="I404">
        <f t="shared" si="94"/>
        <v>-1.9363338629938336</v>
      </c>
      <c r="J404">
        <f t="shared" si="86"/>
        <v>1986.5</v>
      </c>
      <c r="K404">
        <f t="shared" si="87"/>
        <v>-124</v>
      </c>
      <c r="L404">
        <f t="shared" si="88"/>
        <v>-193.10225029568201</v>
      </c>
      <c r="M404" s="5">
        <v>1913.5</v>
      </c>
      <c r="N404" s="5">
        <v>-30</v>
      </c>
      <c r="O404" s="5">
        <v>-189.81092021011699</v>
      </c>
      <c r="Q404">
        <f t="shared" si="93"/>
        <v>4.9955449549410327</v>
      </c>
      <c r="R404">
        <f t="shared" si="89"/>
        <v>7.0847498123476385</v>
      </c>
    </row>
    <row r="405" spans="1:18" x14ac:dyDescent="0.25">
      <c r="A405">
        <f t="shared" si="84"/>
        <v>1986.5833333333301</v>
      </c>
      <c r="B405">
        <f t="shared" si="84"/>
        <v>-116</v>
      </c>
      <c r="C405">
        <f t="shared" si="85"/>
        <v>-119.399701401751</v>
      </c>
      <c r="D405">
        <f t="shared" si="90"/>
        <v>-7</v>
      </c>
      <c r="E405">
        <f t="shared" si="90"/>
        <v>-3.613018540262857</v>
      </c>
      <c r="F405">
        <f t="shared" si="91"/>
        <v>0</v>
      </c>
      <c r="G405">
        <f t="shared" si="92"/>
        <v>-2.1028581971761393</v>
      </c>
      <c r="H405">
        <f t="shared" si="94"/>
        <v>-0.9</v>
      </c>
      <c r="I405">
        <f t="shared" si="94"/>
        <v>-1.1654735240894634</v>
      </c>
      <c r="J405">
        <f t="shared" si="86"/>
        <v>1986.5833333333301</v>
      </c>
      <c r="K405">
        <f t="shared" si="87"/>
        <v>-116</v>
      </c>
      <c r="L405">
        <f t="shared" si="88"/>
        <v>-179.080615019074</v>
      </c>
      <c r="M405" s="5">
        <v>1913.5833333333301</v>
      </c>
      <c r="N405" s="5">
        <v>-30</v>
      </c>
      <c r="O405" s="5">
        <v>-168.87003327841401</v>
      </c>
      <c r="Q405">
        <f t="shared" si="93"/>
        <v>2.1028581971761393</v>
      </c>
      <c r="R405">
        <f t="shared" si="89"/>
        <v>3.3997014017510025</v>
      </c>
    </row>
    <row r="406" spans="1:18" x14ac:dyDescent="0.25">
      <c r="A406">
        <f t="shared" si="84"/>
        <v>1986.6666666666599</v>
      </c>
      <c r="B406">
        <f t="shared" si="84"/>
        <v>-94</v>
      </c>
      <c r="C406">
        <f t="shared" si="85"/>
        <v>-100.48861591062865</v>
      </c>
      <c r="D406">
        <f t="shared" si="90"/>
        <v>11</v>
      </c>
      <c r="E406">
        <f t="shared" si="90"/>
        <v>2.337245945019248</v>
      </c>
      <c r="F406">
        <f t="shared" si="91"/>
        <v>3.6666666666666665</v>
      </c>
      <c r="G406">
        <f t="shared" si="92"/>
        <v>1.1938274404671272</v>
      </c>
      <c r="H406">
        <f t="shared" si="94"/>
        <v>-1.0666666666666669</v>
      </c>
      <c r="I406">
        <f t="shared" si="94"/>
        <v>-0.15873572137831368</v>
      </c>
      <c r="J406">
        <f t="shared" si="86"/>
        <v>1986.6666666666599</v>
      </c>
      <c r="K406">
        <f t="shared" si="87"/>
        <v>-94</v>
      </c>
      <c r="L406">
        <f t="shared" si="88"/>
        <v>-156.38799671543001</v>
      </c>
      <c r="M406" s="5">
        <v>1913.6666666666599</v>
      </c>
      <c r="N406" s="5">
        <v>-30</v>
      </c>
      <c r="O406" s="5">
        <v>-143.883250374867</v>
      </c>
      <c r="Q406">
        <f t="shared" si="93"/>
        <v>2.4728392261995396</v>
      </c>
      <c r="R406">
        <f t="shared" si="89"/>
        <v>6.4886159106286527</v>
      </c>
    </row>
    <row r="407" spans="1:18" x14ac:dyDescent="0.25">
      <c r="A407">
        <f t="shared" si="84"/>
        <v>1986.75</v>
      </c>
      <c r="B407">
        <f t="shared" si="84"/>
        <v>-94</v>
      </c>
      <c r="C407">
        <f t="shared" si="85"/>
        <v>-86.252022309544799</v>
      </c>
      <c r="D407">
        <f t="shared" si="90"/>
        <v>7</v>
      </c>
      <c r="E407">
        <f t="shared" si="90"/>
        <v>5.7526254969953357</v>
      </c>
      <c r="F407">
        <f t="shared" si="91"/>
        <v>3.6666666666666665</v>
      </c>
      <c r="G407">
        <f t="shared" si="92"/>
        <v>2.7918249477434114</v>
      </c>
      <c r="H407">
        <f t="shared" si="94"/>
        <v>0.29999999999999993</v>
      </c>
      <c r="I407">
        <f t="shared" si="94"/>
        <v>0.65864432029030406</v>
      </c>
      <c r="J407">
        <f t="shared" si="86"/>
        <v>1986.75</v>
      </c>
      <c r="K407">
        <f t="shared" si="87"/>
        <v>-94</v>
      </c>
      <c r="L407">
        <f t="shared" si="88"/>
        <v>-139.30459953629099</v>
      </c>
      <c r="M407" s="5">
        <v>1913.75</v>
      </c>
      <c r="N407" s="5">
        <v>-30</v>
      </c>
      <c r="O407" s="5">
        <v>-124.29638831264</v>
      </c>
      <c r="Q407">
        <f t="shared" si="93"/>
        <v>0.87484171892325513</v>
      </c>
      <c r="R407">
        <f t="shared" si="89"/>
        <v>7.7479776904552011</v>
      </c>
    </row>
    <row r="408" spans="1:18" x14ac:dyDescent="0.25">
      <c r="A408">
        <f t="shared" si="84"/>
        <v>1986.8333333333301</v>
      </c>
      <c r="B408">
        <f t="shared" si="84"/>
        <v>-108</v>
      </c>
      <c r="C408">
        <f t="shared" si="85"/>
        <v>-83.520679702451631</v>
      </c>
      <c r="D408">
        <f t="shared" si="90"/>
        <v>-7</v>
      </c>
      <c r="E408">
        <f t="shared" si="90"/>
        <v>2.3794721120232083</v>
      </c>
      <c r="F408">
        <f t="shared" si="91"/>
        <v>-3.5</v>
      </c>
      <c r="G408">
        <f t="shared" si="92"/>
        <v>1.494648913799665</v>
      </c>
      <c r="H408">
        <f t="shared" ref="H408:I423" si="95">+AVERAGE(F406:F410)</f>
        <v>0.29999999999999993</v>
      </c>
      <c r="I408">
        <f t="shared" si="95"/>
        <v>1.0400534172647249</v>
      </c>
      <c r="J408">
        <f t="shared" si="86"/>
        <v>1986.8333333333301</v>
      </c>
      <c r="K408">
        <f t="shared" si="87"/>
        <v>-108</v>
      </c>
      <c r="L408">
        <f t="shared" si="88"/>
        <v>-136.027087239689</v>
      </c>
      <c r="M408" s="5">
        <v>1913.8333333333301</v>
      </c>
      <c r="N408" s="5">
        <v>-30</v>
      </c>
      <c r="O408" s="5">
        <v>-106.564196830662</v>
      </c>
      <c r="Q408">
        <f t="shared" si="93"/>
        <v>4.994648913799665</v>
      </c>
      <c r="R408">
        <f t="shared" si="89"/>
        <v>24.479320297548369</v>
      </c>
    </row>
    <row r="409" spans="1:18" x14ac:dyDescent="0.25">
      <c r="A409">
        <f t="shared" si="84"/>
        <v>1986.9166666666599</v>
      </c>
      <c r="B409">
        <f t="shared" si="84"/>
        <v>-108</v>
      </c>
      <c r="C409">
        <f t="shared" si="85"/>
        <v>-85.548281319404865</v>
      </c>
      <c r="D409">
        <f t="shared" si="90"/>
        <v>-10.5</v>
      </c>
      <c r="E409">
        <f t="shared" si="90"/>
        <v>-2.5271641822698001</v>
      </c>
      <c r="F409">
        <f t="shared" si="91"/>
        <v>-2.3333333333333335</v>
      </c>
      <c r="G409">
        <f t="shared" si="92"/>
        <v>-8.4221503382544458E-2</v>
      </c>
      <c r="H409">
        <f t="shared" si="95"/>
        <v>-0.9</v>
      </c>
      <c r="I409">
        <f t="shared" si="95"/>
        <v>0.69054494656047449</v>
      </c>
      <c r="J409">
        <f t="shared" si="86"/>
        <v>1986.9166666666599</v>
      </c>
      <c r="K409">
        <f t="shared" si="87"/>
        <v>-108</v>
      </c>
      <c r="L409">
        <f t="shared" si="88"/>
        <v>-138.46013581254701</v>
      </c>
      <c r="M409" s="5">
        <v>1913.9166666666599</v>
      </c>
      <c r="N409" s="5">
        <v>-30</v>
      </c>
      <c r="O409" s="5">
        <v>-74.020842167311898</v>
      </c>
      <c r="Q409">
        <f t="shared" si="93"/>
        <v>2.2491118299507891</v>
      </c>
      <c r="R409">
        <f t="shared" si="89"/>
        <v>22.451718680595135</v>
      </c>
    </row>
    <row r="410" spans="1:18" x14ac:dyDescent="0.25">
      <c r="A410">
        <f t="shared" si="84"/>
        <v>1987</v>
      </c>
      <c r="B410">
        <f t="shared" si="84"/>
        <v>-87</v>
      </c>
      <c r="C410">
        <f t="shared" si="85"/>
        <v>-82.521554571818484</v>
      </c>
      <c r="D410">
        <f t="shared" si="90"/>
        <v>10.5</v>
      </c>
      <c r="E410">
        <f t="shared" si="90"/>
        <v>-0.16813856743794986</v>
      </c>
      <c r="F410">
        <f t="shared" si="91"/>
        <v>0</v>
      </c>
      <c r="G410">
        <f t="shared" si="92"/>
        <v>-0.19581271230403371</v>
      </c>
      <c r="H410">
        <f t="shared" si="95"/>
        <v>-2.4333333333333336</v>
      </c>
      <c r="I410">
        <f t="shared" si="95"/>
        <v>-0.30471124666340377</v>
      </c>
      <c r="J410">
        <f t="shared" si="86"/>
        <v>1987</v>
      </c>
      <c r="K410">
        <f t="shared" si="87"/>
        <v>-87</v>
      </c>
      <c r="L410">
        <f t="shared" si="88"/>
        <v>-134.828173235642</v>
      </c>
      <c r="M410" s="5">
        <v>1914</v>
      </c>
      <c r="N410" s="5">
        <v>-30</v>
      </c>
      <c r="O410" s="5">
        <v>2.22806163685404</v>
      </c>
      <c r="Q410">
        <f t="shared" si="93"/>
        <v>0.19581271230403371</v>
      </c>
      <c r="R410">
        <f t="shared" si="89"/>
        <v>4.4784454281815158</v>
      </c>
    </row>
    <row r="411" spans="1:18" x14ac:dyDescent="0.25">
      <c r="A411">
        <f t="shared" si="84"/>
        <v>1987.0833333333301</v>
      </c>
      <c r="B411">
        <f t="shared" si="84"/>
        <v>-87</v>
      </c>
      <c r="C411">
        <f t="shared" si="85"/>
        <v>-79.158550689356204</v>
      </c>
      <c r="D411">
        <f t="shared" si="90"/>
        <v>0</v>
      </c>
      <c r="E411">
        <f t="shared" si="90"/>
        <v>1.9610050785676236</v>
      </c>
      <c r="F411">
        <f t="shared" si="91"/>
        <v>-2.3333333333333335</v>
      </c>
      <c r="G411">
        <f t="shared" si="92"/>
        <v>-0.55371491305412524</v>
      </c>
      <c r="H411">
        <f t="shared" si="95"/>
        <v>-1.8000000000000003</v>
      </c>
      <c r="I411">
        <f t="shared" si="95"/>
        <v>-1.418639681289775</v>
      </c>
      <c r="J411">
        <f t="shared" si="86"/>
        <v>1987.0833333333301</v>
      </c>
      <c r="K411">
        <f t="shared" si="87"/>
        <v>-87</v>
      </c>
      <c r="L411">
        <f t="shared" si="88"/>
        <v>-130.79269026486199</v>
      </c>
      <c r="M411" s="5">
        <v>1914.0833333333301</v>
      </c>
      <c r="N411" s="5">
        <v>-30</v>
      </c>
      <c r="O411" s="5">
        <v>66.043304867918593</v>
      </c>
      <c r="Q411">
        <f t="shared" si="93"/>
        <v>1.7796184202792082</v>
      </c>
      <c r="R411">
        <f t="shared" si="89"/>
        <v>7.8414493106437959</v>
      </c>
    </row>
    <row r="412" spans="1:18" x14ac:dyDescent="0.25">
      <c r="A412">
        <f t="shared" si="84"/>
        <v>1987.1666666666599</v>
      </c>
      <c r="B412">
        <f t="shared" si="84"/>
        <v>-87</v>
      </c>
      <c r="C412">
        <f t="shared" si="85"/>
        <v>-79.717556964029171</v>
      </c>
      <c r="D412">
        <f t="shared" si="90"/>
        <v>-17.5</v>
      </c>
      <c r="E412">
        <f t="shared" si="90"/>
        <v>-3.8692974350826432</v>
      </c>
      <c r="F412">
        <f t="shared" si="91"/>
        <v>-4</v>
      </c>
      <c r="G412">
        <f t="shared" si="92"/>
        <v>-2.1844560183759807</v>
      </c>
      <c r="H412">
        <f t="shared" si="95"/>
        <v>-2.5</v>
      </c>
      <c r="I412">
        <f t="shared" si="95"/>
        <v>-2.6071426675217522</v>
      </c>
      <c r="J412">
        <f t="shared" si="86"/>
        <v>1987.1666666666599</v>
      </c>
      <c r="K412">
        <f t="shared" si="87"/>
        <v>-87</v>
      </c>
      <c r="L412">
        <f t="shared" si="88"/>
        <v>-131.46347756718001</v>
      </c>
      <c r="M412" s="5">
        <v>1914.1666666666599</v>
      </c>
      <c r="N412" s="5">
        <v>-30</v>
      </c>
      <c r="O412" s="5">
        <v>85.987932196805602</v>
      </c>
      <c r="Q412">
        <f t="shared" si="93"/>
        <v>1.8155439816240193</v>
      </c>
      <c r="R412">
        <f t="shared" si="89"/>
        <v>7.2824430359708288</v>
      </c>
    </row>
    <row r="413" spans="1:18" x14ac:dyDescent="0.25">
      <c r="A413">
        <f t="shared" si="84"/>
        <v>1987.25</v>
      </c>
      <c r="B413">
        <f t="shared" si="84"/>
        <v>-52</v>
      </c>
      <c r="C413">
        <f t="shared" si="85"/>
        <v>-72.537968368536866</v>
      </c>
      <c r="D413">
        <f t="shared" si="90"/>
        <v>5.5</v>
      </c>
      <c r="E413">
        <f t="shared" si="90"/>
        <v>-6.2834177123949075</v>
      </c>
      <c r="F413">
        <f t="shared" si="91"/>
        <v>-0.33333333333333331</v>
      </c>
      <c r="G413">
        <f t="shared" si="92"/>
        <v>-4.0749932593321914</v>
      </c>
      <c r="H413">
        <f t="shared" si="95"/>
        <v>-4.0666666666666664</v>
      </c>
      <c r="I413">
        <f t="shared" si="95"/>
        <v>-3.3113511957890331</v>
      </c>
      <c r="J413">
        <f t="shared" si="86"/>
        <v>1987.25</v>
      </c>
      <c r="K413">
        <f t="shared" si="87"/>
        <v>-52</v>
      </c>
      <c r="L413">
        <f t="shared" si="88"/>
        <v>-122.848231041475</v>
      </c>
      <c r="M413" s="5">
        <v>1914.25</v>
      </c>
      <c r="N413" s="5">
        <v>-30</v>
      </c>
      <c r="O413" s="5">
        <v>95.153430866707495</v>
      </c>
      <c r="Q413">
        <f t="shared" si="93"/>
        <v>3.7416599259988579</v>
      </c>
      <c r="R413">
        <f t="shared" si="89"/>
        <v>20.537968368536866</v>
      </c>
    </row>
    <row r="414" spans="1:18" x14ac:dyDescent="0.25">
      <c r="A414">
        <f t="shared" si="84"/>
        <v>1987.3333333333301</v>
      </c>
      <c r="B414">
        <f t="shared" si="84"/>
        <v>-28</v>
      </c>
      <c r="C414">
        <f t="shared" si="85"/>
        <v>-52.79154434825476</v>
      </c>
      <c r="D414">
        <f t="shared" si="90"/>
        <v>11</v>
      </c>
      <c r="E414">
        <f t="shared" si="90"/>
        <v>-5.128509575018164</v>
      </c>
      <c r="F414">
        <f t="shared" si="91"/>
        <v>-5.833333333333333</v>
      </c>
      <c r="G414">
        <f t="shared" si="92"/>
        <v>-6.026736434542431</v>
      </c>
      <c r="H414">
        <f t="shared" si="95"/>
        <v>-3.5333333333333337</v>
      </c>
      <c r="I414">
        <f t="shared" si="95"/>
        <v>-2.7993989842227709</v>
      </c>
      <c r="J414">
        <f t="shared" si="86"/>
        <v>1987.3333333333301</v>
      </c>
      <c r="K414">
        <f t="shared" si="87"/>
        <v>-28</v>
      </c>
      <c r="L414">
        <f t="shared" si="88"/>
        <v>-99.153236729037204</v>
      </c>
      <c r="M414" s="5">
        <v>1914.3333333333301</v>
      </c>
      <c r="N414" s="5">
        <v>-30</v>
      </c>
      <c r="O414" s="5">
        <v>93.680917997729395</v>
      </c>
      <c r="Q414">
        <f t="shared" si="93"/>
        <v>0.19340310120909798</v>
      </c>
      <c r="R414">
        <f t="shared" si="89"/>
        <v>24.79154434825476</v>
      </c>
    </row>
    <row r="415" spans="1:18" x14ac:dyDescent="0.25">
      <c r="A415">
        <f t="shared" si="84"/>
        <v>1987.4166666666599</v>
      </c>
      <c r="B415">
        <f t="shared" si="84"/>
        <v>-26</v>
      </c>
      <c r="C415">
        <f t="shared" si="85"/>
        <v>-22.788101177936323</v>
      </c>
      <c r="D415">
        <f t="shared" si="90"/>
        <v>-34</v>
      </c>
      <c r="E415">
        <f t="shared" si="90"/>
        <v>-11.188334342121042</v>
      </c>
      <c r="F415">
        <f t="shared" si="91"/>
        <v>-7.833333333333333</v>
      </c>
      <c r="G415">
        <f t="shared" si="92"/>
        <v>-3.7168553536404367</v>
      </c>
      <c r="H415">
        <f t="shared" si="95"/>
        <v>0</v>
      </c>
      <c r="I415">
        <f t="shared" si="95"/>
        <v>-0.7619038206648131</v>
      </c>
      <c r="J415">
        <f t="shared" si="86"/>
        <v>1987.4166666666599</v>
      </c>
      <c r="K415">
        <f t="shared" si="87"/>
        <v>-26</v>
      </c>
      <c r="L415">
        <f t="shared" si="88"/>
        <v>-63.1501905803255</v>
      </c>
      <c r="M415" s="5">
        <v>1914.4166666666599</v>
      </c>
      <c r="N415" s="5">
        <v>-30</v>
      </c>
      <c r="O415" s="5">
        <v>72.660652190728499</v>
      </c>
      <c r="Q415">
        <f t="shared" si="93"/>
        <v>4.1164779796928963</v>
      </c>
      <c r="R415">
        <f t="shared" si="89"/>
        <v>3.2118988220636773</v>
      </c>
    </row>
    <row r="416" spans="1:18" x14ac:dyDescent="0.25">
      <c r="A416">
        <f t="shared" si="84"/>
        <v>1987.5</v>
      </c>
      <c r="B416">
        <f t="shared" si="84"/>
        <v>44</v>
      </c>
      <c r="C416">
        <f t="shared" si="85"/>
        <v>29.592010676624199</v>
      </c>
      <c r="D416">
        <f t="shared" si="90"/>
        <v>-0.5</v>
      </c>
      <c r="E416">
        <f t="shared" si="90"/>
        <v>2.378636340987569</v>
      </c>
      <c r="F416">
        <f t="shared" si="91"/>
        <v>0.33333333333333331</v>
      </c>
      <c r="G416">
        <f t="shared" si="92"/>
        <v>2.0060461447771853</v>
      </c>
      <c r="H416">
        <f t="shared" si="95"/>
        <v>3.0333333333333337</v>
      </c>
      <c r="I416">
        <f t="shared" si="95"/>
        <v>2.2693490439633011</v>
      </c>
      <c r="J416">
        <f t="shared" si="86"/>
        <v>1987.5</v>
      </c>
      <c r="K416">
        <f t="shared" si="87"/>
        <v>44</v>
      </c>
      <c r="L416">
        <f t="shared" si="88"/>
        <v>-0.29595169616850903</v>
      </c>
      <c r="M416" s="5">
        <v>1914.5</v>
      </c>
      <c r="N416" s="5">
        <v>-30</v>
      </c>
      <c r="O416" s="5">
        <v>41.267765228717501</v>
      </c>
      <c r="Q416">
        <f t="shared" si="93"/>
        <v>1.6727128114438521</v>
      </c>
      <c r="R416">
        <f t="shared" si="89"/>
        <v>14.407989323375801</v>
      </c>
    </row>
    <row r="417" spans="1:18" x14ac:dyDescent="0.25">
      <c r="A417">
        <f t="shared" si="84"/>
        <v>1987.5833333333301</v>
      </c>
      <c r="B417">
        <f t="shared" si="84"/>
        <v>115</v>
      </c>
      <c r="C417">
        <f t="shared" si="85"/>
        <v>77.214849849209585</v>
      </c>
      <c r="D417">
        <f t="shared" si="90"/>
        <v>35.5</v>
      </c>
      <c r="E417">
        <f t="shared" si="90"/>
        <v>16.332371044047918</v>
      </c>
      <c r="F417">
        <f t="shared" si="91"/>
        <v>13.666666666666666</v>
      </c>
      <c r="G417">
        <f t="shared" si="92"/>
        <v>8.0030197994138081</v>
      </c>
      <c r="H417">
        <f t="shared" si="95"/>
        <v>6.8</v>
      </c>
      <c r="I417">
        <f t="shared" si="95"/>
        <v>5.1819683680378246</v>
      </c>
      <c r="J417">
        <f t="shared" si="86"/>
        <v>1987.5833333333301</v>
      </c>
      <c r="K417">
        <f t="shared" si="87"/>
        <v>115</v>
      </c>
      <c r="L417">
        <f t="shared" si="88"/>
        <v>56.849732108530297</v>
      </c>
      <c r="M417" s="5">
        <v>1914.5833333333301</v>
      </c>
      <c r="N417" s="5">
        <v>-30</v>
      </c>
      <c r="O417" s="5">
        <v>8.5011898126446095</v>
      </c>
      <c r="Q417">
        <f t="shared" si="93"/>
        <v>5.6636468672528579</v>
      </c>
      <c r="R417">
        <f t="shared" si="89"/>
        <v>37.785150150790415</v>
      </c>
    </row>
    <row r="418" spans="1:18" x14ac:dyDescent="0.25">
      <c r="A418">
        <f t="shared" si="84"/>
        <v>1987.6666666666599</v>
      </c>
      <c r="B418">
        <f t="shared" si="84"/>
        <v>115</v>
      </c>
      <c r="C418">
        <f t="shared" si="85"/>
        <v>92.172946933699137</v>
      </c>
      <c r="D418">
        <f t="shared" si="90"/>
        <v>6</v>
      </c>
      <c r="E418">
        <f t="shared" si="90"/>
        <v>11.300316862766294</v>
      </c>
      <c r="F418">
        <f t="shared" si="91"/>
        <v>14.833333333333334</v>
      </c>
      <c r="G418">
        <f t="shared" si="92"/>
        <v>11.08127106380838</v>
      </c>
      <c r="H418">
        <f t="shared" si="95"/>
        <v>9.1333333333333346</v>
      </c>
      <c r="I418">
        <f t="shared" si="95"/>
        <v>6.0848129387346797</v>
      </c>
      <c r="J418">
        <f t="shared" si="86"/>
        <v>1987.6666666666599</v>
      </c>
      <c r="K418">
        <f t="shared" si="87"/>
        <v>115</v>
      </c>
      <c r="L418">
        <f t="shared" si="88"/>
        <v>74.7989073606076</v>
      </c>
      <c r="M418" s="5">
        <v>1914.6666666666599</v>
      </c>
      <c r="N418" s="5">
        <v>-30</v>
      </c>
      <c r="O418" s="5">
        <v>-26.996385759105401</v>
      </c>
      <c r="Q418">
        <f t="shared" si="93"/>
        <v>3.7520622695249539</v>
      </c>
      <c r="R418">
        <f t="shared" si="89"/>
        <v>22.827053066300863</v>
      </c>
    </row>
    <row r="419" spans="1:18" x14ac:dyDescent="0.25">
      <c r="A419">
        <f t="shared" si="84"/>
        <v>1987.75</v>
      </c>
      <c r="B419">
        <f t="shared" si="84"/>
        <v>103</v>
      </c>
      <c r="C419">
        <f t="shared" si="85"/>
        <v>84.530410292656114</v>
      </c>
      <c r="D419">
        <f t="shared" si="90"/>
        <v>3</v>
      </c>
      <c r="E419">
        <f t="shared" si="90"/>
        <v>13.922078582467208</v>
      </c>
      <c r="F419">
        <f t="shared" si="91"/>
        <v>13</v>
      </c>
      <c r="G419">
        <f t="shared" si="92"/>
        <v>8.5363601858301887</v>
      </c>
      <c r="H419">
        <f t="shared" si="95"/>
        <v>8.7666666666666675</v>
      </c>
      <c r="I419">
        <f t="shared" si="95"/>
        <v>4.5642810501951718</v>
      </c>
      <c r="J419">
        <f t="shared" si="86"/>
        <v>1987.75</v>
      </c>
      <c r="K419">
        <f t="shared" si="87"/>
        <v>103</v>
      </c>
      <c r="L419">
        <f t="shared" si="88"/>
        <v>65.628139931724803</v>
      </c>
      <c r="M419" s="5">
        <v>1914.75</v>
      </c>
      <c r="N419" s="5">
        <v>-30</v>
      </c>
      <c r="O419" s="5">
        <v>-60.5615784958826</v>
      </c>
      <c r="Q419">
        <f t="shared" si="93"/>
        <v>4.4636398141698113</v>
      </c>
      <c r="R419">
        <f t="shared" si="89"/>
        <v>18.469589707343886</v>
      </c>
    </row>
    <row r="420" spans="1:18" x14ac:dyDescent="0.25">
      <c r="A420">
        <f t="shared" si="84"/>
        <v>1987.8333333333301</v>
      </c>
      <c r="B420">
        <f t="shared" si="84"/>
        <v>85</v>
      </c>
      <c r="C420">
        <f t="shared" si="85"/>
        <v>49.043716486678662</v>
      </c>
      <c r="D420">
        <f t="shared" si="90"/>
        <v>30</v>
      </c>
      <c r="E420">
        <f t="shared" si="90"/>
        <v>6.7889552516297016</v>
      </c>
      <c r="F420">
        <f t="shared" si="91"/>
        <v>3.8333333333333335</v>
      </c>
      <c r="G420">
        <f t="shared" si="92"/>
        <v>0.79736749984383459</v>
      </c>
      <c r="H420">
        <f t="shared" si="95"/>
        <v>3.8666666666666671</v>
      </c>
      <c r="I420">
        <f t="shared" si="95"/>
        <v>1.1501709185992173</v>
      </c>
      <c r="J420">
        <f t="shared" si="86"/>
        <v>1987.8333333333301</v>
      </c>
      <c r="K420">
        <f t="shared" si="87"/>
        <v>85</v>
      </c>
      <c r="L420">
        <f t="shared" si="88"/>
        <v>23.045391428188701</v>
      </c>
      <c r="M420" s="5">
        <v>1914.8333333333301</v>
      </c>
      <c r="N420" s="5">
        <v>-30</v>
      </c>
      <c r="O420" s="5">
        <v>-94.205411649478094</v>
      </c>
      <c r="Q420">
        <f t="shared" si="93"/>
        <v>3.0359658334894988</v>
      </c>
      <c r="R420">
        <f t="shared" si="89"/>
        <v>35.956283513321338</v>
      </c>
    </row>
    <row r="421" spans="1:18" x14ac:dyDescent="0.25">
      <c r="A421">
        <f t="shared" si="84"/>
        <v>1987.9166666666599</v>
      </c>
      <c r="B421">
        <f t="shared" si="84"/>
        <v>7</v>
      </c>
      <c r="C421">
        <f t="shared" si="85"/>
        <v>-2.088782255819055E-2</v>
      </c>
      <c r="D421">
        <f t="shared" si="90"/>
        <v>-21.5</v>
      </c>
      <c r="E421">
        <f t="shared" si="90"/>
        <v>-17.72090570968253</v>
      </c>
      <c r="F421">
        <f t="shared" si="91"/>
        <v>-1.5</v>
      </c>
      <c r="G421">
        <f t="shared" si="92"/>
        <v>-5.5966132979203538</v>
      </c>
      <c r="H421">
        <f t="shared" si="95"/>
        <v>-0.26666666666666694</v>
      </c>
      <c r="I421">
        <f t="shared" si="95"/>
        <v>-1.9501669369709753</v>
      </c>
      <c r="J421">
        <f t="shared" si="86"/>
        <v>1987.9166666666599</v>
      </c>
      <c r="K421">
        <f t="shared" si="87"/>
        <v>7</v>
      </c>
      <c r="L421">
        <f t="shared" si="88"/>
        <v>-35.830358371129599</v>
      </c>
      <c r="M421" s="5">
        <v>1914.9166666666599</v>
      </c>
      <c r="N421" s="5">
        <v>-30</v>
      </c>
      <c r="O421" s="5">
        <v>-110.667013872826</v>
      </c>
      <c r="Q421">
        <f t="shared" si="93"/>
        <v>4.0966132979203538</v>
      </c>
      <c r="R421">
        <f t="shared" si="89"/>
        <v>7.0208878225581905</v>
      </c>
    </row>
    <row r="422" spans="1:18" x14ac:dyDescent="0.25">
      <c r="A422">
        <f t="shared" si="84"/>
        <v>1988</v>
      </c>
      <c r="B422">
        <f t="shared" si="84"/>
        <v>-28</v>
      </c>
      <c r="C422">
        <f t="shared" si="85"/>
        <v>-13.643680712429987</v>
      </c>
      <c r="D422">
        <f t="shared" si="90"/>
        <v>-13</v>
      </c>
      <c r="E422">
        <f t="shared" si="90"/>
        <v>-10.055349409148498</v>
      </c>
      <c r="F422">
        <f t="shared" si="91"/>
        <v>-10.833333333333334</v>
      </c>
      <c r="G422">
        <f t="shared" si="92"/>
        <v>-9.0675308585659646</v>
      </c>
      <c r="H422">
        <f t="shared" si="95"/>
        <v>-3.1666666666666665</v>
      </c>
      <c r="I422">
        <f t="shared" si="95"/>
        <v>-2.6448342236536186</v>
      </c>
      <c r="J422">
        <f t="shared" si="86"/>
        <v>1988</v>
      </c>
      <c r="K422">
        <f t="shared" si="87"/>
        <v>-28</v>
      </c>
      <c r="L422">
        <f t="shared" si="88"/>
        <v>-52.177216906805803</v>
      </c>
      <c r="M422" s="5">
        <v>1915</v>
      </c>
      <c r="N422" s="5">
        <v>-30</v>
      </c>
      <c r="O422" s="5">
        <v>-102.392258505038</v>
      </c>
      <c r="Q422">
        <f t="shared" si="93"/>
        <v>1.7658024747673693</v>
      </c>
      <c r="R422">
        <f t="shared" si="89"/>
        <v>14.356319287570013</v>
      </c>
    </row>
    <row r="423" spans="1:18" x14ac:dyDescent="0.25">
      <c r="A423">
        <f t="shared" si="84"/>
        <v>1988.0833333333301</v>
      </c>
      <c r="B423">
        <f t="shared" si="84"/>
        <v>-37</v>
      </c>
      <c r="C423">
        <f t="shared" si="85"/>
        <v>-7.1557747840047874</v>
      </c>
      <c r="D423">
        <f t="shared" si="90"/>
        <v>2</v>
      </c>
      <c r="E423">
        <f t="shared" si="90"/>
        <v>-6.2269856007913447</v>
      </c>
      <c r="F423">
        <f t="shared" si="91"/>
        <v>-5.833333333333333</v>
      </c>
      <c r="G423">
        <f t="shared" si="92"/>
        <v>-4.4204182140425816</v>
      </c>
      <c r="H423">
        <f t="shared" si="95"/>
        <v>-4.3</v>
      </c>
      <c r="I423">
        <f t="shared" si="95"/>
        <v>-0.78552227735767377</v>
      </c>
      <c r="J423">
        <f t="shared" si="86"/>
        <v>1988.0833333333301</v>
      </c>
      <c r="K423">
        <f t="shared" si="87"/>
        <v>-37</v>
      </c>
      <c r="L423">
        <f t="shared" si="88"/>
        <v>-44.3919645534802</v>
      </c>
      <c r="M423" s="5">
        <v>1915.0833333333301</v>
      </c>
      <c r="N423" s="5">
        <v>-30</v>
      </c>
      <c r="O423" s="5">
        <v>-88.503390573045706</v>
      </c>
      <c r="Q423">
        <f t="shared" si="93"/>
        <v>1.4129151192907514</v>
      </c>
      <c r="R423">
        <f t="shared" si="89"/>
        <v>29.844225215995213</v>
      </c>
    </row>
    <row r="424" spans="1:18" x14ac:dyDescent="0.25">
      <c r="A424">
        <f t="shared" si="84"/>
        <v>1988.1666666666599</v>
      </c>
      <c r="B424">
        <f t="shared" si="84"/>
        <v>-50</v>
      </c>
      <c r="C424">
        <f t="shared" si="85"/>
        <v>11.786102346003101</v>
      </c>
      <c r="D424">
        <f t="shared" si="90"/>
        <v>-6.5</v>
      </c>
      <c r="E424">
        <f t="shared" si="90"/>
        <v>-0.29423329271983611</v>
      </c>
      <c r="F424">
        <f t="shared" si="91"/>
        <v>-1.5</v>
      </c>
      <c r="G424">
        <f t="shared" si="92"/>
        <v>5.0630237524169752</v>
      </c>
      <c r="H424">
        <f t="shared" ref="H424:I439" si="96">+AVERAGE(F422:F426)</f>
        <v>-2.7333333333333334</v>
      </c>
      <c r="I424">
        <f t="shared" si="96"/>
        <v>1.7732151972198618</v>
      </c>
      <c r="J424">
        <f t="shared" si="86"/>
        <v>1988.1666666666599</v>
      </c>
      <c r="K424">
        <f t="shared" si="87"/>
        <v>-50</v>
      </c>
      <c r="L424">
        <f t="shared" si="88"/>
        <v>-21.662397397349601</v>
      </c>
      <c r="M424" s="5">
        <v>1915.1666666666599</v>
      </c>
      <c r="N424" s="5">
        <v>-30</v>
      </c>
      <c r="O424" s="5">
        <v>-93.719583514433893</v>
      </c>
      <c r="Q424">
        <f t="shared" si="93"/>
        <v>6.5630237524169752</v>
      </c>
      <c r="R424">
        <f t="shared" si="89"/>
        <v>61.786102346003105</v>
      </c>
    </row>
    <row r="425" spans="1:18" x14ac:dyDescent="0.25">
      <c r="A425">
        <f t="shared" si="84"/>
        <v>1988.25</v>
      </c>
      <c r="B425">
        <f t="shared" si="84"/>
        <v>-50</v>
      </c>
      <c r="C425">
        <f t="shared" si="85"/>
        <v>31.316446061450662</v>
      </c>
      <c r="D425">
        <f t="shared" si="90"/>
        <v>0</v>
      </c>
      <c r="E425">
        <f t="shared" si="90"/>
        <v>25.507557965074838</v>
      </c>
      <c r="F425">
        <f t="shared" si="91"/>
        <v>-1.8333333333333333</v>
      </c>
      <c r="G425">
        <f t="shared" si="92"/>
        <v>10.093927231323557</v>
      </c>
      <c r="H425">
        <f t="shared" si="96"/>
        <v>-0.56666666666666665</v>
      </c>
      <c r="I425">
        <f t="shared" si="96"/>
        <v>3.147205864509548</v>
      </c>
      <c r="J425">
        <f t="shared" si="86"/>
        <v>1988.25</v>
      </c>
      <c r="K425">
        <f t="shared" si="87"/>
        <v>-50</v>
      </c>
      <c r="L425">
        <f t="shared" si="88"/>
        <v>1.77330836801631</v>
      </c>
      <c r="M425" s="5">
        <v>1915.25</v>
      </c>
      <c r="N425" s="5">
        <v>-30</v>
      </c>
      <c r="O425" s="5">
        <v>-123.22487684661201</v>
      </c>
      <c r="Q425">
        <f t="shared" si="93"/>
        <v>11.927260564656891</v>
      </c>
      <c r="R425">
        <f t="shared" si="89"/>
        <v>81.316446061450662</v>
      </c>
    </row>
    <row r="426" spans="1:18" x14ac:dyDescent="0.25">
      <c r="A426">
        <f t="shared" si="84"/>
        <v>1988.3333333333301</v>
      </c>
      <c r="B426">
        <f t="shared" si="84"/>
        <v>-50</v>
      </c>
      <c r="C426">
        <f t="shared" si="85"/>
        <v>-0.16832615325145639</v>
      </c>
      <c r="D426">
        <f t="shared" si="90"/>
        <v>1</v>
      </c>
      <c r="E426">
        <f t="shared" si="90"/>
        <v>12.638902445108336</v>
      </c>
      <c r="F426">
        <f t="shared" si="91"/>
        <v>6.333333333333333</v>
      </c>
      <c r="G426">
        <f t="shared" si="92"/>
        <v>7.1970740749673254</v>
      </c>
      <c r="H426">
        <f t="shared" si="96"/>
        <v>0.43333333333333329</v>
      </c>
      <c r="I426">
        <f t="shared" si="96"/>
        <v>2.6314133597411753</v>
      </c>
      <c r="J426">
        <f t="shared" si="86"/>
        <v>1988.3333333333301</v>
      </c>
      <c r="K426">
        <f t="shared" si="87"/>
        <v>-50</v>
      </c>
      <c r="L426">
        <f t="shared" si="88"/>
        <v>-36.007279032998497</v>
      </c>
      <c r="M426" s="5">
        <v>1915.3333333333301</v>
      </c>
      <c r="N426" s="5">
        <v>-30</v>
      </c>
      <c r="O426" s="5">
        <v>-163.47157812674399</v>
      </c>
      <c r="Q426">
        <f t="shared" si="93"/>
        <v>0.86374074163399239</v>
      </c>
      <c r="R426">
        <f t="shared" si="89"/>
        <v>49.831673846748544</v>
      </c>
    </row>
    <row r="427" spans="1:18" x14ac:dyDescent="0.25">
      <c r="A427">
        <f t="shared" si="84"/>
        <v>1988.4166666666599</v>
      </c>
      <c r="B427">
        <f t="shared" si="84"/>
        <v>-52</v>
      </c>
      <c r="C427">
        <f t="shared" si="85"/>
        <v>-56.930903258170247</v>
      </c>
      <c r="D427">
        <f t="shared" si="90"/>
        <v>18</v>
      </c>
      <c r="E427">
        <f t="shared" si="90"/>
        <v>-11.157432629055705</v>
      </c>
      <c r="F427">
        <f t="shared" si="91"/>
        <v>0</v>
      </c>
      <c r="G427">
        <f t="shared" si="92"/>
        <v>-2.1975775221175371</v>
      </c>
      <c r="H427">
        <f t="shared" si="96"/>
        <v>-0.6333333333333333</v>
      </c>
      <c r="I427">
        <f t="shared" si="96"/>
        <v>0.72785875264738475</v>
      </c>
      <c r="J427">
        <f t="shared" si="86"/>
        <v>1988.4166666666599</v>
      </c>
      <c r="K427">
        <f t="shared" si="87"/>
        <v>-52</v>
      </c>
      <c r="L427">
        <f t="shared" si="88"/>
        <v>-104.12031764084399</v>
      </c>
      <c r="M427" s="5">
        <v>1915.4166666666599</v>
      </c>
      <c r="N427" s="5">
        <v>-30</v>
      </c>
      <c r="O427" s="5">
        <v>-191.01695367691701</v>
      </c>
      <c r="Q427">
        <f t="shared" si="93"/>
        <v>2.1975775221175371</v>
      </c>
      <c r="R427">
        <f t="shared" si="89"/>
        <v>4.9309032581702468</v>
      </c>
    </row>
    <row r="428" spans="1:18" x14ac:dyDescent="0.25">
      <c r="A428">
        <f t="shared" si="84"/>
        <v>1988.5</v>
      </c>
      <c r="B428">
        <f t="shared" si="84"/>
        <v>-90</v>
      </c>
      <c r="C428">
        <f t="shared" si="85"/>
        <v>-91.378615104977627</v>
      </c>
      <c r="D428">
        <f t="shared" si="90"/>
        <v>-19</v>
      </c>
      <c r="E428">
        <f t="shared" si="90"/>
        <v>-9.7223855239933954</v>
      </c>
      <c r="F428">
        <f t="shared" si="91"/>
        <v>-0.83333333333333337</v>
      </c>
      <c r="G428">
        <f t="shared" si="92"/>
        <v>-6.9993807378844437</v>
      </c>
      <c r="H428">
        <f t="shared" si="96"/>
        <v>-0.26666666666666661</v>
      </c>
      <c r="I428">
        <f t="shared" si="96"/>
        <v>-1.6485383606317836</v>
      </c>
      <c r="J428">
        <f t="shared" si="86"/>
        <v>1988.5</v>
      </c>
      <c r="K428">
        <f t="shared" si="87"/>
        <v>-90</v>
      </c>
      <c r="L428">
        <f t="shared" si="88"/>
        <v>-145.45632538828301</v>
      </c>
      <c r="M428" s="5">
        <v>1915.5</v>
      </c>
      <c r="N428" s="5">
        <v>-30</v>
      </c>
      <c r="O428" s="5">
        <v>-200.67663858433599</v>
      </c>
      <c r="Q428">
        <f t="shared" si="93"/>
        <v>6.1660474045511107</v>
      </c>
      <c r="R428">
        <f t="shared" si="89"/>
        <v>1.3786151049776265</v>
      </c>
    </row>
    <row r="429" spans="1:18" x14ac:dyDescent="0.25">
      <c r="A429">
        <f t="shared" si="84"/>
        <v>1988.5833333333301</v>
      </c>
      <c r="B429">
        <f t="shared" si="84"/>
        <v>-90</v>
      </c>
      <c r="C429">
        <f t="shared" si="85"/>
        <v>-106.38155590379822</v>
      </c>
      <c r="D429">
        <f t="shared" si="90"/>
        <v>-1.5</v>
      </c>
      <c r="E429">
        <f t="shared" si="90"/>
        <v>-5.3678596140175614</v>
      </c>
      <c r="F429">
        <f t="shared" si="91"/>
        <v>-6.833333333333333</v>
      </c>
      <c r="G429">
        <f t="shared" si="92"/>
        <v>-4.4547492830519753</v>
      </c>
      <c r="H429">
        <f t="shared" si="96"/>
        <v>-1.4333333333333331</v>
      </c>
      <c r="I429">
        <f t="shared" si="96"/>
        <v>-3.3158503963570398</v>
      </c>
      <c r="J429">
        <f t="shared" si="86"/>
        <v>1988.5833333333301</v>
      </c>
      <c r="K429">
        <f t="shared" si="87"/>
        <v>-90</v>
      </c>
      <c r="L429">
        <f t="shared" si="88"/>
        <v>-163.45931147491601</v>
      </c>
      <c r="M429" s="5">
        <v>1915.5833333333301</v>
      </c>
      <c r="N429" s="5">
        <v>-30</v>
      </c>
      <c r="O429" s="5">
        <v>-197.54395665345899</v>
      </c>
      <c r="Q429">
        <f t="shared" si="93"/>
        <v>2.3785840502813578</v>
      </c>
      <c r="R429">
        <f t="shared" si="89"/>
        <v>16.381555903798215</v>
      </c>
    </row>
    <row r="430" spans="1:18" x14ac:dyDescent="0.25">
      <c r="A430">
        <f t="shared" si="84"/>
        <v>1988.6666666666599</v>
      </c>
      <c r="B430">
        <f t="shared" si="84"/>
        <v>-87</v>
      </c>
      <c r="C430">
        <f t="shared" si="85"/>
        <v>-110.64877747458368</v>
      </c>
      <c r="D430">
        <f t="shared" si="90"/>
        <v>0</v>
      </c>
      <c r="E430">
        <f t="shared" si="90"/>
        <v>-1.6150646734339489</v>
      </c>
      <c r="F430">
        <f t="shared" si="91"/>
        <v>0</v>
      </c>
      <c r="G430">
        <f t="shared" si="92"/>
        <v>-1.7880583350722874</v>
      </c>
      <c r="H430">
        <f t="shared" si="96"/>
        <v>-1.1999999999999997</v>
      </c>
      <c r="I430">
        <f t="shared" si="96"/>
        <v>-3.2410790219589409</v>
      </c>
      <c r="J430">
        <f t="shared" si="86"/>
        <v>1988.6666666666599</v>
      </c>
      <c r="K430">
        <f t="shared" si="87"/>
        <v>-87</v>
      </c>
      <c r="L430">
        <f t="shared" si="88"/>
        <v>-168.57982295313701</v>
      </c>
      <c r="M430" s="5">
        <v>1915.6666666666599</v>
      </c>
      <c r="N430" s="5">
        <v>-30</v>
      </c>
      <c r="O430" s="5">
        <v>-186.57046738127801</v>
      </c>
      <c r="Q430">
        <f t="shared" si="93"/>
        <v>1.7880583350722874</v>
      </c>
      <c r="R430">
        <f t="shared" si="89"/>
        <v>23.648777474583682</v>
      </c>
    </row>
    <row r="431" spans="1:18" x14ac:dyDescent="0.25">
      <c r="A431">
        <f t="shared" si="84"/>
        <v>1988.75</v>
      </c>
      <c r="B431">
        <f t="shared" si="84"/>
        <v>-84</v>
      </c>
      <c r="C431">
        <f t="shared" si="85"/>
        <v>-111.68586969850125</v>
      </c>
      <c r="D431">
        <f t="shared" si="90"/>
        <v>1.5</v>
      </c>
      <c r="E431">
        <f t="shared" si="90"/>
        <v>0.27770553093043304</v>
      </c>
      <c r="F431">
        <f t="shared" si="91"/>
        <v>0.5</v>
      </c>
      <c r="G431">
        <f t="shared" si="92"/>
        <v>-1.1394861036589532</v>
      </c>
      <c r="H431">
        <f t="shared" si="96"/>
        <v>-1.7333333333333332</v>
      </c>
      <c r="I431">
        <f t="shared" si="96"/>
        <v>-2.119109979415815</v>
      </c>
      <c r="J431">
        <f t="shared" si="86"/>
        <v>1988.75</v>
      </c>
      <c r="K431">
        <f t="shared" si="87"/>
        <v>-84</v>
      </c>
      <c r="L431">
        <f t="shared" si="88"/>
        <v>-169.82429609530999</v>
      </c>
      <c r="M431" s="5">
        <v>1915.75</v>
      </c>
      <c r="N431" s="5">
        <v>-30</v>
      </c>
      <c r="O431" s="5">
        <v>-175.57892918848401</v>
      </c>
      <c r="Q431">
        <f t="shared" si="93"/>
        <v>1.6394861036589532</v>
      </c>
      <c r="R431">
        <f t="shared" si="89"/>
        <v>27.68586969850125</v>
      </c>
    </row>
    <row r="432" spans="1:18" x14ac:dyDescent="0.25">
      <c r="A432">
        <f t="shared" si="84"/>
        <v>1988.8333333333301</v>
      </c>
      <c r="B432">
        <f t="shared" si="84"/>
        <v>-84</v>
      </c>
      <c r="C432">
        <f t="shared" si="85"/>
        <v>-113.27837298427968</v>
      </c>
      <c r="D432">
        <f t="shared" si="90"/>
        <v>0</v>
      </c>
      <c r="E432">
        <f t="shared" si="90"/>
        <v>-2.9357137462175587</v>
      </c>
      <c r="F432">
        <f t="shared" si="91"/>
        <v>1.1666666666666667</v>
      </c>
      <c r="G432">
        <f t="shared" si="92"/>
        <v>-1.8237206501270447</v>
      </c>
      <c r="H432">
        <f t="shared" si="96"/>
        <v>-0.23333333333333331</v>
      </c>
      <c r="I432">
        <f t="shared" si="96"/>
        <v>-1.0232546915942007</v>
      </c>
      <c r="J432">
        <f t="shared" si="86"/>
        <v>1988.8333333333301</v>
      </c>
      <c r="K432">
        <f t="shared" si="87"/>
        <v>-84</v>
      </c>
      <c r="L432">
        <f t="shared" si="88"/>
        <v>-171.73524241451699</v>
      </c>
      <c r="M432" s="5">
        <v>1915.8333333333301</v>
      </c>
      <c r="N432" s="5">
        <v>-30</v>
      </c>
      <c r="O432" s="5">
        <v>-170.376725609147</v>
      </c>
      <c r="Q432">
        <f t="shared" si="93"/>
        <v>2.9903873167937114</v>
      </c>
      <c r="R432">
        <f t="shared" si="89"/>
        <v>29.278372984279684</v>
      </c>
    </row>
    <row r="433" spans="1:18" x14ac:dyDescent="0.25">
      <c r="A433">
        <f t="shared" si="84"/>
        <v>1988.9166666666599</v>
      </c>
      <c r="B433">
        <f t="shared" si="84"/>
        <v>-84</v>
      </c>
      <c r="C433">
        <f t="shared" si="85"/>
        <v>-108.999448777623</v>
      </c>
      <c r="D433">
        <f t="shared" si="90"/>
        <v>2</v>
      </c>
      <c r="E433">
        <f t="shared" si="90"/>
        <v>-4.1809442226892912</v>
      </c>
      <c r="F433">
        <f t="shared" si="91"/>
        <v>-3.5</v>
      </c>
      <c r="G433">
        <f t="shared" si="92"/>
        <v>-1.389535525168814</v>
      </c>
      <c r="H433">
        <f t="shared" si="96"/>
        <v>-0.36666666666666659</v>
      </c>
      <c r="I433">
        <f t="shared" si="96"/>
        <v>-2.8147441453405263E-2</v>
      </c>
      <c r="J433">
        <f t="shared" si="86"/>
        <v>1988.9166666666599</v>
      </c>
      <c r="K433">
        <f t="shared" si="87"/>
        <v>-84</v>
      </c>
      <c r="L433">
        <f t="shared" si="88"/>
        <v>-166.600688196703</v>
      </c>
      <c r="M433" s="5">
        <v>1915.9166666666599</v>
      </c>
      <c r="N433" s="5">
        <v>-30</v>
      </c>
      <c r="O433" s="5">
        <v>-161.68445520444399</v>
      </c>
      <c r="Q433">
        <f t="shared" si="93"/>
        <v>2.1104644748311863</v>
      </c>
      <c r="R433">
        <f t="shared" si="89"/>
        <v>24.999448777623002</v>
      </c>
    </row>
    <row r="434" spans="1:18" x14ac:dyDescent="0.25">
      <c r="A434">
        <f t="shared" si="84"/>
        <v>1989</v>
      </c>
      <c r="B434">
        <f t="shared" si="84"/>
        <v>-88</v>
      </c>
      <c r="C434">
        <f t="shared" si="85"/>
        <v>-96.358636125587736</v>
      </c>
      <c r="D434">
        <f t="shared" si="90"/>
        <v>-12.5</v>
      </c>
      <c r="E434">
        <f t="shared" si="90"/>
        <v>1.9058997495237975</v>
      </c>
      <c r="F434">
        <f t="shared" si="91"/>
        <v>0.66666666666666663</v>
      </c>
      <c r="G434">
        <f t="shared" si="92"/>
        <v>1.024527156056096</v>
      </c>
      <c r="H434">
        <f t="shared" si="96"/>
        <v>1.1000000000000001</v>
      </c>
      <c r="I434">
        <f t="shared" si="96"/>
        <v>0.78368933377396544</v>
      </c>
      <c r="J434">
        <f t="shared" si="86"/>
        <v>1989</v>
      </c>
      <c r="K434">
        <f t="shared" si="87"/>
        <v>-88</v>
      </c>
      <c r="L434">
        <f t="shared" si="88"/>
        <v>-151.432170414095</v>
      </c>
      <c r="M434" s="5">
        <v>1916</v>
      </c>
      <c r="N434" s="5">
        <v>-30</v>
      </c>
      <c r="O434" s="5">
        <v>-144.01896541465101</v>
      </c>
      <c r="Q434">
        <f t="shared" si="93"/>
        <v>0.35786048938942938</v>
      </c>
      <c r="R434">
        <f t="shared" si="89"/>
        <v>8.3586361255877364</v>
      </c>
    </row>
    <row r="435" spans="1:18" x14ac:dyDescent="0.25">
      <c r="A435">
        <f t="shared" si="84"/>
        <v>1989.0833333333301</v>
      </c>
      <c r="B435">
        <f t="shared" si="84"/>
        <v>-67</v>
      </c>
      <c r="C435">
        <f t="shared" si="85"/>
        <v>-87.52962297260008</v>
      </c>
      <c r="D435">
        <f t="shared" si="90"/>
        <v>12.5</v>
      </c>
      <c r="E435">
        <f t="shared" si="90"/>
        <v>6.117021308375854</v>
      </c>
      <c r="F435">
        <f t="shared" si="91"/>
        <v>-0.66666666666666663</v>
      </c>
      <c r="G435">
        <f t="shared" si="92"/>
        <v>3.187477915631689</v>
      </c>
      <c r="H435">
        <f t="shared" si="96"/>
        <v>0.73333333333333328</v>
      </c>
      <c r="I435">
        <f t="shared" si="96"/>
        <v>1.2537709594285285</v>
      </c>
      <c r="J435">
        <f t="shared" si="86"/>
        <v>1989.0833333333301</v>
      </c>
      <c r="K435">
        <f t="shared" si="87"/>
        <v>-67</v>
      </c>
      <c r="L435">
        <f t="shared" si="88"/>
        <v>-140.83767410278301</v>
      </c>
      <c r="M435" s="5">
        <v>1916.0833333333301</v>
      </c>
      <c r="N435" s="5">
        <v>-30</v>
      </c>
      <c r="O435" s="5">
        <v>-128.91794540826299</v>
      </c>
      <c r="Q435">
        <f t="shared" si="93"/>
        <v>3.8541445822983555</v>
      </c>
      <c r="R435">
        <f t="shared" si="89"/>
        <v>20.52962297260008</v>
      </c>
    </row>
    <row r="436" spans="1:18" x14ac:dyDescent="0.25">
      <c r="A436">
        <f t="shared" si="84"/>
        <v>1989.1666666666599</v>
      </c>
      <c r="B436">
        <f t="shared" si="84"/>
        <v>-71</v>
      </c>
      <c r="C436">
        <f t="shared" si="85"/>
        <v>-90.934652436364132</v>
      </c>
      <c r="D436">
        <f t="shared" si="90"/>
        <v>-2</v>
      </c>
      <c r="E436">
        <f t="shared" si="90"/>
        <v>3.9301211257191824</v>
      </c>
      <c r="F436">
        <f t="shared" si="91"/>
        <v>7.833333333333333</v>
      </c>
      <c r="G436">
        <f t="shared" si="92"/>
        <v>2.9196977724779005</v>
      </c>
      <c r="H436">
        <f t="shared" si="96"/>
        <v>1.1333333333333333</v>
      </c>
      <c r="I436">
        <f t="shared" si="96"/>
        <v>1.2228136512250551</v>
      </c>
      <c r="J436">
        <f t="shared" si="86"/>
        <v>1989.1666666666599</v>
      </c>
      <c r="K436">
        <f t="shared" si="87"/>
        <v>-71</v>
      </c>
      <c r="L436">
        <f t="shared" si="88"/>
        <v>-144.923586250456</v>
      </c>
      <c r="M436" s="5">
        <v>1916.1666666666599</v>
      </c>
      <c r="N436" s="5">
        <v>-30</v>
      </c>
      <c r="O436" s="5">
        <v>-120.181778842085</v>
      </c>
      <c r="Q436">
        <f t="shared" si="93"/>
        <v>4.9136355608554325</v>
      </c>
      <c r="R436">
        <f t="shared" si="89"/>
        <v>19.934652436364132</v>
      </c>
    </row>
    <row r="437" spans="1:18" x14ac:dyDescent="0.25">
      <c r="A437">
        <f t="shared" si="84"/>
        <v>1989.25</v>
      </c>
      <c r="B437">
        <f t="shared" si="84"/>
        <v>-71</v>
      </c>
      <c r="C437">
        <f t="shared" si="85"/>
        <v>-102.19992415156656</v>
      </c>
      <c r="D437">
        <f t="shared" si="90"/>
        <v>13</v>
      </c>
      <c r="E437">
        <f t="shared" si="90"/>
        <v>0.90172421269708991</v>
      </c>
      <c r="F437">
        <f t="shared" si="91"/>
        <v>-0.66666666666666663</v>
      </c>
      <c r="G437">
        <f t="shared" si="92"/>
        <v>0.52668747814576977</v>
      </c>
      <c r="H437">
        <f t="shared" si="96"/>
        <v>-0.40000000000000019</v>
      </c>
      <c r="I437">
        <f t="shared" si="96"/>
        <v>0.49632885394926535</v>
      </c>
      <c r="J437">
        <f t="shared" si="86"/>
        <v>1989.25</v>
      </c>
      <c r="K437">
        <f t="shared" si="87"/>
        <v>-71</v>
      </c>
      <c r="L437">
        <f t="shared" si="88"/>
        <v>-158.44150468194599</v>
      </c>
      <c r="M437" s="5">
        <v>1916.25</v>
      </c>
      <c r="N437" s="5">
        <v>-30</v>
      </c>
      <c r="O437" s="5">
        <v>-110.263431359081</v>
      </c>
      <c r="Q437">
        <f t="shared" si="93"/>
        <v>1.1933541448124365</v>
      </c>
      <c r="R437">
        <f t="shared" si="89"/>
        <v>31.199924151566563</v>
      </c>
    </row>
    <row r="438" spans="1:18" x14ac:dyDescent="0.25">
      <c r="A438">
        <f t="shared" si="84"/>
        <v>1989.3333333333301</v>
      </c>
      <c r="B438">
        <f t="shared" si="84"/>
        <v>-97</v>
      </c>
      <c r="C438">
        <f t="shared" si="85"/>
        <v>-115.26864429216317</v>
      </c>
      <c r="D438">
        <f t="shared" si="90"/>
        <v>-13</v>
      </c>
      <c r="E438">
        <f t="shared" si="90"/>
        <v>-2.8567672953696359</v>
      </c>
      <c r="F438">
        <f t="shared" si="91"/>
        <v>-1.5</v>
      </c>
      <c r="G438">
        <f t="shared" si="92"/>
        <v>-1.5443220661861803</v>
      </c>
      <c r="H438">
        <f t="shared" si="96"/>
        <v>-0.30000000000000016</v>
      </c>
      <c r="I438">
        <f t="shared" si="96"/>
        <v>-0.68502612937777418</v>
      </c>
      <c r="J438">
        <f t="shared" si="86"/>
        <v>1989.3333333333301</v>
      </c>
      <c r="K438">
        <f t="shared" si="87"/>
        <v>-97</v>
      </c>
      <c r="L438">
        <f t="shared" si="88"/>
        <v>-174.123495967265</v>
      </c>
      <c r="M438" s="5">
        <v>1916.3333333333301</v>
      </c>
      <c r="N438" s="5">
        <v>-30</v>
      </c>
      <c r="O438" s="5">
        <v>-95.9476255719877</v>
      </c>
      <c r="Q438">
        <f t="shared" si="93"/>
        <v>4.4322066186180287E-2</v>
      </c>
      <c r="R438">
        <f t="shared" si="89"/>
        <v>18.268644292163174</v>
      </c>
    </row>
    <row r="439" spans="1:18" x14ac:dyDescent="0.25">
      <c r="A439">
        <f t="shared" si="84"/>
        <v>1989.4166666666599</v>
      </c>
      <c r="B439">
        <f t="shared" si="84"/>
        <v>-97</v>
      </c>
      <c r="C439">
        <f t="shared" si="85"/>
        <v>-122.62382984202051</v>
      </c>
      <c r="D439">
        <f t="shared" si="90"/>
        <v>-4.5</v>
      </c>
      <c r="E439">
        <f t="shared" si="90"/>
        <v>-3.8361646655256294</v>
      </c>
      <c r="F439">
        <f t="shared" si="91"/>
        <v>-7</v>
      </c>
      <c r="G439">
        <f t="shared" si="92"/>
        <v>-2.6078968303228525</v>
      </c>
      <c r="H439">
        <f t="shared" si="96"/>
        <v>-1.7333333333333332</v>
      </c>
      <c r="I439">
        <f t="shared" si="96"/>
        <v>-1.7145412956569923</v>
      </c>
      <c r="J439">
        <f t="shared" si="86"/>
        <v>1989.4166666666599</v>
      </c>
      <c r="K439">
        <f t="shared" si="87"/>
        <v>-97</v>
      </c>
      <c r="L439">
        <f t="shared" si="88"/>
        <v>-182.949452484343</v>
      </c>
      <c r="M439" s="5">
        <v>1916.4166666666599</v>
      </c>
      <c r="N439" s="5">
        <v>-30</v>
      </c>
      <c r="O439" s="5">
        <v>-65.891298954209205</v>
      </c>
      <c r="Q439">
        <f t="shared" si="93"/>
        <v>4.3921031696771475</v>
      </c>
      <c r="R439">
        <f t="shared" si="89"/>
        <v>25.623829842020513</v>
      </c>
    </row>
    <row r="440" spans="1:18" x14ac:dyDescent="0.25">
      <c r="A440">
        <f t="shared" si="84"/>
        <v>1989.5</v>
      </c>
      <c r="B440">
        <f t="shared" si="84"/>
        <v>-88</v>
      </c>
      <c r="C440">
        <f t="shared" si="85"/>
        <v>-122.30668606082659</v>
      </c>
      <c r="D440">
        <f t="shared" si="90"/>
        <v>-3.5</v>
      </c>
      <c r="E440">
        <f t="shared" si="90"/>
        <v>-3.0866811528154301</v>
      </c>
      <c r="F440">
        <f t="shared" si="91"/>
        <v>-0.16666666666666666</v>
      </c>
      <c r="G440">
        <f t="shared" si="92"/>
        <v>-2.7192970010035085</v>
      </c>
      <c r="H440">
        <f t="shared" ref="H440:I455" si="97">+AVERAGE(F438:F442)</f>
        <v>-2.1666666666666665</v>
      </c>
      <c r="I440">
        <f t="shared" si="97"/>
        <v>-2.1735867550137575</v>
      </c>
      <c r="J440">
        <f t="shared" si="86"/>
        <v>1989.5</v>
      </c>
      <c r="K440">
        <f t="shared" si="87"/>
        <v>-88</v>
      </c>
      <c r="L440">
        <f t="shared" si="88"/>
        <v>-182.56889142255801</v>
      </c>
      <c r="M440" s="5">
        <v>1916.5</v>
      </c>
      <c r="N440" s="5">
        <v>-30</v>
      </c>
      <c r="O440" s="5">
        <v>-8.1801633581343296</v>
      </c>
      <c r="Q440">
        <f t="shared" si="93"/>
        <v>2.5526303343368419</v>
      </c>
      <c r="R440">
        <f t="shared" si="89"/>
        <v>34.306686060826593</v>
      </c>
    </row>
    <row r="441" spans="1:18" x14ac:dyDescent="0.25">
      <c r="A441">
        <f t="shared" si="84"/>
        <v>1989.5833333333301</v>
      </c>
      <c r="B441">
        <f t="shared" si="84"/>
        <v>-72</v>
      </c>
      <c r="C441">
        <f t="shared" si="85"/>
        <v>-115.81617997400181</v>
      </c>
      <c r="D441">
        <f t="shared" si="90"/>
        <v>7.5</v>
      </c>
      <c r="E441">
        <f t="shared" si="90"/>
        <v>-3.2745179354220966</v>
      </c>
      <c r="F441">
        <f t="shared" si="91"/>
        <v>0.66666666666666663</v>
      </c>
      <c r="G441">
        <f t="shared" si="92"/>
        <v>-2.2278780589181908</v>
      </c>
      <c r="H441">
        <f t="shared" si="97"/>
        <v>-1.8333333333333335</v>
      </c>
      <c r="I441">
        <f t="shared" si="97"/>
        <v>-2.4333804886714772</v>
      </c>
      <c r="J441">
        <f t="shared" si="86"/>
        <v>1989.5833333333301</v>
      </c>
      <c r="K441">
        <f t="shared" si="87"/>
        <v>-72</v>
      </c>
      <c r="L441">
        <f t="shared" si="88"/>
        <v>-174.780518973238</v>
      </c>
      <c r="M441" s="5">
        <v>1916.5833333333301</v>
      </c>
      <c r="N441" s="5">
        <v>-30</v>
      </c>
      <c r="O441" s="5">
        <v>52.513596852326799</v>
      </c>
      <c r="Q441">
        <f t="shared" si="93"/>
        <v>2.8945447255848573</v>
      </c>
      <c r="R441">
        <f t="shared" si="89"/>
        <v>43.816179974001813</v>
      </c>
    </row>
    <row r="442" spans="1:18" x14ac:dyDescent="0.25">
      <c r="A442">
        <f t="shared" si="84"/>
        <v>1989.6666666666599</v>
      </c>
      <c r="B442">
        <f t="shared" si="84"/>
        <v>-71</v>
      </c>
      <c r="C442">
        <f t="shared" si="85"/>
        <v>-102.77663801633284</v>
      </c>
      <c r="D442">
        <f t="shared" si="90"/>
        <v>-2</v>
      </c>
      <c r="E442">
        <f t="shared" si="90"/>
        <v>-1.9933436327056882</v>
      </c>
      <c r="F442">
        <f t="shared" si="91"/>
        <v>-2.8333333333333335</v>
      </c>
      <c r="G442">
        <f t="shared" si="92"/>
        <v>-1.7685398186380554</v>
      </c>
      <c r="H442">
        <f t="shared" si="97"/>
        <v>-0.83333333333333337</v>
      </c>
      <c r="I442">
        <f t="shared" si="97"/>
        <v>-2.7691116364301513</v>
      </c>
      <c r="J442">
        <f t="shared" si="86"/>
        <v>1989.6666666666599</v>
      </c>
      <c r="K442">
        <f t="shared" si="87"/>
        <v>-71</v>
      </c>
      <c r="L442">
        <f t="shared" si="88"/>
        <v>-159.133540451638</v>
      </c>
      <c r="M442" s="5">
        <v>1916.6666666666599</v>
      </c>
      <c r="N442" s="5">
        <v>-30</v>
      </c>
      <c r="O442" s="5">
        <v>83.173171986449603</v>
      </c>
      <c r="Q442">
        <f t="shared" si="93"/>
        <v>1.0647935146952781</v>
      </c>
      <c r="R442">
        <f t="shared" si="89"/>
        <v>31.776638016332839</v>
      </c>
    </row>
    <row r="443" spans="1:18" x14ac:dyDescent="0.25">
      <c r="A443">
        <f t="shared" si="84"/>
        <v>1989.75</v>
      </c>
      <c r="B443">
        <f t="shared" si="84"/>
        <v>-66</v>
      </c>
      <c r="C443">
        <f t="shared" si="85"/>
        <v>-85.750408793252504</v>
      </c>
      <c r="D443">
        <f t="shared" si="90"/>
        <v>-14</v>
      </c>
      <c r="E443">
        <f t="shared" si="90"/>
        <v>-1.3641627517649226</v>
      </c>
      <c r="F443">
        <f t="shared" si="91"/>
        <v>0.16666666666666666</v>
      </c>
      <c r="G443">
        <f t="shared" si="92"/>
        <v>-2.8432907344747775</v>
      </c>
      <c r="H443">
        <f t="shared" si="97"/>
        <v>0.3</v>
      </c>
      <c r="I443">
        <f t="shared" si="97"/>
        <v>-2.6116506033379334</v>
      </c>
      <c r="J443">
        <f t="shared" si="86"/>
        <v>1989.75</v>
      </c>
      <c r="K443">
        <f t="shared" si="87"/>
        <v>-66</v>
      </c>
      <c r="L443">
        <f t="shared" si="88"/>
        <v>-138.70268146730899</v>
      </c>
      <c r="M443" s="5">
        <v>1916.75</v>
      </c>
      <c r="N443" s="5">
        <v>-30</v>
      </c>
      <c r="O443" s="5">
        <v>80.381998128857404</v>
      </c>
      <c r="Q443">
        <f t="shared" si="93"/>
        <v>3.0099574011414441</v>
      </c>
      <c r="R443">
        <f t="shared" si="89"/>
        <v>19.750408793252504</v>
      </c>
    </row>
    <row r="444" spans="1:18" x14ac:dyDescent="0.25">
      <c r="A444">
        <f t="shared" si="84"/>
        <v>1989.8333333333301</v>
      </c>
      <c r="B444">
        <f t="shared" si="84"/>
        <v>-33</v>
      </c>
      <c r="C444">
        <f t="shared" si="85"/>
        <v>-65.995854066642323</v>
      </c>
      <c r="D444">
        <f t="shared" si="90"/>
        <v>16.5</v>
      </c>
      <c r="E444">
        <f t="shared" si="90"/>
        <v>-7.304833869809805</v>
      </c>
      <c r="F444">
        <f t="shared" si="91"/>
        <v>-2</v>
      </c>
      <c r="G444">
        <f t="shared" si="92"/>
        <v>-4.2865525691162256</v>
      </c>
      <c r="H444">
        <f t="shared" si="97"/>
        <v>-0.40000000000000008</v>
      </c>
      <c r="I444">
        <f t="shared" si="97"/>
        <v>-1.8561703026033403</v>
      </c>
      <c r="J444">
        <f t="shared" si="86"/>
        <v>1989.8333333333301</v>
      </c>
      <c r="K444">
        <f t="shared" si="87"/>
        <v>-33</v>
      </c>
      <c r="L444">
        <f t="shared" si="88"/>
        <v>-114.997930601482</v>
      </c>
      <c r="M444" s="5">
        <v>1916.8333333333301</v>
      </c>
      <c r="N444" s="5">
        <v>-30</v>
      </c>
      <c r="O444" s="5">
        <v>34.367524647997698</v>
      </c>
      <c r="Q444">
        <f t="shared" si="93"/>
        <v>2.2865525691162256</v>
      </c>
      <c r="R444">
        <f t="shared" si="89"/>
        <v>32.995854066642323</v>
      </c>
    </row>
    <row r="445" spans="1:18" x14ac:dyDescent="0.25">
      <c r="A445">
        <f t="shared" si="84"/>
        <v>1989.9166666666599</v>
      </c>
      <c r="B445">
        <f t="shared" si="84"/>
        <v>-33</v>
      </c>
      <c r="C445">
        <f t="shared" si="85"/>
        <v>-31.631631600412536</v>
      </c>
      <c r="D445">
        <f t="shared" si="90"/>
        <v>-8.5</v>
      </c>
      <c r="E445">
        <f t="shared" si="90"/>
        <v>-7.4055755126111187</v>
      </c>
      <c r="F445">
        <f t="shared" si="91"/>
        <v>5.5</v>
      </c>
      <c r="G445">
        <f t="shared" si="92"/>
        <v>-1.9319918355424168</v>
      </c>
      <c r="H445">
        <f t="shared" si="97"/>
        <v>-0.93333333333333324</v>
      </c>
      <c r="I445">
        <f t="shared" si="97"/>
        <v>-0.73574644021243019</v>
      </c>
      <c r="J445">
        <f t="shared" si="86"/>
        <v>1989.9166666666599</v>
      </c>
      <c r="K445">
        <f t="shared" si="87"/>
        <v>-33</v>
      </c>
      <c r="L445">
        <f t="shared" si="88"/>
        <v>-73.762107089725504</v>
      </c>
      <c r="M445" s="5">
        <v>1916.9166666666599</v>
      </c>
      <c r="N445" s="5">
        <v>-30</v>
      </c>
      <c r="O445" s="5">
        <v>-40.4951599454009</v>
      </c>
      <c r="Q445">
        <f t="shared" si="93"/>
        <v>7.4319918355424166</v>
      </c>
      <c r="R445">
        <f t="shared" si="89"/>
        <v>1.3683683995874638</v>
      </c>
    </row>
    <row r="446" spans="1:18" x14ac:dyDescent="0.25">
      <c r="A446">
        <f t="shared" si="84"/>
        <v>1990</v>
      </c>
      <c r="B446">
        <f t="shared" si="84"/>
        <v>-16</v>
      </c>
      <c r="C446">
        <f t="shared" si="85"/>
        <v>17.543741891039492</v>
      </c>
      <c r="D446">
        <f t="shared" si="90"/>
        <v>8.5</v>
      </c>
      <c r="E446">
        <f t="shared" si="90"/>
        <v>7.4654399991368603</v>
      </c>
      <c r="F446">
        <f t="shared" si="91"/>
        <v>-2.8333333333333335</v>
      </c>
      <c r="G446">
        <f t="shared" si="92"/>
        <v>1.5495234447547759</v>
      </c>
      <c r="H446">
        <f t="shared" si="97"/>
        <v>-0.96666666666666679</v>
      </c>
      <c r="I446">
        <f t="shared" si="97"/>
        <v>0.48100913252711208</v>
      </c>
      <c r="J446">
        <f t="shared" si="86"/>
        <v>1990</v>
      </c>
      <c r="K446">
        <f t="shared" si="87"/>
        <v>-16</v>
      </c>
      <c r="L446">
        <f t="shared" si="88"/>
        <v>-14.753438279861999</v>
      </c>
      <c r="M446" s="5">
        <v>1917</v>
      </c>
      <c r="N446" s="5">
        <v>-30</v>
      </c>
      <c r="O446" s="5">
        <v>-83.617333538030707</v>
      </c>
      <c r="Q446">
        <f t="shared" si="93"/>
        <v>4.3828567780881098</v>
      </c>
      <c r="R446">
        <f t="shared" si="89"/>
        <v>33.543741891039488</v>
      </c>
    </row>
    <row r="447" spans="1:18" x14ac:dyDescent="0.25">
      <c r="A447">
        <f t="shared" si="84"/>
        <v>1990.0833333333301</v>
      </c>
      <c r="B447">
        <f t="shared" si="84"/>
        <v>-16</v>
      </c>
      <c r="C447">
        <f t="shared" si="85"/>
        <v>51.788235384217799</v>
      </c>
      <c r="D447">
        <f t="shared" si="90"/>
        <v>-8.5</v>
      </c>
      <c r="E447">
        <f t="shared" si="90"/>
        <v>5.7508484313046679</v>
      </c>
      <c r="F447">
        <f t="shared" si="91"/>
        <v>-5.5</v>
      </c>
      <c r="G447">
        <f t="shared" si="92"/>
        <v>3.8335794933164928</v>
      </c>
      <c r="H447">
        <f t="shared" si="97"/>
        <v>0</v>
      </c>
      <c r="I447">
        <f t="shared" si="97"/>
        <v>1.9586172456891764</v>
      </c>
      <c r="J447">
        <f t="shared" si="86"/>
        <v>1990.0833333333301</v>
      </c>
      <c r="K447">
        <f t="shared" si="87"/>
        <v>-16</v>
      </c>
      <c r="L447">
        <f t="shared" si="88"/>
        <v>26.3387147965501</v>
      </c>
      <c r="M447" s="5">
        <v>1917.0833333333301</v>
      </c>
      <c r="N447" s="5">
        <v>-30</v>
      </c>
      <c r="O447" s="5">
        <v>-104.924039231431</v>
      </c>
      <c r="Q447">
        <f t="shared" si="93"/>
        <v>9.3335794933164919</v>
      </c>
      <c r="R447">
        <f t="shared" si="89"/>
        <v>67.788235384217799</v>
      </c>
    </row>
    <row r="448" spans="1:18" x14ac:dyDescent="0.25">
      <c r="A448">
        <f t="shared" si="84"/>
        <v>1990.1666666666599</v>
      </c>
      <c r="B448">
        <f t="shared" si="84"/>
        <v>1</v>
      </c>
      <c r="C448">
        <f t="shared" si="85"/>
        <v>74.531032014786774</v>
      </c>
      <c r="D448">
        <f t="shared" si="90"/>
        <v>-16.5</v>
      </c>
      <c r="E448">
        <f t="shared" si="90"/>
        <v>1.1596346694953183</v>
      </c>
      <c r="F448">
        <f t="shared" si="91"/>
        <v>0</v>
      </c>
      <c r="G448">
        <f t="shared" si="92"/>
        <v>3.240487129222934</v>
      </c>
      <c r="H448">
        <f t="shared" si="97"/>
        <v>1.6</v>
      </c>
      <c r="I448">
        <f t="shared" si="97"/>
        <v>3.1702817117325979</v>
      </c>
      <c r="J448">
        <f t="shared" si="86"/>
        <v>1990.1666666666599</v>
      </c>
      <c r="K448">
        <f t="shared" si="87"/>
        <v>1</v>
      </c>
      <c r="L448">
        <f t="shared" si="88"/>
        <v>53.629247819478799</v>
      </c>
      <c r="M448" s="5">
        <v>1917.1666666666599</v>
      </c>
      <c r="N448" s="5">
        <v>-30</v>
      </c>
      <c r="O448" s="5">
        <v>-106.38635290274399</v>
      </c>
      <c r="Q448">
        <f t="shared" si="93"/>
        <v>3.240487129222934</v>
      </c>
      <c r="R448">
        <f t="shared" si="89"/>
        <v>73.531032014786774</v>
      </c>
    </row>
    <row r="449" spans="1:18" x14ac:dyDescent="0.25">
      <c r="A449">
        <f t="shared" si="84"/>
        <v>1990.25</v>
      </c>
      <c r="B449">
        <f t="shared" si="84"/>
        <v>51</v>
      </c>
      <c r="C449">
        <f t="shared" si="85"/>
        <v>94.954559306365127</v>
      </c>
      <c r="D449">
        <f t="shared" si="90"/>
        <v>25</v>
      </c>
      <c r="E449">
        <f t="shared" si="90"/>
        <v>5.2413436337860162</v>
      </c>
      <c r="F449">
        <f t="shared" si="91"/>
        <v>2.8333333333333335</v>
      </c>
      <c r="G449">
        <f t="shared" si="92"/>
        <v>3.1014879966940954</v>
      </c>
      <c r="H449">
        <f t="shared" si="97"/>
        <v>4.2333333333333334</v>
      </c>
      <c r="I449">
        <f t="shared" si="97"/>
        <v>3.4381068562939276</v>
      </c>
      <c r="J449">
        <f t="shared" si="86"/>
        <v>1990.25</v>
      </c>
      <c r="K449">
        <f t="shared" si="87"/>
        <v>51</v>
      </c>
      <c r="L449">
        <f t="shared" si="88"/>
        <v>78.136741556917201</v>
      </c>
      <c r="M449" s="5">
        <v>1917.25</v>
      </c>
      <c r="N449" s="5">
        <v>-30</v>
      </c>
      <c r="O449" s="5">
        <v>-104.21445232491</v>
      </c>
      <c r="Q449">
        <f t="shared" si="93"/>
        <v>0.26815466336076188</v>
      </c>
      <c r="R449">
        <f t="shared" si="89"/>
        <v>43.954559306365127</v>
      </c>
    </row>
    <row r="450" spans="1:18" x14ac:dyDescent="0.25">
      <c r="A450">
        <f t="shared" si="84"/>
        <v>1990.3333333333301</v>
      </c>
      <c r="B450">
        <f t="shared" si="84"/>
        <v>51</v>
      </c>
      <c r="C450">
        <f t="shared" si="85"/>
        <v>104.89539933037146</v>
      </c>
      <c r="D450">
        <f t="shared" si="90"/>
        <v>0</v>
      </c>
      <c r="E450">
        <f t="shared" si="90"/>
        <v>5.2296016843215227</v>
      </c>
      <c r="F450">
        <f t="shared" si="91"/>
        <v>13.5</v>
      </c>
      <c r="G450">
        <f t="shared" si="92"/>
        <v>4.1263304946746908</v>
      </c>
      <c r="H450">
        <f t="shared" si="97"/>
        <v>5.5666666666666664</v>
      </c>
      <c r="I450">
        <f t="shared" si="97"/>
        <v>2.8730315161086639</v>
      </c>
      <c r="J450">
        <f t="shared" si="86"/>
        <v>1990.3333333333301</v>
      </c>
      <c r="K450">
        <f t="shared" si="87"/>
        <v>51</v>
      </c>
      <c r="L450">
        <f t="shared" si="88"/>
        <v>90.065389882697403</v>
      </c>
      <c r="M450" s="5">
        <v>1917.3333333333301</v>
      </c>
      <c r="N450" s="5">
        <v>-30</v>
      </c>
      <c r="O450" s="5">
        <v>-117.60874425364101</v>
      </c>
      <c r="Q450">
        <f t="shared" si="93"/>
        <v>9.3736695053253101</v>
      </c>
      <c r="R450">
        <f t="shared" si="89"/>
        <v>53.895399330371461</v>
      </c>
    </row>
    <row r="451" spans="1:18" x14ac:dyDescent="0.25">
      <c r="A451">
        <f t="shared" si="84"/>
        <v>1990.4166666666599</v>
      </c>
      <c r="B451">
        <f t="shared" si="84"/>
        <v>51</v>
      </c>
      <c r="C451">
        <f t="shared" si="85"/>
        <v>104.37703598573475</v>
      </c>
      <c r="D451">
        <f t="shared" si="90"/>
        <v>15.5</v>
      </c>
      <c r="E451">
        <f t="shared" si="90"/>
        <v>5.0027940369225519</v>
      </c>
      <c r="F451">
        <f t="shared" si="91"/>
        <v>10.333333333333334</v>
      </c>
      <c r="G451">
        <f t="shared" si="92"/>
        <v>2.8886491675614252</v>
      </c>
      <c r="H451">
        <f t="shared" si="97"/>
        <v>4.9666666666666668</v>
      </c>
      <c r="I451">
        <f t="shared" si="97"/>
        <v>2.8530126808395933</v>
      </c>
      <c r="J451">
        <f t="shared" si="86"/>
        <v>1990.4166666666599</v>
      </c>
      <c r="K451">
        <f t="shared" si="87"/>
        <v>51</v>
      </c>
      <c r="L451">
        <f t="shared" si="88"/>
        <v>89.443372625784093</v>
      </c>
      <c r="M451" s="5">
        <v>1917.4166666666599</v>
      </c>
      <c r="N451" s="5">
        <v>-30</v>
      </c>
      <c r="O451" s="5">
        <v>-139.365571732717</v>
      </c>
      <c r="Q451">
        <f t="shared" si="93"/>
        <v>7.4446841657719087</v>
      </c>
      <c r="R451">
        <f t="shared" si="89"/>
        <v>53.37703598573475</v>
      </c>
    </row>
    <row r="452" spans="1:18" x14ac:dyDescent="0.25">
      <c r="A452">
        <f t="shared" ref="A452:C515" si="98">+J452</f>
        <v>1990.5</v>
      </c>
      <c r="B452">
        <f t="shared" si="98"/>
        <v>20</v>
      </c>
      <c r="C452">
        <f t="shared" ref="C452:C515" si="99">+$B$1*L452+$D$1</f>
        <v>93.853084567252935</v>
      </c>
      <c r="D452">
        <f t="shared" si="90"/>
        <v>15.5</v>
      </c>
      <c r="E452">
        <f t="shared" si="90"/>
        <v>0.60003865711126991</v>
      </c>
      <c r="F452">
        <f t="shared" si="91"/>
        <v>1.1666666666666667</v>
      </c>
      <c r="G452">
        <f t="shared" si="92"/>
        <v>1.0082027923901744</v>
      </c>
      <c r="H452">
        <f t="shared" si="97"/>
        <v>3.2666666666666671</v>
      </c>
      <c r="I452">
        <f t="shared" si="97"/>
        <v>3.5887942309664895</v>
      </c>
      <c r="J452">
        <f t="shared" ref="J452:J515" si="100">+$M1328</f>
        <v>1990.5</v>
      </c>
      <c r="K452">
        <f t="shared" ref="K452:K515" si="101">+$N1328</f>
        <v>20</v>
      </c>
      <c r="L452">
        <f t="shared" ref="L452:L515" si="102">+$O1328</f>
        <v>76.815011726151397</v>
      </c>
      <c r="M452" s="5">
        <v>1917.5</v>
      </c>
      <c r="N452" s="5">
        <v>-30</v>
      </c>
      <c r="O452" s="5">
        <v>-155.89838965205999</v>
      </c>
      <c r="Q452">
        <f t="shared" si="93"/>
        <v>0.15846387427649233</v>
      </c>
      <c r="R452">
        <f t="shared" ref="R452:R515" si="103">+ABS(B452-C452)</f>
        <v>73.853084567252935</v>
      </c>
    </row>
    <row r="453" spans="1:18" x14ac:dyDescent="0.25">
      <c r="A453">
        <f t="shared" si="98"/>
        <v>1990.5833333333301</v>
      </c>
      <c r="B453">
        <f t="shared" si="98"/>
        <v>-42</v>
      </c>
      <c r="C453">
        <f t="shared" si="99"/>
        <v>82.129055834548581</v>
      </c>
      <c r="D453">
        <f t="shared" ref="D453:E516" si="104">+B453-1/2*(B452+B454)</f>
        <v>-27.5</v>
      </c>
      <c r="E453">
        <f t="shared" si="104"/>
        <v>-1.822072222570668</v>
      </c>
      <c r="F453">
        <f t="shared" si="91"/>
        <v>-3</v>
      </c>
      <c r="G453">
        <f t="shared" si="92"/>
        <v>3.1403929528775794</v>
      </c>
      <c r="H453">
        <f t="shared" si="97"/>
        <v>0.33333333333333326</v>
      </c>
      <c r="I453">
        <f t="shared" si="97"/>
        <v>3.4483409735537016</v>
      </c>
      <c r="J453">
        <f t="shared" si="100"/>
        <v>1990.5833333333301</v>
      </c>
      <c r="K453">
        <f t="shared" si="101"/>
        <v>-42</v>
      </c>
      <c r="L453">
        <f t="shared" si="102"/>
        <v>62.746601473492497</v>
      </c>
      <c r="M453" s="5">
        <v>1917.5833333333301</v>
      </c>
      <c r="N453" s="5">
        <v>-30</v>
      </c>
      <c r="O453" s="5">
        <v>-158.89432406929001</v>
      </c>
      <c r="Q453">
        <f t="shared" si="93"/>
        <v>6.1403929528775798</v>
      </c>
      <c r="R453">
        <f t="shared" si="103"/>
        <v>124.12905583454858</v>
      </c>
    </row>
    <row r="454" spans="1:18" x14ac:dyDescent="0.25">
      <c r="A454">
        <f t="shared" si="98"/>
        <v>1990.6666666666599</v>
      </c>
      <c r="B454">
        <f t="shared" si="98"/>
        <v>-49</v>
      </c>
      <c r="C454">
        <f t="shared" si="99"/>
        <v>74.049171546985562</v>
      </c>
      <c r="D454">
        <f t="shared" si="104"/>
        <v>3</v>
      </c>
      <c r="E454">
        <f t="shared" si="104"/>
        <v>12.99850713875032</v>
      </c>
      <c r="F454">
        <f t="shared" ref="F454:F517" si="105">+AVERAGE(D453:D455)</f>
        <v>-5.666666666666667</v>
      </c>
      <c r="G454">
        <f t="shared" ref="G454:G517" si="106">+$H$1*AVERAGE(E453:E455)+$F$1</f>
        <v>6.7803957473285763</v>
      </c>
      <c r="H454">
        <f t="shared" si="97"/>
        <v>-2.2999999999999998</v>
      </c>
      <c r="I454">
        <f t="shared" si="97"/>
        <v>2.4689595446877353</v>
      </c>
      <c r="J454">
        <f t="shared" si="100"/>
        <v>1990.6666666666599</v>
      </c>
      <c r="K454">
        <f t="shared" si="101"/>
        <v>-49</v>
      </c>
      <c r="L454">
        <f t="shared" si="102"/>
        <v>53.051032693934502</v>
      </c>
      <c r="M454" s="5">
        <v>1917.6666666666599</v>
      </c>
      <c r="N454" s="5">
        <v>-30</v>
      </c>
      <c r="O454" s="5">
        <v>-150.75862843072599</v>
      </c>
      <c r="Q454">
        <f t="shared" ref="Q454:Q517" si="107">+ABS(F454-G454)</f>
        <v>12.447062413995244</v>
      </c>
      <c r="R454">
        <f t="shared" si="103"/>
        <v>123.04917154698556</v>
      </c>
    </row>
    <row r="455" spans="1:18" x14ac:dyDescent="0.25">
      <c r="A455">
        <f t="shared" si="98"/>
        <v>1990.75</v>
      </c>
      <c r="B455">
        <f t="shared" si="98"/>
        <v>-62</v>
      </c>
      <c r="C455">
        <f t="shared" si="99"/>
        <v>39.972272981921904</v>
      </c>
      <c r="D455">
        <f t="shared" si="104"/>
        <v>7.5</v>
      </c>
      <c r="E455">
        <f t="shared" si="104"/>
        <v>14.250049136302508</v>
      </c>
      <c r="F455">
        <f t="shared" si="105"/>
        <v>-1.1666666666666667</v>
      </c>
      <c r="G455">
        <f t="shared" si="106"/>
        <v>3.424064207610753</v>
      </c>
      <c r="H455">
        <f t="shared" si="97"/>
        <v>-3.4666666666666672</v>
      </c>
      <c r="I455">
        <f t="shared" si="97"/>
        <v>1.0165555703639597</v>
      </c>
      <c r="J455">
        <f t="shared" si="100"/>
        <v>1990.75</v>
      </c>
      <c r="K455">
        <f t="shared" si="101"/>
        <v>-62</v>
      </c>
      <c r="L455">
        <f t="shared" si="102"/>
        <v>12.1599874669432</v>
      </c>
      <c r="M455" s="5">
        <v>1917.75</v>
      </c>
      <c r="N455" s="5">
        <v>-30</v>
      </c>
      <c r="O455" s="5">
        <v>-148.014851902152</v>
      </c>
      <c r="Q455">
        <f t="shared" si="107"/>
        <v>4.59073087427742</v>
      </c>
      <c r="R455">
        <f t="shared" si="103"/>
        <v>101.9722729819219</v>
      </c>
    </row>
    <row r="456" spans="1:18" x14ac:dyDescent="0.25">
      <c r="A456">
        <f t="shared" si="98"/>
        <v>1990.8333333333301</v>
      </c>
      <c r="B456">
        <f t="shared" si="98"/>
        <v>-90</v>
      </c>
      <c r="C456">
        <f t="shared" si="99"/>
        <v>-22.604723855746773</v>
      </c>
      <c r="D456">
        <f t="shared" si="104"/>
        <v>-14</v>
      </c>
      <c r="E456">
        <f t="shared" si="104"/>
        <v>-14.408315496512504</v>
      </c>
      <c r="F456">
        <f t="shared" si="105"/>
        <v>-2.8333333333333335</v>
      </c>
      <c r="G456">
        <f t="shared" si="106"/>
        <v>-2.008257976768407</v>
      </c>
      <c r="H456">
        <f t="shared" ref="H456:I471" si="108">+AVERAGE(F454:F458)</f>
        <v>-3.0000000000000004</v>
      </c>
      <c r="I456">
        <f t="shared" si="108"/>
        <v>-0.11283458758160254</v>
      </c>
      <c r="J456">
        <f t="shared" si="100"/>
        <v>1990.8333333333301</v>
      </c>
      <c r="K456">
        <f t="shared" si="101"/>
        <v>-90</v>
      </c>
      <c r="L456">
        <f t="shared" si="102"/>
        <v>-62.930144429090802</v>
      </c>
      <c r="M456" s="5">
        <v>1917.8333333333301</v>
      </c>
      <c r="N456" s="5">
        <v>-30</v>
      </c>
      <c r="O456" s="5">
        <v>-152.36314689606701</v>
      </c>
      <c r="Q456">
        <f t="shared" si="107"/>
        <v>0.82507535656492648</v>
      </c>
      <c r="R456">
        <f t="shared" si="103"/>
        <v>67.395276144253231</v>
      </c>
    </row>
    <row r="457" spans="1:18" x14ac:dyDescent="0.25">
      <c r="A457">
        <f t="shared" si="98"/>
        <v>1990.9166666666599</v>
      </c>
      <c r="B457">
        <f t="shared" si="98"/>
        <v>-90</v>
      </c>
      <c r="C457">
        <f t="shared" si="99"/>
        <v>-56.365089700390442</v>
      </c>
      <c r="D457">
        <f t="shared" si="104"/>
        <v>-2</v>
      </c>
      <c r="E457">
        <f t="shared" si="104"/>
        <v>-7.3727010526715304</v>
      </c>
      <c r="F457">
        <f t="shared" si="105"/>
        <v>-4.666666666666667</v>
      </c>
      <c r="G457">
        <f t="shared" si="106"/>
        <v>-6.2538170792287033</v>
      </c>
      <c r="H457">
        <f t="shared" si="108"/>
        <v>-1.5666666666666669</v>
      </c>
      <c r="I457">
        <f t="shared" si="108"/>
        <v>-1.5657240430336108</v>
      </c>
      <c r="J457">
        <f t="shared" si="100"/>
        <v>1990.9166666666599</v>
      </c>
      <c r="K457">
        <f t="shared" si="101"/>
        <v>-90</v>
      </c>
      <c r="L457">
        <f t="shared" si="102"/>
        <v>-103.441361845115</v>
      </c>
      <c r="M457" s="5">
        <v>1917.9166666666599</v>
      </c>
      <c r="N457" s="5">
        <v>-30</v>
      </c>
      <c r="O457" s="5">
        <v>-148.640649037727</v>
      </c>
      <c r="Q457">
        <f t="shared" si="107"/>
        <v>1.5871504125620364</v>
      </c>
      <c r="R457">
        <f t="shared" si="103"/>
        <v>33.634910299609558</v>
      </c>
    </row>
    <row r="458" spans="1:18" x14ac:dyDescent="0.25">
      <c r="A458">
        <f t="shared" si="98"/>
        <v>1991</v>
      </c>
      <c r="B458">
        <f t="shared" si="98"/>
        <v>-86</v>
      </c>
      <c r="C458">
        <f t="shared" si="99"/>
        <v>-75.380053439691054</v>
      </c>
      <c r="D458">
        <f t="shared" si="104"/>
        <v>2</v>
      </c>
      <c r="E458">
        <f t="shared" si="104"/>
        <v>-1.6707974979236013</v>
      </c>
      <c r="F458">
        <f t="shared" si="105"/>
        <v>-0.66666666666666663</v>
      </c>
      <c r="G458">
        <f t="shared" si="106"/>
        <v>-2.5065578368502317</v>
      </c>
      <c r="H458">
        <f t="shared" si="108"/>
        <v>-1.3333333333333333</v>
      </c>
      <c r="I458">
        <f t="shared" si="108"/>
        <v>-2.3709178944398461</v>
      </c>
      <c r="J458">
        <f t="shared" si="100"/>
        <v>1991</v>
      </c>
      <c r="K458">
        <f t="shared" si="101"/>
        <v>-86</v>
      </c>
      <c r="L458">
        <f t="shared" si="102"/>
        <v>-126.258630287804</v>
      </c>
      <c r="M458" s="5">
        <v>1918</v>
      </c>
      <c r="N458" s="5">
        <v>-30</v>
      </c>
      <c r="O458" s="5">
        <v>-134.93039651703</v>
      </c>
      <c r="Q458">
        <f t="shared" si="107"/>
        <v>1.8398911701835652</v>
      </c>
      <c r="R458">
        <f t="shared" si="103"/>
        <v>10.619946560308946</v>
      </c>
    </row>
    <row r="459" spans="1:18" x14ac:dyDescent="0.25">
      <c r="A459">
        <f t="shared" si="98"/>
        <v>1991.0833333333301</v>
      </c>
      <c r="B459">
        <f t="shared" si="98"/>
        <v>-86</v>
      </c>
      <c r="C459">
        <f t="shared" si="99"/>
        <v>-91.053422183144463</v>
      </c>
      <c r="D459">
        <f t="shared" si="104"/>
        <v>-2</v>
      </c>
      <c r="E459">
        <f t="shared" si="104"/>
        <v>-0.35609333759323647</v>
      </c>
      <c r="F459">
        <f t="shared" si="105"/>
        <v>1.5</v>
      </c>
      <c r="G459">
        <f t="shared" si="106"/>
        <v>-0.48405152993146505</v>
      </c>
      <c r="H459">
        <f t="shared" si="108"/>
        <v>-0.1666666666666668</v>
      </c>
      <c r="I459">
        <f t="shared" si="108"/>
        <v>-2.259101654042694</v>
      </c>
      <c r="J459">
        <f t="shared" si="100"/>
        <v>1991.0833333333301</v>
      </c>
      <c r="K459">
        <f t="shared" si="101"/>
        <v>-86</v>
      </c>
      <c r="L459">
        <f t="shared" si="102"/>
        <v>-145.06610564898401</v>
      </c>
      <c r="M459" s="5">
        <v>1918.0833333333301</v>
      </c>
      <c r="N459" s="5">
        <v>-30</v>
      </c>
      <c r="O459" s="5">
        <v>-117.37374363599</v>
      </c>
      <c r="Q459">
        <f t="shared" si="107"/>
        <v>1.9840515299314649</v>
      </c>
      <c r="R459">
        <f t="shared" si="103"/>
        <v>5.0534221831444626</v>
      </c>
    </row>
    <row r="460" spans="1:18" x14ac:dyDescent="0.25">
      <c r="A460">
        <f t="shared" si="98"/>
        <v>1991.1666666666599</v>
      </c>
      <c r="B460">
        <f t="shared" si="98"/>
        <v>-82</v>
      </c>
      <c r="C460">
        <f t="shared" si="99"/>
        <v>-106.01460425141141</v>
      </c>
      <c r="D460">
        <f t="shared" si="104"/>
        <v>4.5</v>
      </c>
      <c r="E460">
        <f t="shared" si="104"/>
        <v>0.21169759827384382</v>
      </c>
      <c r="F460">
        <f t="shared" si="105"/>
        <v>0</v>
      </c>
      <c r="G460">
        <f t="shared" si="106"/>
        <v>-0.60190504942042189</v>
      </c>
      <c r="H460">
        <f t="shared" si="108"/>
        <v>0.6</v>
      </c>
      <c r="I460">
        <f t="shared" si="108"/>
        <v>-1.4731983932070087</v>
      </c>
      <c r="J460">
        <f t="shared" si="100"/>
        <v>1991.1666666666599</v>
      </c>
      <c r="K460">
        <f t="shared" si="101"/>
        <v>-82</v>
      </c>
      <c r="L460">
        <f t="shared" si="102"/>
        <v>-163.01898276996599</v>
      </c>
      <c r="M460" s="5">
        <v>1918.1666666666599</v>
      </c>
      <c r="N460" s="5">
        <v>-30</v>
      </c>
      <c r="O460" s="5">
        <v>-105.47506923211201</v>
      </c>
      <c r="Q460">
        <f t="shared" si="107"/>
        <v>0.60190504942042189</v>
      </c>
      <c r="R460">
        <f t="shared" si="103"/>
        <v>24.014604251411413</v>
      </c>
    </row>
    <row r="461" spans="1:18" x14ac:dyDescent="0.25">
      <c r="A461">
        <f t="shared" si="98"/>
        <v>1991.25</v>
      </c>
      <c r="B461">
        <f t="shared" si="98"/>
        <v>-87</v>
      </c>
      <c r="C461">
        <f t="shared" si="99"/>
        <v>-121.39918151622604</v>
      </c>
      <c r="D461">
        <f t="shared" si="104"/>
        <v>-2.5</v>
      </c>
      <c r="E461">
        <f t="shared" si="104"/>
        <v>-2.112748196007189</v>
      </c>
      <c r="F461">
        <f t="shared" si="105"/>
        <v>3</v>
      </c>
      <c r="G461">
        <f t="shared" si="106"/>
        <v>-1.4491767747826507</v>
      </c>
      <c r="H461">
        <f t="shared" si="108"/>
        <v>0.1</v>
      </c>
      <c r="I461">
        <f t="shared" si="108"/>
        <v>-1.4821500660699805</v>
      </c>
      <c r="J461">
        <f t="shared" si="100"/>
        <v>1991.25</v>
      </c>
      <c r="K461">
        <f t="shared" si="101"/>
        <v>-87</v>
      </c>
      <c r="L461">
        <f t="shared" si="102"/>
        <v>-181.47991880651699</v>
      </c>
      <c r="M461" s="5">
        <v>1918.25</v>
      </c>
      <c r="N461" s="5">
        <v>-30</v>
      </c>
      <c r="O461" s="5">
        <v>-110.654824962921</v>
      </c>
      <c r="Q461">
        <f t="shared" si="107"/>
        <v>4.4491767747826509</v>
      </c>
      <c r="R461">
        <f t="shared" si="103"/>
        <v>34.399181516226037</v>
      </c>
    </row>
    <row r="462" spans="1:18" x14ac:dyDescent="0.25">
      <c r="A462">
        <f t="shared" si="98"/>
        <v>1991.3333333333301</v>
      </c>
      <c r="B462">
        <f t="shared" si="98"/>
        <v>-87</v>
      </c>
      <c r="C462">
        <f t="shared" si="99"/>
        <v>-132.55826238902628</v>
      </c>
      <c r="D462">
        <f t="shared" si="104"/>
        <v>7</v>
      </c>
      <c r="E462">
        <f t="shared" si="104"/>
        <v>-3.5333623077015943</v>
      </c>
      <c r="F462">
        <f t="shared" si="105"/>
        <v>-0.83333333333333337</v>
      </c>
      <c r="G462">
        <f t="shared" si="106"/>
        <v>-2.3243007750502747</v>
      </c>
      <c r="H462">
        <f t="shared" si="108"/>
        <v>-1.2666666666666666</v>
      </c>
      <c r="I462">
        <f t="shared" si="108"/>
        <v>-1.7497812377248021</v>
      </c>
      <c r="J462">
        <f t="shared" si="100"/>
        <v>1991.3333333333301</v>
      </c>
      <c r="K462">
        <f t="shared" si="101"/>
        <v>-87</v>
      </c>
      <c r="L462">
        <f t="shared" si="102"/>
        <v>-194.87041206957301</v>
      </c>
      <c r="M462" s="5">
        <v>1918.3333333333301</v>
      </c>
      <c r="N462" s="5">
        <v>-30</v>
      </c>
      <c r="O462" s="5">
        <v>-123.056563166587</v>
      </c>
      <c r="Q462">
        <f t="shared" si="107"/>
        <v>1.4909674417169412</v>
      </c>
      <c r="R462">
        <f t="shared" si="103"/>
        <v>45.558262389026282</v>
      </c>
    </row>
    <row r="463" spans="1:18" x14ac:dyDescent="0.25">
      <c r="A463">
        <f t="shared" si="98"/>
        <v>1991.4166666666599</v>
      </c>
      <c r="B463">
        <f t="shared" si="98"/>
        <v>-101</v>
      </c>
      <c r="C463">
        <f t="shared" si="99"/>
        <v>-136.65061864642331</v>
      </c>
      <c r="D463">
        <f t="shared" si="104"/>
        <v>-7</v>
      </c>
      <c r="E463">
        <f t="shared" si="104"/>
        <v>-3.0700174027297464</v>
      </c>
      <c r="F463">
        <f t="shared" si="105"/>
        <v>-3.1666666666666665</v>
      </c>
      <c r="G463">
        <f t="shared" si="106"/>
        <v>-2.5513162011650898</v>
      </c>
      <c r="H463">
        <f t="shared" si="108"/>
        <v>-1.2666666666666666</v>
      </c>
      <c r="I463">
        <f t="shared" si="108"/>
        <v>-1.6484588398514668</v>
      </c>
      <c r="J463">
        <f t="shared" si="100"/>
        <v>1991.4166666666599</v>
      </c>
      <c r="K463">
        <f t="shared" si="101"/>
        <v>-101</v>
      </c>
      <c r="L463">
        <f t="shared" si="102"/>
        <v>-199.78109149911899</v>
      </c>
      <c r="M463" s="5">
        <v>1918.4166666666599</v>
      </c>
      <c r="N463" s="5">
        <v>-30</v>
      </c>
      <c r="O463" s="5">
        <v>-132.22218904791799</v>
      </c>
      <c r="Q463">
        <f t="shared" si="107"/>
        <v>0.61535046550157668</v>
      </c>
      <c r="R463">
        <f t="shared" si="103"/>
        <v>35.650618646423311</v>
      </c>
    </row>
    <row r="464" spans="1:18" x14ac:dyDescent="0.25">
      <c r="A464">
        <f t="shared" si="98"/>
        <v>1991.5</v>
      </c>
      <c r="B464">
        <f t="shared" si="98"/>
        <v>-101</v>
      </c>
      <c r="C464">
        <f t="shared" si="99"/>
        <v>-134.60294009836085</v>
      </c>
      <c r="D464">
        <f t="shared" si="104"/>
        <v>-9.5</v>
      </c>
      <c r="E464">
        <f t="shared" si="104"/>
        <v>-2.9640560439377452</v>
      </c>
      <c r="F464">
        <f t="shared" si="105"/>
        <v>-5.333333333333333</v>
      </c>
      <c r="G464">
        <f t="shared" si="106"/>
        <v>-1.8222073882055725</v>
      </c>
      <c r="H464">
        <f t="shared" si="108"/>
        <v>-1.2333333333333332</v>
      </c>
      <c r="I464">
        <f t="shared" si="108"/>
        <v>-1.184147982225016</v>
      </c>
      <c r="J464">
        <f t="shared" si="100"/>
        <v>1991.5</v>
      </c>
      <c r="K464">
        <f t="shared" si="101"/>
        <v>-101</v>
      </c>
      <c r="L464">
        <f t="shared" si="102"/>
        <v>-197.32395133540101</v>
      </c>
      <c r="M464" s="5">
        <v>1918.5</v>
      </c>
      <c r="N464" s="5">
        <v>-30</v>
      </c>
      <c r="O464" s="5">
        <v>-138.272157943991</v>
      </c>
      <c r="Q464">
        <f t="shared" si="107"/>
        <v>3.5111259451277608</v>
      </c>
      <c r="R464">
        <f t="shared" si="103"/>
        <v>33.602940098360847</v>
      </c>
    </row>
    <row r="465" spans="1:18" x14ac:dyDescent="0.25">
      <c r="A465">
        <f t="shared" si="98"/>
        <v>1991.5833333333301</v>
      </c>
      <c r="B465">
        <f t="shared" si="98"/>
        <v>-82</v>
      </c>
      <c r="C465">
        <f t="shared" si="99"/>
        <v>-126.62714946242292</v>
      </c>
      <c r="D465">
        <f t="shared" si="104"/>
        <v>0.5</v>
      </c>
      <c r="E465">
        <f t="shared" si="104"/>
        <v>-0.79920425910340498</v>
      </c>
      <c r="F465">
        <f t="shared" si="105"/>
        <v>0</v>
      </c>
      <c r="G465">
        <f t="shared" si="106"/>
        <v>-9.529306005374566E-2</v>
      </c>
      <c r="H465">
        <f t="shared" si="108"/>
        <v>-0.40000000000000008</v>
      </c>
      <c r="I465">
        <f t="shared" si="108"/>
        <v>-0.71855173101607073</v>
      </c>
      <c r="J465">
        <f t="shared" si="100"/>
        <v>1991.5833333333301</v>
      </c>
      <c r="K465">
        <f t="shared" si="101"/>
        <v>-82</v>
      </c>
      <c r="L465">
        <f t="shared" si="102"/>
        <v>-187.75329117122999</v>
      </c>
      <c r="M465" s="5">
        <v>1918.5833333333301</v>
      </c>
      <c r="N465" s="5">
        <v>-30</v>
      </c>
      <c r="O465" s="5">
        <v>-136.29491487409001</v>
      </c>
      <c r="Q465">
        <f t="shared" si="107"/>
        <v>9.529306005374566E-2</v>
      </c>
      <c r="R465">
        <f t="shared" si="103"/>
        <v>44.627149462422921</v>
      </c>
    </row>
    <row r="466" spans="1:18" x14ac:dyDescent="0.25">
      <c r="A466">
        <f t="shared" si="98"/>
        <v>1991.6666666666599</v>
      </c>
      <c r="B466">
        <f t="shared" si="98"/>
        <v>-64</v>
      </c>
      <c r="C466">
        <f t="shared" si="99"/>
        <v>-117.05295030827818</v>
      </c>
      <c r="D466">
        <f t="shared" si="104"/>
        <v>9</v>
      </c>
      <c r="E466">
        <f t="shared" si="104"/>
        <v>3.405911327839604</v>
      </c>
      <c r="F466">
        <f t="shared" si="105"/>
        <v>3.1666666666666665</v>
      </c>
      <c r="G466">
        <f t="shared" si="106"/>
        <v>0.87237751334960201</v>
      </c>
      <c r="H466">
        <f t="shared" si="108"/>
        <v>-6.666666666666661E-2</v>
      </c>
      <c r="I466">
        <f t="shared" si="108"/>
        <v>-0.57578615367643571</v>
      </c>
      <c r="J466">
        <f t="shared" si="100"/>
        <v>1991.6666666666599</v>
      </c>
      <c r="K466">
        <f t="shared" si="101"/>
        <v>-64</v>
      </c>
      <c r="L466">
        <f t="shared" si="102"/>
        <v>-176.26459862261501</v>
      </c>
      <c r="M466" s="5">
        <v>1918.6666666666599</v>
      </c>
      <c r="N466" s="5">
        <v>-30</v>
      </c>
      <c r="O466" s="5">
        <v>-129.08035017300301</v>
      </c>
      <c r="Q466">
        <f t="shared" si="107"/>
        <v>2.2942891533170644</v>
      </c>
      <c r="R466">
        <f t="shared" si="103"/>
        <v>53.052950308278184</v>
      </c>
    </row>
    <row r="467" spans="1:18" x14ac:dyDescent="0.25">
      <c r="A467">
        <f t="shared" si="98"/>
        <v>1991.75</v>
      </c>
      <c r="B467">
        <f t="shared" si="98"/>
        <v>-64</v>
      </c>
      <c r="C467">
        <f t="shared" si="99"/>
        <v>-114.29057380981266</v>
      </c>
      <c r="D467">
        <f t="shared" si="104"/>
        <v>0</v>
      </c>
      <c r="E467">
        <f t="shared" si="104"/>
        <v>0.66470860632480822</v>
      </c>
      <c r="F467">
        <f t="shared" si="105"/>
        <v>3.3333333333333335</v>
      </c>
      <c r="G467">
        <f t="shared" si="106"/>
        <v>3.6804809944518038E-3</v>
      </c>
      <c r="H467">
        <f t="shared" si="108"/>
        <v>1.3</v>
      </c>
      <c r="I467">
        <f t="shared" si="108"/>
        <v>-0.68570880141477797</v>
      </c>
      <c r="J467">
        <f t="shared" si="100"/>
        <v>1991.75</v>
      </c>
      <c r="K467">
        <f t="shared" si="101"/>
        <v>-64</v>
      </c>
      <c r="L467">
        <f t="shared" si="102"/>
        <v>-172.94984677930799</v>
      </c>
      <c r="M467" s="5">
        <v>1918.75</v>
      </c>
      <c r="N467" s="5">
        <v>-30</v>
      </c>
      <c r="O467" s="5">
        <v>-126.61774364623</v>
      </c>
      <c r="Q467">
        <f t="shared" si="107"/>
        <v>3.3296528523388815</v>
      </c>
      <c r="R467">
        <f t="shared" si="103"/>
        <v>50.290573809812656</v>
      </c>
    </row>
    <row r="468" spans="1:18" x14ac:dyDescent="0.25">
      <c r="A468">
        <f t="shared" si="98"/>
        <v>1991.8333333333301</v>
      </c>
      <c r="B468">
        <f t="shared" si="98"/>
        <v>-64</v>
      </c>
      <c r="C468">
        <f t="shared" si="99"/>
        <v>-112.85761452399674</v>
      </c>
      <c r="D468">
        <f t="shared" si="104"/>
        <v>1</v>
      </c>
      <c r="E468">
        <f t="shared" si="104"/>
        <v>-4.056818130435218</v>
      </c>
      <c r="F468">
        <f t="shared" si="105"/>
        <v>-1.5</v>
      </c>
      <c r="G468">
        <f t="shared" si="106"/>
        <v>-1.8374883144669145</v>
      </c>
      <c r="H468">
        <f t="shared" si="108"/>
        <v>-0.13333333333333339</v>
      </c>
      <c r="I468">
        <f t="shared" si="108"/>
        <v>-0.915603890316814</v>
      </c>
      <c r="J468">
        <f t="shared" si="100"/>
        <v>1991.8333333333301</v>
      </c>
      <c r="K468">
        <f t="shared" si="101"/>
        <v>-64</v>
      </c>
      <c r="L468">
        <f t="shared" si="102"/>
        <v>-171.230347487057</v>
      </c>
      <c r="M468" s="5">
        <v>1918.8333333333301</v>
      </c>
      <c r="N468" s="5">
        <v>-30</v>
      </c>
      <c r="O468" s="5">
        <v>-119.75132015392199</v>
      </c>
      <c r="Q468">
        <f t="shared" si="107"/>
        <v>0.33748831446691452</v>
      </c>
      <c r="R468">
        <f t="shared" si="103"/>
        <v>48.857614523996745</v>
      </c>
    </row>
    <row r="469" spans="1:18" x14ac:dyDescent="0.25">
      <c r="A469">
        <f t="shared" si="98"/>
        <v>1991.9166666666599</v>
      </c>
      <c r="B469">
        <f t="shared" si="98"/>
        <v>-66</v>
      </c>
      <c r="C469">
        <f t="shared" si="99"/>
        <v>-103.3110189773104</v>
      </c>
      <c r="D469">
        <f t="shared" si="104"/>
        <v>-5.5</v>
      </c>
      <c r="E469">
        <f t="shared" si="104"/>
        <v>-3.4984716551405199</v>
      </c>
      <c r="F469">
        <f t="shared" si="105"/>
        <v>1.5</v>
      </c>
      <c r="G469">
        <f t="shared" si="106"/>
        <v>-2.3718206268972835</v>
      </c>
      <c r="H469">
        <f t="shared" si="108"/>
        <v>0.56666666666666665</v>
      </c>
      <c r="I469">
        <f t="shared" si="108"/>
        <v>-1.2095216359168466</v>
      </c>
      <c r="J469">
        <f t="shared" si="100"/>
        <v>1991.9166666666599</v>
      </c>
      <c r="K469">
        <f t="shared" si="101"/>
        <v>-66</v>
      </c>
      <c r="L469">
        <f t="shared" si="102"/>
        <v>-159.77477826857299</v>
      </c>
      <c r="M469" s="5">
        <v>1918.9166666666599</v>
      </c>
      <c r="N469" s="5">
        <v>-30</v>
      </c>
      <c r="O469" s="5">
        <v>-98.885800566124104</v>
      </c>
      <c r="Q469">
        <f t="shared" si="107"/>
        <v>3.8718206268972835</v>
      </c>
      <c r="R469">
        <f t="shared" si="103"/>
        <v>37.311018977310397</v>
      </c>
    </row>
    <row r="470" spans="1:18" x14ac:dyDescent="0.25">
      <c r="A470">
        <f t="shared" si="98"/>
        <v>1992</v>
      </c>
      <c r="B470">
        <f t="shared" si="98"/>
        <v>-57</v>
      </c>
      <c r="C470">
        <f t="shared" si="99"/>
        <v>-86.767480120342995</v>
      </c>
      <c r="D470">
        <f t="shared" si="104"/>
        <v>9</v>
      </c>
      <c r="E470">
        <f t="shared" si="104"/>
        <v>-1.3390375652890754</v>
      </c>
      <c r="F470">
        <f t="shared" si="105"/>
        <v>-7.166666666666667</v>
      </c>
      <c r="G470">
        <f t="shared" si="106"/>
        <v>-1.2447685045639256</v>
      </c>
      <c r="H470">
        <f t="shared" si="108"/>
        <v>-0.86666666666666681</v>
      </c>
      <c r="I470">
        <f t="shared" si="108"/>
        <v>-1.7037331651748253</v>
      </c>
      <c r="J470">
        <f t="shared" si="100"/>
        <v>1992</v>
      </c>
      <c r="K470">
        <f t="shared" si="101"/>
        <v>-57</v>
      </c>
      <c r="L470">
        <f t="shared" si="102"/>
        <v>-139.92313025773299</v>
      </c>
      <c r="M470" s="5">
        <v>1919</v>
      </c>
      <c r="N470" s="5">
        <v>-30</v>
      </c>
      <c r="O470" s="5">
        <v>-74.189428237955795</v>
      </c>
      <c r="Q470">
        <f t="shared" si="107"/>
        <v>5.9218981621027416</v>
      </c>
      <c r="R470">
        <f t="shared" si="103"/>
        <v>29.767480120342995</v>
      </c>
    </row>
    <row r="471" spans="1:18" x14ac:dyDescent="0.25">
      <c r="A471">
        <f t="shared" si="98"/>
        <v>1992.0833333333301</v>
      </c>
      <c r="B471">
        <f t="shared" si="98"/>
        <v>-66</v>
      </c>
      <c r="C471">
        <f t="shared" si="99"/>
        <v>-67.545866132797457</v>
      </c>
      <c r="D471">
        <f t="shared" si="104"/>
        <v>-25</v>
      </c>
      <c r="E471">
        <f t="shared" si="104"/>
        <v>0.16962732831487415</v>
      </c>
      <c r="F471">
        <f t="shared" si="105"/>
        <v>6.666666666666667</v>
      </c>
      <c r="G471">
        <f t="shared" si="106"/>
        <v>-0.59721121465056137</v>
      </c>
      <c r="H471">
        <f t="shared" si="108"/>
        <v>0.79999999999999993</v>
      </c>
      <c r="I471">
        <f t="shared" si="108"/>
        <v>-2.0088821948353273</v>
      </c>
      <c r="J471">
        <f t="shared" si="100"/>
        <v>1992.0833333333301</v>
      </c>
      <c r="K471">
        <f t="shared" si="101"/>
        <v>-66</v>
      </c>
      <c r="L471">
        <f t="shared" si="102"/>
        <v>-116.85788899465901</v>
      </c>
      <c r="M471" s="5">
        <v>1919.0833333333301</v>
      </c>
      <c r="N471" s="5">
        <v>-30</v>
      </c>
      <c r="O471" s="5">
        <v>-55.193204785483402</v>
      </c>
      <c r="Q471">
        <f t="shared" si="107"/>
        <v>7.263877881317228</v>
      </c>
      <c r="R471">
        <f t="shared" si="103"/>
        <v>1.5458661327974568</v>
      </c>
    </row>
    <row r="472" spans="1:18" x14ac:dyDescent="0.25">
      <c r="A472">
        <f t="shared" si="98"/>
        <v>1992.1666666666599</v>
      </c>
      <c r="B472">
        <f t="shared" si="98"/>
        <v>-25</v>
      </c>
      <c r="C472">
        <f t="shared" si="99"/>
        <v>-48.663506801881667</v>
      </c>
      <c r="D472">
        <f t="shared" si="104"/>
        <v>36</v>
      </c>
      <c r="E472">
        <f t="shared" si="104"/>
        <v>-1.0701318179654038</v>
      </c>
      <c r="F472">
        <f t="shared" si="105"/>
        <v>-3.8333333333333335</v>
      </c>
      <c r="G472">
        <f t="shared" si="106"/>
        <v>-2.4673771652954413</v>
      </c>
      <c r="H472">
        <f t="shared" ref="H472:I487" si="109">+AVERAGE(F470:F474)</f>
        <v>-2</v>
      </c>
      <c r="I472">
        <f t="shared" si="109"/>
        <v>-1.4732303142200984</v>
      </c>
      <c r="J472">
        <f t="shared" si="100"/>
        <v>1992.1666666666599</v>
      </c>
      <c r="K472">
        <f t="shared" si="101"/>
        <v>-25</v>
      </c>
      <c r="L472">
        <f t="shared" si="102"/>
        <v>-94.199741043824901</v>
      </c>
      <c r="M472" s="5">
        <v>1919.1666666666599</v>
      </c>
      <c r="N472" s="5">
        <v>-30</v>
      </c>
      <c r="O472" s="5">
        <v>-46.682596275908502</v>
      </c>
      <c r="Q472">
        <f t="shared" si="107"/>
        <v>1.3659561680378922</v>
      </c>
      <c r="R472">
        <f t="shared" si="103"/>
        <v>23.663506801881667</v>
      </c>
    </row>
    <row r="473" spans="1:18" x14ac:dyDescent="0.25">
      <c r="A473">
        <f t="shared" si="98"/>
        <v>1992.25</v>
      </c>
      <c r="B473">
        <f t="shared" si="98"/>
        <v>-56</v>
      </c>
      <c r="C473">
        <f t="shared" si="99"/>
        <v>-27.640883835035073</v>
      </c>
      <c r="D473">
        <f t="shared" si="104"/>
        <v>-22.5</v>
      </c>
      <c r="E473">
        <f t="shared" si="104"/>
        <v>-8.352159880207374</v>
      </c>
      <c r="F473">
        <f t="shared" si="105"/>
        <v>6.833333333333333</v>
      </c>
      <c r="G473">
        <f t="shared" si="106"/>
        <v>-3.3632334627694243</v>
      </c>
      <c r="H473">
        <f t="shared" si="109"/>
        <v>-1.5666666666666669</v>
      </c>
      <c r="I473">
        <f t="shared" si="109"/>
        <v>-0.57497677740952391</v>
      </c>
      <c r="J473">
        <f t="shared" si="100"/>
        <v>1992.25</v>
      </c>
      <c r="K473">
        <f t="shared" si="101"/>
        <v>-56</v>
      </c>
      <c r="L473">
        <f t="shared" si="102"/>
        <v>-68.973354173963799</v>
      </c>
      <c r="M473" s="5">
        <v>1919.25</v>
      </c>
      <c r="N473" s="5">
        <v>-30</v>
      </c>
      <c r="O473" s="5">
        <v>-52.550210189144202</v>
      </c>
      <c r="Q473">
        <f t="shared" si="107"/>
        <v>10.196566796102758</v>
      </c>
      <c r="R473">
        <f t="shared" si="103"/>
        <v>28.359116164964927</v>
      </c>
    </row>
    <row r="474" spans="1:18" x14ac:dyDescent="0.25">
      <c r="A474">
        <f t="shared" si="98"/>
        <v>1992.3333333333301</v>
      </c>
      <c r="B474">
        <f t="shared" si="98"/>
        <v>-42</v>
      </c>
      <c r="C474">
        <f t="shared" si="99"/>
        <v>10.086058892226269</v>
      </c>
      <c r="D474">
        <f t="shared" si="104"/>
        <v>7</v>
      </c>
      <c r="E474">
        <f t="shared" si="104"/>
        <v>-3.1898337872125619</v>
      </c>
      <c r="F474">
        <f t="shared" si="105"/>
        <v>-12.5</v>
      </c>
      <c r="G474">
        <f t="shared" si="106"/>
        <v>0.30643877617885901</v>
      </c>
      <c r="H474">
        <f t="shared" si="109"/>
        <v>-3.3666666666666663</v>
      </c>
      <c r="I474">
        <f t="shared" si="109"/>
        <v>0.60724398218615749</v>
      </c>
      <c r="J474">
        <f t="shared" si="100"/>
        <v>1992.3333333333301</v>
      </c>
      <c r="K474">
        <f t="shared" si="101"/>
        <v>-42</v>
      </c>
      <c r="L474">
        <f t="shared" si="102"/>
        <v>-23.702388026881501</v>
      </c>
      <c r="M474" s="5">
        <v>1919.3333333333301</v>
      </c>
      <c r="N474" s="5">
        <v>-30</v>
      </c>
      <c r="O474" s="5">
        <v>-69.517872417611301</v>
      </c>
      <c r="Q474">
        <f t="shared" si="107"/>
        <v>12.80643877617886</v>
      </c>
      <c r="R474">
        <f t="shared" si="103"/>
        <v>52.086058892226269</v>
      </c>
    </row>
    <row r="475" spans="1:18" x14ac:dyDescent="0.25">
      <c r="A475">
        <f t="shared" si="98"/>
        <v>1992.4166666666599</v>
      </c>
      <c r="B475">
        <f t="shared" si="98"/>
        <v>-42</v>
      </c>
      <c r="C475">
        <f t="shared" si="99"/>
        <v>54.192669193912735</v>
      </c>
      <c r="D475">
        <f t="shared" si="104"/>
        <v>-22</v>
      </c>
      <c r="E475">
        <f t="shared" si="104"/>
        <v>12.691139078090657</v>
      </c>
      <c r="F475">
        <f t="shared" si="105"/>
        <v>-5</v>
      </c>
      <c r="G475">
        <f t="shared" si="106"/>
        <v>3.2464991794889486</v>
      </c>
      <c r="H475">
        <f t="shared" si="109"/>
        <v>-1.3333333333333337</v>
      </c>
      <c r="I475">
        <f t="shared" si="109"/>
        <v>2.0191872725558384</v>
      </c>
      <c r="J475">
        <f t="shared" si="100"/>
        <v>1992.4166666666599</v>
      </c>
      <c r="K475">
        <f t="shared" si="101"/>
        <v>-42</v>
      </c>
      <c r="L475">
        <f t="shared" si="102"/>
        <v>29.223948365262899</v>
      </c>
      <c r="M475" s="5">
        <v>1919.4166666666599</v>
      </c>
      <c r="N475" s="5">
        <v>-30</v>
      </c>
      <c r="O475" s="5">
        <v>-102.150912039614</v>
      </c>
      <c r="Q475">
        <f t="shared" si="107"/>
        <v>8.2464991794889482</v>
      </c>
      <c r="R475">
        <f t="shared" si="103"/>
        <v>96.192669193912735</v>
      </c>
    </row>
    <row r="476" spans="1:18" x14ac:dyDescent="0.25">
      <c r="A476">
        <f t="shared" si="98"/>
        <v>1992.5</v>
      </c>
      <c r="B476">
        <f t="shared" si="98"/>
        <v>2</v>
      </c>
      <c r="C476">
        <f t="shared" si="99"/>
        <v>72.917001339417894</v>
      </c>
      <c r="D476">
        <f t="shared" si="104"/>
        <v>0</v>
      </c>
      <c r="E476">
        <f t="shared" si="104"/>
        <v>2.6730666322054617</v>
      </c>
      <c r="F476">
        <f t="shared" si="105"/>
        <v>-2.3333333333333335</v>
      </c>
      <c r="G476">
        <f t="shared" si="106"/>
        <v>5.3138925833278456</v>
      </c>
      <c r="H476">
        <f t="shared" si="109"/>
        <v>-1.2333333333333334</v>
      </c>
      <c r="I476">
        <f t="shared" si="109"/>
        <v>3.652911652083433</v>
      </c>
      <c r="J476">
        <f t="shared" si="100"/>
        <v>1992.5</v>
      </c>
      <c r="K476">
        <f t="shared" si="101"/>
        <v>2</v>
      </c>
      <c r="L476">
        <f t="shared" si="102"/>
        <v>51.692469411718299</v>
      </c>
      <c r="M476" s="5">
        <v>1919.5</v>
      </c>
      <c r="N476" s="5">
        <v>-30</v>
      </c>
      <c r="O476" s="5">
        <v>-132.83371300568899</v>
      </c>
      <c r="Q476">
        <f t="shared" si="107"/>
        <v>7.6472259166611796</v>
      </c>
      <c r="R476">
        <f t="shared" si="103"/>
        <v>70.917001339417894</v>
      </c>
    </row>
    <row r="477" spans="1:18" x14ac:dyDescent="0.25">
      <c r="A477">
        <f t="shared" si="98"/>
        <v>1992.5833333333301</v>
      </c>
      <c r="B477">
        <f t="shared" si="98"/>
        <v>46</v>
      </c>
      <c r="C477">
        <f t="shared" si="99"/>
        <v>86.295200220512129</v>
      </c>
      <c r="D477">
        <f t="shared" si="104"/>
        <v>15</v>
      </c>
      <c r="E477">
        <f t="shared" si="104"/>
        <v>4.5628914771832996</v>
      </c>
      <c r="F477">
        <f t="shared" si="105"/>
        <v>6.333333333333333</v>
      </c>
      <c r="G477">
        <f t="shared" si="106"/>
        <v>4.5923392865529618</v>
      </c>
      <c r="H477">
        <f t="shared" si="109"/>
        <v>1.4333333333333331</v>
      </c>
      <c r="I477">
        <f t="shared" si="109"/>
        <v>3.9250724449133494</v>
      </c>
      <c r="J477">
        <f t="shared" si="100"/>
        <v>1992.5833333333301</v>
      </c>
      <c r="K477">
        <f t="shared" si="101"/>
        <v>46</v>
      </c>
      <c r="L477">
        <f t="shared" si="102"/>
        <v>67.745823987341396</v>
      </c>
      <c r="M477" s="5">
        <v>1919.5833333333301</v>
      </c>
      <c r="N477" s="5">
        <v>-30</v>
      </c>
      <c r="O477" s="5">
        <v>-142.45299682603701</v>
      </c>
      <c r="Q477">
        <f t="shared" si="107"/>
        <v>1.7409940467803713</v>
      </c>
      <c r="R477">
        <f t="shared" si="103"/>
        <v>40.295200220512129</v>
      </c>
    </row>
    <row r="478" spans="1:18" x14ac:dyDescent="0.25">
      <c r="A478">
        <f t="shared" si="98"/>
        <v>1992.6666666666599</v>
      </c>
      <c r="B478">
        <f t="shared" si="98"/>
        <v>60</v>
      </c>
      <c r="C478">
        <f t="shared" si="99"/>
        <v>90.547616147239765</v>
      </c>
      <c r="D478">
        <f t="shared" si="104"/>
        <v>4</v>
      </c>
      <c r="E478">
        <f t="shared" si="104"/>
        <v>9.9853142151848431</v>
      </c>
      <c r="F478">
        <f t="shared" si="105"/>
        <v>7.333333333333333</v>
      </c>
      <c r="G478">
        <f t="shared" si="106"/>
        <v>4.8053884348685498</v>
      </c>
      <c r="H478">
        <f t="shared" si="109"/>
        <v>2.6333333333333333</v>
      </c>
      <c r="I478">
        <f t="shared" si="109"/>
        <v>2.5960302260227599</v>
      </c>
      <c r="J478">
        <f t="shared" si="100"/>
        <v>1992.6666666666599</v>
      </c>
      <c r="K478">
        <f t="shared" si="101"/>
        <v>60</v>
      </c>
      <c r="L478">
        <f t="shared" si="102"/>
        <v>72.848569228425902</v>
      </c>
      <c r="M478" s="5">
        <v>1919.6666666666599</v>
      </c>
      <c r="N478" s="5">
        <v>-30</v>
      </c>
      <c r="O478" s="5">
        <v>-138.26099170436601</v>
      </c>
      <c r="Q478">
        <f t="shared" si="107"/>
        <v>2.5279448984647832</v>
      </c>
      <c r="R478">
        <f t="shared" si="103"/>
        <v>30.547616147239765</v>
      </c>
    </row>
    <row r="479" spans="1:18" x14ac:dyDescent="0.25">
      <c r="A479">
        <f t="shared" si="98"/>
        <v>1992.75</v>
      </c>
      <c r="B479">
        <f t="shared" si="98"/>
        <v>66</v>
      </c>
      <c r="C479">
        <f t="shared" si="99"/>
        <v>74.829403643597715</v>
      </c>
      <c r="D479">
        <f t="shared" si="104"/>
        <v>3</v>
      </c>
      <c r="E479">
        <f t="shared" si="104"/>
        <v>3.4720009383889163</v>
      </c>
      <c r="F479">
        <f t="shared" si="105"/>
        <v>0.83333333333333337</v>
      </c>
      <c r="G479">
        <f t="shared" si="106"/>
        <v>1.66724274032844</v>
      </c>
      <c r="H479">
        <f t="shared" si="109"/>
        <v>5.8</v>
      </c>
      <c r="I479">
        <f t="shared" si="109"/>
        <v>0.56150562972728579</v>
      </c>
      <c r="J479">
        <f t="shared" si="100"/>
        <v>1992.75</v>
      </c>
      <c r="K479">
        <f t="shared" si="101"/>
        <v>66</v>
      </c>
      <c r="L479">
        <f t="shared" si="102"/>
        <v>53.987282977662701</v>
      </c>
      <c r="M479" s="5">
        <v>1919.75</v>
      </c>
      <c r="N479" s="5">
        <v>-30</v>
      </c>
      <c r="O479" s="5">
        <v>-134.52187097878601</v>
      </c>
      <c r="Q479">
        <f t="shared" si="107"/>
        <v>0.83390940699510663</v>
      </c>
      <c r="R479">
        <f t="shared" si="103"/>
        <v>8.8294036435977148</v>
      </c>
    </row>
    <row r="480" spans="1:18" x14ac:dyDescent="0.25">
      <c r="A480">
        <f t="shared" si="98"/>
        <v>1992.8333333333301</v>
      </c>
      <c r="B480">
        <f t="shared" si="98"/>
        <v>66</v>
      </c>
      <c r="C480">
        <f t="shared" si="99"/>
        <v>52.167189263177832</v>
      </c>
      <c r="D480">
        <f t="shared" si="104"/>
        <v>-4.5</v>
      </c>
      <c r="E480">
        <f t="shared" si="104"/>
        <v>-7.2051548773421104</v>
      </c>
      <c r="F480">
        <f t="shared" si="105"/>
        <v>1</v>
      </c>
      <c r="G480">
        <f t="shared" si="106"/>
        <v>-3.3987119149639966</v>
      </c>
      <c r="H480">
        <f t="shared" si="109"/>
        <v>4.8666666666666663</v>
      </c>
      <c r="I480">
        <f t="shared" si="109"/>
        <v>-0.18481297153062828</v>
      </c>
      <c r="J480">
        <f t="shared" si="100"/>
        <v>1992.8333333333301</v>
      </c>
      <c r="K480">
        <f t="shared" si="101"/>
        <v>66</v>
      </c>
      <c r="L480">
        <f t="shared" si="102"/>
        <v>26.793445739094999</v>
      </c>
      <c r="M480" s="5">
        <v>1919.8333333333301</v>
      </c>
      <c r="N480" s="5">
        <v>-30</v>
      </c>
      <c r="O480" s="5">
        <v>-131.08416329210101</v>
      </c>
      <c r="Q480">
        <f t="shared" si="107"/>
        <v>4.3987119149639966</v>
      </c>
      <c r="R480">
        <f t="shared" si="103"/>
        <v>13.832810736822168</v>
      </c>
    </row>
    <row r="481" spans="1:18" x14ac:dyDescent="0.25">
      <c r="A481">
        <f t="shared" si="98"/>
        <v>1992.9166666666599</v>
      </c>
      <c r="B481">
        <f t="shared" si="98"/>
        <v>75</v>
      </c>
      <c r="C481">
        <f t="shared" si="99"/>
        <v>43.91528463744217</v>
      </c>
      <c r="D481">
        <f t="shared" si="104"/>
        <v>4.5</v>
      </c>
      <c r="E481">
        <f t="shared" si="104"/>
        <v>-9.0120157421617932</v>
      </c>
      <c r="F481">
        <f t="shared" si="105"/>
        <v>13.5</v>
      </c>
      <c r="G481">
        <f t="shared" si="106"/>
        <v>-4.8587303981495253</v>
      </c>
      <c r="H481">
        <f t="shared" si="109"/>
        <v>4.8666666666666663</v>
      </c>
      <c r="I481">
        <f t="shared" si="109"/>
        <v>0.97753548390298839</v>
      </c>
      <c r="J481">
        <f t="shared" si="100"/>
        <v>1992.9166666666599</v>
      </c>
      <c r="K481">
        <f t="shared" si="101"/>
        <v>75</v>
      </c>
      <c r="L481">
        <f t="shared" si="102"/>
        <v>16.891458778177299</v>
      </c>
      <c r="M481" s="5">
        <v>1919.9166666666599</v>
      </c>
      <c r="N481" s="5">
        <v>-30</v>
      </c>
      <c r="O481" s="5">
        <v>-124.659161189611</v>
      </c>
      <c r="Q481">
        <f t="shared" si="107"/>
        <v>18.358730398149525</v>
      </c>
      <c r="R481">
        <f t="shared" si="103"/>
        <v>31.08471536255783</v>
      </c>
    </row>
    <row r="482" spans="1:18" x14ac:dyDescent="0.25">
      <c r="A482">
        <f t="shared" si="98"/>
        <v>1993</v>
      </c>
      <c r="B482">
        <f t="shared" si="98"/>
        <v>75</v>
      </c>
      <c r="C482">
        <f t="shared" si="99"/>
        <v>53.687411496030094</v>
      </c>
      <c r="D482">
        <f t="shared" si="104"/>
        <v>40.5</v>
      </c>
      <c r="E482">
        <f t="shared" si="104"/>
        <v>-2.0030683735568147</v>
      </c>
      <c r="F482">
        <f t="shared" si="105"/>
        <v>1.6666666666666667</v>
      </c>
      <c r="G482">
        <f t="shared" si="106"/>
        <v>0.86074628026339051</v>
      </c>
      <c r="H482">
        <f t="shared" si="109"/>
        <v>3.1333333333333337</v>
      </c>
      <c r="I482">
        <f t="shared" si="109"/>
        <v>2.6281548385029896</v>
      </c>
      <c r="J482">
        <f t="shared" si="100"/>
        <v>1993</v>
      </c>
      <c r="K482">
        <f t="shared" si="101"/>
        <v>75</v>
      </c>
      <c r="L482">
        <f t="shared" si="102"/>
        <v>28.617657410234902</v>
      </c>
      <c r="M482" s="5">
        <v>1920</v>
      </c>
      <c r="N482" s="5">
        <v>-30</v>
      </c>
      <c r="O482" s="5">
        <v>-114.386262585742</v>
      </c>
      <c r="Q482">
        <f t="shared" si="107"/>
        <v>0.80592038640327623</v>
      </c>
      <c r="R482">
        <f t="shared" si="103"/>
        <v>21.312588503969906</v>
      </c>
    </row>
    <row r="483" spans="1:18" x14ac:dyDescent="0.25">
      <c r="A483">
        <f t="shared" si="98"/>
        <v>1993.0833333333301</v>
      </c>
      <c r="B483">
        <f t="shared" si="98"/>
        <v>-6</v>
      </c>
      <c r="C483">
        <f t="shared" si="99"/>
        <v>67.465675101731648</v>
      </c>
      <c r="D483">
        <f t="shared" si="104"/>
        <v>-40</v>
      </c>
      <c r="E483">
        <f t="shared" si="104"/>
        <v>14.242882666706322</v>
      </c>
      <c r="F483">
        <f t="shared" si="105"/>
        <v>7.333333333333333</v>
      </c>
      <c r="G483">
        <f t="shared" si="106"/>
        <v>10.617130712036634</v>
      </c>
      <c r="H483">
        <f t="shared" si="109"/>
        <v>4</v>
      </c>
      <c r="I483">
        <f t="shared" si="109"/>
        <v>3.8875358549017802</v>
      </c>
      <c r="J483">
        <f t="shared" si="100"/>
        <v>1993.0833333333301</v>
      </c>
      <c r="K483">
        <f t="shared" si="101"/>
        <v>-6</v>
      </c>
      <c r="L483">
        <f t="shared" si="102"/>
        <v>45.151075179297003</v>
      </c>
      <c r="M483" s="5">
        <v>1920.0833333333301</v>
      </c>
      <c r="N483" s="5">
        <v>-30</v>
      </c>
      <c r="O483" s="5">
        <v>-102.94949048780801</v>
      </c>
      <c r="Q483">
        <f t="shared" si="107"/>
        <v>3.2837973787033006</v>
      </c>
      <c r="R483">
        <f t="shared" si="103"/>
        <v>73.465675101731648</v>
      </c>
    </row>
    <row r="484" spans="1:18" x14ac:dyDescent="0.25">
      <c r="A484">
        <f t="shared" si="98"/>
        <v>1993.1666666666599</v>
      </c>
      <c r="B484">
        <f t="shared" si="98"/>
        <v>-7</v>
      </c>
      <c r="C484">
        <f t="shared" si="99"/>
        <v>52.758173374020551</v>
      </c>
      <c r="D484">
        <f t="shared" si="104"/>
        <v>21.5</v>
      </c>
      <c r="E484">
        <f t="shared" si="104"/>
        <v>27.574425876987867</v>
      </c>
      <c r="F484">
        <f t="shared" si="105"/>
        <v>-7.833333333333333</v>
      </c>
      <c r="G484">
        <f t="shared" si="106"/>
        <v>9.9203395133284467</v>
      </c>
      <c r="H484">
        <f t="shared" si="109"/>
        <v>-0.1666666666666666</v>
      </c>
      <c r="I484">
        <f t="shared" si="109"/>
        <v>3.4343434117354477</v>
      </c>
      <c r="J484">
        <f t="shared" si="100"/>
        <v>1993.1666666666599</v>
      </c>
      <c r="K484">
        <f t="shared" si="101"/>
        <v>-7</v>
      </c>
      <c r="L484">
        <f t="shared" si="102"/>
        <v>27.5026052877189</v>
      </c>
      <c r="M484" s="5">
        <v>1920.1666666666599</v>
      </c>
      <c r="N484" s="5">
        <v>-30</v>
      </c>
      <c r="O484" s="5">
        <v>-106.398019979194</v>
      </c>
      <c r="Q484">
        <f t="shared" si="107"/>
        <v>17.753672846661779</v>
      </c>
      <c r="R484">
        <f t="shared" si="103"/>
        <v>59.758173374020551</v>
      </c>
    </row>
    <row r="485" spans="1:18" x14ac:dyDescent="0.25">
      <c r="A485">
        <f t="shared" si="98"/>
        <v>1993.25</v>
      </c>
      <c r="B485">
        <f t="shared" si="98"/>
        <v>-51</v>
      </c>
      <c r="C485">
        <f t="shared" si="99"/>
        <v>-17.098180107666277</v>
      </c>
      <c r="D485">
        <f t="shared" si="104"/>
        <v>-5</v>
      </c>
      <c r="E485">
        <f t="shared" si="104"/>
        <v>-4.6160353687125166</v>
      </c>
      <c r="F485">
        <f t="shared" si="105"/>
        <v>5.333333333333333</v>
      </c>
      <c r="G485">
        <f t="shared" si="106"/>
        <v>2.8981931670299579</v>
      </c>
      <c r="H485">
        <f t="shared" si="109"/>
        <v>-2.666666666666667</v>
      </c>
      <c r="I485">
        <f t="shared" si="109"/>
        <v>1.716556756097988</v>
      </c>
      <c r="J485">
        <f t="shared" si="100"/>
        <v>1993.25</v>
      </c>
      <c r="K485">
        <f t="shared" si="101"/>
        <v>-51</v>
      </c>
      <c r="L485">
        <f t="shared" si="102"/>
        <v>-56.322491182207202</v>
      </c>
      <c r="M485" s="5">
        <v>1920.25</v>
      </c>
      <c r="N485" s="5">
        <v>-30</v>
      </c>
      <c r="O485" s="5">
        <v>-122.33023092241</v>
      </c>
      <c r="Q485">
        <f t="shared" si="107"/>
        <v>2.4351401663033752</v>
      </c>
      <c r="R485">
        <f t="shared" si="103"/>
        <v>33.90181989233372</v>
      </c>
    </row>
    <row r="486" spans="1:18" x14ac:dyDescent="0.25">
      <c r="A486">
        <f t="shared" si="98"/>
        <v>1993.3333333333301</v>
      </c>
      <c r="B486">
        <f t="shared" si="98"/>
        <v>-85</v>
      </c>
      <c r="C486">
        <f t="shared" si="99"/>
        <v>-77.722462851928071</v>
      </c>
      <c r="D486">
        <f t="shared" si="104"/>
        <v>-0.5</v>
      </c>
      <c r="E486">
        <f t="shared" si="104"/>
        <v>-12.090166131913008</v>
      </c>
      <c r="F486">
        <f t="shared" si="105"/>
        <v>-7.333333333333333</v>
      </c>
      <c r="G486">
        <f t="shared" si="106"/>
        <v>-7.1246926139811881</v>
      </c>
      <c r="H486">
        <f t="shared" si="109"/>
        <v>-5.6999999999999993</v>
      </c>
      <c r="I486">
        <f t="shared" si="109"/>
        <v>-1.4130373579454489</v>
      </c>
      <c r="J486">
        <f t="shared" si="100"/>
        <v>1993.3333333333301</v>
      </c>
      <c r="K486">
        <f t="shared" si="101"/>
        <v>-85</v>
      </c>
      <c r="L486">
        <f t="shared" si="102"/>
        <v>-129.06943682388101</v>
      </c>
      <c r="M486" s="5">
        <v>1920.3333333333301</v>
      </c>
      <c r="N486" s="5">
        <v>-30</v>
      </c>
      <c r="O486" s="5">
        <v>-133.486821730033</v>
      </c>
      <c r="Q486">
        <f t="shared" si="107"/>
        <v>0.2086407193521449</v>
      </c>
      <c r="R486">
        <f t="shared" si="103"/>
        <v>7.2775371480719286</v>
      </c>
    </row>
    <row r="487" spans="1:18" x14ac:dyDescent="0.25">
      <c r="A487">
        <f t="shared" si="98"/>
        <v>1993.4166666666599</v>
      </c>
      <c r="B487">
        <f t="shared" si="98"/>
        <v>-118</v>
      </c>
      <c r="C487">
        <f t="shared" si="99"/>
        <v>-114.16641333236385</v>
      </c>
      <c r="D487">
        <f t="shared" si="104"/>
        <v>-16.5</v>
      </c>
      <c r="E487">
        <f t="shared" si="104"/>
        <v>-10.011395801803928</v>
      </c>
      <c r="F487">
        <f t="shared" si="105"/>
        <v>-10.833333333333334</v>
      </c>
      <c r="G487">
        <f t="shared" si="106"/>
        <v>-7.7281869979239106</v>
      </c>
      <c r="H487">
        <f t="shared" si="109"/>
        <v>-4.1333333333333337</v>
      </c>
      <c r="I487">
        <f t="shared" si="109"/>
        <v>-3.8092609656636114</v>
      </c>
      <c r="J487">
        <f t="shared" si="100"/>
        <v>1993.4166666666599</v>
      </c>
      <c r="K487">
        <f t="shared" si="101"/>
        <v>-118</v>
      </c>
      <c r="L487">
        <f t="shared" si="102"/>
        <v>-172.800858699038</v>
      </c>
      <c r="M487" s="5">
        <v>1920.4166666666599</v>
      </c>
      <c r="N487" s="5">
        <v>-30</v>
      </c>
      <c r="O487" s="5">
        <v>-136.47674778528199</v>
      </c>
      <c r="Q487">
        <f t="shared" si="107"/>
        <v>3.1051463354094233</v>
      </c>
      <c r="R487">
        <f t="shared" si="103"/>
        <v>3.8335866676361547</v>
      </c>
    </row>
    <row r="488" spans="1:18" x14ac:dyDescent="0.25">
      <c r="A488">
        <f t="shared" si="98"/>
        <v>1993.5</v>
      </c>
      <c r="B488">
        <f t="shared" si="98"/>
        <v>-118</v>
      </c>
      <c r="C488">
        <f t="shared" si="99"/>
        <v>-130.58757220919176</v>
      </c>
      <c r="D488">
        <f t="shared" si="104"/>
        <v>-15.5</v>
      </c>
      <c r="E488">
        <f t="shared" si="104"/>
        <v>-6.8791393084977273</v>
      </c>
      <c r="F488">
        <f t="shared" si="105"/>
        <v>-7.833333333333333</v>
      </c>
      <c r="G488">
        <f t="shared" si="106"/>
        <v>-5.0308398581805518</v>
      </c>
      <c r="H488">
        <f t="shared" ref="H488:I503" si="110">+AVERAGE(F486:F490)</f>
        <v>-3.2333333333333329</v>
      </c>
      <c r="I488">
        <f t="shared" si="110"/>
        <v>-4.4557990126164473</v>
      </c>
      <c r="J488">
        <f t="shared" si="100"/>
        <v>1993.5</v>
      </c>
      <c r="K488">
        <f t="shared" si="101"/>
        <v>-118</v>
      </c>
      <c r="L488">
        <f t="shared" si="102"/>
        <v>-192.505655161953</v>
      </c>
      <c r="M488" s="5">
        <v>1920.5</v>
      </c>
      <c r="N488" s="5">
        <v>-30</v>
      </c>
      <c r="O488" s="5">
        <v>-124.847185094041</v>
      </c>
      <c r="Q488">
        <f t="shared" si="107"/>
        <v>2.8024934751527812</v>
      </c>
      <c r="R488">
        <f t="shared" si="103"/>
        <v>12.587572209191762</v>
      </c>
    </row>
    <row r="489" spans="1:18" x14ac:dyDescent="0.25">
      <c r="A489">
        <f t="shared" si="98"/>
        <v>1993.5833333333301</v>
      </c>
      <c r="B489">
        <f t="shared" si="98"/>
        <v>-87</v>
      </c>
      <c r="C489">
        <f t="shared" si="99"/>
        <v>-133.25045246902422</v>
      </c>
      <c r="D489">
        <f t="shared" si="104"/>
        <v>8.5</v>
      </c>
      <c r="E489">
        <f t="shared" si="104"/>
        <v>-1.9751143578754125</v>
      </c>
      <c r="F489">
        <f t="shared" si="105"/>
        <v>0</v>
      </c>
      <c r="G489">
        <f t="shared" si="106"/>
        <v>-2.0607785252623634</v>
      </c>
      <c r="H489">
        <f t="shared" si="110"/>
        <v>-1.3</v>
      </c>
      <c r="I489">
        <f t="shared" si="110"/>
        <v>-3.1283919345688624</v>
      </c>
      <c r="J489">
        <f t="shared" si="100"/>
        <v>1993.5833333333301</v>
      </c>
      <c r="K489">
        <f t="shared" si="101"/>
        <v>-87</v>
      </c>
      <c r="L489">
        <f t="shared" si="102"/>
        <v>-195.701015119109</v>
      </c>
      <c r="M489" s="5">
        <v>1920.5833333333301</v>
      </c>
      <c r="N489" s="5">
        <v>-30</v>
      </c>
      <c r="O489" s="5">
        <v>-93.162776092893296</v>
      </c>
      <c r="Q489">
        <f t="shared" si="107"/>
        <v>2.0607785252623634</v>
      </c>
      <c r="R489">
        <f t="shared" si="103"/>
        <v>46.250452469024225</v>
      </c>
    </row>
    <row r="490" spans="1:18" x14ac:dyDescent="0.25">
      <c r="A490">
        <f t="shared" si="98"/>
        <v>1993.6666666666599</v>
      </c>
      <c r="B490">
        <f t="shared" si="98"/>
        <v>-73</v>
      </c>
      <c r="C490">
        <f t="shared" si="99"/>
        <v>-131.96310401310583</v>
      </c>
      <c r="D490">
        <f t="shared" si="104"/>
        <v>7</v>
      </c>
      <c r="E490">
        <f t="shared" si="104"/>
        <v>1.1263341966392773</v>
      </c>
      <c r="F490">
        <f t="shared" si="105"/>
        <v>9.8333333333333339</v>
      </c>
      <c r="G490">
        <f t="shared" si="106"/>
        <v>-0.33449706773421894</v>
      </c>
      <c r="H490">
        <f t="shared" si="110"/>
        <v>0.7333333333333335</v>
      </c>
      <c r="I490">
        <f t="shared" si="110"/>
        <v>-1.9555231166251688</v>
      </c>
      <c r="J490">
        <f t="shared" si="100"/>
        <v>1993.6666666666599</v>
      </c>
      <c r="K490">
        <f t="shared" si="101"/>
        <v>-73</v>
      </c>
      <c r="L490">
        <f t="shared" si="102"/>
        <v>-194.156243553899</v>
      </c>
      <c r="M490" s="5">
        <v>1920.6666666666599</v>
      </c>
      <c r="N490" s="5">
        <v>-30</v>
      </c>
      <c r="O490" s="5">
        <v>-69.365756923937795</v>
      </c>
      <c r="Q490">
        <f t="shared" si="107"/>
        <v>10.167830401067553</v>
      </c>
      <c r="R490">
        <f t="shared" si="103"/>
        <v>58.963104013105834</v>
      </c>
    </row>
    <row r="491" spans="1:18" x14ac:dyDescent="0.25">
      <c r="A491">
        <f t="shared" si="98"/>
        <v>1993.75</v>
      </c>
      <c r="B491">
        <f t="shared" si="98"/>
        <v>-73</v>
      </c>
      <c r="C491">
        <f t="shared" si="99"/>
        <v>-132.928423950466</v>
      </c>
      <c r="D491">
        <f t="shared" si="104"/>
        <v>14</v>
      </c>
      <c r="E491">
        <f t="shared" si="104"/>
        <v>-0.40558384276718584</v>
      </c>
      <c r="F491">
        <f t="shared" si="105"/>
        <v>2.3333333333333335</v>
      </c>
      <c r="G491">
        <f t="shared" si="106"/>
        <v>-0.48765722374326592</v>
      </c>
      <c r="H491">
        <f t="shared" si="110"/>
        <v>0.8333333333333337</v>
      </c>
      <c r="I491">
        <f t="shared" si="110"/>
        <v>-1.4548521037109761</v>
      </c>
      <c r="J491">
        <f t="shared" si="100"/>
        <v>1993.75</v>
      </c>
      <c r="K491">
        <f t="shared" si="101"/>
        <v>-73</v>
      </c>
      <c r="L491">
        <f t="shared" si="102"/>
        <v>-195.314592549238</v>
      </c>
      <c r="M491" s="5">
        <v>1920.75</v>
      </c>
      <c r="N491" s="5">
        <v>-30</v>
      </c>
      <c r="O491" s="5">
        <v>-81.609624878505699</v>
      </c>
      <c r="Q491">
        <f t="shared" si="107"/>
        <v>2.8209905570765992</v>
      </c>
      <c r="R491">
        <f t="shared" si="103"/>
        <v>59.928423950465998</v>
      </c>
    </row>
    <row r="492" spans="1:18" x14ac:dyDescent="0.25">
      <c r="A492">
        <f t="shared" si="98"/>
        <v>1993.8333333333301</v>
      </c>
      <c r="B492">
        <f t="shared" si="98"/>
        <v>-101</v>
      </c>
      <c r="C492">
        <f t="shared" si="99"/>
        <v>-133.08257620229182</v>
      </c>
      <c r="D492">
        <f t="shared" si="104"/>
        <v>-14</v>
      </c>
      <c r="E492">
        <f t="shared" si="104"/>
        <v>-2.5494649429093386</v>
      </c>
      <c r="F492">
        <f t="shared" si="105"/>
        <v>-0.66666666666666663</v>
      </c>
      <c r="G492">
        <f t="shared" si="106"/>
        <v>-1.8638429082054433</v>
      </c>
      <c r="H492">
        <f t="shared" si="110"/>
        <v>0.8333333333333337</v>
      </c>
      <c r="I492">
        <f t="shared" si="110"/>
        <v>-1.2615736176418213</v>
      </c>
      <c r="J492">
        <f t="shared" si="100"/>
        <v>1993.8333333333301</v>
      </c>
      <c r="K492">
        <f t="shared" si="101"/>
        <v>-101</v>
      </c>
      <c r="L492">
        <f t="shared" si="102"/>
        <v>-195.49956967352699</v>
      </c>
      <c r="M492" s="5">
        <v>1920.8333333333301</v>
      </c>
      <c r="N492" s="5">
        <v>-30</v>
      </c>
      <c r="O492" s="5">
        <v>-102.921337328693</v>
      </c>
      <c r="Q492">
        <f t="shared" si="107"/>
        <v>1.1971762415387768</v>
      </c>
      <c r="R492">
        <f t="shared" si="103"/>
        <v>32.082576202291818</v>
      </c>
    </row>
    <row r="493" spans="1:18" x14ac:dyDescent="0.25">
      <c r="A493">
        <f t="shared" si="98"/>
        <v>1993.9166666666599</v>
      </c>
      <c r="B493">
        <f t="shared" si="98"/>
        <v>-101</v>
      </c>
      <c r="C493">
        <f t="shared" si="99"/>
        <v>-128.13779856829896</v>
      </c>
      <c r="D493">
        <f t="shared" si="104"/>
        <v>-2</v>
      </c>
      <c r="E493">
        <f t="shared" si="104"/>
        <v>-4.0343621200938884</v>
      </c>
      <c r="F493">
        <f t="shared" si="105"/>
        <v>-7.333333333333333</v>
      </c>
      <c r="G493">
        <f t="shared" si="106"/>
        <v>-2.5274847936095894</v>
      </c>
      <c r="H493">
        <f t="shared" si="110"/>
        <v>6.6666666666666791E-2</v>
      </c>
      <c r="I493">
        <f t="shared" si="110"/>
        <v>-1.0652586255284406</v>
      </c>
      <c r="J493">
        <f t="shared" si="100"/>
        <v>1993.9166666666599</v>
      </c>
      <c r="K493">
        <f t="shared" si="101"/>
        <v>-101</v>
      </c>
      <c r="L493">
        <f t="shared" si="102"/>
        <v>-189.56601543639599</v>
      </c>
      <c r="M493" s="5">
        <v>1920.9166666666599</v>
      </c>
      <c r="N493" s="5">
        <v>-30</v>
      </c>
      <c r="O493" s="5">
        <v>-115.395740099534</v>
      </c>
      <c r="Q493">
        <f t="shared" si="107"/>
        <v>4.805848539723744</v>
      </c>
      <c r="R493">
        <f t="shared" si="103"/>
        <v>27.137798568298962</v>
      </c>
    </row>
    <row r="494" spans="1:18" x14ac:dyDescent="0.25">
      <c r="A494">
        <f t="shared" si="98"/>
        <v>1994</v>
      </c>
      <c r="B494">
        <f t="shared" si="98"/>
        <v>-97</v>
      </c>
      <c r="C494">
        <f t="shared" si="99"/>
        <v>-115.12429669411833</v>
      </c>
      <c r="D494">
        <f t="shared" si="104"/>
        <v>-6</v>
      </c>
      <c r="E494">
        <f t="shared" si="104"/>
        <v>-2.894240913032732</v>
      </c>
      <c r="F494">
        <f t="shared" si="105"/>
        <v>0</v>
      </c>
      <c r="G494">
        <f t="shared" si="106"/>
        <v>-1.0943860949165887</v>
      </c>
      <c r="H494">
        <f t="shared" si="110"/>
        <v>0.23333333333333331</v>
      </c>
      <c r="I494">
        <f t="shared" si="110"/>
        <v>-0.82474905932419929</v>
      </c>
      <c r="J494">
        <f t="shared" si="100"/>
        <v>1994</v>
      </c>
      <c r="K494">
        <f t="shared" si="101"/>
        <v>-97</v>
      </c>
      <c r="L494">
        <f t="shared" si="102"/>
        <v>-173.95028407273799</v>
      </c>
      <c r="M494" s="5">
        <v>1921</v>
      </c>
      <c r="N494" s="5">
        <v>-30</v>
      </c>
      <c r="O494" s="5">
        <v>-118.529278031026</v>
      </c>
      <c r="Q494">
        <f t="shared" si="107"/>
        <v>1.0943860949165887</v>
      </c>
      <c r="R494">
        <f t="shared" si="103"/>
        <v>18.124296694118328</v>
      </c>
    </row>
    <row r="495" spans="1:18" x14ac:dyDescent="0.25">
      <c r="A495">
        <f t="shared" si="98"/>
        <v>1994.0833333333301</v>
      </c>
      <c r="B495">
        <f t="shared" si="98"/>
        <v>-81</v>
      </c>
      <c r="C495">
        <f t="shared" si="99"/>
        <v>-96.322312993872231</v>
      </c>
      <c r="D495">
        <f t="shared" si="104"/>
        <v>8</v>
      </c>
      <c r="E495">
        <f t="shared" si="104"/>
        <v>2.8246551771894133</v>
      </c>
      <c r="F495">
        <f t="shared" si="105"/>
        <v>6</v>
      </c>
      <c r="G495">
        <f t="shared" si="106"/>
        <v>0.64707789283268469</v>
      </c>
      <c r="H495">
        <f t="shared" si="110"/>
        <v>0.26666666666666672</v>
      </c>
      <c r="I495">
        <f t="shared" si="110"/>
        <v>-0.6611546227454218</v>
      </c>
      <c r="J495">
        <f t="shared" si="100"/>
        <v>1994.0833333333301</v>
      </c>
      <c r="K495">
        <f t="shared" si="101"/>
        <v>-81</v>
      </c>
      <c r="L495">
        <f t="shared" si="102"/>
        <v>-151.388583970366</v>
      </c>
      <c r="M495" s="5">
        <v>1921.0833333333301</v>
      </c>
      <c r="N495" s="5">
        <v>-30</v>
      </c>
      <c r="O495" s="5">
        <v>-122.74231918755299</v>
      </c>
      <c r="Q495">
        <f t="shared" si="107"/>
        <v>5.3529221071673154</v>
      </c>
      <c r="R495">
        <f t="shared" si="103"/>
        <v>15.322312993872231</v>
      </c>
    </row>
    <row r="496" spans="1:18" x14ac:dyDescent="0.25">
      <c r="A496">
        <f t="shared" si="98"/>
        <v>1994.1666666666599</v>
      </c>
      <c r="B496">
        <f t="shared" si="98"/>
        <v>-81</v>
      </c>
      <c r="C496">
        <f t="shared" si="99"/>
        <v>-83.169639648004974</v>
      </c>
      <c r="D496">
        <f t="shared" si="104"/>
        <v>16</v>
      </c>
      <c r="E496">
        <f t="shared" si="104"/>
        <v>2.4961278339658861</v>
      </c>
      <c r="F496">
        <f t="shared" si="105"/>
        <v>3.1666666666666665</v>
      </c>
      <c r="G496">
        <f t="shared" si="106"/>
        <v>0.71489060727794074</v>
      </c>
      <c r="H496">
        <f t="shared" si="110"/>
        <v>-2.5666666666666669</v>
      </c>
      <c r="I496">
        <f t="shared" si="110"/>
        <v>-1.0933817053217492</v>
      </c>
      <c r="J496">
        <f t="shared" si="100"/>
        <v>1994.1666666666599</v>
      </c>
      <c r="K496">
        <f t="shared" si="101"/>
        <v>-81</v>
      </c>
      <c r="L496">
        <f t="shared" si="102"/>
        <v>-135.605851876516</v>
      </c>
      <c r="M496" s="5">
        <v>1921.1666666666599</v>
      </c>
      <c r="N496" s="5">
        <v>-30</v>
      </c>
      <c r="O496" s="5">
        <v>-134.68699676406001</v>
      </c>
      <c r="Q496">
        <f t="shared" si="107"/>
        <v>2.4517760593887257</v>
      </c>
      <c r="R496">
        <f t="shared" si="103"/>
        <v>2.1696396480049742</v>
      </c>
    </row>
    <row r="497" spans="1:18" x14ac:dyDescent="0.25">
      <c r="A497">
        <f t="shared" si="98"/>
        <v>1994.25</v>
      </c>
      <c r="B497">
        <f t="shared" si="98"/>
        <v>-113</v>
      </c>
      <c r="C497">
        <f t="shared" si="99"/>
        <v>-75.00922197006949</v>
      </c>
      <c r="D497">
        <f t="shared" si="104"/>
        <v>-14.5</v>
      </c>
      <c r="E497">
        <f t="shared" si="104"/>
        <v>-2.639943233863022</v>
      </c>
      <c r="F497">
        <f t="shared" si="105"/>
        <v>-0.5</v>
      </c>
      <c r="G497">
        <f t="shared" si="106"/>
        <v>-1.0458707253115562</v>
      </c>
      <c r="H497">
        <f t="shared" si="110"/>
        <v>-4.5999999999999996</v>
      </c>
      <c r="I497">
        <f t="shared" si="110"/>
        <v>-2.3643569134988964</v>
      </c>
      <c r="J497">
        <f t="shared" si="100"/>
        <v>1994.25</v>
      </c>
      <c r="K497">
        <f t="shared" si="101"/>
        <v>-113</v>
      </c>
      <c r="L497">
        <f t="shared" si="102"/>
        <v>-125.813645942561</v>
      </c>
      <c r="M497" s="5">
        <v>1921.25</v>
      </c>
      <c r="N497" s="5">
        <v>-30</v>
      </c>
      <c r="O497" s="5">
        <v>-140.40193483277699</v>
      </c>
      <c r="Q497">
        <f t="shared" si="107"/>
        <v>0.54587072531155623</v>
      </c>
      <c r="R497">
        <f t="shared" si="103"/>
        <v>37.99077802993051</v>
      </c>
    </row>
    <row r="498" spans="1:18" x14ac:dyDescent="0.25">
      <c r="A498">
        <f t="shared" si="98"/>
        <v>1994.3333333333301</v>
      </c>
      <c r="B498">
        <f t="shared" si="98"/>
        <v>-116</v>
      </c>
      <c r="C498">
        <f t="shared" si="99"/>
        <v>-61.568917824407976</v>
      </c>
      <c r="D498">
        <f t="shared" si="104"/>
        <v>-3</v>
      </c>
      <c r="E498">
        <f t="shared" si="104"/>
        <v>-3.7781998200212001</v>
      </c>
      <c r="F498">
        <f t="shared" si="105"/>
        <v>-21.5</v>
      </c>
      <c r="G498">
        <f t="shared" si="106"/>
        <v>-4.6886202064912261</v>
      </c>
      <c r="H498">
        <f t="shared" si="110"/>
        <v>-6.4666666666666668</v>
      </c>
      <c r="I498">
        <f t="shared" si="110"/>
        <v>-2.6943792613101318</v>
      </c>
      <c r="J498">
        <f t="shared" si="100"/>
        <v>1994.3333333333301</v>
      </c>
      <c r="K498">
        <f t="shared" si="101"/>
        <v>-116</v>
      </c>
      <c r="L498">
        <f t="shared" si="102"/>
        <v>-109.68576729669699</v>
      </c>
      <c r="M498" s="5">
        <v>1921.3333333333301</v>
      </c>
      <c r="N498" s="5">
        <v>-30</v>
      </c>
      <c r="O498" s="5">
        <v>-135.670064055099</v>
      </c>
      <c r="Q498">
        <f t="shared" si="107"/>
        <v>16.811379793508774</v>
      </c>
      <c r="R498">
        <f t="shared" si="103"/>
        <v>54.431082175592024</v>
      </c>
    </row>
    <row r="499" spans="1:18" x14ac:dyDescent="0.25">
      <c r="A499">
        <f t="shared" si="98"/>
        <v>1994.4166666666599</v>
      </c>
      <c r="B499">
        <f t="shared" si="98"/>
        <v>-113</v>
      </c>
      <c r="C499">
        <f t="shared" si="99"/>
        <v>-40.572214038704061</v>
      </c>
      <c r="D499">
        <f t="shared" si="104"/>
        <v>-47</v>
      </c>
      <c r="E499">
        <f t="shared" si="104"/>
        <v>-11.164182720457877</v>
      </c>
      <c r="F499">
        <f t="shared" si="105"/>
        <v>-10.166666666666666</v>
      </c>
      <c r="G499">
        <f t="shared" si="106"/>
        <v>-7.449262135802325</v>
      </c>
      <c r="H499">
        <f t="shared" si="110"/>
        <v>-3.9</v>
      </c>
      <c r="I499">
        <f t="shared" si="110"/>
        <v>-1.726342558815686</v>
      </c>
      <c r="J499">
        <f t="shared" si="100"/>
        <v>1994.4166666666599</v>
      </c>
      <c r="K499">
        <f t="shared" si="101"/>
        <v>-113</v>
      </c>
      <c r="L499">
        <f t="shared" si="102"/>
        <v>-84.490482506337898</v>
      </c>
      <c r="M499" s="5">
        <v>1921.4166666666599</v>
      </c>
      <c r="N499" s="5">
        <v>-30</v>
      </c>
      <c r="O499" s="5">
        <v>-131.21812693018899</v>
      </c>
      <c r="Q499">
        <f t="shared" si="107"/>
        <v>2.7174045308643411</v>
      </c>
      <c r="R499">
        <f t="shared" si="103"/>
        <v>72.427785961295939</v>
      </c>
    </row>
    <row r="500" spans="1:18" x14ac:dyDescent="0.25">
      <c r="A500">
        <f t="shared" si="98"/>
        <v>1994.5</v>
      </c>
      <c r="B500">
        <f t="shared" si="98"/>
        <v>-16</v>
      </c>
      <c r="C500">
        <f t="shared" si="99"/>
        <v>2.7528551879156069</v>
      </c>
      <c r="D500">
        <f t="shared" si="104"/>
        <v>19.5</v>
      </c>
      <c r="E500">
        <f t="shared" si="104"/>
        <v>-12.992350468779641</v>
      </c>
      <c r="F500">
        <f t="shared" si="105"/>
        <v>-3.3333333333333335</v>
      </c>
      <c r="G500">
        <f t="shared" si="106"/>
        <v>-1.0030338462234938</v>
      </c>
      <c r="H500">
        <f t="shared" si="110"/>
        <v>-2.3333333333333335</v>
      </c>
      <c r="I500">
        <f t="shared" si="110"/>
        <v>0.7434677262361401</v>
      </c>
      <c r="J500">
        <f t="shared" si="100"/>
        <v>1994.5</v>
      </c>
      <c r="K500">
        <f t="shared" si="101"/>
        <v>-16</v>
      </c>
      <c r="L500">
        <f t="shared" si="102"/>
        <v>-32.501967124702702</v>
      </c>
      <c r="M500" s="5">
        <v>1921.5</v>
      </c>
      <c r="N500" s="5">
        <v>-30</v>
      </c>
      <c r="O500" s="5">
        <v>-126.178926936173</v>
      </c>
      <c r="Q500">
        <f t="shared" si="107"/>
        <v>2.3302994871098397</v>
      </c>
      <c r="R500">
        <f t="shared" si="103"/>
        <v>18.752855187915607</v>
      </c>
    </row>
    <row r="501" spans="1:18" x14ac:dyDescent="0.25">
      <c r="A501">
        <f t="shared" si="98"/>
        <v>1994.5833333333301</v>
      </c>
      <c r="B501">
        <f t="shared" si="98"/>
        <v>42</v>
      </c>
      <c r="C501">
        <f t="shared" si="99"/>
        <v>72.062625352094557</v>
      </c>
      <c r="D501">
        <f t="shared" si="104"/>
        <v>17.5</v>
      </c>
      <c r="E501">
        <f t="shared" si="104"/>
        <v>20.395156265899416</v>
      </c>
      <c r="F501">
        <f t="shared" si="105"/>
        <v>16</v>
      </c>
      <c r="G501">
        <f t="shared" si="106"/>
        <v>5.5550741197501701</v>
      </c>
      <c r="H501">
        <f t="shared" si="110"/>
        <v>3.2</v>
      </c>
      <c r="I501">
        <f t="shared" si="110"/>
        <v>3.1987687055417782</v>
      </c>
      <c r="J501">
        <f t="shared" si="100"/>
        <v>1994.5833333333301</v>
      </c>
      <c r="K501">
        <f t="shared" si="101"/>
        <v>42</v>
      </c>
      <c r="L501">
        <f t="shared" si="102"/>
        <v>50.667249141986602</v>
      </c>
      <c r="M501" s="5">
        <v>1921.5833333333301</v>
      </c>
      <c r="N501" s="5">
        <v>-30</v>
      </c>
      <c r="O501" s="5">
        <v>-116.77454670287401</v>
      </c>
      <c r="Q501">
        <f t="shared" si="107"/>
        <v>10.44492588024983</v>
      </c>
      <c r="R501">
        <f t="shared" si="103"/>
        <v>30.062625352094557</v>
      </c>
    </row>
    <row r="502" spans="1:18" x14ac:dyDescent="0.25">
      <c r="A502">
        <f t="shared" si="98"/>
        <v>1994.6666666666599</v>
      </c>
      <c r="B502">
        <f t="shared" si="98"/>
        <v>65</v>
      </c>
      <c r="C502">
        <f t="shared" si="99"/>
        <v>100.58208298447468</v>
      </c>
      <c r="D502">
        <f t="shared" si="104"/>
        <v>11</v>
      </c>
      <c r="E502">
        <f t="shared" si="104"/>
        <v>13.428722151943361</v>
      </c>
      <c r="F502">
        <f t="shared" si="105"/>
        <v>7.333333333333333</v>
      </c>
      <c r="G502">
        <f t="shared" si="106"/>
        <v>11.303180699947575</v>
      </c>
      <c r="H502">
        <f t="shared" si="110"/>
        <v>6.1333333333333337</v>
      </c>
      <c r="I502">
        <f t="shared" si="110"/>
        <v>5.3521576117262315</v>
      </c>
      <c r="J502">
        <f t="shared" si="100"/>
        <v>1994.6666666666599</v>
      </c>
      <c r="K502">
        <f t="shared" si="101"/>
        <v>65</v>
      </c>
      <c r="L502">
        <f t="shared" si="102"/>
        <v>84.889566342253204</v>
      </c>
      <c r="M502" s="5">
        <v>1921.6666666666599</v>
      </c>
      <c r="N502" s="5">
        <v>-30</v>
      </c>
      <c r="O502" s="5">
        <v>-111.760249943396</v>
      </c>
      <c r="Q502">
        <f t="shared" si="107"/>
        <v>3.9698473666142418</v>
      </c>
      <c r="R502">
        <f t="shared" si="103"/>
        <v>35.582082984474681</v>
      </c>
    </row>
    <row r="503" spans="1:18" x14ac:dyDescent="0.25">
      <c r="A503">
        <f t="shared" si="98"/>
        <v>1994.75</v>
      </c>
      <c r="B503">
        <f t="shared" si="98"/>
        <v>66</v>
      </c>
      <c r="C503">
        <f t="shared" si="99"/>
        <v>102.2440963129681</v>
      </c>
      <c r="D503">
        <f t="shared" si="104"/>
        <v>-6.5</v>
      </c>
      <c r="E503">
        <f t="shared" si="104"/>
        <v>8.5630492069606277</v>
      </c>
      <c r="F503">
        <f t="shared" si="105"/>
        <v>6.166666666666667</v>
      </c>
      <c r="G503">
        <f t="shared" si="106"/>
        <v>7.5878846900369625</v>
      </c>
      <c r="H503">
        <f t="shared" si="110"/>
        <v>9.1</v>
      </c>
      <c r="I503">
        <f t="shared" si="110"/>
        <v>5.5735237862146425</v>
      </c>
      <c r="J503">
        <f t="shared" si="100"/>
        <v>1994.75</v>
      </c>
      <c r="K503">
        <f t="shared" si="101"/>
        <v>66</v>
      </c>
      <c r="L503">
        <f t="shared" si="102"/>
        <v>86.883922197541096</v>
      </c>
      <c r="M503" s="5">
        <v>1921.75</v>
      </c>
      <c r="N503" s="5">
        <v>-30</v>
      </c>
      <c r="O503" s="5">
        <v>-112.71672350045699</v>
      </c>
      <c r="Q503">
        <f t="shared" si="107"/>
        <v>1.4212180233702956</v>
      </c>
      <c r="R503">
        <f t="shared" si="103"/>
        <v>36.244096312968097</v>
      </c>
    </row>
    <row r="504" spans="1:18" x14ac:dyDescent="0.25">
      <c r="A504">
        <f t="shared" si="98"/>
        <v>1994.8333333333301</v>
      </c>
      <c r="B504">
        <f t="shared" si="98"/>
        <v>80</v>
      </c>
      <c r="C504">
        <f t="shared" si="99"/>
        <v>86.780011227540271</v>
      </c>
      <c r="D504">
        <f t="shared" si="104"/>
        <v>14</v>
      </c>
      <c r="E504">
        <f t="shared" si="104"/>
        <v>6.4627962287346179</v>
      </c>
      <c r="F504">
        <f t="shared" si="105"/>
        <v>4.5</v>
      </c>
      <c r="G504">
        <f t="shared" si="106"/>
        <v>3.3176823951199426</v>
      </c>
      <c r="H504">
        <f t="shared" ref="H504:I519" si="111">+AVERAGE(F502:F506)</f>
        <v>5.4333333333333336</v>
      </c>
      <c r="I504">
        <f t="shared" si="111"/>
        <v>4.3032586698350661</v>
      </c>
      <c r="J504">
        <f t="shared" si="100"/>
        <v>1994.8333333333301</v>
      </c>
      <c r="K504">
        <f t="shared" si="101"/>
        <v>80</v>
      </c>
      <c r="L504">
        <f t="shared" si="102"/>
        <v>68.327579653194604</v>
      </c>
      <c r="M504" s="5">
        <v>1921.8333333333301</v>
      </c>
      <c r="N504" s="5">
        <v>-30</v>
      </c>
      <c r="O504" s="5">
        <v>-115.02009808658499</v>
      </c>
      <c r="Q504">
        <f t="shared" si="107"/>
        <v>1.1823176048800574</v>
      </c>
      <c r="R504">
        <f t="shared" si="103"/>
        <v>6.7800112275402711</v>
      </c>
    </row>
    <row r="505" spans="1:18" x14ac:dyDescent="0.25">
      <c r="A505">
        <f t="shared" si="98"/>
        <v>1994.9166666666599</v>
      </c>
      <c r="B505">
        <f t="shared" si="98"/>
        <v>66</v>
      </c>
      <c r="C505">
        <f t="shared" si="99"/>
        <v>58.390333684643217</v>
      </c>
      <c r="D505">
        <f t="shared" si="104"/>
        <v>6</v>
      </c>
      <c r="E505">
        <f t="shared" si="104"/>
        <v>-2.5845364539954616</v>
      </c>
      <c r="F505">
        <f t="shared" si="105"/>
        <v>11.5</v>
      </c>
      <c r="G505">
        <f t="shared" si="106"/>
        <v>0.10379702621856571</v>
      </c>
      <c r="H505">
        <f t="shared" si="111"/>
        <v>2.7666666666666671</v>
      </c>
      <c r="I505">
        <f t="shared" si="111"/>
        <v>2.0792702849284974</v>
      </c>
      <c r="J505">
        <f t="shared" si="100"/>
        <v>1994.9166666666599</v>
      </c>
      <c r="K505">
        <f t="shared" si="101"/>
        <v>66</v>
      </c>
      <c r="L505">
        <f t="shared" si="102"/>
        <v>34.260993864296999</v>
      </c>
      <c r="M505" s="5">
        <v>1921.9166666666599</v>
      </c>
      <c r="N505" s="5">
        <v>-30</v>
      </c>
      <c r="O505" s="5">
        <v>-111.362516140976</v>
      </c>
      <c r="Q505">
        <f t="shared" si="107"/>
        <v>11.396202973781435</v>
      </c>
      <c r="R505">
        <f t="shared" si="103"/>
        <v>7.6096663153567832</v>
      </c>
    </row>
    <row r="506" spans="1:18" x14ac:dyDescent="0.25">
      <c r="A506">
        <f t="shared" si="98"/>
        <v>1995</v>
      </c>
      <c r="B506">
        <f t="shared" si="98"/>
        <v>40</v>
      </c>
      <c r="C506">
        <f t="shared" si="99"/>
        <v>35.169729049737093</v>
      </c>
      <c r="D506">
        <f t="shared" si="104"/>
        <v>14.5</v>
      </c>
      <c r="E506">
        <f t="shared" si="104"/>
        <v>-3.4890209264195349</v>
      </c>
      <c r="F506">
        <f t="shared" si="105"/>
        <v>-2.3333333333333335</v>
      </c>
      <c r="G506">
        <f t="shared" si="106"/>
        <v>-0.7962514621477117</v>
      </c>
      <c r="H506">
        <f t="shared" si="111"/>
        <v>-0.3</v>
      </c>
      <c r="I506">
        <f t="shared" si="111"/>
        <v>1.0263067293271804</v>
      </c>
      <c r="J506">
        <f t="shared" si="100"/>
        <v>1995</v>
      </c>
      <c r="K506">
        <f t="shared" si="101"/>
        <v>40</v>
      </c>
      <c r="L506">
        <f t="shared" si="102"/>
        <v>6.3971085253450397</v>
      </c>
      <c r="M506" s="5">
        <v>1922</v>
      </c>
      <c r="N506" s="5">
        <v>-30</v>
      </c>
      <c r="O506" s="5">
        <v>-89.850918193078897</v>
      </c>
      <c r="Q506">
        <f t="shared" si="107"/>
        <v>1.5370818711856218</v>
      </c>
      <c r="R506">
        <f t="shared" si="103"/>
        <v>4.8302709502629071</v>
      </c>
    </row>
    <row r="507" spans="1:18" x14ac:dyDescent="0.25">
      <c r="A507">
        <f t="shared" si="98"/>
        <v>1995.0833333333301</v>
      </c>
      <c r="B507">
        <f t="shared" si="98"/>
        <v>-15</v>
      </c>
      <c r="C507">
        <f t="shared" si="99"/>
        <v>18.927166267670039</v>
      </c>
      <c r="D507">
        <f t="shared" si="104"/>
        <v>-27.5</v>
      </c>
      <c r="E507">
        <f t="shared" si="104"/>
        <v>3.0876143973610777</v>
      </c>
      <c r="F507">
        <f t="shared" si="105"/>
        <v>-6</v>
      </c>
      <c r="G507">
        <f t="shared" si="106"/>
        <v>0.18323877541472866</v>
      </c>
      <c r="H507">
        <f t="shared" si="111"/>
        <v>0.8</v>
      </c>
      <c r="I507">
        <f t="shared" si="111"/>
        <v>0.6497591732326351</v>
      </c>
      <c r="J507">
        <f t="shared" si="100"/>
        <v>1995.0833333333301</v>
      </c>
      <c r="K507">
        <f t="shared" si="101"/>
        <v>-15</v>
      </c>
      <c r="L507">
        <f t="shared" si="102"/>
        <v>-13.093379086243999</v>
      </c>
      <c r="M507" s="5">
        <v>1922.0833333333301</v>
      </c>
      <c r="N507" s="5">
        <v>-30</v>
      </c>
      <c r="O507" s="5">
        <v>-59.550524261038298</v>
      </c>
      <c r="Q507">
        <f t="shared" si="107"/>
        <v>6.1832387754147291</v>
      </c>
      <c r="R507">
        <f t="shared" si="103"/>
        <v>33.927166267670039</v>
      </c>
    </row>
    <row r="508" spans="1:18" x14ac:dyDescent="0.25">
      <c r="A508">
        <f t="shared" si="98"/>
        <v>1995.1666666666599</v>
      </c>
      <c r="B508">
        <f t="shared" si="98"/>
        <v>-15</v>
      </c>
      <c r="C508">
        <f t="shared" si="99"/>
        <v>-3.4906253091191708</v>
      </c>
      <c r="D508">
        <f t="shared" si="104"/>
        <v>-5</v>
      </c>
      <c r="E508">
        <f t="shared" si="104"/>
        <v>1.0885519368636896</v>
      </c>
      <c r="F508">
        <f t="shared" si="105"/>
        <v>-9.1666666666666661</v>
      </c>
      <c r="G508">
        <f t="shared" si="106"/>
        <v>2.323066912030376</v>
      </c>
      <c r="H508">
        <f t="shared" si="111"/>
        <v>-0.96666666666666679</v>
      </c>
      <c r="I508">
        <f t="shared" si="111"/>
        <v>0.40540142263825396</v>
      </c>
      <c r="J508">
        <f t="shared" si="100"/>
        <v>1995.1666666666599</v>
      </c>
      <c r="K508">
        <f t="shared" si="101"/>
        <v>-15</v>
      </c>
      <c r="L508">
        <f t="shared" si="102"/>
        <v>-39.993917804739901</v>
      </c>
      <c r="M508" s="5">
        <v>1922.1666666666599</v>
      </c>
      <c r="N508" s="5">
        <v>-30</v>
      </c>
      <c r="O508" s="5">
        <v>-52.372067356923203</v>
      </c>
      <c r="Q508">
        <f t="shared" si="107"/>
        <v>11.489733578697042</v>
      </c>
      <c r="R508">
        <f t="shared" si="103"/>
        <v>11.509374690880829</v>
      </c>
    </row>
    <row r="509" spans="1:18" x14ac:dyDescent="0.25">
      <c r="A509">
        <f t="shared" si="98"/>
        <v>1995.25</v>
      </c>
      <c r="B509">
        <f t="shared" si="98"/>
        <v>-5</v>
      </c>
      <c r="C509">
        <f t="shared" si="99"/>
        <v>-28.085520759635759</v>
      </c>
      <c r="D509">
        <f t="shared" si="104"/>
        <v>5</v>
      </c>
      <c r="E509">
        <f t="shared" si="104"/>
        <v>4.5353345858891423</v>
      </c>
      <c r="F509">
        <f t="shared" si="105"/>
        <v>10</v>
      </c>
      <c r="G509">
        <f t="shared" si="106"/>
        <v>1.4349446146472167</v>
      </c>
      <c r="H509">
        <f t="shared" si="111"/>
        <v>1</v>
      </c>
      <c r="I509">
        <f t="shared" si="111"/>
        <v>-0.29124812825332158</v>
      </c>
      <c r="J509">
        <f t="shared" si="100"/>
        <v>1995.25</v>
      </c>
      <c r="K509">
        <f t="shared" si="101"/>
        <v>-5</v>
      </c>
      <c r="L509">
        <f t="shared" si="102"/>
        <v>-69.506902394577907</v>
      </c>
      <c r="M509" s="5">
        <v>1922.25</v>
      </c>
      <c r="N509" s="5">
        <v>-30</v>
      </c>
      <c r="O509" s="5">
        <v>-73.574868116704494</v>
      </c>
      <c r="Q509">
        <f t="shared" si="107"/>
        <v>8.5650553853527835</v>
      </c>
      <c r="R509">
        <f t="shared" si="103"/>
        <v>23.085520759635759</v>
      </c>
    </row>
    <row r="510" spans="1:18" x14ac:dyDescent="0.25">
      <c r="A510">
        <f t="shared" si="98"/>
        <v>1995.3333333333301</v>
      </c>
      <c r="B510">
        <f t="shared" si="98"/>
        <v>-5</v>
      </c>
      <c r="C510">
        <f t="shared" si="99"/>
        <v>-61.751085381930636</v>
      </c>
      <c r="D510">
        <f t="shared" si="104"/>
        <v>30</v>
      </c>
      <c r="E510">
        <f t="shared" si="104"/>
        <v>-0.2428442178257697</v>
      </c>
      <c r="F510">
        <f t="shared" si="105"/>
        <v>2.6666666666666665</v>
      </c>
      <c r="G510">
        <f t="shared" si="106"/>
        <v>-1.1179917267533399</v>
      </c>
      <c r="H510">
        <f t="shared" si="111"/>
        <v>0.2</v>
      </c>
      <c r="I510">
        <f t="shared" si="111"/>
        <v>-1.3221829494421267</v>
      </c>
      <c r="J510">
        <f t="shared" si="100"/>
        <v>1995.3333333333301</v>
      </c>
      <c r="K510">
        <f t="shared" si="101"/>
        <v>-5</v>
      </c>
      <c r="L510">
        <f t="shared" si="102"/>
        <v>-109.90436177410599</v>
      </c>
      <c r="M510" s="5">
        <v>1922.3333333333301</v>
      </c>
      <c r="N510" s="5">
        <v>-30</v>
      </c>
      <c r="O510" s="5">
        <v>-112.671723927553</v>
      </c>
      <c r="Q510">
        <f t="shared" si="107"/>
        <v>3.7846583934200062</v>
      </c>
      <c r="R510">
        <f t="shared" si="103"/>
        <v>56.751085381930636</v>
      </c>
    </row>
    <row r="511" spans="1:18" x14ac:dyDescent="0.25">
      <c r="A511">
        <f t="shared" si="98"/>
        <v>1995.4166666666599</v>
      </c>
      <c r="B511">
        <f t="shared" si="98"/>
        <v>-65</v>
      </c>
      <c r="C511">
        <f t="shared" si="99"/>
        <v>-94.930961568573977</v>
      </c>
      <c r="D511">
        <f t="shared" si="104"/>
        <v>-27</v>
      </c>
      <c r="E511">
        <f t="shared" si="104"/>
        <v>-8.4849593433883967</v>
      </c>
      <c r="F511">
        <f t="shared" si="105"/>
        <v>7.5</v>
      </c>
      <c r="G511">
        <f t="shared" si="106"/>
        <v>-4.279499216605589</v>
      </c>
      <c r="H511">
        <f t="shared" si="111"/>
        <v>1.2333333333333329</v>
      </c>
      <c r="I511">
        <f t="shared" si="111"/>
        <v>-2.2537684027619234</v>
      </c>
      <c r="J511">
        <f t="shared" si="100"/>
        <v>1995.4166666666599</v>
      </c>
      <c r="K511">
        <f t="shared" si="101"/>
        <v>-65</v>
      </c>
      <c r="L511">
        <f t="shared" si="102"/>
        <v>-149.719012605182</v>
      </c>
      <c r="M511" s="5">
        <v>1922.4166666666599</v>
      </c>
      <c r="N511" s="5">
        <v>-30</v>
      </c>
      <c r="O511" s="5">
        <v>-146.211237394785</v>
      </c>
      <c r="Q511">
        <f t="shared" si="107"/>
        <v>11.77949921660559</v>
      </c>
      <c r="R511">
        <f t="shared" si="103"/>
        <v>29.930961568573977</v>
      </c>
    </row>
    <row r="512" spans="1:18" x14ac:dyDescent="0.25">
      <c r="A512">
        <f t="shared" si="98"/>
        <v>1995.5</v>
      </c>
      <c r="B512">
        <f t="shared" si="98"/>
        <v>-71</v>
      </c>
      <c r="C512">
        <f t="shared" si="99"/>
        <v>-111.14091906844052</v>
      </c>
      <c r="D512">
        <f t="shared" si="104"/>
        <v>19.5</v>
      </c>
      <c r="E512">
        <f t="shared" si="104"/>
        <v>-7.3203185010567893</v>
      </c>
      <c r="F512">
        <f t="shared" si="105"/>
        <v>-10</v>
      </c>
      <c r="G512">
        <f t="shared" si="106"/>
        <v>-4.9714353305292969</v>
      </c>
      <c r="H512">
        <f t="shared" si="111"/>
        <v>-2.3666666666666667</v>
      </c>
      <c r="I512">
        <f t="shared" si="111"/>
        <v>-2.442518764115988</v>
      </c>
      <c r="J512">
        <f t="shared" si="100"/>
        <v>1995.5</v>
      </c>
      <c r="K512">
        <f t="shared" si="101"/>
        <v>-71</v>
      </c>
      <c r="L512">
        <f t="shared" si="102"/>
        <v>-169.17037505793201</v>
      </c>
      <c r="M512" s="5">
        <v>1922.5</v>
      </c>
      <c r="N512" s="5">
        <v>-30</v>
      </c>
      <c r="O512" s="5">
        <v>-157.58463654288801</v>
      </c>
      <c r="Q512">
        <f t="shared" si="107"/>
        <v>5.0285646694707031</v>
      </c>
      <c r="R512">
        <f t="shared" si="103"/>
        <v>40.140919068440525</v>
      </c>
    </row>
    <row r="513" spans="1:18" x14ac:dyDescent="0.25">
      <c r="A513">
        <f t="shared" si="98"/>
        <v>1995.5833333333301</v>
      </c>
      <c r="B513">
        <f t="shared" si="98"/>
        <v>-116</v>
      </c>
      <c r="C513">
        <f t="shared" si="99"/>
        <v>-112.71023956619348</v>
      </c>
      <c r="D513">
        <f t="shared" si="104"/>
        <v>-22.5</v>
      </c>
      <c r="E513">
        <f t="shared" si="104"/>
        <v>-2.8376046450396757</v>
      </c>
      <c r="F513">
        <f t="shared" si="105"/>
        <v>-4</v>
      </c>
      <c r="G513">
        <f t="shared" si="106"/>
        <v>-2.3348603545686086</v>
      </c>
      <c r="H513">
        <f t="shared" si="111"/>
        <v>-3.1333333333333333</v>
      </c>
      <c r="I513">
        <f t="shared" si="111"/>
        <v>-2.0037134683889217</v>
      </c>
      <c r="J513">
        <f t="shared" si="100"/>
        <v>1995.5833333333301</v>
      </c>
      <c r="K513">
        <f t="shared" si="101"/>
        <v>-116</v>
      </c>
      <c r="L513">
        <f t="shared" si="102"/>
        <v>-171.05350287036299</v>
      </c>
      <c r="M513" s="5">
        <v>1922.5833333333301</v>
      </c>
      <c r="N513" s="5">
        <v>-30</v>
      </c>
      <c r="O513" s="5">
        <v>-152.04339051125299</v>
      </c>
      <c r="Q513">
        <f t="shared" si="107"/>
        <v>1.6651396454313914</v>
      </c>
      <c r="R513">
        <f t="shared" si="103"/>
        <v>3.2897604338065207</v>
      </c>
    </row>
    <row r="514" spans="1:18" x14ac:dyDescent="0.25">
      <c r="A514">
        <f t="shared" si="98"/>
        <v>1995.6666666666599</v>
      </c>
      <c r="B514">
        <f t="shared" si="98"/>
        <v>-116</v>
      </c>
      <c r="C514">
        <f t="shared" si="99"/>
        <v>-108.60435077386708</v>
      </c>
      <c r="D514">
        <f t="shared" si="104"/>
        <v>-9</v>
      </c>
      <c r="E514">
        <f t="shared" si="104"/>
        <v>1.4021968164641834</v>
      </c>
      <c r="F514">
        <f t="shared" si="105"/>
        <v>-8</v>
      </c>
      <c r="G514">
        <f t="shared" si="106"/>
        <v>0.49119280787689379</v>
      </c>
      <c r="H514">
        <f t="shared" si="111"/>
        <v>-4.0333333333333332</v>
      </c>
      <c r="I514">
        <f t="shared" si="111"/>
        <v>-1.2333206741918556</v>
      </c>
      <c r="J514">
        <f t="shared" si="100"/>
        <v>1995.6666666666599</v>
      </c>
      <c r="K514">
        <f t="shared" si="101"/>
        <v>-116</v>
      </c>
      <c r="L514">
        <f t="shared" si="102"/>
        <v>-166.126584888568</v>
      </c>
      <c r="M514" s="5">
        <v>1922.6666666666599</v>
      </c>
      <c r="N514" s="5">
        <v>-30</v>
      </c>
      <c r="O514" s="5">
        <v>-143.38546386461101</v>
      </c>
      <c r="Q514">
        <f t="shared" si="107"/>
        <v>8.4911928078768941</v>
      </c>
      <c r="R514">
        <f t="shared" si="103"/>
        <v>7.3956492261329174</v>
      </c>
    </row>
    <row r="515" spans="1:18" x14ac:dyDescent="0.25">
      <c r="A515">
        <f t="shared" si="98"/>
        <v>1995.75</v>
      </c>
      <c r="B515">
        <f t="shared" si="98"/>
        <v>-98</v>
      </c>
      <c r="C515">
        <f t="shared" si="99"/>
        <v>-107.30285561446905</v>
      </c>
      <c r="D515">
        <f t="shared" si="104"/>
        <v>7.5</v>
      </c>
      <c r="E515">
        <f t="shared" si="104"/>
        <v>3.2773808581138439</v>
      </c>
      <c r="F515">
        <f t="shared" si="105"/>
        <v>-1.1666666666666667</v>
      </c>
      <c r="G515">
        <f t="shared" si="106"/>
        <v>1.0760347518819913</v>
      </c>
      <c r="H515">
        <f t="shared" si="111"/>
        <v>-1.9333333333333331</v>
      </c>
      <c r="I515">
        <f t="shared" si="111"/>
        <v>-0.59429343241156718</v>
      </c>
      <c r="J515">
        <f t="shared" si="100"/>
        <v>1995.75</v>
      </c>
      <c r="K515">
        <f t="shared" si="101"/>
        <v>-98</v>
      </c>
      <c r="L515">
        <f t="shared" si="102"/>
        <v>-164.56483779107199</v>
      </c>
      <c r="M515" s="5">
        <v>1922.75</v>
      </c>
      <c r="N515" s="5">
        <v>-30</v>
      </c>
      <c r="O515" s="5">
        <v>-142.375434985792</v>
      </c>
      <c r="Q515">
        <f t="shared" si="107"/>
        <v>2.2427014185486582</v>
      </c>
      <c r="R515">
        <f t="shared" si="103"/>
        <v>9.3028556144690526</v>
      </c>
    </row>
    <row r="516" spans="1:18" x14ac:dyDescent="0.25">
      <c r="A516">
        <f t="shared" ref="A516:C579" si="112">+J516</f>
        <v>1995.8333333333301</v>
      </c>
      <c r="B516">
        <f t="shared" si="112"/>
        <v>-95</v>
      </c>
      <c r="C516">
        <f t="shared" ref="C516:C579" si="113">+$B$1*L516+$D$1</f>
        <v>-112.55612217129871</v>
      </c>
      <c r="D516">
        <f t="shared" si="104"/>
        <v>-2</v>
      </c>
      <c r="E516">
        <f t="shared" si="104"/>
        <v>-0.64444735502056005</v>
      </c>
      <c r="F516">
        <f t="shared" si="105"/>
        <v>3</v>
      </c>
      <c r="G516">
        <f t="shared" si="106"/>
        <v>-0.42753524562025791</v>
      </c>
      <c r="H516">
        <f t="shared" si="111"/>
        <v>-0.8999999999999998</v>
      </c>
      <c r="I516">
        <f t="shared" si="111"/>
        <v>-0.36210248345394508</v>
      </c>
      <c r="J516">
        <f t="shared" ref="J516:J579" si="114">+$M1392</f>
        <v>1995.8333333333301</v>
      </c>
      <c r="K516">
        <f t="shared" ref="K516:K579" si="115">+$N1392</f>
        <v>-95</v>
      </c>
      <c r="L516">
        <f t="shared" ref="L516:L579" si="116">+$O1392</f>
        <v>-170.86856757313001</v>
      </c>
      <c r="M516" s="5">
        <v>1922.8333333333301</v>
      </c>
      <c r="N516" s="5">
        <v>-30</v>
      </c>
      <c r="O516" s="5">
        <v>-147.60301593340401</v>
      </c>
      <c r="Q516">
        <f t="shared" si="107"/>
        <v>3.4275352456202581</v>
      </c>
      <c r="R516">
        <f t="shared" ref="R516:R579" si="117">+ABS(B516-C516)</f>
        <v>17.556122171298711</v>
      </c>
    </row>
    <row r="517" spans="1:18" x14ac:dyDescent="0.25">
      <c r="A517">
        <f t="shared" si="112"/>
        <v>1995.9166666666599</v>
      </c>
      <c r="B517">
        <f t="shared" si="112"/>
        <v>-88</v>
      </c>
      <c r="C517">
        <f t="shared" si="113"/>
        <v>-116.52049401808725</v>
      </c>
      <c r="D517">
        <f t="shared" ref="D517:E580" si="118">+B517-1/2*(B516+B518)</f>
        <v>3.5</v>
      </c>
      <c r="E517">
        <f t="shared" si="118"/>
        <v>-4.2361906741692508</v>
      </c>
      <c r="F517">
        <f t="shared" si="105"/>
        <v>0.5</v>
      </c>
      <c r="G517">
        <f t="shared" si="106"/>
        <v>-1.7762991216278541</v>
      </c>
      <c r="H517">
        <f t="shared" si="111"/>
        <v>0.83333333333333337</v>
      </c>
      <c r="I517">
        <f t="shared" si="111"/>
        <v>-0.40769865276860778</v>
      </c>
      <c r="J517">
        <f t="shared" si="114"/>
        <v>1995.9166666666599</v>
      </c>
      <c r="K517">
        <f t="shared" si="115"/>
        <v>-88</v>
      </c>
      <c r="L517">
        <f t="shared" si="116"/>
        <v>-175.625670340981</v>
      </c>
      <c r="M517" s="5">
        <v>1922.9166666666599</v>
      </c>
      <c r="N517" s="5">
        <v>-30</v>
      </c>
      <c r="O517" s="5">
        <v>-143.245009285132</v>
      </c>
      <c r="Q517">
        <f t="shared" si="107"/>
        <v>2.2762991216278543</v>
      </c>
      <c r="R517">
        <f t="shared" si="117"/>
        <v>28.520494018087248</v>
      </c>
    </row>
    <row r="518" spans="1:18" x14ac:dyDescent="0.25">
      <c r="A518">
        <f t="shared" si="112"/>
        <v>1996</v>
      </c>
      <c r="B518">
        <f t="shared" si="112"/>
        <v>-88</v>
      </c>
      <c r="C518">
        <f t="shared" si="113"/>
        <v>-112.01248451653728</v>
      </c>
      <c r="D518">
        <f t="shared" si="118"/>
        <v>0</v>
      </c>
      <c r="E518">
        <f t="shared" si="118"/>
        <v>-1.7804836769146419</v>
      </c>
      <c r="F518">
        <f t="shared" ref="F518:F581" si="119">+AVERAGE(D517:D519)</f>
        <v>1.1666666666666667</v>
      </c>
      <c r="G518">
        <f t="shared" ref="G518:G581" si="120">+$H$1*AVERAGE(E517:E519)+$F$1</f>
        <v>-1.1739056097804983</v>
      </c>
      <c r="H518">
        <f t="shared" si="111"/>
        <v>1.0666666666666669</v>
      </c>
      <c r="I518">
        <f t="shared" si="111"/>
        <v>-0.41078404269983509</v>
      </c>
      <c r="J518">
        <f t="shared" si="114"/>
        <v>1996</v>
      </c>
      <c r="K518">
        <f t="shared" si="115"/>
        <v>-88</v>
      </c>
      <c r="L518">
        <f t="shared" si="116"/>
        <v>-170.216222058602</v>
      </c>
      <c r="M518" s="5">
        <v>1923</v>
      </c>
      <c r="N518" s="5">
        <v>-30</v>
      </c>
      <c r="O518" s="5">
        <v>-118.502781274295</v>
      </c>
      <c r="Q518">
        <f t="shared" ref="Q518:Q581" si="121">+ABS(F518-G518)</f>
        <v>2.340572276447165</v>
      </c>
      <c r="R518">
        <f t="shared" si="117"/>
        <v>24.012484516537285</v>
      </c>
    </row>
    <row r="519" spans="1:18" x14ac:dyDescent="0.25">
      <c r="A519">
        <f t="shared" si="112"/>
        <v>1996.0833333333301</v>
      </c>
      <c r="B519">
        <f t="shared" si="112"/>
        <v>-88</v>
      </c>
      <c r="C519">
        <f t="shared" si="113"/>
        <v>-103.94350766115804</v>
      </c>
      <c r="D519">
        <f t="shared" si="118"/>
        <v>0</v>
      </c>
      <c r="E519">
        <f t="shared" si="118"/>
        <v>1.6145283144070248</v>
      </c>
      <c r="F519">
        <f t="shared" si="119"/>
        <v>0.66666666666666663</v>
      </c>
      <c r="G519">
        <f t="shared" si="120"/>
        <v>0.26321196130357977</v>
      </c>
      <c r="H519">
        <f t="shared" si="111"/>
        <v>0.5</v>
      </c>
      <c r="I519">
        <f t="shared" si="111"/>
        <v>-0.27952473421261703</v>
      </c>
      <c r="J519">
        <f t="shared" si="114"/>
        <v>1996.0833333333301</v>
      </c>
      <c r="K519">
        <f t="shared" si="115"/>
        <v>-88</v>
      </c>
      <c r="L519">
        <f t="shared" si="116"/>
        <v>-160.53374180298599</v>
      </c>
      <c r="M519" s="5">
        <v>1923.0833333333301</v>
      </c>
      <c r="N519" s="5">
        <v>-30</v>
      </c>
      <c r="O519" s="5">
        <v>-89.330172555954903</v>
      </c>
      <c r="Q519">
        <f t="shared" si="121"/>
        <v>0.40345470536308686</v>
      </c>
      <c r="R519">
        <f t="shared" si="117"/>
        <v>15.943507661158037</v>
      </c>
    </row>
    <row r="520" spans="1:18" x14ac:dyDescent="0.25">
      <c r="A520">
        <f t="shared" si="112"/>
        <v>1996.1666666666599</v>
      </c>
      <c r="B520">
        <f t="shared" si="112"/>
        <v>-88</v>
      </c>
      <c r="C520">
        <f t="shared" si="113"/>
        <v>-99.103587434592839</v>
      </c>
      <c r="D520">
        <f t="shared" si="118"/>
        <v>2</v>
      </c>
      <c r="E520">
        <f t="shared" si="118"/>
        <v>1.1530002173960412</v>
      </c>
      <c r="F520">
        <f t="shared" si="119"/>
        <v>0</v>
      </c>
      <c r="G520">
        <f t="shared" si="120"/>
        <v>1.0606078022258545</v>
      </c>
      <c r="H520">
        <f t="shared" ref="H520:I535" si="122">+AVERAGE(F518:F522)</f>
        <v>0.26666666666666672</v>
      </c>
      <c r="I520">
        <f t="shared" si="122"/>
        <v>-0.2953689171736672</v>
      </c>
      <c r="J520">
        <f t="shared" si="114"/>
        <v>1996.1666666666599</v>
      </c>
      <c r="K520">
        <f t="shared" si="115"/>
        <v>-88</v>
      </c>
      <c r="L520">
        <f t="shared" si="116"/>
        <v>-154.72601266056901</v>
      </c>
      <c r="M520" s="5">
        <v>1923.1666666666599</v>
      </c>
      <c r="N520" s="5">
        <v>-30</v>
      </c>
      <c r="O520" s="5">
        <v>-81.180592319566998</v>
      </c>
      <c r="Q520">
        <f t="shared" si="121"/>
        <v>1.0606078022258545</v>
      </c>
      <c r="R520">
        <f t="shared" si="117"/>
        <v>11.103587434592839</v>
      </c>
    </row>
    <row r="521" spans="1:18" x14ac:dyDescent="0.25">
      <c r="A521">
        <f t="shared" si="112"/>
        <v>1996.25</v>
      </c>
      <c r="B521">
        <f t="shared" si="112"/>
        <v>-92</v>
      </c>
      <c r="C521">
        <f t="shared" si="113"/>
        <v>-96.569667642819724</v>
      </c>
      <c r="D521">
        <f t="shared" si="118"/>
        <v>-2</v>
      </c>
      <c r="E521">
        <f t="shared" si="118"/>
        <v>1.2097507265438878</v>
      </c>
      <c r="F521">
        <f t="shared" si="119"/>
        <v>0.16666666666666666</v>
      </c>
      <c r="G521">
        <f t="shared" si="120"/>
        <v>0.22876129681583279</v>
      </c>
      <c r="H521">
        <f t="shared" si="122"/>
        <v>-1.4333333333333331</v>
      </c>
      <c r="I521">
        <f t="shared" si="122"/>
        <v>-0.92651604860595849</v>
      </c>
      <c r="J521">
        <f t="shared" si="114"/>
        <v>1996.25</v>
      </c>
      <c r="K521">
        <f t="shared" si="115"/>
        <v>-92</v>
      </c>
      <c r="L521">
        <f t="shared" si="116"/>
        <v>-151.68540059873101</v>
      </c>
      <c r="M521" s="5">
        <v>1923.25</v>
      </c>
      <c r="N521" s="5">
        <v>-30</v>
      </c>
      <c r="O521" s="5">
        <v>-87.180100653698204</v>
      </c>
      <c r="Q521">
        <f t="shared" si="121"/>
        <v>6.2094630149166136E-2</v>
      </c>
      <c r="R521">
        <f t="shared" si="117"/>
        <v>4.5696676428197236</v>
      </c>
    </row>
    <row r="522" spans="1:18" x14ac:dyDescent="0.25">
      <c r="A522">
        <f t="shared" si="112"/>
        <v>1996.3333333333301</v>
      </c>
      <c r="B522">
        <f t="shared" si="112"/>
        <v>-92</v>
      </c>
      <c r="C522">
        <f t="shared" si="113"/>
        <v>-96.455249304134369</v>
      </c>
      <c r="D522">
        <f t="shared" si="118"/>
        <v>0.5</v>
      </c>
      <c r="E522">
        <f t="shared" si="118"/>
        <v>-1.504896080880556</v>
      </c>
      <c r="F522">
        <f t="shared" si="119"/>
        <v>-0.66666666666666663</v>
      </c>
      <c r="G522">
        <f t="shared" si="120"/>
        <v>-1.8555200364331048</v>
      </c>
      <c r="H522">
        <f t="shared" si="122"/>
        <v>-3</v>
      </c>
      <c r="I522">
        <f t="shared" si="122"/>
        <v>-2.0741023886003136</v>
      </c>
      <c r="J522">
        <f t="shared" si="114"/>
        <v>1996.3333333333301</v>
      </c>
      <c r="K522">
        <f t="shared" si="115"/>
        <v>-92</v>
      </c>
      <c r="L522">
        <f t="shared" si="116"/>
        <v>-151.548102732464</v>
      </c>
      <c r="M522" s="5">
        <v>1923.3333333333301</v>
      </c>
      <c r="N522" s="5">
        <v>-30</v>
      </c>
      <c r="O522" s="5">
        <v>-99.126586617405096</v>
      </c>
      <c r="Q522">
        <f t="shared" si="121"/>
        <v>1.1888533697664383</v>
      </c>
      <c r="R522">
        <f t="shared" si="117"/>
        <v>4.4552493041343695</v>
      </c>
    </row>
    <row r="523" spans="1:18" x14ac:dyDescent="0.25">
      <c r="A523">
        <f t="shared" si="112"/>
        <v>1996.4166666666599</v>
      </c>
      <c r="B523">
        <f t="shared" si="112"/>
        <v>-93</v>
      </c>
      <c r="C523">
        <f t="shared" si="113"/>
        <v>-93.331038803687889</v>
      </c>
      <c r="D523">
        <f t="shared" si="118"/>
        <v>-0.5</v>
      </c>
      <c r="E523">
        <f t="shared" si="118"/>
        <v>-6.6630547822874746</v>
      </c>
      <c r="F523">
        <f t="shared" si="119"/>
        <v>-7.333333333333333</v>
      </c>
      <c r="G523">
        <f t="shared" si="120"/>
        <v>-4.3296412669419544</v>
      </c>
      <c r="H523">
        <f t="shared" si="122"/>
        <v>-3.0333333333333332</v>
      </c>
      <c r="I523">
        <f t="shared" si="122"/>
        <v>-2.8916186322062112</v>
      </c>
      <c r="J523">
        <f t="shared" si="114"/>
        <v>1996.4166666666599</v>
      </c>
      <c r="K523">
        <f t="shared" si="115"/>
        <v>-93</v>
      </c>
      <c r="L523">
        <f t="shared" si="116"/>
        <v>-147.79916317951501</v>
      </c>
      <c r="M523" s="5">
        <v>1923.4166666666599</v>
      </c>
      <c r="N523" s="5">
        <v>-30</v>
      </c>
      <c r="O523" s="5">
        <v>-106.180254987146</v>
      </c>
      <c r="Q523">
        <f t="shared" si="121"/>
        <v>3.0036920663913786</v>
      </c>
      <c r="R523">
        <f t="shared" si="117"/>
        <v>0.33103880368788907</v>
      </c>
    </row>
    <row r="524" spans="1:18" x14ac:dyDescent="0.25">
      <c r="A524">
        <f t="shared" si="112"/>
        <v>1996.5</v>
      </c>
      <c r="B524">
        <f t="shared" si="112"/>
        <v>-93</v>
      </c>
      <c r="C524">
        <f t="shared" si="113"/>
        <v>-76.880718738666459</v>
      </c>
      <c r="D524">
        <f t="shared" si="118"/>
        <v>-22</v>
      </c>
      <c r="E524">
        <f t="shared" si="118"/>
        <v>-8.0682038878642999</v>
      </c>
      <c r="F524">
        <f t="shared" si="119"/>
        <v>-7.166666666666667</v>
      </c>
      <c r="G524">
        <f t="shared" si="120"/>
        <v>-5.4747197386681972</v>
      </c>
      <c r="H524">
        <f t="shared" si="122"/>
        <v>-1.8666666666666667</v>
      </c>
      <c r="I524">
        <f t="shared" si="122"/>
        <v>-2.3993071685086185</v>
      </c>
      <c r="J524">
        <f t="shared" si="114"/>
        <v>1996.5</v>
      </c>
      <c r="K524">
        <f t="shared" si="115"/>
        <v>-93</v>
      </c>
      <c r="L524">
        <f t="shared" si="116"/>
        <v>-128.05937434594699</v>
      </c>
      <c r="M524" s="5">
        <v>1923.5</v>
      </c>
      <c r="N524" s="5">
        <v>-30</v>
      </c>
      <c r="O524" s="5">
        <v>-99.258037599726507</v>
      </c>
      <c r="Q524">
        <f t="shared" si="121"/>
        <v>1.6919469279984698</v>
      </c>
      <c r="R524">
        <f t="shared" si="117"/>
        <v>16.119281261333541</v>
      </c>
    </row>
    <row r="525" spans="1:18" x14ac:dyDescent="0.25">
      <c r="A525">
        <f t="shared" si="112"/>
        <v>1996.5833333333301</v>
      </c>
      <c r="B525">
        <f t="shared" si="112"/>
        <v>-49</v>
      </c>
      <c r="C525">
        <f t="shared" si="113"/>
        <v>-44.29399089791643</v>
      </c>
      <c r="D525">
        <f t="shared" si="118"/>
        <v>1</v>
      </c>
      <c r="E525">
        <f t="shared" si="118"/>
        <v>-5.7989403498539644</v>
      </c>
      <c r="F525">
        <f t="shared" si="119"/>
        <v>-0.16666666666666666</v>
      </c>
      <c r="G525">
        <f t="shared" si="120"/>
        <v>-3.0269734158036332</v>
      </c>
      <c r="H525">
        <f t="shared" si="122"/>
        <v>-0.3333333333333332</v>
      </c>
      <c r="I525">
        <f t="shared" si="122"/>
        <v>-1.2156222523726607</v>
      </c>
      <c r="J525">
        <f t="shared" si="114"/>
        <v>1996.5833333333301</v>
      </c>
      <c r="K525">
        <f t="shared" si="115"/>
        <v>-49</v>
      </c>
      <c r="L525">
        <f t="shared" si="116"/>
        <v>-88.956480067244101</v>
      </c>
      <c r="M525" s="5">
        <v>1923.5833333333301</v>
      </c>
      <c r="N525" s="5">
        <v>-30</v>
      </c>
      <c r="O525" s="5">
        <v>-86.620273416502997</v>
      </c>
      <c r="Q525">
        <f t="shared" si="121"/>
        <v>2.8603067491369667</v>
      </c>
      <c r="R525">
        <f t="shared" si="117"/>
        <v>4.7060091020835699</v>
      </c>
    </row>
    <row r="526" spans="1:18" x14ac:dyDescent="0.25">
      <c r="A526">
        <f t="shared" si="112"/>
        <v>1996.6666666666599</v>
      </c>
      <c r="B526">
        <f t="shared" si="112"/>
        <v>-7</v>
      </c>
      <c r="C526">
        <f t="shared" si="113"/>
        <v>-0.10938235745847891</v>
      </c>
      <c r="D526">
        <f t="shared" si="118"/>
        <v>20.5</v>
      </c>
      <c r="E526">
        <f t="shared" si="118"/>
        <v>2.5159939284546411</v>
      </c>
      <c r="F526">
        <f t="shared" si="119"/>
        <v>6</v>
      </c>
      <c r="G526">
        <f t="shared" si="120"/>
        <v>2.6903186153037963</v>
      </c>
      <c r="H526">
        <f t="shared" si="122"/>
        <v>0.26666666666666661</v>
      </c>
      <c r="I526">
        <f t="shared" si="122"/>
        <v>0.18706625358300172</v>
      </c>
      <c r="J526">
        <f t="shared" si="114"/>
        <v>1996.6666666666599</v>
      </c>
      <c r="K526">
        <f t="shared" si="115"/>
        <v>-7</v>
      </c>
      <c r="L526">
        <f t="shared" si="116"/>
        <v>-35.936548610891002</v>
      </c>
      <c r="M526" s="5">
        <v>1923.6666666666599</v>
      </c>
      <c r="N526" s="5">
        <v>-30</v>
      </c>
      <c r="O526" s="5">
        <v>-78.896250333739701</v>
      </c>
      <c r="Q526">
        <f t="shared" si="121"/>
        <v>3.3096813846962037</v>
      </c>
      <c r="R526">
        <f t="shared" si="117"/>
        <v>6.8906176425415211</v>
      </c>
    </row>
    <row r="527" spans="1:18" x14ac:dyDescent="0.25">
      <c r="A527">
        <f t="shared" si="112"/>
        <v>1996.75</v>
      </c>
      <c r="B527">
        <f t="shared" si="112"/>
        <v>-6</v>
      </c>
      <c r="C527">
        <f t="shared" si="113"/>
        <v>39.04323832609019</v>
      </c>
      <c r="D527">
        <f t="shared" si="118"/>
        <v>-3.5</v>
      </c>
      <c r="E527">
        <f t="shared" si="118"/>
        <v>13.371641228788558</v>
      </c>
      <c r="F527">
        <f t="shared" si="119"/>
        <v>7</v>
      </c>
      <c r="G527">
        <f t="shared" si="120"/>
        <v>4.0629045442466838</v>
      </c>
      <c r="H527">
        <f t="shared" si="122"/>
        <v>2.9</v>
      </c>
      <c r="I527">
        <f t="shared" si="122"/>
        <v>1.4662305580661985</v>
      </c>
      <c r="J527">
        <f t="shared" si="114"/>
        <v>1996.75</v>
      </c>
      <c r="K527">
        <f t="shared" si="115"/>
        <v>-6</v>
      </c>
      <c r="L527">
        <f t="shared" si="116"/>
        <v>11.045179496478299</v>
      </c>
      <c r="M527" s="5">
        <v>1923.75</v>
      </c>
      <c r="N527" s="5">
        <v>-30</v>
      </c>
      <c r="O527" s="5">
        <v>-84.695943670981293</v>
      </c>
      <c r="Q527">
        <f t="shared" si="121"/>
        <v>2.9370954557533162</v>
      </c>
      <c r="R527">
        <f t="shared" si="117"/>
        <v>45.04323832609019</v>
      </c>
    </row>
    <row r="528" spans="1:18" x14ac:dyDescent="0.25">
      <c r="A528">
        <f t="shared" si="112"/>
        <v>1996.8333333333301</v>
      </c>
      <c r="B528">
        <f t="shared" si="112"/>
        <v>2</v>
      </c>
      <c r="C528">
        <f t="shared" si="113"/>
        <v>51.452576552061743</v>
      </c>
      <c r="D528">
        <f t="shared" si="118"/>
        <v>4</v>
      </c>
      <c r="E528">
        <f t="shared" si="118"/>
        <v>-0.65174311631813708</v>
      </c>
      <c r="F528">
        <f t="shared" si="119"/>
        <v>-4.333333333333333</v>
      </c>
      <c r="G528">
        <f t="shared" si="120"/>
        <v>2.6838012628363583</v>
      </c>
      <c r="H528">
        <f t="shared" si="122"/>
        <v>2</v>
      </c>
      <c r="I528">
        <f t="shared" si="122"/>
        <v>2.4928381643169768</v>
      </c>
      <c r="J528">
        <f t="shared" si="114"/>
        <v>1996.8333333333301</v>
      </c>
      <c r="K528">
        <f t="shared" si="115"/>
        <v>2</v>
      </c>
      <c r="L528">
        <f t="shared" si="116"/>
        <v>25.935936343565999</v>
      </c>
      <c r="M528" s="5">
        <v>1923.8333333333301</v>
      </c>
      <c r="N528" s="5">
        <v>-30</v>
      </c>
      <c r="O528" s="5">
        <v>-102.574828212337</v>
      </c>
      <c r="Q528">
        <f t="shared" si="121"/>
        <v>7.0171345961696918</v>
      </c>
      <c r="R528">
        <f t="shared" si="117"/>
        <v>49.452576552061743</v>
      </c>
    </row>
    <row r="529" spans="1:18" x14ac:dyDescent="0.25">
      <c r="A529">
        <f t="shared" si="112"/>
        <v>1996.9166666666599</v>
      </c>
      <c r="B529">
        <f t="shared" si="112"/>
        <v>2</v>
      </c>
      <c r="C529">
        <f t="shared" si="113"/>
        <v>65.165401010669569</v>
      </c>
      <c r="D529">
        <f t="shared" si="118"/>
        <v>-13.5</v>
      </c>
      <c r="E529">
        <f t="shared" si="118"/>
        <v>-2.6556433768340781</v>
      </c>
      <c r="F529">
        <f t="shared" si="119"/>
        <v>6</v>
      </c>
      <c r="G529">
        <f t="shared" si="120"/>
        <v>0.92110178374778684</v>
      </c>
      <c r="H529">
        <f t="shared" si="122"/>
        <v>1.8666666666666667</v>
      </c>
      <c r="I529">
        <f t="shared" si="122"/>
        <v>2.6160294436273004</v>
      </c>
      <c r="J529">
        <f t="shared" si="114"/>
        <v>1996.9166666666599</v>
      </c>
      <c r="K529">
        <f t="shared" si="115"/>
        <v>2</v>
      </c>
      <c r="L529">
        <f t="shared" si="116"/>
        <v>42.390829503989899</v>
      </c>
      <c r="M529" s="5">
        <v>1923.9166666666599</v>
      </c>
      <c r="N529" s="5">
        <v>-30</v>
      </c>
      <c r="O529" s="5">
        <v>-109.808743091333</v>
      </c>
      <c r="Q529">
        <f t="shared" si="121"/>
        <v>5.0788982162522132</v>
      </c>
      <c r="R529">
        <f t="shared" si="117"/>
        <v>63.165401010669569</v>
      </c>
    </row>
    <row r="530" spans="1:18" x14ac:dyDescent="0.25">
      <c r="A530">
        <f t="shared" si="112"/>
        <v>1997</v>
      </c>
      <c r="B530">
        <f t="shared" si="112"/>
        <v>29</v>
      </c>
      <c r="C530">
        <f t="shared" si="113"/>
        <v>84.189512222945552</v>
      </c>
      <c r="D530">
        <f t="shared" si="118"/>
        <v>27.5</v>
      </c>
      <c r="E530">
        <f t="shared" si="118"/>
        <v>6.7615181822064159</v>
      </c>
      <c r="F530">
        <f t="shared" si="119"/>
        <v>-4.666666666666667</v>
      </c>
      <c r="G530">
        <f t="shared" si="120"/>
        <v>2.1060646154502591</v>
      </c>
      <c r="H530">
        <f t="shared" si="122"/>
        <v>-1.2000000000000002</v>
      </c>
      <c r="I530">
        <f t="shared" si="122"/>
        <v>2.9044919941778615</v>
      </c>
      <c r="J530">
        <f t="shared" si="114"/>
        <v>1997</v>
      </c>
      <c r="K530">
        <f t="shared" si="115"/>
        <v>29</v>
      </c>
      <c r="L530">
        <f t="shared" si="116"/>
        <v>65.2190745832538</v>
      </c>
      <c r="M530" s="5">
        <v>1924</v>
      </c>
      <c r="N530" s="5">
        <v>-30</v>
      </c>
      <c r="O530" s="5">
        <v>-100.452882022724</v>
      </c>
      <c r="Q530">
        <f t="shared" si="121"/>
        <v>6.7727312821169257</v>
      </c>
      <c r="R530">
        <f t="shared" si="117"/>
        <v>55.189512222945552</v>
      </c>
    </row>
    <row r="531" spans="1:18" x14ac:dyDescent="0.25">
      <c r="A531">
        <f t="shared" si="112"/>
        <v>1997.0833333333301</v>
      </c>
      <c r="B531">
        <f t="shared" si="112"/>
        <v>1</v>
      </c>
      <c r="C531">
        <f t="shared" si="113"/>
        <v>89.690587070808704</v>
      </c>
      <c r="D531">
        <f t="shared" si="118"/>
        <v>-28</v>
      </c>
      <c r="E531">
        <f t="shared" si="118"/>
        <v>3.7918675025661344</v>
      </c>
      <c r="F531">
        <f t="shared" si="119"/>
        <v>5.333333333333333</v>
      </c>
      <c r="G531">
        <f t="shared" si="120"/>
        <v>3.3062750118554129</v>
      </c>
      <c r="H531">
        <f t="shared" si="122"/>
        <v>1.3333333333333333</v>
      </c>
      <c r="I531">
        <f t="shared" si="122"/>
        <v>4.3335418133556871</v>
      </c>
      <c r="J531">
        <f t="shared" si="114"/>
        <v>1997.0833333333301</v>
      </c>
      <c r="K531">
        <f t="shared" si="115"/>
        <v>1</v>
      </c>
      <c r="L531">
        <f t="shared" si="116"/>
        <v>71.820165347765297</v>
      </c>
      <c r="M531" s="5">
        <v>1924.0833333333301</v>
      </c>
      <c r="N531" s="5">
        <v>-30</v>
      </c>
      <c r="O531" s="5">
        <v>-88.402952683265596</v>
      </c>
      <c r="Q531">
        <f t="shared" si="121"/>
        <v>2.0270583214779201</v>
      </c>
      <c r="R531">
        <f t="shared" si="117"/>
        <v>88.690587070808704</v>
      </c>
    </row>
    <row r="532" spans="1:18" x14ac:dyDescent="0.25">
      <c r="A532">
        <f t="shared" si="112"/>
        <v>1997.1666666666599</v>
      </c>
      <c r="B532">
        <f t="shared" si="112"/>
        <v>29</v>
      </c>
      <c r="C532">
        <f t="shared" si="113"/>
        <v>87.6079269135396</v>
      </c>
      <c r="D532">
        <f t="shared" si="118"/>
        <v>16.5</v>
      </c>
      <c r="E532">
        <f t="shared" si="118"/>
        <v>1.8451456096852468</v>
      </c>
      <c r="F532">
        <f t="shared" si="119"/>
        <v>-8.3333333333333339</v>
      </c>
      <c r="G532">
        <f t="shared" si="120"/>
        <v>5.5052172969994899</v>
      </c>
      <c r="H532">
        <f t="shared" si="122"/>
        <v>0.96666666666666656</v>
      </c>
      <c r="I532">
        <f t="shared" si="122"/>
        <v>5.2799331046726889</v>
      </c>
      <c r="J532">
        <f t="shared" si="114"/>
        <v>1997.1666666666599</v>
      </c>
      <c r="K532">
        <f t="shared" si="115"/>
        <v>29</v>
      </c>
      <c r="L532">
        <f t="shared" si="116"/>
        <v>69.321048518786796</v>
      </c>
      <c r="M532" s="5">
        <v>1924.1666666666599</v>
      </c>
      <c r="N532" s="5">
        <v>-30</v>
      </c>
      <c r="O532" s="5">
        <v>-77.078255275227306</v>
      </c>
      <c r="Q532">
        <f t="shared" si="121"/>
        <v>13.838550630332824</v>
      </c>
      <c r="R532">
        <f t="shared" si="117"/>
        <v>58.6079269135396</v>
      </c>
    </row>
    <row r="533" spans="1:18" x14ac:dyDescent="0.25">
      <c r="A533">
        <f t="shared" si="112"/>
        <v>1997.25</v>
      </c>
      <c r="B533">
        <f t="shared" si="112"/>
        <v>24</v>
      </c>
      <c r="C533">
        <f t="shared" si="113"/>
        <v>81.834975536899989</v>
      </c>
      <c r="D533">
        <f t="shared" si="118"/>
        <v>-13.5</v>
      </c>
      <c r="E533">
        <f t="shared" si="118"/>
        <v>15.007551751496706</v>
      </c>
      <c r="F533">
        <f t="shared" si="119"/>
        <v>8.3333333333333339</v>
      </c>
      <c r="G533">
        <f t="shared" si="120"/>
        <v>9.8290503587254889</v>
      </c>
      <c r="H533">
        <f t="shared" si="122"/>
        <v>6.4333333333333345</v>
      </c>
      <c r="I533">
        <f t="shared" si="122"/>
        <v>4.5475318329740562</v>
      </c>
      <c r="J533">
        <f t="shared" si="114"/>
        <v>1997.25</v>
      </c>
      <c r="K533">
        <f t="shared" si="115"/>
        <v>24</v>
      </c>
      <c r="L533">
        <f t="shared" si="116"/>
        <v>62.393715757424303</v>
      </c>
      <c r="M533" s="5">
        <v>1924.25</v>
      </c>
      <c r="N533" s="5">
        <v>-30</v>
      </c>
      <c r="O533" s="5">
        <v>-75.3524367517835</v>
      </c>
      <c r="Q533">
        <f t="shared" si="121"/>
        <v>1.495717025392155</v>
      </c>
      <c r="R533">
        <f t="shared" si="117"/>
        <v>57.834975536899989</v>
      </c>
    </row>
    <row r="534" spans="1:18" x14ac:dyDescent="0.25">
      <c r="A534">
        <f t="shared" si="112"/>
        <v>1997.3333333333301</v>
      </c>
      <c r="B534">
        <f t="shared" si="112"/>
        <v>46</v>
      </c>
      <c r="C534">
        <f t="shared" si="113"/>
        <v>46.046920657266952</v>
      </c>
      <c r="D534">
        <f t="shared" si="118"/>
        <v>22</v>
      </c>
      <c r="E534">
        <f t="shared" si="118"/>
        <v>20.006241484038632</v>
      </c>
      <c r="F534">
        <f t="shared" si="119"/>
        <v>4.166666666666667</v>
      </c>
      <c r="G534">
        <f t="shared" si="120"/>
        <v>5.6530582403327978</v>
      </c>
      <c r="H534">
        <f t="shared" si="122"/>
        <v>4.6333333333333337</v>
      </c>
      <c r="I534">
        <f t="shared" si="122"/>
        <v>2.1033726822434859</v>
      </c>
      <c r="J534">
        <f t="shared" si="114"/>
        <v>1997.3333333333301</v>
      </c>
      <c r="K534">
        <f t="shared" si="115"/>
        <v>46</v>
      </c>
      <c r="L534">
        <f t="shared" si="116"/>
        <v>19.4493448700619</v>
      </c>
      <c r="M534" s="5">
        <v>1924.3333333333301</v>
      </c>
      <c r="N534" s="5">
        <v>-30</v>
      </c>
      <c r="O534" s="5">
        <v>-101.591469411582</v>
      </c>
      <c r="Q534">
        <f t="shared" si="121"/>
        <v>1.4863915736661308</v>
      </c>
      <c r="R534">
        <f t="shared" si="117"/>
        <v>4.6920657266952048E-2</v>
      </c>
    </row>
    <row r="535" spans="1:18" x14ac:dyDescent="0.25">
      <c r="A535">
        <f t="shared" si="112"/>
        <v>1997.4166666666599</v>
      </c>
      <c r="B535">
        <f t="shared" si="112"/>
        <v>24</v>
      </c>
      <c r="C535">
        <f t="shared" si="113"/>
        <v>-29.753617190443354</v>
      </c>
      <c r="D535">
        <f t="shared" si="118"/>
        <v>4</v>
      </c>
      <c r="E535">
        <f t="shared" si="118"/>
        <v>-13.814824834287347</v>
      </c>
      <c r="F535">
        <f t="shared" si="119"/>
        <v>22.666666666666668</v>
      </c>
      <c r="G535">
        <f t="shared" si="120"/>
        <v>-1.5559417430429079</v>
      </c>
      <c r="H535">
        <f t="shared" si="122"/>
        <v>5.3000000000000007</v>
      </c>
      <c r="I535">
        <f t="shared" si="122"/>
        <v>-0.15876049906630724</v>
      </c>
      <c r="J535">
        <f t="shared" si="114"/>
        <v>1997.4166666666599</v>
      </c>
      <c r="K535">
        <f t="shared" si="115"/>
        <v>24</v>
      </c>
      <c r="L535">
        <f t="shared" si="116"/>
        <v>-71.508557752529597</v>
      </c>
      <c r="M535" s="5">
        <v>1924.4166666666599</v>
      </c>
      <c r="N535" s="5">
        <v>-30</v>
      </c>
      <c r="O535" s="5">
        <v>-132.973621024219</v>
      </c>
      <c r="Q535">
        <f t="shared" si="121"/>
        <v>24.222608409709576</v>
      </c>
      <c r="R535">
        <f t="shared" si="117"/>
        <v>53.75361719044335</v>
      </c>
    </row>
    <row r="536" spans="1:18" x14ac:dyDescent="0.25">
      <c r="A536">
        <f t="shared" si="112"/>
        <v>1997.5</v>
      </c>
      <c r="B536">
        <f t="shared" si="112"/>
        <v>-6</v>
      </c>
      <c r="C536">
        <f t="shared" si="113"/>
        <v>-77.924505369578966</v>
      </c>
      <c r="D536">
        <f t="shared" si="118"/>
        <v>42</v>
      </c>
      <c r="E536">
        <f t="shared" si="118"/>
        <v>-12.02619818616219</v>
      </c>
      <c r="F536">
        <f t="shared" si="119"/>
        <v>-3.6666666666666665</v>
      </c>
      <c r="G536">
        <f t="shared" si="120"/>
        <v>-8.914520741797439</v>
      </c>
      <c r="H536">
        <f t="shared" ref="H536:I551" si="123">+AVERAGE(F534:F538)</f>
        <v>-0.73333333333333284</v>
      </c>
      <c r="I536">
        <f t="shared" si="123"/>
        <v>-2.6181578243255466</v>
      </c>
      <c r="J536">
        <f t="shared" si="114"/>
        <v>1997.5</v>
      </c>
      <c r="K536">
        <f t="shared" si="115"/>
        <v>-6</v>
      </c>
      <c r="L536">
        <f t="shared" si="116"/>
        <v>-129.31188053428099</v>
      </c>
      <c r="M536" s="5">
        <v>1924.5</v>
      </c>
      <c r="N536" s="5">
        <v>-30</v>
      </c>
      <c r="O536" s="5">
        <v>-149.01852165446101</v>
      </c>
      <c r="Q536">
        <f t="shared" si="121"/>
        <v>5.247854075130773</v>
      </c>
      <c r="R536">
        <f t="shared" si="117"/>
        <v>71.924505369578966</v>
      </c>
    </row>
    <row r="537" spans="1:18" x14ac:dyDescent="0.25">
      <c r="A537">
        <f t="shared" si="112"/>
        <v>1997.5833333333301</v>
      </c>
      <c r="B537">
        <f t="shared" si="112"/>
        <v>-120</v>
      </c>
      <c r="C537">
        <f t="shared" si="113"/>
        <v>-102.0429971763902</v>
      </c>
      <c r="D537">
        <f t="shared" si="118"/>
        <v>-57</v>
      </c>
      <c r="E537">
        <f t="shared" si="118"/>
        <v>-7.588429761290854</v>
      </c>
      <c r="F537">
        <f t="shared" si="119"/>
        <v>-5</v>
      </c>
      <c r="G537">
        <f t="shared" si="120"/>
        <v>-5.8054486095494751</v>
      </c>
      <c r="H537">
        <f t="shared" si="123"/>
        <v>-1.8999999999999997</v>
      </c>
      <c r="I537">
        <f t="shared" si="123"/>
        <v>-3.9466072227290367</v>
      </c>
      <c r="J537">
        <f t="shared" si="114"/>
        <v>1997.5833333333301</v>
      </c>
      <c r="K537">
        <f t="shared" si="115"/>
        <v>-120</v>
      </c>
      <c r="L537">
        <f t="shared" si="116"/>
        <v>-158.25319799003799</v>
      </c>
      <c r="M537" s="5">
        <v>1924.5833333333301</v>
      </c>
      <c r="N537" s="5">
        <v>-30</v>
      </c>
      <c r="O537" s="5">
        <v>-148.41537642428099</v>
      </c>
      <c r="Q537">
        <f t="shared" si="121"/>
        <v>0.80544860954947506</v>
      </c>
      <c r="R537">
        <f t="shared" si="117"/>
        <v>17.957002823609798</v>
      </c>
    </row>
    <row r="538" spans="1:18" x14ac:dyDescent="0.25">
      <c r="A538">
        <f t="shared" si="112"/>
        <v>1997.6666666666599</v>
      </c>
      <c r="B538">
        <f t="shared" si="112"/>
        <v>-120</v>
      </c>
      <c r="C538">
        <f t="shared" si="113"/>
        <v>-110.98462946061974</v>
      </c>
      <c r="D538">
        <f t="shared" si="118"/>
        <v>0</v>
      </c>
      <c r="E538">
        <f t="shared" si="118"/>
        <v>-2.1558043383574841</v>
      </c>
      <c r="F538">
        <f t="shared" si="119"/>
        <v>-21.833333333333332</v>
      </c>
      <c r="G538">
        <f t="shared" si="120"/>
        <v>-2.4679362675707086</v>
      </c>
      <c r="H538">
        <f t="shared" si="123"/>
        <v>-7.4333333333333327</v>
      </c>
      <c r="I538">
        <f t="shared" si="123"/>
        <v>-3.8552323563199629</v>
      </c>
      <c r="J538">
        <f t="shared" si="114"/>
        <v>1997.6666666666599</v>
      </c>
      <c r="K538">
        <f t="shared" si="115"/>
        <v>-120</v>
      </c>
      <c r="L538">
        <f t="shared" si="116"/>
        <v>-168.98283318378799</v>
      </c>
      <c r="M538" s="5">
        <v>1924.6666666666599</v>
      </c>
      <c r="N538" s="5">
        <v>-30</v>
      </c>
      <c r="O538" s="5">
        <v>-136.42633834800199</v>
      </c>
      <c r="Q538">
        <f t="shared" si="121"/>
        <v>19.365397065762622</v>
      </c>
      <c r="R538">
        <f t="shared" si="117"/>
        <v>9.0153705393802568</v>
      </c>
    </row>
    <row r="539" spans="1:18" x14ac:dyDescent="0.25">
      <c r="A539">
        <f t="shared" si="112"/>
        <v>1997.75</v>
      </c>
      <c r="B539">
        <f t="shared" si="112"/>
        <v>-120</v>
      </c>
      <c r="C539">
        <f t="shared" si="113"/>
        <v>-115.61465306813432</v>
      </c>
      <c r="D539">
        <f t="shared" si="118"/>
        <v>-8.5</v>
      </c>
      <c r="E539">
        <f t="shared" si="118"/>
        <v>0.48947309625818036</v>
      </c>
      <c r="F539">
        <f t="shared" si="119"/>
        <v>-1.6666666666666667</v>
      </c>
      <c r="G539">
        <f t="shared" si="120"/>
        <v>-0.98918875168465092</v>
      </c>
      <c r="H539">
        <f t="shared" si="123"/>
        <v>-6.1333333333333337</v>
      </c>
      <c r="I539">
        <f t="shared" si="123"/>
        <v>-2.3557867393554681</v>
      </c>
      <c r="J539">
        <f t="shared" si="114"/>
        <v>1997.75</v>
      </c>
      <c r="K539">
        <f t="shared" si="115"/>
        <v>-120</v>
      </c>
      <c r="L539">
        <f t="shared" si="116"/>
        <v>-174.53869397832099</v>
      </c>
      <c r="M539" s="5">
        <v>1924.75</v>
      </c>
      <c r="N539" s="5">
        <v>-30</v>
      </c>
      <c r="O539" s="5">
        <v>-133.65264553244501</v>
      </c>
      <c r="Q539">
        <f t="shared" si="121"/>
        <v>0.67747791498201582</v>
      </c>
      <c r="R539">
        <f t="shared" si="117"/>
        <v>4.3853469318656835</v>
      </c>
    </row>
    <row r="540" spans="1:18" x14ac:dyDescent="0.25">
      <c r="A540">
        <f t="shared" si="112"/>
        <v>1997.8333333333301</v>
      </c>
      <c r="B540">
        <f t="shared" si="112"/>
        <v>-103</v>
      </c>
      <c r="C540">
        <f t="shared" si="113"/>
        <v>-121.22362286816525</v>
      </c>
      <c r="D540">
        <f t="shared" si="118"/>
        <v>3.5</v>
      </c>
      <c r="E540">
        <f t="shared" si="118"/>
        <v>-2.0431265767181372</v>
      </c>
      <c r="F540">
        <f t="shared" si="119"/>
        <v>-5</v>
      </c>
      <c r="G540">
        <f t="shared" si="120"/>
        <v>-1.0990674109975394</v>
      </c>
      <c r="H540">
        <f t="shared" si="123"/>
        <v>-4.9333333333333336</v>
      </c>
      <c r="I540">
        <f t="shared" si="123"/>
        <v>-1.3842326828686358</v>
      </c>
      <c r="J540">
        <f t="shared" si="114"/>
        <v>1997.8333333333301</v>
      </c>
      <c r="K540">
        <f t="shared" si="115"/>
        <v>-103</v>
      </c>
      <c r="L540">
        <f t="shared" si="116"/>
        <v>-181.26925478132301</v>
      </c>
      <c r="M540" s="5">
        <v>1924.8333333333301</v>
      </c>
      <c r="N540" s="5">
        <v>-30</v>
      </c>
      <c r="O540" s="5">
        <v>-147.83920180526101</v>
      </c>
      <c r="Q540">
        <f t="shared" si="121"/>
        <v>3.9009325890024606</v>
      </c>
      <c r="R540">
        <f t="shared" si="117"/>
        <v>18.223622868165251</v>
      </c>
    </row>
    <row r="541" spans="1:18" x14ac:dyDescent="0.25">
      <c r="A541">
        <f t="shared" si="112"/>
        <v>1997.9166666666599</v>
      </c>
      <c r="B541">
        <f t="shared" si="112"/>
        <v>-93</v>
      </c>
      <c r="C541">
        <f t="shared" si="113"/>
        <v>-122.74633951475991</v>
      </c>
      <c r="D541">
        <f t="shared" si="118"/>
        <v>-10</v>
      </c>
      <c r="E541">
        <f t="shared" si="118"/>
        <v>-2.5678493107808151</v>
      </c>
      <c r="F541">
        <f t="shared" si="119"/>
        <v>2.8333333333333335</v>
      </c>
      <c r="G541">
        <f t="shared" si="120"/>
        <v>-1.4172926569749658</v>
      </c>
      <c r="H541">
        <f t="shared" si="123"/>
        <v>0.76666666666666672</v>
      </c>
      <c r="I541">
        <f t="shared" si="123"/>
        <v>-0.87346038360352485</v>
      </c>
      <c r="J541">
        <f t="shared" si="114"/>
        <v>1997.9166666666599</v>
      </c>
      <c r="K541">
        <f t="shared" si="115"/>
        <v>-93</v>
      </c>
      <c r="L541">
        <f t="shared" si="116"/>
        <v>-183.09645965869501</v>
      </c>
      <c r="M541" s="5">
        <v>1924.9166666666599</v>
      </c>
      <c r="N541" s="5">
        <v>-30</v>
      </c>
      <c r="O541" s="5">
        <v>-156.99438018091101</v>
      </c>
      <c r="Q541">
        <f t="shared" si="121"/>
        <v>4.2506259903082988</v>
      </c>
      <c r="R541">
        <f t="shared" si="117"/>
        <v>29.74633951475991</v>
      </c>
    </row>
    <row r="542" spans="1:18" x14ac:dyDescent="0.25">
      <c r="A542">
        <f t="shared" si="112"/>
        <v>1998</v>
      </c>
      <c r="B542">
        <f t="shared" si="112"/>
        <v>-63</v>
      </c>
      <c r="C542">
        <f t="shared" si="113"/>
        <v>-119.13335753979294</v>
      </c>
      <c r="D542">
        <f t="shared" si="118"/>
        <v>15</v>
      </c>
      <c r="E542">
        <f t="shared" si="118"/>
        <v>-0.70387157615716944</v>
      </c>
      <c r="F542">
        <f t="shared" si="119"/>
        <v>1</v>
      </c>
      <c r="G542">
        <f t="shared" si="120"/>
        <v>-0.94767832711531441</v>
      </c>
      <c r="H542">
        <f t="shared" si="123"/>
        <v>2.0666666666666664</v>
      </c>
      <c r="I542">
        <f t="shared" si="123"/>
        <v>-0.51007558637048167</v>
      </c>
      <c r="J542">
        <f t="shared" si="114"/>
        <v>1998</v>
      </c>
      <c r="K542">
        <f t="shared" si="115"/>
        <v>-63</v>
      </c>
      <c r="L542">
        <f t="shared" si="116"/>
        <v>-178.761012022209</v>
      </c>
      <c r="M542" s="5">
        <v>1925</v>
      </c>
      <c r="N542" s="5">
        <v>-30</v>
      </c>
      <c r="O542" s="5">
        <v>-155.526080550492</v>
      </c>
      <c r="Q542">
        <f t="shared" si="121"/>
        <v>1.9476783271153144</v>
      </c>
      <c r="R542">
        <f t="shared" si="117"/>
        <v>56.133357539792939</v>
      </c>
    </row>
    <row r="543" spans="1:18" x14ac:dyDescent="0.25">
      <c r="A543">
        <f t="shared" si="112"/>
        <v>1998.0833333333301</v>
      </c>
      <c r="B543">
        <f t="shared" si="112"/>
        <v>-63</v>
      </c>
      <c r="C543">
        <f t="shared" si="113"/>
        <v>-114.11263241251163</v>
      </c>
      <c r="D543">
        <f t="shared" si="118"/>
        <v>-2</v>
      </c>
      <c r="E543">
        <f t="shared" si="118"/>
        <v>-0.28207283974444408</v>
      </c>
      <c r="F543">
        <f t="shared" si="119"/>
        <v>6.666666666666667</v>
      </c>
      <c r="G543">
        <f t="shared" si="120"/>
        <v>8.5925228754846705E-2</v>
      </c>
      <c r="H543">
        <f t="shared" si="123"/>
        <v>3.1999999999999997</v>
      </c>
      <c r="I543">
        <f t="shared" si="123"/>
        <v>-0.19763990793506081</v>
      </c>
      <c r="J543">
        <f t="shared" si="114"/>
        <v>1998.0833333333301</v>
      </c>
      <c r="K543">
        <f t="shared" si="115"/>
        <v>-63</v>
      </c>
      <c r="L543">
        <f t="shared" si="116"/>
        <v>-172.73632354124399</v>
      </c>
      <c r="M543" s="5">
        <v>1925.0833333333301</v>
      </c>
      <c r="N543" s="5">
        <v>-30</v>
      </c>
      <c r="O543" s="5">
        <v>-151.32974698026601</v>
      </c>
      <c r="Q543">
        <f t="shared" si="121"/>
        <v>6.5807414379118203</v>
      </c>
      <c r="R543">
        <f t="shared" si="117"/>
        <v>51.11263241251163</v>
      </c>
    </row>
    <row r="544" spans="1:18" x14ac:dyDescent="0.25">
      <c r="A544">
        <f t="shared" si="112"/>
        <v>1998.1666666666599</v>
      </c>
      <c r="B544">
        <f t="shared" si="112"/>
        <v>-59</v>
      </c>
      <c r="C544">
        <f t="shared" si="113"/>
        <v>-108.52776160574143</v>
      </c>
      <c r="D544">
        <f t="shared" si="118"/>
        <v>7</v>
      </c>
      <c r="E544">
        <f t="shared" si="118"/>
        <v>1.3081640237322887</v>
      </c>
      <c r="F544">
        <f t="shared" si="119"/>
        <v>4.833333333333333</v>
      </c>
      <c r="G544">
        <f t="shared" si="120"/>
        <v>0.82773523448056496</v>
      </c>
      <c r="H544">
        <f t="shared" si="123"/>
        <v>1.0333333333333332</v>
      </c>
      <c r="I544">
        <f t="shared" si="123"/>
        <v>-0.12832867539178253</v>
      </c>
      <c r="J544">
        <f t="shared" si="114"/>
        <v>1998.1666666666599</v>
      </c>
      <c r="K544">
        <f t="shared" si="115"/>
        <v>-59</v>
      </c>
      <c r="L544">
        <f t="shared" si="116"/>
        <v>-166.03468065814801</v>
      </c>
      <c r="M544" s="5">
        <v>1925.1666666666599</v>
      </c>
      <c r="N544" s="5">
        <v>-30</v>
      </c>
      <c r="O544" s="5">
        <v>-148.94922542773401</v>
      </c>
      <c r="Q544">
        <f t="shared" si="121"/>
        <v>4.0055980988527677</v>
      </c>
      <c r="R544">
        <f t="shared" si="117"/>
        <v>49.527761605741432</v>
      </c>
    </row>
    <row r="545" spans="1:18" x14ac:dyDescent="0.25">
      <c r="A545">
        <f t="shared" si="112"/>
        <v>1998.25</v>
      </c>
      <c r="B545">
        <f t="shared" si="112"/>
        <v>-69</v>
      </c>
      <c r="C545">
        <f t="shared" si="113"/>
        <v>-105.55921884643581</v>
      </c>
      <c r="D545">
        <f t="shared" si="118"/>
        <v>9.5</v>
      </c>
      <c r="E545">
        <f t="shared" si="118"/>
        <v>2.0779159453142739</v>
      </c>
      <c r="F545">
        <f t="shared" si="119"/>
        <v>0.66666666666666663</v>
      </c>
      <c r="G545">
        <f t="shared" si="120"/>
        <v>0.4631109811795644</v>
      </c>
      <c r="H545">
        <f t="shared" si="123"/>
        <v>-0.86666666666666681</v>
      </c>
      <c r="I545">
        <f t="shared" si="123"/>
        <v>-0.60045475273645332</v>
      </c>
      <c r="J545">
        <f t="shared" si="114"/>
        <v>1998.25</v>
      </c>
      <c r="K545">
        <f t="shared" si="115"/>
        <v>-69</v>
      </c>
      <c r="L545">
        <f t="shared" si="116"/>
        <v>-162.47253676182899</v>
      </c>
      <c r="M545" s="5">
        <v>1925.25</v>
      </c>
      <c r="N545" s="5">
        <v>-30</v>
      </c>
      <c r="O545" s="5">
        <v>-152.70834421692101</v>
      </c>
      <c r="Q545">
        <f t="shared" si="121"/>
        <v>0.20355568548710223</v>
      </c>
      <c r="R545">
        <f t="shared" si="117"/>
        <v>36.559218846435812</v>
      </c>
    </row>
    <row r="546" spans="1:18" x14ac:dyDescent="0.25">
      <c r="A546">
        <f t="shared" si="112"/>
        <v>1998.3333333333301</v>
      </c>
      <c r="B546">
        <f t="shared" si="112"/>
        <v>-98</v>
      </c>
      <c r="C546">
        <f t="shared" si="113"/>
        <v>-106.74650797775874</v>
      </c>
      <c r="D546">
        <f t="shared" si="118"/>
        <v>-14.5</v>
      </c>
      <c r="E546">
        <f t="shared" si="118"/>
        <v>-1.6494137896231962</v>
      </c>
      <c r="F546">
        <f t="shared" si="119"/>
        <v>-8</v>
      </c>
      <c r="G546">
        <f t="shared" si="120"/>
        <v>-1.0707364942585742</v>
      </c>
      <c r="H546">
        <f t="shared" si="123"/>
        <v>-2.8666666666666667</v>
      </c>
      <c r="I546">
        <f t="shared" si="123"/>
        <v>-1.5060802745301758</v>
      </c>
      <c r="J546">
        <f t="shared" si="114"/>
        <v>1998.3333333333301</v>
      </c>
      <c r="K546">
        <f t="shared" si="115"/>
        <v>-98</v>
      </c>
      <c r="L546">
        <f t="shared" si="116"/>
        <v>-163.89724075810801</v>
      </c>
      <c r="M546" s="5">
        <v>1925.3333333333301</v>
      </c>
      <c r="N546" s="5">
        <v>-30</v>
      </c>
      <c r="O546" s="5">
        <v>-159.24542741911901</v>
      </c>
      <c r="Q546">
        <f t="shared" si="121"/>
        <v>6.9292635057414262</v>
      </c>
      <c r="R546">
        <f t="shared" si="117"/>
        <v>8.7465079777587391</v>
      </c>
    </row>
    <row r="547" spans="1:18" x14ac:dyDescent="0.25">
      <c r="A547">
        <f t="shared" si="112"/>
        <v>1998.4166666666599</v>
      </c>
      <c r="B547">
        <f t="shared" si="112"/>
        <v>-98</v>
      </c>
      <c r="C547">
        <f t="shared" si="113"/>
        <v>-104.63496952983527</v>
      </c>
      <c r="D547">
        <f t="shared" si="118"/>
        <v>-19</v>
      </c>
      <c r="E547">
        <f t="shared" si="118"/>
        <v>-4.4437640091607307</v>
      </c>
      <c r="F547">
        <f t="shared" si="119"/>
        <v>-8.5</v>
      </c>
      <c r="G547">
        <f t="shared" si="120"/>
        <v>-3.3083087138386684</v>
      </c>
      <c r="H547">
        <f t="shared" si="123"/>
        <v>-3.1666666666666661</v>
      </c>
      <c r="I547">
        <f t="shared" si="123"/>
        <v>-1.9541726073392691</v>
      </c>
      <c r="J547">
        <f t="shared" si="114"/>
        <v>1998.4166666666599</v>
      </c>
      <c r="K547">
        <f t="shared" si="115"/>
        <v>-98</v>
      </c>
      <c r="L547">
        <f t="shared" si="116"/>
        <v>-161.363471025287</v>
      </c>
      <c r="M547" s="5">
        <v>1925.4166666666599</v>
      </c>
      <c r="N547" s="5">
        <v>-30</v>
      </c>
      <c r="O547" s="5">
        <v>-157.57386663543099</v>
      </c>
      <c r="Q547">
        <f t="shared" si="121"/>
        <v>5.1916912861613316</v>
      </c>
      <c r="R547">
        <f t="shared" si="117"/>
        <v>6.6349695298352742</v>
      </c>
    </row>
    <row r="548" spans="1:18" x14ac:dyDescent="0.25">
      <c r="A548">
        <f t="shared" si="112"/>
        <v>1998.5</v>
      </c>
      <c r="B548">
        <f t="shared" si="112"/>
        <v>-60</v>
      </c>
      <c r="C548">
        <f t="shared" si="113"/>
        <v>-93.635903063590362</v>
      </c>
      <c r="D548">
        <f t="shared" si="118"/>
        <v>8</v>
      </c>
      <c r="E548">
        <f t="shared" si="118"/>
        <v>-6.3129798781110793</v>
      </c>
      <c r="F548">
        <f t="shared" si="119"/>
        <v>-3.3333333333333335</v>
      </c>
      <c r="G548">
        <f t="shared" si="120"/>
        <v>-4.4422023802137653</v>
      </c>
      <c r="H548">
        <f t="shared" si="123"/>
        <v>-2.7333333333333334</v>
      </c>
      <c r="I548">
        <f t="shared" si="123"/>
        <v>-1.4919094551337182</v>
      </c>
      <c r="J548">
        <f t="shared" si="114"/>
        <v>1998.5</v>
      </c>
      <c r="K548">
        <f t="shared" si="115"/>
        <v>-60</v>
      </c>
      <c r="L548">
        <f t="shared" si="116"/>
        <v>-148.16498926007699</v>
      </c>
      <c r="M548" s="5">
        <v>1925.5</v>
      </c>
      <c r="N548" s="5">
        <v>-30</v>
      </c>
      <c r="O548" s="5">
        <v>-143.064800386374</v>
      </c>
      <c r="Q548">
        <f t="shared" si="121"/>
        <v>1.1088690468804319</v>
      </c>
      <c r="R548">
        <f t="shared" si="117"/>
        <v>33.635903063590362</v>
      </c>
    </row>
    <row r="549" spans="1:18" x14ac:dyDescent="0.25">
      <c r="A549">
        <f t="shared" si="112"/>
        <v>1998.5833333333301</v>
      </c>
      <c r="B549">
        <f t="shared" si="112"/>
        <v>-38</v>
      </c>
      <c r="C549">
        <f t="shared" si="113"/>
        <v>-70.010876841123277</v>
      </c>
      <c r="D549">
        <f t="shared" si="118"/>
        <v>1</v>
      </c>
      <c r="E549">
        <f t="shared" si="118"/>
        <v>-5.9015150385298085</v>
      </c>
      <c r="F549">
        <f t="shared" si="119"/>
        <v>3.3333333333333335</v>
      </c>
      <c r="G549">
        <f t="shared" si="120"/>
        <v>-1.4127264295649014</v>
      </c>
      <c r="H549">
        <f t="shared" si="123"/>
        <v>-1.6666666666666665</v>
      </c>
      <c r="I549">
        <f t="shared" si="123"/>
        <v>-0.77782112970897788</v>
      </c>
      <c r="J549">
        <f t="shared" si="114"/>
        <v>1998.5833333333301</v>
      </c>
      <c r="K549">
        <f t="shared" si="115"/>
        <v>-38</v>
      </c>
      <c r="L549">
        <f t="shared" si="116"/>
        <v>-119.81581264979199</v>
      </c>
      <c r="M549" s="5">
        <v>1925.5833333333301</v>
      </c>
      <c r="N549" s="5">
        <v>-30</v>
      </c>
      <c r="O549" s="5">
        <v>-111.023497755637</v>
      </c>
      <c r="Q549">
        <f t="shared" si="121"/>
        <v>4.7460597628982351</v>
      </c>
      <c r="R549">
        <f t="shared" si="117"/>
        <v>32.010876841123277</v>
      </c>
    </row>
    <row r="550" spans="1:18" x14ac:dyDescent="0.25">
      <c r="A550">
        <f t="shared" si="112"/>
        <v>1998.6666666666599</v>
      </c>
      <c r="B550">
        <f t="shared" si="112"/>
        <v>-18</v>
      </c>
      <c r="C550">
        <f t="shared" si="113"/>
        <v>-34.58282054159659</v>
      </c>
      <c r="D550">
        <f t="shared" si="118"/>
        <v>1</v>
      </c>
      <c r="E550">
        <f t="shared" si="118"/>
        <v>6.9167708057725079</v>
      </c>
      <c r="F550">
        <f t="shared" si="119"/>
        <v>2.8333333333333335</v>
      </c>
      <c r="G550">
        <f t="shared" si="120"/>
        <v>2.7744267422073179</v>
      </c>
      <c r="H550">
        <f t="shared" si="123"/>
        <v>0.63333333333333341</v>
      </c>
      <c r="I550">
        <f t="shared" si="123"/>
        <v>-0.16513756343529234</v>
      </c>
      <c r="J550">
        <f t="shared" si="114"/>
        <v>1998.6666666666599</v>
      </c>
      <c r="K550">
        <f t="shared" si="115"/>
        <v>-18</v>
      </c>
      <c r="L550">
        <f t="shared" si="116"/>
        <v>-77.303427032235604</v>
      </c>
      <c r="M550" s="5">
        <v>1925.6666666666599</v>
      </c>
      <c r="N550" s="5">
        <v>-30</v>
      </c>
      <c r="O550" s="5">
        <v>-58.824447431621103</v>
      </c>
      <c r="Q550">
        <f t="shared" si="121"/>
        <v>5.8906591126015595E-2</v>
      </c>
      <c r="R550">
        <f t="shared" si="117"/>
        <v>16.58282054159659</v>
      </c>
    </row>
    <row r="551" spans="1:18" x14ac:dyDescent="0.25">
      <c r="A551">
        <f t="shared" si="112"/>
        <v>1998.75</v>
      </c>
      <c r="B551">
        <f t="shared" si="112"/>
        <v>0</v>
      </c>
      <c r="C551">
        <f t="shared" si="113"/>
        <v>-12.988305853614921</v>
      </c>
      <c r="D551">
        <f t="shared" si="118"/>
        <v>6.5</v>
      </c>
      <c r="E551">
        <f t="shared" si="118"/>
        <v>9.3888445160347409</v>
      </c>
      <c r="F551">
        <f t="shared" si="119"/>
        <v>-2.6666666666666665</v>
      </c>
      <c r="G551">
        <f t="shared" si="120"/>
        <v>2.4997051328651279</v>
      </c>
      <c r="H551">
        <f t="shared" si="123"/>
        <v>1.4666666666666666</v>
      </c>
      <c r="I551">
        <f t="shared" si="123"/>
        <v>0.7327988783557059</v>
      </c>
      <c r="J551">
        <f t="shared" si="114"/>
        <v>1998.75</v>
      </c>
      <c r="K551">
        <f t="shared" si="115"/>
        <v>0</v>
      </c>
      <c r="L551">
        <f t="shared" si="116"/>
        <v>-51.390790790553702</v>
      </c>
      <c r="M551" s="5">
        <v>1925.75</v>
      </c>
      <c r="N551" s="5">
        <v>-30</v>
      </c>
      <c r="O551" s="5">
        <v>-18.282471838871</v>
      </c>
      <c r="Q551">
        <f t="shared" si="121"/>
        <v>5.1663717995317944</v>
      </c>
      <c r="R551">
        <f t="shared" si="117"/>
        <v>12.988305853614921</v>
      </c>
    </row>
    <row r="552" spans="1:18" x14ac:dyDescent="0.25">
      <c r="A552">
        <f t="shared" si="112"/>
        <v>1998.8333333333301</v>
      </c>
      <c r="B552">
        <f t="shared" si="112"/>
        <v>5</v>
      </c>
      <c r="C552">
        <f t="shared" si="113"/>
        <v>-10.171480197702731</v>
      </c>
      <c r="D552">
        <f t="shared" si="118"/>
        <v>-15.5</v>
      </c>
      <c r="E552">
        <f t="shared" si="118"/>
        <v>-6.9317210735630201</v>
      </c>
      <c r="F552">
        <f t="shared" si="119"/>
        <v>3</v>
      </c>
      <c r="G552">
        <f t="shared" si="120"/>
        <v>-0.24489088247024093</v>
      </c>
      <c r="H552">
        <f t="shared" ref="H552:I567" si="124">+AVERAGE(F550:F554)</f>
        <v>2.2000000000000002</v>
      </c>
      <c r="I552">
        <f t="shared" si="124"/>
        <v>1.6911654185961407</v>
      </c>
      <c r="J552">
        <f t="shared" si="114"/>
        <v>1998.8333333333301</v>
      </c>
      <c r="K552">
        <f t="shared" si="115"/>
        <v>5</v>
      </c>
      <c r="L552">
        <f t="shared" si="116"/>
        <v>-48.010701928519097</v>
      </c>
      <c r="M552" s="5">
        <v>1925.8333333333301</v>
      </c>
      <c r="N552" s="5">
        <v>-30</v>
      </c>
      <c r="O552" s="5">
        <v>-4.3044533356154302</v>
      </c>
      <c r="Q552">
        <f t="shared" si="121"/>
        <v>3.2448908824702407</v>
      </c>
      <c r="R552">
        <f t="shared" si="117"/>
        <v>15.171480197702731</v>
      </c>
    </row>
    <row r="553" spans="1:18" x14ac:dyDescent="0.25">
      <c r="A553">
        <f t="shared" si="112"/>
        <v>1998.9166666666599</v>
      </c>
      <c r="B553">
        <f t="shared" si="112"/>
        <v>41</v>
      </c>
      <c r="C553">
        <f t="shared" si="113"/>
        <v>6.5087876053354989</v>
      </c>
      <c r="D553">
        <f t="shared" si="118"/>
        <v>18</v>
      </c>
      <c r="E553">
        <f t="shared" si="118"/>
        <v>-3.3754642517351243</v>
      </c>
      <c r="F553">
        <f t="shared" si="119"/>
        <v>0.83333333333333337</v>
      </c>
      <c r="G553">
        <f t="shared" si="120"/>
        <v>4.7479828741226034E-2</v>
      </c>
      <c r="H553">
        <f t="shared" si="124"/>
        <v>1.9000000000000004</v>
      </c>
      <c r="I553">
        <f t="shared" si="124"/>
        <v>1.9527203212813038</v>
      </c>
      <c r="J553">
        <f t="shared" si="114"/>
        <v>1998.9166666666599</v>
      </c>
      <c r="K553">
        <f t="shared" si="115"/>
        <v>41</v>
      </c>
      <c r="L553">
        <f t="shared" si="116"/>
        <v>-27.994984129844799</v>
      </c>
      <c r="M553" s="5">
        <v>1925.9166666666599</v>
      </c>
      <c r="N553" s="5">
        <v>-30</v>
      </c>
      <c r="O553" s="5">
        <v>20.168702997566101</v>
      </c>
      <c r="Q553">
        <f t="shared" si="121"/>
        <v>0.78585350459210734</v>
      </c>
      <c r="R553">
        <f t="shared" si="117"/>
        <v>34.491212394664501</v>
      </c>
    </row>
    <row r="554" spans="1:18" x14ac:dyDescent="0.25">
      <c r="A554">
        <f t="shared" si="112"/>
        <v>1999</v>
      </c>
      <c r="B554">
        <f t="shared" si="112"/>
        <v>41</v>
      </c>
      <c r="C554">
        <f t="shared" si="113"/>
        <v>29.939983911843978</v>
      </c>
      <c r="D554">
        <f t="shared" si="118"/>
        <v>0</v>
      </c>
      <c r="E554">
        <f t="shared" si="118"/>
        <v>10.485234683077742</v>
      </c>
      <c r="F554">
        <f t="shared" si="119"/>
        <v>7</v>
      </c>
      <c r="G554">
        <f t="shared" si="120"/>
        <v>3.3791062716372724</v>
      </c>
      <c r="H554">
        <f t="shared" si="124"/>
        <v>3.0333333333333337</v>
      </c>
      <c r="I554">
        <f t="shared" si="124"/>
        <v>1.4782981802811508</v>
      </c>
      <c r="J554">
        <f t="shared" si="114"/>
        <v>1999</v>
      </c>
      <c r="K554">
        <f t="shared" si="115"/>
        <v>41</v>
      </c>
      <c r="L554">
        <f t="shared" si="116"/>
        <v>0.121603594903148</v>
      </c>
      <c r="M554" s="5">
        <v>1926</v>
      </c>
      <c r="N554" s="5">
        <v>-30</v>
      </c>
      <c r="O554" s="5">
        <v>40.7657700832345</v>
      </c>
      <c r="Q554">
        <f t="shared" si="121"/>
        <v>3.6208937283627276</v>
      </c>
      <c r="R554">
        <f t="shared" si="117"/>
        <v>11.060016088156022</v>
      </c>
    </row>
    <row r="555" spans="1:18" x14ac:dyDescent="0.25">
      <c r="A555">
        <f t="shared" si="112"/>
        <v>1999.0833333333301</v>
      </c>
      <c r="B555">
        <f t="shared" si="112"/>
        <v>41</v>
      </c>
      <c r="C555">
        <f t="shared" si="113"/>
        <v>32.400710852196973</v>
      </c>
      <c r="D555">
        <f t="shared" si="118"/>
        <v>3</v>
      </c>
      <c r="E555">
        <f t="shared" si="118"/>
        <v>5.5618780872971527</v>
      </c>
      <c r="F555">
        <f t="shared" si="119"/>
        <v>1.3333333333333333</v>
      </c>
      <c r="G555">
        <f t="shared" si="120"/>
        <v>4.0822012556331337</v>
      </c>
      <c r="H555">
        <f t="shared" si="124"/>
        <v>3.9666666666666663</v>
      </c>
      <c r="I555">
        <f t="shared" si="124"/>
        <v>1.2590109765358721</v>
      </c>
      <c r="J555">
        <f t="shared" si="114"/>
        <v>1999.0833333333301</v>
      </c>
      <c r="K555">
        <f t="shared" si="115"/>
        <v>41</v>
      </c>
      <c r="L555">
        <f t="shared" si="116"/>
        <v>3.0743868834741801</v>
      </c>
      <c r="M555" s="5">
        <v>1926.0833333333301</v>
      </c>
      <c r="N555" s="5">
        <v>-30</v>
      </c>
      <c r="O555" s="5">
        <v>48.115877134102</v>
      </c>
      <c r="Q555">
        <f t="shared" si="121"/>
        <v>2.7488679222998007</v>
      </c>
      <c r="R555">
        <f t="shared" si="117"/>
        <v>8.5992891478030273</v>
      </c>
    </row>
    <row r="556" spans="1:18" x14ac:dyDescent="0.25">
      <c r="A556">
        <f t="shared" si="112"/>
        <v>1999.1666666666599</v>
      </c>
      <c r="B556">
        <f t="shared" si="112"/>
        <v>35</v>
      </c>
      <c r="C556">
        <f t="shared" si="113"/>
        <v>23.737681617955666</v>
      </c>
      <c r="D556">
        <f t="shared" si="118"/>
        <v>1</v>
      </c>
      <c r="E556">
        <f t="shared" si="118"/>
        <v>-0.73885806175064417</v>
      </c>
      <c r="F556">
        <f t="shared" si="119"/>
        <v>3</v>
      </c>
      <c r="G556">
        <f t="shared" si="120"/>
        <v>0.12759442786436165</v>
      </c>
      <c r="H556">
        <f t="shared" si="124"/>
        <v>4.5666666666666664</v>
      </c>
      <c r="I556">
        <f t="shared" si="124"/>
        <v>1.5539179575720568</v>
      </c>
      <c r="J556">
        <f t="shared" si="114"/>
        <v>1999.1666666666599</v>
      </c>
      <c r="K556">
        <f t="shared" si="115"/>
        <v>35</v>
      </c>
      <c r="L556">
        <f t="shared" si="116"/>
        <v>-7.3209347313656004</v>
      </c>
      <c r="M556" s="5">
        <v>1926.1666666666599</v>
      </c>
      <c r="N556" s="5">
        <v>-30</v>
      </c>
      <c r="O556" s="5">
        <v>51.911767413098602</v>
      </c>
      <c r="Q556">
        <f t="shared" si="121"/>
        <v>2.8724055721356385</v>
      </c>
      <c r="R556">
        <f t="shared" si="117"/>
        <v>11.262318382044334</v>
      </c>
    </row>
    <row r="557" spans="1:18" x14ac:dyDescent="0.25">
      <c r="A557">
        <f t="shared" si="112"/>
        <v>1999.25</v>
      </c>
      <c r="B557">
        <f t="shared" si="112"/>
        <v>27</v>
      </c>
      <c r="C557">
        <f t="shared" si="113"/>
        <v>16.552368507215647</v>
      </c>
      <c r="D557">
        <f t="shared" si="118"/>
        <v>5</v>
      </c>
      <c r="E557">
        <f t="shared" si="118"/>
        <v>-4.3445409210551524</v>
      </c>
      <c r="F557">
        <f t="shared" si="119"/>
        <v>7.666666666666667</v>
      </c>
      <c r="G557">
        <f t="shared" si="120"/>
        <v>-1.3413269011966331</v>
      </c>
      <c r="H557">
        <f t="shared" si="124"/>
        <v>2.5666666666666669</v>
      </c>
      <c r="I557">
        <f t="shared" si="124"/>
        <v>1.4894253804334512</v>
      </c>
      <c r="J557">
        <f t="shared" si="114"/>
        <v>1999.25</v>
      </c>
      <c r="K557">
        <f t="shared" si="115"/>
        <v>27</v>
      </c>
      <c r="L557">
        <f t="shared" si="116"/>
        <v>-15.943050468229901</v>
      </c>
      <c r="M557" s="5">
        <v>1926.25</v>
      </c>
      <c r="N557" s="5">
        <v>-30</v>
      </c>
      <c r="O557" s="5">
        <v>43.2450468103427</v>
      </c>
      <c r="Q557">
        <f t="shared" si="121"/>
        <v>9.0079935678633003</v>
      </c>
      <c r="R557">
        <f t="shared" si="117"/>
        <v>10.447631492784353</v>
      </c>
    </row>
    <row r="558" spans="1:18" x14ac:dyDescent="0.25">
      <c r="A558">
        <f t="shared" si="112"/>
        <v>1999.3333333333301</v>
      </c>
      <c r="B558">
        <f t="shared" si="112"/>
        <v>9</v>
      </c>
      <c r="C558">
        <f t="shared" si="113"/>
        <v>18.056137238585933</v>
      </c>
      <c r="D558">
        <f t="shared" si="118"/>
        <v>17</v>
      </c>
      <c r="E558">
        <f t="shared" si="118"/>
        <v>5.3423103318422704E-2</v>
      </c>
      <c r="F558">
        <f t="shared" si="119"/>
        <v>3.8333333333333335</v>
      </c>
      <c r="G558">
        <f t="shared" si="120"/>
        <v>1.5220147339221484</v>
      </c>
      <c r="H558">
        <f t="shared" si="124"/>
        <v>0.26666666666666716</v>
      </c>
      <c r="I558">
        <f t="shared" si="124"/>
        <v>1.1287459068435635</v>
      </c>
      <c r="J558">
        <f t="shared" si="114"/>
        <v>1999.3333333333301</v>
      </c>
      <c r="K558">
        <f t="shared" si="115"/>
        <v>9</v>
      </c>
      <c r="L558">
        <f t="shared" si="116"/>
        <v>-14.138582403508799</v>
      </c>
      <c r="M558" s="5">
        <v>1926.3333333333301</v>
      </c>
      <c r="N558" s="5">
        <v>-30</v>
      </c>
      <c r="O558" s="5">
        <v>3.89590489361558</v>
      </c>
      <c r="Q558">
        <f t="shared" si="121"/>
        <v>2.3113185994111851</v>
      </c>
      <c r="R558">
        <f t="shared" si="117"/>
        <v>9.0561372385859329</v>
      </c>
    </row>
    <row r="559" spans="1:18" x14ac:dyDescent="0.25">
      <c r="A559">
        <f t="shared" si="112"/>
        <v>1999.4166666666599</v>
      </c>
      <c r="B559">
        <f t="shared" si="112"/>
        <v>-43</v>
      </c>
      <c r="C559">
        <f t="shared" si="113"/>
        <v>19.453059763319374</v>
      </c>
      <c r="D559">
        <f t="shared" si="118"/>
        <v>-10.5</v>
      </c>
      <c r="E559">
        <f t="shared" si="118"/>
        <v>9.9986730699447861</v>
      </c>
      <c r="F559">
        <f t="shared" si="119"/>
        <v>-3</v>
      </c>
      <c r="G559">
        <f t="shared" si="120"/>
        <v>3.0566433859442457</v>
      </c>
      <c r="H559">
        <f t="shared" si="124"/>
        <v>-1.3666666666666667</v>
      </c>
      <c r="I559">
        <f t="shared" si="124"/>
        <v>1.1473573628263942</v>
      </c>
      <c r="J559">
        <f t="shared" si="114"/>
        <v>1999.4166666666599</v>
      </c>
      <c r="K559">
        <f t="shared" si="115"/>
        <v>-43</v>
      </c>
      <c r="L559">
        <f t="shared" si="116"/>
        <v>-12.462325920589301</v>
      </c>
      <c r="M559" s="5">
        <v>1926.4166666666599</v>
      </c>
      <c r="N559" s="5">
        <v>-30</v>
      </c>
      <c r="O559" s="5">
        <v>-67.251992279533596</v>
      </c>
      <c r="Q559">
        <f t="shared" si="121"/>
        <v>6.0566433859442457</v>
      </c>
      <c r="R559">
        <f t="shared" si="117"/>
        <v>62.453059763319374</v>
      </c>
    </row>
    <row r="560" spans="1:18" x14ac:dyDescent="0.25">
      <c r="A560">
        <f t="shared" si="112"/>
        <v>1999.5</v>
      </c>
      <c r="B560">
        <f t="shared" si="112"/>
        <v>-74</v>
      </c>
      <c r="C560">
        <f t="shared" si="113"/>
        <v>0.85263614816324207</v>
      </c>
      <c r="D560">
        <f t="shared" si="118"/>
        <v>-15.5</v>
      </c>
      <c r="E560">
        <f t="shared" si="118"/>
        <v>1.4103165240277118</v>
      </c>
      <c r="F560">
        <f t="shared" si="119"/>
        <v>-10.166666666666666</v>
      </c>
      <c r="G560">
        <f t="shared" si="120"/>
        <v>2.278803887683694</v>
      </c>
      <c r="H560">
        <f t="shared" si="124"/>
        <v>-2.7333333333333334</v>
      </c>
      <c r="I560">
        <f t="shared" si="124"/>
        <v>1.2566618819516246</v>
      </c>
      <c r="J560">
        <f t="shared" si="114"/>
        <v>1999.5</v>
      </c>
      <c r="K560">
        <f t="shared" si="115"/>
        <v>-74</v>
      </c>
      <c r="L560">
        <f t="shared" si="116"/>
        <v>-34.782161214177897</v>
      </c>
      <c r="M560" s="5">
        <v>1926.5</v>
      </c>
      <c r="N560" s="5">
        <v>-30</v>
      </c>
      <c r="O560" s="5">
        <v>-122.159317747369</v>
      </c>
      <c r="Q560">
        <f t="shared" si="121"/>
        <v>12.44547055435036</v>
      </c>
      <c r="R560">
        <f t="shared" si="117"/>
        <v>74.852636148163242</v>
      </c>
    </row>
    <row r="561" spans="1:18" x14ac:dyDescent="0.25">
      <c r="A561">
        <f t="shared" si="112"/>
        <v>1999.5833333333301</v>
      </c>
      <c r="B561">
        <f t="shared" si="112"/>
        <v>-74</v>
      </c>
      <c r="C561">
        <f t="shared" si="113"/>
        <v>-20.568420515048313</v>
      </c>
      <c r="D561">
        <f t="shared" si="118"/>
        <v>-4.5</v>
      </c>
      <c r="E561">
        <f t="shared" si="118"/>
        <v>-2.8634750151586452</v>
      </c>
      <c r="F561">
        <f t="shared" si="119"/>
        <v>-5.166666666666667</v>
      </c>
      <c r="G561">
        <f t="shared" si="120"/>
        <v>0.2206517077785165</v>
      </c>
      <c r="H561">
        <f t="shared" si="124"/>
        <v>-3.2</v>
      </c>
      <c r="I561">
        <f t="shared" si="124"/>
        <v>0.65812643853233888</v>
      </c>
      <c r="J561">
        <f t="shared" si="114"/>
        <v>1999.5833333333301</v>
      </c>
      <c r="K561">
        <f t="shared" si="115"/>
        <v>-74</v>
      </c>
      <c r="L561">
        <f t="shared" si="116"/>
        <v>-60.486654102604902</v>
      </c>
      <c r="M561" s="5">
        <v>1926.5833333333301</v>
      </c>
      <c r="N561" s="5">
        <v>-30</v>
      </c>
      <c r="O561" s="5">
        <v>-146.67756761574699</v>
      </c>
      <c r="Q561">
        <f t="shared" si="121"/>
        <v>5.3873183744451838</v>
      </c>
      <c r="R561">
        <f t="shared" si="117"/>
        <v>53.431579484951683</v>
      </c>
    </row>
    <row r="562" spans="1:18" x14ac:dyDescent="0.25">
      <c r="A562">
        <f t="shared" si="112"/>
        <v>1999.6666666666599</v>
      </c>
      <c r="B562">
        <f t="shared" si="112"/>
        <v>-65</v>
      </c>
      <c r="C562">
        <f t="shared" si="113"/>
        <v>-36.262527147942578</v>
      </c>
      <c r="D562">
        <f t="shared" si="118"/>
        <v>4.5</v>
      </c>
      <c r="E562">
        <f t="shared" si="118"/>
        <v>2.2806023953003702</v>
      </c>
      <c r="F562">
        <f t="shared" si="119"/>
        <v>0.83333333333333337</v>
      </c>
      <c r="G562">
        <f t="shared" si="120"/>
        <v>-0.79480430557048198</v>
      </c>
      <c r="H562">
        <f t="shared" si="124"/>
        <v>-2.5333333333333328</v>
      </c>
      <c r="I562">
        <f t="shared" si="124"/>
        <v>-0.45276249652722572</v>
      </c>
      <c r="J562">
        <f t="shared" si="114"/>
        <v>1999.6666666666599</v>
      </c>
      <c r="K562">
        <f t="shared" si="115"/>
        <v>-65</v>
      </c>
      <c r="L562">
        <f t="shared" si="116"/>
        <v>-79.319014180726498</v>
      </c>
      <c r="M562" s="5">
        <v>1926.6666666666599</v>
      </c>
      <c r="N562" s="5">
        <v>-30</v>
      </c>
      <c r="O562" s="5">
        <v>-152.44448428358299</v>
      </c>
      <c r="Q562">
        <f t="shared" si="121"/>
        <v>1.6281376389038154</v>
      </c>
      <c r="R562">
        <f t="shared" si="117"/>
        <v>28.737472852057422</v>
      </c>
    </row>
    <row r="563" spans="1:18" x14ac:dyDescent="0.25">
      <c r="A563">
        <f t="shared" si="112"/>
        <v>1999.75</v>
      </c>
      <c r="B563">
        <f t="shared" si="112"/>
        <v>-65</v>
      </c>
      <c r="C563">
        <f t="shared" si="113"/>
        <v>-56.517838571437579</v>
      </c>
      <c r="D563">
        <f t="shared" si="118"/>
        <v>2.5</v>
      </c>
      <c r="E563">
        <f t="shared" si="118"/>
        <v>-2.3976435260310325</v>
      </c>
      <c r="F563">
        <f t="shared" si="119"/>
        <v>1.5</v>
      </c>
      <c r="G563">
        <f t="shared" si="120"/>
        <v>-1.4706624831742809</v>
      </c>
      <c r="H563">
        <f t="shared" si="124"/>
        <v>-0.46666666666666679</v>
      </c>
      <c r="I563">
        <f t="shared" si="124"/>
        <v>-1.2650512472071938</v>
      </c>
      <c r="J563">
        <f t="shared" si="114"/>
        <v>1999.75</v>
      </c>
      <c r="K563">
        <f t="shared" si="115"/>
        <v>-65</v>
      </c>
      <c r="L563">
        <f t="shared" si="116"/>
        <v>-103.62465496324999</v>
      </c>
      <c r="M563" s="5">
        <v>1926.75</v>
      </c>
      <c r="N563" s="5">
        <v>-30</v>
      </c>
      <c r="O563" s="5">
        <v>-157.55601658379899</v>
      </c>
      <c r="Q563">
        <f t="shared" si="121"/>
        <v>2.9706624831742809</v>
      </c>
      <c r="R563">
        <f t="shared" si="117"/>
        <v>8.4821614285624207</v>
      </c>
    </row>
    <row r="564" spans="1:18" x14ac:dyDescent="0.25">
      <c r="A564">
        <f t="shared" si="112"/>
        <v>1999.8333333333301</v>
      </c>
      <c r="B564">
        <f t="shared" si="112"/>
        <v>-70</v>
      </c>
      <c r="C564">
        <f t="shared" si="113"/>
        <v>-71.977862942870516</v>
      </c>
      <c r="D564">
        <f t="shared" si="118"/>
        <v>-2.5</v>
      </c>
      <c r="E564">
        <f t="shared" si="118"/>
        <v>-5.3979431811728915</v>
      </c>
      <c r="F564">
        <f t="shared" si="119"/>
        <v>0.33333333333333331</v>
      </c>
      <c r="G564">
        <f t="shared" si="120"/>
        <v>-2.4978012893535761</v>
      </c>
      <c r="H564">
        <f t="shared" si="124"/>
        <v>0.56666666666666665</v>
      </c>
      <c r="I564">
        <f t="shared" si="124"/>
        <v>-1.2703900126355629</v>
      </c>
      <c r="J564">
        <f t="shared" si="114"/>
        <v>1999.8333333333301</v>
      </c>
      <c r="K564">
        <f t="shared" si="115"/>
        <v>-70</v>
      </c>
      <c r="L564">
        <f t="shared" si="116"/>
        <v>-122.176124797737</v>
      </c>
      <c r="M564" s="5">
        <v>1926.8333333333301</v>
      </c>
      <c r="N564" s="5">
        <v>-30</v>
      </c>
      <c r="O564" s="5">
        <v>-163.87559310819199</v>
      </c>
      <c r="Q564">
        <f t="shared" si="121"/>
        <v>2.8311346226869096</v>
      </c>
      <c r="R564">
        <f t="shared" si="117"/>
        <v>1.9778629428705159</v>
      </c>
    </row>
    <row r="565" spans="1:18" x14ac:dyDescent="0.25">
      <c r="A565">
        <f t="shared" si="112"/>
        <v>1999.9166666666599</v>
      </c>
      <c r="B565">
        <f t="shared" si="112"/>
        <v>-70</v>
      </c>
      <c r="C565">
        <f t="shared" si="113"/>
        <v>-76.642000951957655</v>
      </c>
      <c r="D565">
        <f t="shared" si="118"/>
        <v>1</v>
      </c>
      <c r="E565">
        <f t="shared" si="118"/>
        <v>-1.5711681278719851</v>
      </c>
      <c r="F565">
        <f t="shared" si="119"/>
        <v>0.16666666666666666</v>
      </c>
      <c r="G565">
        <f t="shared" si="120"/>
        <v>-1.7826398657161464</v>
      </c>
      <c r="H565">
        <f t="shared" si="124"/>
        <v>0.33333333333333337</v>
      </c>
      <c r="I565">
        <f t="shared" si="124"/>
        <v>-0.78474389044293402</v>
      </c>
      <c r="J565">
        <f t="shared" si="114"/>
        <v>1999.9166666666599</v>
      </c>
      <c r="K565">
        <f t="shared" si="115"/>
        <v>-70</v>
      </c>
      <c r="L565">
        <f t="shared" si="116"/>
        <v>-127.772921639749</v>
      </c>
      <c r="M565" s="5">
        <v>1926.9166666666599</v>
      </c>
      <c r="N565" s="5">
        <v>-30</v>
      </c>
      <c r="O565" s="5">
        <v>-165.90143854676501</v>
      </c>
      <c r="Q565">
        <f t="shared" si="121"/>
        <v>1.9493065323828132</v>
      </c>
      <c r="R565">
        <f t="shared" si="117"/>
        <v>6.6420009519576553</v>
      </c>
    </row>
    <row r="566" spans="1:18" x14ac:dyDescent="0.25">
      <c r="A566">
        <f t="shared" si="112"/>
        <v>2000</v>
      </c>
      <c r="B566">
        <f t="shared" si="112"/>
        <v>-72</v>
      </c>
      <c r="C566">
        <f t="shared" si="113"/>
        <v>-78.16380270530081</v>
      </c>
      <c r="D566">
        <f t="shared" si="118"/>
        <v>2</v>
      </c>
      <c r="E566">
        <f t="shared" si="118"/>
        <v>0.28421181260932826</v>
      </c>
      <c r="F566">
        <f t="shared" si="119"/>
        <v>0</v>
      </c>
      <c r="G566">
        <f t="shared" si="120"/>
        <v>0.19395788063667019</v>
      </c>
      <c r="H566">
        <f t="shared" si="124"/>
        <v>0.23333333333333334</v>
      </c>
      <c r="I566">
        <f t="shared" si="124"/>
        <v>-0.14656316229178779</v>
      </c>
      <c r="J566">
        <f t="shared" si="114"/>
        <v>2000</v>
      </c>
      <c r="K566">
        <f t="shared" si="115"/>
        <v>-72</v>
      </c>
      <c r="L566">
        <f t="shared" si="116"/>
        <v>-129.599028678324</v>
      </c>
      <c r="M566" s="5">
        <v>1927</v>
      </c>
      <c r="N566" s="5">
        <v>-30</v>
      </c>
      <c r="O566" s="5">
        <v>-163.93115125114801</v>
      </c>
      <c r="Q566">
        <f t="shared" si="121"/>
        <v>0.19395788063667019</v>
      </c>
      <c r="R566">
        <f t="shared" si="117"/>
        <v>6.1638027053008102</v>
      </c>
    </row>
    <row r="567" spans="1:18" x14ac:dyDescent="0.25">
      <c r="A567">
        <f t="shared" si="112"/>
        <v>2000.0833333333301</v>
      </c>
      <c r="B567">
        <f t="shared" si="112"/>
        <v>-78</v>
      </c>
      <c r="C567">
        <f t="shared" si="113"/>
        <v>-80.254028083862622</v>
      </c>
      <c r="D567">
        <f t="shared" si="118"/>
        <v>-3</v>
      </c>
      <c r="E567">
        <f t="shared" si="118"/>
        <v>2.01429836765017</v>
      </c>
      <c r="F567">
        <f t="shared" si="119"/>
        <v>-0.33333333333333331</v>
      </c>
      <c r="G567">
        <f t="shared" si="120"/>
        <v>1.6334263053926634</v>
      </c>
      <c r="H567">
        <f t="shared" si="124"/>
        <v>1.2333333333333332</v>
      </c>
      <c r="I567">
        <f t="shared" si="124"/>
        <v>0.49097376374260043</v>
      </c>
      <c r="J567">
        <f t="shared" si="114"/>
        <v>2000.0833333333301</v>
      </c>
      <c r="K567">
        <f t="shared" si="115"/>
        <v>-78</v>
      </c>
      <c r="L567">
        <f t="shared" si="116"/>
        <v>-132.107223499111</v>
      </c>
      <c r="M567" s="5">
        <v>1927.0833333333301</v>
      </c>
      <c r="N567" s="5">
        <v>-30</v>
      </c>
      <c r="O567" s="5">
        <v>-157.92518505146199</v>
      </c>
      <c r="Q567">
        <f t="shared" si="121"/>
        <v>1.9667596387259967</v>
      </c>
      <c r="R567">
        <f t="shared" si="117"/>
        <v>2.2540280838626217</v>
      </c>
    </row>
    <row r="568" spans="1:18" x14ac:dyDescent="0.25">
      <c r="A568">
        <f t="shared" si="112"/>
        <v>2000.1666666666599</v>
      </c>
      <c r="B568">
        <f t="shared" si="112"/>
        <v>-78</v>
      </c>
      <c r="C568">
        <f t="shared" si="113"/>
        <v>-86.372850197724759</v>
      </c>
      <c r="D568">
        <f t="shared" si="118"/>
        <v>0</v>
      </c>
      <c r="E568">
        <f t="shared" si="118"/>
        <v>3.8268384649629894</v>
      </c>
      <c r="F568">
        <f t="shared" si="119"/>
        <v>1</v>
      </c>
      <c r="G568">
        <f t="shared" si="120"/>
        <v>1.7202411575814496</v>
      </c>
      <c r="H568">
        <f t="shared" ref="H568:I583" si="125">+AVERAGE(F566:F570)</f>
        <v>1.2</v>
      </c>
      <c r="I568">
        <f t="shared" si="125"/>
        <v>0.60369585888985067</v>
      </c>
      <c r="J568">
        <f t="shared" si="114"/>
        <v>2000.1666666666599</v>
      </c>
      <c r="K568">
        <f t="shared" si="115"/>
        <v>-78</v>
      </c>
      <c r="L568">
        <f t="shared" si="116"/>
        <v>-139.449588630026</v>
      </c>
      <c r="M568" s="5">
        <v>1927.1666666666599</v>
      </c>
      <c r="N568" s="5">
        <v>-30</v>
      </c>
      <c r="O568" s="5">
        <v>-153.11068550517001</v>
      </c>
      <c r="Q568">
        <f t="shared" si="121"/>
        <v>0.72024115758144958</v>
      </c>
      <c r="R568">
        <f t="shared" si="117"/>
        <v>8.3728501977247589</v>
      </c>
    </row>
    <row r="569" spans="1:18" x14ac:dyDescent="0.25">
      <c r="A569">
        <f t="shared" si="112"/>
        <v>2000.25</v>
      </c>
      <c r="B569">
        <f t="shared" si="112"/>
        <v>-78</v>
      </c>
      <c r="C569">
        <f t="shared" si="113"/>
        <v>-100.14534924151286</v>
      </c>
      <c r="D569">
        <f t="shared" si="118"/>
        <v>6</v>
      </c>
      <c r="E569">
        <f t="shared" si="118"/>
        <v>0.609767508317276</v>
      </c>
      <c r="F569">
        <f t="shared" si="119"/>
        <v>5.333333333333333</v>
      </c>
      <c r="G569">
        <f t="shared" si="120"/>
        <v>0.68988334081836533</v>
      </c>
      <c r="H569">
        <f t="shared" si="125"/>
        <v>0.8</v>
      </c>
      <c r="I569">
        <f t="shared" si="125"/>
        <v>2.7030971721888709E-2</v>
      </c>
      <c r="J569">
        <f t="shared" si="114"/>
        <v>2000.25</v>
      </c>
      <c r="K569">
        <f t="shared" si="115"/>
        <v>-78</v>
      </c>
      <c r="L569">
        <f t="shared" si="116"/>
        <v>-155.97608913337899</v>
      </c>
      <c r="M569" s="5">
        <v>1927.25</v>
      </c>
      <c r="N569" s="5">
        <v>-30</v>
      </c>
      <c r="O569" s="5">
        <v>-157.01770952634601</v>
      </c>
      <c r="Q569">
        <f t="shared" si="121"/>
        <v>4.6434499925149675</v>
      </c>
      <c r="R569">
        <f t="shared" si="117"/>
        <v>22.145349241512861</v>
      </c>
    </row>
    <row r="570" spans="1:18" x14ac:dyDescent="0.25">
      <c r="A570">
        <f t="shared" si="112"/>
        <v>2000.3333333333301</v>
      </c>
      <c r="B570">
        <f t="shared" si="112"/>
        <v>-90</v>
      </c>
      <c r="C570">
        <f t="shared" si="113"/>
        <v>-115.13738330193553</v>
      </c>
      <c r="D570">
        <f t="shared" si="118"/>
        <v>10</v>
      </c>
      <c r="E570">
        <f t="shared" si="118"/>
        <v>-1.8495434452113955</v>
      </c>
      <c r="F570">
        <f t="shared" si="119"/>
        <v>0</v>
      </c>
      <c r="G570">
        <f t="shared" si="120"/>
        <v>-1.2190293899798954</v>
      </c>
      <c r="H570">
        <f t="shared" si="125"/>
        <v>-0.33333333333333337</v>
      </c>
      <c r="I570">
        <f t="shared" si="125"/>
        <v>-0.89806994600236989</v>
      </c>
      <c r="J570">
        <f t="shared" si="114"/>
        <v>2000.3333333333301</v>
      </c>
      <c r="K570">
        <f t="shared" si="115"/>
        <v>-90</v>
      </c>
      <c r="L570">
        <f t="shared" si="116"/>
        <v>-173.96598752858799</v>
      </c>
      <c r="M570" s="5">
        <v>1927.3333333333301</v>
      </c>
      <c r="N570" s="5">
        <v>-30</v>
      </c>
      <c r="O570" s="5">
        <v>-164.64035261014101</v>
      </c>
      <c r="Q570">
        <f t="shared" si="121"/>
        <v>1.2190293899798954</v>
      </c>
      <c r="R570">
        <f t="shared" si="117"/>
        <v>25.137383301935529</v>
      </c>
    </row>
    <row r="571" spans="1:18" x14ac:dyDescent="0.25">
      <c r="A571">
        <f t="shared" si="112"/>
        <v>2000.4166666666599</v>
      </c>
      <c r="B571">
        <f t="shared" si="112"/>
        <v>-122</v>
      </c>
      <c r="C571">
        <f t="shared" si="113"/>
        <v>-126.43033047193541</v>
      </c>
      <c r="D571">
        <f t="shared" si="118"/>
        <v>-16</v>
      </c>
      <c r="E571">
        <f t="shared" si="118"/>
        <v>-3.3315842755304885</v>
      </c>
      <c r="F571">
        <f t="shared" si="119"/>
        <v>-2</v>
      </c>
      <c r="G571">
        <f t="shared" si="120"/>
        <v>-2.6893665552031396</v>
      </c>
      <c r="H571">
        <f t="shared" si="125"/>
        <v>-0.93333333333333335</v>
      </c>
      <c r="I571">
        <f t="shared" si="125"/>
        <v>-1.585572199832356</v>
      </c>
      <c r="J571">
        <f t="shared" si="114"/>
        <v>2000.4166666666599</v>
      </c>
      <c r="K571">
        <f t="shared" si="115"/>
        <v>-122</v>
      </c>
      <c r="L571">
        <f t="shared" si="116"/>
        <v>-187.51711550441601</v>
      </c>
      <c r="M571" s="5">
        <v>1927.4166666666599</v>
      </c>
      <c r="N571" s="5">
        <v>-30</v>
      </c>
      <c r="O571" s="5">
        <v>-170.07569231943901</v>
      </c>
      <c r="Q571">
        <f t="shared" si="121"/>
        <v>0.68936655520313961</v>
      </c>
      <c r="R571">
        <f t="shared" si="117"/>
        <v>4.430330471935406</v>
      </c>
    </row>
    <row r="572" spans="1:18" x14ac:dyDescent="0.25">
      <c r="A572">
        <f t="shared" si="112"/>
        <v>2000.5</v>
      </c>
      <c r="B572">
        <f t="shared" si="112"/>
        <v>-122</v>
      </c>
      <c r="C572">
        <f t="shared" si="113"/>
        <v>-131.06010909087431</v>
      </c>
      <c r="D572">
        <f t="shared" si="118"/>
        <v>0</v>
      </c>
      <c r="E572">
        <f t="shared" si="118"/>
        <v>-4.9039968612698885</v>
      </c>
      <c r="F572">
        <f t="shared" si="119"/>
        <v>-6</v>
      </c>
      <c r="G572">
        <f t="shared" si="120"/>
        <v>-2.9920782832286292</v>
      </c>
      <c r="H572">
        <f t="shared" si="125"/>
        <v>-2.4666666666666668</v>
      </c>
      <c r="I572">
        <f t="shared" si="125"/>
        <v>-1.8199298548700771</v>
      </c>
      <c r="J572">
        <f t="shared" si="114"/>
        <v>2000.5</v>
      </c>
      <c r="K572">
        <f t="shared" si="115"/>
        <v>-122</v>
      </c>
      <c r="L572">
        <f t="shared" si="116"/>
        <v>-193.07268232152299</v>
      </c>
      <c r="M572" s="5">
        <v>1927.5</v>
      </c>
      <c r="N572" s="5">
        <v>-30</v>
      </c>
      <c r="O572" s="5">
        <v>-168.09616511699201</v>
      </c>
      <c r="Q572">
        <f t="shared" si="121"/>
        <v>3.0079217167713708</v>
      </c>
      <c r="R572">
        <f t="shared" si="117"/>
        <v>9.060109090874306</v>
      </c>
    </row>
    <row r="573" spans="1:18" x14ac:dyDescent="0.25">
      <c r="A573">
        <f t="shared" si="112"/>
        <v>2000.5833333333301</v>
      </c>
      <c r="B573">
        <f t="shared" si="112"/>
        <v>-122</v>
      </c>
      <c r="C573">
        <f t="shared" si="113"/>
        <v>-125.88189398727343</v>
      </c>
      <c r="D573">
        <f t="shared" si="118"/>
        <v>-2</v>
      </c>
      <c r="E573">
        <f t="shared" si="118"/>
        <v>-2.9847124253069808</v>
      </c>
      <c r="F573">
        <f t="shared" si="119"/>
        <v>-2</v>
      </c>
      <c r="G573">
        <f t="shared" si="120"/>
        <v>-1.7172701115684808</v>
      </c>
      <c r="H573">
        <f t="shared" si="125"/>
        <v>-3.2333333333333334</v>
      </c>
      <c r="I573">
        <f t="shared" si="125"/>
        <v>-1.7861164541852588</v>
      </c>
      <c r="J573">
        <f t="shared" si="114"/>
        <v>2000.5833333333301</v>
      </c>
      <c r="K573">
        <f t="shared" si="115"/>
        <v>-122</v>
      </c>
      <c r="L573">
        <f t="shared" si="116"/>
        <v>-186.85901156764999</v>
      </c>
      <c r="M573" s="5">
        <v>1927.5833333333301</v>
      </c>
      <c r="N573" s="5">
        <v>-30</v>
      </c>
      <c r="O573" s="5">
        <v>-151.66249401595999</v>
      </c>
      <c r="Q573">
        <f t="shared" si="121"/>
        <v>0.28272988843151925</v>
      </c>
      <c r="R573">
        <f t="shared" si="117"/>
        <v>3.881893987273429</v>
      </c>
    </row>
    <row r="574" spans="1:18" x14ac:dyDescent="0.25">
      <c r="A574">
        <f t="shared" si="112"/>
        <v>2000.6666666666599</v>
      </c>
      <c r="B574">
        <f t="shared" si="112"/>
        <v>-118</v>
      </c>
      <c r="C574">
        <f t="shared" si="113"/>
        <v>-114.73425403305859</v>
      </c>
      <c r="D574">
        <f t="shared" si="118"/>
        <v>-4</v>
      </c>
      <c r="E574">
        <f t="shared" si="118"/>
        <v>1.4489463681950667</v>
      </c>
      <c r="F574">
        <f t="shared" si="119"/>
        <v>-2.3333333333333335</v>
      </c>
      <c r="G574">
        <f t="shared" si="120"/>
        <v>-0.48190493437023935</v>
      </c>
      <c r="H574">
        <f t="shared" si="125"/>
        <v>-3.3666666666666671</v>
      </c>
      <c r="I574">
        <f t="shared" si="125"/>
        <v>-1.9112834538864778</v>
      </c>
      <c r="J574">
        <f t="shared" si="114"/>
        <v>2000.6666666666599</v>
      </c>
      <c r="K574">
        <f t="shared" si="115"/>
        <v>-118</v>
      </c>
      <c r="L574">
        <f t="shared" si="116"/>
        <v>-173.48224699291401</v>
      </c>
      <c r="M574" s="5">
        <v>1927.6666666666599</v>
      </c>
      <c r="N574" s="5">
        <v>-30</v>
      </c>
      <c r="O574" s="5">
        <v>-127.386698743447</v>
      </c>
      <c r="Q574">
        <f t="shared" si="121"/>
        <v>1.8514283989630942</v>
      </c>
      <c r="R574">
        <f t="shared" si="117"/>
        <v>3.2657459669414095</v>
      </c>
    </row>
    <row r="575" spans="1:18" x14ac:dyDescent="0.25">
      <c r="A575">
        <f t="shared" si="112"/>
        <v>2000.75</v>
      </c>
      <c r="B575">
        <f t="shared" si="112"/>
        <v>-106</v>
      </c>
      <c r="C575">
        <f t="shared" si="113"/>
        <v>-106.48450681523389</v>
      </c>
      <c r="D575">
        <f t="shared" si="118"/>
        <v>-1</v>
      </c>
      <c r="E575">
        <f t="shared" si="118"/>
        <v>-0.27137744677648357</v>
      </c>
      <c r="F575">
        <f t="shared" si="119"/>
        <v>-3.8333333333333335</v>
      </c>
      <c r="G575">
        <f t="shared" si="120"/>
        <v>-1.0499623865558041</v>
      </c>
      <c r="H575">
        <f t="shared" si="125"/>
        <v>-1.7</v>
      </c>
      <c r="I575">
        <f t="shared" si="125"/>
        <v>-2.1148138799232687</v>
      </c>
      <c r="J575">
        <f t="shared" si="114"/>
        <v>2000.75</v>
      </c>
      <c r="K575">
        <f t="shared" si="115"/>
        <v>-106</v>
      </c>
      <c r="L575">
        <f t="shared" si="116"/>
        <v>-163.58284884342501</v>
      </c>
      <c r="M575" s="5">
        <v>1927.75</v>
      </c>
      <c r="N575" s="5">
        <v>-30</v>
      </c>
      <c r="O575" s="5">
        <v>-114.691132546906</v>
      </c>
      <c r="Q575">
        <f t="shared" si="121"/>
        <v>2.7833709467775294</v>
      </c>
      <c r="R575">
        <f t="shared" si="117"/>
        <v>0.48450681523388539</v>
      </c>
    </row>
    <row r="576" spans="1:18" x14ac:dyDescent="0.25">
      <c r="A576">
        <f t="shared" si="112"/>
        <v>2000.8333333333301</v>
      </c>
      <c r="B576">
        <f t="shared" si="112"/>
        <v>-92</v>
      </c>
      <c r="C576">
        <f t="shared" si="113"/>
        <v>-97.692004703856199</v>
      </c>
      <c r="D576">
        <f t="shared" si="118"/>
        <v>-6.5</v>
      </c>
      <c r="E576">
        <f t="shared" si="118"/>
        <v>-5.1149278710028483</v>
      </c>
      <c r="F576">
        <f t="shared" si="119"/>
        <v>-2.6666666666666665</v>
      </c>
      <c r="G576">
        <f t="shared" si="120"/>
        <v>-3.3152015537092363</v>
      </c>
      <c r="H576">
        <f t="shared" si="125"/>
        <v>-0.4</v>
      </c>
      <c r="I576">
        <f t="shared" si="125"/>
        <v>-1.5140504735336426</v>
      </c>
      <c r="J576">
        <f t="shared" si="114"/>
        <v>2000.8333333333301</v>
      </c>
      <c r="K576">
        <f t="shared" si="115"/>
        <v>-92</v>
      </c>
      <c r="L576">
        <f t="shared" si="116"/>
        <v>-153.03216446091599</v>
      </c>
      <c r="M576" s="5">
        <v>1927.8333333333301</v>
      </c>
      <c r="N576" s="5">
        <v>-30</v>
      </c>
      <c r="O576" s="5">
        <v>-107.87424741784599</v>
      </c>
      <c r="Q576">
        <f t="shared" si="121"/>
        <v>0.64853488704256979</v>
      </c>
      <c r="R576">
        <f t="shared" si="117"/>
        <v>5.6920047038561989</v>
      </c>
    </row>
    <row r="577" spans="1:18" x14ac:dyDescent="0.25">
      <c r="A577">
        <f t="shared" si="112"/>
        <v>2000.9166666666599</v>
      </c>
      <c r="B577">
        <f t="shared" si="112"/>
        <v>-65</v>
      </c>
      <c r="C577">
        <f t="shared" si="113"/>
        <v>-78.669646850472802</v>
      </c>
      <c r="D577">
        <f t="shared" si="118"/>
        <v>-0.5</v>
      </c>
      <c r="E577">
        <f t="shared" si="118"/>
        <v>-7.0457005086303042</v>
      </c>
      <c r="F577">
        <f t="shared" si="119"/>
        <v>2.3333333333333335</v>
      </c>
      <c r="G577">
        <f t="shared" si="120"/>
        <v>-4.0097304134125826</v>
      </c>
      <c r="H577">
        <f t="shared" si="125"/>
        <v>1.3333333333333335</v>
      </c>
      <c r="I577">
        <f t="shared" si="125"/>
        <v>-5.1615903961560329E-2</v>
      </c>
      <c r="J577">
        <f t="shared" si="114"/>
        <v>2000.9166666666599</v>
      </c>
      <c r="K577">
        <f t="shared" si="115"/>
        <v>-65</v>
      </c>
      <c r="L577">
        <f t="shared" si="116"/>
        <v>-130.206023348879</v>
      </c>
      <c r="M577" s="5">
        <v>1927.9166666666599</v>
      </c>
      <c r="N577" s="5">
        <v>-30</v>
      </c>
      <c r="O577" s="5">
        <v>-93.919647685954004</v>
      </c>
      <c r="Q577">
        <f t="shared" si="121"/>
        <v>6.3430637467459157</v>
      </c>
      <c r="R577">
        <f t="shared" si="117"/>
        <v>13.669646850472802</v>
      </c>
    </row>
    <row r="578" spans="1:18" x14ac:dyDescent="0.25">
      <c r="A578">
        <f t="shared" si="112"/>
        <v>2001</v>
      </c>
      <c r="B578">
        <f t="shared" si="112"/>
        <v>-37</v>
      </c>
      <c r="C578">
        <f t="shared" si="113"/>
        <v>-45.555887979828782</v>
      </c>
      <c r="D578">
        <f t="shared" si="118"/>
        <v>14</v>
      </c>
      <c r="E578">
        <f t="shared" si="118"/>
        <v>-2.8758606706640322</v>
      </c>
      <c r="F578">
        <f t="shared" si="119"/>
        <v>4.5</v>
      </c>
      <c r="G578">
        <f t="shared" si="120"/>
        <v>1.2865469203796502</v>
      </c>
      <c r="H578">
        <f t="shared" si="125"/>
        <v>2.1</v>
      </c>
      <c r="I578">
        <f t="shared" si="125"/>
        <v>1.3966100993588744</v>
      </c>
      <c r="J578">
        <f t="shared" si="114"/>
        <v>2001</v>
      </c>
      <c r="K578">
        <f t="shared" si="115"/>
        <v>-37</v>
      </c>
      <c r="L578">
        <f t="shared" si="116"/>
        <v>-90.470710904588799</v>
      </c>
      <c r="M578" s="5">
        <v>1928</v>
      </c>
      <c r="N578" s="5">
        <v>-30</v>
      </c>
      <c r="O578" s="5">
        <v>-73.634115172055004</v>
      </c>
      <c r="Q578">
        <f t="shared" si="121"/>
        <v>3.2134530796203498</v>
      </c>
      <c r="R578">
        <f t="shared" si="117"/>
        <v>8.5558879798287819</v>
      </c>
    </row>
    <row r="579" spans="1:18" x14ac:dyDescent="0.25">
      <c r="A579">
        <f t="shared" si="112"/>
        <v>2001.0833333333301</v>
      </c>
      <c r="B579">
        <f t="shared" si="112"/>
        <v>-37</v>
      </c>
      <c r="C579">
        <f t="shared" si="113"/>
        <v>-6.6904077678567013</v>
      </c>
      <c r="D579">
        <f t="shared" si="118"/>
        <v>0</v>
      </c>
      <c r="E579">
        <f t="shared" si="118"/>
        <v>14.746112130718025</v>
      </c>
      <c r="F579">
        <f t="shared" si="119"/>
        <v>6.333333333333333</v>
      </c>
      <c r="G579">
        <f t="shared" si="120"/>
        <v>6.8302679134901698</v>
      </c>
      <c r="H579">
        <f t="shared" si="125"/>
        <v>3.4666666666666672</v>
      </c>
      <c r="I579">
        <f t="shared" si="125"/>
        <v>2.1437756385896645</v>
      </c>
      <c r="J579">
        <f t="shared" si="114"/>
        <v>2001.0833333333301</v>
      </c>
      <c r="K579">
        <f t="shared" si="115"/>
        <v>-37</v>
      </c>
      <c r="L579">
        <f t="shared" si="116"/>
        <v>-43.833540973114502</v>
      </c>
      <c r="M579" s="5">
        <v>1928.0833333333301</v>
      </c>
      <c r="N579" s="5">
        <v>-30</v>
      </c>
      <c r="O579" s="5">
        <v>-52.403636587738099</v>
      </c>
      <c r="Q579">
        <f t="shared" si="121"/>
        <v>0.49693458015683678</v>
      </c>
      <c r="R579">
        <f t="shared" si="117"/>
        <v>30.309592232143299</v>
      </c>
    </row>
    <row r="580" spans="1:18" x14ac:dyDescent="0.25">
      <c r="A580">
        <f t="shared" ref="A580:C643" si="126">+J580</f>
        <v>2001.1666666666599</v>
      </c>
      <c r="B580">
        <f t="shared" si="126"/>
        <v>-37</v>
      </c>
      <c r="C580">
        <f t="shared" ref="C580:C643" si="127">+$B$1*L580+$D$1</f>
        <v>2.6828481826793293</v>
      </c>
      <c r="D580">
        <f t="shared" si="118"/>
        <v>5</v>
      </c>
      <c r="E580">
        <f t="shared" si="118"/>
        <v>13.743253215534143</v>
      </c>
      <c r="F580">
        <f t="shared" si="119"/>
        <v>0</v>
      </c>
      <c r="G580">
        <f t="shared" si="120"/>
        <v>6.1911676300463707</v>
      </c>
      <c r="H580">
        <f t="shared" si="125"/>
        <v>2.666666666666667</v>
      </c>
      <c r="I580">
        <f t="shared" si="125"/>
        <v>1.9452921648578012</v>
      </c>
      <c r="J580">
        <f t="shared" ref="J580:J643" si="128">+$M1456</f>
        <v>2001.1666666666599</v>
      </c>
      <c r="K580">
        <f t="shared" ref="K580:K643" si="129">+$N1456</f>
        <v>-37</v>
      </c>
      <c r="L580">
        <f t="shared" ref="L580:L643" si="130">+$O1456</f>
        <v>-32.5859729978269</v>
      </c>
      <c r="M580" s="5">
        <v>1928.1666666666599</v>
      </c>
      <c r="N580" s="5">
        <v>-30</v>
      </c>
      <c r="O580" s="5">
        <v>-40.204507422288401</v>
      </c>
      <c r="Q580">
        <f t="shared" si="121"/>
        <v>6.1911676300463707</v>
      </c>
      <c r="R580">
        <f t="shared" ref="R580:R643" si="131">+ABS(B580-C580)</f>
        <v>39.682848182679329</v>
      </c>
    </row>
    <row r="581" spans="1:18" x14ac:dyDescent="0.25">
      <c r="A581">
        <f t="shared" si="126"/>
        <v>2001.25</v>
      </c>
      <c r="B581">
        <f t="shared" si="126"/>
        <v>-47</v>
      </c>
      <c r="C581">
        <f t="shared" si="127"/>
        <v>-15.430402297852925</v>
      </c>
      <c r="D581">
        <f t="shared" ref="D581:E644" si="132">+B581-1/2*(B580+B582)</f>
        <v>-5</v>
      </c>
      <c r="E581">
        <f t="shared" si="132"/>
        <v>-5.2724867335782779</v>
      </c>
      <c r="F581">
        <f t="shared" si="119"/>
        <v>4.166666666666667</v>
      </c>
      <c r="G581">
        <f t="shared" si="120"/>
        <v>0.42062614244471447</v>
      </c>
      <c r="H581">
        <f t="shared" si="125"/>
        <v>0.23333333333333339</v>
      </c>
      <c r="I581">
        <f t="shared" si="125"/>
        <v>0.5366927886854056</v>
      </c>
      <c r="J581">
        <f t="shared" si="128"/>
        <v>2001.25</v>
      </c>
      <c r="K581">
        <f t="shared" si="129"/>
        <v>-47</v>
      </c>
      <c r="L581">
        <f t="shared" si="130"/>
        <v>-54.321218157919503</v>
      </c>
      <c r="M581" s="5">
        <v>1928.25</v>
      </c>
      <c r="N581" s="5">
        <v>-30</v>
      </c>
      <c r="O581" s="5">
        <v>-21.990937812636702</v>
      </c>
      <c r="Q581">
        <f t="shared" si="121"/>
        <v>3.7460405242219523</v>
      </c>
      <c r="R581">
        <f t="shared" si="131"/>
        <v>31.569597702147075</v>
      </c>
    </row>
    <row r="582" spans="1:18" x14ac:dyDescent="0.25">
      <c r="A582">
        <f t="shared" si="126"/>
        <v>2001.3333333333301</v>
      </c>
      <c r="B582">
        <f t="shared" si="126"/>
        <v>-47</v>
      </c>
      <c r="C582">
        <f t="shared" si="127"/>
        <v>-22.998679311228624</v>
      </c>
      <c r="D582">
        <f t="shared" si="132"/>
        <v>12.5</v>
      </c>
      <c r="E582">
        <f t="shared" si="132"/>
        <v>-6.8934184477881857</v>
      </c>
      <c r="F582">
        <f t="shared" ref="F582:F645" si="133">+AVERAGE(D581:D583)</f>
        <v>-1.6666666666666667</v>
      </c>
      <c r="G582">
        <f t="shared" ref="G582:G645" si="134">+$H$1*AVERAGE(E581:E583)+$F$1</f>
        <v>-5.0021477820718987</v>
      </c>
      <c r="H582">
        <f t="shared" si="125"/>
        <v>-2.7666666666666666</v>
      </c>
      <c r="I582">
        <f t="shared" si="125"/>
        <v>-0.89544832712245326</v>
      </c>
      <c r="J582">
        <f t="shared" si="128"/>
        <v>2001.3333333333301</v>
      </c>
      <c r="K582">
        <f t="shared" si="129"/>
        <v>-47</v>
      </c>
      <c r="L582">
        <f t="shared" si="130"/>
        <v>-63.402876720639298</v>
      </c>
      <c r="M582" s="5">
        <v>1928.3333333333301</v>
      </c>
      <c r="N582" s="5">
        <v>-30</v>
      </c>
      <c r="O582" s="5">
        <v>20.986107228330699</v>
      </c>
      <c r="Q582">
        <f t="shared" ref="Q582:Q645" si="135">+ABS(F582-G582)</f>
        <v>3.3354811154052317</v>
      </c>
      <c r="R582">
        <f t="shared" si="131"/>
        <v>24.001320688771376</v>
      </c>
    </row>
    <row r="583" spans="1:18" x14ac:dyDescent="0.25">
      <c r="A583">
        <f t="shared" si="126"/>
        <v>2001.4166666666599</v>
      </c>
      <c r="B583">
        <f t="shared" si="126"/>
        <v>-72</v>
      </c>
      <c r="C583">
        <f t="shared" si="127"/>
        <v>-16.780119429027952</v>
      </c>
      <c r="D583">
        <f t="shared" si="132"/>
        <v>-12.5</v>
      </c>
      <c r="E583">
        <f t="shared" si="132"/>
        <v>-6.5921490014031559</v>
      </c>
      <c r="F583">
        <f t="shared" si="133"/>
        <v>-7.666666666666667</v>
      </c>
      <c r="G583">
        <f t="shared" si="134"/>
        <v>-5.7564499604823292</v>
      </c>
      <c r="H583">
        <f t="shared" si="125"/>
        <v>-3.4</v>
      </c>
      <c r="I583">
        <f t="shared" si="125"/>
        <v>-0.77666964953342799</v>
      </c>
      <c r="J583">
        <f t="shared" si="128"/>
        <v>2001.4166666666599</v>
      </c>
      <c r="K583">
        <f t="shared" si="129"/>
        <v>-72</v>
      </c>
      <c r="L583">
        <f t="shared" si="130"/>
        <v>-55.940829876666299</v>
      </c>
      <c r="M583" s="5">
        <v>1928.4166666666599</v>
      </c>
      <c r="N583" s="5">
        <v>-30</v>
      </c>
      <c r="O583" s="5">
        <v>41.749145433023898</v>
      </c>
      <c r="Q583">
        <f t="shared" si="135"/>
        <v>1.9102167061843378</v>
      </c>
      <c r="R583">
        <f t="shared" si="131"/>
        <v>55.219880570972052</v>
      </c>
    </row>
    <row r="584" spans="1:18" x14ac:dyDescent="0.25">
      <c r="A584">
        <f t="shared" si="126"/>
        <v>2001.5</v>
      </c>
      <c r="B584">
        <f t="shared" si="126"/>
        <v>-72</v>
      </c>
      <c r="C584">
        <f t="shared" si="127"/>
        <v>2.6227384559790323</v>
      </c>
      <c r="D584">
        <f t="shared" si="132"/>
        <v>-23</v>
      </c>
      <c r="E584">
        <f t="shared" si="132"/>
        <v>-8.101119902617393</v>
      </c>
      <c r="F584">
        <f t="shared" si="133"/>
        <v>-8.6666666666666661</v>
      </c>
      <c r="G584">
        <f t="shared" si="134"/>
        <v>-0.33043766554912302</v>
      </c>
      <c r="H584">
        <f t="shared" ref="H584:I599" si="136">+AVERAGE(F582:F586)</f>
        <v>-2.3333333333333335</v>
      </c>
      <c r="I584">
        <f t="shared" si="136"/>
        <v>0.91338478656496347</v>
      </c>
      <c r="J584">
        <f t="shared" si="128"/>
        <v>2001.5</v>
      </c>
      <c r="K584">
        <f t="shared" si="129"/>
        <v>-72</v>
      </c>
      <c r="L584">
        <f t="shared" si="130"/>
        <v>-32.658102494834701</v>
      </c>
      <c r="M584" s="5">
        <v>1928.5</v>
      </c>
      <c r="N584" s="5">
        <v>-30</v>
      </c>
      <c r="O584" s="5">
        <v>33.853451580417797</v>
      </c>
      <c r="Q584">
        <f t="shared" si="135"/>
        <v>8.3362290011175428</v>
      </c>
      <c r="R584">
        <f t="shared" si="131"/>
        <v>74.622738455979032</v>
      </c>
    </row>
    <row r="585" spans="1:18" x14ac:dyDescent="0.25">
      <c r="A585">
        <f t="shared" si="126"/>
        <v>2001.5833333333301</v>
      </c>
      <c r="B585">
        <f t="shared" si="126"/>
        <v>-26</v>
      </c>
      <c r="C585">
        <f t="shared" si="127"/>
        <v>38.227836146220803</v>
      </c>
      <c r="D585">
        <f t="shared" si="132"/>
        <v>9.5</v>
      </c>
      <c r="E585">
        <f t="shared" si="132"/>
        <v>13.454127658211338</v>
      </c>
      <c r="F585">
        <f t="shared" si="133"/>
        <v>-3.1666666666666665</v>
      </c>
      <c r="G585">
        <f t="shared" si="134"/>
        <v>6.785061017991497</v>
      </c>
      <c r="H585">
        <f t="shared" si="136"/>
        <v>-1.4666666666666668</v>
      </c>
      <c r="I585">
        <f t="shared" si="136"/>
        <v>2.5565912693132029</v>
      </c>
      <c r="J585">
        <f t="shared" si="128"/>
        <v>2001.5833333333301</v>
      </c>
      <c r="K585">
        <f t="shared" si="129"/>
        <v>-26</v>
      </c>
      <c r="L585">
        <f t="shared" si="130"/>
        <v>10.0667263854487</v>
      </c>
      <c r="M585" s="5">
        <v>1928.5833333333301</v>
      </c>
      <c r="N585" s="5">
        <v>-30</v>
      </c>
      <c r="O585" s="5">
        <v>15.9765929357196</v>
      </c>
      <c r="Q585">
        <f t="shared" si="135"/>
        <v>9.951727684658163</v>
      </c>
      <c r="R585">
        <f t="shared" si="131"/>
        <v>64.227836146220795</v>
      </c>
    </row>
    <row r="586" spans="1:18" x14ac:dyDescent="0.25">
      <c r="A586">
        <f t="shared" si="126"/>
        <v>2001.6666666666599</v>
      </c>
      <c r="B586">
        <f t="shared" si="126"/>
        <v>1</v>
      </c>
      <c r="C586">
        <f t="shared" si="127"/>
        <v>46.924678520039897</v>
      </c>
      <c r="D586">
        <f t="shared" si="132"/>
        <v>4</v>
      </c>
      <c r="E586">
        <f t="shared" si="132"/>
        <v>20.090971061874171</v>
      </c>
      <c r="F586">
        <f t="shared" si="133"/>
        <v>9.5</v>
      </c>
      <c r="G586">
        <f t="shared" si="134"/>
        <v>8.8708983229366716</v>
      </c>
      <c r="H586">
        <f t="shared" si="136"/>
        <v>0.80000000000000016</v>
      </c>
      <c r="I586">
        <f t="shared" si="136"/>
        <v>2.9310414988213354</v>
      </c>
      <c r="J586">
        <f t="shared" si="128"/>
        <v>2001.6666666666599</v>
      </c>
      <c r="K586">
        <f t="shared" si="129"/>
        <v>1</v>
      </c>
      <c r="L586">
        <f t="shared" si="130"/>
        <v>20.502622544274701</v>
      </c>
      <c r="M586" s="5">
        <v>1928.6666666666599</v>
      </c>
      <c r="N586" s="5">
        <v>-30</v>
      </c>
      <c r="O586" s="5">
        <v>-22.846754461728001</v>
      </c>
      <c r="Q586">
        <f t="shared" si="135"/>
        <v>0.62910167706332842</v>
      </c>
      <c r="R586">
        <f t="shared" si="131"/>
        <v>45.924678520039897</v>
      </c>
    </row>
    <row r="587" spans="1:18" x14ac:dyDescent="0.25">
      <c r="A587">
        <f t="shared" si="126"/>
        <v>2001.75</v>
      </c>
      <c r="B587">
        <f t="shared" si="126"/>
        <v>20</v>
      </c>
      <c r="C587">
        <f t="shared" si="127"/>
        <v>15.439578770110652</v>
      </c>
      <c r="D587">
        <f t="shared" si="132"/>
        <v>15</v>
      </c>
      <c r="E587">
        <f t="shared" si="132"/>
        <v>-0.27923000907299311</v>
      </c>
      <c r="F587">
        <f t="shared" si="133"/>
        <v>2.6666666666666665</v>
      </c>
      <c r="G587">
        <f t="shared" si="134"/>
        <v>3.2138846316692993</v>
      </c>
      <c r="H587">
        <f t="shared" si="136"/>
        <v>1.6666666666666665</v>
      </c>
      <c r="I587">
        <f t="shared" si="136"/>
        <v>2.0550563572813849</v>
      </c>
      <c r="J587">
        <f t="shared" si="128"/>
        <v>2001.75</v>
      </c>
      <c r="K587">
        <f t="shared" si="129"/>
        <v>20</v>
      </c>
      <c r="L587">
        <f t="shared" si="130"/>
        <v>-17.278357887161</v>
      </c>
      <c r="M587" s="5">
        <v>1928.75</v>
      </c>
      <c r="N587" s="5">
        <v>-30</v>
      </c>
      <c r="O587" s="5">
        <v>-68.020586085599703</v>
      </c>
      <c r="Q587">
        <f t="shared" si="135"/>
        <v>0.54721796500263276</v>
      </c>
      <c r="R587">
        <f t="shared" si="131"/>
        <v>4.5604212298893483</v>
      </c>
    </row>
    <row r="588" spans="1:18" x14ac:dyDescent="0.25">
      <c r="A588">
        <f t="shared" si="126"/>
        <v>2001.8333333333301</v>
      </c>
      <c r="B588">
        <f t="shared" si="126"/>
        <v>9</v>
      </c>
      <c r="C588">
        <f t="shared" si="127"/>
        <v>-15.487060961672608</v>
      </c>
      <c r="D588">
        <f t="shared" si="132"/>
        <v>-11</v>
      </c>
      <c r="E588">
        <f t="shared" si="132"/>
        <v>-7.7596736840413056</v>
      </c>
      <c r="F588">
        <f t="shared" si="133"/>
        <v>3.6666666666666665</v>
      </c>
      <c r="G588">
        <f t="shared" si="134"/>
        <v>-3.8841988129416687</v>
      </c>
      <c r="H588">
        <f t="shared" si="136"/>
        <v>2.666666666666667</v>
      </c>
      <c r="I588">
        <f t="shared" si="136"/>
        <v>0.36188837423516718</v>
      </c>
      <c r="J588">
        <f t="shared" si="128"/>
        <v>2001.8333333333301</v>
      </c>
      <c r="K588">
        <f t="shared" si="129"/>
        <v>9</v>
      </c>
      <c r="L588">
        <f t="shared" si="130"/>
        <v>-54.389206504345097</v>
      </c>
      <c r="M588" s="5">
        <v>1928.8333333333301</v>
      </c>
      <c r="N588" s="5">
        <v>-30</v>
      </c>
      <c r="O588" s="5">
        <v>-98.098224284779903</v>
      </c>
      <c r="Q588">
        <f t="shared" si="135"/>
        <v>7.5508654796083352</v>
      </c>
      <c r="R588">
        <f t="shared" si="131"/>
        <v>24.487060961672608</v>
      </c>
    </row>
    <row r="589" spans="1:18" x14ac:dyDescent="0.25">
      <c r="A589">
        <f t="shared" si="126"/>
        <v>2001.9166666666599</v>
      </c>
      <c r="B589">
        <f t="shared" si="126"/>
        <v>20</v>
      </c>
      <c r="C589">
        <f t="shared" si="127"/>
        <v>-30.894353325373256</v>
      </c>
      <c r="D589">
        <f t="shared" si="132"/>
        <v>7</v>
      </c>
      <c r="E589">
        <f t="shared" si="132"/>
        <v>-6.5268418554169578</v>
      </c>
      <c r="F589">
        <f t="shared" si="133"/>
        <v>-4.333333333333333</v>
      </c>
      <c r="G589">
        <f t="shared" si="134"/>
        <v>-4.7103633732488737</v>
      </c>
      <c r="H589">
        <f t="shared" si="136"/>
        <v>0.66666666666666663</v>
      </c>
      <c r="I589">
        <f t="shared" si="136"/>
        <v>-1.2438190004861631</v>
      </c>
      <c r="J589">
        <f t="shared" si="128"/>
        <v>2001.9166666666599</v>
      </c>
      <c r="K589">
        <f t="shared" si="129"/>
        <v>20</v>
      </c>
      <c r="L589">
        <f t="shared" si="130"/>
        <v>-72.877399837627806</v>
      </c>
      <c r="M589" s="5">
        <v>1928.9166666666599</v>
      </c>
      <c r="N589" s="5">
        <v>-30</v>
      </c>
      <c r="O589" s="5">
        <v>-116.19174858056699</v>
      </c>
      <c r="Q589">
        <f t="shared" si="135"/>
        <v>0.37703003991554063</v>
      </c>
      <c r="R589">
        <f t="shared" si="131"/>
        <v>50.89435332537326</v>
      </c>
    </row>
    <row r="590" spans="1:18" x14ac:dyDescent="0.25">
      <c r="A590">
        <f t="shared" si="126"/>
        <v>2002</v>
      </c>
      <c r="B590">
        <f t="shared" si="126"/>
        <v>17</v>
      </c>
      <c r="C590">
        <f t="shared" si="127"/>
        <v>-33.247961978239985</v>
      </c>
      <c r="D590">
        <f t="shared" si="132"/>
        <v>-9</v>
      </c>
      <c r="E590">
        <f t="shared" si="132"/>
        <v>-3.3773471102250134</v>
      </c>
      <c r="F590">
        <f t="shared" si="133"/>
        <v>1.8333333333333333</v>
      </c>
      <c r="G590">
        <f t="shared" si="134"/>
        <v>-1.6807788972395912</v>
      </c>
      <c r="H590">
        <f t="shared" si="136"/>
        <v>3</v>
      </c>
      <c r="I590">
        <f t="shared" si="136"/>
        <v>-1.3830031632223718</v>
      </c>
      <c r="J590">
        <f t="shared" si="128"/>
        <v>2002</v>
      </c>
      <c r="K590">
        <f t="shared" si="129"/>
        <v>17</v>
      </c>
      <c r="L590">
        <f t="shared" si="130"/>
        <v>-75.701645057223004</v>
      </c>
      <c r="M590" s="5">
        <v>1929</v>
      </c>
      <c r="N590" s="5">
        <v>-30</v>
      </c>
      <c r="O590" s="5">
        <v>-123.842574269425</v>
      </c>
      <c r="Q590">
        <f t="shared" si="135"/>
        <v>3.5141122305729242</v>
      </c>
      <c r="R590">
        <f t="shared" si="131"/>
        <v>50.247961978239985</v>
      </c>
    </row>
    <row r="591" spans="1:18" x14ac:dyDescent="0.25">
      <c r="A591">
        <f t="shared" si="126"/>
        <v>2002.0833333333301</v>
      </c>
      <c r="B591">
        <f t="shared" si="126"/>
        <v>32</v>
      </c>
      <c r="C591">
        <f t="shared" si="127"/>
        <v>-28.846876410656687</v>
      </c>
      <c r="D591">
        <f t="shared" si="132"/>
        <v>7.5</v>
      </c>
      <c r="E591">
        <f t="shared" si="132"/>
        <v>3.6012681009935044</v>
      </c>
      <c r="F591">
        <f t="shared" si="133"/>
        <v>-0.5</v>
      </c>
      <c r="G591">
        <f t="shared" si="134"/>
        <v>0.84236144933001844</v>
      </c>
      <c r="H591">
        <f t="shared" si="136"/>
        <v>3.0666666666666669</v>
      </c>
      <c r="I591">
        <f t="shared" si="136"/>
        <v>-8.0509491248970472E-2</v>
      </c>
      <c r="J591">
        <f t="shared" si="128"/>
        <v>2002.0833333333301</v>
      </c>
      <c r="K591">
        <f t="shared" si="129"/>
        <v>32</v>
      </c>
      <c r="L591">
        <f t="shared" si="130"/>
        <v>-70.420501626628905</v>
      </c>
      <c r="M591" s="5">
        <v>1929.0833333333301</v>
      </c>
      <c r="N591" s="5">
        <v>-30</v>
      </c>
      <c r="O591" s="5">
        <v>-126.303730642631</v>
      </c>
      <c r="Q591">
        <f t="shared" si="135"/>
        <v>1.3423614493300184</v>
      </c>
      <c r="R591">
        <f t="shared" si="131"/>
        <v>60.846876410656691</v>
      </c>
    </row>
    <row r="592" spans="1:18" x14ac:dyDescent="0.25">
      <c r="A592">
        <f t="shared" si="126"/>
        <v>2002.1666666666599</v>
      </c>
      <c r="B592">
        <f t="shared" si="126"/>
        <v>32</v>
      </c>
      <c r="C592">
        <f t="shared" si="127"/>
        <v>-31.648327045060402</v>
      </c>
      <c r="D592">
        <f t="shared" si="132"/>
        <v>0</v>
      </c>
      <c r="E592">
        <f t="shared" si="132"/>
        <v>2.9349344442190777</v>
      </c>
      <c r="F592">
        <f t="shared" si="133"/>
        <v>14.333333333333334</v>
      </c>
      <c r="G592">
        <f t="shared" si="134"/>
        <v>2.5179638179882549</v>
      </c>
      <c r="H592">
        <f t="shared" si="136"/>
        <v>3.9333333333333336</v>
      </c>
      <c r="I592">
        <f t="shared" si="136"/>
        <v>1.012368427873483</v>
      </c>
      <c r="J592">
        <f t="shared" si="128"/>
        <v>2002.1666666666599</v>
      </c>
      <c r="K592">
        <f t="shared" si="129"/>
        <v>32</v>
      </c>
      <c r="L592">
        <f t="shared" si="130"/>
        <v>-73.782141019188799</v>
      </c>
      <c r="M592" s="5">
        <v>1929.1666666666599</v>
      </c>
      <c r="N592" s="5">
        <v>-30</v>
      </c>
      <c r="O592" s="5">
        <v>-135.179873906117</v>
      </c>
      <c r="Q592">
        <f t="shared" si="135"/>
        <v>11.815369515345079</v>
      </c>
      <c r="R592">
        <f t="shared" si="131"/>
        <v>63.648327045060398</v>
      </c>
    </row>
    <row r="593" spans="1:18" x14ac:dyDescent="0.25">
      <c r="A593">
        <f t="shared" si="126"/>
        <v>2002.25</v>
      </c>
      <c r="B593">
        <f t="shared" si="126"/>
        <v>32</v>
      </c>
      <c r="C593">
        <f t="shared" si="127"/>
        <v>-40.319646567902268</v>
      </c>
      <c r="D593">
        <f t="shared" si="132"/>
        <v>35.5</v>
      </c>
      <c r="E593">
        <f t="shared" si="132"/>
        <v>2.9061617722433724</v>
      </c>
      <c r="F593">
        <f t="shared" si="133"/>
        <v>4</v>
      </c>
      <c r="G593">
        <f t="shared" si="134"/>
        <v>2.6282695469253397</v>
      </c>
      <c r="H593">
        <f t="shared" si="136"/>
        <v>1.2000000000000004</v>
      </c>
      <c r="I593">
        <f t="shared" si="136"/>
        <v>1.0000761841022474</v>
      </c>
      <c r="J593">
        <f t="shared" si="128"/>
        <v>2002.25</v>
      </c>
      <c r="K593">
        <f t="shared" si="129"/>
        <v>32</v>
      </c>
      <c r="L593">
        <f t="shared" si="130"/>
        <v>-84.187410680370405</v>
      </c>
      <c r="M593" s="5">
        <v>1929.25</v>
      </c>
      <c r="N593" s="5">
        <v>-30</v>
      </c>
      <c r="O593" s="5">
        <v>-148.949157128857</v>
      </c>
      <c r="Q593">
        <f t="shared" si="135"/>
        <v>1.3717304530746603</v>
      </c>
      <c r="R593">
        <f t="shared" si="131"/>
        <v>72.319646567902268</v>
      </c>
    </row>
    <row r="594" spans="1:18" x14ac:dyDescent="0.25">
      <c r="A594">
        <f t="shared" si="126"/>
        <v>2002.3333333333301</v>
      </c>
      <c r="B594">
        <f t="shared" si="126"/>
        <v>-39</v>
      </c>
      <c r="C594">
        <f t="shared" si="127"/>
        <v>-54.803289635230882</v>
      </c>
      <c r="D594">
        <f t="shared" si="132"/>
        <v>-23.5</v>
      </c>
      <c r="E594">
        <f t="shared" si="132"/>
        <v>4.0149145845075722</v>
      </c>
      <c r="F594">
        <f t="shared" si="133"/>
        <v>0</v>
      </c>
      <c r="G594">
        <f t="shared" si="134"/>
        <v>0.75402622236339312</v>
      </c>
      <c r="H594">
        <f t="shared" si="136"/>
        <v>0.80000000000000038</v>
      </c>
      <c r="I594">
        <f t="shared" si="136"/>
        <v>0.26115850135550273</v>
      </c>
      <c r="J594">
        <f t="shared" si="128"/>
        <v>2002.3333333333301</v>
      </c>
      <c r="K594">
        <f t="shared" si="129"/>
        <v>-39</v>
      </c>
      <c r="L594">
        <f t="shared" si="130"/>
        <v>-101.56725827967399</v>
      </c>
      <c r="M594" s="5">
        <v>1929.3333333333301</v>
      </c>
      <c r="N594" s="5">
        <v>-30</v>
      </c>
      <c r="O594" s="5">
        <v>-164.79501924730999</v>
      </c>
      <c r="Q594">
        <f t="shared" si="135"/>
        <v>0.75402622236339312</v>
      </c>
      <c r="R594">
        <f t="shared" si="131"/>
        <v>15.803289635230882</v>
      </c>
    </row>
    <row r="595" spans="1:18" x14ac:dyDescent="0.25">
      <c r="A595">
        <f t="shared" si="126"/>
        <v>2002.4166666666599</v>
      </c>
      <c r="B595">
        <f t="shared" si="126"/>
        <v>-63</v>
      </c>
      <c r="C595">
        <f t="shared" si="127"/>
        <v>-77.316761871574641</v>
      </c>
      <c r="D595">
        <f t="shared" si="132"/>
        <v>-12</v>
      </c>
      <c r="E595">
        <f t="shared" si="132"/>
        <v>-4.0934780228882204</v>
      </c>
      <c r="F595">
        <f t="shared" si="133"/>
        <v>-11.833333333333334</v>
      </c>
      <c r="G595">
        <f t="shared" si="134"/>
        <v>-1.7422401160957692</v>
      </c>
      <c r="H595">
        <f t="shared" si="136"/>
        <v>-1.5333333333333337</v>
      </c>
      <c r="I595">
        <f t="shared" si="136"/>
        <v>-0.3802908192924776</v>
      </c>
      <c r="J595">
        <f t="shared" si="128"/>
        <v>2002.4166666666599</v>
      </c>
      <c r="K595">
        <f t="shared" si="129"/>
        <v>-63</v>
      </c>
      <c r="L595">
        <f t="shared" si="130"/>
        <v>-128.58261032749101</v>
      </c>
      <c r="M595" s="5">
        <v>1929.4166666666599</v>
      </c>
      <c r="N595" s="5">
        <v>-30</v>
      </c>
      <c r="O595" s="5">
        <v>-180.66726381991401</v>
      </c>
      <c r="Q595">
        <f t="shared" si="135"/>
        <v>10.091093217237564</v>
      </c>
      <c r="R595">
        <f t="shared" si="131"/>
        <v>14.316761871574641</v>
      </c>
    </row>
    <row r="596" spans="1:18" x14ac:dyDescent="0.25">
      <c r="A596">
        <f t="shared" si="126"/>
        <v>2002.5</v>
      </c>
      <c r="B596">
        <f t="shared" si="126"/>
        <v>-63</v>
      </c>
      <c r="C596">
        <f t="shared" si="127"/>
        <v>-91.64327806214196</v>
      </c>
      <c r="D596">
        <f t="shared" si="132"/>
        <v>0</v>
      </c>
      <c r="E596">
        <f t="shared" si="132"/>
        <v>-6.4548369969784858</v>
      </c>
      <c r="F596">
        <f t="shared" si="133"/>
        <v>-2.5</v>
      </c>
      <c r="G596">
        <f t="shared" si="134"/>
        <v>-2.8522269644037053</v>
      </c>
      <c r="H596">
        <f t="shared" si="136"/>
        <v>-2.3333333333333335</v>
      </c>
      <c r="I596">
        <f t="shared" si="136"/>
        <v>-0.62141322935068621</v>
      </c>
      <c r="J596">
        <f t="shared" si="128"/>
        <v>2002.5</v>
      </c>
      <c r="K596">
        <f t="shared" si="129"/>
        <v>-63</v>
      </c>
      <c r="L596">
        <f t="shared" si="130"/>
        <v>-145.77391136021799</v>
      </c>
      <c r="M596" s="5">
        <v>1929.5</v>
      </c>
      <c r="N596" s="5">
        <v>-30</v>
      </c>
      <c r="O596" s="5">
        <v>-186.91667230048</v>
      </c>
      <c r="Q596">
        <f t="shared" si="135"/>
        <v>0.35222696440370527</v>
      </c>
      <c r="R596">
        <f t="shared" si="131"/>
        <v>28.64327806214196</v>
      </c>
    </row>
    <row r="597" spans="1:18" x14ac:dyDescent="0.25">
      <c r="A597">
        <f t="shared" si="126"/>
        <v>2002.5833333333301</v>
      </c>
      <c r="B597">
        <f t="shared" si="126"/>
        <v>-63</v>
      </c>
      <c r="C597">
        <f t="shared" si="127"/>
        <v>-93.060120258752306</v>
      </c>
      <c r="D597">
        <f t="shared" si="132"/>
        <v>4.5</v>
      </c>
      <c r="E597">
        <f t="shared" si="132"/>
        <v>-0.14753609664718681</v>
      </c>
      <c r="F597">
        <f t="shared" si="133"/>
        <v>2.6666666666666665</v>
      </c>
      <c r="G597">
        <f t="shared" si="134"/>
        <v>-0.68928278525164621</v>
      </c>
      <c r="H597">
        <f t="shared" si="136"/>
        <v>-2.8333333333333335</v>
      </c>
      <c r="I597">
        <f t="shared" si="136"/>
        <v>-0.61691139484514879</v>
      </c>
      <c r="J597">
        <f t="shared" si="128"/>
        <v>2002.5833333333301</v>
      </c>
      <c r="K597">
        <f t="shared" si="129"/>
        <v>-63</v>
      </c>
      <c r="L597">
        <f t="shared" si="130"/>
        <v>-147.47407072860901</v>
      </c>
      <c r="M597" s="5">
        <v>1929.5833333333301</v>
      </c>
      <c r="N597" s="5">
        <v>-30</v>
      </c>
      <c r="O597" s="5">
        <v>-180.67477159842201</v>
      </c>
      <c r="Q597">
        <f t="shared" si="135"/>
        <v>3.3559494519183128</v>
      </c>
      <c r="R597">
        <f t="shared" si="131"/>
        <v>30.060120258752306</v>
      </c>
    </row>
    <row r="598" spans="1:18" x14ac:dyDescent="0.25">
      <c r="A598">
        <f t="shared" si="126"/>
        <v>2002.6666666666599</v>
      </c>
      <c r="B598">
        <f t="shared" si="126"/>
        <v>-72</v>
      </c>
      <c r="C598">
        <f t="shared" si="127"/>
        <v>-94.181890262068279</v>
      </c>
      <c r="D598">
        <f t="shared" si="132"/>
        <v>3.5</v>
      </c>
      <c r="E598">
        <f t="shared" si="132"/>
        <v>4.0175626489319995</v>
      </c>
      <c r="F598">
        <f t="shared" si="133"/>
        <v>0</v>
      </c>
      <c r="G598">
        <f t="shared" si="134"/>
        <v>1.4226574966342962</v>
      </c>
      <c r="H598">
        <f t="shared" si="136"/>
        <v>-1.7</v>
      </c>
      <c r="I598">
        <f t="shared" si="136"/>
        <v>-0.5955393216125755</v>
      </c>
      <c r="J598">
        <f t="shared" si="128"/>
        <v>2002.6666666666599</v>
      </c>
      <c r="K598">
        <f t="shared" si="129"/>
        <v>-72</v>
      </c>
      <c r="L598">
        <f t="shared" si="130"/>
        <v>-148.82015414204801</v>
      </c>
      <c r="M598" s="5">
        <v>1929.6666666666599</v>
      </c>
      <c r="N598" s="5">
        <v>-30</v>
      </c>
      <c r="O598" s="5">
        <v>-169.03334168091999</v>
      </c>
      <c r="Q598">
        <f t="shared" si="135"/>
        <v>1.4226574966342962</v>
      </c>
      <c r="R598">
        <f t="shared" si="131"/>
        <v>22.181890262068279</v>
      </c>
    </row>
    <row r="599" spans="1:18" x14ac:dyDescent="0.25">
      <c r="A599">
        <f t="shared" si="126"/>
        <v>2002.75</v>
      </c>
      <c r="B599">
        <f t="shared" si="126"/>
        <v>-88</v>
      </c>
      <c r="C599">
        <f t="shared" si="127"/>
        <v>-103.33878556324825</v>
      </c>
      <c r="D599">
        <f t="shared" si="132"/>
        <v>-8</v>
      </c>
      <c r="E599">
        <f t="shared" si="132"/>
        <v>1.4649390600937977</v>
      </c>
      <c r="F599">
        <f t="shared" si="133"/>
        <v>-2.5</v>
      </c>
      <c r="G599">
        <f t="shared" si="134"/>
        <v>0.77653539489108048</v>
      </c>
      <c r="H599">
        <f t="shared" si="136"/>
        <v>-1.2</v>
      </c>
      <c r="I599">
        <f t="shared" si="136"/>
        <v>-0.59862402081966526</v>
      </c>
      <c r="J599">
        <f t="shared" si="128"/>
        <v>2002.75</v>
      </c>
      <c r="K599">
        <f t="shared" si="129"/>
        <v>-88</v>
      </c>
      <c r="L599">
        <f t="shared" si="130"/>
        <v>-159.80809716698201</v>
      </c>
      <c r="M599" s="5">
        <v>1929.75</v>
      </c>
      <c r="N599" s="5">
        <v>-30</v>
      </c>
      <c r="O599" s="5">
        <v>-158.50908913683099</v>
      </c>
      <c r="Q599">
        <f t="shared" si="135"/>
        <v>3.2765353948910807</v>
      </c>
      <c r="R599">
        <f t="shared" si="131"/>
        <v>15.338785563248251</v>
      </c>
    </row>
    <row r="600" spans="1:18" x14ac:dyDescent="0.25">
      <c r="A600">
        <f t="shared" si="126"/>
        <v>2002.8333333333301</v>
      </c>
      <c r="B600">
        <f t="shared" si="126"/>
        <v>-88</v>
      </c>
      <c r="C600">
        <f t="shared" si="127"/>
        <v>-115.42555898461583</v>
      </c>
      <c r="D600">
        <f t="shared" si="132"/>
        <v>-3</v>
      </c>
      <c r="E600">
        <f t="shared" si="132"/>
        <v>-2.5704939781842455</v>
      </c>
      <c r="F600">
        <f t="shared" si="133"/>
        <v>-6.166666666666667</v>
      </c>
      <c r="G600">
        <f t="shared" si="134"/>
        <v>-1.6353797499329024</v>
      </c>
      <c r="H600">
        <f t="shared" ref="H600:I615" si="137">+AVERAGE(F598:F602)</f>
        <v>-1.1666666666666667</v>
      </c>
      <c r="I600">
        <f t="shared" si="137"/>
        <v>-0.79894588783329101</v>
      </c>
      <c r="J600">
        <f t="shared" si="128"/>
        <v>2002.8333333333301</v>
      </c>
      <c r="K600">
        <f t="shared" si="129"/>
        <v>-88</v>
      </c>
      <c r="L600">
        <f t="shared" si="130"/>
        <v>-174.31178792034899</v>
      </c>
      <c r="M600" s="5">
        <v>1929.8333333333301</v>
      </c>
      <c r="N600" s="5">
        <v>-30</v>
      </c>
      <c r="O600" s="5">
        <v>-148.10377287299301</v>
      </c>
      <c r="Q600">
        <f t="shared" si="135"/>
        <v>4.5312869167337642</v>
      </c>
      <c r="R600">
        <f t="shared" si="131"/>
        <v>27.425558984615833</v>
      </c>
    </row>
    <row r="601" spans="1:18" x14ac:dyDescent="0.25">
      <c r="A601">
        <f t="shared" si="126"/>
        <v>2002.9166666666599</v>
      </c>
      <c r="B601">
        <f t="shared" si="126"/>
        <v>-82</v>
      </c>
      <c r="C601">
        <f t="shared" si="127"/>
        <v>-122.37134444961492</v>
      </c>
      <c r="D601">
        <f t="shared" si="132"/>
        <v>-7.5</v>
      </c>
      <c r="E601">
        <f t="shared" si="132"/>
        <v>-5.0271191441579361</v>
      </c>
      <c r="F601">
        <f t="shared" si="133"/>
        <v>0</v>
      </c>
      <c r="G601">
        <f t="shared" si="134"/>
        <v>-2.8676504604391542</v>
      </c>
      <c r="H601">
        <f t="shared" si="137"/>
        <v>-0.46666666666666679</v>
      </c>
      <c r="I601">
        <f t="shared" si="137"/>
        <v>-1.0123331509291824</v>
      </c>
      <c r="J601">
        <f t="shared" si="128"/>
        <v>2002.9166666666599</v>
      </c>
      <c r="K601">
        <f t="shared" si="129"/>
        <v>-82</v>
      </c>
      <c r="L601">
        <f t="shared" si="130"/>
        <v>-182.646479149481</v>
      </c>
      <c r="M601" s="5">
        <v>1929.9166666666599</v>
      </c>
      <c r="N601" s="5">
        <v>-30</v>
      </c>
      <c r="O601" s="5">
        <v>-130.14056585902901</v>
      </c>
      <c r="Q601">
        <f t="shared" si="135"/>
        <v>2.8676504604391542</v>
      </c>
      <c r="R601">
        <f t="shared" si="131"/>
        <v>40.371344449614924</v>
      </c>
    </row>
    <row r="602" spans="1:18" x14ac:dyDescent="0.25">
      <c r="A602">
        <f t="shared" si="126"/>
        <v>2003</v>
      </c>
      <c r="B602">
        <f t="shared" si="126"/>
        <v>-61</v>
      </c>
      <c r="C602">
        <f t="shared" si="127"/>
        <v>-119.26289162629814</v>
      </c>
      <c r="D602">
        <f t="shared" si="132"/>
        <v>10.5</v>
      </c>
      <c r="E602">
        <f t="shared" si="132"/>
        <v>-3.1560761043046455</v>
      </c>
      <c r="F602">
        <f t="shared" si="133"/>
        <v>2.8333333333333335</v>
      </c>
      <c r="G602">
        <f t="shared" si="134"/>
        <v>-1.6908921203197753</v>
      </c>
      <c r="H602">
        <f t="shared" si="137"/>
        <v>0.19999999999999998</v>
      </c>
      <c r="I602">
        <f t="shared" si="137"/>
        <v>-0.86507767738556285</v>
      </c>
      <c r="J602">
        <f t="shared" si="128"/>
        <v>2003</v>
      </c>
      <c r="K602">
        <f t="shared" si="129"/>
        <v>-61</v>
      </c>
      <c r="L602">
        <f t="shared" si="130"/>
        <v>-178.91644823890601</v>
      </c>
      <c r="M602" s="5">
        <v>1930</v>
      </c>
      <c r="N602" s="5">
        <v>-30</v>
      </c>
      <c r="O602" s="5">
        <v>-94.485791098122405</v>
      </c>
      <c r="Q602">
        <f t="shared" si="135"/>
        <v>4.5242254536531092</v>
      </c>
      <c r="R602">
        <f t="shared" si="131"/>
        <v>58.262891626298142</v>
      </c>
    </row>
    <row r="603" spans="1:18" x14ac:dyDescent="0.25">
      <c r="A603">
        <f t="shared" si="126"/>
        <v>2003.0833333333301</v>
      </c>
      <c r="B603">
        <f t="shared" si="126"/>
        <v>-61</v>
      </c>
      <c r="C603">
        <f t="shared" si="127"/>
        <v>-109.84228659437207</v>
      </c>
      <c r="D603">
        <f t="shared" si="132"/>
        <v>5.5</v>
      </c>
      <c r="E603">
        <f t="shared" si="132"/>
        <v>1.8423497972634237</v>
      </c>
      <c r="F603">
        <f t="shared" si="133"/>
        <v>3.5</v>
      </c>
      <c r="G603">
        <f t="shared" si="134"/>
        <v>0.35572118115483897</v>
      </c>
      <c r="H603">
        <f t="shared" si="137"/>
        <v>1.3333333333333335</v>
      </c>
      <c r="I603">
        <f t="shared" si="137"/>
        <v>-0.39673036193892369</v>
      </c>
      <c r="J603">
        <f t="shared" si="128"/>
        <v>2003.0833333333301</v>
      </c>
      <c r="K603">
        <f t="shared" si="129"/>
        <v>-61</v>
      </c>
      <c r="L603">
        <f t="shared" si="130"/>
        <v>-167.61206307924701</v>
      </c>
      <c r="M603" s="5">
        <v>1930.0833333333301</v>
      </c>
      <c r="N603" s="5">
        <v>-30</v>
      </c>
      <c r="O603" s="5">
        <v>-60.164447419536103</v>
      </c>
      <c r="Q603">
        <f t="shared" si="135"/>
        <v>3.1442788188451609</v>
      </c>
      <c r="R603">
        <f t="shared" si="131"/>
        <v>48.842286594372069</v>
      </c>
    </row>
    <row r="604" spans="1:18" x14ac:dyDescent="0.25">
      <c r="A604">
        <f t="shared" si="126"/>
        <v>2003.1666666666599</v>
      </c>
      <c r="B604">
        <f t="shared" si="126"/>
        <v>-72</v>
      </c>
      <c r="C604">
        <f t="shared" si="127"/>
        <v>-104.10638115697284</v>
      </c>
      <c r="D604">
        <f t="shared" si="132"/>
        <v>-5.5</v>
      </c>
      <c r="E604">
        <f t="shared" si="132"/>
        <v>2.6476807363718677</v>
      </c>
      <c r="F604">
        <f t="shared" si="133"/>
        <v>0.83333333333333337</v>
      </c>
      <c r="G604">
        <f t="shared" si="134"/>
        <v>1.5128127626091783</v>
      </c>
      <c r="H604">
        <f t="shared" si="137"/>
        <v>1.3333333333333335</v>
      </c>
      <c r="I604">
        <f t="shared" si="137"/>
        <v>-0.16155913668176625</v>
      </c>
      <c r="J604">
        <f t="shared" si="128"/>
        <v>2003.1666666666599</v>
      </c>
      <c r="K604">
        <f t="shared" si="129"/>
        <v>-72</v>
      </c>
      <c r="L604">
        <f t="shared" si="130"/>
        <v>-160.72918410448901</v>
      </c>
      <c r="M604" s="5">
        <v>1930.1666666666599</v>
      </c>
      <c r="N604" s="5">
        <v>-30</v>
      </c>
      <c r="O604" s="5">
        <v>-67.536418784140906</v>
      </c>
      <c r="Q604">
        <f t="shared" si="135"/>
        <v>0.67947942927584493</v>
      </c>
      <c r="R604">
        <f t="shared" si="131"/>
        <v>32.106381156972844</v>
      </c>
    </row>
    <row r="605" spans="1:18" x14ac:dyDescent="0.25">
      <c r="A605">
        <f t="shared" si="126"/>
        <v>2003.25</v>
      </c>
      <c r="B605">
        <f t="shared" si="126"/>
        <v>-72</v>
      </c>
      <c r="C605">
        <f t="shared" si="127"/>
        <v>-103.66583719231735</v>
      </c>
      <c r="D605">
        <f t="shared" si="132"/>
        <v>2.5</v>
      </c>
      <c r="E605">
        <f t="shared" si="132"/>
        <v>1.1830173261491268</v>
      </c>
      <c r="F605">
        <f t="shared" si="133"/>
        <v>-0.5</v>
      </c>
      <c r="G605">
        <f t="shared" si="134"/>
        <v>0.70635682730029437</v>
      </c>
      <c r="H605">
        <f t="shared" si="137"/>
        <v>9.9999999999999908E-2</v>
      </c>
      <c r="I605">
        <f t="shared" si="137"/>
        <v>-0.68831137407364318</v>
      </c>
      <c r="J605">
        <f t="shared" si="128"/>
        <v>2003.25</v>
      </c>
      <c r="K605">
        <f t="shared" si="129"/>
        <v>-72</v>
      </c>
      <c r="L605">
        <f t="shared" si="130"/>
        <v>-160.20054728770799</v>
      </c>
      <c r="M605" s="5">
        <v>1930.25</v>
      </c>
      <c r="N605" s="5">
        <v>-30</v>
      </c>
      <c r="O605" s="5">
        <v>-91.025918827656696</v>
      </c>
      <c r="Q605">
        <f t="shared" si="135"/>
        <v>1.2063568273002945</v>
      </c>
      <c r="R605">
        <f t="shared" si="131"/>
        <v>31.665837192317355</v>
      </c>
    </row>
    <row r="606" spans="1:18" x14ac:dyDescent="0.25">
      <c r="A606">
        <f t="shared" si="126"/>
        <v>2003.3333333333301</v>
      </c>
      <c r="B606">
        <f t="shared" si="126"/>
        <v>-77</v>
      </c>
      <c r="C606">
        <f t="shared" si="127"/>
        <v>-105.59132787996012</v>
      </c>
      <c r="D606">
        <f t="shared" si="132"/>
        <v>1.5</v>
      </c>
      <c r="E606">
        <f t="shared" si="132"/>
        <v>-1.1818599601448909</v>
      </c>
      <c r="F606">
        <f t="shared" si="133"/>
        <v>0</v>
      </c>
      <c r="G606">
        <f t="shared" si="134"/>
        <v>-1.6917943341533677</v>
      </c>
      <c r="H606">
        <f t="shared" si="137"/>
        <v>-1.1666666666666667</v>
      </c>
      <c r="I606">
        <f t="shared" si="137"/>
        <v>-1.7363371671814836</v>
      </c>
      <c r="J606">
        <f t="shared" si="128"/>
        <v>2003.3333333333301</v>
      </c>
      <c r="K606">
        <f t="shared" si="129"/>
        <v>-77</v>
      </c>
      <c r="L606">
        <f t="shared" si="130"/>
        <v>-162.511066440213</v>
      </c>
      <c r="M606" s="5">
        <v>1930.3333333333301</v>
      </c>
      <c r="N606" s="5">
        <v>-30</v>
      </c>
      <c r="O606" s="5">
        <v>-107.229855797779</v>
      </c>
      <c r="Q606">
        <f t="shared" si="135"/>
        <v>1.6917943341533677</v>
      </c>
      <c r="R606">
        <f t="shared" si="131"/>
        <v>28.591327879960119</v>
      </c>
    </row>
    <row r="607" spans="1:18" x14ac:dyDescent="0.25">
      <c r="A607">
        <f t="shared" si="126"/>
        <v>2003.4166666666599</v>
      </c>
      <c r="B607">
        <f t="shared" si="126"/>
        <v>-85</v>
      </c>
      <c r="C607">
        <f t="shared" si="127"/>
        <v>-105.1530986473131</v>
      </c>
      <c r="D607">
        <f t="shared" si="132"/>
        <v>-4</v>
      </c>
      <c r="E607">
        <f t="shared" si="132"/>
        <v>-6.3453861190793646</v>
      </c>
      <c r="F607">
        <f t="shared" si="133"/>
        <v>-3.3333333333333335</v>
      </c>
      <c r="G607">
        <f t="shared" si="134"/>
        <v>-4.32465330727916</v>
      </c>
      <c r="H607">
        <f t="shared" si="137"/>
        <v>-1.3333333333333335</v>
      </c>
      <c r="I607">
        <f t="shared" si="137"/>
        <v>-2.3985156807072991</v>
      </c>
      <c r="J607">
        <f t="shared" si="128"/>
        <v>2003.4166666666599</v>
      </c>
      <c r="K607">
        <f t="shared" si="129"/>
        <v>-85</v>
      </c>
      <c r="L607">
        <f t="shared" si="130"/>
        <v>-161.98520721808501</v>
      </c>
      <c r="M607" s="5">
        <v>1930.4166666666599</v>
      </c>
      <c r="N607" s="5">
        <v>-30</v>
      </c>
      <c r="O607" s="5">
        <v>-114.101227675053</v>
      </c>
      <c r="Q607">
        <f t="shared" si="135"/>
        <v>0.99131997394582649</v>
      </c>
      <c r="R607">
        <f t="shared" si="131"/>
        <v>20.153098647313101</v>
      </c>
    </row>
    <row r="608" spans="1:18" x14ac:dyDescent="0.25">
      <c r="A608">
        <f t="shared" si="126"/>
        <v>2003.5</v>
      </c>
      <c r="B608">
        <f t="shared" si="126"/>
        <v>-85</v>
      </c>
      <c r="C608">
        <f t="shared" si="127"/>
        <v>-92.024097176507368</v>
      </c>
      <c r="D608">
        <f t="shared" si="132"/>
        <v>-7.5</v>
      </c>
      <c r="E608">
        <f t="shared" si="132"/>
        <v>-8.6902038230725935</v>
      </c>
      <c r="F608">
        <f t="shared" si="133"/>
        <v>-2.8333333333333335</v>
      </c>
      <c r="G608">
        <f t="shared" si="134"/>
        <v>-4.8844077843843632</v>
      </c>
      <c r="H608">
        <f t="shared" si="137"/>
        <v>-0.86666666666666681</v>
      </c>
      <c r="I608">
        <f t="shared" si="137"/>
        <v>-2.0900881502487954</v>
      </c>
      <c r="J608">
        <f t="shared" si="128"/>
        <v>2003.5</v>
      </c>
      <c r="K608">
        <f t="shared" si="129"/>
        <v>-85</v>
      </c>
      <c r="L608">
        <f t="shared" si="130"/>
        <v>-146.23088051775699</v>
      </c>
      <c r="M608" s="5">
        <v>1930.5</v>
      </c>
      <c r="N608" s="5">
        <v>-30</v>
      </c>
      <c r="O608" s="5">
        <v>-105.376977322982</v>
      </c>
      <c r="Q608">
        <f t="shared" si="135"/>
        <v>2.0510744510510297</v>
      </c>
      <c r="R608">
        <f t="shared" si="131"/>
        <v>7.0240971765073681</v>
      </c>
    </row>
    <row r="609" spans="1:18" x14ac:dyDescent="0.25">
      <c r="A609">
        <f t="shared" si="126"/>
        <v>2003.5833333333301</v>
      </c>
      <c r="B609">
        <f t="shared" si="126"/>
        <v>-70</v>
      </c>
      <c r="C609">
        <f t="shared" si="127"/>
        <v>-61.514688059556448</v>
      </c>
      <c r="D609">
        <f t="shared" si="132"/>
        <v>3</v>
      </c>
      <c r="E609">
        <f t="shared" si="132"/>
        <v>-3.2809392492894034</v>
      </c>
      <c r="F609">
        <f t="shared" si="133"/>
        <v>0</v>
      </c>
      <c r="G609">
        <f t="shared" si="134"/>
        <v>-1.7980798050198996</v>
      </c>
      <c r="H609">
        <f t="shared" si="137"/>
        <v>-1.3333333333333335</v>
      </c>
      <c r="I609">
        <f t="shared" si="137"/>
        <v>-1.4336791919489953</v>
      </c>
      <c r="J609">
        <f t="shared" si="128"/>
        <v>2003.5833333333301</v>
      </c>
      <c r="K609">
        <f t="shared" si="129"/>
        <v>-70</v>
      </c>
      <c r="L609">
        <f t="shared" si="130"/>
        <v>-109.620693541145</v>
      </c>
      <c r="M609" s="5">
        <v>1930.5833333333301</v>
      </c>
      <c r="N609" s="5">
        <v>-30</v>
      </c>
      <c r="O609" s="5">
        <v>-88.507491106798994</v>
      </c>
      <c r="Q609">
        <f t="shared" si="135"/>
        <v>1.7980798050198996</v>
      </c>
      <c r="R609">
        <f t="shared" si="131"/>
        <v>8.4853119404435517</v>
      </c>
    </row>
    <row r="610" spans="1:18" x14ac:dyDescent="0.25">
      <c r="A610">
        <f t="shared" si="126"/>
        <v>2003.6666666666599</v>
      </c>
      <c r="B610">
        <f t="shared" si="126"/>
        <v>-61</v>
      </c>
      <c r="C610">
        <f t="shared" si="127"/>
        <v>-24.443400444026725</v>
      </c>
      <c r="D610">
        <f t="shared" si="132"/>
        <v>4.5</v>
      </c>
      <c r="E610">
        <f t="shared" si="132"/>
        <v>5.2283438035373742</v>
      </c>
      <c r="F610">
        <f t="shared" si="133"/>
        <v>1.8333333333333333</v>
      </c>
      <c r="G610">
        <f t="shared" si="134"/>
        <v>2.2484944795928121</v>
      </c>
      <c r="H610">
        <f t="shared" si="137"/>
        <v>-1.1000000000000001</v>
      </c>
      <c r="I610">
        <f t="shared" si="137"/>
        <v>-0.87925025792143807</v>
      </c>
      <c r="J610">
        <f t="shared" si="128"/>
        <v>2003.6666666666599</v>
      </c>
      <c r="K610">
        <f t="shared" si="129"/>
        <v>-61</v>
      </c>
      <c r="L610">
        <f t="shared" si="130"/>
        <v>-65.136489803673896</v>
      </c>
      <c r="M610" s="5">
        <v>1930.6666666666599</v>
      </c>
      <c r="N610" s="5">
        <v>-30</v>
      </c>
      <c r="O610" s="5">
        <v>-81.586195723273207</v>
      </c>
      <c r="Q610">
        <f t="shared" si="135"/>
        <v>0.41516114625947886</v>
      </c>
      <c r="R610">
        <f t="shared" si="131"/>
        <v>36.556599555973278</v>
      </c>
    </row>
    <row r="611" spans="1:18" x14ac:dyDescent="0.25">
      <c r="A611">
        <f t="shared" si="126"/>
        <v>2003.75</v>
      </c>
      <c r="B611">
        <f t="shared" si="126"/>
        <v>-61</v>
      </c>
      <c r="C611">
        <f t="shared" si="127"/>
        <v>2.1711995644282496</v>
      </c>
      <c r="D611">
        <f t="shared" si="132"/>
        <v>-2</v>
      </c>
      <c r="E611">
        <f t="shared" si="132"/>
        <v>6.4844497442250733</v>
      </c>
      <c r="F611">
        <f t="shared" si="133"/>
        <v>-2.3333333333333335</v>
      </c>
      <c r="G611">
        <f t="shared" si="134"/>
        <v>1.5902504573456333</v>
      </c>
      <c r="H611">
        <f t="shared" si="137"/>
        <v>-1.3</v>
      </c>
      <c r="I611">
        <f t="shared" si="137"/>
        <v>-6.9526903526265296E-2</v>
      </c>
      <c r="J611">
        <f t="shared" si="128"/>
        <v>2003.75</v>
      </c>
      <c r="K611">
        <f t="shared" si="129"/>
        <v>-61</v>
      </c>
      <c r="L611">
        <f t="shared" si="130"/>
        <v>-33.199932826045597</v>
      </c>
      <c r="M611" s="5">
        <v>1930.75</v>
      </c>
      <c r="N611" s="5">
        <v>-30</v>
      </c>
      <c r="O611" s="5">
        <v>-84.540595636512506</v>
      </c>
      <c r="Q611">
        <f t="shared" si="135"/>
        <v>3.9235837906789666</v>
      </c>
      <c r="R611">
        <f t="shared" si="131"/>
        <v>63.17119956442825</v>
      </c>
    </row>
    <row r="612" spans="1:18" x14ac:dyDescent="0.25">
      <c r="A612">
        <f t="shared" si="126"/>
        <v>2003.8333333333301</v>
      </c>
      <c r="B612">
        <f t="shared" si="126"/>
        <v>-57</v>
      </c>
      <c r="C612">
        <f t="shared" si="127"/>
        <v>15.816900084433078</v>
      </c>
      <c r="D612">
        <f t="shared" si="132"/>
        <v>-9.5</v>
      </c>
      <c r="E612">
        <f t="shared" si="132"/>
        <v>-5.7493543327163241</v>
      </c>
      <c r="F612">
        <f t="shared" si="133"/>
        <v>-2.1666666666666665</v>
      </c>
      <c r="G612">
        <f t="shared" si="134"/>
        <v>-1.5525086371413739</v>
      </c>
      <c r="H612">
        <f t="shared" si="137"/>
        <v>-1.2666666666666666</v>
      </c>
      <c r="I612">
        <f t="shared" si="137"/>
        <v>0.93360888106784046</v>
      </c>
      <c r="J612">
        <f t="shared" si="128"/>
        <v>2003.8333333333301</v>
      </c>
      <c r="K612">
        <f t="shared" si="129"/>
        <v>-57</v>
      </c>
      <c r="L612">
        <f t="shared" si="130"/>
        <v>-16.825585963107901</v>
      </c>
      <c r="M612" s="5">
        <v>1930.8333333333301</v>
      </c>
      <c r="N612" s="5">
        <v>-30</v>
      </c>
      <c r="O612" s="5">
        <v>-89.208265237747895</v>
      </c>
      <c r="Q612">
        <f t="shared" si="135"/>
        <v>0.61415802952529264</v>
      </c>
      <c r="R612">
        <f t="shared" si="131"/>
        <v>72.816900084433072</v>
      </c>
    </row>
    <row r="613" spans="1:18" x14ac:dyDescent="0.25">
      <c r="A613">
        <f t="shared" si="126"/>
        <v>2003.9166666666599</v>
      </c>
      <c r="B613">
        <f t="shared" si="126"/>
        <v>-34</v>
      </c>
      <c r="C613">
        <f t="shared" si="127"/>
        <v>40.961309269870554</v>
      </c>
      <c r="D613">
        <f t="shared" si="132"/>
        <v>5</v>
      </c>
      <c r="E613">
        <f t="shared" si="132"/>
        <v>-6.5570028007889007</v>
      </c>
      <c r="F613">
        <f t="shared" si="133"/>
        <v>-3.8333333333333335</v>
      </c>
      <c r="G613">
        <f t="shared" si="134"/>
        <v>-0.83579101240849862</v>
      </c>
      <c r="H613">
        <f t="shared" si="137"/>
        <v>-1.2000000000000004</v>
      </c>
      <c r="I613">
        <f t="shared" si="137"/>
        <v>1.7385867120678633</v>
      </c>
      <c r="J613">
        <f t="shared" si="128"/>
        <v>2003.9166666666599</v>
      </c>
      <c r="K613">
        <f t="shared" si="129"/>
        <v>-34</v>
      </c>
      <c r="L613">
        <f t="shared" si="130"/>
        <v>13.346795224827201</v>
      </c>
      <c r="M613" s="5">
        <v>1930.9166666666599</v>
      </c>
      <c r="N613" s="5">
        <v>-30</v>
      </c>
      <c r="O613" s="5">
        <v>-82.101561283830705</v>
      </c>
      <c r="Q613">
        <f t="shared" si="135"/>
        <v>2.9975423209248349</v>
      </c>
      <c r="R613">
        <f t="shared" si="131"/>
        <v>74.961309269870554</v>
      </c>
    </row>
    <row r="614" spans="1:18" x14ac:dyDescent="0.25">
      <c r="A614">
        <f t="shared" si="126"/>
        <v>2004</v>
      </c>
      <c r="B614">
        <f t="shared" si="126"/>
        <v>-21</v>
      </c>
      <c r="C614">
        <f t="shared" si="127"/>
        <v>79.219724056885838</v>
      </c>
      <c r="D614">
        <f t="shared" si="132"/>
        <v>-7</v>
      </c>
      <c r="E614">
        <f t="shared" si="132"/>
        <v>9.1721408369733552</v>
      </c>
      <c r="F614">
        <f t="shared" si="133"/>
        <v>0.16666666666666666</v>
      </c>
      <c r="G614">
        <f t="shared" si="134"/>
        <v>3.21759911795063</v>
      </c>
      <c r="H614">
        <f t="shared" si="137"/>
        <v>0.16666666666666669</v>
      </c>
      <c r="I614">
        <f t="shared" si="137"/>
        <v>2.8957573993405878</v>
      </c>
      <c r="J614">
        <f t="shared" si="128"/>
        <v>2004</v>
      </c>
      <c r="K614">
        <f t="shared" si="129"/>
        <v>-21</v>
      </c>
      <c r="L614">
        <f t="shared" si="130"/>
        <v>59.255508612632902</v>
      </c>
      <c r="M614" s="5">
        <v>1931</v>
      </c>
      <c r="N614" s="5">
        <v>-30</v>
      </c>
      <c r="O614" s="5">
        <v>-55.095067447658401</v>
      </c>
      <c r="Q614">
        <f t="shared" si="135"/>
        <v>3.0509324512839635</v>
      </c>
      <c r="R614">
        <f t="shared" si="131"/>
        <v>100.21972405688584</v>
      </c>
    </row>
    <row r="615" spans="1:18" x14ac:dyDescent="0.25">
      <c r="A615">
        <f t="shared" si="126"/>
        <v>2004.0833333333301</v>
      </c>
      <c r="B615">
        <f t="shared" si="126"/>
        <v>6</v>
      </c>
      <c r="C615">
        <f t="shared" si="127"/>
        <v>99.13385716995441</v>
      </c>
      <c r="D615">
        <f t="shared" si="132"/>
        <v>2.5</v>
      </c>
      <c r="E615">
        <f t="shared" si="132"/>
        <v>9.4508586561304071</v>
      </c>
      <c r="F615">
        <f t="shared" si="133"/>
        <v>2.1666666666666665</v>
      </c>
      <c r="G615">
        <f t="shared" si="134"/>
        <v>6.2733836345929266</v>
      </c>
      <c r="H615">
        <f t="shared" si="137"/>
        <v>2.4</v>
      </c>
      <c r="I615">
        <f t="shared" si="137"/>
        <v>5.3026080196691243</v>
      </c>
      <c r="J615">
        <f t="shared" si="128"/>
        <v>2004.0833333333301</v>
      </c>
      <c r="K615">
        <f t="shared" si="129"/>
        <v>6</v>
      </c>
      <c r="L615">
        <f t="shared" si="130"/>
        <v>83.151747767966697</v>
      </c>
      <c r="M615" s="5">
        <v>1931.0833333333301</v>
      </c>
      <c r="N615" s="5">
        <v>-30</v>
      </c>
      <c r="O615" s="5">
        <v>-33.291262332406099</v>
      </c>
      <c r="Q615">
        <f t="shared" si="135"/>
        <v>4.1067169679262605</v>
      </c>
      <c r="R615">
        <f t="shared" si="131"/>
        <v>93.13385716995441</v>
      </c>
    </row>
    <row r="616" spans="1:18" x14ac:dyDescent="0.25">
      <c r="A616">
        <f t="shared" si="126"/>
        <v>2004.1666666666599</v>
      </c>
      <c r="B616">
        <f t="shared" si="126"/>
        <v>28</v>
      </c>
      <c r="C616">
        <f t="shared" si="127"/>
        <v>100.14627297076217</v>
      </c>
      <c r="D616">
        <f t="shared" si="132"/>
        <v>11</v>
      </c>
      <c r="E616">
        <f t="shared" si="132"/>
        <v>4.902189136619711</v>
      </c>
      <c r="F616">
        <f t="shared" si="133"/>
        <v>4.5</v>
      </c>
      <c r="G616">
        <f t="shared" si="134"/>
        <v>7.3761038937092556</v>
      </c>
      <c r="H616">
        <f t="shared" ref="H616:I631" si="138">+AVERAGE(F614:F618)</f>
        <v>5.333333333333333</v>
      </c>
      <c r="I616">
        <f t="shared" si="138"/>
        <v>6.3907439371935544</v>
      </c>
      <c r="J616">
        <f t="shared" si="128"/>
        <v>2004.1666666666599</v>
      </c>
      <c r="K616">
        <f t="shared" si="129"/>
        <v>28</v>
      </c>
      <c r="L616">
        <f t="shared" si="130"/>
        <v>84.366610095308701</v>
      </c>
      <c r="M616" s="5">
        <v>1931.1666666666599</v>
      </c>
      <c r="N616" s="5">
        <v>-30</v>
      </c>
      <c r="O616" s="5">
        <v>-35.018713658987998</v>
      </c>
      <c r="Q616">
        <f t="shared" si="135"/>
        <v>2.8761038937092556</v>
      </c>
      <c r="R616">
        <f t="shared" si="131"/>
        <v>72.146272970762169</v>
      </c>
    </row>
    <row r="617" spans="1:18" x14ac:dyDescent="0.25">
      <c r="A617">
        <f t="shared" si="126"/>
        <v>2004.25</v>
      </c>
      <c r="B617">
        <f t="shared" si="126"/>
        <v>28</v>
      </c>
      <c r="C617">
        <f t="shared" si="127"/>
        <v>91.354310498330506</v>
      </c>
      <c r="D617">
        <f t="shared" si="132"/>
        <v>0</v>
      </c>
      <c r="E617">
        <f t="shared" si="132"/>
        <v>13.307341808659586</v>
      </c>
      <c r="F617">
        <f t="shared" si="133"/>
        <v>9</v>
      </c>
      <c r="G617">
        <f t="shared" si="134"/>
        <v>10.481744464501309</v>
      </c>
      <c r="H617">
        <f t="shared" si="138"/>
        <v>5.3</v>
      </c>
      <c r="I617">
        <f t="shared" si="138"/>
        <v>5.262138358603571</v>
      </c>
      <c r="J617">
        <f t="shared" si="128"/>
        <v>2004.25</v>
      </c>
      <c r="K617">
        <f t="shared" si="129"/>
        <v>28</v>
      </c>
      <c r="L617">
        <f t="shared" si="130"/>
        <v>73.816573260008397</v>
      </c>
      <c r="M617" s="5">
        <v>1931.25</v>
      </c>
      <c r="N617" s="5">
        <v>-30</v>
      </c>
      <c r="O617" s="5">
        <v>-47.396496740659103</v>
      </c>
      <c r="Q617">
        <f t="shared" si="135"/>
        <v>1.4817444645013094</v>
      </c>
      <c r="R617">
        <f t="shared" si="131"/>
        <v>63.354310498330506</v>
      </c>
    </row>
    <row r="618" spans="1:18" x14ac:dyDescent="0.25">
      <c r="A618">
        <f t="shared" si="126"/>
        <v>2004.3333333333301</v>
      </c>
      <c r="B618">
        <f t="shared" si="126"/>
        <v>28</v>
      </c>
      <c r="C618">
        <f t="shared" si="127"/>
        <v>55.947664408579669</v>
      </c>
      <c r="D618">
        <f t="shared" si="132"/>
        <v>16</v>
      </c>
      <c r="E618">
        <f t="shared" si="132"/>
        <v>21.097010796600607</v>
      </c>
      <c r="F618">
        <f t="shared" si="133"/>
        <v>10.833333333333334</v>
      </c>
      <c r="G618">
        <f t="shared" si="134"/>
        <v>4.6048885752136535</v>
      </c>
      <c r="H618">
        <f t="shared" si="138"/>
        <v>3.6333333333333337</v>
      </c>
      <c r="I618">
        <f t="shared" si="138"/>
        <v>2.0285497753032247</v>
      </c>
      <c r="J618">
        <f t="shared" si="128"/>
        <v>2004.3333333333301</v>
      </c>
      <c r="K618">
        <f t="shared" si="129"/>
        <v>28</v>
      </c>
      <c r="L618">
        <f t="shared" si="130"/>
        <v>31.329879119468099</v>
      </c>
      <c r="M618" s="5">
        <v>1931.3333333333301</v>
      </c>
      <c r="N618" s="5">
        <v>-30</v>
      </c>
      <c r="O618" s="5">
        <v>-78.647689008644505</v>
      </c>
      <c r="Q618">
        <f t="shared" si="135"/>
        <v>6.2284447581196805</v>
      </c>
      <c r="R618">
        <f t="shared" si="131"/>
        <v>27.947664408579669</v>
      </c>
    </row>
    <row r="619" spans="1:18" x14ac:dyDescent="0.25">
      <c r="A619">
        <f t="shared" si="126"/>
        <v>2004.4166666666599</v>
      </c>
      <c r="B619">
        <f t="shared" si="126"/>
        <v>-4</v>
      </c>
      <c r="C619">
        <f t="shared" si="127"/>
        <v>-21.653003274372384</v>
      </c>
      <c r="D619">
        <f t="shared" si="132"/>
        <v>16.5</v>
      </c>
      <c r="E619">
        <f t="shared" si="132"/>
        <v>-17.136020448208992</v>
      </c>
      <c r="F619">
        <f t="shared" si="133"/>
        <v>0</v>
      </c>
      <c r="G619">
        <f t="shared" si="134"/>
        <v>-2.4254287749992889</v>
      </c>
      <c r="H619">
        <f t="shared" si="138"/>
        <v>0.56666666666666676</v>
      </c>
      <c r="I619">
        <f t="shared" si="138"/>
        <v>-0.60264232350333613</v>
      </c>
      <c r="J619">
        <f t="shared" si="128"/>
        <v>2004.4166666666599</v>
      </c>
      <c r="K619">
        <f t="shared" si="129"/>
        <v>-4</v>
      </c>
      <c r="L619">
        <f t="shared" si="130"/>
        <v>-61.788114168850598</v>
      </c>
      <c r="M619" s="5">
        <v>1931.4166666666599</v>
      </c>
      <c r="N619" s="5">
        <v>-30</v>
      </c>
      <c r="O619" s="5">
        <v>-112.872743174566</v>
      </c>
      <c r="Q619">
        <f t="shared" si="135"/>
        <v>2.4254287749992889</v>
      </c>
      <c r="R619">
        <f t="shared" si="131"/>
        <v>17.653003274372384</v>
      </c>
    </row>
    <row r="620" spans="1:18" x14ac:dyDescent="0.25">
      <c r="A620">
        <f t="shared" si="126"/>
        <v>2004.5</v>
      </c>
      <c r="B620">
        <f t="shared" si="126"/>
        <v>-69</v>
      </c>
      <c r="C620">
        <f t="shared" si="127"/>
        <v>-64.981630060906454</v>
      </c>
      <c r="D620">
        <f t="shared" si="132"/>
        <v>-32.5</v>
      </c>
      <c r="E620">
        <f t="shared" si="132"/>
        <v>-13.056348254638948</v>
      </c>
      <c r="F620">
        <f t="shared" si="133"/>
        <v>-6.166666666666667</v>
      </c>
      <c r="G620">
        <f t="shared" si="134"/>
        <v>-9.8945592819088048</v>
      </c>
      <c r="H620">
        <f t="shared" si="138"/>
        <v>-1.1333333333333333</v>
      </c>
      <c r="I620">
        <f t="shared" si="138"/>
        <v>-3.0021946442523797</v>
      </c>
      <c r="J620">
        <f t="shared" si="128"/>
        <v>2004.5</v>
      </c>
      <c r="K620">
        <f t="shared" si="129"/>
        <v>-69</v>
      </c>
      <c r="L620">
        <f t="shared" si="130"/>
        <v>-113.780898493655</v>
      </c>
      <c r="M620" s="5">
        <v>1931.5</v>
      </c>
      <c r="N620" s="5">
        <v>-30</v>
      </c>
      <c r="O620" s="5">
        <v>-127.62094163940399</v>
      </c>
      <c r="Q620">
        <f t="shared" si="135"/>
        <v>3.7278926152421379</v>
      </c>
      <c r="R620">
        <f t="shared" si="131"/>
        <v>4.0183699390935459</v>
      </c>
    </row>
    <row r="621" spans="1:18" x14ac:dyDescent="0.25">
      <c r="A621">
        <f t="shared" si="126"/>
        <v>2004.5833333333301</v>
      </c>
      <c r="B621">
        <f t="shared" si="126"/>
        <v>-69</v>
      </c>
      <c r="C621">
        <f t="shared" si="127"/>
        <v>-82.197560338162631</v>
      </c>
      <c r="D621">
        <f t="shared" si="132"/>
        <v>-2.5</v>
      </c>
      <c r="E621">
        <f t="shared" si="132"/>
        <v>-6.9122286043100729</v>
      </c>
      <c r="F621">
        <f t="shared" si="133"/>
        <v>-10.833333333333334</v>
      </c>
      <c r="G621">
        <f t="shared" si="134"/>
        <v>-5.7798566003235505</v>
      </c>
      <c r="H621">
        <f t="shared" si="138"/>
        <v>-2.2999999999999998</v>
      </c>
      <c r="I621">
        <f t="shared" si="138"/>
        <v>-3.8861238463897907</v>
      </c>
      <c r="J621">
        <f t="shared" si="128"/>
        <v>2004.5833333333301</v>
      </c>
      <c r="K621">
        <f t="shared" si="129"/>
        <v>-69</v>
      </c>
      <c r="L621">
        <f t="shared" si="130"/>
        <v>-134.439391878782</v>
      </c>
      <c r="M621" s="5">
        <v>1931.5833333333301</v>
      </c>
      <c r="N621" s="5">
        <v>-30</v>
      </c>
      <c r="O621" s="5">
        <v>-125.36387152471001</v>
      </c>
      <c r="Q621">
        <f t="shared" si="135"/>
        <v>5.0534767330097834</v>
      </c>
      <c r="R621">
        <f t="shared" si="131"/>
        <v>13.197560338162631</v>
      </c>
    </row>
    <row r="622" spans="1:18" x14ac:dyDescent="0.25">
      <c r="A622">
        <f t="shared" si="126"/>
        <v>2004.6666666666599</v>
      </c>
      <c r="B622">
        <f t="shared" si="126"/>
        <v>-64</v>
      </c>
      <c r="C622">
        <f t="shared" si="127"/>
        <v>-85.589033406798677</v>
      </c>
      <c r="D622">
        <f t="shared" si="132"/>
        <v>2.5</v>
      </c>
      <c r="E622">
        <f t="shared" si="132"/>
        <v>-1.7058853922642925</v>
      </c>
      <c r="F622">
        <f t="shared" si="133"/>
        <v>0.5</v>
      </c>
      <c r="G622">
        <f t="shared" si="134"/>
        <v>-1.5160171392439075</v>
      </c>
      <c r="H622">
        <f t="shared" si="138"/>
        <v>-3.1333333333333337</v>
      </c>
      <c r="I622">
        <f t="shared" si="138"/>
        <v>-3.4628546871010206</v>
      </c>
      <c r="J622">
        <f t="shared" si="128"/>
        <v>2004.6666666666599</v>
      </c>
      <c r="K622">
        <f t="shared" si="129"/>
        <v>-64</v>
      </c>
      <c r="L622">
        <f t="shared" si="130"/>
        <v>-138.50903684283099</v>
      </c>
      <c r="M622" s="5">
        <v>1931.6666666666599</v>
      </c>
      <c r="N622" s="5">
        <v>-30</v>
      </c>
      <c r="O622" s="5">
        <v>-117.42166524426</v>
      </c>
      <c r="Q622">
        <f t="shared" si="135"/>
        <v>2.0160171392439077</v>
      </c>
      <c r="R622">
        <f t="shared" si="131"/>
        <v>21.589033406798677</v>
      </c>
    </row>
    <row r="623" spans="1:18" x14ac:dyDescent="0.25">
      <c r="A623">
        <f t="shared" si="126"/>
        <v>2004.75</v>
      </c>
      <c r="B623">
        <f t="shared" si="126"/>
        <v>-64</v>
      </c>
      <c r="C623">
        <f t="shared" si="127"/>
        <v>-85.568735690906138</v>
      </c>
      <c r="D623">
        <f t="shared" si="132"/>
        <v>1.5</v>
      </c>
      <c r="E623">
        <f t="shared" si="132"/>
        <v>2.9330497244097131</v>
      </c>
      <c r="F623">
        <f t="shared" si="133"/>
        <v>5</v>
      </c>
      <c r="G623">
        <f t="shared" si="134"/>
        <v>0.1852425645265991</v>
      </c>
      <c r="H623">
        <f t="shared" si="138"/>
        <v>-2.4333333333333331</v>
      </c>
      <c r="I623">
        <f t="shared" si="138"/>
        <v>-1.7099896394130127</v>
      </c>
      <c r="J623">
        <f t="shared" si="128"/>
        <v>2004.75</v>
      </c>
      <c r="K623">
        <f t="shared" si="129"/>
        <v>-64</v>
      </c>
      <c r="L623">
        <f t="shared" si="130"/>
        <v>-138.48468031822</v>
      </c>
      <c r="M623" s="5">
        <v>1931.75</v>
      </c>
      <c r="N623" s="5">
        <v>-30</v>
      </c>
      <c r="O623" s="5">
        <v>-122.44847463864301</v>
      </c>
      <c r="Q623">
        <f t="shared" si="135"/>
        <v>4.8147574354734006</v>
      </c>
      <c r="R623">
        <f t="shared" si="131"/>
        <v>21.568735690906138</v>
      </c>
    </row>
    <row r="624" spans="1:18" x14ac:dyDescent="0.25">
      <c r="A624">
        <f t="shared" si="126"/>
        <v>2004.8333333333301</v>
      </c>
      <c r="B624">
        <f t="shared" si="126"/>
        <v>-67</v>
      </c>
      <c r="C624">
        <f t="shared" si="127"/>
        <v>-91.414537423833011</v>
      </c>
      <c r="D624">
        <f t="shared" si="132"/>
        <v>11</v>
      </c>
      <c r="E624">
        <f t="shared" si="132"/>
        <v>-0.5325047151706741</v>
      </c>
      <c r="F624">
        <f t="shared" si="133"/>
        <v>-4.166666666666667</v>
      </c>
      <c r="G624">
        <f t="shared" si="134"/>
        <v>-0.30908297855543959</v>
      </c>
      <c r="H624">
        <f t="shared" si="138"/>
        <v>-1.1000000000000001</v>
      </c>
      <c r="I624">
        <f t="shared" si="138"/>
        <v>-0.63768272892401912</v>
      </c>
      <c r="J624">
        <f t="shared" si="128"/>
        <v>2004.8333333333301</v>
      </c>
      <c r="K624">
        <f t="shared" si="129"/>
        <v>-67</v>
      </c>
      <c r="L624">
        <f t="shared" si="130"/>
        <v>-145.49943087108301</v>
      </c>
      <c r="M624" s="5">
        <v>1931.8333333333301</v>
      </c>
      <c r="N624" s="5">
        <v>-30</v>
      </c>
      <c r="O624" s="5">
        <v>-144.20255894492399</v>
      </c>
      <c r="Q624">
        <f t="shared" si="135"/>
        <v>3.8575836881112275</v>
      </c>
      <c r="R624">
        <f t="shared" si="131"/>
        <v>24.414537423833011</v>
      </c>
    </row>
    <row r="625" spans="1:18" x14ac:dyDescent="0.25">
      <c r="A625">
        <f t="shared" si="126"/>
        <v>2004.9166666666599</v>
      </c>
      <c r="B625">
        <f t="shared" si="126"/>
        <v>-92</v>
      </c>
      <c r="C625">
        <f t="shared" si="127"/>
        <v>-96.195329726418521</v>
      </c>
      <c r="D625">
        <f t="shared" si="132"/>
        <v>-25</v>
      </c>
      <c r="E625">
        <f t="shared" si="132"/>
        <v>-3.5596061788219373</v>
      </c>
      <c r="F625">
        <f t="shared" si="133"/>
        <v>-2.6666666666666665</v>
      </c>
      <c r="G625">
        <f t="shared" si="134"/>
        <v>-1.1302340434687645</v>
      </c>
      <c r="H625">
        <f t="shared" si="138"/>
        <v>-0.2</v>
      </c>
      <c r="I625">
        <f t="shared" si="138"/>
        <v>-6.4720596958809426E-2</v>
      </c>
      <c r="J625">
        <f t="shared" si="128"/>
        <v>2004.9166666666599</v>
      </c>
      <c r="K625">
        <f t="shared" si="129"/>
        <v>-92</v>
      </c>
      <c r="L625">
        <f t="shared" si="130"/>
        <v>-151.236208644231</v>
      </c>
      <c r="M625" s="5">
        <v>1931.9166666666599</v>
      </c>
      <c r="N625" s="5">
        <v>-30</v>
      </c>
      <c r="O625" s="5">
        <v>-158.861543619998</v>
      </c>
      <c r="Q625">
        <f t="shared" si="135"/>
        <v>1.536432623197902</v>
      </c>
      <c r="R625">
        <f t="shared" si="131"/>
        <v>4.195329726418521</v>
      </c>
    </row>
    <row r="626" spans="1:18" x14ac:dyDescent="0.25">
      <c r="A626">
        <f t="shared" si="126"/>
        <v>2005</v>
      </c>
      <c r="B626">
        <f t="shared" si="126"/>
        <v>-67</v>
      </c>
      <c r="C626">
        <f t="shared" si="127"/>
        <v>-93.856909671360157</v>
      </c>
      <c r="D626">
        <f t="shared" si="132"/>
        <v>6</v>
      </c>
      <c r="E626">
        <f t="shared" si="132"/>
        <v>-0.1462667690152557</v>
      </c>
      <c r="F626">
        <f t="shared" si="133"/>
        <v>-4.166666666666667</v>
      </c>
      <c r="G626">
        <f t="shared" si="134"/>
        <v>-0.41832204787858318</v>
      </c>
      <c r="H626">
        <f t="shared" si="138"/>
        <v>0.7</v>
      </c>
      <c r="I626">
        <f t="shared" si="138"/>
        <v>0.34437541233896207</v>
      </c>
      <c r="J626">
        <f t="shared" si="128"/>
        <v>2005</v>
      </c>
      <c r="K626">
        <f t="shared" si="129"/>
        <v>-67</v>
      </c>
      <c r="L626">
        <f t="shared" si="130"/>
        <v>-148.43018919241601</v>
      </c>
      <c r="M626" s="5">
        <v>1932</v>
      </c>
      <c r="N626" s="5">
        <v>-30</v>
      </c>
      <c r="O626" s="5">
        <v>-159.07358099227301</v>
      </c>
      <c r="Q626">
        <f t="shared" si="135"/>
        <v>3.7483446187880838</v>
      </c>
      <c r="R626">
        <f t="shared" si="131"/>
        <v>26.856909671360157</v>
      </c>
    </row>
    <row r="627" spans="1:18" x14ac:dyDescent="0.25">
      <c r="A627">
        <f t="shared" si="126"/>
        <v>2005.0833333333301</v>
      </c>
      <c r="B627">
        <f t="shared" si="126"/>
        <v>-54</v>
      </c>
      <c r="C627">
        <f t="shared" si="127"/>
        <v>-91.225956078271281</v>
      </c>
      <c r="D627">
        <f t="shared" si="132"/>
        <v>6.5</v>
      </c>
      <c r="E627">
        <f t="shared" si="132"/>
        <v>2.137165268292506</v>
      </c>
      <c r="F627">
        <f t="shared" si="133"/>
        <v>5</v>
      </c>
      <c r="G627">
        <f t="shared" si="134"/>
        <v>1.3487935205821411</v>
      </c>
      <c r="H627">
        <f t="shared" si="138"/>
        <v>0.7666666666666665</v>
      </c>
      <c r="I627">
        <f t="shared" si="138"/>
        <v>0.63179632670689523</v>
      </c>
      <c r="J627">
        <f t="shared" si="128"/>
        <v>2005.0833333333301</v>
      </c>
      <c r="K627">
        <f t="shared" si="129"/>
        <v>-54</v>
      </c>
      <c r="L627">
        <f t="shared" si="130"/>
        <v>-145.273140080106</v>
      </c>
      <c r="M627" s="5">
        <v>1932.0833333333301</v>
      </c>
      <c r="N627" s="5">
        <v>-30</v>
      </c>
      <c r="O627" s="5">
        <v>-155.451118548517</v>
      </c>
      <c r="Q627">
        <f t="shared" si="135"/>
        <v>3.6512064794178589</v>
      </c>
      <c r="R627">
        <f t="shared" si="131"/>
        <v>37.225956078271281</v>
      </c>
    </row>
    <row r="628" spans="1:18" x14ac:dyDescent="0.25">
      <c r="A628">
        <f t="shared" si="126"/>
        <v>2005.1666666666599</v>
      </c>
      <c r="B628">
        <f t="shared" si="126"/>
        <v>-54</v>
      </c>
      <c r="C628">
        <f t="shared" si="127"/>
        <v>-92.869333021767417</v>
      </c>
      <c r="D628">
        <f t="shared" si="132"/>
        <v>2.5</v>
      </c>
      <c r="E628">
        <f t="shared" si="132"/>
        <v>3.0670772029057787</v>
      </c>
      <c r="F628">
        <f t="shared" si="133"/>
        <v>9.5</v>
      </c>
      <c r="G628">
        <f t="shared" si="134"/>
        <v>2.2307226110154565</v>
      </c>
      <c r="H628">
        <f t="shared" si="138"/>
        <v>1.1333333333333331</v>
      </c>
      <c r="I628">
        <f t="shared" si="138"/>
        <v>0.63811167696758953</v>
      </c>
      <c r="J628">
        <f t="shared" si="128"/>
        <v>2005.1666666666599</v>
      </c>
      <c r="K628">
        <f t="shared" si="129"/>
        <v>-54</v>
      </c>
      <c r="L628">
        <f t="shared" si="130"/>
        <v>-147.245132947743</v>
      </c>
      <c r="M628" s="5">
        <v>1932.1666666666599</v>
      </c>
      <c r="N628" s="5">
        <v>-30</v>
      </c>
      <c r="O628" s="5">
        <v>-154.510240237029</v>
      </c>
      <c r="Q628">
        <f t="shared" si="135"/>
        <v>7.269277388984543</v>
      </c>
      <c r="R628">
        <f t="shared" si="131"/>
        <v>38.869333021767417</v>
      </c>
    </row>
    <row r="629" spans="1:18" x14ac:dyDescent="0.25">
      <c r="A629">
        <f t="shared" si="126"/>
        <v>2005.25</v>
      </c>
      <c r="B629">
        <f t="shared" si="126"/>
        <v>-59</v>
      </c>
      <c r="C629">
        <f t="shared" si="127"/>
        <v>-100.64686437107511</v>
      </c>
      <c r="D629">
        <f t="shared" si="132"/>
        <v>19.5</v>
      </c>
      <c r="E629">
        <f t="shared" si="132"/>
        <v>3.1609673201096768</v>
      </c>
      <c r="F629">
        <f t="shared" si="133"/>
        <v>-3.8333333333333335</v>
      </c>
      <c r="G629">
        <f t="shared" si="134"/>
        <v>1.1280215932842264</v>
      </c>
      <c r="H629">
        <f t="shared" si="138"/>
        <v>0.3333333333333332</v>
      </c>
      <c r="I629">
        <f t="shared" si="138"/>
        <v>4.6459721846804226E-2</v>
      </c>
      <c r="J629">
        <f t="shared" si="128"/>
        <v>2005.25</v>
      </c>
      <c r="K629">
        <f t="shared" si="129"/>
        <v>-59</v>
      </c>
      <c r="L629">
        <f t="shared" si="130"/>
        <v>-156.57788914184499</v>
      </c>
      <c r="M629" s="5">
        <v>1932.25</v>
      </c>
      <c r="N629" s="5">
        <v>-30</v>
      </c>
      <c r="O629" s="5">
        <v>-156.83231089337801</v>
      </c>
      <c r="Q629">
        <f t="shared" si="135"/>
        <v>4.9613549266175596</v>
      </c>
      <c r="R629">
        <f t="shared" si="131"/>
        <v>41.646864371075111</v>
      </c>
    </row>
    <row r="630" spans="1:18" x14ac:dyDescent="0.25">
      <c r="A630">
        <f t="shared" si="126"/>
        <v>2005.3333333333301</v>
      </c>
      <c r="B630">
        <f t="shared" si="126"/>
        <v>-103</v>
      </c>
      <c r="C630">
        <f t="shared" si="127"/>
        <v>-114.74633036060214</v>
      </c>
      <c r="D630">
        <f t="shared" si="132"/>
        <v>-33.5</v>
      </c>
      <c r="E630">
        <f t="shared" si="132"/>
        <v>-1.997963548199607</v>
      </c>
      <c r="F630">
        <f t="shared" si="133"/>
        <v>-0.83333333333333337</v>
      </c>
      <c r="G630">
        <f t="shared" si="134"/>
        <v>-1.0986572921652928</v>
      </c>
      <c r="H630">
        <f t="shared" si="138"/>
        <v>6.6666666666666693E-2</v>
      </c>
      <c r="I630">
        <f t="shared" si="138"/>
        <v>-1.0287800724910183</v>
      </c>
      <c r="J630">
        <f t="shared" si="128"/>
        <v>2005.3333333333301</v>
      </c>
      <c r="K630">
        <f t="shared" si="129"/>
        <v>-103</v>
      </c>
      <c r="L630">
        <f t="shared" si="130"/>
        <v>-173.49673814899199</v>
      </c>
      <c r="M630" s="5">
        <v>1932.3333333333301</v>
      </c>
      <c r="N630" s="5">
        <v>-30</v>
      </c>
      <c r="O630" s="5">
        <v>-161.29606171166299</v>
      </c>
      <c r="Q630">
        <f t="shared" si="135"/>
        <v>0.26532395883195947</v>
      </c>
      <c r="R630">
        <f t="shared" si="131"/>
        <v>11.746330360602144</v>
      </c>
    </row>
    <row r="631" spans="1:18" x14ac:dyDescent="0.25">
      <c r="A631">
        <f t="shared" si="126"/>
        <v>2005.4166666666599</v>
      </c>
      <c r="B631">
        <f t="shared" si="126"/>
        <v>-80</v>
      </c>
      <c r="C631">
        <f t="shared" si="127"/>
        <v>-124.84986925372996</v>
      </c>
      <c r="D631">
        <f t="shared" si="132"/>
        <v>11.5</v>
      </c>
      <c r="E631">
        <f t="shared" si="132"/>
        <v>-5.2829686175299173</v>
      </c>
      <c r="F631">
        <f t="shared" si="133"/>
        <v>-8.1666666666666661</v>
      </c>
      <c r="G631">
        <f t="shared" si="134"/>
        <v>-3.37658182348251</v>
      </c>
      <c r="H631">
        <f t="shared" si="138"/>
        <v>-3.3</v>
      </c>
      <c r="I631">
        <f t="shared" si="138"/>
        <v>-1.9278480166586001</v>
      </c>
      <c r="J631">
        <f t="shared" si="128"/>
        <v>2005.4166666666599</v>
      </c>
      <c r="K631">
        <f t="shared" si="129"/>
        <v>-80</v>
      </c>
      <c r="L631">
        <f t="shared" si="130"/>
        <v>-185.620619230562</v>
      </c>
      <c r="M631" s="5">
        <v>1932.4166666666599</v>
      </c>
      <c r="N631" s="5">
        <v>-30</v>
      </c>
      <c r="O631" s="5">
        <v>-158.18742756510599</v>
      </c>
      <c r="Q631">
        <f t="shared" si="135"/>
        <v>4.7900848431841556</v>
      </c>
      <c r="R631">
        <f t="shared" si="131"/>
        <v>44.849869253729963</v>
      </c>
    </row>
    <row r="632" spans="1:18" x14ac:dyDescent="0.25">
      <c r="A632">
        <f t="shared" si="126"/>
        <v>2005.5</v>
      </c>
      <c r="B632">
        <f t="shared" si="126"/>
        <v>-80</v>
      </c>
      <c r="C632">
        <f t="shared" si="127"/>
        <v>-124.38747091179795</v>
      </c>
      <c r="D632">
        <f t="shared" si="132"/>
        <v>-2.5</v>
      </c>
      <c r="E632">
        <f t="shared" si="132"/>
        <v>-5.3812496723298864</v>
      </c>
      <c r="F632">
        <f t="shared" si="133"/>
        <v>3.6666666666666665</v>
      </c>
      <c r="G632">
        <f t="shared" si="134"/>
        <v>-4.0274054511069721</v>
      </c>
      <c r="H632">
        <f t="shared" ref="H632:I647" si="139">+AVERAGE(F630:F634)</f>
        <v>-2.4666666666666668</v>
      </c>
      <c r="I632">
        <f t="shared" si="139"/>
        <v>-1.9931757903784242</v>
      </c>
      <c r="J632">
        <f t="shared" si="128"/>
        <v>2005.5</v>
      </c>
      <c r="K632">
        <f t="shared" si="129"/>
        <v>-80</v>
      </c>
      <c r="L632">
        <f t="shared" si="130"/>
        <v>-185.06575795183599</v>
      </c>
      <c r="M632" s="5">
        <v>1932.5</v>
      </c>
      <c r="N632" s="5">
        <v>-30</v>
      </c>
      <c r="O632" s="5">
        <v>-140.946403581623</v>
      </c>
      <c r="Q632">
        <f t="shared" si="135"/>
        <v>7.6940721177736382</v>
      </c>
      <c r="R632">
        <f t="shared" si="131"/>
        <v>44.387470911797948</v>
      </c>
    </row>
    <row r="633" spans="1:18" x14ac:dyDescent="0.25">
      <c r="A633">
        <f t="shared" si="126"/>
        <v>2005.5833333333301</v>
      </c>
      <c r="B633">
        <f t="shared" si="126"/>
        <v>-75</v>
      </c>
      <c r="C633">
        <f t="shared" si="127"/>
        <v>-113.16257322520616</v>
      </c>
      <c r="D633">
        <f t="shared" si="132"/>
        <v>2</v>
      </c>
      <c r="E633">
        <f t="shared" si="132"/>
        <v>-4.4385521517913418</v>
      </c>
      <c r="F633">
        <f t="shared" si="133"/>
        <v>-7.333333333333333</v>
      </c>
      <c r="G633">
        <f t="shared" si="134"/>
        <v>-2.2646171098224501</v>
      </c>
      <c r="H633">
        <f t="shared" si="139"/>
        <v>-2.2666666666666666</v>
      </c>
      <c r="I633">
        <f t="shared" si="139"/>
        <v>-1.4659156542353291</v>
      </c>
      <c r="J633">
        <f t="shared" si="128"/>
        <v>2005.5833333333301</v>
      </c>
      <c r="K633">
        <f t="shared" si="129"/>
        <v>-75</v>
      </c>
      <c r="L633">
        <f t="shared" si="130"/>
        <v>-171.59628689377001</v>
      </c>
      <c r="M633" s="5">
        <v>1932.5833333333301</v>
      </c>
      <c r="N633" s="5">
        <v>-30</v>
      </c>
      <c r="O633" s="5">
        <v>-114.245238155129</v>
      </c>
      <c r="Q633">
        <f t="shared" si="135"/>
        <v>5.0687162235108829</v>
      </c>
      <c r="R633">
        <f t="shared" si="131"/>
        <v>38.16257322520616</v>
      </c>
    </row>
    <row r="634" spans="1:18" x14ac:dyDescent="0.25">
      <c r="A634">
        <f t="shared" si="126"/>
        <v>2005.6666666666599</v>
      </c>
      <c r="B634">
        <f t="shared" si="126"/>
        <v>-74</v>
      </c>
      <c r="C634">
        <f t="shared" si="127"/>
        <v>-93.060571235031688</v>
      </c>
      <c r="D634">
        <f t="shared" si="132"/>
        <v>-21.5</v>
      </c>
      <c r="E634">
        <f t="shared" si="132"/>
        <v>1.3274876622870408</v>
      </c>
      <c r="F634">
        <f t="shared" si="133"/>
        <v>0.33333333333333331</v>
      </c>
      <c r="G634">
        <f t="shared" si="134"/>
        <v>0.80138272468510285</v>
      </c>
      <c r="H634">
        <f t="shared" si="139"/>
        <v>0.46666666666666667</v>
      </c>
      <c r="I634">
        <f t="shared" si="139"/>
        <v>-0.80175512656257431</v>
      </c>
      <c r="J634">
        <f t="shared" si="128"/>
        <v>2005.6666666666599</v>
      </c>
      <c r="K634">
        <f t="shared" si="129"/>
        <v>-74</v>
      </c>
      <c r="L634">
        <f t="shared" si="130"/>
        <v>-147.47461188382599</v>
      </c>
      <c r="M634" s="5">
        <v>1932.6666666666599</v>
      </c>
      <c r="N634" s="5">
        <v>-30</v>
      </c>
      <c r="O634" s="5">
        <v>-93.821330423838006</v>
      </c>
      <c r="Q634">
        <f t="shared" si="135"/>
        <v>0.46804939135176954</v>
      </c>
      <c r="R634">
        <f t="shared" si="131"/>
        <v>19.060571235031688</v>
      </c>
    </row>
    <row r="635" spans="1:18" x14ac:dyDescent="0.25">
      <c r="A635">
        <f t="shared" si="126"/>
        <v>2005.75</v>
      </c>
      <c r="B635">
        <f t="shared" si="126"/>
        <v>-30</v>
      </c>
      <c r="C635">
        <f t="shared" si="127"/>
        <v>-75.613544569431298</v>
      </c>
      <c r="D635">
        <f t="shared" si="132"/>
        <v>20.5</v>
      </c>
      <c r="E635">
        <f t="shared" si="132"/>
        <v>6.1162497070734361</v>
      </c>
      <c r="F635">
        <f t="shared" si="133"/>
        <v>0.16666666666666666</v>
      </c>
      <c r="G635">
        <f t="shared" si="134"/>
        <v>1.5376433885501835</v>
      </c>
      <c r="H635">
        <f t="shared" si="139"/>
        <v>-0.1666666666666666</v>
      </c>
      <c r="I635">
        <f t="shared" si="139"/>
        <v>-0.25032387802142053</v>
      </c>
      <c r="J635">
        <f t="shared" si="128"/>
        <v>2005.75</v>
      </c>
      <c r="K635">
        <f t="shared" si="129"/>
        <v>-30</v>
      </c>
      <c r="L635">
        <f t="shared" si="130"/>
        <v>-126.538811194763</v>
      </c>
      <c r="M635" s="5">
        <v>1932.75</v>
      </c>
      <c r="N635" s="5">
        <v>-30</v>
      </c>
      <c r="O635" s="5">
        <v>-101.90955375697099</v>
      </c>
      <c r="Q635">
        <f t="shared" si="135"/>
        <v>1.3709767218835167</v>
      </c>
      <c r="R635">
        <f t="shared" si="131"/>
        <v>45.613544569431298</v>
      </c>
    </row>
    <row r="636" spans="1:18" x14ac:dyDescent="0.25">
      <c r="A636">
        <f t="shared" si="126"/>
        <v>2005.8333333333301</v>
      </c>
      <c r="B636">
        <f t="shared" si="126"/>
        <v>-27</v>
      </c>
      <c r="C636">
        <f t="shared" si="127"/>
        <v>-70.39901731797778</v>
      </c>
      <c r="D636">
        <f t="shared" si="132"/>
        <v>1.5</v>
      </c>
      <c r="E636">
        <f t="shared" si="132"/>
        <v>-1.6775746622972889</v>
      </c>
      <c r="F636">
        <f t="shared" si="133"/>
        <v>5.5</v>
      </c>
      <c r="G636">
        <f t="shared" si="134"/>
        <v>-5.5779185118734635E-2</v>
      </c>
      <c r="H636">
        <f t="shared" si="139"/>
        <v>0.73333333333333328</v>
      </c>
      <c r="I636">
        <f t="shared" si="139"/>
        <v>-5.3039174992676411E-3</v>
      </c>
      <c r="J636">
        <f t="shared" si="128"/>
        <v>2005.8333333333301</v>
      </c>
      <c r="K636">
        <f t="shared" si="129"/>
        <v>-27</v>
      </c>
      <c r="L636">
        <f t="shared" si="130"/>
        <v>-120.281567177399</v>
      </c>
      <c r="M636" s="5">
        <v>1932.8333333333301</v>
      </c>
      <c r="N636" s="5">
        <v>-30</v>
      </c>
      <c r="O636" s="5">
        <v>-123.359431034537</v>
      </c>
      <c r="Q636">
        <f t="shared" si="135"/>
        <v>5.5557791851187348</v>
      </c>
      <c r="R636">
        <f t="shared" si="131"/>
        <v>43.39901731797778</v>
      </c>
    </row>
    <row r="637" spans="1:18" x14ac:dyDescent="0.25">
      <c r="A637">
        <f t="shared" si="126"/>
        <v>2005.9166666666599</v>
      </c>
      <c r="B637">
        <f t="shared" si="126"/>
        <v>-27</v>
      </c>
      <c r="C637">
        <f t="shared" si="127"/>
        <v>-61.829340741929684</v>
      </c>
      <c r="D637">
        <f t="shared" si="132"/>
        <v>-5.5</v>
      </c>
      <c r="E637">
        <f t="shared" si="132"/>
        <v>-4.647846988971402</v>
      </c>
      <c r="F637">
        <f t="shared" si="133"/>
        <v>0.5</v>
      </c>
      <c r="G637">
        <f t="shared" si="134"/>
        <v>-1.2702492084012043</v>
      </c>
      <c r="H637">
        <f t="shared" si="139"/>
        <v>-3.3333333333333305E-2</v>
      </c>
      <c r="I637">
        <f t="shared" si="139"/>
        <v>-0.44781962288602939</v>
      </c>
      <c r="J637">
        <f t="shared" si="128"/>
        <v>2005.9166666666599</v>
      </c>
      <c r="K637">
        <f t="shared" si="129"/>
        <v>-27</v>
      </c>
      <c r="L637">
        <f t="shared" si="130"/>
        <v>-109.99826537448401</v>
      </c>
      <c r="M637" s="5">
        <v>1932.9166666666599</v>
      </c>
      <c r="N637" s="5">
        <v>-30</v>
      </c>
      <c r="O637" s="5">
        <v>-125.713414666868</v>
      </c>
      <c r="Q637">
        <f t="shared" si="135"/>
        <v>1.7702492084012043</v>
      </c>
      <c r="R637">
        <f t="shared" si="131"/>
        <v>34.829340741929684</v>
      </c>
    </row>
    <row r="638" spans="1:18" x14ac:dyDescent="0.25">
      <c r="A638">
        <f t="shared" si="126"/>
        <v>2006</v>
      </c>
      <c r="B638">
        <f t="shared" si="126"/>
        <v>-16</v>
      </c>
      <c r="C638">
        <f t="shared" si="127"/>
        <v>-43.963970187938784</v>
      </c>
      <c r="D638">
        <f t="shared" si="132"/>
        <v>5.5</v>
      </c>
      <c r="E638">
        <f t="shared" si="132"/>
        <v>1.5619871197641757</v>
      </c>
      <c r="F638">
        <f t="shared" si="133"/>
        <v>-2.8333333333333335</v>
      </c>
      <c r="G638">
        <f t="shared" si="134"/>
        <v>-1.0395173072116857</v>
      </c>
      <c r="H638">
        <f t="shared" si="139"/>
        <v>-0.3666666666666667</v>
      </c>
      <c r="I638">
        <f t="shared" si="139"/>
        <v>-1.2572443143137124</v>
      </c>
      <c r="J638">
        <f t="shared" si="128"/>
        <v>2006</v>
      </c>
      <c r="K638">
        <f t="shared" si="129"/>
        <v>-16</v>
      </c>
      <c r="L638">
        <f t="shared" si="130"/>
        <v>-88.560467156862202</v>
      </c>
      <c r="M638" s="5">
        <v>1933</v>
      </c>
      <c r="N638" s="5">
        <v>-30</v>
      </c>
      <c r="O638" s="5">
        <v>-106.21384551964699</v>
      </c>
      <c r="Q638">
        <f t="shared" si="135"/>
        <v>1.7938160261216478</v>
      </c>
      <c r="R638">
        <f t="shared" si="131"/>
        <v>27.963970187938784</v>
      </c>
    </row>
    <row r="639" spans="1:18" x14ac:dyDescent="0.25">
      <c r="A639">
        <f t="shared" si="126"/>
        <v>2006.0833333333301</v>
      </c>
      <c r="B639">
        <f t="shared" si="126"/>
        <v>-16</v>
      </c>
      <c r="C639">
        <f t="shared" si="127"/>
        <v>-29.222573873476239</v>
      </c>
      <c r="D639">
        <f t="shared" si="132"/>
        <v>-8.5</v>
      </c>
      <c r="E639">
        <f t="shared" si="132"/>
        <v>-0.812330032836595</v>
      </c>
      <c r="F639">
        <f t="shared" si="133"/>
        <v>-3.5</v>
      </c>
      <c r="G639">
        <f t="shared" si="134"/>
        <v>-1.4111958022487059</v>
      </c>
      <c r="H639">
        <f t="shared" si="139"/>
        <v>-2.166666666666667</v>
      </c>
      <c r="I639">
        <f t="shared" si="139"/>
        <v>-1.3907546466062801</v>
      </c>
      <c r="J639">
        <f t="shared" si="128"/>
        <v>2006.0833333333301</v>
      </c>
      <c r="K639">
        <f t="shared" si="129"/>
        <v>-16</v>
      </c>
      <c r="L639">
        <f t="shared" si="130"/>
        <v>-70.871324987636598</v>
      </c>
      <c r="M639" s="5">
        <v>1933.0833333333301</v>
      </c>
      <c r="N639" s="5">
        <v>-30</v>
      </c>
      <c r="O639" s="5">
        <v>-76.627852706744605</v>
      </c>
      <c r="Q639">
        <f t="shared" si="135"/>
        <v>2.0888041977512941</v>
      </c>
      <c r="R639">
        <f t="shared" si="131"/>
        <v>13.222573873476239</v>
      </c>
    </row>
    <row r="640" spans="1:18" x14ac:dyDescent="0.25">
      <c r="A640">
        <f t="shared" si="126"/>
        <v>2006.1666666666599</v>
      </c>
      <c r="B640">
        <f t="shared" si="126"/>
        <v>1</v>
      </c>
      <c r="C640">
        <f t="shared" si="127"/>
        <v>-12.856517493340501</v>
      </c>
      <c r="D640">
        <f t="shared" si="132"/>
        <v>-7.5</v>
      </c>
      <c r="E640">
        <f t="shared" si="132"/>
        <v>-6.0416413453602269</v>
      </c>
      <c r="F640">
        <f t="shared" si="133"/>
        <v>-1.5</v>
      </c>
      <c r="G640">
        <f t="shared" si="134"/>
        <v>-2.5094800685882319</v>
      </c>
      <c r="H640">
        <f t="shared" si="139"/>
        <v>-1.2000000000000002</v>
      </c>
      <c r="I640">
        <f t="shared" si="139"/>
        <v>-0.48869248437703849</v>
      </c>
      <c r="J640">
        <f t="shared" si="128"/>
        <v>2006.1666666666599</v>
      </c>
      <c r="K640">
        <f t="shared" si="129"/>
        <v>1</v>
      </c>
      <c r="L640">
        <f t="shared" si="130"/>
        <v>-51.232649526903103</v>
      </c>
      <c r="M640" s="5">
        <v>1933.1666666666599</v>
      </c>
      <c r="N640" s="5">
        <v>-30</v>
      </c>
      <c r="O640" s="5">
        <v>-38.717945747361902</v>
      </c>
      <c r="Q640">
        <f t="shared" si="135"/>
        <v>1.0094800685882319</v>
      </c>
      <c r="R640">
        <f t="shared" si="131"/>
        <v>13.856517493340501</v>
      </c>
    </row>
    <row r="641" spans="1:18" x14ac:dyDescent="0.25">
      <c r="A641">
        <f t="shared" si="126"/>
        <v>2006.25</v>
      </c>
      <c r="B641">
        <f t="shared" si="126"/>
        <v>33</v>
      </c>
      <c r="C641">
        <f t="shared" si="127"/>
        <v>15.592821577515691</v>
      </c>
      <c r="D641">
        <f t="shared" si="132"/>
        <v>11.5</v>
      </c>
      <c r="E641">
        <f t="shared" si="132"/>
        <v>-2.5565788790090469</v>
      </c>
      <c r="F641">
        <f t="shared" si="133"/>
        <v>-3.5</v>
      </c>
      <c r="G641">
        <f t="shared" si="134"/>
        <v>-0.72333084658157254</v>
      </c>
      <c r="H641">
        <f t="shared" si="139"/>
        <v>2.5333333333333337</v>
      </c>
      <c r="I641">
        <f t="shared" si="139"/>
        <v>0.90034722004944956</v>
      </c>
      <c r="J641">
        <f t="shared" si="128"/>
        <v>2006.25</v>
      </c>
      <c r="K641">
        <f t="shared" si="129"/>
        <v>33</v>
      </c>
      <c r="L641">
        <f t="shared" si="130"/>
        <v>-17.094472063269301</v>
      </c>
      <c r="M641" s="5">
        <v>1933.25</v>
      </c>
      <c r="N641" s="5">
        <v>-30</v>
      </c>
      <c r="O641" s="5">
        <v>-8.1223665462930192</v>
      </c>
      <c r="Q641">
        <f t="shared" si="135"/>
        <v>2.7766691534184273</v>
      </c>
      <c r="R641">
        <f t="shared" si="131"/>
        <v>17.407178422484307</v>
      </c>
    </row>
    <row r="642" spans="1:18" x14ac:dyDescent="0.25">
      <c r="A642">
        <f t="shared" si="126"/>
        <v>2006.3333333333301</v>
      </c>
      <c r="B642">
        <f t="shared" si="126"/>
        <v>42</v>
      </c>
      <c r="C642">
        <f t="shared" si="127"/>
        <v>49.155318406389981</v>
      </c>
      <c r="D642">
        <f t="shared" si="132"/>
        <v>-14.5</v>
      </c>
      <c r="E642">
        <f t="shared" si="132"/>
        <v>5.8857295496883779</v>
      </c>
      <c r="F642">
        <f t="shared" si="133"/>
        <v>5.333333333333333</v>
      </c>
      <c r="G642">
        <f t="shared" si="134"/>
        <v>3.2400616027450035</v>
      </c>
      <c r="H642">
        <f t="shared" si="139"/>
        <v>5.5666666666666673</v>
      </c>
      <c r="I642">
        <f t="shared" si="139"/>
        <v>2.2854098687746287</v>
      </c>
      <c r="J642">
        <f t="shared" si="128"/>
        <v>2006.3333333333301</v>
      </c>
      <c r="K642">
        <f t="shared" si="129"/>
        <v>42</v>
      </c>
      <c r="L642">
        <f t="shared" si="130"/>
        <v>23.179309693597201</v>
      </c>
      <c r="M642" s="5">
        <v>1933.3333333333301</v>
      </c>
      <c r="N642" s="5">
        <v>-30</v>
      </c>
      <c r="O642" s="5">
        <v>-20.679022204449499</v>
      </c>
      <c r="Q642">
        <f t="shared" si="135"/>
        <v>2.0932717305883295</v>
      </c>
      <c r="R642">
        <f t="shared" si="131"/>
        <v>7.1553184063899806</v>
      </c>
    </row>
    <row r="643" spans="1:18" x14ac:dyDescent="0.25">
      <c r="A643">
        <f t="shared" si="126"/>
        <v>2006.4166666666599</v>
      </c>
      <c r="B643">
        <f t="shared" si="126"/>
        <v>80</v>
      </c>
      <c r="C643">
        <f t="shared" si="127"/>
        <v>70.946356135887513</v>
      </c>
      <c r="D643">
        <f t="shared" si="132"/>
        <v>19</v>
      </c>
      <c r="E643">
        <f t="shared" si="132"/>
        <v>8.8210803396144328</v>
      </c>
      <c r="F643">
        <f t="shared" si="133"/>
        <v>15.833333333333334</v>
      </c>
      <c r="G643">
        <f t="shared" si="134"/>
        <v>5.9056812149207554</v>
      </c>
      <c r="H643">
        <f t="shared" si="139"/>
        <v>7.8666666666666671</v>
      </c>
      <c r="I643">
        <f t="shared" si="139"/>
        <v>4.1240819023030211</v>
      </c>
      <c r="J643">
        <f t="shared" si="128"/>
        <v>2006.4166666666599</v>
      </c>
      <c r="K643">
        <f t="shared" si="129"/>
        <v>80</v>
      </c>
      <c r="L643">
        <f t="shared" si="130"/>
        <v>49.327766474035798</v>
      </c>
      <c r="M643" s="5">
        <v>1933.4166666666599</v>
      </c>
      <c r="N643" s="5">
        <v>-30</v>
      </c>
      <c r="O643" s="5">
        <v>-61.274185500726603</v>
      </c>
      <c r="Q643">
        <f t="shared" si="135"/>
        <v>9.9276521184125777</v>
      </c>
      <c r="R643">
        <f t="shared" si="131"/>
        <v>9.0536438641124874</v>
      </c>
    </row>
    <row r="644" spans="1:18" x14ac:dyDescent="0.25">
      <c r="A644">
        <f t="shared" ref="A644:C707" si="140">+J644</f>
        <v>2006.5</v>
      </c>
      <c r="B644">
        <f t="shared" si="140"/>
        <v>80</v>
      </c>
      <c r="C644">
        <f t="shared" ref="C644:C707" si="141">+$B$1*L644+$D$1</f>
        <v>75.095233186156179</v>
      </c>
      <c r="D644">
        <f t="shared" si="132"/>
        <v>43</v>
      </c>
      <c r="E644">
        <f t="shared" si="132"/>
        <v>7.4394946666500203</v>
      </c>
      <c r="F644">
        <f t="shared" si="133"/>
        <v>11.666666666666666</v>
      </c>
      <c r="G644">
        <f t="shared" si="134"/>
        <v>5.5141174413771887</v>
      </c>
      <c r="H644">
        <f t="shared" si="139"/>
        <v>5.7</v>
      </c>
      <c r="I644">
        <f t="shared" si="139"/>
        <v>5.1962808639228895</v>
      </c>
      <c r="J644">
        <f t="shared" ref="J644:J707" si="142">+$M1520</f>
        <v>2006.5</v>
      </c>
      <c r="K644">
        <f t="shared" ref="K644:K707" si="143">+$N1520</f>
        <v>80</v>
      </c>
      <c r="L644">
        <f t="shared" ref="L644:L707" si="144">+$O1520</f>
        <v>54.306268809858501</v>
      </c>
      <c r="M644" s="5">
        <v>1933.5</v>
      </c>
      <c r="N644" s="5">
        <v>-30</v>
      </c>
      <c r="O644" s="5">
        <v>-97.809951570263905</v>
      </c>
      <c r="Q644">
        <f t="shared" si="135"/>
        <v>6.1525492252894773</v>
      </c>
      <c r="R644">
        <f t="shared" ref="R644:R707" si="145">+ABS(B644-C644)</f>
        <v>4.9047668138438212</v>
      </c>
    </row>
    <row r="645" spans="1:18" x14ac:dyDescent="0.25">
      <c r="A645">
        <f t="shared" si="140"/>
        <v>2006.5833333333301</v>
      </c>
      <c r="B645">
        <f t="shared" si="140"/>
        <v>-6</v>
      </c>
      <c r="C645">
        <f t="shared" si="141"/>
        <v>64.365120903124804</v>
      </c>
      <c r="D645">
        <f t="shared" ref="D645:E708" si="146">+B645-1/2*(B644+B646)</f>
        <v>-27</v>
      </c>
      <c r="E645">
        <f t="shared" si="146"/>
        <v>4.417365398900003</v>
      </c>
      <c r="F645">
        <f t="shared" si="133"/>
        <v>10</v>
      </c>
      <c r="G645">
        <f t="shared" si="134"/>
        <v>6.6838800990537308</v>
      </c>
      <c r="H645">
        <f t="shared" si="139"/>
        <v>3.833333333333333</v>
      </c>
      <c r="I645">
        <f t="shared" si="139"/>
        <v>4.6999952792089381</v>
      </c>
      <c r="J645">
        <f t="shared" si="142"/>
        <v>2006.5833333333301</v>
      </c>
      <c r="K645">
        <f t="shared" si="143"/>
        <v>-6</v>
      </c>
      <c r="L645">
        <f t="shared" si="144"/>
        <v>41.4305223325672</v>
      </c>
      <c r="M645" s="5">
        <v>1933.5833333333301</v>
      </c>
      <c r="N645" s="5">
        <v>-30</v>
      </c>
      <c r="O645" s="5">
        <v>-111.56792821866</v>
      </c>
      <c r="Q645">
        <f t="shared" si="135"/>
        <v>3.3161199009462692</v>
      </c>
      <c r="R645">
        <f t="shared" si="145"/>
        <v>70.365120903124804</v>
      </c>
    </row>
    <row r="646" spans="1:18" x14ac:dyDescent="0.25">
      <c r="A646">
        <f t="shared" si="140"/>
        <v>2006.6666666666599</v>
      </c>
      <c r="B646">
        <f t="shared" si="140"/>
        <v>-38</v>
      </c>
      <c r="C646">
        <f t="shared" si="141"/>
        <v>44.800277822293424</v>
      </c>
      <c r="D646">
        <f t="shared" si="146"/>
        <v>14</v>
      </c>
      <c r="E646">
        <f t="shared" si="146"/>
        <v>13.207690305901465</v>
      </c>
      <c r="F646">
        <f t="shared" ref="F646:F709" si="147">+AVERAGE(D645:D647)</f>
        <v>-14.333333333333334</v>
      </c>
      <c r="G646">
        <f t="shared" ref="G646:G709" si="148">+$H$1*AVERAGE(E645:E647)+$F$1</f>
        <v>4.6376639615177693</v>
      </c>
      <c r="H646">
        <f t="shared" si="139"/>
        <v>-1.8000000000000007</v>
      </c>
      <c r="I646">
        <f t="shared" si="139"/>
        <v>2.6846029059659222</v>
      </c>
      <c r="J646">
        <f t="shared" si="142"/>
        <v>2006.6666666666599</v>
      </c>
      <c r="K646">
        <f t="shared" si="143"/>
        <v>-38</v>
      </c>
      <c r="L646">
        <f t="shared" si="144"/>
        <v>17.953418577078502</v>
      </c>
      <c r="M646" s="5">
        <v>1933.6666666666599</v>
      </c>
      <c r="N646" s="5">
        <v>-30</v>
      </c>
      <c r="O646" s="5">
        <v>-101.147507094524</v>
      </c>
      <c r="Q646">
        <f t="shared" ref="Q646:Q709" si="149">+ABS(F646-G646)</f>
        <v>18.970997294851102</v>
      </c>
      <c r="R646">
        <f t="shared" si="145"/>
        <v>82.800277822293424</v>
      </c>
    </row>
    <row r="647" spans="1:18" x14ac:dyDescent="0.25">
      <c r="A647">
        <f t="shared" si="140"/>
        <v>2006.75</v>
      </c>
      <c r="B647">
        <f t="shared" si="140"/>
        <v>-98</v>
      </c>
      <c r="C647">
        <f t="shared" si="141"/>
        <v>-1.1799458703408909</v>
      </c>
      <c r="D647">
        <f t="shared" si="146"/>
        <v>-30</v>
      </c>
      <c r="E647">
        <f t="shared" si="146"/>
        <v>-0.23381584910983477</v>
      </c>
      <c r="F647">
        <f t="shared" si="147"/>
        <v>-4</v>
      </c>
      <c r="G647">
        <f t="shared" si="148"/>
        <v>0.75863367917524727</v>
      </c>
      <c r="H647">
        <f t="shared" si="139"/>
        <v>-4.8333333333333339</v>
      </c>
      <c r="I647">
        <f t="shared" si="139"/>
        <v>0.6090224989501335</v>
      </c>
      <c r="J647">
        <f t="shared" si="142"/>
        <v>2006.75</v>
      </c>
      <c r="K647">
        <f t="shared" si="143"/>
        <v>-98</v>
      </c>
      <c r="L647">
        <f t="shared" si="144"/>
        <v>-37.221186088684298</v>
      </c>
      <c r="M647" s="5">
        <v>1933.75</v>
      </c>
      <c r="N647" s="5">
        <v>-30</v>
      </c>
      <c r="O647" s="5">
        <v>-88.640243561917202</v>
      </c>
      <c r="Q647">
        <f t="shared" si="149"/>
        <v>4.7586336791752473</v>
      </c>
      <c r="R647">
        <f t="shared" si="145"/>
        <v>96.820054129659113</v>
      </c>
    </row>
    <row r="648" spans="1:18" x14ac:dyDescent="0.25">
      <c r="A648">
        <f t="shared" si="140"/>
        <v>2006.8333333333301</v>
      </c>
      <c r="B648">
        <f t="shared" si="140"/>
        <v>-98</v>
      </c>
      <c r="C648">
        <f t="shared" si="141"/>
        <v>-46.692537864755536</v>
      </c>
      <c r="D648">
        <f t="shared" si="146"/>
        <v>4</v>
      </c>
      <c r="E648">
        <f t="shared" si="146"/>
        <v>-10.128998159884453</v>
      </c>
      <c r="F648">
        <f t="shared" si="147"/>
        <v>-12.333333333333334</v>
      </c>
      <c r="G648">
        <f t="shared" si="148"/>
        <v>-4.1712806512943255</v>
      </c>
      <c r="H648">
        <f t="shared" ref="H648:I663" si="150">+AVERAGE(F646:F650)</f>
        <v>-7.1000000000000014</v>
      </c>
      <c r="I648">
        <f t="shared" si="150"/>
        <v>-1.3359963673369257</v>
      </c>
      <c r="J648">
        <f t="shared" si="142"/>
        <v>2006.8333333333301</v>
      </c>
      <c r="K648">
        <f t="shared" si="143"/>
        <v>-98</v>
      </c>
      <c r="L648">
        <f t="shared" si="144"/>
        <v>-91.834649637541602</v>
      </c>
      <c r="M648" s="5">
        <v>1933.8333333333301</v>
      </c>
      <c r="N648" s="5">
        <v>-30</v>
      </c>
      <c r="O648" s="5">
        <v>-86.961421916984804</v>
      </c>
      <c r="Q648">
        <f t="shared" si="149"/>
        <v>8.1620526820390076</v>
      </c>
      <c r="R648">
        <f t="shared" si="145"/>
        <v>51.307462135244464</v>
      </c>
    </row>
    <row r="649" spans="1:18" x14ac:dyDescent="0.25">
      <c r="A649">
        <f t="shared" si="140"/>
        <v>2006.9166666666599</v>
      </c>
      <c r="B649">
        <f t="shared" si="140"/>
        <v>-106</v>
      </c>
      <c r="C649">
        <f t="shared" si="141"/>
        <v>-71.947133539401278</v>
      </c>
      <c r="D649">
        <f t="shared" si="146"/>
        <v>-11</v>
      </c>
      <c r="E649">
        <f t="shared" si="146"/>
        <v>-5.2794884333594325</v>
      </c>
      <c r="F649">
        <f t="shared" si="147"/>
        <v>-3.5</v>
      </c>
      <c r="G649">
        <f t="shared" si="148"/>
        <v>-4.8637845937017552</v>
      </c>
      <c r="H649">
        <f t="shared" si="150"/>
        <v>-3.3</v>
      </c>
      <c r="I649">
        <f t="shared" si="150"/>
        <v>-2.5923390315568313</v>
      </c>
      <c r="J649">
        <f t="shared" si="142"/>
        <v>2006.9166666666599</v>
      </c>
      <c r="K649">
        <f t="shared" si="143"/>
        <v>-106</v>
      </c>
      <c r="L649">
        <f t="shared" si="144"/>
        <v>-122.13925062549799</v>
      </c>
      <c r="M649" s="5">
        <v>1933.9166666666599</v>
      </c>
      <c r="N649" s="5">
        <v>-30</v>
      </c>
      <c r="O649" s="5">
        <v>-79.704092240449199</v>
      </c>
      <c r="Q649">
        <f t="shared" si="149"/>
        <v>1.3637845937017552</v>
      </c>
      <c r="R649">
        <f t="shared" si="145"/>
        <v>34.052866460598722</v>
      </c>
    </row>
    <row r="650" spans="1:18" x14ac:dyDescent="0.25">
      <c r="A650">
        <f t="shared" si="140"/>
        <v>2007</v>
      </c>
      <c r="B650">
        <f t="shared" si="140"/>
        <v>-92</v>
      </c>
      <c r="C650">
        <f t="shared" si="141"/>
        <v>-86.642752347328141</v>
      </c>
      <c r="D650">
        <f t="shared" si="146"/>
        <v>-3.5</v>
      </c>
      <c r="E650">
        <f t="shared" si="146"/>
        <v>-2.830705633137697</v>
      </c>
      <c r="F650">
        <f t="shared" si="147"/>
        <v>-1.3333333333333333</v>
      </c>
      <c r="G650">
        <f t="shared" si="148"/>
        <v>-3.0412142323815643</v>
      </c>
      <c r="H650">
        <f t="shared" si="150"/>
        <v>-0.6</v>
      </c>
      <c r="I650">
        <f t="shared" si="150"/>
        <v>-2.8031536523170493</v>
      </c>
      <c r="J650">
        <f t="shared" si="142"/>
        <v>2007</v>
      </c>
      <c r="K650">
        <f t="shared" si="143"/>
        <v>-92</v>
      </c>
      <c r="L650">
        <f t="shared" si="144"/>
        <v>-139.77346144331099</v>
      </c>
      <c r="M650" s="5">
        <v>1934</v>
      </c>
      <c r="N650" s="5">
        <v>-30</v>
      </c>
      <c r="O650" s="5">
        <v>-67.340136306033401</v>
      </c>
      <c r="Q650">
        <f t="shared" si="149"/>
        <v>1.707880899048231</v>
      </c>
      <c r="R650">
        <f t="shared" si="145"/>
        <v>5.3572476526718589</v>
      </c>
    </row>
    <row r="651" spans="1:18" x14ac:dyDescent="0.25">
      <c r="A651">
        <f t="shared" si="140"/>
        <v>2007.0833333333301</v>
      </c>
      <c r="B651">
        <f t="shared" si="140"/>
        <v>-71</v>
      </c>
      <c r="C651">
        <f t="shared" si="141"/>
        <v>-95.676959888979624</v>
      </c>
      <c r="D651">
        <f t="shared" si="146"/>
        <v>10.5</v>
      </c>
      <c r="E651">
        <f t="shared" si="146"/>
        <v>-3.2943593049337352</v>
      </c>
      <c r="F651">
        <f t="shared" si="147"/>
        <v>4.666666666666667</v>
      </c>
      <c r="G651">
        <f t="shared" si="148"/>
        <v>-1.6440493595817582</v>
      </c>
      <c r="H651">
        <f t="shared" si="150"/>
        <v>1.8666666666666667</v>
      </c>
      <c r="I651">
        <f t="shared" si="150"/>
        <v>-1.8218381649111461</v>
      </c>
      <c r="J651">
        <f t="shared" si="142"/>
        <v>2007.0833333333301</v>
      </c>
      <c r="K651">
        <f t="shared" si="143"/>
        <v>-71</v>
      </c>
      <c r="L651">
        <f t="shared" si="144"/>
        <v>-150.61418359619</v>
      </c>
      <c r="M651" s="5">
        <v>1934.0833333333301</v>
      </c>
      <c r="N651" s="5">
        <v>-30</v>
      </c>
      <c r="O651" s="5">
        <v>-62.019488344236102</v>
      </c>
      <c r="Q651">
        <f t="shared" si="149"/>
        <v>6.310716026248425</v>
      </c>
      <c r="R651">
        <f t="shared" si="145"/>
        <v>24.676959888979624</v>
      </c>
    </row>
    <row r="652" spans="1:18" x14ac:dyDescent="0.25">
      <c r="A652">
        <f t="shared" si="140"/>
        <v>2007.1666666666599</v>
      </c>
      <c r="B652">
        <f t="shared" si="140"/>
        <v>-71</v>
      </c>
      <c r="C652">
        <f t="shared" si="141"/>
        <v>-98.122448820763637</v>
      </c>
      <c r="D652">
        <f t="shared" si="146"/>
        <v>7</v>
      </c>
      <c r="E652">
        <f t="shared" si="146"/>
        <v>-4.0120160360160639E-2</v>
      </c>
      <c r="F652">
        <f t="shared" si="147"/>
        <v>9.5</v>
      </c>
      <c r="G652">
        <f t="shared" si="148"/>
        <v>-0.29543942462584405</v>
      </c>
      <c r="H652">
        <f t="shared" si="150"/>
        <v>1.7</v>
      </c>
      <c r="I652">
        <f t="shared" si="150"/>
        <v>-0.78798664780555561</v>
      </c>
      <c r="J652">
        <f t="shared" si="142"/>
        <v>2007.1666666666599</v>
      </c>
      <c r="K652">
        <f t="shared" si="143"/>
        <v>-71</v>
      </c>
      <c r="L652">
        <f t="shared" si="144"/>
        <v>-153.54868182585599</v>
      </c>
      <c r="M652" s="5">
        <v>1934.1666666666599</v>
      </c>
      <c r="N652" s="5">
        <v>-30</v>
      </c>
      <c r="O652" s="5">
        <v>-75.7286928391499</v>
      </c>
      <c r="Q652">
        <f t="shared" si="149"/>
        <v>9.7954394246258438</v>
      </c>
      <c r="R652">
        <f t="shared" si="145"/>
        <v>27.122448820763637</v>
      </c>
    </row>
    <row r="653" spans="1:18" x14ac:dyDescent="0.25">
      <c r="A653">
        <f t="shared" si="140"/>
        <v>2007.25</v>
      </c>
      <c r="B653">
        <f t="shared" si="140"/>
        <v>-85</v>
      </c>
      <c r="C653">
        <f t="shared" si="141"/>
        <v>-100.48769743182734</v>
      </c>
      <c r="D653">
        <f t="shared" si="146"/>
        <v>11</v>
      </c>
      <c r="E653">
        <f t="shared" si="146"/>
        <v>2.2265816229469806</v>
      </c>
      <c r="F653">
        <f t="shared" si="147"/>
        <v>0</v>
      </c>
      <c r="G653">
        <f t="shared" si="148"/>
        <v>0.73529678573519286</v>
      </c>
      <c r="H653">
        <f t="shared" si="150"/>
        <v>-1.1666666666666661</v>
      </c>
      <c r="I653">
        <f t="shared" si="150"/>
        <v>-0.46425516847637793</v>
      </c>
      <c r="J653">
        <f t="shared" si="142"/>
        <v>2007.25</v>
      </c>
      <c r="K653">
        <f t="shared" si="143"/>
        <v>-85</v>
      </c>
      <c r="L653">
        <f t="shared" si="144"/>
        <v>-156.386894574103</v>
      </c>
      <c r="M653" s="5">
        <v>1934.25</v>
      </c>
      <c r="N653" s="5">
        <v>-30</v>
      </c>
      <c r="O653" s="5">
        <v>-116.720349062745</v>
      </c>
      <c r="Q653">
        <f t="shared" si="149"/>
        <v>0.73529678573519286</v>
      </c>
      <c r="R653">
        <f t="shared" si="145"/>
        <v>15.487697431827343</v>
      </c>
    </row>
    <row r="654" spans="1:18" x14ac:dyDescent="0.25">
      <c r="A654">
        <f t="shared" si="140"/>
        <v>2007.3333333333301</v>
      </c>
      <c r="B654">
        <f t="shared" si="140"/>
        <v>-121</v>
      </c>
      <c r="C654">
        <f t="shared" si="141"/>
        <v>-107.30610928878502</v>
      </c>
      <c r="D654">
        <f t="shared" si="146"/>
        <v>-18</v>
      </c>
      <c r="E654">
        <f t="shared" si="146"/>
        <v>0.57090148392015294</v>
      </c>
      <c r="F654">
        <f t="shared" si="147"/>
        <v>-4.333333333333333</v>
      </c>
      <c r="G654">
        <f t="shared" si="148"/>
        <v>0.30547299182619558</v>
      </c>
      <c r="H654">
        <f t="shared" si="150"/>
        <v>-2.4</v>
      </c>
      <c r="I654">
        <f t="shared" si="150"/>
        <v>-0.65520222509493586</v>
      </c>
      <c r="J654">
        <f t="shared" si="142"/>
        <v>2007.3333333333301</v>
      </c>
      <c r="K654">
        <f t="shared" si="143"/>
        <v>-121</v>
      </c>
      <c r="L654">
        <f t="shared" si="144"/>
        <v>-164.56874208251901</v>
      </c>
      <c r="M654" s="5">
        <v>1934.3333333333301</v>
      </c>
      <c r="N654" s="5">
        <v>-30</v>
      </c>
      <c r="O654" s="5">
        <v>-158.10091412236301</v>
      </c>
      <c r="Q654">
        <f t="shared" si="149"/>
        <v>4.6388063251595284</v>
      </c>
      <c r="R654">
        <f t="shared" si="145"/>
        <v>13.693890711214976</v>
      </c>
    </row>
    <row r="655" spans="1:18" x14ac:dyDescent="0.25">
      <c r="A655">
        <f t="shared" si="140"/>
        <v>2007.4166666666599</v>
      </c>
      <c r="B655">
        <f t="shared" si="140"/>
        <v>-121</v>
      </c>
      <c r="C655">
        <f t="shared" si="141"/>
        <v>-115.26632411358301</v>
      </c>
      <c r="D655">
        <f t="shared" si="146"/>
        <v>-6</v>
      </c>
      <c r="E655">
        <f t="shared" si="146"/>
        <v>-1.6519593875189003</v>
      </c>
      <c r="F655">
        <f t="shared" si="147"/>
        <v>-15.666666666666666</v>
      </c>
      <c r="G655">
        <f t="shared" si="148"/>
        <v>-1.4225568357356755</v>
      </c>
      <c r="H655">
        <f t="shared" si="150"/>
        <v>-3.9</v>
      </c>
      <c r="I655">
        <f t="shared" si="150"/>
        <v>-0.95461243840933041</v>
      </c>
      <c r="J655">
        <f t="shared" si="142"/>
        <v>2007.4166666666599</v>
      </c>
      <c r="K655">
        <f t="shared" si="143"/>
        <v>-121</v>
      </c>
      <c r="L655">
        <f t="shared" si="144"/>
        <v>-174.12071183692299</v>
      </c>
      <c r="M655" s="5">
        <v>1934.4166666666599</v>
      </c>
      <c r="N655" s="5">
        <v>-30</v>
      </c>
      <c r="O655" s="5">
        <v>-182.584995062085</v>
      </c>
      <c r="Q655">
        <f t="shared" si="149"/>
        <v>14.244109830930991</v>
      </c>
      <c r="R655">
        <f t="shared" si="145"/>
        <v>5.7336758864169894</v>
      </c>
    </row>
    <row r="656" spans="1:18" x14ac:dyDescent="0.25">
      <c r="A656">
        <f t="shared" si="140"/>
        <v>2007.5</v>
      </c>
      <c r="B656">
        <f t="shared" si="140"/>
        <v>-109</v>
      </c>
      <c r="C656">
        <f t="shared" si="141"/>
        <v>-119.9226201633432</v>
      </c>
      <c r="D656">
        <f t="shared" si="146"/>
        <v>-23</v>
      </c>
      <c r="E656">
        <f t="shared" si="146"/>
        <v>-4.2535302304100355</v>
      </c>
      <c r="F656">
        <f t="shared" si="147"/>
        <v>-1.5</v>
      </c>
      <c r="G656">
        <f t="shared" si="148"/>
        <v>-2.598784642674548</v>
      </c>
      <c r="H656">
        <f t="shared" si="150"/>
        <v>-1.9666666666666668</v>
      </c>
      <c r="I656">
        <f t="shared" si="150"/>
        <v>-1.1788489555574007</v>
      </c>
      <c r="J656">
        <f t="shared" si="142"/>
        <v>2007.5</v>
      </c>
      <c r="K656">
        <f t="shared" si="143"/>
        <v>-109</v>
      </c>
      <c r="L656">
        <f t="shared" si="144"/>
        <v>-179.708098611499</v>
      </c>
      <c r="M656" s="5">
        <v>1934.5</v>
      </c>
      <c r="N656" s="5">
        <v>-30</v>
      </c>
      <c r="O656" s="5">
        <v>-191.47369290928501</v>
      </c>
      <c r="Q656">
        <f t="shared" si="149"/>
        <v>1.098784642674548</v>
      </c>
      <c r="R656">
        <f t="shared" si="145"/>
        <v>10.922620163343197</v>
      </c>
    </row>
    <row r="657" spans="1:18" x14ac:dyDescent="0.25">
      <c r="A657">
        <f t="shared" si="140"/>
        <v>2007.5833333333301</v>
      </c>
      <c r="B657">
        <f t="shared" si="140"/>
        <v>-51</v>
      </c>
      <c r="C657">
        <f t="shared" si="141"/>
        <v>-116.07185575228331</v>
      </c>
      <c r="D657">
        <f t="shared" si="146"/>
        <v>24.5</v>
      </c>
      <c r="E657">
        <f t="shared" si="146"/>
        <v>-3.8399527921006182</v>
      </c>
      <c r="F657">
        <f t="shared" si="147"/>
        <v>2</v>
      </c>
      <c r="G657">
        <f t="shared" si="148"/>
        <v>-1.7924904911978161</v>
      </c>
      <c r="H657">
        <f t="shared" si="150"/>
        <v>-1.0666666666666662</v>
      </c>
      <c r="I657">
        <f t="shared" si="150"/>
        <v>-1.3929511533514194</v>
      </c>
      <c r="J657">
        <f t="shared" si="142"/>
        <v>2007.5833333333301</v>
      </c>
      <c r="K657">
        <f t="shared" si="143"/>
        <v>-51</v>
      </c>
      <c r="L657">
        <f t="shared" si="144"/>
        <v>-175.08732065570899</v>
      </c>
      <c r="M657" s="5">
        <v>1934.5833333333301</v>
      </c>
      <c r="N657" s="5">
        <v>-30</v>
      </c>
      <c r="O657" s="5">
        <v>-185.841017205041</v>
      </c>
      <c r="Q657">
        <f t="shared" si="149"/>
        <v>3.7924904911978161</v>
      </c>
      <c r="R657">
        <f t="shared" si="145"/>
        <v>65.071855752283312</v>
      </c>
    </row>
    <row r="658" spans="1:18" x14ac:dyDescent="0.25">
      <c r="A658">
        <f t="shared" si="140"/>
        <v>2007.6666666666599</v>
      </c>
      <c r="B658">
        <f t="shared" si="140"/>
        <v>-42</v>
      </c>
      <c r="C658">
        <f t="shared" si="141"/>
        <v>-104.54118575702219</v>
      </c>
      <c r="D658">
        <f t="shared" si="146"/>
        <v>4.5</v>
      </c>
      <c r="E658">
        <f t="shared" si="146"/>
        <v>1.3716436805188437</v>
      </c>
      <c r="F658">
        <f t="shared" si="147"/>
        <v>9.6666666666666661</v>
      </c>
      <c r="G658">
        <f t="shared" si="148"/>
        <v>-0.38588580000515926</v>
      </c>
      <c r="H658">
        <f t="shared" si="150"/>
        <v>0.93333333333333302</v>
      </c>
      <c r="I658">
        <f t="shared" si="150"/>
        <v>-1.6833501266747948</v>
      </c>
      <c r="J658">
        <f t="shared" si="142"/>
        <v>2007.6666666666599</v>
      </c>
      <c r="K658">
        <f t="shared" si="143"/>
        <v>-42</v>
      </c>
      <c r="L658">
        <f t="shared" si="144"/>
        <v>-161.25093389141799</v>
      </c>
      <c r="M658" s="5">
        <v>1934.6666666666599</v>
      </c>
      <c r="N658" s="5">
        <v>-30</v>
      </c>
      <c r="O658" s="5">
        <v>-170.695204850149</v>
      </c>
      <c r="Q658">
        <f t="shared" si="149"/>
        <v>10.052552466671825</v>
      </c>
      <c r="R658">
        <f t="shared" si="145"/>
        <v>62.541185757022191</v>
      </c>
    </row>
    <row r="659" spans="1:18" x14ac:dyDescent="0.25">
      <c r="A659">
        <f t="shared" si="140"/>
        <v>2007.75</v>
      </c>
      <c r="B659">
        <f t="shared" si="140"/>
        <v>-42</v>
      </c>
      <c r="C659">
        <f t="shared" si="141"/>
        <v>-95.753803122798757</v>
      </c>
      <c r="D659">
        <f t="shared" si="146"/>
        <v>0</v>
      </c>
      <c r="E659">
        <f t="shared" si="146"/>
        <v>1.0212373615624273</v>
      </c>
      <c r="F659">
        <f t="shared" si="147"/>
        <v>0.16666666666666666</v>
      </c>
      <c r="G659">
        <f t="shared" si="148"/>
        <v>-0.76503799714389897</v>
      </c>
      <c r="H659">
        <f t="shared" si="150"/>
        <v>1.2333333333333329</v>
      </c>
      <c r="I659">
        <f t="shared" si="150"/>
        <v>-1.928225848419779</v>
      </c>
      <c r="J659">
        <f t="shared" si="142"/>
        <v>2007.75</v>
      </c>
      <c r="K659">
        <f t="shared" si="143"/>
        <v>-42</v>
      </c>
      <c r="L659">
        <f t="shared" si="144"/>
        <v>-150.706392696249</v>
      </c>
      <c r="M659" s="5">
        <v>1934.75</v>
      </c>
      <c r="N659" s="5">
        <v>-30</v>
      </c>
      <c r="O659" s="5">
        <v>-160.66477473564299</v>
      </c>
      <c r="Q659">
        <f t="shared" si="149"/>
        <v>0.9317046638105656</v>
      </c>
      <c r="R659">
        <f t="shared" si="145"/>
        <v>53.753803122798757</v>
      </c>
    </row>
    <row r="660" spans="1:18" x14ac:dyDescent="0.25">
      <c r="A660">
        <f t="shared" si="140"/>
        <v>2007.8333333333301</v>
      </c>
      <c r="B660">
        <f t="shared" si="140"/>
        <v>-42</v>
      </c>
      <c r="C660">
        <f t="shared" si="141"/>
        <v>-89.008895211700178</v>
      </c>
      <c r="D660">
        <f t="shared" si="146"/>
        <v>-4</v>
      </c>
      <c r="E660">
        <f t="shared" si="146"/>
        <v>-5.261773531370892</v>
      </c>
      <c r="F660">
        <f t="shared" si="147"/>
        <v>-5.666666666666667</v>
      </c>
      <c r="G660">
        <f t="shared" si="148"/>
        <v>-2.8745517023525511</v>
      </c>
      <c r="H660">
        <f t="shared" si="150"/>
        <v>1.3999999999999997</v>
      </c>
      <c r="I660">
        <f t="shared" si="150"/>
        <v>-1.6094218195980758</v>
      </c>
      <c r="J660">
        <f t="shared" si="142"/>
        <v>2007.8333333333301</v>
      </c>
      <c r="K660">
        <f t="shared" si="143"/>
        <v>-42</v>
      </c>
      <c r="L660">
        <f t="shared" si="144"/>
        <v>-142.61274726317001</v>
      </c>
      <c r="M660" s="5">
        <v>1934.8333333333301</v>
      </c>
      <c r="N660" s="5">
        <v>-30</v>
      </c>
      <c r="O660" s="5">
        <v>-156.96662452149701</v>
      </c>
      <c r="Q660">
        <f t="shared" si="149"/>
        <v>2.7921149643141159</v>
      </c>
      <c r="R660">
        <f t="shared" si="145"/>
        <v>47.008895211700178</v>
      </c>
    </row>
    <row r="661" spans="1:18" x14ac:dyDescent="0.25">
      <c r="A661">
        <f t="shared" si="140"/>
        <v>2007.9166666666599</v>
      </c>
      <c r="B661">
        <f t="shared" si="140"/>
        <v>-34</v>
      </c>
      <c r="C661">
        <f t="shared" si="141"/>
        <v>-71.740440237859801</v>
      </c>
      <c r="D661">
        <f t="shared" si="146"/>
        <v>-13</v>
      </c>
      <c r="E661">
        <f t="shared" si="146"/>
        <v>-6.5390327140136009</v>
      </c>
      <c r="F661">
        <f t="shared" si="147"/>
        <v>0</v>
      </c>
      <c r="G661">
        <f t="shared" si="148"/>
        <v>-3.8231632513994693</v>
      </c>
      <c r="H661">
        <f t="shared" si="150"/>
        <v>0.60000000000000009</v>
      </c>
      <c r="I661">
        <f t="shared" si="150"/>
        <v>-0.42377863101271773</v>
      </c>
      <c r="J661">
        <f t="shared" si="142"/>
        <v>2007.9166666666599</v>
      </c>
      <c r="K661">
        <f t="shared" si="143"/>
        <v>-34</v>
      </c>
      <c r="L661">
        <f t="shared" si="144"/>
        <v>-121.891226142715</v>
      </c>
      <c r="M661" s="5">
        <v>1934.9166666666599</v>
      </c>
      <c r="N661" s="5">
        <v>-30</v>
      </c>
      <c r="O661" s="5">
        <v>-148.00706532774899</v>
      </c>
      <c r="Q661">
        <f t="shared" si="149"/>
        <v>3.8231632513994693</v>
      </c>
      <c r="R661">
        <f t="shared" si="145"/>
        <v>37.740440237859801</v>
      </c>
    </row>
    <row r="662" spans="1:18" x14ac:dyDescent="0.25">
      <c r="A662">
        <f t="shared" si="140"/>
        <v>2008</v>
      </c>
      <c r="B662">
        <f t="shared" si="140"/>
        <v>0</v>
      </c>
      <c r="C662">
        <f t="shared" si="141"/>
        <v>-41.393919835992222</v>
      </c>
      <c r="D662">
        <f t="shared" si="146"/>
        <v>17</v>
      </c>
      <c r="E662">
        <f t="shared" si="146"/>
        <v>-2.5360559473635149</v>
      </c>
      <c r="F662">
        <f t="shared" si="147"/>
        <v>2.8333333333333335</v>
      </c>
      <c r="G662">
        <f t="shared" si="148"/>
        <v>-0.1984703470893005</v>
      </c>
      <c r="H662">
        <f t="shared" si="150"/>
        <v>-0.3666666666666667</v>
      </c>
      <c r="I662">
        <f t="shared" si="150"/>
        <v>1.0549083598113593</v>
      </c>
      <c r="J662">
        <f t="shared" si="142"/>
        <v>2008</v>
      </c>
      <c r="K662">
        <f t="shared" si="143"/>
        <v>0</v>
      </c>
      <c r="L662">
        <f t="shared" si="144"/>
        <v>-85.476499730177594</v>
      </c>
      <c r="M662" s="5">
        <v>1935</v>
      </c>
      <c r="N662" s="5">
        <v>-30</v>
      </c>
      <c r="O662" s="5">
        <v>-132.67202619676701</v>
      </c>
      <c r="Q662">
        <f t="shared" si="149"/>
        <v>3.0318036804226338</v>
      </c>
      <c r="R662">
        <f t="shared" si="145"/>
        <v>41.393919835992222</v>
      </c>
    </row>
    <row r="663" spans="1:18" x14ac:dyDescent="0.25">
      <c r="A663">
        <f t="shared" si="140"/>
        <v>2008.0833333333301</v>
      </c>
      <c r="B663">
        <f t="shared" si="140"/>
        <v>0</v>
      </c>
      <c r="C663">
        <f t="shared" si="141"/>
        <v>-5.975287539397609</v>
      </c>
      <c r="D663">
        <f t="shared" si="146"/>
        <v>4.5</v>
      </c>
      <c r="E663">
        <f t="shared" si="146"/>
        <v>8.330824859792239</v>
      </c>
      <c r="F663">
        <f t="shared" si="147"/>
        <v>5.666666666666667</v>
      </c>
      <c r="G663">
        <f t="shared" si="148"/>
        <v>5.5423301429216316</v>
      </c>
      <c r="H663">
        <f t="shared" si="150"/>
        <v>0.46666666666666662</v>
      </c>
      <c r="I663">
        <f t="shared" si="150"/>
        <v>2.379557733058733</v>
      </c>
      <c r="J663">
        <f t="shared" si="142"/>
        <v>2008.0833333333301</v>
      </c>
      <c r="K663">
        <f t="shared" si="143"/>
        <v>0</v>
      </c>
      <c r="L663">
        <f t="shared" si="144"/>
        <v>-42.975422575138097</v>
      </c>
      <c r="M663" s="5">
        <v>1935.0833333333301</v>
      </c>
      <c r="N663" s="5">
        <v>-30</v>
      </c>
      <c r="O663" s="5">
        <v>-112.630044849819</v>
      </c>
      <c r="Q663">
        <f t="shared" si="149"/>
        <v>0.12433652374503534</v>
      </c>
      <c r="R663">
        <f t="shared" si="145"/>
        <v>5.975287539397609</v>
      </c>
    </row>
    <row r="664" spans="1:18" x14ac:dyDescent="0.25">
      <c r="A664">
        <f t="shared" si="140"/>
        <v>2008.1666666666599</v>
      </c>
      <c r="B664">
        <f t="shared" si="140"/>
        <v>-9</v>
      </c>
      <c r="C664">
        <f t="shared" si="141"/>
        <v>12.781695037612526</v>
      </c>
      <c r="D664">
        <f t="shared" si="146"/>
        <v>-4.5</v>
      </c>
      <c r="E664">
        <f t="shared" si="146"/>
        <v>14.988969123527397</v>
      </c>
      <c r="F664">
        <f t="shared" si="147"/>
        <v>-4.666666666666667</v>
      </c>
      <c r="G664">
        <f t="shared" si="148"/>
        <v>6.6283969569764869</v>
      </c>
      <c r="H664">
        <f t="shared" ref="H664:I679" si="151">+AVERAGE(F662:F666)</f>
        <v>0.53333333333333333</v>
      </c>
      <c r="I664">
        <f t="shared" si="151"/>
        <v>3.1433303231961616</v>
      </c>
      <c r="J664">
        <f t="shared" si="142"/>
        <v>2008.1666666666599</v>
      </c>
      <c r="K664">
        <f t="shared" si="143"/>
        <v>-9</v>
      </c>
      <c r="L664">
        <f t="shared" si="144"/>
        <v>-20.467722192311999</v>
      </c>
      <c r="M664" s="5">
        <v>1935.1666666666599</v>
      </c>
      <c r="N664" s="5">
        <v>-30</v>
      </c>
      <c r="O664" s="5">
        <v>-89.845945829472498</v>
      </c>
      <c r="Q664">
        <f t="shared" si="149"/>
        <v>11.295063623643154</v>
      </c>
      <c r="R664">
        <f t="shared" si="145"/>
        <v>21.781695037612526</v>
      </c>
    </row>
    <row r="665" spans="1:18" x14ac:dyDescent="0.25">
      <c r="A665">
        <f t="shared" si="140"/>
        <v>2008.25</v>
      </c>
      <c r="B665">
        <f t="shared" si="140"/>
        <v>-9</v>
      </c>
      <c r="C665">
        <f t="shared" si="141"/>
        <v>1.5607393675678658</v>
      </c>
      <c r="D665">
        <f t="shared" si="146"/>
        <v>-14</v>
      </c>
      <c r="E665">
        <f t="shared" si="146"/>
        <v>1.5366946053421877</v>
      </c>
      <c r="F665">
        <f t="shared" si="147"/>
        <v>-1.5</v>
      </c>
      <c r="G665">
        <f t="shared" si="148"/>
        <v>3.7486951638843156</v>
      </c>
      <c r="H665">
        <f t="shared" si="151"/>
        <v>3.6333333333333329</v>
      </c>
      <c r="I665">
        <f t="shared" si="151"/>
        <v>2.9880038991528997</v>
      </c>
      <c r="J665">
        <f t="shared" si="142"/>
        <v>2008.25</v>
      </c>
      <c r="K665">
        <f t="shared" si="143"/>
        <v>-9</v>
      </c>
      <c r="L665">
        <f t="shared" si="144"/>
        <v>-33.932462973160803</v>
      </c>
      <c r="M665" s="5">
        <v>1935.25</v>
      </c>
      <c r="N665" s="5">
        <v>-30</v>
      </c>
      <c r="O665" s="5">
        <v>-65.451608489019094</v>
      </c>
      <c r="Q665">
        <f t="shared" si="149"/>
        <v>5.2486951638843156</v>
      </c>
      <c r="R665">
        <f t="shared" si="145"/>
        <v>10.560739367567866</v>
      </c>
    </row>
    <row r="666" spans="1:18" x14ac:dyDescent="0.25">
      <c r="A666">
        <f t="shared" si="140"/>
        <v>2008.3333333333301</v>
      </c>
      <c r="B666">
        <f t="shared" si="140"/>
        <v>19</v>
      </c>
      <c r="C666">
        <f t="shared" si="141"/>
        <v>-12.733605513161169</v>
      </c>
      <c r="D666">
        <f t="shared" si="146"/>
        <v>14</v>
      </c>
      <c r="E666">
        <f t="shared" si="146"/>
        <v>-2.4680568643034029</v>
      </c>
      <c r="F666">
        <f t="shared" si="147"/>
        <v>0.33333333333333331</v>
      </c>
      <c r="G666">
        <f t="shared" si="148"/>
        <v>-4.3003007123246567E-3</v>
      </c>
      <c r="H666">
        <f t="shared" si="151"/>
        <v>2.4999999999999996</v>
      </c>
      <c r="I666">
        <f t="shared" si="151"/>
        <v>1.8566223424097046</v>
      </c>
      <c r="J666">
        <f t="shared" si="142"/>
        <v>2008.3333333333301</v>
      </c>
      <c r="K666">
        <f t="shared" si="143"/>
        <v>19</v>
      </c>
      <c r="L666">
        <f t="shared" si="144"/>
        <v>-51.085159598180397</v>
      </c>
      <c r="M666" s="5">
        <v>1935.3333333333301</v>
      </c>
      <c r="N666" s="5">
        <v>-30</v>
      </c>
      <c r="O666" s="5">
        <v>-29.1628583836006</v>
      </c>
      <c r="Q666">
        <f t="shared" si="149"/>
        <v>0.33763363404565799</v>
      </c>
      <c r="R666">
        <f t="shared" si="145"/>
        <v>31.733605513161169</v>
      </c>
    </row>
    <row r="667" spans="1:18" x14ac:dyDescent="0.25">
      <c r="A667">
        <f t="shared" si="140"/>
        <v>2008.4166666666599</v>
      </c>
      <c r="B667">
        <f t="shared" si="140"/>
        <v>19</v>
      </c>
      <c r="C667">
        <f t="shared" si="141"/>
        <v>-22.091836665283399</v>
      </c>
      <c r="D667">
        <f t="shared" si="146"/>
        <v>1</v>
      </c>
      <c r="E667">
        <f t="shared" si="146"/>
        <v>0.9152361312899977</v>
      </c>
      <c r="F667">
        <f t="shared" si="147"/>
        <v>18.333333333333332</v>
      </c>
      <c r="G667">
        <f t="shared" si="148"/>
        <v>-0.97510246730561034</v>
      </c>
      <c r="H667">
        <f t="shared" si="151"/>
        <v>3.3666666666666663</v>
      </c>
      <c r="I667">
        <f t="shared" si="151"/>
        <v>0.5863388820248191</v>
      </c>
      <c r="J667">
        <f t="shared" si="142"/>
        <v>2008.4166666666599</v>
      </c>
      <c r="K667">
        <f t="shared" si="143"/>
        <v>19</v>
      </c>
      <c r="L667">
        <f t="shared" si="144"/>
        <v>-62.314698359034303</v>
      </c>
      <c r="M667" s="5">
        <v>1935.4166666666599</v>
      </c>
      <c r="N667" s="5">
        <v>-30</v>
      </c>
      <c r="O667" s="5">
        <v>6.3939909212872301</v>
      </c>
      <c r="Q667">
        <f t="shared" si="149"/>
        <v>19.308435800638943</v>
      </c>
      <c r="R667">
        <f t="shared" si="145"/>
        <v>41.091836665283395</v>
      </c>
    </row>
    <row r="668" spans="1:18" x14ac:dyDescent="0.25">
      <c r="A668">
        <f t="shared" si="140"/>
        <v>2008.5</v>
      </c>
      <c r="B668">
        <f t="shared" si="140"/>
        <v>17</v>
      </c>
      <c r="C668">
        <f t="shared" si="141"/>
        <v>-33.280540079985627</v>
      </c>
      <c r="D668">
        <f t="shared" si="146"/>
        <v>40</v>
      </c>
      <c r="E668">
        <f t="shared" si="146"/>
        <v>-2.1038135193826335</v>
      </c>
      <c r="F668">
        <f t="shared" si="147"/>
        <v>0</v>
      </c>
      <c r="G668">
        <f t="shared" si="148"/>
        <v>-0.11457764079434299</v>
      </c>
      <c r="H668">
        <f t="shared" si="151"/>
        <v>0.53333333333333321</v>
      </c>
      <c r="I668">
        <f t="shared" si="151"/>
        <v>-0.30440776290718269</v>
      </c>
      <c r="J668">
        <f t="shared" si="142"/>
        <v>2008.5</v>
      </c>
      <c r="K668">
        <f t="shared" si="143"/>
        <v>17</v>
      </c>
      <c r="L668">
        <f t="shared" si="144"/>
        <v>-75.740737600499699</v>
      </c>
      <c r="M668" s="5">
        <v>1935.5</v>
      </c>
      <c r="N668" s="5">
        <v>-30</v>
      </c>
      <c r="O668" s="5">
        <v>15.656097634056501</v>
      </c>
      <c r="Q668">
        <f t="shared" si="149"/>
        <v>0.11457764079434299</v>
      </c>
      <c r="R668">
        <f t="shared" si="145"/>
        <v>50.280540079985627</v>
      </c>
    </row>
    <row r="669" spans="1:18" x14ac:dyDescent="0.25">
      <c r="A669">
        <f t="shared" si="140"/>
        <v>2008.5833333333301</v>
      </c>
      <c r="B669">
        <f t="shared" si="140"/>
        <v>-65</v>
      </c>
      <c r="C669">
        <f t="shared" si="141"/>
        <v>-40.261616455922592</v>
      </c>
      <c r="D669">
        <f t="shared" si="146"/>
        <v>-41</v>
      </c>
      <c r="E669">
        <f t="shared" si="146"/>
        <v>0.75891123511384961</v>
      </c>
      <c r="F669">
        <f t="shared" si="147"/>
        <v>-0.33333333333333331</v>
      </c>
      <c r="G669">
        <f t="shared" si="148"/>
        <v>0.27697965505205768</v>
      </c>
      <c r="H669">
        <f t="shared" si="151"/>
        <v>0.46666666666666679</v>
      </c>
      <c r="I669">
        <f t="shared" si="151"/>
        <v>-0.91685253545538392</v>
      </c>
      <c r="J669">
        <f t="shared" si="142"/>
        <v>2008.5833333333301</v>
      </c>
      <c r="K669">
        <f t="shared" si="143"/>
        <v>-65</v>
      </c>
      <c r="L669">
        <f t="shared" si="144"/>
        <v>-84.117776645777795</v>
      </c>
      <c r="M669" s="5">
        <v>1935.5833333333301</v>
      </c>
      <c r="N669" s="5">
        <v>-30</v>
      </c>
      <c r="O669" s="5">
        <v>26.5065557265828</v>
      </c>
      <c r="Q669">
        <f t="shared" si="149"/>
        <v>0.61031298838539105</v>
      </c>
      <c r="R669">
        <f t="shared" si="145"/>
        <v>24.738383544077408</v>
      </c>
    </row>
    <row r="670" spans="1:18" x14ac:dyDescent="0.25">
      <c r="A670">
        <f t="shared" si="140"/>
        <v>2008.6666666666599</v>
      </c>
      <c r="B670">
        <f t="shared" si="140"/>
        <v>-65</v>
      </c>
      <c r="C670">
        <f t="shared" si="141"/>
        <v>-48.760515302087256</v>
      </c>
      <c r="D670">
        <f t="shared" si="146"/>
        <v>0</v>
      </c>
      <c r="E670">
        <f t="shared" si="146"/>
        <v>2.3835759907140002</v>
      </c>
      <c r="F670">
        <f t="shared" si="147"/>
        <v>-15.666666666666666</v>
      </c>
      <c r="G670">
        <f t="shared" si="148"/>
        <v>-0.70503806077569309</v>
      </c>
      <c r="H670">
        <f t="shared" si="151"/>
        <v>-4.3</v>
      </c>
      <c r="I670">
        <f t="shared" si="151"/>
        <v>-1.5731367839918033</v>
      </c>
      <c r="J670">
        <f t="shared" si="142"/>
        <v>2008.6666666666599</v>
      </c>
      <c r="K670">
        <f t="shared" si="143"/>
        <v>-65</v>
      </c>
      <c r="L670">
        <f t="shared" si="144"/>
        <v>-94.3161477338802</v>
      </c>
      <c r="M670" s="5">
        <v>1935.6666666666599</v>
      </c>
      <c r="N670" s="5">
        <v>-30</v>
      </c>
      <c r="O670" s="5">
        <v>34.574784606369803</v>
      </c>
      <c r="Q670">
        <f t="shared" si="149"/>
        <v>14.961628605890972</v>
      </c>
      <c r="R670">
        <f t="shared" si="145"/>
        <v>16.239484697912744</v>
      </c>
    </row>
    <row r="671" spans="1:18" x14ac:dyDescent="0.25">
      <c r="A671">
        <f t="shared" si="140"/>
        <v>2008.75</v>
      </c>
      <c r="B671">
        <f t="shared" si="140"/>
        <v>-65</v>
      </c>
      <c r="C671">
        <f t="shared" si="141"/>
        <v>-62.026566129679921</v>
      </c>
      <c r="D671">
        <f t="shared" si="146"/>
        <v>-6</v>
      </c>
      <c r="E671">
        <f t="shared" si="146"/>
        <v>-5.7863799537366987</v>
      </c>
      <c r="F671">
        <f t="shared" si="147"/>
        <v>0</v>
      </c>
      <c r="G671">
        <f t="shared" si="148"/>
        <v>-3.0665241634533307</v>
      </c>
      <c r="H671">
        <f t="shared" si="151"/>
        <v>-3.9</v>
      </c>
      <c r="I671">
        <f t="shared" si="151"/>
        <v>-1.8050531682222903</v>
      </c>
      <c r="J671">
        <f t="shared" si="142"/>
        <v>2008.75</v>
      </c>
      <c r="K671">
        <f t="shared" si="143"/>
        <v>-65</v>
      </c>
      <c r="L671">
        <f t="shared" si="144"/>
        <v>-110.234928703308</v>
      </c>
      <c r="M671" s="5">
        <v>1935.75</v>
      </c>
      <c r="N671" s="5">
        <v>-30</v>
      </c>
      <c r="O671" s="5">
        <v>15.7882974831202</v>
      </c>
      <c r="Q671">
        <f t="shared" si="149"/>
        <v>3.0665241634533307</v>
      </c>
      <c r="R671">
        <f t="shared" si="145"/>
        <v>2.9734338703200791</v>
      </c>
    </row>
    <row r="672" spans="1:18" x14ac:dyDescent="0.25">
      <c r="A672">
        <f t="shared" si="140"/>
        <v>2008.8333333333301</v>
      </c>
      <c r="B672">
        <f t="shared" si="140"/>
        <v>-53</v>
      </c>
      <c r="C672">
        <f t="shared" si="141"/>
        <v>-63.719857049799188</v>
      </c>
      <c r="D672">
        <f t="shared" si="146"/>
        <v>6</v>
      </c>
      <c r="E672">
        <f t="shared" si="146"/>
        <v>-8.0966616499272916</v>
      </c>
      <c r="F672">
        <f t="shared" si="147"/>
        <v>-5.5</v>
      </c>
      <c r="G672">
        <f t="shared" si="148"/>
        <v>-4.2565237099877073</v>
      </c>
      <c r="H672">
        <f t="shared" si="151"/>
        <v>-2.2999999999999994</v>
      </c>
      <c r="I672">
        <f t="shared" si="151"/>
        <v>-1.0871230239725531</v>
      </c>
      <c r="J672">
        <f t="shared" si="142"/>
        <v>2008.8333333333301</v>
      </c>
      <c r="K672">
        <f t="shared" si="143"/>
        <v>-53</v>
      </c>
      <c r="L672">
        <f t="shared" si="144"/>
        <v>-112.266816536787</v>
      </c>
      <c r="M672" s="5">
        <v>1935.8333333333301</v>
      </c>
      <c r="N672" s="5">
        <v>-30</v>
      </c>
      <c r="O672" s="5">
        <v>-22.248429038166002</v>
      </c>
      <c r="Q672">
        <f t="shared" si="149"/>
        <v>1.2434762900122927</v>
      </c>
      <c r="R672">
        <f t="shared" si="145"/>
        <v>10.719857049799188</v>
      </c>
    </row>
    <row r="673" spans="1:18" x14ac:dyDescent="0.25">
      <c r="A673">
        <f t="shared" si="140"/>
        <v>2008.9166666666599</v>
      </c>
      <c r="B673">
        <f t="shared" si="140"/>
        <v>-53</v>
      </c>
      <c r="C673">
        <f t="shared" si="141"/>
        <v>-49.219824670063872</v>
      </c>
      <c r="D673">
        <f t="shared" si="146"/>
        <v>-16.5</v>
      </c>
      <c r="E673">
        <f t="shared" si="146"/>
        <v>-2.0789223087899131</v>
      </c>
      <c r="F673">
        <f t="shared" si="147"/>
        <v>2</v>
      </c>
      <c r="G673">
        <f t="shared" si="148"/>
        <v>-1.2741595619467783</v>
      </c>
      <c r="H673">
        <f t="shared" si="151"/>
        <v>2.2000000000000002</v>
      </c>
      <c r="I673">
        <f t="shared" si="151"/>
        <v>0.25953441880814249</v>
      </c>
      <c r="J673">
        <f t="shared" si="142"/>
        <v>2008.9166666666599</v>
      </c>
      <c r="K673">
        <f t="shared" si="143"/>
        <v>-53</v>
      </c>
      <c r="L673">
        <f t="shared" si="144"/>
        <v>-94.867302355632305</v>
      </c>
      <c r="M673" s="5">
        <v>1935.9166666666599</v>
      </c>
      <c r="N673" s="5">
        <v>-30</v>
      </c>
      <c r="O673" s="5">
        <v>-58.185942323638002</v>
      </c>
      <c r="Q673">
        <f t="shared" si="149"/>
        <v>3.274159561946778</v>
      </c>
      <c r="R673">
        <f t="shared" si="145"/>
        <v>3.780175329936128</v>
      </c>
    </row>
    <row r="674" spans="1:18" x14ac:dyDescent="0.25">
      <c r="A674">
        <f t="shared" si="140"/>
        <v>2009</v>
      </c>
      <c r="B674">
        <f t="shared" si="140"/>
        <v>-20</v>
      </c>
      <c r="C674">
        <f t="shared" si="141"/>
        <v>-30.561947672748733</v>
      </c>
      <c r="D674">
        <f t="shared" si="146"/>
        <v>16.5</v>
      </c>
      <c r="E674">
        <f t="shared" si="146"/>
        <v>5.3974856014167862</v>
      </c>
      <c r="F674">
        <f t="shared" si="147"/>
        <v>7.666666666666667</v>
      </c>
      <c r="G674">
        <f t="shared" si="148"/>
        <v>3.8666303763007441</v>
      </c>
      <c r="H674">
        <f t="shared" si="151"/>
        <v>2.9666666666666668</v>
      </c>
      <c r="I674">
        <f t="shared" si="151"/>
        <v>1.7131950048939739</v>
      </c>
      <c r="J674">
        <f t="shared" si="142"/>
        <v>2009</v>
      </c>
      <c r="K674">
        <f t="shared" si="143"/>
        <v>-20</v>
      </c>
      <c r="L674">
        <f t="shared" si="144"/>
        <v>-72.478525082367298</v>
      </c>
      <c r="M674" s="5">
        <v>1936</v>
      </c>
      <c r="N674" s="5">
        <v>-30</v>
      </c>
      <c r="O674" s="5">
        <v>-89.238629076828104</v>
      </c>
      <c r="Q674">
        <f t="shared" si="149"/>
        <v>3.8000362903659228</v>
      </c>
      <c r="R674">
        <f t="shared" si="145"/>
        <v>10.561947672748733</v>
      </c>
    </row>
    <row r="675" spans="1:18" x14ac:dyDescent="0.25">
      <c r="A675">
        <f t="shared" si="140"/>
        <v>2009.0833333333301</v>
      </c>
      <c r="B675">
        <f t="shared" si="140"/>
        <v>-20</v>
      </c>
      <c r="C675">
        <f t="shared" si="141"/>
        <v>-22.699041878267163</v>
      </c>
      <c r="D675">
        <f t="shared" si="146"/>
        <v>23</v>
      </c>
      <c r="E675">
        <f t="shared" si="146"/>
        <v>11.181300618500916</v>
      </c>
      <c r="F675">
        <f t="shared" si="147"/>
        <v>6.833333333333333</v>
      </c>
      <c r="G675">
        <f t="shared" si="148"/>
        <v>6.028249153127784</v>
      </c>
      <c r="H675">
        <f t="shared" si="151"/>
        <v>3.333333333333333</v>
      </c>
      <c r="I675">
        <f t="shared" si="151"/>
        <v>2.7099051037451467</v>
      </c>
      <c r="J675">
        <f t="shared" si="142"/>
        <v>2009.0833333333301</v>
      </c>
      <c r="K675">
        <f t="shared" si="143"/>
        <v>-20</v>
      </c>
      <c r="L675">
        <f t="shared" si="144"/>
        <v>-63.043322643277101</v>
      </c>
      <c r="M675" s="5">
        <v>1936.0833333333301</v>
      </c>
      <c r="N675" s="5">
        <v>-30</v>
      </c>
      <c r="O675" s="5">
        <v>-108.949108684058</v>
      </c>
      <c r="Q675">
        <f t="shared" si="149"/>
        <v>0.80508418020554906</v>
      </c>
      <c r="R675">
        <f t="shared" si="145"/>
        <v>2.6990418782671632</v>
      </c>
    </row>
    <row r="676" spans="1:18" x14ac:dyDescent="0.25">
      <c r="A676">
        <f t="shared" si="140"/>
        <v>2009.1666666666599</v>
      </c>
      <c r="B676">
        <f t="shared" si="140"/>
        <v>-66</v>
      </c>
      <c r="C676">
        <f t="shared" si="141"/>
        <v>-37.19873732078743</v>
      </c>
      <c r="D676">
        <f t="shared" si="146"/>
        <v>-19</v>
      </c>
      <c r="E676">
        <f t="shared" si="146"/>
        <v>6.0271481043114861</v>
      </c>
      <c r="F676">
        <f t="shared" si="147"/>
        <v>3.8333333333333335</v>
      </c>
      <c r="G676">
        <f t="shared" si="148"/>
        <v>4.2017787669758269</v>
      </c>
      <c r="H676">
        <f t="shared" si="151"/>
        <v>2.6666666666666665</v>
      </c>
      <c r="I676">
        <f t="shared" si="151"/>
        <v>2.5552850291868996</v>
      </c>
      <c r="J676">
        <f t="shared" si="142"/>
        <v>2009.1666666666599</v>
      </c>
      <c r="K676">
        <f t="shared" si="143"/>
        <v>-66</v>
      </c>
      <c r="L676">
        <f t="shared" si="144"/>
        <v>-80.442432511965606</v>
      </c>
      <c r="M676" s="5">
        <v>1936.1666666666599</v>
      </c>
      <c r="N676" s="5">
        <v>-30</v>
      </c>
      <c r="O676" s="5">
        <v>-124.047622571925</v>
      </c>
      <c r="Q676">
        <f t="shared" si="149"/>
        <v>0.36844543364249338</v>
      </c>
      <c r="R676">
        <f t="shared" si="145"/>
        <v>28.80126267921257</v>
      </c>
    </row>
    <row r="677" spans="1:18" x14ac:dyDescent="0.25">
      <c r="A677">
        <f t="shared" si="140"/>
        <v>2009.25</v>
      </c>
      <c r="B677">
        <f t="shared" si="140"/>
        <v>-74</v>
      </c>
      <c r="C677">
        <f t="shared" si="141"/>
        <v>-63.752728971930665</v>
      </c>
      <c r="D677">
        <f t="shared" si="146"/>
        <v>7.5</v>
      </c>
      <c r="E677">
        <f t="shared" si="146"/>
        <v>-1.4517783466530503</v>
      </c>
      <c r="F677">
        <f t="shared" si="147"/>
        <v>-3.6666666666666665</v>
      </c>
      <c r="G677">
        <f t="shared" si="148"/>
        <v>0.72702678426815437</v>
      </c>
      <c r="H677">
        <f t="shared" si="151"/>
        <v>6.6666666666666791E-2</v>
      </c>
      <c r="I677">
        <f t="shared" si="151"/>
        <v>1.0989141778070366</v>
      </c>
      <c r="J677">
        <f t="shared" si="142"/>
        <v>2009.25</v>
      </c>
      <c r="K677">
        <f t="shared" si="143"/>
        <v>-74</v>
      </c>
      <c r="L677">
        <f t="shared" si="144"/>
        <v>-112.30626165389501</v>
      </c>
      <c r="M677" s="5">
        <v>1936.25</v>
      </c>
      <c r="N677" s="5">
        <v>-30</v>
      </c>
      <c r="O677" s="5">
        <v>-139.25497425110601</v>
      </c>
      <c r="Q677">
        <f t="shared" si="149"/>
        <v>4.3936934509348209</v>
      </c>
      <c r="R677">
        <f t="shared" si="145"/>
        <v>10.247271028069335</v>
      </c>
    </row>
    <row r="678" spans="1:18" x14ac:dyDescent="0.25">
      <c r="A678">
        <f t="shared" si="140"/>
        <v>2009.3333333333301</v>
      </c>
      <c r="B678">
        <f t="shared" si="140"/>
        <v>-97</v>
      </c>
      <c r="C678">
        <f t="shared" si="141"/>
        <v>-87.4031639297678</v>
      </c>
      <c r="D678">
        <f t="shared" si="146"/>
        <v>0.5</v>
      </c>
      <c r="E678">
        <f t="shared" si="146"/>
        <v>-1.849019316652857</v>
      </c>
      <c r="F678">
        <f t="shared" si="147"/>
        <v>-1.3333333333333333</v>
      </c>
      <c r="G678">
        <f t="shared" si="148"/>
        <v>-2.047259934738014</v>
      </c>
      <c r="H678">
        <f t="shared" si="151"/>
        <v>-2.5333333333333332</v>
      </c>
      <c r="I678">
        <f t="shared" si="151"/>
        <v>-0.90237722974687329</v>
      </c>
      <c r="J678">
        <f t="shared" si="142"/>
        <v>2009.3333333333301</v>
      </c>
      <c r="K678">
        <f t="shared" si="143"/>
        <v>-97</v>
      </c>
      <c r="L678">
        <f t="shared" si="144"/>
        <v>-140.68592782722499</v>
      </c>
      <c r="M678" s="5">
        <v>1936.3333333333301</v>
      </c>
      <c r="N678" s="5">
        <v>-30</v>
      </c>
      <c r="O678" s="5">
        <v>-154.322321173603</v>
      </c>
      <c r="Q678">
        <f t="shared" si="149"/>
        <v>0.71392660140468078</v>
      </c>
      <c r="R678">
        <f t="shared" si="145"/>
        <v>9.5968360702322002</v>
      </c>
    </row>
    <row r="679" spans="1:18" x14ac:dyDescent="0.25">
      <c r="A679">
        <f t="shared" si="140"/>
        <v>2009.4166666666599</v>
      </c>
      <c r="B679">
        <f t="shared" si="140"/>
        <v>-121</v>
      </c>
      <c r="C679">
        <f t="shared" si="141"/>
        <v>-107.35556025429921</v>
      </c>
      <c r="D679">
        <f t="shared" si="146"/>
        <v>-12</v>
      </c>
      <c r="E679">
        <f t="shared" si="146"/>
        <v>-4.376427091961645</v>
      </c>
      <c r="F679">
        <f t="shared" si="147"/>
        <v>-5.333333333333333</v>
      </c>
      <c r="G679">
        <f t="shared" si="148"/>
        <v>-3.4152238805985693</v>
      </c>
      <c r="H679">
        <f t="shared" si="151"/>
        <v>-3.3</v>
      </c>
      <c r="I679">
        <f t="shared" si="151"/>
        <v>-2.2764740991533192</v>
      </c>
      <c r="J679">
        <f t="shared" si="142"/>
        <v>2009.4166666666599</v>
      </c>
      <c r="K679">
        <f t="shared" si="143"/>
        <v>-121</v>
      </c>
      <c r="L679">
        <f t="shared" si="144"/>
        <v>-164.628081451784</v>
      </c>
      <c r="M679" s="5">
        <v>1936.4166666666599</v>
      </c>
      <c r="N679" s="5">
        <v>-30</v>
      </c>
      <c r="O679" s="5">
        <v>-170.546561528464</v>
      </c>
      <c r="Q679">
        <f t="shared" si="149"/>
        <v>1.9181094527347637</v>
      </c>
      <c r="R679">
        <f t="shared" si="145"/>
        <v>13.644439745700794</v>
      </c>
    </row>
    <row r="680" spans="1:18" x14ac:dyDescent="0.25">
      <c r="A680">
        <f t="shared" si="140"/>
        <v>2009.5</v>
      </c>
      <c r="B680">
        <f t="shared" si="140"/>
        <v>-121</v>
      </c>
      <c r="C680">
        <f t="shared" si="141"/>
        <v>-118.55510239490732</v>
      </c>
      <c r="D680">
        <f t="shared" si="146"/>
        <v>-4.5</v>
      </c>
      <c r="E680">
        <f t="shared" si="146"/>
        <v>-6.5816431436301315</v>
      </c>
      <c r="F680">
        <f t="shared" si="147"/>
        <v>-6.166666666666667</v>
      </c>
      <c r="G680">
        <f t="shared" si="148"/>
        <v>-3.9782078846417641</v>
      </c>
      <c r="H680">
        <f t="shared" ref="H680:I695" si="152">+AVERAGE(F678:F682)</f>
        <v>-2.2666666666666666</v>
      </c>
      <c r="I680">
        <f t="shared" si="152"/>
        <v>-2.5414349928940401</v>
      </c>
      <c r="J680">
        <f t="shared" si="142"/>
        <v>2009.5</v>
      </c>
      <c r="K680">
        <f t="shared" si="143"/>
        <v>-121</v>
      </c>
      <c r="L680">
        <f t="shared" si="144"/>
        <v>-178.06712677214401</v>
      </c>
      <c r="M680" s="5">
        <v>1936.5</v>
      </c>
      <c r="N680" s="5">
        <v>-30</v>
      </c>
      <c r="O680" s="5">
        <v>-179.75483801308499</v>
      </c>
      <c r="Q680">
        <f t="shared" si="149"/>
        <v>2.1884587820249028</v>
      </c>
      <c r="R680">
        <f t="shared" si="145"/>
        <v>2.4448976050926774</v>
      </c>
    </row>
    <row r="681" spans="1:18" x14ac:dyDescent="0.25">
      <c r="A681">
        <f t="shared" si="140"/>
        <v>2009.5833333333301</v>
      </c>
      <c r="B681">
        <f t="shared" si="140"/>
        <v>-112</v>
      </c>
      <c r="C681">
        <f t="shared" si="141"/>
        <v>-116.59135824825518</v>
      </c>
      <c r="D681">
        <f t="shared" si="146"/>
        <v>-2</v>
      </c>
      <c r="E681">
        <f t="shared" si="146"/>
        <v>-3.9602093318148377</v>
      </c>
      <c r="F681">
        <f t="shared" si="147"/>
        <v>0</v>
      </c>
      <c r="G681">
        <f t="shared" si="148"/>
        <v>-2.6687055800564017</v>
      </c>
      <c r="H681">
        <f t="shared" si="152"/>
        <v>-1.6666666666666667</v>
      </c>
      <c r="I681">
        <f t="shared" si="152"/>
        <v>-2.0445167891300331</v>
      </c>
      <c r="J681">
        <f t="shared" si="142"/>
        <v>2009.5833333333301</v>
      </c>
      <c r="K681">
        <f t="shared" si="143"/>
        <v>-112</v>
      </c>
      <c r="L681">
        <f t="shared" si="144"/>
        <v>-175.71070485300501</v>
      </c>
      <c r="M681" s="5">
        <v>1936.5833333333301</v>
      </c>
      <c r="N681" s="5">
        <v>-30</v>
      </c>
      <c r="O681" s="5">
        <v>-175.850686698716</v>
      </c>
      <c r="Q681">
        <f t="shared" si="149"/>
        <v>2.6687055800564017</v>
      </c>
      <c r="R681">
        <f t="shared" si="145"/>
        <v>4.591358248255176</v>
      </c>
    </row>
    <row r="682" spans="1:18" x14ac:dyDescent="0.25">
      <c r="A682">
        <f t="shared" si="140"/>
        <v>2009.6666666666599</v>
      </c>
      <c r="B682">
        <f t="shared" si="140"/>
        <v>-99</v>
      </c>
      <c r="C682">
        <f t="shared" si="141"/>
        <v>-106.70719543797335</v>
      </c>
      <c r="D682">
        <f t="shared" si="146"/>
        <v>6.5</v>
      </c>
      <c r="E682">
        <f t="shared" si="146"/>
        <v>0.53420655023346342</v>
      </c>
      <c r="F682">
        <f t="shared" si="147"/>
        <v>1.5</v>
      </c>
      <c r="G682">
        <f t="shared" si="148"/>
        <v>-0.59777768443545187</v>
      </c>
      <c r="H682">
        <f t="shared" si="152"/>
        <v>-0.6</v>
      </c>
      <c r="I682">
        <f t="shared" si="152"/>
        <v>-1.4062402318049463</v>
      </c>
      <c r="J682">
        <f t="shared" si="142"/>
        <v>2009.6666666666599</v>
      </c>
      <c r="K682">
        <f t="shared" si="143"/>
        <v>-99</v>
      </c>
      <c r="L682">
        <f t="shared" si="144"/>
        <v>-163.85006713286501</v>
      </c>
      <c r="M682" s="5">
        <v>1936.6666666666599</v>
      </c>
      <c r="N682" s="5">
        <v>-30</v>
      </c>
      <c r="O682" s="5">
        <v>-167.017327553271</v>
      </c>
      <c r="Q682">
        <f t="shared" si="149"/>
        <v>2.0977776844354521</v>
      </c>
      <c r="R682">
        <f t="shared" si="145"/>
        <v>7.707195437973354</v>
      </c>
    </row>
    <row r="683" spans="1:18" x14ac:dyDescent="0.25">
      <c r="A683">
        <f t="shared" si="140"/>
        <v>2009.75</v>
      </c>
      <c r="B683">
        <f t="shared" si="140"/>
        <v>-99</v>
      </c>
      <c r="C683">
        <f t="shared" si="141"/>
        <v>-97.891445728158459</v>
      </c>
      <c r="D683">
        <f t="shared" si="146"/>
        <v>0</v>
      </c>
      <c r="E683">
        <f t="shared" si="146"/>
        <v>1.18433646494843</v>
      </c>
      <c r="F683">
        <f t="shared" si="147"/>
        <v>1.6666666666666667</v>
      </c>
      <c r="G683">
        <f t="shared" si="148"/>
        <v>0.43733108408202198</v>
      </c>
      <c r="H683">
        <f t="shared" si="152"/>
        <v>0.56666666666666665</v>
      </c>
      <c r="I683">
        <f t="shared" si="152"/>
        <v>-0.7587752124362479</v>
      </c>
      <c r="J683">
        <f t="shared" si="142"/>
        <v>2009.75</v>
      </c>
      <c r="K683">
        <f t="shared" si="143"/>
        <v>-99</v>
      </c>
      <c r="L683">
        <f t="shared" si="144"/>
        <v>-153.271486473431</v>
      </c>
      <c r="M683" s="5">
        <v>1936.75</v>
      </c>
      <c r="N683" s="5">
        <v>-30</v>
      </c>
      <c r="O683" s="5">
        <v>-165.00583418566401</v>
      </c>
      <c r="Q683">
        <f t="shared" si="149"/>
        <v>1.2293355825846448</v>
      </c>
      <c r="R683">
        <f t="shared" si="145"/>
        <v>1.1085542718415411</v>
      </c>
    </row>
    <row r="684" spans="1:18" x14ac:dyDescent="0.25">
      <c r="A684">
        <f t="shared" si="140"/>
        <v>2009.8333333333301</v>
      </c>
      <c r="B684">
        <f t="shared" si="140"/>
        <v>-99</v>
      </c>
      <c r="C684">
        <f t="shared" si="141"/>
        <v>-91.444368948240424</v>
      </c>
      <c r="D684">
        <f t="shared" si="146"/>
        <v>-1.5</v>
      </c>
      <c r="E684">
        <f t="shared" si="146"/>
        <v>-7.8551449874311174E-2</v>
      </c>
      <c r="F684">
        <f t="shared" si="147"/>
        <v>0</v>
      </c>
      <c r="G684">
        <f t="shared" si="148"/>
        <v>-0.22384109397313523</v>
      </c>
      <c r="H684">
        <f t="shared" si="152"/>
        <v>0.56666666666666665</v>
      </c>
      <c r="I684">
        <f t="shared" si="152"/>
        <v>-5.1773473890796895E-2</v>
      </c>
      <c r="J684">
        <f t="shared" si="142"/>
        <v>2009.8333333333301</v>
      </c>
      <c r="K684">
        <f t="shared" si="143"/>
        <v>-99</v>
      </c>
      <c r="L684">
        <f t="shared" si="144"/>
        <v>-145.53522762093701</v>
      </c>
      <c r="M684" s="5">
        <v>1936.8333333333301</v>
      </c>
      <c r="N684" s="5">
        <v>-30</v>
      </c>
      <c r="O684" s="5">
        <v>-167.912373611487</v>
      </c>
      <c r="Q684">
        <f t="shared" si="149"/>
        <v>0.22384109397313523</v>
      </c>
      <c r="R684">
        <f t="shared" si="145"/>
        <v>7.5556310517595762</v>
      </c>
    </row>
    <row r="685" spans="1:18" x14ac:dyDescent="0.25">
      <c r="A685">
        <f t="shared" si="140"/>
        <v>2009.9166666666599</v>
      </c>
      <c r="B685">
        <f t="shared" si="140"/>
        <v>-96</v>
      </c>
      <c r="C685">
        <f t="shared" si="141"/>
        <v>-84.840189268573766</v>
      </c>
      <c r="D685">
        <f t="shared" si="146"/>
        <v>1.5</v>
      </c>
      <c r="E685">
        <f t="shared" si="146"/>
        <v>-1.945189117473376</v>
      </c>
      <c r="F685">
        <f t="shared" si="147"/>
        <v>-0.33333333333333331</v>
      </c>
      <c r="G685">
        <f t="shared" si="148"/>
        <v>-0.7408827877982731</v>
      </c>
      <c r="H685">
        <f t="shared" si="152"/>
        <v>0.10000000000000002</v>
      </c>
      <c r="I685">
        <f t="shared" si="152"/>
        <v>0.51217865509479454</v>
      </c>
      <c r="J685">
        <f t="shared" si="142"/>
        <v>2009.9166666666599</v>
      </c>
      <c r="K685">
        <f t="shared" si="143"/>
        <v>-96</v>
      </c>
      <c r="L685">
        <f t="shared" si="144"/>
        <v>-137.610450973414</v>
      </c>
      <c r="M685" s="5">
        <v>1936.9166666666599</v>
      </c>
      <c r="N685" s="5">
        <v>-30</v>
      </c>
      <c r="O685" s="5">
        <v>-168.832552634747</v>
      </c>
      <c r="Q685">
        <f t="shared" si="149"/>
        <v>0.40754945446493979</v>
      </c>
      <c r="R685">
        <f t="shared" si="145"/>
        <v>11.159810731426234</v>
      </c>
    </row>
    <row r="686" spans="1:18" x14ac:dyDescent="0.25">
      <c r="A686">
        <f t="shared" si="140"/>
        <v>2010</v>
      </c>
      <c r="B686">
        <f t="shared" si="140"/>
        <v>-96</v>
      </c>
      <c r="C686">
        <f t="shared" si="141"/>
        <v>-74.345631353960357</v>
      </c>
      <c r="D686">
        <f t="shared" si="146"/>
        <v>-1</v>
      </c>
      <c r="E686">
        <f t="shared" si="146"/>
        <v>-0.75456988689583682</v>
      </c>
      <c r="F686">
        <f t="shared" si="147"/>
        <v>0</v>
      </c>
      <c r="G686">
        <f t="shared" si="148"/>
        <v>0.8663031126708538</v>
      </c>
      <c r="H686">
        <f t="shared" si="152"/>
        <v>-0.4</v>
      </c>
      <c r="I686">
        <f t="shared" si="152"/>
        <v>0.67237218755697581</v>
      </c>
      <c r="J686">
        <f t="shared" si="142"/>
        <v>2010</v>
      </c>
      <c r="K686">
        <f t="shared" si="143"/>
        <v>-96</v>
      </c>
      <c r="L686">
        <f t="shared" si="144"/>
        <v>-125.017361214838</v>
      </c>
      <c r="M686" s="5">
        <v>1937</v>
      </c>
      <c r="N686" s="5">
        <v>-30</v>
      </c>
      <c r="O686" s="5">
        <v>-162.213721370624</v>
      </c>
      <c r="Q686">
        <f t="shared" si="149"/>
        <v>0.8663031126708538</v>
      </c>
      <c r="R686">
        <f t="shared" si="145"/>
        <v>21.654368646039643</v>
      </c>
    </row>
    <row r="687" spans="1:18" x14ac:dyDescent="0.25">
      <c r="A687">
        <f t="shared" si="140"/>
        <v>2010.0833333333301</v>
      </c>
      <c r="B687">
        <f t="shared" si="140"/>
        <v>-94</v>
      </c>
      <c r="C687">
        <f t="shared" si="141"/>
        <v>-62.34193366555526</v>
      </c>
      <c r="D687">
        <f t="shared" si="146"/>
        <v>-0.5</v>
      </c>
      <c r="E687">
        <f t="shared" si="146"/>
        <v>5.948395676884914</v>
      </c>
      <c r="F687">
        <f t="shared" si="147"/>
        <v>-0.83333333333333337</v>
      </c>
      <c r="G687">
        <f t="shared" si="148"/>
        <v>2.2219829604925052</v>
      </c>
      <c r="H687">
        <f t="shared" si="152"/>
        <v>-3.8</v>
      </c>
      <c r="I687">
        <f t="shared" si="152"/>
        <v>0.25328380318184074</v>
      </c>
      <c r="J687">
        <f t="shared" si="142"/>
        <v>2010.0833333333301</v>
      </c>
      <c r="K687">
        <f t="shared" si="143"/>
        <v>-94</v>
      </c>
      <c r="L687">
        <f t="shared" si="144"/>
        <v>-110.613358334983</v>
      </c>
      <c r="M687" s="5">
        <v>1937.0833333333301</v>
      </c>
      <c r="N687" s="5">
        <v>-30</v>
      </c>
      <c r="O687" s="5">
        <v>-148.74864709334301</v>
      </c>
      <c r="Q687">
        <f t="shared" si="149"/>
        <v>3.0553162938258387</v>
      </c>
      <c r="R687">
        <f t="shared" si="145"/>
        <v>31.65806633444474</v>
      </c>
    </row>
    <row r="688" spans="1:18" x14ac:dyDescent="0.25">
      <c r="A688">
        <f t="shared" si="140"/>
        <v>2010.1666666666599</v>
      </c>
      <c r="B688">
        <f t="shared" si="140"/>
        <v>-91</v>
      </c>
      <c r="C688">
        <f t="shared" si="141"/>
        <v>-62.235027330920005</v>
      </c>
      <c r="D688">
        <f t="shared" si="146"/>
        <v>-1</v>
      </c>
      <c r="E688">
        <f t="shared" si="146"/>
        <v>3.1386103118578177</v>
      </c>
      <c r="F688">
        <f t="shared" si="147"/>
        <v>-0.83333333333333337</v>
      </c>
      <c r="G688">
        <f t="shared" si="148"/>
        <v>1.2382987463929283</v>
      </c>
      <c r="H688">
        <f t="shared" si="152"/>
        <v>-6.2666666666666675</v>
      </c>
      <c r="I688">
        <f t="shared" si="152"/>
        <v>-1.1243641770546182</v>
      </c>
      <c r="J688">
        <f t="shared" si="142"/>
        <v>2010.1666666666599</v>
      </c>
      <c r="K688">
        <f t="shared" si="143"/>
        <v>-91</v>
      </c>
      <c r="L688">
        <f t="shared" si="144"/>
        <v>-110.485074601759</v>
      </c>
      <c r="M688" s="5">
        <v>1937.1666666666599</v>
      </c>
      <c r="N688" s="5">
        <v>-30</v>
      </c>
      <c r="O688" s="5">
        <v>-136.33088621971601</v>
      </c>
      <c r="Q688">
        <f t="shared" si="149"/>
        <v>2.0716320797262617</v>
      </c>
      <c r="R688">
        <f t="shared" si="145"/>
        <v>28.764972669079995</v>
      </c>
    </row>
    <row r="689" spans="1:18" x14ac:dyDescent="0.25">
      <c r="A689">
        <f t="shared" si="140"/>
        <v>2010.25</v>
      </c>
      <c r="B689">
        <f t="shared" si="140"/>
        <v>-86</v>
      </c>
      <c r="C689">
        <f t="shared" si="141"/>
        <v>-68.405341620000371</v>
      </c>
      <c r="D689">
        <f t="shared" si="146"/>
        <v>-1</v>
      </c>
      <c r="E689">
        <f t="shared" si="146"/>
        <v>-4.4433856897692507</v>
      </c>
      <c r="F689">
        <f t="shared" si="147"/>
        <v>-17</v>
      </c>
      <c r="G689">
        <f t="shared" si="148"/>
        <v>-2.3192830158488107</v>
      </c>
      <c r="H689">
        <f t="shared" si="152"/>
        <v>-6.9</v>
      </c>
      <c r="I689">
        <f t="shared" si="152"/>
        <v>-3.2690790909807506</v>
      </c>
      <c r="J689">
        <f t="shared" si="142"/>
        <v>2010.25</v>
      </c>
      <c r="K689">
        <f t="shared" si="143"/>
        <v>-86</v>
      </c>
      <c r="L689">
        <f t="shared" si="144"/>
        <v>-117.889228479724</v>
      </c>
      <c r="M689" s="5">
        <v>1937.25</v>
      </c>
      <c r="N689" s="5">
        <v>-30</v>
      </c>
      <c r="O689" s="5">
        <v>-119.949902473178</v>
      </c>
      <c r="Q689">
        <f t="shared" si="149"/>
        <v>14.680716984151189</v>
      </c>
      <c r="R689">
        <f t="shared" si="145"/>
        <v>17.594658379999629</v>
      </c>
    </row>
    <row r="690" spans="1:18" x14ac:dyDescent="0.25">
      <c r="A690">
        <f t="shared" si="140"/>
        <v>2010.3333333333301</v>
      </c>
      <c r="B690">
        <f t="shared" si="140"/>
        <v>-79</v>
      </c>
      <c r="C690">
        <f t="shared" si="141"/>
        <v>-65.688884529542236</v>
      </c>
      <c r="D690">
        <f t="shared" si="146"/>
        <v>-49</v>
      </c>
      <c r="E690">
        <f t="shared" si="146"/>
        <v>-7.392535931521607</v>
      </c>
      <c r="F690">
        <f t="shared" si="147"/>
        <v>-12.666666666666666</v>
      </c>
      <c r="G690">
        <f t="shared" si="148"/>
        <v>-7.6291226889805674</v>
      </c>
      <c r="H690">
        <f t="shared" si="152"/>
        <v>-3.2333333333333329</v>
      </c>
      <c r="I690">
        <f t="shared" si="152"/>
        <v>-3.650523870757028</v>
      </c>
      <c r="J690">
        <f t="shared" si="142"/>
        <v>2010.3333333333301</v>
      </c>
      <c r="K690">
        <f t="shared" si="143"/>
        <v>-79</v>
      </c>
      <c r="L690">
        <f t="shared" si="144"/>
        <v>-114.629578264461</v>
      </c>
      <c r="M690" s="5">
        <v>1937.3333333333301</v>
      </c>
      <c r="N690" s="5">
        <v>-30</v>
      </c>
      <c r="O690" s="5">
        <v>-88.145323653644098</v>
      </c>
      <c r="Q690">
        <f t="shared" si="149"/>
        <v>5.0375439776860986</v>
      </c>
      <c r="R690">
        <f t="shared" si="145"/>
        <v>13.311115470457764</v>
      </c>
    </row>
    <row r="691" spans="1:18" x14ac:dyDescent="0.25">
      <c r="A691">
        <f t="shared" si="140"/>
        <v>2010.4166666666599</v>
      </c>
      <c r="B691">
        <f t="shared" si="140"/>
        <v>26</v>
      </c>
      <c r="C691">
        <f t="shared" si="141"/>
        <v>-48.187355576040886</v>
      </c>
      <c r="D691">
        <f t="shared" si="146"/>
        <v>12</v>
      </c>
      <c r="E691">
        <f t="shared" si="146"/>
        <v>-16.773288462386269</v>
      </c>
      <c r="F691">
        <f t="shared" si="147"/>
        <v>-3.1666666666666665</v>
      </c>
      <c r="G691">
        <f t="shared" si="148"/>
        <v>-9.8572714569598077</v>
      </c>
      <c r="H691">
        <f t="shared" si="152"/>
        <v>-0.3666666666666657</v>
      </c>
      <c r="I691">
        <f t="shared" si="152"/>
        <v>-1.564597899639018</v>
      </c>
      <c r="J691">
        <f t="shared" si="142"/>
        <v>2010.4166666666599</v>
      </c>
      <c r="K691">
        <f t="shared" si="143"/>
        <v>26</v>
      </c>
      <c r="L691">
        <f t="shared" si="144"/>
        <v>-93.628376802047796</v>
      </c>
      <c r="M691" s="5">
        <v>1937.4166666666599</v>
      </c>
      <c r="N691" s="5">
        <v>-30</v>
      </c>
      <c r="O691" s="5">
        <v>-44.848220067624702</v>
      </c>
      <c r="Q691">
        <f t="shared" si="149"/>
        <v>6.6906047902931416</v>
      </c>
      <c r="R691">
        <f t="shared" si="145"/>
        <v>74.187355576040886</v>
      </c>
    </row>
    <row r="692" spans="1:18" x14ac:dyDescent="0.25">
      <c r="A692">
        <f t="shared" si="140"/>
        <v>2010.5</v>
      </c>
      <c r="B692">
        <f t="shared" si="140"/>
        <v>107</v>
      </c>
      <c r="C692">
        <f t="shared" si="141"/>
        <v>2.8607503022330043</v>
      </c>
      <c r="D692">
        <f t="shared" si="146"/>
        <v>27.5</v>
      </c>
      <c r="E692">
        <f t="shared" si="146"/>
        <v>-12.798943569691399</v>
      </c>
      <c r="F692">
        <f t="shared" si="147"/>
        <v>17.5</v>
      </c>
      <c r="G692">
        <f t="shared" si="148"/>
        <v>0.314759061611116</v>
      </c>
      <c r="H692">
        <f t="shared" si="152"/>
        <v>8.1</v>
      </c>
      <c r="I692">
        <f t="shared" si="152"/>
        <v>3.0014196239568181</v>
      </c>
      <c r="J692">
        <f t="shared" si="142"/>
        <v>2010.5</v>
      </c>
      <c r="K692">
        <f t="shared" si="143"/>
        <v>107</v>
      </c>
      <c r="L692">
        <f t="shared" si="144"/>
        <v>-32.372496891638498</v>
      </c>
      <c r="M692" s="5">
        <v>1937.5</v>
      </c>
      <c r="N692" s="5">
        <v>-30</v>
      </c>
      <c r="O692" s="5">
        <v>10.516361060709199</v>
      </c>
      <c r="Q692">
        <f t="shared" si="149"/>
        <v>17.185240938388883</v>
      </c>
      <c r="R692">
        <f t="shared" si="145"/>
        <v>104.139249697767</v>
      </c>
    </row>
    <row r="693" spans="1:18" x14ac:dyDescent="0.25">
      <c r="A693">
        <f t="shared" si="140"/>
        <v>2010.5833333333301</v>
      </c>
      <c r="B693">
        <f t="shared" si="140"/>
        <v>133</v>
      </c>
      <c r="C693">
        <f t="shared" si="141"/>
        <v>79.506743319889694</v>
      </c>
      <c r="D693">
        <f t="shared" si="146"/>
        <v>13</v>
      </c>
      <c r="E693">
        <f t="shared" si="146"/>
        <v>30.752578513119353</v>
      </c>
      <c r="F693">
        <f t="shared" si="147"/>
        <v>13.5</v>
      </c>
      <c r="G693">
        <f t="shared" si="148"/>
        <v>11.667928601982977</v>
      </c>
      <c r="H693">
        <f t="shared" si="152"/>
        <v>13.233333333333334</v>
      </c>
      <c r="I693">
        <f t="shared" si="152"/>
        <v>5.9661555787153633</v>
      </c>
      <c r="J693">
        <f t="shared" si="142"/>
        <v>2010.5833333333301</v>
      </c>
      <c r="K693">
        <f t="shared" si="143"/>
        <v>133</v>
      </c>
      <c r="L693">
        <f t="shared" si="144"/>
        <v>59.599921342626502</v>
      </c>
      <c r="M693" s="5">
        <v>1937.5833333333301</v>
      </c>
      <c r="N693" s="5">
        <v>-30</v>
      </c>
      <c r="O693" s="5">
        <v>49.0574076249993</v>
      </c>
      <c r="Q693">
        <f t="shared" si="149"/>
        <v>1.8320713980170229</v>
      </c>
      <c r="R693">
        <f t="shared" si="145"/>
        <v>53.493256680110306</v>
      </c>
    </row>
    <row r="694" spans="1:18" x14ac:dyDescent="0.25">
      <c r="A694">
        <f t="shared" si="140"/>
        <v>2010.6666666666599</v>
      </c>
      <c r="B694">
        <f t="shared" si="140"/>
        <v>133</v>
      </c>
      <c r="C694">
        <f t="shared" si="141"/>
        <v>94.64757931130768</v>
      </c>
      <c r="D694">
        <f t="shared" si="146"/>
        <v>0</v>
      </c>
      <c r="E694">
        <f t="shared" si="146"/>
        <v>25.801097314008203</v>
      </c>
      <c r="F694">
        <f t="shared" si="147"/>
        <v>25.333333333333332</v>
      </c>
      <c r="G694">
        <f t="shared" si="148"/>
        <v>20.510804602130371</v>
      </c>
      <c r="H694">
        <f t="shared" si="152"/>
        <v>13.866666666666665</v>
      </c>
      <c r="I694">
        <f t="shared" si="152"/>
        <v>7.2296200393218042</v>
      </c>
      <c r="J694">
        <f t="shared" si="142"/>
        <v>2010.6666666666599</v>
      </c>
      <c r="K694">
        <f t="shared" si="143"/>
        <v>133</v>
      </c>
      <c r="L694">
        <f t="shared" si="144"/>
        <v>77.7683766707258</v>
      </c>
      <c r="M694" s="5">
        <v>1937.6666666666599</v>
      </c>
      <c r="N694" s="5">
        <v>-30</v>
      </c>
      <c r="O694" s="5">
        <v>51.7459092413268</v>
      </c>
      <c r="Q694">
        <f t="shared" si="149"/>
        <v>4.8225287312029614</v>
      </c>
      <c r="R694">
        <f t="shared" si="145"/>
        <v>38.35242068869232</v>
      </c>
    </row>
    <row r="695" spans="1:18" x14ac:dyDescent="0.25">
      <c r="A695">
        <f t="shared" si="140"/>
        <v>2010.75</v>
      </c>
      <c r="B695">
        <f t="shared" si="140"/>
        <v>133</v>
      </c>
      <c r="C695">
        <f t="shared" si="141"/>
        <v>58.186220674709261</v>
      </c>
      <c r="D695">
        <f t="shared" si="146"/>
        <v>63</v>
      </c>
      <c r="E695">
        <f t="shared" si="146"/>
        <v>20.361841430861318</v>
      </c>
      <c r="F695">
        <f t="shared" si="147"/>
        <v>13</v>
      </c>
      <c r="G695">
        <f t="shared" si="148"/>
        <v>7.1945570848121623</v>
      </c>
      <c r="H695">
        <f t="shared" si="152"/>
        <v>6.2666666666666657</v>
      </c>
      <c r="I695">
        <f t="shared" si="152"/>
        <v>5.1096308160765247</v>
      </c>
      <c r="J695">
        <f t="shared" si="142"/>
        <v>2010.75</v>
      </c>
      <c r="K695">
        <f t="shared" si="143"/>
        <v>133</v>
      </c>
      <c r="L695">
        <f t="shared" si="144"/>
        <v>34.016065638076803</v>
      </c>
      <c r="M695" s="5">
        <v>1937.75</v>
      </c>
      <c r="N695" s="5">
        <v>-30</v>
      </c>
      <c r="O695" s="5">
        <v>37.0714510618904</v>
      </c>
      <c r="Q695">
        <f t="shared" si="149"/>
        <v>5.8054429151878377</v>
      </c>
      <c r="R695">
        <f t="shared" si="145"/>
        <v>74.813779325290739</v>
      </c>
    </row>
    <row r="696" spans="1:18" x14ac:dyDescent="0.25">
      <c r="A696">
        <f t="shared" si="140"/>
        <v>2010.8333333333301</v>
      </c>
      <c r="B696">
        <f t="shared" si="140"/>
        <v>7</v>
      </c>
      <c r="C696">
        <f t="shared" si="141"/>
        <v>-18.998820823611798</v>
      </c>
      <c r="D696">
        <f t="shared" si="146"/>
        <v>-24</v>
      </c>
      <c r="E696">
        <f t="shared" si="146"/>
        <v>-19.183349676823912</v>
      </c>
      <c r="F696">
        <f t="shared" si="147"/>
        <v>0</v>
      </c>
      <c r="G696">
        <f t="shared" si="148"/>
        <v>-3.5399491539275978</v>
      </c>
      <c r="H696">
        <f t="shared" ref="H696:I711" si="153">+AVERAGE(F694:F698)</f>
        <v>1.099999999999999</v>
      </c>
      <c r="I696">
        <f t="shared" si="153"/>
        <v>1.8138529719834033</v>
      </c>
      <c r="J696">
        <f t="shared" si="142"/>
        <v>2010.8333333333301</v>
      </c>
      <c r="K696">
        <f t="shared" si="143"/>
        <v>7</v>
      </c>
      <c r="L696">
        <f t="shared" si="144"/>
        <v>-58.603191267856097</v>
      </c>
      <c r="M696" s="5">
        <v>1937.8333333333301</v>
      </c>
      <c r="N696" s="5">
        <v>-30</v>
      </c>
      <c r="O696" s="5">
        <v>34.670279490564901</v>
      </c>
      <c r="Q696">
        <f t="shared" si="149"/>
        <v>3.5399491539275978</v>
      </c>
      <c r="R696">
        <f t="shared" si="145"/>
        <v>25.998820823611798</v>
      </c>
    </row>
    <row r="697" spans="1:18" x14ac:dyDescent="0.25">
      <c r="A697">
        <f t="shared" si="140"/>
        <v>2010.9166666666599</v>
      </c>
      <c r="B697">
        <f t="shared" si="140"/>
        <v>-71</v>
      </c>
      <c r="C697">
        <f t="shared" si="141"/>
        <v>-57.817162968285032</v>
      </c>
      <c r="D697">
        <f t="shared" si="146"/>
        <v>-39</v>
      </c>
      <c r="E697">
        <f t="shared" si="146"/>
        <v>-14.453301081265899</v>
      </c>
      <c r="F697">
        <f t="shared" si="147"/>
        <v>-20.5</v>
      </c>
      <c r="G697">
        <f t="shared" si="148"/>
        <v>-10.285187054615283</v>
      </c>
      <c r="H697">
        <f t="shared" si="153"/>
        <v>-3.9666666666666672</v>
      </c>
      <c r="I697">
        <f t="shared" si="153"/>
        <v>-2.5317720032255453</v>
      </c>
      <c r="J697">
        <f t="shared" si="142"/>
        <v>2010.9166666666599</v>
      </c>
      <c r="K697">
        <f t="shared" si="143"/>
        <v>-71</v>
      </c>
      <c r="L697">
        <f t="shared" si="144"/>
        <v>-105.183797224233</v>
      </c>
      <c r="M697" s="5">
        <v>1937.9166666666599</v>
      </c>
      <c r="N697" s="5">
        <v>-30</v>
      </c>
      <c r="O697" s="5">
        <v>53.926639527987199</v>
      </c>
      <c r="Q697">
        <f t="shared" si="149"/>
        <v>10.214812945384717</v>
      </c>
      <c r="R697">
        <f t="shared" si="145"/>
        <v>13.182837031714968</v>
      </c>
    </row>
    <row r="698" spans="1:18" x14ac:dyDescent="0.25">
      <c r="A698">
        <f t="shared" si="140"/>
        <v>2011</v>
      </c>
      <c r="B698">
        <f t="shared" si="140"/>
        <v>-71</v>
      </c>
      <c r="C698">
        <f t="shared" si="141"/>
        <v>-67.728902950426473</v>
      </c>
      <c r="D698">
        <f t="shared" si="146"/>
        <v>1.5</v>
      </c>
      <c r="E698">
        <f t="shared" si="146"/>
        <v>-4.9328006967174929</v>
      </c>
      <c r="F698">
        <f t="shared" si="147"/>
        <v>-12.333333333333334</v>
      </c>
      <c r="G698">
        <f t="shared" si="148"/>
        <v>-4.8109606184826346</v>
      </c>
      <c r="H698">
        <f t="shared" si="153"/>
        <v>-6.666666666666667</v>
      </c>
      <c r="I698">
        <f t="shared" si="153"/>
        <v>-3.9040722292922312</v>
      </c>
      <c r="J698">
        <f t="shared" si="142"/>
        <v>2011</v>
      </c>
      <c r="K698">
        <f t="shared" si="143"/>
        <v>-71</v>
      </c>
      <c r="L698">
        <f t="shared" si="144"/>
        <v>-117.077526552742</v>
      </c>
      <c r="M698" s="5">
        <v>1938</v>
      </c>
      <c r="N698" s="5">
        <v>-30</v>
      </c>
      <c r="O698" s="5">
        <v>81.525330217957901</v>
      </c>
      <c r="Q698">
        <f t="shared" si="149"/>
        <v>7.5223727148506994</v>
      </c>
      <c r="R698">
        <f t="shared" si="145"/>
        <v>3.2710970495735268</v>
      </c>
    </row>
    <row r="699" spans="1:18" x14ac:dyDescent="0.25">
      <c r="A699">
        <f t="shared" si="140"/>
        <v>2011.0833333333301</v>
      </c>
      <c r="B699">
        <f t="shared" si="140"/>
        <v>-74</v>
      </c>
      <c r="C699">
        <f t="shared" si="141"/>
        <v>-67.775041539132928</v>
      </c>
      <c r="D699">
        <f t="shared" si="146"/>
        <v>0.5</v>
      </c>
      <c r="E699">
        <f t="shared" si="146"/>
        <v>1.344999458673513</v>
      </c>
      <c r="F699">
        <f t="shared" si="147"/>
        <v>0</v>
      </c>
      <c r="G699">
        <f t="shared" si="148"/>
        <v>-1.2173202739143714</v>
      </c>
      <c r="H699">
        <f t="shared" si="153"/>
        <v>-7.3</v>
      </c>
      <c r="I699">
        <f t="shared" si="153"/>
        <v>-2.9440154361475375</v>
      </c>
      <c r="J699">
        <f t="shared" si="142"/>
        <v>2011.0833333333301</v>
      </c>
      <c r="K699">
        <f t="shared" si="143"/>
        <v>-74</v>
      </c>
      <c r="L699">
        <f t="shared" si="144"/>
        <v>-117.13289118969401</v>
      </c>
      <c r="M699" s="5">
        <v>1938.0833333333301</v>
      </c>
      <c r="N699" s="5">
        <v>-30</v>
      </c>
      <c r="O699" s="5">
        <v>91.937728306636004</v>
      </c>
      <c r="Q699">
        <f t="shared" si="149"/>
        <v>1.2173202739143714</v>
      </c>
      <c r="R699">
        <f t="shared" si="145"/>
        <v>6.2249584608670716</v>
      </c>
    </row>
    <row r="700" spans="1:18" x14ac:dyDescent="0.25">
      <c r="A700">
        <f t="shared" si="140"/>
        <v>2011.1666666666599</v>
      </c>
      <c r="B700">
        <f t="shared" si="140"/>
        <v>-78</v>
      </c>
      <c r="C700">
        <f t="shared" si="141"/>
        <v>-70.51117904518641</v>
      </c>
      <c r="D700">
        <f t="shared" si="146"/>
        <v>-2</v>
      </c>
      <c r="E700">
        <f t="shared" si="146"/>
        <v>-0.97714978913491279</v>
      </c>
      <c r="F700">
        <f t="shared" si="147"/>
        <v>-0.5</v>
      </c>
      <c r="G700">
        <f t="shared" si="148"/>
        <v>0.33305595447873204</v>
      </c>
      <c r="H700">
        <f t="shared" si="153"/>
        <v>-2.4333333333333331</v>
      </c>
      <c r="I700">
        <f t="shared" si="153"/>
        <v>-0.60181316325798684</v>
      </c>
      <c r="J700">
        <f t="shared" si="142"/>
        <v>2011.1666666666599</v>
      </c>
      <c r="K700">
        <f t="shared" si="143"/>
        <v>-78</v>
      </c>
      <c r="L700">
        <f t="shared" si="144"/>
        <v>-120.416157191548</v>
      </c>
      <c r="M700" s="5">
        <v>1938.1666666666599</v>
      </c>
      <c r="N700" s="5">
        <v>-30</v>
      </c>
      <c r="O700" s="5">
        <v>72.343361684215495</v>
      </c>
      <c r="Q700">
        <f t="shared" si="149"/>
        <v>0.83305595447873204</v>
      </c>
      <c r="R700">
        <f t="shared" si="145"/>
        <v>7.4888209548135904</v>
      </c>
    </row>
    <row r="701" spans="1:18" x14ac:dyDescent="0.25">
      <c r="A701">
        <f t="shared" si="140"/>
        <v>2011.25</v>
      </c>
      <c r="B701">
        <f t="shared" si="140"/>
        <v>-78</v>
      </c>
      <c r="C701">
        <f t="shared" si="141"/>
        <v>-71.293016972970065</v>
      </c>
      <c r="D701">
        <f t="shared" si="146"/>
        <v>0</v>
      </c>
      <c r="E701">
        <f t="shared" si="146"/>
        <v>0.88111015975664486</v>
      </c>
      <c r="F701">
        <f t="shared" si="147"/>
        <v>-3.1666666666666665</v>
      </c>
      <c r="G701">
        <f t="shared" si="148"/>
        <v>1.2603348117958681</v>
      </c>
      <c r="H701">
        <f t="shared" si="153"/>
        <v>0.4</v>
      </c>
      <c r="I701">
        <f t="shared" si="153"/>
        <v>0.43767622843808801</v>
      </c>
      <c r="J701">
        <f t="shared" si="142"/>
        <v>2011.25</v>
      </c>
      <c r="K701">
        <f t="shared" si="143"/>
        <v>-78</v>
      </c>
      <c r="L701">
        <f t="shared" si="144"/>
        <v>-121.354334414576</v>
      </c>
      <c r="M701" s="5">
        <v>1938.25</v>
      </c>
      <c r="N701" s="5">
        <v>-30</v>
      </c>
      <c r="O701" s="5">
        <v>12.2223557282628</v>
      </c>
      <c r="Q701">
        <f t="shared" si="149"/>
        <v>4.4270014784625342</v>
      </c>
      <c r="R701">
        <f t="shared" si="145"/>
        <v>6.7069830270299349</v>
      </c>
    </row>
    <row r="702" spans="1:18" x14ac:dyDescent="0.25">
      <c r="A702">
        <f t="shared" si="140"/>
        <v>2011.3333333333301</v>
      </c>
      <c r="B702">
        <f t="shared" si="140"/>
        <v>-78</v>
      </c>
      <c r="C702">
        <f t="shared" si="141"/>
        <v>-73.837075220267025</v>
      </c>
      <c r="D702">
        <f t="shared" si="146"/>
        <v>-7.5</v>
      </c>
      <c r="E702">
        <f t="shared" si="146"/>
        <v>4.8222951736127726</v>
      </c>
      <c r="F702">
        <f t="shared" si="147"/>
        <v>3.8333333333333335</v>
      </c>
      <c r="G702">
        <f t="shared" si="148"/>
        <v>1.4258243098324708</v>
      </c>
      <c r="H702">
        <f t="shared" si="153"/>
        <v>1.2</v>
      </c>
      <c r="I702">
        <f t="shared" si="153"/>
        <v>0.42559671870975302</v>
      </c>
      <c r="J702">
        <f t="shared" si="142"/>
        <v>2011.3333333333301</v>
      </c>
      <c r="K702">
        <f t="shared" si="143"/>
        <v>-78</v>
      </c>
      <c r="L702">
        <f t="shared" si="144"/>
        <v>-124.407112256189</v>
      </c>
      <c r="M702" s="5">
        <v>1938.3333333333301</v>
      </c>
      <c r="N702" s="5">
        <v>-30</v>
      </c>
      <c r="O702" s="5">
        <v>-89.572449807347795</v>
      </c>
      <c r="Q702">
        <f t="shared" si="149"/>
        <v>2.4075090235008627</v>
      </c>
      <c r="R702">
        <f t="shared" si="145"/>
        <v>4.1629247797329754</v>
      </c>
    </row>
    <row r="703" spans="1:18" x14ac:dyDescent="0.25">
      <c r="A703">
        <f t="shared" si="140"/>
        <v>2011.4166666666599</v>
      </c>
      <c r="B703">
        <f t="shared" si="140"/>
        <v>-63</v>
      </c>
      <c r="C703">
        <f t="shared" si="141"/>
        <v>-86.025723814789529</v>
      </c>
      <c r="D703">
        <f t="shared" si="146"/>
        <v>19</v>
      </c>
      <c r="E703">
        <f t="shared" si="146"/>
        <v>-0.35656417149765218</v>
      </c>
      <c r="F703">
        <f t="shared" si="147"/>
        <v>1.8333333333333333</v>
      </c>
      <c r="G703">
        <f t="shared" si="148"/>
        <v>0.38648633999774046</v>
      </c>
      <c r="H703">
        <f t="shared" si="153"/>
        <v>1.6</v>
      </c>
      <c r="I703">
        <f t="shared" si="153"/>
        <v>7.2243156763224015E-2</v>
      </c>
      <c r="J703">
        <f t="shared" si="142"/>
        <v>2011.4166666666599</v>
      </c>
      <c r="K703">
        <f t="shared" si="143"/>
        <v>-63</v>
      </c>
      <c r="L703">
        <f t="shared" si="144"/>
        <v>-139.033049531053</v>
      </c>
      <c r="M703" s="5">
        <v>1938.4166666666599</v>
      </c>
      <c r="N703" s="5">
        <v>-30</v>
      </c>
      <c r="O703" s="5">
        <v>-157.23362067276599</v>
      </c>
      <c r="Q703">
        <f t="shared" si="149"/>
        <v>1.4468469933355927</v>
      </c>
      <c r="R703">
        <f t="shared" si="145"/>
        <v>23.025723814789529</v>
      </c>
    </row>
    <row r="704" spans="1:18" x14ac:dyDescent="0.25">
      <c r="A704">
        <f t="shared" si="140"/>
        <v>2011.5</v>
      </c>
      <c r="B704">
        <f t="shared" si="140"/>
        <v>-86</v>
      </c>
      <c r="C704">
        <f t="shared" si="141"/>
        <v>-97.50124406631673</v>
      </c>
      <c r="D704">
        <f t="shared" si="146"/>
        <v>-6</v>
      </c>
      <c r="E704">
        <f t="shared" si="146"/>
        <v>-3.0164072271235938</v>
      </c>
      <c r="F704">
        <f t="shared" si="147"/>
        <v>4</v>
      </c>
      <c r="G704">
        <f t="shared" si="148"/>
        <v>-1.2777178225560457</v>
      </c>
      <c r="H704">
        <f t="shared" si="153"/>
        <v>1.8666666666666667</v>
      </c>
      <c r="I704">
        <f t="shared" si="153"/>
        <v>-0.3447634177134698</v>
      </c>
      <c r="J704">
        <f t="shared" si="142"/>
        <v>2011.5</v>
      </c>
      <c r="K704">
        <f t="shared" si="143"/>
        <v>-86</v>
      </c>
      <c r="L704">
        <f t="shared" si="144"/>
        <v>-152.80325859842199</v>
      </c>
      <c r="M704" s="5">
        <v>1938.5</v>
      </c>
      <c r="N704" s="5">
        <v>-30</v>
      </c>
      <c r="O704" s="5">
        <v>-190.367811109207</v>
      </c>
      <c r="Q704">
        <f t="shared" si="149"/>
        <v>5.2777178225560455</v>
      </c>
      <c r="R704">
        <f t="shared" si="145"/>
        <v>11.50124406631673</v>
      </c>
    </row>
    <row r="705" spans="1:18" x14ac:dyDescent="0.25">
      <c r="A705">
        <f t="shared" si="140"/>
        <v>2011.5833333333301</v>
      </c>
      <c r="B705">
        <f t="shared" si="140"/>
        <v>-97</v>
      </c>
      <c r="C705">
        <f t="shared" si="141"/>
        <v>-102.94394986359674</v>
      </c>
      <c r="D705">
        <f t="shared" si="146"/>
        <v>-1</v>
      </c>
      <c r="E705">
        <f t="shared" si="146"/>
        <v>-1.4184704359639255</v>
      </c>
      <c r="F705">
        <f t="shared" si="147"/>
        <v>1.5</v>
      </c>
      <c r="G705">
        <f t="shared" si="148"/>
        <v>-1.4337118552539134</v>
      </c>
      <c r="H705">
        <f t="shared" si="153"/>
        <v>0.53333333333333333</v>
      </c>
      <c r="I705">
        <f t="shared" si="153"/>
        <v>-0.8683550371977844</v>
      </c>
      <c r="J705">
        <f t="shared" si="142"/>
        <v>2011.5833333333301</v>
      </c>
      <c r="K705">
        <f t="shared" si="143"/>
        <v>-97</v>
      </c>
      <c r="L705">
        <f t="shared" si="144"/>
        <v>-159.33430861428101</v>
      </c>
      <c r="M705" s="5">
        <v>1938.5833333333301</v>
      </c>
      <c r="N705" s="5">
        <v>-30</v>
      </c>
      <c r="O705" s="5">
        <v>-203.58717762611801</v>
      </c>
      <c r="Q705">
        <f t="shared" si="149"/>
        <v>2.9337118552539136</v>
      </c>
      <c r="R705">
        <f t="shared" si="145"/>
        <v>5.9439498635967425</v>
      </c>
    </row>
    <row r="706" spans="1:18" x14ac:dyDescent="0.25">
      <c r="A706">
        <f t="shared" si="140"/>
        <v>2011.6666666666599</v>
      </c>
      <c r="B706">
        <f t="shared" si="140"/>
        <v>-106</v>
      </c>
      <c r="C706">
        <f t="shared" si="141"/>
        <v>-105.5497147889489</v>
      </c>
      <c r="D706">
        <f t="shared" si="146"/>
        <v>11.5</v>
      </c>
      <c r="E706">
        <f t="shared" si="146"/>
        <v>-0.94154179411465577</v>
      </c>
      <c r="F706">
        <f t="shared" si="147"/>
        <v>-1.8333333333333333</v>
      </c>
      <c r="G706">
        <f t="shared" si="148"/>
        <v>-0.82469806058760098</v>
      </c>
      <c r="H706">
        <f t="shared" si="153"/>
        <v>-2.4333333333333331</v>
      </c>
      <c r="I706">
        <f t="shared" si="153"/>
        <v>-1.4906777012935444</v>
      </c>
      <c r="J706">
        <f t="shared" si="142"/>
        <v>2011.6666666666599</v>
      </c>
      <c r="K706">
        <f t="shared" si="143"/>
        <v>-106</v>
      </c>
      <c r="L706">
        <f t="shared" si="144"/>
        <v>-162.461132236743</v>
      </c>
      <c r="M706" s="5">
        <v>1938.6666666666599</v>
      </c>
      <c r="N706" s="5">
        <v>-30</v>
      </c>
      <c r="O706" s="5">
        <v>-207.11691996765299</v>
      </c>
      <c r="Q706">
        <f t="shared" si="149"/>
        <v>1.0086352727457322</v>
      </c>
      <c r="R706">
        <f t="shared" si="145"/>
        <v>0.45028521105109576</v>
      </c>
    </row>
    <row r="707" spans="1:18" x14ac:dyDescent="0.25">
      <c r="A707">
        <f t="shared" si="140"/>
        <v>2011.75</v>
      </c>
      <c r="B707">
        <f t="shared" si="140"/>
        <v>-138</v>
      </c>
      <c r="C707">
        <f t="shared" si="141"/>
        <v>-106.27239612607175</v>
      </c>
      <c r="D707">
        <f t="shared" si="146"/>
        <v>-16</v>
      </c>
      <c r="E707">
        <f t="shared" si="146"/>
        <v>-0.73260549712492207</v>
      </c>
      <c r="F707">
        <f t="shared" si="147"/>
        <v>-2.8333333333333335</v>
      </c>
      <c r="G707">
        <f t="shared" si="148"/>
        <v>-1.1921337875891027</v>
      </c>
      <c r="H707">
        <f t="shared" si="153"/>
        <v>-4.8</v>
      </c>
      <c r="I707">
        <f t="shared" si="153"/>
        <v>-1.9672889586870361</v>
      </c>
      <c r="J707">
        <f t="shared" si="142"/>
        <v>2011.75</v>
      </c>
      <c r="K707">
        <f t="shared" si="143"/>
        <v>-138</v>
      </c>
      <c r="L707">
        <f t="shared" si="144"/>
        <v>-163.328323691522</v>
      </c>
      <c r="M707" s="5">
        <v>1938.75</v>
      </c>
      <c r="N707" s="5">
        <v>-30</v>
      </c>
      <c r="O707" s="5">
        <v>-205.49765307553301</v>
      </c>
      <c r="Q707">
        <f t="shared" si="149"/>
        <v>1.6411995457442308</v>
      </c>
      <c r="R707">
        <f t="shared" si="145"/>
        <v>31.727603873928246</v>
      </c>
    </row>
    <row r="708" spans="1:18" x14ac:dyDescent="0.25">
      <c r="A708">
        <f t="shared" ref="A708:C756" si="154">+J708</f>
        <v>2011.8333333333301</v>
      </c>
      <c r="B708">
        <f t="shared" si="154"/>
        <v>-138</v>
      </c>
      <c r="C708">
        <f t="shared" ref="C708:C756" si="155">+$B$1*L708+$D$1</f>
        <v>-105.52986646894476</v>
      </c>
      <c r="D708">
        <f t="shared" si="146"/>
        <v>-4</v>
      </c>
      <c r="E708">
        <f t="shared" si="146"/>
        <v>-2.7963544122195572</v>
      </c>
      <c r="F708">
        <f t="shared" si="147"/>
        <v>-13</v>
      </c>
      <c r="G708">
        <f t="shared" si="148"/>
        <v>-2.7251269804810594</v>
      </c>
      <c r="H708">
        <f t="shared" si="153"/>
        <v>-4.8333333333333339</v>
      </c>
      <c r="I708">
        <f t="shared" si="153"/>
        <v>-1.9126234894951903</v>
      </c>
      <c r="J708">
        <f t="shared" ref="J708:J756" si="156">+$M1584</f>
        <v>2011.8333333333301</v>
      </c>
      <c r="K708">
        <f t="shared" ref="K708:K756" si="157">+$N1584</f>
        <v>-138</v>
      </c>
      <c r="L708">
        <f t="shared" ref="L708:L756" si="158">+$O1584</f>
        <v>-162.437314970937</v>
      </c>
      <c r="M708" s="5">
        <v>1938.8333333333301</v>
      </c>
      <c r="N708" s="5">
        <v>-30</v>
      </c>
      <c r="O708" s="5">
        <v>-201.66412207664601</v>
      </c>
      <c r="Q708">
        <f t="shared" si="149"/>
        <v>10.274873019518941</v>
      </c>
      <c r="R708">
        <f t="shared" ref="R708:R756" si="159">+ABS(B708-C708)</f>
        <v>32.470133531055239</v>
      </c>
    </row>
    <row r="709" spans="1:18" x14ac:dyDescent="0.25">
      <c r="A709">
        <f t="shared" si="154"/>
        <v>2011.9166666666599</v>
      </c>
      <c r="B709">
        <f t="shared" si="154"/>
        <v>-130</v>
      </c>
      <c r="C709">
        <f t="shared" si="155"/>
        <v>-99.194627987378652</v>
      </c>
      <c r="D709">
        <f t="shared" ref="D709:E755" si="160">+B709-1/2*(B708+B710)</f>
        <v>-19</v>
      </c>
      <c r="E709">
        <f t="shared" si="160"/>
        <v>-6.6902662674594922</v>
      </c>
      <c r="F709">
        <f t="shared" si="147"/>
        <v>-7.833333333333333</v>
      </c>
      <c r="G709">
        <f t="shared" si="148"/>
        <v>-3.6607741095235045</v>
      </c>
      <c r="H709">
        <f t="shared" si="153"/>
        <v>-3.2000000000000006</v>
      </c>
      <c r="I709">
        <f t="shared" si="153"/>
        <v>-0.9394077182376821</v>
      </c>
      <c r="J709">
        <f t="shared" si="156"/>
        <v>2011.9166666666599</v>
      </c>
      <c r="K709">
        <f t="shared" si="157"/>
        <v>-130</v>
      </c>
      <c r="L709">
        <f t="shared" si="158"/>
        <v>-154.83525802966699</v>
      </c>
      <c r="M709" s="5">
        <v>1938.9166666666599</v>
      </c>
      <c r="N709" s="5">
        <v>-30</v>
      </c>
      <c r="O709" s="5">
        <v>-194.35503939981101</v>
      </c>
      <c r="Q709">
        <f t="shared" si="149"/>
        <v>4.172559223809829</v>
      </c>
      <c r="R709">
        <f t="shared" si="159"/>
        <v>30.805372012621348</v>
      </c>
    </row>
    <row r="710" spans="1:18" x14ac:dyDescent="0.25">
      <c r="A710">
        <f t="shared" si="154"/>
        <v>2012</v>
      </c>
      <c r="B710">
        <f t="shared" si="154"/>
        <v>-84</v>
      </c>
      <c r="C710">
        <f t="shared" si="155"/>
        <v>-79.47885697089356</v>
      </c>
      <c r="D710">
        <f t="shared" si="160"/>
        <v>-0.5</v>
      </c>
      <c r="E710">
        <f t="shared" si="160"/>
        <v>-4.2412822310340914</v>
      </c>
      <c r="F710">
        <f t="shared" ref="F710:F754" si="161">+AVERAGE(D709:D711)</f>
        <v>1.3333333333333333</v>
      </c>
      <c r="G710">
        <f t="shared" ref="G710:G754" si="162">+$H$1*AVERAGE(E709:E711)+$F$1</f>
        <v>-1.1603845092946832</v>
      </c>
      <c r="H710">
        <f t="shared" si="153"/>
        <v>-0.7000000000000004</v>
      </c>
      <c r="I710">
        <f t="shared" si="153"/>
        <v>0.84255915465402098</v>
      </c>
      <c r="J710">
        <f t="shared" si="156"/>
        <v>2012</v>
      </c>
      <c r="K710">
        <f t="shared" si="157"/>
        <v>-84</v>
      </c>
      <c r="L710">
        <f t="shared" si="158"/>
        <v>-131.17704621262601</v>
      </c>
      <c r="M710" s="5">
        <v>1939</v>
      </c>
      <c r="N710" s="5">
        <v>-30</v>
      </c>
      <c r="O710" s="5">
        <v>-180.61586038001099</v>
      </c>
      <c r="Q710">
        <f t="shared" ref="Q710:Q754" si="163">+ABS(F710-G710)</f>
        <v>2.4937178426280164</v>
      </c>
      <c r="R710">
        <f t="shared" si="159"/>
        <v>4.5211430291064403</v>
      </c>
    </row>
    <row r="711" spans="1:18" x14ac:dyDescent="0.25">
      <c r="A711">
        <f t="shared" si="154"/>
        <v>2012.0833333333301</v>
      </c>
      <c r="B711">
        <f t="shared" si="154"/>
        <v>-37</v>
      </c>
      <c r="C711">
        <f t="shared" si="155"/>
        <v>-51.280521492340284</v>
      </c>
      <c r="D711">
        <f t="shared" si="160"/>
        <v>23.5</v>
      </c>
      <c r="E711">
        <f t="shared" si="160"/>
        <v>6.5801065886385217</v>
      </c>
      <c r="F711">
        <f t="shared" si="161"/>
        <v>6.333333333333333</v>
      </c>
      <c r="G711">
        <f t="shared" si="162"/>
        <v>4.041380795699939</v>
      </c>
      <c r="H711">
        <f t="shared" si="153"/>
        <v>2.1</v>
      </c>
      <c r="I711">
        <f t="shared" si="153"/>
        <v>2.410978558281589</v>
      </c>
      <c r="J711">
        <f t="shared" si="156"/>
        <v>2012.0833333333301</v>
      </c>
      <c r="K711">
        <f t="shared" si="157"/>
        <v>-37</v>
      </c>
      <c r="L711">
        <f t="shared" si="158"/>
        <v>-97.340063977349004</v>
      </c>
      <c r="M711" s="5">
        <v>1939.0833333333301</v>
      </c>
      <c r="N711" s="5">
        <v>-30</v>
      </c>
      <c r="O711" s="5">
        <v>-167.772907148846</v>
      </c>
      <c r="Q711">
        <f t="shared" si="163"/>
        <v>2.291952537633394</v>
      </c>
      <c r="R711">
        <f t="shared" si="159"/>
        <v>14.280521492340284</v>
      </c>
    </row>
    <row r="712" spans="1:18" x14ac:dyDescent="0.25">
      <c r="A712">
        <f t="shared" si="154"/>
        <v>2012.1666666666599</v>
      </c>
      <c r="B712">
        <f t="shared" si="154"/>
        <v>-37</v>
      </c>
      <c r="C712">
        <f t="shared" si="155"/>
        <v>-36.242399191064052</v>
      </c>
      <c r="D712">
        <f t="shared" si="160"/>
        <v>-4</v>
      </c>
      <c r="E712">
        <f t="shared" si="160"/>
        <v>12.816353626270342</v>
      </c>
      <c r="F712">
        <f t="shared" si="161"/>
        <v>9.6666666666666661</v>
      </c>
      <c r="G712">
        <f t="shared" si="162"/>
        <v>7.7177005768694134</v>
      </c>
      <c r="H712">
        <f t="shared" ref="H712:I727" si="164">+AVERAGE(F710:F714)</f>
        <v>3.9333333333333327</v>
      </c>
      <c r="I712">
        <f t="shared" si="164"/>
        <v>2.9499281074416048</v>
      </c>
      <c r="J712">
        <f t="shared" si="156"/>
        <v>2012.1666666666599</v>
      </c>
      <c r="K712">
        <f t="shared" si="157"/>
        <v>-37</v>
      </c>
      <c r="L712">
        <f t="shared" si="158"/>
        <v>-79.294861360789696</v>
      </c>
      <c r="M712" s="5">
        <v>1939.1666666666599</v>
      </c>
      <c r="N712" s="5">
        <v>-30</v>
      </c>
      <c r="O712" s="5">
        <v>-164.82174409930801</v>
      </c>
      <c r="Q712">
        <f t="shared" si="163"/>
        <v>1.9489660897972527</v>
      </c>
      <c r="R712">
        <f t="shared" si="159"/>
        <v>0.75760080893594761</v>
      </c>
    </row>
    <row r="713" spans="1:18" x14ac:dyDescent="0.25">
      <c r="A713">
        <f t="shared" si="154"/>
        <v>2012.25</v>
      </c>
      <c r="B713">
        <f t="shared" si="154"/>
        <v>-29</v>
      </c>
      <c r="C713">
        <f t="shared" si="155"/>
        <v>-46.836984142328504</v>
      </c>
      <c r="D713">
        <f t="shared" si="160"/>
        <v>9.5</v>
      </c>
      <c r="E713">
        <f t="shared" si="160"/>
        <v>9.5449169483514353</v>
      </c>
      <c r="F713">
        <f t="shared" si="161"/>
        <v>1</v>
      </c>
      <c r="G713">
        <f t="shared" si="162"/>
        <v>5.116970037656781</v>
      </c>
      <c r="H713">
        <f t="shared" si="164"/>
        <v>3.5</v>
      </c>
      <c r="I713">
        <f t="shared" si="164"/>
        <v>1.9941661278646023</v>
      </c>
      <c r="J713">
        <f t="shared" si="156"/>
        <v>2012.25</v>
      </c>
      <c r="K713">
        <f t="shared" si="157"/>
        <v>-29</v>
      </c>
      <c r="L713">
        <f t="shared" si="158"/>
        <v>-92.007979943931701</v>
      </c>
      <c r="M713" s="5">
        <v>1939.25</v>
      </c>
      <c r="N713" s="5">
        <v>-30</v>
      </c>
      <c r="O713" s="5">
        <v>-165.963127802266</v>
      </c>
      <c r="Q713">
        <f t="shared" si="163"/>
        <v>4.116970037656781</v>
      </c>
      <c r="R713">
        <f t="shared" si="159"/>
        <v>17.836984142328504</v>
      </c>
    </row>
    <row r="714" spans="1:18" x14ac:dyDescent="0.25">
      <c r="A714">
        <f t="shared" si="154"/>
        <v>2012.3333333333301</v>
      </c>
      <c r="B714">
        <f t="shared" si="154"/>
        <v>-40</v>
      </c>
      <c r="C714">
        <f t="shared" si="155"/>
        <v>-76.521402990295826</v>
      </c>
      <c r="D714">
        <f t="shared" si="160"/>
        <v>-2.5</v>
      </c>
      <c r="E714">
        <f t="shared" si="160"/>
        <v>-3.172632933408849</v>
      </c>
      <c r="F714">
        <f t="shared" si="161"/>
        <v>1.3333333333333333</v>
      </c>
      <c r="G714">
        <f t="shared" si="162"/>
        <v>-0.96602636372342465</v>
      </c>
      <c r="H714">
        <f t="shared" si="164"/>
        <v>2.0333333333333332</v>
      </c>
      <c r="I714">
        <f t="shared" si="164"/>
        <v>-0.13054766511808397</v>
      </c>
      <c r="J714">
        <f t="shared" si="156"/>
        <v>2012.3333333333301</v>
      </c>
      <c r="K714">
        <f t="shared" si="157"/>
        <v>-40</v>
      </c>
      <c r="L714">
        <f t="shared" si="158"/>
        <v>-127.62820844951599</v>
      </c>
      <c r="M714" s="5">
        <v>1939.3333333333301</v>
      </c>
      <c r="N714" s="5">
        <v>-30</v>
      </c>
      <c r="O714" s="5">
        <v>-163.92001643707201</v>
      </c>
      <c r="Q714">
        <f t="shared" si="163"/>
        <v>2.299359697056758</v>
      </c>
      <c r="R714">
        <f t="shared" si="159"/>
        <v>36.521402990295826</v>
      </c>
    </row>
    <row r="715" spans="1:18" x14ac:dyDescent="0.25">
      <c r="A715">
        <f t="shared" si="154"/>
        <v>2012.4166666666599</v>
      </c>
      <c r="B715">
        <f t="shared" si="154"/>
        <v>-46</v>
      </c>
      <c r="C715">
        <f t="shared" si="155"/>
        <v>-99.86055597144545</v>
      </c>
      <c r="D715">
        <f t="shared" si="160"/>
        <v>-3</v>
      </c>
      <c r="E715">
        <f t="shared" si="160"/>
        <v>-9.9948828789054289</v>
      </c>
      <c r="F715">
        <f t="shared" si="161"/>
        <v>-0.83333333333333337</v>
      </c>
      <c r="G715">
        <f t="shared" si="162"/>
        <v>-5.9391944071796958</v>
      </c>
      <c r="H715">
        <f t="shared" si="164"/>
        <v>0.33333333333333326</v>
      </c>
      <c r="I715">
        <f t="shared" si="164"/>
        <v>-2.3104065226563257</v>
      </c>
      <c r="J715">
        <f t="shared" si="156"/>
        <v>2012.4166666666599</v>
      </c>
      <c r="K715">
        <f t="shared" si="157"/>
        <v>-46</v>
      </c>
      <c r="L715">
        <f t="shared" si="158"/>
        <v>-155.63434751436299</v>
      </c>
      <c r="M715" s="5">
        <v>1939.4166666666599</v>
      </c>
      <c r="N715" s="5">
        <v>-30</v>
      </c>
      <c r="O715" s="5">
        <v>-146.96182756482699</v>
      </c>
      <c r="Q715">
        <f t="shared" si="163"/>
        <v>5.1058610738463628</v>
      </c>
      <c r="R715">
        <f t="shared" si="159"/>
        <v>53.86055597144545</v>
      </c>
    </row>
    <row r="716" spans="1:18" x14ac:dyDescent="0.25">
      <c r="A716">
        <f t="shared" si="154"/>
        <v>2012.5</v>
      </c>
      <c r="B716">
        <f t="shared" si="154"/>
        <v>-46</v>
      </c>
      <c r="C716">
        <f t="shared" si="155"/>
        <v>-103.20994319478422</v>
      </c>
      <c r="D716">
        <f t="shared" si="160"/>
        <v>3</v>
      </c>
      <c r="E716">
        <f t="shared" si="160"/>
        <v>-9.1044632146095807</v>
      </c>
      <c r="F716">
        <f t="shared" si="161"/>
        <v>-1</v>
      </c>
      <c r="G716">
        <f t="shared" si="162"/>
        <v>-6.5821881692134943</v>
      </c>
      <c r="H716">
        <f t="shared" si="164"/>
        <v>-6.666666666666668E-2</v>
      </c>
      <c r="I716">
        <f t="shared" si="164"/>
        <v>-2.9912176175877012</v>
      </c>
      <c r="J716">
        <f t="shared" si="156"/>
        <v>2012.5</v>
      </c>
      <c r="K716">
        <f t="shared" si="157"/>
        <v>-46</v>
      </c>
      <c r="L716">
        <f t="shared" si="158"/>
        <v>-159.65349098690501</v>
      </c>
      <c r="M716" s="5">
        <v>1939.5</v>
      </c>
      <c r="N716" s="5">
        <v>-30</v>
      </c>
      <c r="O716" s="5">
        <v>-87.215097255672504</v>
      </c>
      <c r="Q716">
        <f t="shared" si="163"/>
        <v>5.5821881692134943</v>
      </c>
      <c r="R716">
        <f t="shared" si="159"/>
        <v>57.209943194784216</v>
      </c>
    </row>
    <row r="717" spans="1:18" x14ac:dyDescent="0.25">
      <c r="A717">
        <f t="shared" si="154"/>
        <v>2012.5833333333301</v>
      </c>
      <c r="B717">
        <f t="shared" si="154"/>
        <v>-52</v>
      </c>
      <c r="C717">
        <f t="shared" si="155"/>
        <v>-88.350403988903807</v>
      </c>
      <c r="D717">
        <f t="shared" si="160"/>
        <v>-3</v>
      </c>
      <c r="E717">
        <f t="shared" si="160"/>
        <v>-5.5838595410355936</v>
      </c>
      <c r="F717">
        <f t="shared" si="161"/>
        <v>1.1666666666666667</v>
      </c>
      <c r="G717">
        <f t="shared" si="162"/>
        <v>-3.1815937108217938</v>
      </c>
      <c r="H717">
        <f t="shared" si="164"/>
        <v>-0.4333333333333334</v>
      </c>
      <c r="I717">
        <f t="shared" si="164"/>
        <v>-2.2876133603902229</v>
      </c>
      <c r="J717">
        <f t="shared" si="156"/>
        <v>2012.5833333333301</v>
      </c>
      <c r="K717">
        <f t="shared" si="157"/>
        <v>-52</v>
      </c>
      <c r="L717">
        <f t="shared" si="158"/>
        <v>-141.82258162290401</v>
      </c>
      <c r="M717" s="5">
        <v>1939.5833333333301</v>
      </c>
      <c r="N717" s="5">
        <v>-30</v>
      </c>
      <c r="O717" s="5">
        <v>55.504522578957598</v>
      </c>
      <c r="Q717">
        <f t="shared" si="163"/>
        <v>4.3482603774884607</v>
      </c>
      <c r="R717">
        <f t="shared" si="159"/>
        <v>36.350403988903807</v>
      </c>
    </row>
    <row r="718" spans="1:18" x14ac:dyDescent="0.25">
      <c r="A718">
        <f t="shared" si="154"/>
        <v>2012.6666666666599</v>
      </c>
      <c r="B718">
        <f t="shared" si="154"/>
        <v>-52</v>
      </c>
      <c r="C718">
        <f t="shared" si="155"/>
        <v>-62.32314570095221</v>
      </c>
      <c r="D718">
        <f t="shared" si="160"/>
        <v>3.5</v>
      </c>
      <c r="E718">
        <f t="shared" si="160"/>
        <v>2.7573463400634495</v>
      </c>
      <c r="F718">
        <f t="shared" si="161"/>
        <v>-1</v>
      </c>
      <c r="G718">
        <f t="shared" si="162"/>
        <v>1.7129145629999034</v>
      </c>
      <c r="H718">
        <f t="shared" si="164"/>
        <v>-1</v>
      </c>
      <c r="I718">
        <f t="shared" si="164"/>
        <v>-1.3609032029464259</v>
      </c>
      <c r="J718">
        <f t="shared" si="156"/>
        <v>2012.6666666666599</v>
      </c>
      <c r="K718">
        <f t="shared" si="157"/>
        <v>-52</v>
      </c>
      <c r="L718">
        <f t="shared" si="158"/>
        <v>-110.59081345729</v>
      </c>
      <c r="M718" s="5">
        <v>1939.6666666666599</v>
      </c>
      <c r="N718" s="5">
        <v>-30</v>
      </c>
      <c r="O718" s="5">
        <v>117.977139076672</v>
      </c>
      <c r="Q718">
        <f t="shared" si="163"/>
        <v>2.7129145629999032</v>
      </c>
      <c r="R718">
        <f t="shared" si="159"/>
        <v>10.32314570095221</v>
      </c>
    </row>
    <row r="719" spans="1:18" x14ac:dyDescent="0.25">
      <c r="A719">
        <f t="shared" si="154"/>
        <v>2012.75</v>
      </c>
      <c r="B719">
        <f t="shared" si="154"/>
        <v>-59</v>
      </c>
      <c r="C719">
        <f t="shared" si="155"/>
        <v>-41.810580093127513</v>
      </c>
      <c r="D719">
        <f t="shared" si="160"/>
        <v>-3.5</v>
      </c>
      <c r="E719">
        <f t="shared" si="160"/>
        <v>9.2499428122217822</v>
      </c>
      <c r="F719">
        <f t="shared" si="161"/>
        <v>-0.5</v>
      </c>
      <c r="G719">
        <f t="shared" si="162"/>
        <v>2.5519949222639657</v>
      </c>
      <c r="H719">
        <f t="shared" si="164"/>
        <v>-1.2</v>
      </c>
      <c r="I719">
        <f t="shared" si="164"/>
        <v>-0.81900545649339573</v>
      </c>
      <c r="J719">
        <f t="shared" si="156"/>
        <v>2012.75</v>
      </c>
      <c r="K719">
        <f t="shared" si="157"/>
        <v>-59</v>
      </c>
      <c r="L719">
        <f t="shared" si="158"/>
        <v>-85.976476962151295</v>
      </c>
      <c r="M719" s="5">
        <v>1939.75</v>
      </c>
      <c r="N719" s="5">
        <v>-30</v>
      </c>
      <c r="O719" s="5">
        <v>130.922536226332</v>
      </c>
      <c r="Q719">
        <f t="shared" si="163"/>
        <v>3.0519949222639657</v>
      </c>
      <c r="R719">
        <f t="shared" si="159"/>
        <v>17.189419906872487</v>
      </c>
    </row>
    <row r="720" spans="1:18" x14ac:dyDescent="0.25">
      <c r="A720">
        <f t="shared" si="154"/>
        <v>2012.8333333333301</v>
      </c>
      <c r="B720">
        <f t="shared" si="154"/>
        <v>-59</v>
      </c>
      <c r="C720">
        <f t="shared" si="155"/>
        <v>-39.797900109746379</v>
      </c>
      <c r="D720">
        <f t="shared" si="160"/>
        <v>-1.5</v>
      </c>
      <c r="E720">
        <f t="shared" si="160"/>
        <v>-2.43730819379536</v>
      </c>
      <c r="F720">
        <f t="shared" si="161"/>
        <v>-3.6666666666666665</v>
      </c>
      <c r="G720">
        <f t="shared" si="162"/>
        <v>-1.3056436199607107</v>
      </c>
      <c r="H720">
        <f t="shared" si="164"/>
        <v>-1.3666666666666667</v>
      </c>
      <c r="I720">
        <f t="shared" si="164"/>
        <v>-0.21772081457670386</v>
      </c>
      <c r="J720">
        <f t="shared" si="156"/>
        <v>2012.8333333333301</v>
      </c>
      <c r="K720">
        <f t="shared" si="157"/>
        <v>-59</v>
      </c>
      <c r="L720">
        <f t="shared" si="158"/>
        <v>-83.561333809649895</v>
      </c>
      <c r="M720" s="5">
        <v>1939.8333333333301</v>
      </c>
      <c r="N720" s="5">
        <v>-30</v>
      </c>
      <c r="O720" s="5">
        <v>120.746897898288</v>
      </c>
      <c r="Q720">
        <f t="shared" si="163"/>
        <v>2.3610230467059559</v>
      </c>
      <c r="R720">
        <f t="shared" si="159"/>
        <v>19.202099890253621</v>
      </c>
    </row>
    <row r="721" spans="1:18" x14ac:dyDescent="0.25">
      <c r="A721">
        <f t="shared" si="154"/>
        <v>2012.9166666666599</v>
      </c>
      <c r="B721">
        <f t="shared" si="154"/>
        <v>-56</v>
      </c>
      <c r="C721">
        <f t="shared" si="155"/>
        <v>-32.910603738774526</v>
      </c>
      <c r="D721">
        <f t="shared" si="160"/>
        <v>-6</v>
      </c>
      <c r="E721">
        <f t="shared" si="160"/>
        <v>-11.708798193279087</v>
      </c>
      <c r="F721">
        <f t="shared" si="161"/>
        <v>-2</v>
      </c>
      <c r="G721">
        <f t="shared" si="162"/>
        <v>-3.8726994369483432</v>
      </c>
      <c r="H721">
        <f t="shared" si="164"/>
        <v>-2.4</v>
      </c>
      <c r="I721">
        <f t="shared" si="164"/>
        <v>0.38403460487424435</v>
      </c>
      <c r="J721">
        <f t="shared" si="156"/>
        <v>2012.9166666666599</v>
      </c>
      <c r="K721">
        <f t="shared" si="157"/>
        <v>-56</v>
      </c>
      <c r="L721">
        <f t="shared" si="158"/>
        <v>-75.296827376959598</v>
      </c>
      <c r="M721" s="5">
        <v>1939.9166666666599</v>
      </c>
      <c r="N721" s="5">
        <v>-30</v>
      </c>
      <c r="O721" s="5">
        <v>107.04406506482501</v>
      </c>
      <c r="Q721">
        <f t="shared" si="163"/>
        <v>1.8726994369483432</v>
      </c>
      <c r="R721">
        <f t="shared" si="159"/>
        <v>23.089396261225474</v>
      </c>
    </row>
    <row r="722" spans="1:18" x14ac:dyDescent="0.25">
      <c r="A722">
        <f t="shared" si="154"/>
        <v>2013</v>
      </c>
      <c r="B722">
        <f t="shared" si="154"/>
        <v>-41</v>
      </c>
      <c r="C722">
        <f t="shared" si="155"/>
        <v>-2.6057109812444956</v>
      </c>
      <c r="D722">
        <f t="shared" si="160"/>
        <v>1.5</v>
      </c>
      <c r="E722">
        <f t="shared" si="160"/>
        <v>-0.37651650148183968</v>
      </c>
      <c r="F722">
        <f t="shared" si="161"/>
        <v>0.33333333333333331</v>
      </c>
      <c r="G722">
        <f t="shared" si="162"/>
        <v>-0.17517050123833497</v>
      </c>
      <c r="H722">
        <f t="shared" si="164"/>
        <v>-2.1</v>
      </c>
      <c r="I722">
        <f t="shared" si="164"/>
        <v>1.3192433490180853</v>
      </c>
      <c r="J722">
        <f t="shared" si="156"/>
        <v>2013</v>
      </c>
      <c r="K722">
        <f t="shared" si="157"/>
        <v>-41</v>
      </c>
      <c r="L722">
        <f t="shared" si="158"/>
        <v>-38.932052631357202</v>
      </c>
      <c r="M722" s="5">
        <v>1940</v>
      </c>
      <c r="N722" s="5">
        <v>-30</v>
      </c>
      <c r="O722" s="5">
        <v>101.69860938270899</v>
      </c>
      <c r="Q722">
        <f t="shared" si="163"/>
        <v>0.50850383457166826</v>
      </c>
      <c r="R722">
        <f t="shared" si="159"/>
        <v>38.394289018755501</v>
      </c>
    </row>
    <row r="723" spans="1:18" x14ac:dyDescent="0.25">
      <c r="A723">
        <f t="shared" si="154"/>
        <v>2013.0833333333301</v>
      </c>
      <c r="B723">
        <f t="shared" si="154"/>
        <v>-29</v>
      </c>
      <c r="C723">
        <f t="shared" si="155"/>
        <v>28.452214779249214</v>
      </c>
      <c r="D723">
        <f t="shared" si="160"/>
        <v>5.5</v>
      </c>
      <c r="E723">
        <f t="shared" si="160"/>
        <v>11.42842531511717</v>
      </c>
      <c r="F723">
        <f t="shared" si="161"/>
        <v>-6.166666666666667</v>
      </c>
      <c r="G723">
        <f t="shared" si="162"/>
        <v>4.7216916602546446</v>
      </c>
      <c r="H723">
        <f t="shared" si="164"/>
        <v>-3.1</v>
      </c>
      <c r="I723">
        <f t="shared" si="164"/>
        <v>2.502933337388614</v>
      </c>
      <c r="J723">
        <f t="shared" si="156"/>
        <v>2013.0833333333301</v>
      </c>
      <c r="K723">
        <f t="shared" si="157"/>
        <v>-29</v>
      </c>
      <c r="L723">
        <f t="shared" si="158"/>
        <v>-1.6636655302227199</v>
      </c>
      <c r="M723" s="5">
        <v>1940.0833333333301</v>
      </c>
      <c r="N723" s="5">
        <v>-30</v>
      </c>
      <c r="O723" s="5">
        <v>90.694565635633097</v>
      </c>
      <c r="Q723">
        <f t="shared" si="163"/>
        <v>10.888358326921312</v>
      </c>
      <c r="R723">
        <f t="shared" si="159"/>
        <v>57.452214779249218</v>
      </c>
    </row>
    <row r="724" spans="1:18" x14ac:dyDescent="0.25">
      <c r="A724">
        <f t="shared" si="154"/>
        <v>2013.1666666666599</v>
      </c>
      <c r="B724">
        <f t="shared" si="154"/>
        <v>-28</v>
      </c>
      <c r="C724">
        <f t="shared" si="155"/>
        <v>36.653289909508587</v>
      </c>
      <c r="D724">
        <f t="shared" si="160"/>
        <v>-25.5</v>
      </c>
      <c r="E724">
        <f t="shared" si="160"/>
        <v>6.6544349123195872</v>
      </c>
      <c r="F724">
        <f t="shared" si="161"/>
        <v>1</v>
      </c>
      <c r="G724">
        <f t="shared" si="162"/>
        <v>7.2280386429831696</v>
      </c>
      <c r="H724">
        <f t="shared" si="164"/>
        <v>-0.96666666666666679</v>
      </c>
      <c r="I724">
        <f t="shared" si="164"/>
        <v>3.6248320112020105</v>
      </c>
      <c r="J724">
        <f t="shared" si="156"/>
        <v>2013.1666666666599</v>
      </c>
      <c r="K724">
        <f t="shared" si="157"/>
        <v>-28</v>
      </c>
      <c r="L724">
        <f t="shared" si="158"/>
        <v>8.1773278753566796</v>
      </c>
      <c r="M724" s="5">
        <v>1940.1666666666599</v>
      </c>
      <c r="N724" s="5">
        <v>-30</v>
      </c>
      <c r="O724" s="5">
        <v>73.501031119210495</v>
      </c>
      <c r="Q724">
        <f t="shared" si="163"/>
        <v>6.2280386429831696</v>
      </c>
      <c r="R724">
        <f t="shared" si="159"/>
        <v>64.653289909508587</v>
      </c>
    </row>
    <row r="725" spans="1:18" x14ac:dyDescent="0.25">
      <c r="A725">
        <f t="shared" si="154"/>
        <v>2013.25</v>
      </c>
      <c r="B725">
        <f t="shared" si="154"/>
        <v>24</v>
      </c>
      <c r="C725">
        <f t="shared" si="155"/>
        <v>31.545495215128785</v>
      </c>
      <c r="D725">
        <f t="shared" si="160"/>
        <v>23</v>
      </c>
      <c r="E725">
        <f t="shared" si="160"/>
        <v>9.0222846837501258</v>
      </c>
      <c r="F725">
        <f t="shared" si="161"/>
        <v>-8.6666666666666661</v>
      </c>
      <c r="G725">
        <f t="shared" si="162"/>
        <v>4.6128063218919344</v>
      </c>
      <c r="H725">
        <f t="shared" si="164"/>
        <v>2.333333333333333</v>
      </c>
      <c r="I725">
        <f t="shared" si="164"/>
        <v>3.404934252325357</v>
      </c>
      <c r="J725">
        <f t="shared" si="156"/>
        <v>2013.25</v>
      </c>
      <c r="K725">
        <f t="shared" si="157"/>
        <v>24</v>
      </c>
      <c r="L725">
        <f t="shared" si="158"/>
        <v>2.04815906443087</v>
      </c>
      <c r="M725" s="5">
        <v>1940.25</v>
      </c>
      <c r="N725" s="5">
        <v>-30</v>
      </c>
      <c r="O725" s="5">
        <v>60.939684713408802</v>
      </c>
      <c r="Q725">
        <f t="shared" si="163"/>
        <v>13.2794729885586</v>
      </c>
      <c r="R725">
        <f t="shared" si="159"/>
        <v>7.5454952151287848</v>
      </c>
    </row>
    <row r="726" spans="1:18" x14ac:dyDescent="0.25">
      <c r="A726">
        <f t="shared" si="154"/>
        <v>2013.3333333333301</v>
      </c>
      <c r="B726">
        <f t="shared" si="154"/>
        <v>30</v>
      </c>
      <c r="C726">
        <f t="shared" si="155"/>
        <v>8.3931311532487314</v>
      </c>
      <c r="D726">
        <f t="shared" si="160"/>
        <v>-23.5</v>
      </c>
      <c r="E726">
        <f t="shared" si="160"/>
        <v>1.6213041110250401</v>
      </c>
      <c r="F726">
        <f t="shared" si="161"/>
        <v>8.6666666666666661</v>
      </c>
      <c r="G726">
        <f t="shared" si="162"/>
        <v>1.7367939321186368</v>
      </c>
      <c r="H726">
        <f t="shared" si="164"/>
        <v>6.3</v>
      </c>
      <c r="I726">
        <f t="shared" si="164"/>
        <v>1.996168974579938</v>
      </c>
      <c r="J726">
        <f t="shared" si="156"/>
        <v>2013.3333333333301</v>
      </c>
      <c r="K726">
        <f t="shared" si="157"/>
        <v>30</v>
      </c>
      <c r="L726">
        <f t="shared" si="158"/>
        <v>-25.7338400561319</v>
      </c>
      <c r="M726" s="5">
        <v>1940.3333333333301</v>
      </c>
      <c r="N726" s="5">
        <v>-30</v>
      </c>
      <c r="O726" s="5">
        <v>38.9611074665793</v>
      </c>
      <c r="Q726">
        <f t="shared" si="163"/>
        <v>6.9298727345480291</v>
      </c>
      <c r="R726">
        <f t="shared" si="159"/>
        <v>21.606868846751269</v>
      </c>
    </row>
    <row r="727" spans="1:18" x14ac:dyDescent="0.25">
      <c r="A727">
        <f t="shared" si="154"/>
        <v>2013.4166666666599</v>
      </c>
      <c r="B727">
        <f t="shared" si="154"/>
        <v>83</v>
      </c>
      <c r="C727">
        <f t="shared" si="155"/>
        <v>-18.001841130681402</v>
      </c>
      <c r="D727">
        <f t="shared" si="160"/>
        <v>26.5</v>
      </c>
      <c r="E727">
        <f t="shared" si="160"/>
        <v>-4.1306115493302791</v>
      </c>
      <c r="F727">
        <f t="shared" si="161"/>
        <v>16.833333333333332</v>
      </c>
      <c r="G727">
        <f t="shared" si="162"/>
        <v>-1.2746592956215987</v>
      </c>
      <c r="H727">
        <f t="shared" si="164"/>
        <v>7.7333333333333325</v>
      </c>
      <c r="I727">
        <f t="shared" si="164"/>
        <v>0.3388910673182115</v>
      </c>
      <c r="J727">
        <f t="shared" si="156"/>
        <v>2013.4166666666599</v>
      </c>
      <c r="K727">
        <f t="shared" si="157"/>
        <v>83</v>
      </c>
      <c r="L727">
        <f t="shared" si="158"/>
        <v>-57.406851711421098</v>
      </c>
      <c r="M727" s="5">
        <v>1940.4166666666599</v>
      </c>
      <c r="N727" s="5">
        <v>-30</v>
      </c>
      <c r="O727" s="5">
        <v>-11.7516035292313</v>
      </c>
      <c r="Q727">
        <f t="shared" si="163"/>
        <v>18.107992628954932</v>
      </c>
      <c r="R727">
        <f t="shared" si="159"/>
        <v>101.0018411306814</v>
      </c>
    </row>
    <row r="728" spans="1:18" x14ac:dyDescent="0.25">
      <c r="A728">
        <f t="shared" si="154"/>
        <v>2013.5</v>
      </c>
      <c r="B728">
        <f t="shared" si="154"/>
        <v>83</v>
      </c>
      <c r="C728">
        <f t="shared" si="155"/>
        <v>-36.135590315950978</v>
      </c>
      <c r="D728">
        <f t="shared" si="160"/>
        <v>47.5</v>
      </c>
      <c r="E728">
        <f t="shared" si="160"/>
        <v>-2.2706649202757561</v>
      </c>
      <c r="F728">
        <f t="shared" si="161"/>
        <v>13.666666666666666</v>
      </c>
      <c r="G728">
        <f t="shared" si="162"/>
        <v>-2.3221347284724527</v>
      </c>
      <c r="H728">
        <f t="shared" ref="H728:I743" si="165">+AVERAGE(F726:F730)</f>
        <v>6.4999999999999982</v>
      </c>
      <c r="I728">
        <f t="shared" si="165"/>
        <v>-0.59073625583018308</v>
      </c>
      <c r="J728">
        <f t="shared" si="156"/>
        <v>2013.5</v>
      </c>
      <c r="K728">
        <f t="shared" si="157"/>
        <v>83</v>
      </c>
      <c r="L728">
        <f t="shared" si="158"/>
        <v>-79.166694575465797</v>
      </c>
      <c r="M728" s="5">
        <v>1940.5</v>
      </c>
      <c r="N728" s="5">
        <v>-30</v>
      </c>
      <c r="O728" s="5">
        <v>-70.915310768892198</v>
      </c>
      <c r="Q728">
        <f t="shared" si="163"/>
        <v>15.988801395139118</v>
      </c>
      <c r="R728">
        <f t="shared" si="159"/>
        <v>119.13559031595098</v>
      </c>
    </row>
    <row r="729" spans="1:18" x14ac:dyDescent="0.25">
      <c r="A729">
        <f t="shared" si="154"/>
        <v>2013.5833333333301</v>
      </c>
      <c r="B729">
        <f t="shared" si="154"/>
        <v>-12</v>
      </c>
      <c r="C729">
        <f t="shared" si="155"/>
        <v>-49.728009660669045</v>
      </c>
      <c r="D729">
        <f t="shared" si="160"/>
        <v>-33</v>
      </c>
      <c r="E729">
        <f t="shared" si="160"/>
        <v>-2.3067287621656618</v>
      </c>
      <c r="F729">
        <f t="shared" si="161"/>
        <v>8.1666666666666661</v>
      </c>
      <c r="G729">
        <f t="shared" si="162"/>
        <v>-1.0583508933254622</v>
      </c>
      <c r="H729">
        <f t="shared" si="165"/>
        <v>4.0666666666666655</v>
      </c>
      <c r="I729">
        <f t="shared" si="165"/>
        <v>-1.0139570490022589</v>
      </c>
      <c r="J729">
        <f t="shared" si="156"/>
        <v>2013.5833333333301</v>
      </c>
      <c r="K729">
        <f t="shared" si="157"/>
        <v>-12</v>
      </c>
      <c r="L729">
        <f t="shared" si="158"/>
        <v>-95.477105956005104</v>
      </c>
      <c r="M729" s="5">
        <v>1940.5833333333301</v>
      </c>
      <c r="N729" s="5">
        <v>-30</v>
      </c>
      <c r="O729" s="5">
        <v>-118.03950150774099</v>
      </c>
      <c r="Q729">
        <f t="shared" si="163"/>
        <v>9.2250175599921285</v>
      </c>
      <c r="R729">
        <f t="shared" si="159"/>
        <v>37.728009660669045</v>
      </c>
    </row>
    <row r="730" spans="1:18" x14ac:dyDescent="0.25">
      <c r="A730">
        <f t="shared" si="154"/>
        <v>2013.6666666666599</v>
      </c>
      <c r="B730">
        <f t="shared" si="154"/>
        <v>-41</v>
      </c>
      <c r="C730">
        <f t="shared" si="155"/>
        <v>-58.706971481055788</v>
      </c>
      <c r="D730">
        <f t="shared" si="160"/>
        <v>10</v>
      </c>
      <c r="E730">
        <f t="shared" si="160"/>
        <v>0.60857783247093522</v>
      </c>
      <c r="F730">
        <f t="shared" si="161"/>
        <v>-14.833333333333334</v>
      </c>
      <c r="G730">
        <f t="shared" si="162"/>
        <v>-3.533029385003867E-2</v>
      </c>
      <c r="H730">
        <f t="shared" si="165"/>
        <v>-0.93333333333333357</v>
      </c>
      <c r="I730">
        <f t="shared" si="165"/>
        <v>-1.0518464348868606</v>
      </c>
      <c r="J730">
        <f t="shared" si="156"/>
        <v>2013.6666666666599</v>
      </c>
      <c r="K730">
        <f t="shared" si="157"/>
        <v>-41</v>
      </c>
      <c r="L730">
        <f t="shared" si="158"/>
        <v>-106.25153524239801</v>
      </c>
      <c r="M730" s="5">
        <v>1940.6666666666599</v>
      </c>
      <c r="N730" s="5">
        <v>-30</v>
      </c>
      <c r="O730" s="5">
        <v>-150.62726132477101</v>
      </c>
      <c r="Q730">
        <f t="shared" si="163"/>
        <v>14.798003039483294</v>
      </c>
      <c r="R730">
        <f t="shared" si="159"/>
        <v>17.706971481055788</v>
      </c>
    </row>
    <row r="731" spans="1:18" x14ac:dyDescent="0.25">
      <c r="A731">
        <f t="shared" si="154"/>
        <v>2013.75</v>
      </c>
      <c r="B731">
        <f t="shared" si="154"/>
        <v>-90</v>
      </c>
      <c r="C731">
        <f t="shared" si="155"/>
        <v>-68.903088966384402</v>
      </c>
      <c r="D731">
        <f t="shared" si="160"/>
        <v>-21.5</v>
      </c>
      <c r="E731">
        <f t="shared" si="160"/>
        <v>1.5656623277570816</v>
      </c>
      <c r="F731">
        <f t="shared" si="161"/>
        <v>-3.5</v>
      </c>
      <c r="G731">
        <f t="shared" si="162"/>
        <v>-0.37931003374174188</v>
      </c>
      <c r="H731">
        <f t="shared" si="165"/>
        <v>-4.2666666666666675</v>
      </c>
      <c r="I731">
        <f t="shared" si="165"/>
        <v>-0.95729181140664577</v>
      </c>
      <c r="J731">
        <f t="shared" si="156"/>
        <v>2013.75</v>
      </c>
      <c r="K731">
        <f t="shared" si="157"/>
        <v>-90</v>
      </c>
      <c r="L731">
        <f t="shared" si="158"/>
        <v>-118.486507284711</v>
      </c>
      <c r="M731" s="5">
        <v>1940.75</v>
      </c>
      <c r="N731" s="5">
        <v>-30</v>
      </c>
      <c r="O731" s="5">
        <v>-176.05807736112601</v>
      </c>
      <c r="Q731">
        <f t="shared" si="163"/>
        <v>3.1206899662582579</v>
      </c>
      <c r="R731">
        <f t="shared" si="159"/>
        <v>21.096911033615598</v>
      </c>
    </row>
    <row r="732" spans="1:18" x14ac:dyDescent="0.25">
      <c r="A732">
        <f t="shared" si="154"/>
        <v>2013.8333333333301</v>
      </c>
      <c r="B732">
        <f t="shared" si="154"/>
        <v>-96</v>
      </c>
      <c r="C732">
        <f t="shared" si="155"/>
        <v>-82.230531107227179</v>
      </c>
      <c r="D732">
        <f t="shared" si="160"/>
        <v>1</v>
      </c>
      <c r="E732">
        <f t="shared" si="160"/>
        <v>-3.5966527867595488</v>
      </c>
      <c r="F732">
        <f t="shared" si="161"/>
        <v>-8.1666666666666661</v>
      </c>
      <c r="G732">
        <f t="shared" si="162"/>
        <v>-1.4641062250446075</v>
      </c>
      <c r="H732">
        <f t="shared" si="165"/>
        <v>-6.6</v>
      </c>
      <c r="I732">
        <f t="shared" si="165"/>
        <v>-0.93311855453262837</v>
      </c>
      <c r="J732">
        <f t="shared" si="156"/>
        <v>2013.8333333333301</v>
      </c>
      <c r="K732">
        <f t="shared" si="157"/>
        <v>-96</v>
      </c>
      <c r="L732">
        <f t="shared" si="158"/>
        <v>-134.47895560863299</v>
      </c>
      <c r="M732" s="5">
        <v>1940.8333333333301</v>
      </c>
      <c r="N732" s="5">
        <v>-30</v>
      </c>
      <c r="O732" s="5">
        <v>-195.11141635487201</v>
      </c>
      <c r="Q732">
        <f t="shared" si="163"/>
        <v>6.7025604416220581</v>
      </c>
      <c r="R732">
        <f t="shared" si="159"/>
        <v>13.769468892772821</v>
      </c>
    </row>
    <row r="733" spans="1:18" x14ac:dyDescent="0.25">
      <c r="A733">
        <f t="shared" si="154"/>
        <v>2013.9166666666599</v>
      </c>
      <c r="B733">
        <f t="shared" si="154"/>
        <v>-104</v>
      </c>
      <c r="C733">
        <f t="shared" si="155"/>
        <v>-88.364667674550873</v>
      </c>
      <c r="D733">
        <f t="shared" si="160"/>
        <v>-4</v>
      </c>
      <c r="E733">
        <f t="shared" si="160"/>
        <v>-3.4594078849148104</v>
      </c>
      <c r="F733">
        <f t="shared" si="161"/>
        <v>-3</v>
      </c>
      <c r="G733">
        <f t="shared" si="162"/>
        <v>-1.8493616110713789</v>
      </c>
      <c r="H733">
        <f t="shared" si="165"/>
        <v>-3.6333333333333329</v>
      </c>
      <c r="I733">
        <f t="shared" si="165"/>
        <v>-0.81236269351776524</v>
      </c>
      <c r="J733">
        <f t="shared" si="156"/>
        <v>2013.9166666666599</v>
      </c>
      <c r="K733">
        <f t="shared" si="157"/>
        <v>-104</v>
      </c>
      <c r="L733">
        <f t="shared" si="158"/>
        <v>-141.83969752955801</v>
      </c>
      <c r="M733" s="5">
        <v>1940.9166666666599</v>
      </c>
      <c r="N733" s="5">
        <v>-30</v>
      </c>
      <c r="O733" s="5">
        <v>-203.051496075442</v>
      </c>
      <c r="Q733">
        <f t="shared" si="163"/>
        <v>1.1506383889286211</v>
      </c>
      <c r="R733">
        <f t="shared" si="159"/>
        <v>15.635332325449127</v>
      </c>
    </row>
    <row r="734" spans="1:18" x14ac:dyDescent="0.25">
      <c r="A734">
        <f t="shared" si="154"/>
        <v>2014</v>
      </c>
      <c r="B734">
        <f t="shared" si="154"/>
        <v>-104</v>
      </c>
      <c r="C734">
        <f t="shared" si="155"/>
        <v>-87.579988472044931</v>
      </c>
      <c r="D734">
        <f t="shared" si="160"/>
        <v>-6</v>
      </c>
      <c r="E734">
        <f t="shared" si="160"/>
        <v>0.12095463015668884</v>
      </c>
      <c r="F734">
        <f t="shared" si="161"/>
        <v>-3.5</v>
      </c>
      <c r="G734">
        <f t="shared" si="162"/>
        <v>-0.93748460895537478</v>
      </c>
      <c r="H734">
        <f t="shared" si="165"/>
        <v>-1.4333333333333331</v>
      </c>
      <c r="I734">
        <f t="shared" si="165"/>
        <v>-0.36092211873989688</v>
      </c>
      <c r="J734">
        <f t="shared" si="156"/>
        <v>2014</v>
      </c>
      <c r="K734">
        <f t="shared" si="157"/>
        <v>-104</v>
      </c>
      <c r="L734">
        <f t="shared" si="158"/>
        <v>-140.898110879673</v>
      </c>
      <c r="M734" s="5">
        <v>1941</v>
      </c>
      <c r="N734" s="5">
        <v>-30</v>
      </c>
      <c r="O734" s="5">
        <v>-201.94291468177201</v>
      </c>
      <c r="Q734">
        <f t="shared" si="163"/>
        <v>2.5625153910446254</v>
      </c>
      <c r="R734">
        <f t="shared" si="159"/>
        <v>16.420011527955069</v>
      </c>
    </row>
    <row r="735" spans="1:18" x14ac:dyDescent="0.25">
      <c r="A735">
        <f t="shared" si="154"/>
        <v>2014.0833333333301</v>
      </c>
      <c r="B735">
        <f t="shared" si="154"/>
        <v>-92</v>
      </c>
      <c r="C735">
        <f t="shared" si="155"/>
        <v>-87.037218529852368</v>
      </c>
      <c r="D735">
        <f t="shared" si="160"/>
        <v>-0.5</v>
      </c>
      <c r="E735">
        <f t="shared" si="160"/>
        <v>-0.17711402882453342</v>
      </c>
      <c r="F735">
        <f t="shared" si="161"/>
        <v>0</v>
      </c>
      <c r="G735">
        <f t="shared" si="162"/>
        <v>0.56844901122427705</v>
      </c>
      <c r="H735">
        <f t="shared" si="165"/>
        <v>1.1333333333333333</v>
      </c>
      <c r="I735">
        <f t="shared" si="165"/>
        <v>0.31673283522203205</v>
      </c>
      <c r="J735">
        <f t="shared" si="156"/>
        <v>2014.0833333333301</v>
      </c>
      <c r="K735">
        <f t="shared" si="157"/>
        <v>-92</v>
      </c>
      <c r="L735">
        <f t="shared" si="158"/>
        <v>-140.24680658883</v>
      </c>
      <c r="M735" s="5">
        <v>1941.0833333333301</v>
      </c>
      <c r="N735" s="5">
        <v>-30</v>
      </c>
      <c r="O735" s="5">
        <v>-197.326467272386</v>
      </c>
      <c r="Q735">
        <f t="shared" si="163"/>
        <v>0.56844901122427705</v>
      </c>
      <c r="R735">
        <f t="shared" si="159"/>
        <v>4.9627814701476325</v>
      </c>
    </row>
    <row r="736" spans="1:18" x14ac:dyDescent="0.25">
      <c r="A736">
        <f t="shared" si="154"/>
        <v>2014.1666666666599</v>
      </c>
      <c r="B736">
        <f t="shared" si="154"/>
        <v>-79</v>
      </c>
      <c r="C736">
        <f t="shared" si="155"/>
        <v>-86.140220530010737</v>
      </c>
      <c r="D736">
        <f t="shared" si="160"/>
        <v>6.5</v>
      </c>
      <c r="E736">
        <f t="shared" si="160"/>
        <v>2.1878431907588833</v>
      </c>
      <c r="F736">
        <f t="shared" si="161"/>
        <v>7.5</v>
      </c>
      <c r="G736">
        <f t="shared" si="162"/>
        <v>1.8778928401475998</v>
      </c>
      <c r="H736">
        <f t="shared" si="165"/>
        <v>2.166666666666667</v>
      </c>
      <c r="I736">
        <f t="shared" si="165"/>
        <v>0.73189007622383229</v>
      </c>
      <c r="J736">
        <f t="shared" si="156"/>
        <v>2014.1666666666599</v>
      </c>
      <c r="K736">
        <f t="shared" si="157"/>
        <v>-79</v>
      </c>
      <c r="L736">
        <f t="shared" si="158"/>
        <v>-139.170441446327</v>
      </c>
      <c r="M736" s="5">
        <v>1941.1666666666599</v>
      </c>
      <c r="N736" s="5">
        <v>-30</v>
      </c>
      <c r="O736" s="5">
        <v>-192.92727904172301</v>
      </c>
      <c r="Q736">
        <f t="shared" si="163"/>
        <v>5.6221071598524004</v>
      </c>
      <c r="R736">
        <f t="shared" si="159"/>
        <v>7.1402205300107369</v>
      </c>
    </row>
    <row r="737" spans="1:18" x14ac:dyDescent="0.25">
      <c r="A737">
        <f t="shared" si="154"/>
        <v>2014.25</v>
      </c>
      <c r="B737">
        <f t="shared" si="154"/>
        <v>-79</v>
      </c>
      <c r="C737">
        <f t="shared" si="155"/>
        <v>-89.618908911686873</v>
      </c>
      <c r="D737">
        <f t="shared" si="160"/>
        <v>16.5</v>
      </c>
      <c r="E737">
        <f t="shared" si="160"/>
        <v>5.0313689886191497</v>
      </c>
      <c r="F737">
        <f t="shared" si="161"/>
        <v>4.666666666666667</v>
      </c>
      <c r="G737">
        <f t="shared" si="162"/>
        <v>1.9241685447650374</v>
      </c>
      <c r="H737">
        <f t="shared" si="165"/>
        <v>1.7666666666666668</v>
      </c>
      <c r="I737">
        <f t="shared" si="165"/>
        <v>0.38619720840565919</v>
      </c>
      <c r="J737">
        <f t="shared" si="156"/>
        <v>2014.25</v>
      </c>
      <c r="K737">
        <f t="shared" si="157"/>
        <v>-79</v>
      </c>
      <c r="L737">
        <f t="shared" si="158"/>
        <v>-143.344741630193</v>
      </c>
      <c r="M737" s="5">
        <v>1941.25</v>
      </c>
      <c r="N737" s="5">
        <v>-30</v>
      </c>
      <c r="O737" s="5">
        <v>-194.054699900836</v>
      </c>
      <c r="Q737">
        <f t="shared" si="163"/>
        <v>2.7424981219016296</v>
      </c>
      <c r="R737">
        <f t="shared" si="159"/>
        <v>10.618908911686873</v>
      </c>
    </row>
    <row r="738" spans="1:18" x14ac:dyDescent="0.25">
      <c r="A738">
        <f t="shared" si="154"/>
        <v>2014.3333333333301</v>
      </c>
      <c r="B738">
        <f t="shared" si="154"/>
        <v>-112</v>
      </c>
      <c r="C738">
        <f t="shared" si="155"/>
        <v>-103.16033527060131</v>
      </c>
      <c r="D738">
        <f t="shared" si="160"/>
        <v>-9</v>
      </c>
      <c r="E738">
        <f t="shared" si="160"/>
        <v>-3.5801365091430171E-3</v>
      </c>
      <c r="F738">
        <f t="shared" si="161"/>
        <v>2.1666666666666665</v>
      </c>
      <c r="G738">
        <f t="shared" si="162"/>
        <v>0.22642459393762238</v>
      </c>
      <c r="H738">
        <f t="shared" si="165"/>
        <v>1.2333333333333336</v>
      </c>
      <c r="I738">
        <f t="shared" si="165"/>
        <v>-0.58081245034262663</v>
      </c>
      <c r="J738">
        <f t="shared" si="156"/>
        <v>2014.3333333333301</v>
      </c>
      <c r="K738">
        <f t="shared" si="157"/>
        <v>-112</v>
      </c>
      <c r="L738">
        <f t="shared" si="158"/>
        <v>-159.59396327291699</v>
      </c>
      <c r="M738" s="5">
        <v>1941.3333333333301</v>
      </c>
      <c r="N738" s="5">
        <v>-30</v>
      </c>
      <c r="O738" s="5">
        <v>-201.103076510302</v>
      </c>
      <c r="Q738">
        <f t="shared" si="163"/>
        <v>1.9402420727290441</v>
      </c>
      <c r="R738">
        <f t="shared" si="159"/>
        <v>8.8396647293986916</v>
      </c>
    </row>
    <row r="739" spans="1:18" x14ac:dyDescent="0.25">
      <c r="A739">
        <f t="shared" si="154"/>
        <v>2014.4166666666599</v>
      </c>
      <c r="B739">
        <f t="shared" si="154"/>
        <v>-127</v>
      </c>
      <c r="C739">
        <f t="shared" si="155"/>
        <v>-116.69460135649746</v>
      </c>
      <c r="D739">
        <f t="shared" si="160"/>
        <v>-1</v>
      </c>
      <c r="E739">
        <f t="shared" si="160"/>
        <v>-4.1786966248439228</v>
      </c>
      <c r="F739">
        <f t="shared" si="161"/>
        <v>-5.5</v>
      </c>
      <c r="G739">
        <f t="shared" si="162"/>
        <v>-2.6659489480462413</v>
      </c>
      <c r="H739">
        <f t="shared" si="165"/>
        <v>-1.5333333333333332</v>
      </c>
      <c r="I739">
        <f t="shared" si="165"/>
        <v>-1.5338769901405318</v>
      </c>
      <c r="J739">
        <f t="shared" si="156"/>
        <v>2014.4166666666599</v>
      </c>
      <c r="K739">
        <f t="shared" si="157"/>
        <v>-127</v>
      </c>
      <c r="L739">
        <f t="shared" si="158"/>
        <v>-175.83459284710901</v>
      </c>
      <c r="M739" s="5">
        <v>1941.4166666666599</v>
      </c>
      <c r="N739" s="5">
        <v>-30</v>
      </c>
      <c r="O739" s="5">
        <v>-205.08405504073599</v>
      </c>
      <c r="Q739">
        <f t="shared" si="163"/>
        <v>2.8340510519537587</v>
      </c>
      <c r="R739">
        <f t="shared" si="159"/>
        <v>10.305398643502542</v>
      </c>
    </row>
    <row r="740" spans="1:18" x14ac:dyDescent="0.25">
      <c r="A740">
        <f t="shared" si="154"/>
        <v>2014.5</v>
      </c>
      <c r="B740">
        <f t="shared" si="154"/>
        <v>-140</v>
      </c>
      <c r="C740">
        <f t="shared" si="155"/>
        <v>-121.87147419270576</v>
      </c>
      <c r="D740">
        <f t="shared" si="160"/>
        <v>-6.5</v>
      </c>
      <c r="E740">
        <f t="shared" si="160"/>
        <v>-5.8150317938203386</v>
      </c>
      <c r="F740">
        <f t="shared" si="161"/>
        <v>-2.6666666666666665</v>
      </c>
      <c r="G740">
        <f t="shared" si="162"/>
        <v>-4.2665992825171513</v>
      </c>
      <c r="H740">
        <f t="shared" si="165"/>
        <v>-2.4666666666666663</v>
      </c>
      <c r="I740">
        <f t="shared" si="165"/>
        <v>-1.7662827610839282</v>
      </c>
      <c r="J740">
        <f t="shared" si="156"/>
        <v>2014.5</v>
      </c>
      <c r="K740">
        <f t="shared" si="157"/>
        <v>-140</v>
      </c>
      <c r="L740">
        <f t="shared" si="158"/>
        <v>-182.04665292868</v>
      </c>
      <c r="M740" s="5">
        <v>1941.5</v>
      </c>
      <c r="N740" s="5">
        <v>-30</v>
      </c>
      <c r="O740" s="5">
        <v>-199.42349330972201</v>
      </c>
      <c r="Q740">
        <f t="shared" si="163"/>
        <v>1.5999326158504847</v>
      </c>
      <c r="R740">
        <f t="shared" si="159"/>
        <v>18.128525807294238</v>
      </c>
    </row>
    <row r="741" spans="1:18" x14ac:dyDescent="0.25">
      <c r="A741">
        <f t="shared" si="154"/>
        <v>2014.5833333333301</v>
      </c>
      <c r="B741">
        <f t="shared" si="154"/>
        <v>-140</v>
      </c>
      <c r="C741">
        <f t="shared" si="155"/>
        <v>-115.41828344127339</v>
      </c>
      <c r="D741">
        <f t="shared" si="160"/>
        <v>-0.5</v>
      </c>
      <c r="E741">
        <f t="shared" si="160"/>
        <v>-6.0060188907750529</v>
      </c>
      <c r="F741">
        <f t="shared" si="161"/>
        <v>-6.333333333333333</v>
      </c>
      <c r="G741">
        <f t="shared" si="162"/>
        <v>-2.8874298588419265</v>
      </c>
      <c r="H741">
        <f t="shared" si="165"/>
        <v>-3.6</v>
      </c>
      <c r="I741">
        <f t="shared" si="165"/>
        <v>-1.255439676665276</v>
      </c>
      <c r="J741">
        <f t="shared" si="156"/>
        <v>2014.5833333333301</v>
      </c>
      <c r="K741">
        <f t="shared" si="157"/>
        <v>-140</v>
      </c>
      <c r="L741">
        <f t="shared" si="158"/>
        <v>-174.30305753159899</v>
      </c>
      <c r="M741" s="5">
        <v>1941.5833333333301</v>
      </c>
      <c r="N741" s="5">
        <v>-30</v>
      </c>
      <c r="O741" s="5">
        <v>-178.400973859853</v>
      </c>
      <c r="Q741">
        <f t="shared" si="163"/>
        <v>3.4459034744914065</v>
      </c>
      <c r="R741">
        <f t="shared" si="159"/>
        <v>24.581716558726612</v>
      </c>
    </row>
    <row r="742" spans="1:18" x14ac:dyDescent="0.25">
      <c r="A742">
        <f t="shared" si="154"/>
        <v>2014.6666666666599</v>
      </c>
      <c r="B742">
        <f t="shared" si="154"/>
        <v>-139</v>
      </c>
      <c r="C742">
        <f t="shared" si="155"/>
        <v>-96.953054908290909</v>
      </c>
      <c r="D742">
        <f t="shared" si="160"/>
        <v>-12</v>
      </c>
      <c r="E742">
        <f t="shared" si="160"/>
        <v>0.99318871393816721</v>
      </c>
      <c r="F742">
        <f t="shared" si="161"/>
        <v>0</v>
      </c>
      <c r="G742">
        <f t="shared" si="162"/>
        <v>0.76213969004805526</v>
      </c>
      <c r="H742">
        <f t="shared" si="165"/>
        <v>-2.6333333333333333</v>
      </c>
      <c r="I742">
        <f t="shared" si="165"/>
        <v>-0.2706799058535922</v>
      </c>
      <c r="J742">
        <f t="shared" si="156"/>
        <v>2014.6666666666599</v>
      </c>
      <c r="K742">
        <f t="shared" si="157"/>
        <v>-139</v>
      </c>
      <c r="L742">
        <f t="shared" si="158"/>
        <v>-152.14545144466999</v>
      </c>
      <c r="M742" s="5">
        <v>1941.6666666666599</v>
      </c>
      <c r="N742" s="5">
        <v>-30</v>
      </c>
      <c r="O742" s="5">
        <v>-134.26738084631799</v>
      </c>
      <c r="Q742">
        <f t="shared" si="163"/>
        <v>0.76213969004805526</v>
      </c>
      <c r="R742">
        <f t="shared" si="159"/>
        <v>42.046945091709091</v>
      </c>
    </row>
    <row r="743" spans="1:18" x14ac:dyDescent="0.25">
      <c r="A743">
        <f t="shared" si="154"/>
        <v>2014.75</v>
      </c>
      <c r="B743">
        <f t="shared" si="154"/>
        <v>-114</v>
      </c>
      <c r="C743">
        <f t="shared" si="155"/>
        <v>-80.47420380318475</v>
      </c>
      <c r="D743">
        <f t="shared" si="160"/>
        <v>12.5</v>
      </c>
      <c r="E743">
        <f t="shared" si="160"/>
        <v>7.8708540145170929</v>
      </c>
      <c r="F743">
        <f t="shared" si="161"/>
        <v>-3.5</v>
      </c>
      <c r="G743">
        <f t="shared" si="162"/>
        <v>2.7806400160308842</v>
      </c>
      <c r="H743">
        <f t="shared" si="165"/>
        <v>-3.0333333333333328</v>
      </c>
      <c r="I743">
        <f t="shared" si="165"/>
        <v>0.62826696001808313</v>
      </c>
      <c r="J743">
        <f t="shared" si="156"/>
        <v>2014.75</v>
      </c>
      <c r="K743">
        <f t="shared" si="157"/>
        <v>-114</v>
      </c>
      <c r="L743">
        <f t="shared" si="158"/>
        <v>-132.37142639537799</v>
      </c>
      <c r="M743" s="5">
        <v>1941.75</v>
      </c>
      <c r="N743" s="5">
        <v>-30</v>
      </c>
      <c r="O743" s="5">
        <v>-75.084933308045095</v>
      </c>
      <c r="Q743">
        <f t="shared" si="163"/>
        <v>6.2806400160308842</v>
      </c>
      <c r="R743">
        <f t="shared" si="159"/>
        <v>33.52579619681525</v>
      </c>
    </row>
    <row r="744" spans="1:18" x14ac:dyDescent="0.25">
      <c r="A744">
        <f t="shared" si="154"/>
        <v>2014.8333333333301</v>
      </c>
      <c r="B744">
        <f t="shared" si="154"/>
        <v>-114</v>
      </c>
      <c r="C744">
        <f t="shared" si="155"/>
        <v>-79.737060727112791</v>
      </c>
      <c r="D744">
        <f t="shared" si="160"/>
        <v>-11</v>
      </c>
      <c r="E744">
        <f t="shared" si="160"/>
        <v>1.5633573316605549</v>
      </c>
      <c r="F744">
        <f t="shared" si="161"/>
        <v>-0.66666666666666663</v>
      </c>
      <c r="G744">
        <f t="shared" si="162"/>
        <v>2.2578499060121771</v>
      </c>
      <c r="H744">
        <f t="shared" ref="H744:I752" si="166">+AVERAGE(F742:F746)</f>
        <v>-1.4333333333333333</v>
      </c>
      <c r="I744">
        <f t="shared" si="166"/>
        <v>1.0988811118355162</v>
      </c>
      <c r="J744">
        <f t="shared" si="156"/>
        <v>2014.8333333333301</v>
      </c>
      <c r="K744">
        <f t="shared" si="157"/>
        <v>-114</v>
      </c>
      <c r="L744">
        <f t="shared" si="158"/>
        <v>-131.48688137714899</v>
      </c>
      <c r="M744" s="5">
        <v>1941.8333333333301</v>
      </c>
      <c r="N744" s="5">
        <v>-30</v>
      </c>
      <c r="O744" s="5">
        <v>-15.9959572376232</v>
      </c>
      <c r="Q744">
        <f t="shared" si="163"/>
        <v>2.9245165726788436</v>
      </c>
      <c r="R744">
        <f t="shared" si="159"/>
        <v>34.262939272887209</v>
      </c>
    </row>
    <row r="745" spans="1:18" x14ac:dyDescent="0.25">
      <c r="A745">
        <f t="shared" si="154"/>
        <v>2014.9166666666599</v>
      </c>
      <c r="B745">
        <f t="shared" si="154"/>
        <v>-92</v>
      </c>
      <c r="C745">
        <f t="shared" si="155"/>
        <v>-82.126632314361942</v>
      </c>
      <c r="D745">
        <f t="shared" si="160"/>
        <v>-3.5</v>
      </c>
      <c r="E745">
        <f t="shared" si="160"/>
        <v>-0.9672741986319835</v>
      </c>
      <c r="F745">
        <f t="shared" si="161"/>
        <v>-4.666666666666667</v>
      </c>
      <c r="G745">
        <f t="shared" si="162"/>
        <v>0.22813504684122565</v>
      </c>
      <c r="H745">
        <f t="shared" si="166"/>
        <v>-0.53333333333333344</v>
      </c>
      <c r="I745">
        <f t="shared" si="166"/>
        <v>0.79484188491203733</v>
      </c>
      <c r="J745">
        <f t="shared" si="156"/>
        <v>2014.9166666666599</v>
      </c>
      <c r="K745">
        <f t="shared" si="157"/>
        <v>-92</v>
      </c>
      <c r="L745">
        <f t="shared" si="158"/>
        <v>-134.35428081670699</v>
      </c>
      <c r="M745" s="5">
        <v>1941.9166666666599</v>
      </c>
      <c r="N745" s="5">
        <v>-30</v>
      </c>
      <c r="O745" s="5">
        <v>59.115936499876902</v>
      </c>
      <c r="Q745">
        <f t="shared" si="163"/>
        <v>4.8948017135078929</v>
      </c>
      <c r="R745">
        <f t="shared" si="159"/>
        <v>9.8733676856380583</v>
      </c>
    </row>
    <row r="746" spans="1:18" x14ac:dyDescent="0.25">
      <c r="A746">
        <f t="shared" si="154"/>
        <v>2015</v>
      </c>
      <c r="B746">
        <f t="shared" si="154"/>
        <v>-63</v>
      </c>
      <c r="C746">
        <f t="shared" si="155"/>
        <v>-82.581655504347111</v>
      </c>
      <c r="D746">
        <f t="shared" si="160"/>
        <v>0.5</v>
      </c>
      <c r="E746">
        <f t="shared" si="160"/>
        <v>0.2594232926260247</v>
      </c>
      <c r="F746">
        <f t="shared" si="161"/>
        <v>1.6666666666666667</v>
      </c>
      <c r="G746">
        <f t="shared" si="162"/>
        <v>-0.53435909975476081</v>
      </c>
      <c r="H746">
        <f t="shared" si="166"/>
        <v>0.43333333333333324</v>
      </c>
      <c r="I746">
        <f t="shared" si="166"/>
        <v>-0.16817271988915775</v>
      </c>
      <c r="J746">
        <f t="shared" si="156"/>
        <v>2015</v>
      </c>
      <c r="K746">
        <f t="shared" si="157"/>
        <v>-63</v>
      </c>
      <c r="L746">
        <f t="shared" si="158"/>
        <v>-134.90029217996201</v>
      </c>
      <c r="M746" s="5">
        <v>1942</v>
      </c>
      <c r="N746" s="5">
        <v>-30</v>
      </c>
      <c r="O746" s="5">
        <v>108.16389205063101</v>
      </c>
      <c r="Q746">
        <f t="shared" si="163"/>
        <v>2.2010257664214277</v>
      </c>
      <c r="R746">
        <f t="shared" si="159"/>
        <v>19.581655504347111</v>
      </c>
    </row>
    <row r="747" spans="1:18" x14ac:dyDescent="0.25">
      <c r="A747">
        <f t="shared" si="154"/>
        <v>2015.0833333333301</v>
      </c>
      <c r="B747">
        <f t="shared" si="154"/>
        <v>-35</v>
      </c>
      <c r="C747">
        <f t="shared" si="155"/>
        <v>-83.55552527958433</v>
      </c>
      <c r="D747">
        <f t="shared" si="160"/>
        <v>8</v>
      </c>
      <c r="E747">
        <f t="shared" si="160"/>
        <v>-1.2959957180743942</v>
      </c>
      <c r="F747">
        <f t="shared" si="161"/>
        <v>4.5</v>
      </c>
      <c r="G747">
        <f t="shared" si="162"/>
        <v>-0.75805644456933885</v>
      </c>
      <c r="H747">
        <f t="shared" si="166"/>
        <v>-2.1666666666666665</v>
      </c>
      <c r="I747">
        <f t="shared" si="166"/>
        <v>-1.5086830394828112</v>
      </c>
      <c r="J747">
        <f t="shared" si="156"/>
        <v>2015.0833333333301</v>
      </c>
      <c r="K747">
        <f t="shared" si="157"/>
        <v>-35</v>
      </c>
      <c r="L747">
        <f t="shared" si="158"/>
        <v>-136.06890067138301</v>
      </c>
      <c r="M747" s="5">
        <v>1942.0833333333301</v>
      </c>
      <c r="N747" s="5">
        <v>-30</v>
      </c>
      <c r="O747" s="5">
        <v>132.39397053949699</v>
      </c>
      <c r="Q747">
        <f t="shared" si="163"/>
        <v>5.2580564445693385</v>
      </c>
      <c r="R747">
        <f t="shared" si="159"/>
        <v>48.55552527958433</v>
      </c>
    </row>
    <row r="748" spans="1:18" x14ac:dyDescent="0.25">
      <c r="A748">
        <f t="shared" si="154"/>
        <v>2015.1666666666599</v>
      </c>
      <c r="B748">
        <f t="shared" si="154"/>
        <v>-23</v>
      </c>
      <c r="C748">
        <f t="shared" si="155"/>
        <v>-81.937403618672761</v>
      </c>
      <c r="D748">
        <f t="shared" si="160"/>
        <v>5</v>
      </c>
      <c r="E748">
        <f t="shared" si="160"/>
        <v>-1.8061392416866511</v>
      </c>
      <c r="F748">
        <f t="shared" si="161"/>
        <v>1.3333333333333333</v>
      </c>
      <c r="G748">
        <f t="shared" si="162"/>
        <v>-2.0344330079750916</v>
      </c>
      <c r="H748">
        <f t="shared" si="166"/>
        <v>-1.2999999999999998</v>
      </c>
      <c r="I748">
        <f t="shared" si="166"/>
        <v>-3.067028322886673</v>
      </c>
      <c r="J748">
        <f t="shared" si="156"/>
        <v>2015.1666666666599</v>
      </c>
      <c r="K748">
        <f t="shared" si="157"/>
        <v>-23</v>
      </c>
      <c r="L748">
        <f t="shared" si="158"/>
        <v>-134.127213229001</v>
      </c>
      <c r="M748" s="5">
        <v>1942.1666666666599</v>
      </c>
      <c r="N748" s="5">
        <v>-30</v>
      </c>
      <c r="O748" s="5">
        <v>142.41705758973399</v>
      </c>
      <c r="Q748">
        <f t="shared" si="163"/>
        <v>3.3677663413084247</v>
      </c>
      <c r="R748">
        <f t="shared" si="159"/>
        <v>58.937403618672761</v>
      </c>
    </row>
    <row r="749" spans="1:18" x14ac:dyDescent="0.25">
      <c r="A749">
        <f t="shared" si="154"/>
        <v>2015.25</v>
      </c>
      <c r="B749">
        <f t="shared" si="154"/>
        <v>-21</v>
      </c>
      <c r="C749">
        <f t="shared" si="155"/>
        <v>-76.707003474387889</v>
      </c>
      <c r="D749">
        <f t="shared" si="160"/>
        <v>-9</v>
      </c>
      <c r="E749">
        <f t="shared" si="160"/>
        <v>-4.5269888201455473</v>
      </c>
      <c r="F749">
        <f t="shared" si="161"/>
        <v>-13.666666666666666</v>
      </c>
      <c r="G749">
        <f t="shared" si="162"/>
        <v>-4.44470169195609</v>
      </c>
      <c r="H749">
        <f t="shared" si="166"/>
        <v>-1.2</v>
      </c>
      <c r="I749">
        <f t="shared" si="166"/>
        <v>-3.9126216921710784</v>
      </c>
      <c r="J749">
        <f t="shared" si="156"/>
        <v>2015.25</v>
      </c>
      <c r="K749">
        <f t="shared" si="157"/>
        <v>-21</v>
      </c>
      <c r="L749">
        <f t="shared" si="158"/>
        <v>-127.85092231458999</v>
      </c>
      <c r="M749" s="5">
        <v>1942.25</v>
      </c>
      <c r="N749" s="5">
        <v>-30</v>
      </c>
      <c r="O749" s="5">
        <v>141.851049870732</v>
      </c>
      <c r="Q749">
        <f t="shared" si="163"/>
        <v>9.221964974710577</v>
      </c>
      <c r="R749">
        <f t="shared" si="159"/>
        <v>55.707003474387889</v>
      </c>
    </row>
    <row r="750" spans="1:18" x14ac:dyDescent="0.25">
      <c r="A750">
        <f t="shared" si="154"/>
        <v>2015.3333333333301</v>
      </c>
      <c r="B750">
        <f t="shared" si="154"/>
        <v>-1</v>
      </c>
      <c r="C750">
        <f t="shared" si="155"/>
        <v>-62.422625689811923</v>
      </c>
      <c r="D750">
        <f t="shared" si="160"/>
        <v>-37</v>
      </c>
      <c r="E750">
        <f t="shared" si="160"/>
        <v>-10.334503283003137</v>
      </c>
      <c r="F750">
        <f t="shared" si="161"/>
        <v>-0.33333333333333331</v>
      </c>
      <c r="G750">
        <f t="shared" si="162"/>
        <v>-7.5635913701780844</v>
      </c>
      <c r="H750">
        <f t="shared" si="166"/>
        <v>1.0333333333333332</v>
      </c>
      <c r="I750">
        <f t="shared" si="166"/>
        <v>-3.3132256220250333</v>
      </c>
      <c r="J750">
        <f t="shared" si="156"/>
        <v>2015.3333333333301</v>
      </c>
      <c r="K750">
        <f t="shared" si="157"/>
        <v>-1</v>
      </c>
      <c r="L750">
        <f t="shared" si="158"/>
        <v>-110.71018584430099</v>
      </c>
      <c r="M750" s="5">
        <v>1942.3333333333301</v>
      </c>
      <c r="N750" s="5">
        <v>-30</v>
      </c>
      <c r="O750" s="5">
        <v>134.39419937985801</v>
      </c>
      <c r="Q750">
        <f t="shared" si="163"/>
        <v>7.2302580368447513</v>
      </c>
      <c r="R750">
        <f t="shared" si="159"/>
        <v>61.422625689811923</v>
      </c>
    </row>
    <row r="751" spans="1:18" x14ac:dyDescent="0.25">
      <c r="A751">
        <f t="shared" si="154"/>
        <v>2015.4166666666599</v>
      </c>
      <c r="B751">
        <f t="shared" si="154"/>
        <v>93</v>
      </c>
      <c r="C751">
        <f t="shared" si="155"/>
        <v>-27.469241339229686</v>
      </c>
      <c r="D751">
        <f t="shared" si="160"/>
        <v>45</v>
      </c>
      <c r="E751">
        <f t="shared" si="160"/>
        <v>-13.501975535019131</v>
      </c>
      <c r="F751">
        <f t="shared" si="161"/>
        <v>2.1666666666666665</v>
      </c>
      <c r="G751">
        <f t="shared" si="162"/>
        <v>-4.7623259461767864</v>
      </c>
      <c r="H751">
        <f t="shared" si="166"/>
        <v>4.7</v>
      </c>
      <c r="I751">
        <f t="shared" si="166"/>
        <v>-0.97779455047398078</v>
      </c>
      <c r="J751">
        <f t="shared" si="156"/>
        <v>2015.4166666666599</v>
      </c>
      <c r="K751">
        <f t="shared" si="157"/>
        <v>93</v>
      </c>
      <c r="L751">
        <f t="shared" si="158"/>
        <v>-68.767389389772802</v>
      </c>
      <c r="M751" s="5">
        <v>1942.4166666666599</v>
      </c>
      <c r="N751" s="5">
        <v>-30</v>
      </c>
      <c r="O751" s="5">
        <v>121.77441804097199</v>
      </c>
      <c r="Q751">
        <f t="shared" si="163"/>
        <v>6.9289926128434534</v>
      </c>
      <c r="R751">
        <f t="shared" si="159"/>
        <v>120.46924133922968</v>
      </c>
    </row>
    <row r="752" spans="1:18" x14ac:dyDescent="0.25">
      <c r="A752">
        <f t="shared" si="154"/>
        <v>2015.5</v>
      </c>
      <c r="B752">
        <f t="shared" si="154"/>
        <v>97</v>
      </c>
      <c r="C752">
        <f t="shared" si="155"/>
        <v>34.488094081390813</v>
      </c>
      <c r="D752">
        <f t="shared" si="160"/>
        <v>-1.5</v>
      </c>
      <c r="E752">
        <f t="shared" si="160"/>
        <v>5.9777565198593194</v>
      </c>
      <c r="F752">
        <f t="shared" si="161"/>
        <v>15.666666666666666</v>
      </c>
      <c r="G752">
        <f t="shared" si="162"/>
        <v>2.2389239061608852</v>
      </c>
      <c r="H752">
        <f t="shared" si="166"/>
        <v>10.666666666666668</v>
      </c>
      <c r="I752">
        <f t="shared" si="166"/>
        <v>1.915796345645786</v>
      </c>
      <c r="J752">
        <f t="shared" si="156"/>
        <v>2015.5</v>
      </c>
      <c r="K752">
        <f t="shared" si="157"/>
        <v>97</v>
      </c>
      <c r="L752">
        <f t="shared" si="158"/>
        <v>5.5791712278609804</v>
      </c>
      <c r="M752" s="5">
        <v>1942.5</v>
      </c>
      <c r="N752" s="5">
        <v>-30</v>
      </c>
      <c r="O752" s="5">
        <v>97.145887853035703</v>
      </c>
      <c r="Q752">
        <f t="shared" si="163"/>
        <v>13.427742760505781</v>
      </c>
      <c r="R752">
        <f t="shared" si="159"/>
        <v>62.511905918609187</v>
      </c>
    </row>
    <row r="753" spans="1:18" x14ac:dyDescent="0.25">
      <c r="A753">
        <f t="shared" si="154"/>
        <v>2015.5833333333301</v>
      </c>
      <c r="B753">
        <f t="shared" si="154"/>
        <v>104</v>
      </c>
      <c r="C753">
        <f t="shared" si="155"/>
        <v>84.489916462292669</v>
      </c>
      <c r="D753">
        <f t="shared" si="160"/>
        <v>3.5</v>
      </c>
      <c r="E753">
        <f t="shared" si="160"/>
        <v>15.920183663263131</v>
      </c>
      <c r="F753">
        <f t="shared" si="161"/>
        <v>19.666666666666668</v>
      </c>
      <c r="G753">
        <f t="shared" si="162"/>
        <v>9.6427223497801737</v>
      </c>
      <c r="J753">
        <f t="shared" si="156"/>
        <v>2015.5833333333301</v>
      </c>
      <c r="K753">
        <f t="shared" si="157"/>
        <v>104</v>
      </c>
      <c r="L753">
        <f t="shared" si="158"/>
        <v>65.579548800532393</v>
      </c>
      <c r="M753" s="5">
        <v>1942.5833333333301</v>
      </c>
      <c r="N753" s="5">
        <v>-30</v>
      </c>
      <c r="O753" s="5">
        <v>57.589002820650798</v>
      </c>
      <c r="Q753">
        <f t="shared" si="163"/>
        <v>10.023944316886494</v>
      </c>
      <c r="R753">
        <f t="shared" si="159"/>
        <v>19.510083537707331</v>
      </c>
    </row>
    <row r="754" spans="1:18" x14ac:dyDescent="0.25">
      <c r="A754">
        <f t="shared" si="154"/>
        <v>2015.6666666666599</v>
      </c>
      <c r="B754">
        <f t="shared" si="154"/>
        <v>104</v>
      </c>
      <c r="C754">
        <f t="shared" si="155"/>
        <v>102.65137151666828</v>
      </c>
      <c r="D754">
        <f t="shared" si="160"/>
        <v>57</v>
      </c>
      <c r="E754">
        <f t="shared" si="160"/>
        <v>14.262268628553201</v>
      </c>
      <c r="F754">
        <f t="shared" si="161"/>
        <v>16.166666666666668</v>
      </c>
      <c r="G754">
        <f t="shared" si="162"/>
        <v>10.023252788642743</v>
      </c>
      <c r="J754">
        <f t="shared" si="156"/>
        <v>2015.6666666666599</v>
      </c>
      <c r="K754">
        <f t="shared" si="157"/>
        <v>104</v>
      </c>
      <c r="L754">
        <f t="shared" si="158"/>
        <v>87.372637704984896</v>
      </c>
      <c r="M754" s="5">
        <v>1942.6666666666599</v>
      </c>
      <c r="N754" s="5">
        <v>-30</v>
      </c>
      <c r="O754" s="5">
        <v>-9.7458368302712497</v>
      </c>
      <c r="Q754">
        <f t="shared" si="163"/>
        <v>6.1434138780239245</v>
      </c>
      <c r="R754">
        <f t="shared" si="159"/>
        <v>1.3486284833317228</v>
      </c>
    </row>
    <row r="755" spans="1:18" x14ac:dyDescent="0.25">
      <c r="A755">
        <f t="shared" si="154"/>
        <v>2015.75</v>
      </c>
      <c r="B755">
        <f t="shared" si="154"/>
        <v>-10</v>
      </c>
      <c r="C755">
        <f t="shared" si="155"/>
        <v>92.288289313937469</v>
      </c>
      <c r="D755">
        <f t="shared" si="160"/>
        <v>-12</v>
      </c>
      <c r="E755">
        <f t="shared" si="160"/>
        <v>7.4047456655939499</v>
      </c>
      <c r="J755">
        <f t="shared" si="156"/>
        <v>2015.75</v>
      </c>
      <c r="K755">
        <f t="shared" si="157"/>
        <v>-10</v>
      </c>
      <c r="L755">
        <f t="shared" si="158"/>
        <v>74.937314043302294</v>
      </c>
      <c r="M755" s="5">
        <v>1942.75</v>
      </c>
      <c r="N755" s="5">
        <v>-30</v>
      </c>
      <c r="O755" s="5">
        <v>-88.500752499617704</v>
      </c>
      <c r="R755">
        <f t="shared" si="159"/>
        <v>102.28828931393747</v>
      </c>
    </row>
    <row r="756" spans="1:18" x14ac:dyDescent="0.25">
      <c r="A756">
        <f t="shared" si="154"/>
        <v>2015.8333333333301</v>
      </c>
      <c r="B756">
        <f t="shared" si="154"/>
        <v>-100</v>
      </c>
      <c r="C756">
        <f t="shared" si="155"/>
        <v>67.11571578001876</v>
      </c>
      <c r="J756">
        <f t="shared" si="156"/>
        <v>2015.8333333333301</v>
      </c>
      <c r="K756">
        <f t="shared" si="157"/>
        <v>-100</v>
      </c>
      <c r="L756">
        <f t="shared" si="158"/>
        <v>44.731136656298901</v>
      </c>
      <c r="M756" s="5">
        <v>1942.8333333333301</v>
      </c>
      <c r="N756" s="5">
        <v>-30</v>
      </c>
      <c r="O756" s="5">
        <v>-134.49475863658</v>
      </c>
      <c r="R756">
        <f t="shared" si="159"/>
        <v>167.11571578001877</v>
      </c>
    </row>
    <row r="757" spans="1:18" x14ac:dyDescent="0.25">
      <c r="M757" s="5">
        <v>1942.9166666666599</v>
      </c>
      <c r="N757" s="5">
        <v>-30</v>
      </c>
      <c r="O757" s="5">
        <v>-153.87890817959399</v>
      </c>
    </row>
    <row r="758" spans="1:18" x14ac:dyDescent="0.25">
      <c r="M758" s="5">
        <v>1943</v>
      </c>
      <c r="N758" s="5">
        <v>-30</v>
      </c>
      <c r="O758" s="5">
        <v>-160.66825579194801</v>
      </c>
    </row>
    <row r="759" spans="1:18" x14ac:dyDescent="0.25">
      <c r="M759" s="5">
        <v>1943.0833333333301</v>
      </c>
      <c r="N759" s="5">
        <v>-30</v>
      </c>
      <c r="O759" s="5">
        <v>-160.14196612598801</v>
      </c>
    </row>
    <row r="760" spans="1:18" x14ac:dyDescent="0.25">
      <c r="M760" s="5">
        <v>1943.1666666666599</v>
      </c>
      <c r="N760" s="5">
        <v>-30</v>
      </c>
      <c r="O760" s="5">
        <v>-158.26676509831799</v>
      </c>
    </row>
    <row r="761" spans="1:18" x14ac:dyDescent="0.25">
      <c r="M761" s="5">
        <v>1943.25</v>
      </c>
      <c r="N761" s="5">
        <v>-30</v>
      </c>
      <c r="O761" s="5">
        <v>-166.04518453559899</v>
      </c>
    </row>
    <row r="762" spans="1:18" x14ac:dyDescent="0.25">
      <c r="M762" s="5">
        <v>1943.3333333333301</v>
      </c>
      <c r="N762" s="5">
        <v>-30</v>
      </c>
      <c r="O762" s="5">
        <v>-182.94346682251199</v>
      </c>
    </row>
    <row r="763" spans="1:18" x14ac:dyDescent="0.25">
      <c r="M763" s="5">
        <v>1943.4166666666599</v>
      </c>
      <c r="N763" s="5">
        <v>-30</v>
      </c>
      <c r="O763" s="5">
        <v>-200.48860709914501</v>
      </c>
    </row>
    <row r="764" spans="1:18" x14ac:dyDescent="0.25">
      <c r="M764" s="5">
        <v>1943.5</v>
      </c>
      <c r="N764" s="5">
        <v>-30</v>
      </c>
      <c r="O764" s="5">
        <v>-210.687415159023</v>
      </c>
    </row>
    <row r="765" spans="1:18" x14ac:dyDescent="0.25">
      <c r="M765" s="5">
        <v>1943.5833333333301</v>
      </c>
      <c r="N765" s="5">
        <v>-30</v>
      </c>
      <c r="O765" s="5">
        <v>-208.701761840643</v>
      </c>
    </row>
    <row r="766" spans="1:18" x14ac:dyDescent="0.25">
      <c r="M766" s="5">
        <v>1943.6666666666599</v>
      </c>
      <c r="N766" s="5">
        <v>-30</v>
      </c>
      <c r="O766" s="5">
        <v>-196.33312435156799</v>
      </c>
    </row>
    <row r="767" spans="1:18" x14ac:dyDescent="0.25">
      <c r="M767" s="5">
        <v>1943.75</v>
      </c>
      <c r="N767" s="5">
        <v>-30</v>
      </c>
      <c r="O767" s="5">
        <v>-181.34155578667901</v>
      </c>
    </row>
    <row r="768" spans="1:18" x14ac:dyDescent="0.25">
      <c r="M768" s="5">
        <v>1943.8333333333301</v>
      </c>
      <c r="N768" s="5">
        <v>-30</v>
      </c>
      <c r="O768" s="5">
        <v>-167.551008536659</v>
      </c>
    </row>
    <row r="769" spans="13:15" x14ac:dyDescent="0.25">
      <c r="M769" s="5">
        <v>1943.9166666666599</v>
      </c>
      <c r="N769" s="5">
        <v>-30</v>
      </c>
      <c r="O769" s="5">
        <v>-153.565380434015</v>
      </c>
    </row>
    <row r="770" spans="13:15" x14ac:dyDescent="0.25">
      <c r="M770" s="5">
        <v>1944</v>
      </c>
      <c r="N770" s="5">
        <v>-30</v>
      </c>
      <c r="O770" s="5">
        <v>-139.19692784340401</v>
      </c>
    </row>
    <row r="771" spans="13:15" x14ac:dyDescent="0.25">
      <c r="M771" s="5">
        <v>1944.0833333333301</v>
      </c>
      <c r="N771" s="5">
        <v>-30</v>
      </c>
      <c r="O771" s="5">
        <v>-125.05310051716801</v>
      </c>
    </row>
    <row r="772" spans="13:15" x14ac:dyDescent="0.25">
      <c r="M772" s="5">
        <v>1944.1666666666599</v>
      </c>
      <c r="N772" s="5">
        <v>-30</v>
      </c>
      <c r="O772" s="5">
        <v>-118.339835239019</v>
      </c>
    </row>
    <row r="773" spans="13:15" x14ac:dyDescent="0.25">
      <c r="M773" s="5">
        <v>1944.25</v>
      </c>
      <c r="N773" s="5">
        <v>-30</v>
      </c>
      <c r="O773" s="5">
        <v>-114.81657631739</v>
      </c>
    </row>
    <row r="774" spans="13:15" x14ac:dyDescent="0.25">
      <c r="M774" s="5">
        <v>1944.3333333333301</v>
      </c>
      <c r="N774" s="5">
        <v>-30</v>
      </c>
      <c r="O774" s="5">
        <v>-94.392733809524401</v>
      </c>
    </row>
    <row r="775" spans="13:15" x14ac:dyDescent="0.25">
      <c r="M775" s="5">
        <v>1944.4166666666599</v>
      </c>
      <c r="N775" s="5">
        <v>-30</v>
      </c>
      <c r="O775" s="5">
        <v>-42.335373327363598</v>
      </c>
    </row>
    <row r="776" spans="13:15" x14ac:dyDescent="0.25">
      <c r="M776" s="5">
        <v>1944.5</v>
      </c>
      <c r="N776" s="5">
        <v>-30</v>
      </c>
      <c r="O776" s="5">
        <v>54.170541643253102</v>
      </c>
    </row>
    <row r="777" spans="13:15" x14ac:dyDescent="0.25">
      <c r="M777" s="5">
        <v>1944.5833333333301</v>
      </c>
      <c r="N777" s="5">
        <v>-30</v>
      </c>
      <c r="O777" s="5">
        <v>114.72443757354699</v>
      </c>
    </row>
    <row r="778" spans="13:15" x14ac:dyDescent="0.25">
      <c r="M778" s="5">
        <v>1944.6666666666599</v>
      </c>
      <c r="N778" s="5">
        <v>-30</v>
      </c>
      <c r="O778" s="5">
        <v>136.57438096414899</v>
      </c>
    </row>
    <row r="779" spans="13:15" x14ac:dyDescent="0.25">
      <c r="M779" s="5">
        <v>1944.75</v>
      </c>
      <c r="N779" s="5">
        <v>-30</v>
      </c>
      <c r="O779" s="5">
        <v>132.835787213012</v>
      </c>
    </row>
    <row r="780" spans="13:15" x14ac:dyDescent="0.25">
      <c r="M780" s="5">
        <v>1944.8333333333301</v>
      </c>
      <c r="N780" s="5">
        <v>-30</v>
      </c>
      <c r="O780" s="5">
        <v>113.364146108412</v>
      </c>
    </row>
    <row r="781" spans="13:15" x14ac:dyDescent="0.25">
      <c r="M781" s="5">
        <v>1944.9166666666599</v>
      </c>
      <c r="N781" s="5">
        <v>-30</v>
      </c>
      <c r="O781" s="5">
        <v>80.503675165258798</v>
      </c>
    </row>
    <row r="782" spans="13:15" x14ac:dyDescent="0.25">
      <c r="M782" s="5">
        <v>1945</v>
      </c>
      <c r="N782" s="5">
        <v>-30</v>
      </c>
      <c r="O782" s="5">
        <v>38.637892562323501</v>
      </c>
    </row>
    <row r="783" spans="13:15" x14ac:dyDescent="0.25">
      <c r="M783" s="5">
        <v>1945.0833333333301</v>
      </c>
      <c r="N783" s="5">
        <v>-30</v>
      </c>
      <c r="O783" s="5">
        <v>0.93872944549833404</v>
      </c>
    </row>
    <row r="784" spans="13:15" x14ac:dyDescent="0.25">
      <c r="M784" s="5">
        <v>1945.1666666666599</v>
      </c>
      <c r="N784" s="5">
        <v>-30</v>
      </c>
      <c r="O784" s="5">
        <v>-24.771066160565201</v>
      </c>
    </row>
    <row r="785" spans="13:15" x14ac:dyDescent="0.25">
      <c r="M785" s="5">
        <v>1945.25</v>
      </c>
      <c r="N785" s="5">
        <v>-30</v>
      </c>
      <c r="O785" s="5">
        <v>-33.621988812285899</v>
      </c>
    </row>
    <row r="786" spans="13:15" x14ac:dyDescent="0.25">
      <c r="M786" s="5">
        <v>1945.3333333333301</v>
      </c>
      <c r="N786" s="5">
        <v>-30</v>
      </c>
      <c r="O786" s="5">
        <v>-52.3034865006803</v>
      </c>
    </row>
    <row r="787" spans="13:15" x14ac:dyDescent="0.25">
      <c r="M787" s="5">
        <v>1945.4166666666599</v>
      </c>
      <c r="N787" s="5">
        <v>-30</v>
      </c>
      <c r="O787" s="5">
        <v>-105.488668253068</v>
      </c>
    </row>
    <row r="788" spans="13:15" x14ac:dyDescent="0.25">
      <c r="M788" s="5">
        <v>1945.5</v>
      </c>
      <c r="N788" s="5">
        <v>-30</v>
      </c>
      <c r="O788" s="5">
        <v>-152.031074555076</v>
      </c>
    </row>
    <row r="789" spans="13:15" x14ac:dyDescent="0.25">
      <c r="M789" s="5">
        <v>1945.5833333333301</v>
      </c>
      <c r="N789" s="5">
        <v>-30</v>
      </c>
      <c r="O789" s="5">
        <v>-176.37642756146201</v>
      </c>
    </row>
    <row r="790" spans="13:15" x14ac:dyDescent="0.25">
      <c r="M790" s="5">
        <v>1945.6666666666599</v>
      </c>
      <c r="N790" s="5">
        <v>-30</v>
      </c>
      <c r="O790" s="5">
        <v>-188.66390582278501</v>
      </c>
    </row>
    <row r="791" spans="13:15" x14ac:dyDescent="0.25">
      <c r="M791" s="5">
        <v>1945.75</v>
      </c>
      <c r="N791" s="5">
        <v>-30</v>
      </c>
      <c r="O791" s="5">
        <v>-194.17425793196199</v>
      </c>
    </row>
    <row r="792" spans="13:15" x14ac:dyDescent="0.25">
      <c r="M792" s="5">
        <v>1945.8333333333301</v>
      </c>
      <c r="N792" s="5">
        <v>-30</v>
      </c>
      <c r="O792" s="5">
        <v>-194.281764577095</v>
      </c>
    </row>
    <row r="793" spans="13:15" x14ac:dyDescent="0.25">
      <c r="M793" s="5">
        <v>1945.9166666666599</v>
      </c>
      <c r="N793" s="5">
        <v>-30</v>
      </c>
      <c r="O793" s="5">
        <v>-189.116436721366</v>
      </c>
    </row>
    <row r="794" spans="13:15" x14ac:dyDescent="0.25">
      <c r="M794" s="5">
        <v>1946</v>
      </c>
      <c r="N794" s="5">
        <v>-30</v>
      </c>
      <c r="O794" s="5">
        <v>-176.42628950577699</v>
      </c>
    </row>
    <row r="795" spans="13:15" x14ac:dyDescent="0.25">
      <c r="M795" s="5">
        <v>1946.0833333333301</v>
      </c>
      <c r="N795" s="5">
        <v>-30</v>
      </c>
      <c r="O795" s="5">
        <v>-161.519084699909</v>
      </c>
    </row>
    <row r="796" spans="13:15" x14ac:dyDescent="0.25">
      <c r="M796" s="5">
        <v>1946.1666666666599</v>
      </c>
      <c r="N796" s="5">
        <v>-30</v>
      </c>
      <c r="O796" s="5">
        <v>-158.495949595887</v>
      </c>
    </row>
    <row r="797" spans="13:15" x14ac:dyDescent="0.25">
      <c r="M797" s="5">
        <v>1946.25</v>
      </c>
      <c r="N797" s="5">
        <v>-30</v>
      </c>
      <c r="O797" s="5">
        <v>-166.71052901779299</v>
      </c>
    </row>
    <row r="798" spans="13:15" x14ac:dyDescent="0.25">
      <c r="M798" s="5">
        <v>1946.3333333333301</v>
      </c>
      <c r="N798" s="5">
        <v>-30</v>
      </c>
      <c r="O798" s="5">
        <v>-178.423641811457</v>
      </c>
    </row>
    <row r="799" spans="13:15" x14ac:dyDescent="0.25">
      <c r="M799" s="5">
        <v>1946.4166666666599</v>
      </c>
      <c r="N799" s="5">
        <v>-30</v>
      </c>
      <c r="O799" s="5">
        <v>-186.72039766996801</v>
      </c>
    </row>
    <row r="800" spans="13:15" x14ac:dyDescent="0.25">
      <c r="M800" s="5">
        <v>1946.5</v>
      </c>
      <c r="N800" s="5">
        <v>-30</v>
      </c>
      <c r="O800" s="5">
        <v>-182.916664790841</v>
      </c>
    </row>
    <row r="801" spans="13:15" x14ac:dyDescent="0.25">
      <c r="M801" s="5">
        <v>1946.5833333333301</v>
      </c>
      <c r="N801" s="5">
        <v>-30</v>
      </c>
      <c r="O801" s="5">
        <v>-164.671237246663</v>
      </c>
    </row>
    <row r="802" spans="13:15" x14ac:dyDescent="0.25">
      <c r="M802" s="5">
        <v>1946.6666666666599</v>
      </c>
      <c r="N802" s="5">
        <v>-30</v>
      </c>
      <c r="O802" s="5">
        <v>-137.29001463613301</v>
      </c>
    </row>
    <row r="803" spans="13:15" x14ac:dyDescent="0.25">
      <c r="M803" s="5">
        <v>1946.75</v>
      </c>
      <c r="N803" s="5">
        <v>-30</v>
      </c>
      <c r="O803" s="5">
        <v>-106.620308577373</v>
      </c>
    </row>
    <row r="804" spans="13:15" x14ac:dyDescent="0.25">
      <c r="M804" s="5">
        <v>1946.8333333333301</v>
      </c>
      <c r="N804" s="5">
        <v>-30</v>
      </c>
      <c r="O804" s="5">
        <v>-74.333288890337101</v>
      </c>
    </row>
    <row r="805" spans="13:15" x14ac:dyDescent="0.25">
      <c r="M805" s="5">
        <v>1946.9166666666599</v>
      </c>
      <c r="N805" s="5">
        <v>-30</v>
      </c>
      <c r="O805" s="5">
        <v>-26.7192491816357</v>
      </c>
    </row>
    <row r="806" spans="13:15" x14ac:dyDescent="0.25">
      <c r="M806" s="5">
        <v>1947</v>
      </c>
      <c r="N806" s="5">
        <v>-30</v>
      </c>
      <c r="O806" s="5">
        <v>42.373024370933301</v>
      </c>
    </row>
    <row r="807" spans="13:15" x14ac:dyDescent="0.25">
      <c r="M807" s="5">
        <v>1947.0833333333301</v>
      </c>
      <c r="N807" s="5">
        <v>-30</v>
      </c>
      <c r="O807" s="5">
        <v>70.205530514589398</v>
      </c>
    </row>
    <row r="808" spans="13:15" x14ac:dyDescent="0.25">
      <c r="M808" s="5">
        <v>1947.1666666666599</v>
      </c>
      <c r="N808" s="5">
        <v>-30</v>
      </c>
      <c r="O808" s="5">
        <v>73.995559343768306</v>
      </c>
    </row>
    <row r="809" spans="13:15" x14ac:dyDescent="0.25">
      <c r="M809" s="5">
        <v>1947.25</v>
      </c>
      <c r="N809" s="5">
        <v>-30</v>
      </c>
      <c r="O809" s="5">
        <v>85.696801066843705</v>
      </c>
    </row>
    <row r="810" spans="13:15" x14ac:dyDescent="0.25">
      <c r="M810" s="5">
        <v>1947.3333333333301</v>
      </c>
      <c r="N810" s="5">
        <v>-30</v>
      </c>
      <c r="O810" s="5">
        <v>101.695851549618</v>
      </c>
    </row>
    <row r="811" spans="13:15" x14ac:dyDescent="0.25">
      <c r="M811" s="5">
        <v>1947.4166666666599</v>
      </c>
      <c r="N811" s="5">
        <v>-30</v>
      </c>
      <c r="O811" s="5">
        <v>109.676457965805</v>
      </c>
    </row>
    <row r="812" spans="13:15" x14ac:dyDescent="0.25">
      <c r="M812" s="5">
        <v>1947.5</v>
      </c>
      <c r="N812" s="5">
        <v>-30</v>
      </c>
      <c r="O812" s="5">
        <v>109.832508287522</v>
      </c>
    </row>
    <row r="813" spans="13:15" x14ac:dyDescent="0.25">
      <c r="M813" s="5">
        <v>1947.5833333333301</v>
      </c>
      <c r="N813" s="5">
        <v>-30</v>
      </c>
      <c r="O813" s="5">
        <v>96.330084745263704</v>
      </c>
    </row>
    <row r="814" spans="13:15" x14ac:dyDescent="0.25">
      <c r="M814" s="5">
        <v>1947.6666666666599</v>
      </c>
      <c r="N814" s="5">
        <v>-30</v>
      </c>
      <c r="O814" s="5">
        <v>59.403703322141901</v>
      </c>
    </row>
    <row r="815" spans="13:15" x14ac:dyDescent="0.25">
      <c r="M815" s="5">
        <v>1947.75</v>
      </c>
      <c r="N815" s="5">
        <v>-30</v>
      </c>
      <c r="O815" s="5">
        <v>-22.783036341935901</v>
      </c>
    </row>
    <row r="816" spans="13:15" x14ac:dyDescent="0.25">
      <c r="M816" s="5">
        <v>1947.8333333333301</v>
      </c>
      <c r="N816" s="5">
        <v>-30</v>
      </c>
      <c r="O816" s="5">
        <v>-97.366535705960302</v>
      </c>
    </row>
    <row r="817" spans="13:15" x14ac:dyDescent="0.25">
      <c r="M817" s="5">
        <v>1947.9166666666599</v>
      </c>
      <c r="N817" s="5">
        <v>-30</v>
      </c>
      <c r="O817" s="5">
        <v>-131.65652699405999</v>
      </c>
    </row>
    <row r="818" spans="13:15" x14ac:dyDescent="0.25">
      <c r="M818" s="5">
        <v>1948</v>
      </c>
      <c r="N818" s="5">
        <v>-30</v>
      </c>
      <c r="O818" s="5">
        <v>-141.90513776222099</v>
      </c>
    </row>
    <row r="819" spans="13:15" x14ac:dyDescent="0.25">
      <c r="M819" s="5">
        <v>1948.0833333333301</v>
      </c>
      <c r="N819" s="5">
        <v>-30</v>
      </c>
      <c r="O819" s="5">
        <v>-148.100271177325</v>
      </c>
    </row>
    <row r="820" spans="13:15" x14ac:dyDescent="0.25">
      <c r="M820" s="5">
        <v>1948.1666666666599</v>
      </c>
      <c r="N820" s="5">
        <v>-30</v>
      </c>
      <c r="O820" s="5">
        <v>-157.30116256642</v>
      </c>
    </row>
    <row r="821" spans="13:15" x14ac:dyDescent="0.25">
      <c r="M821" s="5">
        <v>1948.25</v>
      </c>
      <c r="N821" s="5">
        <v>-30</v>
      </c>
      <c r="O821" s="5">
        <v>-170.46813077203799</v>
      </c>
    </row>
    <row r="822" spans="13:15" x14ac:dyDescent="0.25">
      <c r="M822" s="5">
        <v>1948.3333333333301</v>
      </c>
      <c r="N822" s="5">
        <v>-30</v>
      </c>
      <c r="O822" s="5">
        <v>-188.08828562111299</v>
      </c>
    </row>
    <row r="823" spans="13:15" x14ac:dyDescent="0.25">
      <c r="M823" s="5">
        <v>1948.4166666666599</v>
      </c>
      <c r="N823" s="5">
        <v>-30</v>
      </c>
      <c r="O823" s="5">
        <v>-201.327370605152</v>
      </c>
    </row>
    <row r="824" spans="13:15" x14ac:dyDescent="0.25">
      <c r="M824" s="5">
        <v>1948.5</v>
      </c>
      <c r="N824" s="5">
        <v>-30</v>
      </c>
      <c r="O824" s="5">
        <v>-204.902772592194</v>
      </c>
    </row>
    <row r="825" spans="13:15" x14ac:dyDescent="0.25">
      <c r="M825" s="5">
        <v>1948.5833333333301</v>
      </c>
      <c r="N825" s="5">
        <v>-30</v>
      </c>
      <c r="O825" s="5">
        <v>-199.94611013298899</v>
      </c>
    </row>
    <row r="826" spans="13:15" x14ac:dyDescent="0.25">
      <c r="M826" s="5">
        <v>1948.6666666666599</v>
      </c>
      <c r="N826" s="5">
        <v>-30</v>
      </c>
      <c r="O826" s="5">
        <v>-189.24211094640501</v>
      </c>
    </row>
    <row r="827" spans="13:15" x14ac:dyDescent="0.25">
      <c r="M827" s="5">
        <v>1948.75</v>
      </c>
      <c r="N827" s="5">
        <v>-30</v>
      </c>
      <c r="O827" s="5">
        <v>-179.65826544188201</v>
      </c>
    </row>
    <row r="828" spans="13:15" x14ac:dyDescent="0.25">
      <c r="M828" s="5">
        <v>1948.8333333333301</v>
      </c>
      <c r="N828" s="5">
        <v>-30</v>
      </c>
      <c r="O828" s="5">
        <v>-173.859890880591</v>
      </c>
    </row>
    <row r="829" spans="13:15" x14ac:dyDescent="0.25">
      <c r="M829" s="5">
        <v>1948.9166666666599</v>
      </c>
      <c r="N829" s="5">
        <v>-30</v>
      </c>
      <c r="O829" s="5">
        <v>-160.144698078424</v>
      </c>
    </row>
    <row r="830" spans="13:15" x14ac:dyDescent="0.25">
      <c r="M830" s="5">
        <v>1949</v>
      </c>
      <c r="N830" s="5">
        <v>-30</v>
      </c>
      <c r="O830" s="5">
        <v>-133.19395793044799</v>
      </c>
    </row>
    <row r="831" spans="13:15" x14ac:dyDescent="0.25">
      <c r="M831" s="5">
        <v>1949.0833333333301</v>
      </c>
      <c r="N831" s="5">
        <v>-30</v>
      </c>
      <c r="O831" s="5">
        <v>-109.125730988467</v>
      </c>
    </row>
    <row r="832" spans="13:15" x14ac:dyDescent="0.25">
      <c r="M832" s="5">
        <v>1949.1666666666599</v>
      </c>
      <c r="N832" s="5">
        <v>-30</v>
      </c>
      <c r="O832" s="5">
        <v>-101.291344073483</v>
      </c>
    </row>
    <row r="833" spans="13:15" x14ac:dyDescent="0.25">
      <c r="M833" s="5">
        <v>1949.25</v>
      </c>
      <c r="N833" s="5">
        <v>-30</v>
      </c>
      <c r="O833" s="5">
        <v>-104.17677512452801</v>
      </c>
    </row>
    <row r="834" spans="13:15" x14ac:dyDescent="0.25">
      <c r="M834" s="5">
        <v>1949.3333333333301</v>
      </c>
      <c r="N834" s="5">
        <v>-30</v>
      </c>
      <c r="O834" s="5">
        <v>-103.857231249067</v>
      </c>
    </row>
    <row r="835" spans="13:15" x14ac:dyDescent="0.25">
      <c r="M835" s="5">
        <v>1949.4166666666599</v>
      </c>
      <c r="N835" s="5">
        <v>-30</v>
      </c>
      <c r="O835" s="5">
        <v>-81.0656301975432</v>
      </c>
    </row>
    <row r="836" spans="13:15" x14ac:dyDescent="0.25">
      <c r="M836" s="5">
        <v>1949.5</v>
      </c>
      <c r="N836" s="5">
        <v>-30</v>
      </c>
      <c r="O836" s="5">
        <v>-23.647105447468501</v>
      </c>
    </row>
    <row r="837" spans="13:15" x14ac:dyDescent="0.25">
      <c r="M837" s="5">
        <v>1949.5833333333301</v>
      </c>
      <c r="N837" s="5">
        <v>-30</v>
      </c>
      <c r="O837" s="5">
        <v>51.332254863428901</v>
      </c>
    </row>
    <row r="838" spans="13:15" x14ac:dyDescent="0.25">
      <c r="M838" s="5">
        <v>1949.6666666666599</v>
      </c>
      <c r="N838" s="5">
        <v>-30</v>
      </c>
      <c r="O838" s="5">
        <v>87.516470956464005</v>
      </c>
    </row>
    <row r="839" spans="13:15" x14ac:dyDescent="0.25">
      <c r="M839" s="5">
        <v>1949.75</v>
      </c>
      <c r="N839" s="5">
        <v>-30</v>
      </c>
      <c r="O839" s="5">
        <v>89.326880490871901</v>
      </c>
    </row>
    <row r="840" spans="13:15" x14ac:dyDescent="0.25">
      <c r="M840" s="5">
        <v>1949.8333333333301</v>
      </c>
      <c r="N840" s="5">
        <v>-30</v>
      </c>
      <c r="O840" s="5">
        <v>68.482768114526294</v>
      </c>
    </row>
    <row r="841" spans="13:15" x14ac:dyDescent="0.25">
      <c r="M841" s="5">
        <v>1949.9166666666599</v>
      </c>
      <c r="N841" s="5">
        <v>-30</v>
      </c>
      <c r="O841" s="5">
        <v>54.518944807323201</v>
      </c>
    </row>
    <row r="842" spans="13:15" x14ac:dyDescent="0.25">
      <c r="M842" s="5">
        <v>1950</v>
      </c>
      <c r="N842" s="5">
        <v>-30</v>
      </c>
      <c r="O842" s="5">
        <v>54.232641653820203</v>
      </c>
    </row>
    <row r="843" spans="13:15" x14ac:dyDescent="0.25">
      <c r="M843" s="5">
        <v>1950.0833333333301</v>
      </c>
      <c r="N843" s="5">
        <v>-30</v>
      </c>
      <c r="O843" s="5">
        <v>56.378296541477802</v>
      </c>
    </row>
    <row r="844" spans="13:15" x14ac:dyDescent="0.25">
      <c r="M844" s="5">
        <v>1950.1666666666599</v>
      </c>
      <c r="N844" s="5">
        <v>-30</v>
      </c>
      <c r="O844" s="5">
        <v>58.252487971202299</v>
      </c>
    </row>
    <row r="845" spans="13:15" x14ac:dyDescent="0.25">
      <c r="M845" s="5">
        <v>1950.25</v>
      </c>
      <c r="N845" s="5">
        <v>-30</v>
      </c>
      <c r="O845" s="5">
        <v>35.628857247228297</v>
      </c>
    </row>
    <row r="846" spans="13:15" x14ac:dyDescent="0.25">
      <c r="M846" s="5">
        <v>1950.3333333333301</v>
      </c>
      <c r="N846" s="5">
        <v>-30</v>
      </c>
      <c r="O846" s="5">
        <v>-45.244919407697402</v>
      </c>
    </row>
    <row r="847" spans="13:15" x14ac:dyDescent="0.25">
      <c r="M847" s="5">
        <v>1950.4166666666599</v>
      </c>
      <c r="N847" s="5">
        <v>-30</v>
      </c>
      <c r="O847" s="5">
        <v>-116.433147258009</v>
      </c>
    </row>
    <row r="848" spans="13:15" x14ac:dyDescent="0.25">
      <c r="M848" s="5">
        <v>1950.5</v>
      </c>
      <c r="N848" s="5">
        <v>-30</v>
      </c>
      <c r="O848" s="5">
        <v>-156.68849811361</v>
      </c>
    </row>
    <row r="849" spans="13:15" x14ac:dyDescent="0.25">
      <c r="M849" s="5">
        <v>1950.5833333333301</v>
      </c>
      <c r="N849" s="5">
        <v>-30</v>
      </c>
      <c r="O849" s="5">
        <v>-172.506978539817</v>
      </c>
    </row>
    <row r="850" spans="13:15" x14ac:dyDescent="0.25">
      <c r="M850" s="5">
        <v>1950.6666666666599</v>
      </c>
      <c r="N850" s="5">
        <v>-30</v>
      </c>
      <c r="O850" s="5">
        <v>-176.38002410653201</v>
      </c>
    </row>
    <row r="851" spans="13:15" x14ac:dyDescent="0.25">
      <c r="M851" s="5">
        <v>1950.75</v>
      </c>
      <c r="N851" s="5">
        <v>-30</v>
      </c>
      <c r="O851" s="5">
        <v>-182.83225975171101</v>
      </c>
    </row>
    <row r="852" spans="13:15" x14ac:dyDescent="0.25">
      <c r="M852" s="5">
        <v>1950.8333333333301</v>
      </c>
      <c r="N852" s="5">
        <v>-30</v>
      </c>
      <c r="O852" s="5">
        <v>-190.32259397129801</v>
      </c>
    </row>
    <row r="853" spans="13:15" x14ac:dyDescent="0.25">
      <c r="M853" s="5">
        <v>1950.9166666666599</v>
      </c>
      <c r="N853" s="5">
        <v>-30</v>
      </c>
      <c r="O853" s="5">
        <v>-190.34788156106299</v>
      </c>
    </row>
    <row r="854" spans="13:15" x14ac:dyDescent="0.25">
      <c r="M854" s="5">
        <v>1951</v>
      </c>
      <c r="N854" s="5">
        <v>-30</v>
      </c>
      <c r="O854" s="5">
        <v>-182.22652991199899</v>
      </c>
    </row>
    <row r="855" spans="13:15" x14ac:dyDescent="0.25">
      <c r="M855" s="5">
        <v>1951.0833333333301</v>
      </c>
      <c r="N855" s="5">
        <v>-30</v>
      </c>
      <c r="O855" s="5">
        <v>-168.64878669299401</v>
      </c>
    </row>
    <row r="856" spans="13:15" x14ac:dyDescent="0.25">
      <c r="M856" s="5">
        <v>1951.1666666666599</v>
      </c>
      <c r="N856" s="5">
        <v>-30</v>
      </c>
      <c r="O856" s="5">
        <v>-157.75086327375999</v>
      </c>
    </row>
    <row r="857" spans="13:15" x14ac:dyDescent="0.25">
      <c r="M857" s="5">
        <v>1951.25</v>
      </c>
      <c r="N857" s="5">
        <v>-30</v>
      </c>
      <c r="O857" s="5">
        <v>-159.001606188099</v>
      </c>
    </row>
    <row r="858" spans="13:15" x14ac:dyDescent="0.25">
      <c r="M858" s="5">
        <v>1951.3333333333301</v>
      </c>
      <c r="N858" s="5">
        <v>-30</v>
      </c>
      <c r="O858" s="5">
        <v>-164.33195892952301</v>
      </c>
    </row>
    <row r="859" spans="13:15" x14ac:dyDescent="0.25">
      <c r="M859" s="5">
        <v>1951.4166666666599</v>
      </c>
      <c r="N859" s="5">
        <v>-30</v>
      </c>
      <c r="O859" s="5">
        <v>-163.59271175658699</v>
      </c>
    </row>
    <row r="860" spans="13:15" x14ac:dyDescent="0.25">
      <c r="M860" s="5">
        <v>1951.5</v>
      </c>
      <c r="N860" s="5">
        <v>-30</v>
      </c>
      <c r="O860" s="5">
        <v>-151.67031916287701</v>
      </c>
    </row>
    <row r="861" spans="13:15" x14ac:dyDescent="0.25">
      <c r="M861" s="5">
        <v>1951.5833333333301</v>
      </c>
      <c r="N861" s="5">
        <v>-30</v>
      </c>
      <c r="O861" s="5">
        <v>-119.31630826924</v>
      </c>
    </row>
    <row r="862" spans="13:15" x14ac:dyDescent="0.25">
      <c r="M862" s="5">
        <v>1951.6666666666599</v>
      </c>
      <c r="N862" s="5">
        <v>-30</v>
      </c>
      <c r="O862" s="5">
        <v>-71.730512239000007</v>
      </c>
    </row>
    <row r="863" spans="13:15" x14ac:dyDescent="0.25">
      <c r="M863" s="5">
        <v>1951.75</v>
      </c>
      <c r="N863" s="5">
        <v>-30</v>
      </c>
      <c r="O863" s="5">
        <v>-49.856206915548398</v>
      </c>
    </row>
    <row r="864" spans="13:15" x14ac:dyDescent="0.25">
      <c r="M864" s="5">
        <v>1951.8333333333301</v>
      </c>
      <c r="N864" s="5">
        <v>-30</v>
      </c>
      <c r="O864" s="5">
        <v>-54.9220947981308</v>
      </c>
    </row>
    <row r="865" spans="13:15" x14ac:dyDescent="0.25">
      <c r="M865" s="5">
        <v>1951.9166666666599</v>
      </c>
      <c r="N865" s="5">
        <v>-30</v>
      </c>
      <c r="O865" s="5">
        <v>-61.231871667313598</v>
      </c>
    </row>
    <row r="866" spans="13:15" x14ac:dyDescent="0.25">
      <c r="M866" s="5">
        <v>1952</v>
      </c>
      <c r="N866" s="5">
        <v>-30</v>
      </c>
      <c r="O866" s="5">
        <v>-65.763622422406598</v>
      </c>
    </row>
    <row r="867" spans="13:15" x14ac:dyDescent="0.25">
      <c r="M867" s="5">
        <v>1952.0833333333301</v>
      </c>
      <c r="N867" s="5">
        <v>-30</v>
      </c>
      <c r="O867" s="5">
        <v>-62.1021836427539</v>
      </c>
    </row>
    <row r="868" spans="13:15" x14ac:dyDescent="0.25">
      <c r="M868" s="5">
        <v>1952.1666666666599</v>
      </c>
      <c r="N868" s="5">
        <v>-30</v>
      </c>
      <c r="O868" s="5">
        <v>-49.880125824916398</v>
      </c>
    </row>
    <row r="869" spans="13:15" x14ac:dyDescent="0.25">
      <c r="M869" s="5">
        <v>1952.25</v>
      </c>
      <c r="N869" s="5">
        <v>-30</v>
      </c>
      <c r="O869" s="5">
        <v>-29.565520016655899</v>
      </c>
    </row>
    <row r="870" spans="13:15" x14ac:dyDescent="0.25">
      <c r="M870" s="5">
        <v>1952.3333333333301</v>
      </c>
      <c r="N870" s="5">
        <v>-30</v>
      </c>
      <c r="O870" s="5">
        <v>-6.1583045643041201</v>
      </c>
    </row>
    <row r="871" spans="13:15" x14ac:dyDescent="0.25">
      <c r="M871" s="5">
        <v>1952.4166666666599</v>
      </c>
      <c r="N871" s="5">
        <v>-30</v>
      </c>
      <c r="O871" s="5">
        <v>-18.669533023338101</v>
      </c>
    </row>
    <row r="872" spans="13:15" x14ac:dyDescent="0.25">
      <c r="M872" s="5">
        <v>1952.5</v>
      </c>
      <c r="N872" s="5">
        <v>-30</v>
      </c>
      <c r="O872" s="5">
        <v>-52.626833369100503</v>
      </c>
    </row>
    <row r="873" spans="13:15" x14ac:dyDescent="0.25">
      <c r="M873" s="5">
        <v>1952.5833333333301</v>
      </c>
      <c r="N873" s="5">
        <v>-30</v>
      </c>
      <c r="O873" s="5">
        <v>-62.740704872790097</v>
      </c>
    </row>
    <row r="874" spans="13:15" x14ac:dyDescent="0.25">
      <c r="M874" s="5">
        <v>1952.6666666666599</v>
      </c>
      <c r="N874" s="5">
        <v>-30</v>
      </c>
      <c r="O874" s="5">
        <v>-61.175647167799198</v>
      </c>
    </row>
    <row r="875" spans="13:15" x14ac:dyDescent="0.25">
      <c r="M875" s="5">
        <v>1952.75</v>
      </c>
      <c r="N875" s="5">
        <v>-30</v>
      </c>
      <c r="O875" s="5">
        <v>-72.363920724320806</v>
      </c>
    </row>
    <row r="876" spans="13:15" x14ac:dyDescent="0.25">
      <c r="M876" s="5">
        <v>1952.8333333333301</v>
      </c>
      <c r="N876" s="5">
        <v>-30</v>
      </c>
      <c r="O876" s="5">
        <v>-89.613938711962007</v>
      </c>
    </row>
    <row r="877" spans="13:15" x14ac:dyDescent="0.25">
      <c r="M877" s="5">
        <v>1952.9166666666599</v>
      </c>
      <c r="N877" s="5">
        <v>-30</v>
      </c>
      <c r="O877" s="5">
        <v>-102.570239309833</v>
      </c>
    </row>
    <row r="878" spans="13:15" x14ac:dyDescent="0.25">
      <c r="M878" s="5">
        <v>1953</v>
      </c>
      <c r="N878" s="5">
        <v>-30</v>
      </c>
      <c r="O878" s="5">
        <v>-102.79354668902199</v>
      </c>
    </row>
    <row r="879" spans="13:15" x14ac:dyDescent="0.25">
      <c r="M879" s="5">
        <v>1953.0833333333301</v>
      </c>
      <c r="N879" s="5">
        <v>-28</v>
      </c>
      <c r="O879" s="5">
        <v>-91.924877650627806</v>
      </c>
    </row>
    <row r="880" spans="13:15" x14ac:dyDescent="0.25">
      <c r="M880" s="5">
        <v>1953.1666666666599</v>
      </c>
      <c r="N880" s="5">
        <v>-28</v>
      </c>
      <c r="O880" s="5">
        <v>-94.323456638969304</v>
      </c>
    </row>
    <row r="881" spans="13:15" x14ac:dyDescent="0.25">
      <c r="M881" s="5">
        <v>1953.25</v>
      </c>
      <c r="N881" s="5">
        <v>-80</v>
      </c>
      <c r="O881" s="5">
        <v>-118.46650101737499</v>
      </c>
    </row>
    <row r="882" spans="13:15" x14ac:dyDescent="0.25">
      <c r="M882" s="5">
        <v>1953.3333333333301</v>
      </c>
      <c r="N882" s="5">
        <v>-105</v>
      </c>
      <c r="O882" s="5">
        <v>-149.42272440048299</v>
      </c>
    </row>
    <row r="883" spans="13:15" x14ac:dyDescent="0.25">
      <c r="M883" s="5">
        <v>1953.4166666666599</v>
      </c>
      <c r="N883" s="5">
        <v>-125</v>
      </c>
      <c r="O883" s="5">
        <v>-175.61920694126201</v>
      </c>
    </row>
    <row r="884" spans="13:15" x14ac:dyDescent="0.25">
      <c r="M884" s="5">
        <v>1953.5</v>
      </c>
      <c r="N884" s="5">
        <v>-140</v>
      </c>
      <c r="O884" s="5">
        <v>-187.35515551663201</v>
      </c>
    </row>
    <row r="885" spans="13:15" x14ac:dyDescent="0.25">
      <c r="M885" s="5">
        <v>1953.5833333333301</v>
      </c>
      <c r="N885" s="5">
        <v>-140</v>
      </c>
      <c r="O885" s="5">
        <v>-184.38861238689299</v>
      </c>
    </row>
    <row r="886" spans="13:15" x14ac:dyDescent="0.25">
      <c r="M886" s="5">
        <v>1953.6666666666599</v>
      </c>
      <c r="N886" s="5">
        <v>-105</v>
      </c>
      <c r="O886" s="5">
        <v>-174.98762714794199</v>
      </c>
    </row>
    <row r="887" spans="13:15" x14ac:dyDescent="0.25">
      <c r="M887" s="5">
        <v>1953.75</v>
      </c>
      <c r="N887" s="5">
        <v>-100</v>
      </c>
      <c r="O887" s="5">
        <v>-165.408257950321</v>
      </c>
    </row>
    <row r="888" spans="13:15" x14ac:dyDescent="0.25">
      <c r="M888" s="5">
        <v>1953.8333333333301</v>
      </c>
      <c r="N888" s="5">
        <v>-100</v>
      </c>
      <c r="O888" s="5">
        <v>-154.787669581432</v>
      </c>
    </row>
    <row r="889" spans="13:15" x14ac:dyDescent="0.25">
      <c r="M889" s="5">
        <v>1953.9166666666599</v>
      </c>
      <c r="N889" s="5">
        <v>-145</v>
      </c>
      <c r="O889" s="5">
        <v>-141.20657787712099</v>
      </c>
    </row>
    <row r="890" spans="13:15" x14ac:dyDescent="0.25">
      <c r="M890" s="5">
        <v>1954</v>
      </c>
      <c r="N890" s="5">
        <v>-145</v>
      </c>
      <c r="O890" s="5">
        <v>-123.65263149184</v>
      </c>
    </row>
    <row r="891" spans="13:15" x14ac:dyDescent="0.25">
      <c r="M891" s="5">
        <v>1954.0833333333301</v>
      </c>
      <c r="N891" s="5">
        <v>-80</v>
      </c>
      <c r="O891" s="5">
        <v>-113.853077179545</v>
      </c>
    </row>
    <row r="892" spans="13:15" x14ac:dyDescent="0.25">
      <c r="M892" s="5">
        <v>1954.1666666666599</v>
      </c>
      <c r="N892" s="5">
        <v>-75</v>
      </c>
      <c r="O892" s="5">
        <v>-120.37279710498299</v>
      </c>
    </row>
    <row r="893" spans="13:15" x14ac:dyDescent="0.25">
      <c r="M893" s="5">
        <v>1954.25</v>
      </c>
      <c r="N893" s="5">
        <v>-75</v>
      </c>
      <c r="O893" s="5">
        <v>-123.412658332105</v>
      </c>
    </row>
    <row r="894" spans="13:15" x14ac:dyDescent="0.25">
      <c r="M894" s="5">
        <v>1954.3333333333301</v>
      </c>
      <c r="N894" s="5">
        <v>-85</v>
      </c>
      <c r="O894" s="5">
        <v>-116.58982571252</v>
      </c>
    </row>
    <row r="895" spans="13:15" x14ac:dyDescent="0.25">
      <c r="M895" s="5">
        <v>1954.4166666666599</v>
      </c>
      <c r="N895" s="5">
        <v>-85</v>
      </c>
      <c r="O895" s="5">
        <v>-110.281396926656</v>
      </c>
    </row>
    <row r="896" spans="13:15" x14ac:dyDescent="0.25">
      <c r="M896" s="5">
        <v>1954.5</v>
      </c>
      <c r="N896" s="5">
        <v>-85</v>
      </c>
      <c r="O896" s="5">
        <v>-100.983800462025</v>
      </c>
    </row>
    <row r="897" spans="13:15" x14ac:dyDescent="0.25">
      <c r="M897" s="5">
        <v>1954.5833333333301</v>
      </c>
      <c r="N897" s="5">
        <v>-70</v>
      </c>
      <c r="O897" s="5">
        <v>-85.200539013241794</v>
      </c>
    </row>
    <row r="898" spans="13:15" x14ac:dyDescent="0.25">
      <c r="M898" s="5">
        <v>1954.6666666666599</v>
      </c>
      <c r="N898" s="5">
        <v>-55</v>
      </c>
      <c r="O898" s="5">
        <v>-71.2980889780072</v>
      </c>
    </row>
    <row r="899" spans="13:15" x14ac:dyDescent="0.25">
      <c r="M899" s="5">
        <v>1954.75</v>
      </c>
      <c r="N899" s="5">
        <v>-10</v>
      </c>
      <c r="O899" s="5">
        <v>-61.377410005832601</v>
      </c>
    </row>
    <row r="900" spans="13:15" x14ac:dyDescent="0.25">
      <c r="M900" s="5">
        <v>1954.8333333333301</v>
      </c>
      <c r="N900" s="5">
        <v>25</v>
      </c>
      <c r="O900" s="5">
        <v>-59.949480645458003</v>
      </c>
    </row>
    <row r="901" spans="13:15" x14ac:dyDescent="0.25">
      <c r="M901" s="5">
        <v>1954.9166666666599</v>
      </c>
      <c r="N901" s="5">
        <v>50</v>
      </c>
      <c r="O901" s="5">
        <v>-61.384713595125902</v>
      </c>
    </row>
    <row r="902" spans="13:15" x14ac:dyDescent="0.25">
      <c r="M902" s="5">
        <v>1955</v>
      </c>
      <c r="N902" s="5">
        <v>50</v>
      </c>
      <c r="O902" s="5">
        <v>-49.004089019874002</v>
      </c>
    </row>
    <row r="903" spans="13:15" x14ac:dyDescent="0.25">
      <c r="M903" s="5">
        <v>1955.0833333333301</v>
      </c>
      <c r="N903" s="5">
        <v>10</v>
      </c>
      <c r="O903" s="5">
        <v>-32.362164538812898</v>
      </c>
    </row>
    <row r="904" spans="13:15" x14ac:dyDescent="0.25">
      <c r="M904" s="5">
        <v>1955.1666666666599</v>
      </c>
      <c r="N904" s="5">
        <v>-50</v>
      </c>
      <c r="O904" s="5">
        <v>-22.111420988792499</v>
      </c>
    </row>
    <row r="905" spans="13:15" x14ac:dyDescent="0.25">
      <c r="M905" s="5">
        <v>1955.25</v>
      </c>
      <c r="N905" s="5">
        <v>-80</v>
      </c>
      <c r="O905" s="5">
        <v>-13.158428532860301</v>
      </c>
    </row>
    <row r="906" spans="13:15" x14ac:dyDescent="0.25">
      <c r="M906" s="5">
        <v>1955.3333333333301</v>
      </c>
      <c r="N906" s="5">
        <v>-80</v>
      </c>
      <c r="O906" s="5">
        <v>-32.745091629437901</v>
      </c>
    </row>
    <row r="907" spans="13:15" x14ac:dyDescent="0.25">
      <c r="M907" s="5">
        <v>1955.4166666666599</v>
      </c>
      <c r="N907" s="5">
        <v>-80</v>
      </c>
      <c r="O907" s="5">
        <v>-72.989640987389706</v>
      </c>
    </row>
    <row r="908" spans="13:15" x14ac:dyDescent="0.25">
      <c r="M908" s="5">
        <v>1955.5</v>
      </c>
      <c r="N908" s="5">
        <v>-75</v>
      </c>
      <c r="O908" s="5">
        <v>-95.233176949581093</v>
      </c>
    </row>
    <row r="909" spans="13:15" x14ac:dyDescent="0.25">
      <c r="M909" s="5">
        <v>1955.5833333333301</v>
      </c>
      <c r="N909" s="5">
        <v>-68</v>
      </c>
      <c r="O909" s="5">
        <v>-102.326361683876</v>
      </c>
    </row>
    <row r="910" spans="13:15" x14ac:dyDescent="0.25">
      <c r="M910" s="5">
        <v>1955.6666666666599</v>
      </c>
      <c r="N910" s="5">
        <v>-68</v>
      </c>
      <c r="O910" s="5">
        <v>-111.37909420203999</v>
      </c>
    </row>
    <row r="911" spans="13:15" x14ac:dyDescent="0.25">
      <c r="M911" s="5">
        <v>1955.75</v>
      </c>
      <c r="N911" s="5">
        <v>-100</v>
      </c>
      <c r="O911" s="5">
        <v>-131.064567130852</v>
      </c>
    </row>
    <row r="912" spans="13:15" x14ac:dyDescent="0.25">
      <c r="M912" s="5">
        <v>1955.8333333333301</v>
      </c>
      <c r="N912" s="5">
        <v>-155</v>
      </c>
      <c r="O912" s="5">
        <v>-154.63499012380601</v>
      </c>
    </row>
    <row r="913" spans="13:15" x14ac:dyDescent="0.25">
      <c r="M913" s="5">
        <v>1955.9166666666599</v>
      </c>
      <c r="N913" s="5">
        <v>-155</v>
      </c>
      <c r="O913" s="5">
        <v>-166.64864213102601</v>
      </c>
    </row>
    <row r="914" spans="13:15" x14ac:dyDescent="0.25">
      <c r="M914" s="5">
        <v>1956</v>
      </c>
      <c r="N914" s="5">
        <v>-140</v>
      </c>
      <c r="O914" s="5">
        <v>-166.35935719746601</v>
      </c>
    </row>
    <row r="915" spans="13:15" x14ac:dyDescent="0.25">
      <c r="M915" s="5">
        <v>1956.0833333333301</v>
      </c>
      <c r="N915" s="5">
        <v>-95</v>
      </c>
      <c r="O915" s="5">
        <v>-166.96881753072199</v>
      </c>
    </row>
    <row r="916" spans="13:15" x14ac:dyDescent="0.25">
      <c r="M916" s="5">
        <v>1956.1666666666599</v>
      </c>
      <c r="N916" s="5">
        <v>-95</v>
      </c>
      <c r="O916" s="5">
        <v>-172.509210037092</v>
      </c>
    </row>
    <row r="917" spans="13:15" x14ac:dyDescent="0.25">
      <c r="M917" s="5">
        <v>1956.25</v>
      </c>
      <c r="N917" s="5">
        <v>-120</v>
      </c>
      <c r="O917" s="5">
        <v>-176.394190331376</v>
      </c>
    </row>
    <row r="918" spans="13:15" x14ac:dyDescent="0.25">
      <c r="M918" s="5">
        <v>1956.3333333333301</v>
      </c>
      <c r="N918" s="5">
        <v>-182</v>
      </c>
      <c r="O918" s="5">
        <v>-176.48541572867799</v>
      </c>
    </row>
    <row r="919" spans="13:15" x14ac:dyDescent="0.25">
      <c r="M919" s="5">
        <v>1956.4166666666599</v>
      </c>
      <c r="N919" s="5">
        <v>-182</v>
      </c>
      <c r="O919" s="5">
        <v>-169.59982089134201</v>
      </c>
    </row>
    <row r="920" spans="13:15" x14ac:dyDescent="0.25">
      <c r="M920" s="5">
        <v>1956.5</v>
      </c>
      <c r="N920" s="5">
        <v>-125</v>
      </c>
      <c r="O920" s="5">
        <v>-153.87616800788601</v>
      </c>
    </row>
    <row r="921" spans="13:15" x14ac:dyDescent="0.25">
      <c r="M921" s="5">
        <v>1956.5833333333301</v>
      </c>
      <c r="N921" s="5">
        <v>-55</v>
      </c>
      <c r="O921" s="5">
        <v>-135.349899709619</v>
      </c>
    </row>
    <row r="922" spans="13:15" x14ac:dyDescent="0.25">
      <c r="M922" s="5">
        <v>1956.6666666666599</v>
      </c>
      <c r="N922" s="5">
        <v>-22</v>
      </c>
      <c r="O922" s="5">
        <v>-119.52109078787601</v>
      </c>
    </row>
    <row r="923" spans="13:15" x14ac:dyDescent="0.25">
      <c r="M923" s="5">
        <v>1956.75</v>
      </c>
      <c r="N923" s="5">
        <v>-15</v>
      </c>
      <c r="O923" s="5">
        <v>-109.70942541078701</v>
      </c>
    </row>
    <row r="924" spans="13:15" x14ac:dyDescent="0.25">
      <c r="M924" s="5">
        <v>1956.8333333333301</v>
      </c>
      <c r="N924" s="5">
        <v>-15</v>
      </c>
      <c r="O924" s="5">
        <v>-100.844321399206</v>
      </c>
    </row>
    <row r="925" spans="13:15" x14ac:dyDescent="0.25">
      <c r="M925" s="5">
        <v>1956.9166666666599</v>
      </c>
      <c r="N925" s="5">
        <v>-15</v>
      </c>
      <c r="O925" s="5">
        <v>-68.089010031872405</v>
      </c>
    </row>
    <row r="926" spans="13:15" x14ac:dyDescent="0.25">
      <c r="M926" s="5">
        <v>1957</v>
      </c>
      <c r="N926" s="5">
        <v>30</v>
      </c>
      <c r="O926" s="5">
        <v>4.4069049011972101</v>
      </c>
    </row>
    <row r="927" spans="13:15" x14ac:dyDescent="0.25">
      <c r="M927" s="5">
        <v>1957.0833333333301</v>
      </c>
      <c r="N927" s="5">
        <v>35</v>
      </c>
      <c r="O927" s="5">
        <v>55.1389504013029</v>
      </c>
    </row>
    <row r="928" spans="13:15" x14ac:dyDescent="0.25">
      <c r="M928" s="5">
        <v>1957.1666666666599</v>
      </c>
      <c r="N928" s="5">
        <v>45</v>
      </c>
      <c r="O928" s="5">
        <v>73.3266183926427</v>
      </c>
    </row>
    <row r="929" spans="13:15" x14ac:dyDescent="0.25">
      <c r="M929" s="5">
        <v>1957.25</v>
      </c>
      <c r="N929" s="5">
        <v>45</v>
      </c>
      <c r="O929" s="5">
        <v>69.248750481873302</v>
      </c>
    </row>
    <row r="930" spans="13:15" x14ac:dyDescent="0.25">
      <c r="M930" s="5">
        <v>1957.3333333333301</v>
      </c>
      <c r="N930" s="5">
        <v>30</v>
      </c>
      <c r="O930" s="5">
        <v>23.7674430351308</v>
      </c>
    </row>
    <row r="931" spans="13:15" x14ac:dyDescent="0.25">
      <c r="M931" s="5">
        <v>1957.4166666666599</v>
      </c>
      <c r="N931" s="5">
        <v>20</v>
      </c>
      <c r="O931" s="5">
        <v>-60.117830880303202</v>
      </c>
    </row>
    <row r="932" spans="13:15" x14ac:dyDescent="0.25">
      <c r="M932" s="5">
        <v>1957.5</v>
      </c>
      <c r="N932" s="5">
        <v>0</v>
      </c>
      <c r="O932" s="5">
        <v>-107.492690244001</v>
      </c>
    </row>
    <row r="933" spans="13:15" x14ac:dyDescent="0.25">
      <c r="M933" s="5">
        <v>1957.5833333333301</v>
      </c>
      <c r="N933" s="5">
        <v>-10</v>
      </c>
      <c r="O933" s="5">
        <v>-124.792631783327</v>
      </c>
    </row>
    <row r="934" spans="13:15" x14ac:dyDescent="0.25">
      <c r="M934" s="5">
        <v>1957.6666666666599</v>
      </c>
      <c r="N934" s="5">
        <v>-25</v>
      </c>
      <c r="O934" s="5">
        <v>-123.869553555689</v>
      </c>
    </row>
    <row r="935" spans="13:15" x14ac:dyDescent="0.25">
      <c r="M935" s="5">
        <v>1957.75</v>
      </c>
      <c r="N935" s="5">
        <v>-45</v>
      </c>
      <c r="O935" s="5">
        <v>-126.284941229073</v>
      </c>
    </row>
    <row r="936" spans="13:15" x14ac:dyDescent="0.25">
      <c r="M936" s="5">
        <v>1957.8333333333301</v>
      </c>
      <c r="N936" s="5">
        <v>-70</v>
      </c>
      <c r="O936" s="5">
        <v>-135.80317844929201</v>
      </c>
    </row>
    <row r="937" spans="13:15" x14ac:dyDescent="0.25">
      <c r="M937" s="5">
        <v>1957.9166666666599</v>
      </c>
      <c r="N937" s="5">
        <v>-70</v>
      </c>
      <c r="O937" s="5">
        <v>-134.44098723309199</v>
      </c>
    </row>
    <row r="938" spans="13:15" x14ac:dyDescent="0.25">
      <c r="M938" s="5">
        <v>1958</v>
      </c>
      <c r="N938" s="5">
        <v>-55</v>
      </c>
      <c r="O938" s="5">
        <v>-122.505150450656</v>
      </c>
    </row>
    <row r="939" spans="13:15" x14ac:dyDescent="0.25">
      <c r="M939" s="5">
        <v>1958.0833333333301</v>
      </c>
      <c r="N939" s="5">
        <v>-55</v>
      </c>
      <c r="O939" s="5">
        <v>-116.408304508559</v>
      </c>
    </row>
    <row r="940" spans="13:15" x14ac:dyDescent="0.25">
      <c r="M940" s="5">
        <v>1958.1666666666599</v>
      </c>
      <c r="N940" s="5">
        <v>-55</v>
      </c>
      <c r="O940" s="5">
        <v>-127.78965340617</v>
      </c>
    </row>
    <row r="941" spans="13:15" x14ac:dyDescent="0.25">
      <c r="M941" s="5">
        <v>1958.25</v>
      </c>
      <c r="N941" s="5">
        <v>-60</v>
      </c>
      <c r="O941" s="5">
        <v>-154.010204920814</v>
      </c>
    </row>
    <row r="942" spans="13:15" x14ac:dyDescent="0.25">
      <c r="M942" s="5">
        <v>1958.3333333333301</v>
      </c>
      <c r="N942" s="5">
        <v>-100</v>
      </c>
      <c r="O942" s="5">
        <v>-176.48304911016101</v>
      </c>
    </row>
    <row r="943" spans="13:15" x14ac:dyDescent="0.25">
      <c r="M943" s="5">
        <v>1958.4166666666599</v>
      </c>
      <c r="N943" s="5">
        <v>-115</v>
      </c>
      <c r="O943" s="5">
        <v>-184.86032162743001</v>
      </c>
    </row>
    <row r="944" spans="13:15" x14ac:dyDescent="0.25">
      <c r="M944" s="5">
        <v>1958.5</v>
      </c>
      <c r="N944" s="5">
        <v>-115</v>
      </c>
      <c r="O944" s="5">
        <v>-180.056811712387</v>
      </c>
    </row>
    <row r="945" spans="13:15" x14ac:dyDescent="0.25">
      <c r="M945" s="5">
        <v>1958.5833333333301</v>
      </c>
      <c r="N945" s="5">
        <v>-115</v>
      </c>
      <c r="O945" s="5">
        <v>-162.280809929724</v>
      </c>
    </row>
    <row r="946" spans="13:15" x14ac:dyDescent="0.25">
      <c r="M946" s="5">
        <v>1958.6666666666599</v>
      </c>
      <c r="N946" s="5">
        <v>-110</v>
      </c>
      <c r="O946" s="5">
        <v>-137.09076538600601</v>
      </c>
    </row>
    <row r="947" spans="13:15" x14ac:dyDescent="0.25">
      <c r="M947" s="5">
        <v>1958.75</v>
      </c>
      <c r="N947" s="5">
        <v>-100</v>
      </c>
      <c r="O947" s="5">
        <v>-125.76207289681599</v>
      </c>
    </row>
    <row r="948" spans="13:15" x14ac:dyDescent="0.25">
      <c r="M948" s="5">
        <v>1958.8333333333301</v>
      </c>
      <c r="N948" s="5">
        <v>-80</v>
      </c>
      <c r="O948" s="5">
        <v>-125.65900443583</v>
      </c>
    </row>
    <row r="949" spans="13:15" x14ac:dyDescent="0.25">
      <c r="M949" s="5">
        <v>1958.9166666666599</v>
      </c>
      <c r="N949" s="5">
        <v>-60</v>
      </c>
      <c r="O949" s="5">
        <v>-114.878915744368</v>
      </c>
    </row>
    <row r="950" spans="13:15" x14ac:dyDescent="0.25">
      <c r="M950" s="5">
        <v>1959</v>
      </c>
      <c r="N950" s="5">
        <v>-55</v>
      </c>
      <c r="O950" s="5">
        <v>-93.1181583692685</v>
      </c>
    </row>
    <row r="951" spans="13:15" x14ac:dyDescent="0.25">
      <c r="M951" s="5">
        <v>1959.0833333333301</v>
      </c>
      <c r="N951" s="5">
        <v>-45</v>
      </c>
      <c r="O951" s="5">
        <v>-65.513186913304907</v>
      </c>
    </row>
    <row r="952" spans="13:15" x14ac:dyDescent="0.25">
      <c r="M952" s="5">
        <v>1959.1666666666599</v>
      </c>
      <c r="N952" s="5">
        <v>-12</v>
      </c>
      <c r="O952" s="5">
        <v>-31.953183482590699</v>
      </c>
    </row>
    <row r="953" spans="13:15" x14ac:dyDescent="0.25">
      <c r="M953" s="5">
        <v>1959.25</v>
      </c>
      <c r="N953" s="5">
        <v>15</v>
      </c>
      <c r="O953" s="5">
        <v>0.86817330885881805</v>
      </c>
    </row>
    <row r="954" spans="13:15" x14ac:dyDescent="0.25">
      <c r="M954" s="5">
        <v>1959.3333333333301</v>
      </c>
      <c r="N954" s="5">
        <v>30</v>
      </c>
      <c r="O954" s="5">
        <v>26.7827577728055</v>
      </c>
    </row>
    <row r="955" spans="13:15" x14ac:dyDescent="0.25">
      <c r="M955" s="5">
        <v>1959.4166666666599</v>
      </c>
      <c r="N955" s="5">
        <v>30</v>
      </c>
      <c r="O955" s="5">
        <v>34.7457779743348</v>
      </c>
    </row>
    <row r="956" spans="13:15" x14ac:dyDescent="0.25">
      <c r="M956" s="5">
        <v>1959.5</v>
      </c>
      <c r="N956" s="5">
        <v>35</v>
      </c>
      <c r="O956" s="5">
        <v>24.0663504394598</v>
      </c>
    </row>
    <row r="957" spans="13:15" x14ac:dyDescent="0.25">
      <c r="M957" s="5">
        <v>1959.5833333333301</v>
      </c>
      <c r="N957" s="5">
        <v>35</v>
      </c>
      <c r="O957" s="5">
        <v>22.2223017092101</v>
      </c>
    </row>
    <row r="958" spans="13:15" x14ac:dyDescent="0.25">
      <c r="M958" s="5">
        <v>1959.6666666666599</v>
      </c>
      <c r="N958" s="5">
        <v>35</v>
      </c>
      <c r="O958" s="5">
        <v>16.7640893020173</v>
      </c>
    </row>
    <row r="959" spans="13:15" x14ac:dyDescent="0.25">
      <c r="M959" s="5">
        <v>1959.75</v>
      </c>
      <c r="N959" s="5">
        <v>-10</v>
      </c>
      <c r="O959" s="5">
        <v>-41.368901685602303</v>
      </c>
    </row>
    <row r="960" spans="13:15" x14ac:dyDescent="0.25">
      <c r="M960" s="5">
        <v>1959.8333333333301</v>
      </c>
      <c r="N960" s="5">
        <v>-75</v>
      </c>
      <c r="O960" s="5">
        <v>-103.63940365389399</v>
      </c>
    </row>
    <row r="961" spans="13:15" x14ac:dyDescent="0.25">
      <c r="M961" s="5">
        <v>1959.9166666666599</v>
      </c>
      <c r="N961" s="5">
        <v>-100</v>
      </c>
      <c r="O961" s="5">
        <v>-140.39608579472301</v>
      </c>
    </row>
    <row r="962" spans="13:15" x14ac:dyDescent="0.25">
      <c r="M962" s="5">
        <v>1960</v>
      </c>
      <c r="N962" s="5">
        <v>-100</v>
      </c>
      <c r="O962" s="5">
        <v>-157.86598930969899</v>
      </c>
    </row>
    <row r="963" spans="13:15" x14ac:dyDescent="0.25">
      <c r="M963" s="5">
        <v>1960.0833333333301</v>
      </c>
      <c r="N963" s="5">
        <v>-95</v>
      </c>
      <c r="O963" s="5">
        <v>-161.56224445541801</v>
      </c>
    </row>
    <row r="964" spans="13:15" x14ac:dyDescent="0.25">
      <c r="M964" s="5">
        <v>1960.1666666666599</v>
      </c>
      <c r="N964" s="5">
        <v>-80</v>
      </c>
      <c r="O964" s="5">
        <v>-161.919627659702</v>
      </c>
    </row>
    <row r="965" spans="13:15" x14ac:dyDescent="0.25">
      <c r="M965" s="5">
        <v>1960.25</v>
      </c>
      <c r="N965" s="5">
        <v>-80</v>
      </c>
      <c r="O965" s="5">
        <v>-168.32122641345299</v>
      </c>
    </row>
    <row r="966" spans="13:15" x14ac:dyDescent="0.25">
      <c r="M966" s="5">
        <v>1960.3333333333301</v>
      </c>
      <c r="N966" s="5">
        <v>-95</v>
      </c>
      <c r="O966" s="5">
        <v>-178.37194415246699</v>
      </c>
    </row>
    <row r="967" spans="13:15" x14ac:dyDescent="0.25">
      <c r="M967" s="5">
        <v>1960.4166666666599</v>
      </c>
      <c r="N967" s="5">
        <v>-110</v>
      </c>
      <c r="O967" s="5">
        <v>-187.38338813142701</v>
      </c>
    </row>
    <row r="968" spans="13:15" x14ac:dyDescent="0.25">
      <c r="M968" s="5">
        <v>1960.5</v>
      </c>
      <c r="N968" s="5">
        <v>-110</v>
      </c>
      <c r="O968" s="5">
        <v>-188.79101673496999</v>
      </c>
    </row>
    <row r="969" spans="13:15" x14ac:dyDescent="0.25">
      <c r="M969" s="5">
        <v>1960.5833333333301</v>
      </c>
      <c r="N969" s="5">
        <v>-28</v>
      </c>
      <c r="O969" s="5">
        <v>-176.98609087364599</v>
      </c>
    </row>
    <row r="970" spans="13:15" x14ac:dyDescent="0.25">
      <c r="M970" s="5">
        <v>1960.6666666666599</v>
      </c>
      <c r="N970" s="5">
        <v>-10</v>
      </c>
      <c r="O970" s="5">
        <v>-158.24614321905</v>
      </c>
    </row>
    <row r="971" spans="13:15" x14ac:dyDescent="0.25">
      <c r="M971" s="5">
        <v>1960.75</v>
      </c>
      <c r="N971" s="5">
        <v>10</v>
      </c>
      <c r="O971" s="5">
        <v>-146.433789970448</v>
      </c>
    </row>
    <row r="972" spans="13:15" x14ac:dyDescent="0.25">
      <c r="M972" s="5">
        <v>1960.8333333333301</v>
      </c>
      <c r="N972" s="5">
        <v>10</v>
      </c>
      <c r="O972" s="5">
        <v>-137.739605826305</v>
      </c>
    </row>
    <row r="973" spans="13:15" x14ac:dyDescent="0.25">
      <c r="M973" s="5">
        <v>1960.9166666666599</v>
      </c>
      <c r="N973" s="5">
        <v>20</v>
      </c>
      <c r="O973" s="5">
        <v>-119.545909625786</v>
      </c>
    </row>
    <row r="974" spans="13:15" x14ac:dyDescent="0.25">
      <c r="M974" s="5">
        <v>1961</v>
      </c>
      <c r="N974" s="5">
        <v>65</v>
      </c>
      <c r="O974" s="5">
        <v>-80.188044209442793</v>
      </c>
    </row>
    <row r="975" spans="13:15" x14ac:dyDescent="0.25">
      <c r="M975" s="5">
        <v>1961.0833333333301</v>
      </c>
      <c r="N975" s="5">
        <v>70</v>
      </c>
      <c r="O975" s="5">
        <v>-12.4722626765023</v>
      </c>
    </row>
    <row r="976" spans="13:15" x14ac:dyDescent="0.25">
      <c r="M976" s="5">
        <v>1961.1666666666599</v>
      </c>
      <c r="N976" s="5">
        <v>70</v>
      </c>
      <c r="O976" s="5">
        <v>38.603110705317597</v>
      </c>
    </row>
    <row r="977" spans="13:15" x14ac:dyDescent="0.25">
      <c r="M977" s="5">
        <v>1961.25</v>
      </c>
      <c r="N977" s="5">
        <v>62</v>
      </c>
      <c r="O977" s="5">
        <v>54.341210939062201</v>
      </c>
    </row>
    <row r="978" spans="13:15" x14ac:dyDescent="0.25">
      <c r="M978" s="5">
        <v>1961.3333333333301</v>
      </c>
      <c r="N978" s="5">
        <v>39</v>
      </c>
      <c r="O978" s="5">
        <v>56.1784840238304</v>
      </c>
    </row>
    <row r="979" spans="13:15" x14ac:dyDescent="0.25">
      <c r="M979" s="5">
        <v>1961.4166666666599</v>
      </c>
      <c r="N979" s="5">
        <v>36</v>
      </c>
      <c r="O979" s="5">
        <v>29.641029934587099</v>
      </c>
    </row>
    <row r="980" spans="13:15" x14ac:dyDescent="0.25">
      <c r="M980" s="5">
        <v>1961.5</v>
      </c>
      <c r="N980" s="5">
        <v>-38</v>
      </c>
      <c r="O980" s="5">
        <v>-21.030667820388299</v>
      </c>
    </row>
    <row r="981" spans="13:15" x14ac:dyDescent="0.25">
      <c r="M981" s="5">
        <v>1961.5833333333301</v>
      </c>
      <c r="N981" s="5">
        <v>-53</v>
      </c>
      <c r="O981" s="5">
        <v>-46.335042576447201</v>
      </c>
    </row>
    <row r="982" spans="13:15" x14ac:dyDescent="0.25">
      <c r="M982" s="5">
        <v>1961.6666666666599</v>
      </c>
      <c r="N982" s="5">
        <v>-53</v>
      </c>
      <c r="O982" s="5">
        <v>-59.177199832257898</v>
      </c>
    </row>
    <row r="983" spans="13:15" x14ac:dyDescent="0.25">
      <c r="M983" s="5">
        <v>1961.75</v>
      </c>
      <c r="N983" s="5">
        <v>-53</v>
      </c>
      <c r="O983" s="5">
        <v>-68.171707256715806</v>
      </c>
    </row>
    <row r="984" spans="13:15" x14ac:dyDescent="0.25">
      <c r="M984" s="5">
        <v>1961.8333333333301</v>
      </c>
      <c r="N984" s="5">
        <v>-57</v>
      </c>
      <c r="O984" s="5">
        <v>-72.287799151861705</v>
      </c>
    </row>
    <row r="985" spans="13:15" x14ac:dyDescent="0.25">
      <c r="M985" s="5">
        <v>1961.9166666666599</v>
      </c>
      <c r="N985" s="5">
        <v>-61</v>
      </c>
      <c r="O985" s="5">
        <v>-77.278997732126101</v>
      </c>
    </row>
    <row r="986" spans="13:15" x14ac:dyDescent="0.25">
      <c r="M986" s="5">
        <v>1962</v>
      </c>
      <c r="N986" s="5">
        <v>-84</v>
      </c>
      <c r="O986" s="5">
        <v>-79.227669249219304</v>
      </c>
    </row>
    <row r="987" spans="13:15" x14ac:dyDescent="0.25">
      <c r="M987" s="5">
        <v>1962.0833333333301</v>
      </c>
      <c r="N987" s="5">
        <v>-66</v>
      </c>
      <c r="O987" s="5">
        <v>-83.273005925038305</v>
      </c>
    </row>
    <row r="988" spans="13:15" x14ac:dyDescent="0.25">
      <c r="M988" s="5">
        <v>1962.1666666666599</v>
      </c>
      <c r="N988" s="5">
        <v>-84</v>
      </c>
      <c r="O988" s="5">
        <v>-101.290171966036</v>
      </c>
    </row>
    <row r="989" spans="13:15" x14ac:dyDescent="0.25">
      <c r="M989" s="5">
        <v>1962.25</v>
      </c>
      <c r="N989" s="5">
        <v>-100</v>
      </c>
      <c r="O989" s="5">
        <v>-126.132707500647</v>
      </c>
    </row>
    <row r="990" spans="13:15" x14ac:dyDescent="0.25">
      <c r="M990" s="5">
        <v>1962.3333333333301</v>
      </c>
      <c r="N990" s="5">
        <v>-131</v>
      </c>
      <c r="O990" s="5">
        <v>-155.41368608905901</v>
      </c>
    </row>
    <row r="991" spans="13:15" x14ac:dyDescent="0.25">
      <c r="M991" s="5">
        <v>1962.4166666666599</v>
      </c>
      <c r="N991" s="5">
        <v>-165</v>
      </c>
      <c r="O991" s="5">
        <v>-182.64387141959801</v>
      </c>
    </row>
    <row r="992" spans="13:15" x14ac:dyDescent="0.25">
      <c r="M992" s="5">
        <v>1962.5</v>
      </c>
      <c r="N992" s="5">
        <v>-165</v>
      </c>
      <c r="O992" s="5">
        <v>-195.956874457651</v>
      </c>
    </row>
    <row r="993" spans="13:15" x14ac:dyDescent="0.25">
      <c r="M993" s="5">
        <v>1962.5833333333301</v>
      </c>
      <c r="N993" s="5">
        <v>-163</v>
      </c>
      <c r="O993" s="5">
        <v>-195.36248116714401</v>
      </c>
    </row>
    <row r="994" spans="13:15" x14ac:dyDescent="0.25">
      <c r="M994" s="5">
        <v>1962.6666666666599</v>
      </c>
      <c r="N994" s="5">
        <v>-112</v>
      </c>
      <c r="O994" s="5">
        <v>-187.018249124878</v>
      </c>
    </row>
    <row r="995" spans="13:15" x14ac:dyDescent="0.25">
      <c r="M995" s="5">
        <v>1962.75</v>
      </c>
      <c r="N995" s="5">
        <v>-110</v>
      </c>
      <c r="O995" s="5">
        <v>-176.70091020426801</v>
      </c>
    </row>
    <row r="996" spans="13:15" x14ac:dyDescent="0.25">
      <c r="M996" s="5">
        <v>1962.8333333333301</v>
      </c>
      <c r="N996" s="5">
        <v>-110</v>
      </c>
      <c r="O996" s="5">
        <v>-168.90115449123601</v>
      </c>
    </row>
    <row r="997" spans="13:15" x14ac:dyDescent="0.25">
      <c r="M997" s="5">
        <v>1962.9166666666599</v>
      </c>
      <c r="N997" s="5">
        <v>-110</v>
      </c>
      <c r="O997" s="5">
        <v>-161.009814000033</v>
      </c>
    </row>
    <row r="998" spans="13:15" x14ac:dyDescent="0.25">
      <c r="M998" s="5">
        <v>1963</v>
      </c>
      <c r="N998" s="5">
        <v>-106</v>
      </c>
      <c r="O998" s="5">
        <v>-145.98012057743699</v>
      </c>
    </row>
    <row r="999" spans="13:15" x14ac:dyDescent="0.25">
      <c r="M999" s="5">
        <v>1963.0833333333301</v>
      </c>
      <c r="N999" s="5">
        <v>-49</v>
      </c>
      <c r="O999" s="5">
        <v>-130.98202140045399</v>
      </c>
    </row>
    <row r="1000" spans="13:15" x14ac:dyDescent="0.25">
      <c r="M1000" s="5">
        <v>1963.1666666666599</v>
      </c>
      <c r="N1000" s="5">
        <v>-41</v>
      </c>
      <c r="O1000" s="5">
        <v>-124.928131049146</v>
      </c>
    </row>
    <row r="1001" spans="13:15" x14ac:dyDescent="0.25">
      <c r="M1001" s="5">
        <v>1963.25</v>
      </c>
      <c r="N1001" s="5">
        <v>-41</v>
      </c>
      <c r="O1001" s="5">
        <v>-115.285664754384</v>
      </c>
    </row>
    <row r="1002" spans="13:15" x14ac:dyDescent="0.25">
      <c r="M1002" s="5">
        <v>1963.3333333333301</v>
      </c>
      <c r="N1002" s="5">
        <v>-19</v>
      </c>
      <c r="O1002" s="5">
        <v>-93.822447065362297</v>
      </c>
    </row>
    <row r="1003" spans="13:15" x14ac:dyDescent="0.25">
      <c r="M1003" s="5">
        <v>1963.4166666666599</v>
      </c>
      <c r="N1003" s="5">
        <v>2</v>
      </c>
      <c r="O1003" s="5">
        <v>-53.131660458859997</v>
      </c>
    </row>
    <row r="1004" spans="13:15" x14ac:dyDescent="0.25">
      <c r="M1004" s="5">
        <v>1963.5</v>
      </c>
      <c r="N1004" s="5">
        <v>40</v>
      </c>
      <c r="O1004" s="5">
        <v>29.430216218479199</v>
      </c>
    </row>
    <row r="1005" spans="13:15" x14ac:dyDescent="0.25">
      <c r="M1005" s="5">
        <v>1963.5833333333301</v>
      </c>
      <c r="N1005" s="5">
        <v>106</v>
      </c>
      <c r="O1005" s="5">
        <v>82.211608497517901</v>
      </c>
    </row>
    <row r="1006" spans="13:15" x14ac:dyDescent="0.25">
      <c r="M1006" s="5">
        <v>1963.6666666666599</v>
      </c>
      <c r="N1006" s="5">
        <v>138</v>
      </c>
      <c r="O1006" s="5">
        <v>96.643096281803196</v>
      </c>
    </row>
    <row r="1007" spans="13:15" x14ac:dyDescent="0.25">
      <c r="M1007" s="5">
        <v>1963.75</v>
      </c>
      <c r="N1007" s="5">
        <v>138</v>
      </c>
      <c r="O1007" s="5">
        <v>87.029498036066201</v>
      </c>
    </row>
    <row r="1008" spans="13:15" x14ac:dyDescent="0.25">
      <c r="M1008" s="5">
        <v>1963.8333333333301</v>
      </c>
      <c r="N1008" s="5">
        <v>48</v>
      </c>
      <c r="O1008" s="5">
        <v>52.294814602073103</v>
      </c>
    </row>
    <row r="1009" spans="13:15" x14ac:dyDescent="0.25">
      <c r="M1009" s="5">
        <v>1963.9166666666599</v>
      </c>
      <c r="N1009" s="5">
        <v>-26</v>
      </c>
      <c r="O1009" s="5">
        <v>-0.97734050051534005</v>
      </c>
    </row>
    <row r="1010" spans="13:15" x14ac:dyDescent="0.25">
      <c r="M1010" s="5">
        <v>1964</v>
      </c>
      <c r="N1010" s="5">
        <v>-40</v>
      </c>
      <c r="O1010" s="5">
        <v>-42.663649269954703</v>
      </c>
    </row>
    <row r="1011" spans="13:15" x14ac:dyDescent="0.25">
      <c r="M1011" s="5">
        <v>1964.0833333333301</v>
      </c>
      <c r="N1011" s="5">
        <v>-40</v>
      </c>
      <c r="O1011" s="5">
        <v>-78.968985134471097</v>
      </c>
    </row>
    <row r="1012" spans="13:15" x14ac:dyDescent="0.25">
      <c r="M1012" s="5">
        <v>1964.1666666666599</v>
      </c>
      <c r="N1012" s="5">
        <v>-40</v>
      </c>
      <c r="O1012" s="5">
        <v>-102.915912984527</v>
      </c>
    </row>
    <row r="1013" spans="13:15" x14ac:dyDescent="0.25">
      <c r="M1013" s="5">
        <v>1964.25</v>
      </c>
      <c r="N1013" s="5">
        <v>-51</v>
      </c>
      <c r="O1013" s="5">
        <v>-109.35825460728201</v>
      </c>
    </row>
    <row r="1014" spans="13:15" x14ac:dyDescent="0.25">
      <c r="M1014" s="5">
        <v>1964.3333333333301</v>
      </c>
      <c r="N1014" s="5">
        <v>-63</v>
      </c>
      <c r="O1014" s="5">
        <v>-117.604199336687</v>
      </c>
    </row>
    <row r="1015" spans="13:15" x14ac:dyDescent="0.25">
      <c r="M1015" s="5">
        <v>1964.4166666666599</v>
      </c>
      <c r="N1015" s="5">
        <v>-93</v>
      </c>
      <c r="O1015" s="5">
        <v>-134.51599709113</v>
      </c>
    </row>
    <row r="1016" spans="13:15" x14ac:dyDescent="0.25">
      <c r="M1016" s="5">
        <v>1964.5</v>
      </c>
      <c r="N1016" s="5">
        <v>-119</v>
      </c>
      <c r="O1016" s="5">
        <v>-150.197637745484</v>
      </c>
    </row>
    <row r="1017" spans="13:15" x14ac:dyDescent="0.25">
      <c r="M1017" s="5">
        <v>1964.5833333333301</v>
      </c>
      <c r="N1017" s="5">
        <v>-119</v>
      </c>
      <c r="O1017" s="5">
        <v>-160.663153091536</v>
      </c>
    </row>
    <row r="1018" spans="13:15" x14ac:dyDescent="0.25">
      <c r="M1018" s="5">
        <v>1964.6666666666599</v>
      </c>
      <c r="N1018" s="5">
        <v>-118</v>
      </c>
      <c r="O1018" s="5">
        <v>-165.421846598987</v>
      </c>
    </row>
    <row r="1019" spans="13:15" x14ac:dyDescent="0.25">
      <c r="M1019" s="5">
        <v>1964.75</v>
      </c>
      <c r="N1019" s="5">
        <v>-113</v>
      </c>
      <c r="O1019" s="5">
        <v>-169.42019804715699</v>
      </c>
    </row>
    <row r="1020" spans="13:15" x14ac:dyDescent="0.25">
      <c r="M1020" s="5">
        <v>1964.8333333333301</v>
      </c>
      <c r="N1020" s="5">
        <v>-113</v>
      </c>
      <c r="O1020" s="5">
        <v>-174.413303334311</v>
      </c>
    </row>
    <row r="1021" spans="13:15" x14ac:dyDescent="0.25">
      <c r="M1021" s="5">
        <v>1964.9166666666599</v>
      </c>
      <c r="N1021" s="5">
        <v>-113</v>
      </c>
      <c r="O1021" s="5">
        <v>-170.73748715563801</v>
      </c>
    </row>
    <row r="1022" spans="13:15" x14ac:dyDescent="0.25">
      <c r="M1022" s="5">
        <v>1965</v>
      </c>
      <c r="N1022" s="5">
        <v>-77</v>
      </c>
      <c r="O1022" s="5">
        <v>-154.405857599055</v>
      </c>
    </row>
    <row r="1023" spans="13:15" x14ac:dyDescent="0.25">
      <c r="M1023" s="5">
        <v>1965.0833333333301</v>
      </c>
      <c r="N1023" s="5">
        <v>-77</v>
      </c>
      <c r="O1023" s="5">
        <v>-135.25109989998199</v>
      </c>
    </row>
    <row r="1024" spans="13:15" x14ac:dyDescent="0.25">
      <c r="M1024" s="5">
        <v>1965.1666666666599</v>
      </c>
      <c r="N1024" s="5">
        <v>-90</v>
      </c>
      <c r="O1024" s="5">
        <v>-124.883875611112</v>
      </c>
    </row>
    <row r="1025" spans="13:15" x14ac:dyDescent="0.25">
      <c r="M1025" s="5">
        <v>1965.25</v>
      </c>
      <c r="N1025" s="5">
        <v>-90</v>
      </c>
      <c r="O1025" s="5">
        <v>-130.70827595359799</v>
      </c>
    </row>
    <row r="1026" spans="13:15" x14ac:dyDescent="0.25">
      <c r="M1026" s="5">
        <v>1965.3333333333301</v>
      </c>
      <c r="N1026" s="5">
        <v>-121</v>
      </c>
      <c r="O1026" s="5">
        <v>-147.54324175897801</v>
      </c>
    </row>
    <row r="1027" spans="13:15" x14ac:dyDescent="0.25">
      <c r="M1027" s="5">
        <v>1965.4166666666599</v>
      </c>
      <c r="N1027" s="5">
        <v>-177</v>
      </c>
      <c r="O1027" s="5">
        <v>-157.39047547367099</v>
      </c>
    </row>
    <row r="1028" spans="13:15" x14ac:dyDescent="0.25">
      <c r="M1028" s="5">
        <v>1965.5</v>
      </c>
      <c r="N1028" s="5">
        <v>-177</v>
      </c>
      <c r="O1028" s="5">
        <v>-154.658059264553</v>
      </c>
    </row>
    <row r="1029" spans="13:15" x14ac:dyDescent="0.25">
      <c r="M1029" s="5">
        <v>1965.5833333333301</v>
      </c>
      <c r="N1029" s="5">
        <v>-169</v>
      </c>
      <c r="O1029" s="5">
        <v>-142.29288174580401</v>
      </c>
    </row>
    <row r="1030" spans="13:15" x14ac:dyDescent="0.25">
      <c r="M1030" s="5">
        <v>1965.6666666666599</v>
      </c>
      <c r="N1030" s="5">
        <v>-120</v>
      </c>
      <c r="O1030" s="5">
        <v>-125.257742414822</v>
      </c>
    </row>
    <row r="1031" spans="13:15" x14ac:dyDescent="0.25">
      <c r="M1031" s="5">
        <v>1965.75</v>
      </c>
      <c r="N1031" s="5">
        <v>-116</v>
      </c>
      <c r="O1031" s="5">
        <v>-115.604204348688</v>
      </c>
    </row>
    <row r="1032" spans="13:15" x14ac:dyDescent="0.25">
      <c r="M1032" s="5">
        <v>1965.8333333333301</v>
      </c>
      <c r="N1032" s="5">
        <v>-87</v>
      </c>
      <c r="O1032" s="5">
        <v>-107.150823323377</v>
      </c>
    </row>
    <row r="1033" spans="13:15" x14ac:dyDescent="0.25">
      <c r="M1033" s="5">
        <v>1965.9166666666599</v>
      </c>
      <c r="N1033" s="5">
        <v>-18</v>
      </c>
      <c r="O1033" s="5">
        <v>-70.408158347881894</v>
      </c>
    </row>
    <row r="1034" spans="13:15" x14ac:dyDescent="0.25">
      <c r="M1034" s="5">
        <v>1966</v>
      </c>
      <c r="N1034" s="5">
        <v>52</v>
      </c>
      <c r="O1034" s="5">
        <v>4.0698766957558696</v>
      </c>
    </row>
    <row r="1035" spans="13:15" x14ac:dyDescent="0.25">
      <c r="M1035" s="5">
        <v>1966.0833333333301</v>
      </c>
      <c r="N1035" s="5">
        <v>55</v>
      </c>
      <c r="O1035" s="5">
        <v>47.216749226152899</v>
      </c>
    </row>
    <row r="1036" spans="13:15" x14ac:dyDescent="0.25">
      <c r="M1036" s="5">
        <v>1966.1666666666599</v>
      </c>
      <c r="N1036" s="5">
        <v>55</v>
      </c>
      <c r="O1036" s="5">
        <v>51.284208863741597</v>
      </c>
    </row>
    <row r="1037" spans="13:15" x14ac:dyDescent="0.25">
      <c r="M1037" s="5">
        <v>1966.25</v>
      </c>
      <c r="N1037" s="5">
        <v>52</v>
      </c>
      <c r="O1037" s="5">
        <v>30.536384971012701</v>
      </c>
    </row>
    <row r="1038" spans="13:15" x14ac:dyDescent="0.25">
      <c r="M1038" s="5">
        <v>1966.3333333333301</v>
      </c>
      <c r="N1038" s="5">
        <v>52</v>
      </c>
      <c r="O1038" s="5">
        <v>-12.2672424659025</v>
      </c>
    </row>
    <row r="1039" spans="13:15" x14ac:dyDescent="0.25">
      <c r="M1039" s="5">
        <v>1966.4166666666599</v>
      </c>
      <c r="N1039" s="5">
        <v>55</v>
      </c>
      <c r="O1039" s="5">
        <v>-49.980861386723703</v>
      </c>
    </row>
    <row r="1040" spans="13:15" x14ac:dyDescent="0.25">
      <c r="M1040" s="5">
        <v>1966.5</v>
      </c>
      <c r="N1040" s="5">
        <v>55</v>
      </c>
      <c r="O1040" s="5">
        <v>-78.878171945200194</v>
      </c>
    </row>
    <row r="1041" spans="13:15" x14ac:dyDescent="0.25">
      <c r="M1041" s="5">
        <v>1966.5833333333301</v>
      </c>
      <c r="N1041" s="5">
        <v>-5</v>
      </c>
      <c r="O1041" s="5">
        <v>-92.619407128315004</v>
      </c>
    </row>
    <row r="1042" spans="13:15" x14ac:dyDescent="0.25">
      <c r="M1042" s="5">
        <v>1966.6666666666599</v>
      </c>
      <c r="N1042" s="5">
        <v>-20</v>
      </c>
      <c r="O1042" s="5">
        <v>-94.469303512949196</v>
      </c>
    </row>
    <row r="1043" spans="13:15" x14ac:dyDescent="0.25">
      <c r="M1043" s="5">
        <v>1966.75</v>
      </c>
      <c r="N1043" s="5">
        <v>-38</v>
      </c>
      <c r="O1043" s="5">
        <v>-106.59961071456701</v>
      </c>
    </row>
    <row r="1044" spans="13:15" x14ac:dyDescent="0.25">
      <c r="M1044" s="5">
        <v>1966.8333333333301</v>
      </c>
      <c r="N1044" s="5">
        <v>-82</v>
      </c>
      <c r="O1044" s="5">
        <v>-124.191628186014</v>
      </c>
    </row>
    <row r="1045" spans="13:15" x14ac:dyDescent="0.25">
      <c r="M1045" s="5">
        <v>1966.9166666666599</v>
      </c>
      <c r="N1045" s="5">
        <v>-109</v>
      </c>
      <c r="O1045" s="5">
        <v>-130.95971019938801</v>
      </c>
    </row>
    <row r="1046" spans="13:15" x14ac:dyDescent="0.25">
      <c r="M1046" s="5">
        <v>1967</v>
      </c>
      <c r="N1046" s="5">
        <v>-109</v>
      </c>
      <c r="O1046" s="5">
        <v>-130.21086878790399</v>
      </c>
    </row>
    <row r="1047" spans="13:15" x14ac:dyDescent="0.25">
      <c r="M1047" s="5">
        <v>1967.0833333333301</v>
      </c>
      <c r="N1047" s="5">
        <v>-109</v>
      </c>
      <c r="O1047" s="5">
        <v>-127.21660124536101</v>
      </c>
    </row>
    <row r="1048" spans="13:15" x14ac:dyDescent="0.25">
      <c r="M1048" s="5">
        <v>1967.1666666666599</v>
      </c>
      <c r="N1048" s="5">
        <v>-93</v>
      </c>
      <c r="O1048" s="5">
        <v>-128.71697148514099</v>
      </c>
    </row>
    <row r="1049" spans="13:15" x14ac:dyDescent="0.25">
      <c r="M1049" s="5">
        <v>1967.25</v>
      </c>
      <c r="N1049" s="5">
        <v>-93</v>
      </c>
      <c r="O1049" s="5">
        <v>-143.78931754258301</v>
      </c>
    </row>
    <row r="1050" spans="13:15" x14ac:dyDescent="0.25">
      <c r="M1050" s="5">
        <v>1967.3333333333301</v>
      </c>
      <c r="N1050" s="5">
        <v>-121</v>
      </c>
      <c r="O1050" s="5">
        <v>-162.45442748376001</v>
      </c>
    </row>
    <row r="1051" spans="13:15" x14ac:dyDescent="0.25">
      <c r="M1051" s="5">
        <v>1967.4166666666599</v>
      </c>
      <c r="N1051" s="5">
        <v>-185</v>
      </c>
      <c r="O1051" s="5">
        <v>-173.23970560528099</v>
      </c>
    </row>
    <row r="1052" spans="13:15" x14ac:dyDescent="0.25">
      <c r="M1052" s="5">
        <v>1967.5</v>
      </c>
      <c r="N1052" s="5">
        <v>-185</v>
      </c>
      <c r="O1052" s="5">
        <v>-172.00940150181501</v>
      </c>
    </row>
    <row r="1053" spans="13:15" x14ac:dyDescent="0.25">
      <c r="M1053" s="5">
        <v>1967.5833333333301</v>
      </c>
      <c r="N1053" s="5">
        <v>-183</v>
      </c>
      <c r="O1053" s="5">
        <v>-154.273704262221</v>
      </c>
    </row>
    <row r="1054" spans="13:15" x14ac:dyDescent="0.25">
      <c r="M1054" s="5">
        <v>1967.6666666666599</v>
      </c>
      <c r="N1054" s="5">
        <v>-146</v>
      </c>
      <c r="O1054" s="5">
        <v>-129.266673437408</v>
      </c>
    </row>
    <row r="1055" spans="13:15" x14ac:dyDescent="0.25">
      <c r="M1055" s="5">
        <v>1967.75</v>
      </c>
      <c r="N1055" s="5">
        <v>-128</v>
      </c>
      <c r="O1055" s="5">
        <v>-127.48696314716599</v>
      </c>
    </row>
    <row r="1056" spans="13:15" x14ac:dyDescent="0.25">
      <c r="M1056" s="5">
        <v>1967.8333333333301</v>
      </c>
      <c r="N1056" s="5">
        <v>-117</v>
      </c>
      <c r="O1056" s="5">
        <v>-142.13852435139901</v>
      </c>
    </row>
    <row r="1057" spans="13:15" x14ac:dyDescent="0.25">
      <c r="M1057" s="5">
        <v>1967.9166666666599</v>
      </c>
      <c r="N1057" s="5">
        <v>-109</v>
      </c>
      <c r="O1057" s="5">
        <v>-149.64359205968299</v>
      </c>
    </row>
    <row r="1058" spans="13:15" x14ac:dyDescent="0.25">
      <c r="M1058" s="5">
        <v>1968</v>
      </c>
      <c r="N1058" s="5">
        <v>-101</v>
      </c>
      <c r="O1058" s="5">
        <v>-147.556353107951</v>
      </c>
    </row>
    <row r="1059" spans="13:15" x14ac:dyDescent="0.25">
      <c r="M1059" s="5">
        <v>1968.0833333333301</v>
      </c>
      <c r="N1059" s="5">
        <v>-108</v>
      </c>
      <c r="O1059" s="5">
        <v>-139.35899672066401</v>
      </c>
    </row>
    <row r="1060" spans="13:15" x14ac:dyDescent="0.25">
      <c r="M1060" s="5">
        <v>1968.1666666666599</v>
      </c>
      <c r="N1060" s="5">
        <v>-82</v>
      </c>
      <c r="O1060" s="5">
        <v>-132.99426456100201</v>
      </c>
    </row>
    <row r="1061" spans="13:15" x14ac:dyDescent="0.25">
      <c r="M1061" s="5">
        <v>1968.25</v>
      </c>
      <c r="N1061" s="5">
        <v>-82</v>
      </c>
      <c r="O1061" s="5">
        <v>-129.98414667575099</v>
      </c>
    </row>
    <row r="1062" spans="13:15" x14ac:dyDescent="0.25">
      <c r="M1062" s="5">
        <v>1968.3333333333301</v>
      </c>
      <c r="N1062" s="5">
        <v>-82</v>
      </c>
      <c r="O1062" s="5">
        <v>-119.694576128999</v>
      </c>
    </row>
    <row r="1063" spans="13:15" x14ac:dyDescent="0.25">
      <c r="M1063" s="5">
        <v>1968.4166666666599</v>
      </c>
      <c r="N1063" s="5">
        <v>-113</v>
      </c>
      <c r="O1063" s="5">
        <v>-101.972056980994</v>
      </c>
    </row>
    <row r="1064" spans="13:15" x14ac:dyDescent="0.25">
      <c r="M1064" s="5">
        <v>1968.5</v>
      </c>
      <c r="N1064" s="5">
        <v>-113</v>
      </c>
      <c r="O1064" s="5">
        <v>-78.342864234305594</v>
      </c>
    </row>
    <row r="1065" spans="13:15" x14ac:dyDescent="0.25">
      <c r="M1065" s="5">
        <v>1968.5833333333301</v>
      </c>
      <c r="N1065" s="5">
        <v>-103</v>
      </c>
      <c r="O1065" s="5">
        <v>-36.656244041114</v>
      </c>
    </row>
    <row r="1066" spans="13:15" x14ac:dyDescent="0.25">
      <c r="M1066" s="5">
        <v>1968.6666666666599</v>
      </c>
      <c r="N1066" s="5">
        <v>-63</v>
      </c>
      <c r="O1066" s="5">
        <v>3.68993044970065</v>
      </c>
    </row>
    <row r="1067" spans="13:15" x14ac:dyDescent="0.25">
      <c r="M1067" s="5">
        <v>1968.75</v>
      </c>
      <c r="N1067" s="5">
        <v>-63</v>
      </c>
      <c r="O1067" s="5">
        <v>1.99758518460566</v>
      </c>
    </row>
    <row r="1068" spans="13:15" x14ac:dyDescent="0.25">
      <c r="M1068" s="5">
        <v>1968.8333333333301</v>
      </c>
      <c r="N1068" s="5">
        <v>-54</v>
      </c>
      <c r="O1068" s="5">
        <v>-13.5178958700076</v>
      </c>
    </row>
    <row r="1069" spans="13:15" x14ac:dyDescent="0.25">
      <c r="M1069" s="5">
        <v>1968.9166666666599</v>
      </c>
      <c r="N1069" s="5">
        <v>-54</v>
      </c>
      <c r="O1069" s="5">
        <v>-18.7106869966346</v>
      </c>
    </row>
    <row r="1070" spans="13:15" x14ac:dyDescent="0.25">
      <c r="M1070" s="5">
        <v>1969</v>
      </c>
      <c r="N1070" s="5">
        <v>-20</v>
      </c>
      <c r="O1070" s="5">
        <v>-6.3221772142988097</v>
      </c>
    </row>
    <row r="1071" spans="13:15" x14ac:dyDescent="0.25">
      <c r="M1071" s="5">
        <v>1969.0833333333301</v>
      </c>
      <c r="N1071" s="5">
        <v>2</v>
      </c>
      <c r="O1071" s="5">
        <v>23.0154339831942</v>
      </c>
    </row>
    <row r="1072" spans="13:15" x14ac:dyDescent="0.25">
      <c r="M1072" s="5">
        <v>1969.1666666666599</v>
      </c>
      <c r="N1072" s="5">
        <v>20</v>
      </c>
      <c r="O1072" s="5">
        <v>32.721887819996098</v>
      </c>
    </row>
    <row r="1073" spans="13:15" x14ac:dyDescent="0.25">
      <c r="M1073" s="5">
        <v>1969.25</v>
      </c>
      <c r="N1073" s="5">
        <v>41</v>
      </c>
      <c r="O1073" s="5">
        <v>2.6227867055439602</v>
      </c>
    </row>
    <row r="1074" spans="13:15" x14ac:dyDescent="0.25">
      <c r="M1074" s="5">
        <v>1969.3333333333301</v>
      </c>
      <c r="N1074" s="5">
        <v>41</v>
      </c>
      <c r="O1074" s="5">
        <v>-69.281106334851103</v>
      </c>
    </row>
    <row r="1075" spans="13:15" x14ac:dyDescent="0.25">
      <c r="M1075" s="5">
        <v>1969.4166666666599</v>
      </c>
      <c r="N1075" s="5">
        <v>29</v>
      </c>
      <c r="O1075" s="5">
        <v>-134.537554761363</v>
      </c>
    </row>
    <row r="1076" spans="13:15" x14ac:dyDescent="0.25">
      <c r="M1076" s="5">
        <v>1969.5</v>
      </c>
      <c r="N1076" s="5">
        <v>-36</v>
      </c>
      <c r="O1076" s="5">
        <v>-168.21246182450699</v>
      </c>
    </row>
    <row r="1077" spans="13:15" x14ac:dyDescent="0.25">
      <c r="M1077" s="5">
        <v>1969.5833333333301</v>
      </c>
      <c r="N1077" s="5">
        <v>-114</v>
      </c>
      <c r="O1077" s="5">
        <v>-176.24309264048</v>
      </c>
    </row>
    <row r="1078" spans="13:15" x14ac:dyDescent="0.25">
      <c r="M1078" s="5">
        <v>1969.6666666666599</v>
      </c>
      <c r="N1078" s="5">
        <v>-116</v>
      </c>
      <c r="O1078" s="5">
        <v>-174.245396473992</v>
      </c>
    </row>
    <row r="1079" spans="13:15" x14ac:dyDescent="0.25">
      <c r="M1079" s="5">
        <v>1969.75</v>
      </c>
      <c r="N1079" s="5">
        <v>-116</v>
      </c>
      <c r="O1079" s="5">
        <v>-173.49703554797301</v>
      </c>
    </row>
    <row r="1080" spans="13:15" x14ac:dyDescent="0.25">
      <c r="M1080" s="5">
        <v>1969.8333333333301</v>
      </c>
      <c r="N1080" s="5">
        <v>-116</v>
      </c>
      <c r="O1080" s="5">
        <v>-175.24245129644501</v>
      </c>
    </row>
    <row r="1081" spans="13:15" x14ac:dyDescent="0.25">
      <c r="M1081" s="5">
        <v>1969.9166666666599</v>
      </c>
      <c r="N1081" s="5">
        <v>-113</v>
      </c>
      <c r="O1081" s="5">
        <v>-175.16362958046199</v>
      </c>
    </row>
    <row r="1082" spans="13:15" x14ac:dyDescent="0.25">
      <c r="M1082" s="5">
        <v>1970</v>
      </c>
      <c r="N1082" s="5">
        <v>-99</v>
      </c>
      <c r="O1082" s="5">
        <v>-166.92618751453699</v>
      </c>
    </row>
    <row r="1083" spans="13:15" x14ac:dyDescent="0.25">
      <c r="M1083" s="5">
        <v>1970.0833333333301</v>
      </c>
      <c r="N1083" s="5">
        <v>-98</v>
      </c>
      <c r="O1083" s="5">
        <v>-152.36721543153999</v>
      </c>
    </row>
    <row r="1084" spans="13:15" x14ac:dyDescent="0.25">
      <c r="M1084" s="5">
        <v>1970.1666666666599</v>
      </c>
      <c r="N1084" s="5">
        <v>-78</v>
      </c>
      <c r="O1084" s="5">
        <v>-143.43028687514001</v>
      </c>
    </row>
    <row r="1085" spans="13:15" x14ac:dyDescent="0.25">
      <c r="M1085" s="5">
        <v>1970.25</v>
      </c>
      <c r="N1085" s="5">
        <v>-52</v>
      </c>
      <c r="O1085" s="5">
        <v>-140.59841436050101</v>
      </c>
    </row>
    <row r="1086" spans="13:15" x14ac:dyDescent="0.25">
      <c r="M1086" s="5">
        <v>1970.3333333333301</v>
      </c>
      <c r="N1086" s="5">
        <v>-78</v>
      </c>
      <c r="O1086" s="5">
        <v>-139.28491636610801</v>
      </c>
    </row>
    <row r="1087" spans="13:15" x14ac:dyDescent="0.25">
      <c r="M1087" s="5">
        <v>1970.4166666666599</v>
      </c>
      <c r="N1087" s="5">
        <v>-95</v>
      </c>
      <c r="O1087" s="5">
        <v>-138.42251993155199</v>
      </c>
    </row>
    <row r="1088" spans="13:15" x14ac:dyDescent="0.25">
      <c r="M1088" s="5">
        <v>1970.5</v>
      </c>
      <c r="N1088" s="5">
        <v>-104</v>
      </c>
      <c r="O1088" s="5">
        <v>-127.036426989585</v>
      </c>
    </row>
    <row r="1089" spans="13:15" x14ac:dyDescent="0.25">
      <c r="M1089" s="5">
        <v>1970.5833333333301</v>
      </c>
      <c r="N1089" s="5">
        <v>-104</v>
      </c>
      <c r="O1089" s="5">
        <v>-100.61067021263899</v>
      </c>
    </row>
    <row r="1090" spans="13:15" x14ac:dyDescent="0.25">
      <c r="M1090" s="5">
        <v>1970.6666666666599</v>
      </c>
      <c r="N1090" s="5">
        <v>-76</v>
      </c>
      <c r="O1090" s="5">
        <v>-74.540454378030205</v>
      </c>
    </row>
    <row r="1091" spans="13:15" x14ac:dyDescent="0.25">
      <c r="M1091" s="5">
        <v>1970.75</v>
      </c>
      <c r="N1091" s="5">
        <v>-70</v>
      </c>
      <c r="O1091" s="5">
        <v>-59.110631058691098</v>
      </c>
    </row>
    <row r="1092" spans="13:15" x14ac:dyDescent="0.25">
      <c r="M1092" s="5">
        <v>1970.8333333333301</v>
      </c>
      <c r="N1092" s="5">
        <v>-39</v>
      </c>
      <c r="O1092" s="5">
        <v>-50.317491651950903</v>
      </c>
    </row>
    <row r="1093" spans="13:15" x14ac:dyDescent="0.25">
      <c r="M1093" s="5">
        <v>1970.9166666666599</v>
      </c>
      <c r="N1093" s="5">
        <v>-28</v>
      </c>
      <c r="O1093" s="5">
        <v>-37.743456745710901</v>
      </c>
    </row>
    <row r="1094" spans="13:15" x14ac:dyDescent="0.25">
      <c r="M1094" s="5">
        <v>1971</v>
      </c>
      <c r="N1094" s="5">
        <v>0</v>
      </c>
      <c r="O1094" s="5">
        <v>-8.7069669530442297</v>
      </c>
    </row>
    <row r="1095" spans="13:15" x14ac:dyDescent="0.25">
      <c r="M1095" s="5">
        <v>1971.0833333333301</v>
      </c>
      <c r="N1095" s="5">
        <v>12</v>
      </c>
      <c r="O1095" s="5">
        <v>13.695490350518099</v>
      </c>
    </row>
    <row r="1096" spans="13:15" x14ac:dyDescent="0.25">
      <c r="M1096" s="5">
        <v>1971.1666666666599</v>
      </c>
      <c r="N1096" s="5">
        <v>26</v>
      </c>
      <c r="O1096" s="5">
        <v>15.564076784673</v>
      </c>
    </row>
    <row r="1097" spans="13:15" x14ac:dyDescent="0.25">
      <c r="M1097" s="5">
        <v>1971.25</v>
      </c>
      <c r="N1097" s="5">
        <v>47</v>
      </c>
      <c r="O1097" s="5">
        <v>19.1904633839744</v>
      </c>
    </row>
    <row r="1098" spans="13:15" x14ac:dyDescent="0.25">
      <c r="M1098" s="5">
        <v>1971.3333333333301</v>
      </c>
      <c r="N1098" s="5">
        <v>48</v>
      </c>
      <c r="O1098" s="5">
        <v>-2.74385693501663</v>
      </c>
    </row>
    <row r="1099" spans="13:15" x14ac:dyDescent="0.25">
      <c r="M1099" s="5">
        <v>1971.4166666666599</v>
      </c>
      <c r="N1099" s="5">
        <v>48</v>
      </c>
      <c r="O1099" s="5">
        <v>-63.408185941566401</v>
      </c>
    </row>
    <row r="1100" spans="13:15" x14ac:dyDescent="0.25">
      <c r="M1100" s="5">
        <v>1971.5</v>
      </c>
      <c r="N1100" s="5">
        <v>-18</v>
      </c>
      <c r="O1100" s="5">
        <v>-106.293882502065</v>
      </c>
    </row>
    <row r="1101" spans="13:15" x14ac:dyDescent="0.25">
      <c r="M1101" s="5">
        <v>1971.5833333333301</v>
      </c>
      <c r="N1101" s="5">
        <v>-84</v>
      </c>
      <c r="O1101" s="5">
        <v>-124.883960433787</v>
      </c>
    </row>
    <row r="1102" spans="13:15" x14ac:dyDescent="0.25">
      <c r="M1102" s="5">
        <v>1971.6666666666599</v>
      </c>
      <c r="N1102" s="5">
        <v>-84</v>
      </c>
      <c r="O1102" s="5">
        <v>-129.86977194443301</v>
      </c>
    </row>
    <row r="1103" spans="13:15" x14ac:dyDescent="0.25">
      <c r="M1103" s="5">
        <v>1971.75</v>
      </c>
      <c r="N1103" s="5">
        <v>-44</v>
      </c>
      <c r="O1103" s="5">
        <v>-132.469653154529</v>
      </c>
    </row>
    <row r="1104" spans="13:15" x14ac:dyDescent="0.25">
      <c r="M1104" s="5">
        <v>1971.8333333333301</v>
      </c>
      <c r="N1104" s="5">
        <v>-44</v>
      </c>
      <c r="O1104" s="5">
        <v>-143.83296015501301</v>
      </c>
    </row>
    <row r="1105" spans="13:15" x14ac:dyDescent="0.25">
      <c r="M1105" s="5">
        <v>1971.9166666666599</v>
      </c>
      <c r="N1105" s="5">
        <v>-70</v>
      </c>
      <c r="O1105" s="5">
        <v>-156.65859556875699</v>
      </c>
    </row>
    <row r="1106" spans="13:15" x14ac:dyDescent="0.25">
      <c r="M1106" s="5">
        <v>1972</v>
      </c>
      <c r="N1106" s="5">
        <v>-80</v>
      </c>
      <c r="O1106" s="5">
        <v>-163.17265022975201</v>
      </c>
    </row>
    <row r="1107" spans="13:15" x14ac:dyDescent="0.25">
      <c r="M1107" s="5">
        <v>1972.0833333333301</v>
      </c>
      <c r="N1107" s="5">
        <v>-97</v>
      </c>
      <c r="O1107" s="5">
        <v>-169.44846882432401</v>
      </c>
    </row>
    <row r="1108" spans="13:15" x14ac:dyDescent="0.25">
      <c r="M1108" s="5">
        <v>1972.1666666666599</v>
      </c>
      <c r="N1108" s="5">
        <v>-97</v>
      </c>
      <c r="O1108" s="5">
        <v>-176.54140841878001</v>
      </c>
    </row>
    <row r="1109" spans="13:15" x14ac:dyDescent="0.25">
      <c r="M1109" s="5">
        <v>1972.25</v>
      </c>
      <c r="N1109" s="5">
        <v>-126</v>
      </c>
      <c r="O1109" s="5">
        <v>-180.98475730253901</v>
      </c>
    </row>
    <row r="1110" spans="13:15" x14ac:dyDescent="0.25">
      <c r="M1110" s="5">
        <v>1972.3333333333301</v>
      </c>
      <c r="N1110" s="5">
        <v>-134</v>
      </c>
      <c r="O1110" s="5">
        <v>-183.74924962484801</v>
      </c>
    </row>
    <row r="1111" spans="13:15" x14ac:dyDescent="0.25">
      <c r="M1111" s="5">
        <v>1972.4166666666599</v>
      </c>
      <c r="N1111" s="5">
        <v>-146</v>
      </c>
      <c r="O1111" s="5">
        <v>-180.78720462606501</v>
      </c>
    </row>
    <row r="1112" spans="13:15" x14ac:dyDescent="0.25">
      <c r="M1112" s="5">
        <v>1972.5</v>
      </c>
      <c r="N1112" s="5">
        <v>-134</v>
      </c>
      <c r="O1112" s="5">
        <v>-164.99663769953901</v>
      </c>
    </row>
    <row r="1113" spans="13:15" x14ac:dyDescent="0.25">
      <c r="M1113" s="5">
        <v>1972.5833333333301</v>
      </c>
      <c r="N1113" s="5">
        <v>-120</v>
      </c>
      <c r="O1113" s="5">
        <v>-134.76724231876901</v>
      </c>
    </row>
    <row r="1114" spans="13:15" x14ac:dyDescent="0.25">
      <c r="M1114" s="5">
        <v>1972.6666666666599</v>
      </c>
      <c r="N1114" s="5">
        <v>-82</v>
      </c>
      <c r="O1114" s="5">
        <v>-95.075511656799705</v>
      </c>
    </row>
    <row r="1115" spans="13:15" x14ac:dyDescent="0.25">
      <c r="M1115" s="5">
        <v>1972.75</v>
      </c>
      <c r="N1115" s="5">
        <v>-26</v>
      </c>
      <c r="O1115" s="5">
        <v>-63.561988994960799</v>
      </c>
    </row>
    <row r="1116" spans="13:15" x14ac:dyDescent="0.25">
      <c r="M1116" s="5">
        <v>1972.8333333333301</v>
      </c>
      <c r="N1116" s="5">
        <v>-16</v>
      </c>
      <c r="O1116" s="5">
        <v>-48.275564440561602</v>
      </c>
    </row>
    <row r="1117" spans="13:15" x14ac:dyDescent="0.25">
      <c r="M1117" s="5">
        <v>1972.9166666666599</v>
      </c>
      <c r="N1117" s="5">
        <v>15</v>
      </c>
      <c r="O1117" s="5">
        <v>-9.3339848623438595</v>
      </c>
    </row>
    <row r="1118" spans="13:15" x14ac:dyDescent="0.25">
      <c r="M1118" s="5">
        <v>1973</v>
      </c>
      <c r="N1118" s="5">
        <v>52</v>
      </c>
      <c r="O1118" s="5">
        <v>51.424303437964703</v>
      </c>
    </row>
    <row r="1119" spans="13:15" x14ac:dyDescent="0.25">
      <c r="M1119" s="5">
        <v>1973.0833333333301</v>
      </c>
      <c r="N1119" s="5">
        <v>52</v>
      </c>
      <c r="O1119" s="5">
        <v>74.697443816490406</v>
      </c>
    </row>
    <row r="1120" spans="13:15" x14ac:dyDescent="0.25">
      <c r="M1120" s="5">
        <v>1973.1666666666599</v>
      </c>
      <c r="N1120" s="5">
        <v>52</v>
      </c>
      <c r="O1120" s="5">
        <v>77.7382836016249</v>
      </c>
    </row>
    <row r="1121" spans="13:15" x14ac:dyDescent="0.25">
      <c r="M1121" s="5">
        <v>1973.25</v>
      </c>
      <c r="N1121" s="5">
        <v>79</v>
      </c>
      <c r="O1121" s="5">
        <v>74.081099409363404</v>
      </c>
    </row>
    <row r="1122" spans="13:15" x14ac:dyDescent="0.25">
      <c r="M1122" s="5">
        <v>1973.3333333333301</v>
      </c>
      <c r="N1122" s="5">
        <v>79</v>
      </c>
      <c r="O1122" s="5">
        <v>55.379924708596299</v>
      </c>
    </row>
    <row r="1123" spans="13:15" x14ac:dyDescent="0.25">
      <c r="M1123" s="5">
        <v>1973.4166666666599</v>
      </c>
      <c r="N1123" s="5">
        <v>-13</v>
      </c>
      <c r="O1123" s="5">
        <v>8.4182602271753204</v>
      </c>
    </row>
    <row r="1124" spans="13:15" x14ac:dyDescent="0.25">
      <c r="M1124" s="5">
        <v>1973.5</v>
      </c>
      <c r="N1124" s="5">
        <v>-95</v>
      </c>
      <c r="O1124" s="5">
        <v>-63.715517965753797</v>
      </c>
    </row>
    <row r="1125" spans="13:15" x14ac:dyDescent="0.25">
      <c r="M1125" s="5">
        <v>1973.5833333333301</v>
      </c>
      <c r="N1125" s="5">
        <v>-95</v>
      </c>
      <c r="O1125" s="5">
        <v>-114.348107081699</v>
      </c>
    </row>
    <row r="1126" spans="13:15" x14ac:dyDescent="0.25">
      <c r="M1126" s="5">
        <v>1973.6666666666599</v>
      </c>
      <c r="N1126" s="5">
        <v>-99</v>
      </c>
      <c r="O1126" s="5">
        <v>-141.33963072247499</v>
      </c>
    </row>
    <row r="1127" spans="13:15" x14ac:dyDescent="0.25">
      <c r="M1127" s="5">
        <v>1973.75</v>
      </c>
      <c r="N1127" s="5">
        <v>-104</v>
      </c>
      <c r="O1127" s="5">
        <v>-157.49748903327799</v>
      </c>
    </row>
    <row r="1128" spans="13:15" x14ac:dyDescent="0.25">
      <c r="M1128" s="5">
        <v>1973.8333333333301</v>
      </c>
      <c r="N1128" s="5">
        <v>-114</v>
      </c>
      <c r="O1128" s="5">
        <v>-167.183086203985</v>
      </c>
    </row>
    <row r="1129" spans="13:15" x14ac:dyDescent="0.25">
      <c r="M1129" s="5">
        <v>1973.9166666666599</v>
      </c>
      <c r="N1129" s="5">
        <v>-114</v>
      </c>
      <c r="O1129" s="5">
        <v>-166.091514499097</v>
      </c>
    </row>
    <row r="1130" spans="13:15" x14ac:dyDescent="0.25">
      <c r="M1130" s="5">
        <v>1974</v>
      </c>
      <c r="N1130" s="5">
        <v>-102</v>
      </c>
      <c r="O1130" s="5">
        <v>-158.96415174658699</v>
      </c>
    </row>
    <row r="1131" spans="13:15" x14ac:dyDescent="0.25">
      <c r="M1131" s="5">
        <v>1974.0833333333301</v>
      </c>
      <c r="N1131" s="5">
        <v>-94</v>
      </c>
      <c r="O1131" s="5">
        <v>-155.27420350531801</v>
      </c>
    </row>
    <row r="1132" spans="13:15" x14ac:dyDescent="0.25">
      <c r="M1132" s="5">
        <v>1974.1666666666599</v>
      </c>
      <c r="N1132" s="5">
        <v>-94</v>
      </c>
      <c r="O1132" s="5">
        <v>-157.02330066705801</v>
      </c>
    </row>
    <row r="1133" spans="13:15" x14ac:dyDescent="0.25">
      <c r="M1133" s="5">
        <v>1974.25</v>
      </c>
      <c r="N1133" s="5">
        <v>-103</v>
      </c>
      <c r="O1133" s="5">
        <v>-166.41961813326699</v>
      </c>
    </row>
    <row r="1134" spans="13:15" x14ac:dyDescent="0.25">
      <c r="M1134" s="5">
        <v>1974.3333333333301</v>
      </c>
      <c r="N1134" s="5">
        <v>-109</v>
      </c>
      <c r="O1134" s="5">
        <v>-179.379177716752</v>
      </c>
    </row>
    <row r="1135" spans="13:15" x14ac:dyDescent="0.25">
      <c r="M1135" s="5">
        <v>1974.4166666666599</v>
      </c>
      <c r="N1135" s="5">
        <v>-118</v>
      </c>
      <c r="O1135" s="5">
        <v>-186.12214393788599</v>
      </c>
    </row>
    <row r="1136" spans="13:15" x14ac:dyDescent="0.25">
      <c r="M1136" s="5">
        <v>1974.5</v>
      </c>
      <c r="N1136" s="5">
        <v>-131</v>
      </c>
      <c r="O1136" s="5">
        <v>-182.492979106581</v>
      </c>
    </row>
    <row r="1137" spans="13:15" x14ac:dyDescent="0.25">
      <c r="M1137" s="5">
        <v>1974.5833333333301</v>
      </c>
      <c r="N1137" s="5">
        <v>-131</v>
      </c>
      <c r="O1137" s="5">
        <v>-164.992671321953</v>
      </c>
    </row>
    <row r="1138" spans="13:15" x14ac:dyDescent="0.25">
      <c r="M1138" s="5">
        <v>1974.6666666666599</v>
      </c>
      <c r="N1138" s="5">
        <v>-122</v>
      </c>
      <c r="O1138" s="5">
        <v>-134.91915871487501</v>
      </c>
    </row>
    <row r="1139" spans="13:15" x14ac:dyDescent="0.25">
      <c r="M1139" s="5">
        <v>1974.75</v>
      </c>
      <c r="N1139" s="5">
        <v>-93</v>
      </c>
      <c r="O1139" s="5">
        <v>-114.97912680845501</v>
      </c>
    </row>
    <row r="1140" spans="13:15" x14ac:dyDescent="0.25">
      <c r="M1140" s="5">
        <v>1974.8333333333301</v>
      </c>
      <c r="N1140" s="5">
        <v>-62</v>
      </c>
      <c r="O1140" s="5">
        <v>-110.80406365559401</v>
      </c>
    </row>
    <row r="1141" spans="13:15" x14ac:dyDescent="0.25">
      <c r="M1141" s="5">
        <v>1974.9166666666599</v>
      </c>
      <c r="N1141" s="5">
        <v>-37</v>
      </c>
      <c r="O1141" s="5">
        <v>-94.221240029887298</v>
      </c>
    </row>
    <row r="1142" spans="13:15" x14ac:dyDescent="0.25">
      <c r="M1142" s="5">
        <v>1975</v>
      </c>
      <c r="N1142" s="5">
        <v>-8</v>
      </c>
      <c r="O1142" s="5">
        <v>-57.300987570577199</v>
      </c>
    </row>
    <row r="1143" spans="13:15" x14ac:dyDescent="0.25">
      <c r="M1143" s="5">
        <v>1975.0833333333301</v>
      </c>
      <c r="N1143" s="5">
        <v>9</v>
      </c>
      <c r="O1143" s="5">
        <v>-10.319540221676201</v>
      </c>
    </row>
    <row r="1144" spans="13:15" x14ac:dyDescent="0.25">
      <c r="M1144" s="5">
        <v>1975.1666666666599</v>
      </c>
      <c r="N1144" s="5">
        <v>43</v>
      </c>
      <c r="O1144" s="5">
        <v>24.7016038691267</v>
      </c>
    </row>
    <row r="1145" spans="13:15" x14ac:dyDescent="0.25">
      <c r="M1145" s="5">
        <v>1975.25</v>
      </c>
      <c r="N1145" s="5">
        <v>43</v>
      </c>
      <c r="O1145" s="5">
        <v>36.637946836486499</v>
      </c>
    </row>
    <row r="1146" spans="13:15" x14ac:dyDescent="0.25">
      <c r="M1146" s="5">
        <v>1975.3333333333301</v>
      </c>
      <c r="N1146" s="5">
        <v>46</v>
      </c>
      <c r="O1146" s="5">
        <v>53.076310340787998</v>
      </c>
    </row>
    <row r="1147" spans="13:15" x14ac:dyDescent="0.25">
      <c r="M1147" s="5">
        <v>1975.4166666666599</v>
      </c>
      <c r="N1147" s="5">
        <v>48</v>
      </c>
      <c r="O1147" s="5">
        <v>76.2267441045487</v>
      </c>
    </row>
    <row r="1148" spans="13:15" x14ac:dyDescent="0.25">
      <c r="M1148" s="5">
        <v>1975.5</v>
      </c>
      <c r="N1148" s="5">
        <v>58</v>
      </c>
      <c r="O1148" s="5">
        <v>87.975531477840207</v>
      </c>
    </row>
    <row r="1149" spans="13:15" x14ac:dyDescent="0.25">
      <c r="M1149" s="5">
        <v>1975.5833333333301</v>
      </c>
      <c r="N1149" s="5">
        <v>48</v>
      </c>
      <c r="O1149" s="5">
        <v>86.532441995135699</v>
      </c>
    </row>
    <row r="1150" spans="13:15" x14ac:dyDescent="0.25">
      <c r="M1150" s="5">
        <v>1975.6666666666599</v>
      </c>
      <c r="N1150" s="5">
        <v>23</v>
      </c>
      <c r="O1150" s="5">
        <v>59.392767940222797</v>
      </c>
    </row>
    <row r="1151" spans="13:15" x14ac:dyDescent="0.25">
      <c r="M1151" s="5">
        <v>1975.75</v>
      </c>
      <c r="N1151" s="5">
        <v>-11</v>
      </c>
      <c r="O1151" s="5">
        <v>-34.645481540230698</v>
      </c>
    </row>
    <row r="1152" spans="13:15" x14ac:dyDescent="0.25">
      <c r="M1152" s="5">
        <v>1975.8333333333301</v>
      </c>
      <c r="N1152" s="5">
        <v>-80</v>
      </c>
      <c r="O1152" s="5">
        <v>-104.576805297538</v>
      </c>
    </row>
    <row r="1153" spans="13:15" x14ac:dyDescent="0.25">
      <c r="M1153" s="5">
        <v>1975.9166666666599</v>
      </c>
      <c r="N1153" s="5">
        <v>-80</v>
      </c>
      <c r="O1153" s="5">
        <v>-130.85278759437199</v>
      </c>
    </row>
    <row r="1154" spans="13:15" x14ac:dyDescent="0.25">
      <c r="M1154" s="5">
        <v>1976</v>
      </c>
      <c r="N1154" s="5">
        <v>-67</v>
      </c>
      <c r="O1154" s="5">
        <v>-140.05993742955101</v>
      </c>
    </row>
    <row r="1155" spans="13:15" x14ac:dyDescent="0.25">
      <c r="M1155" s="5">
        <v>1976.0833333333301</v>
      </c>
      <c r="N1155" s="5">
        <v>-63</v>
      </c>
      <c r="O1155" s="5">
        <v>-142.63813204214</v>
      </c>
    </row>
    <row r="1156" spans="13:15" x14ac:dyDescent="0.25">
      <c r="M1156" s="5">
        <v>1976.1666666666599</v>
      </c>
      <c r="N1156" s="5">
        <v>-63</v>
      </c>
      <c r="O1156" s="5">
        <v>-148.23829367363501</v>
      </c>
    </row>
    <row r="1157" spans="13:15" x14ac:dyDescent="0.25">
      <c r="M1157" s="5">
        <v>1976.25</v>
      </c>
      <c r="N1157" s="5">
        <v>-81</v>
      </c>
      <c r="O1157" s="5">
        <v>-163.39739124429599</v>
      </c>
    </row>
    <row r="1158" spans="13:15" x14ac:dyDescent="0.25">
      <c r="M1158" s="5">
        <v>1976.3333333333301</v>
      </c>
      <c r="N1158" s="5">
        <v>-103</v>
      </c>
      <c r="O1158" s="5">
        <v>-182.27592644956101</v>
      </c>
    </row>
    <row r="1159" spans="13:15" x14ac:dyDescent="0.25">
      <c r="M1159" s="5">
        <v>1976.4166666666599</v>
      </c>
      <c r="N1159" s="5">
        <v>-115</v>
      </c>
      <c r="O1159" s="5">
        <v>-199.091220745241</v>
      </c>
    </row>
    <row r="1160" spans="13:15" x14ac:dyDescent="0.25">
      <c r="M1160" s="5">
        <v>1976.5</v>
      </c>
      <c r="N1160" s="5">
        <v>-115</v>
      </c>
      <c r="O1160" s="5">
        <v>-207.960974369458</v>
      </c>
    </row>
    <row r="1161" spans="13:15" x14ac:dyDescent="0.25">
      <c r="M1161" s="5">
        <v>1976.5833333333301</v>
      </c>
      <c r="N1161" s="5">
        <v>-110</v>
      </c>
      <c r="O1161" s="5">
        <v>-204.60773460043799</v>
      </c>
    </row>
    <row r="1162" spans="13:15" x14ac:dyDescent="0.25">
      <c r="M1162" s="5">
        <v>1976.6666666666599</v>
      </c>
      <c r="N1162" s="5">
        <v>-103</v>
      </c>
      <c r="O1162" s="5">
        <v>-191.63000203343299</v>
      </c>
    </row>
    <row r="1163" spans="13:15" x14ac:dyDescent="0.25">
      <c r="M1163" s="5">
        <v>1976.75</v>
      </c>
      <c r="N1163" s="5">
        <v>-94</v>
      </c>
      <c r="O1163" s="5">
        <v>-176.43447844453701</v>
      </c>
    </row>
    <row r="1164" spans="13:15" x14ac:dyDescent="0.25">
      <c r="M1164" s="5">
        <v>1976.8333333333301</v>
      </c>
      <c r="N1164" s="5">
        <v>-92</v>
      </c>
      <c r="O1164" s="5">
        <v>-160.22287273854101</v>
      </c>
    </row>
    <row r="1165" spans="13:15" x14ac:dyDescent="0.25">
      <c r="M1165" s="5">
        <v>1976.9166666666599</v>
      </c>
      <c r="N1165" s="5">
        <v>-91</v>
      </c>
      <c r="O1165" s="5">
        <v>-137.749763978342</v>
      </c>
    </row>
    <row r="1166" spans="13:15" x14ac:dyDescent="0.25">
      <c r="M1166" s="5">
        <v>1977</v>
      </c>
      <c r="N1166" s="5">
        <v>-85</v>
      </c>
      <c r="O1166" s="5">
        <v>-101.403333567283</v>
      </c>
    </row>
    <row r="1167" spans="13:15" x14ac:dyDescent="0.25">
      <c r="M1167" s="5">
        <v>1977.0833333333301</v>
      </c>
      <c r="N1167" s="5">
        <v>-70</v>
      </c>
      <c r="O1167" s="5">
        <v>-49.9053910061075</v>
      </c>
    </row>
    <row r="1168" spans="13:15" x14ac:dyDescent="0.25">
      <c r="M1168" s="5">
        <v>1977.1666666666599</v>
      </c>
      <c r="N1168" s="5">
        <v>-69</v>
      </c>
      <c r="O1168" s="5">
        <v>-23.810013359918798</v>
      </c>
    </row>
    <row r="1169" spans="13:15" x14ac:dyDescent="0.25">
      <c r="M1169" s="5">
        <v>1977.25</v>
      </c>
      <c r="N1169" s="5">
        <v>-60</v>
      </c>
      <c r="O1169" s="5">
        <v>-42.594134632697603</v>
      </c>
    </row>
    <row r="1170" spans="13:15" x14ac:dyDescent="0.25">
      <c r="M1170" s="5">
        <v>1977.3333333333301</v>
      </c>
      <c r="N1170" s="5">
        <v>-60</v>
      </c>
      <c r="O1170" s="5">
        <v>-62.536596852744701</v>
      </c>
    </row>
    <row r="1171" spans="13:15" x14ac:dyDescent="0.25">
      <c r="M1171" s="5">
        <v>1977.4166666666599</v>
      </c>
      <c r="N1171" s="5">
        <v>-58</v>
      </c>
      <c r="O1171" s="5">
        <v>-65.069451729297</v>
      </c>
    </row>
    <row r="1172" spans="13:15" x14ac:dyDescent="0.25">
      <c r="M1172" s="5">
        <v>1977.5</v>
      </c>
      <c r="N1172" s="5">
        <v>-3</v>
      </c>
      <c r="O1172" s="5">
        <v>-28.973341891433801</v>
      </c>
    </row>
    <row r="1173" spans="13:15" x14ac:dyDescent="0.25">
      <c r="M1173" s="5">
        <v>1977.5833333333301</v>
      </c>
      <c r="N1173" s="5">
        <v>50</v>
      </c>
      <c r="O1173" s="5">
        <v>53.250694654845397</v>
      </c>
    </row>
    <row r="1174" spans="13:15" x14ac:dyDescent="0.25">
      <c r="M1174" s="5">
        <v>1977.6666666666599</v>
      </c>
      <c r="N1174" s="5">
        <v>50</v>
      </c>
      <c r="O1174" s="5">
        <v>87.504116631944498</v>
      </c>
    </row>
    <row r="1175" spans="13:15" x14ac:dyDescent="0.25">
      <c r="M1175" s="5">
        <v>1977.75</v>
      </c>
      <c r="N1175" s="5">
        <v>48</v>
      </c>
      <c r="O1175" s="5">
        <v>80.210480484951105</v>
      </c>
    </row>
    <row r="1176" spans="13:15" x14ac:dyDescent="0.25">
      <c r="M1176" s="5">
        <v>1977.8333333333301</v>
      </c>
      <c r="N1176" s="5">
        <v>48</v>
      </c>
      <c r="O1176" s="5">
        <v>46.943872076788097</v>
      </c>
    </row>
    <row r="1177" spans="13:15" x14ac:dyDescent="0.25">
      <c r="M1177" s="5">
        <v>1977.9166666666599</v>
      </c>
      <c r="N1177" s="5">
        <v>62</v>
      </c>
      <c r="O1177" s="5">
        <v>-0.78487391946995999</v>
      </c>
    </row>
    <row r="1178" spans="13:15" x14ac:dyDescent="0.25">
      <c r="M1178" s="5">
        <v>1978</v>
      </c>
      <c r="N1178" s="5">
        <v>62</v>
      </c>
      <c r="O1178" s="5">
        <v>-26.475522695537698</v>
      </c>
    </row>
    <row r="1179" spans="13:15" x14ac:dyDescent="0.25">
      <c r="M1179" s="5">
        <v>1978.0833333333301</v>
      </c>
      <c r="N1179" s="5">
        <v>18</v>
      </c>
      <c r="O1179" s="5">
        <v>-30.369211433601102</v>
      </c>
    </row>
    <row r="1180" spans="13:15" x14ac:dyDescent="0.25">
      <c r="M1180" s="5">
        <v>1978.1666666666599</v>
      </c>
      <c r="N1180" s="5">
        <v>-22</v>
      </c>
      <c r="O1180" s="5">
        <v>-36.963090170930101</v>
      </c>
    </row>
    <row r="1181" spans="13:15" x14ac:dyDescent="0.25">
      <c r="M1181" s="5">
        <v>1978.25</v>
      </c>
      <c r="N1181" s="5">
        <v>-34</v>
      </c>
      <c r="O1181" s="5">
        <v>-43.619601089950002</v>
      </c>
    </row>
    <row r="1182" spans="13:15" x14ac:dyDescent="0.25">
      <c r="M1182" s="5">
        <v>1978.3333333333301</v>
      </c>
      <c r="N1182" s="5">
        <v>-85</v>
      </c>
      <c r="O1182" s="5">
        <v>-65.928040158291594</v>
      </c>
    </row>
    <row r="1183" spans="13:15" x14ac:dyDescent="0.25">
      <c r="M1183" s="5">
        <v>1978.4166666666599</v>
      </c>
      <c r="N1183" s="5">
        <v>-91</v>
      </c>
      <c r="O1183" s="5">
        <v>-113.83143675039101</v>
      </c>
    </row>
    <row r="1184" spans="13:15" x14ac:dyDescent="0.25">
      <c r="M1184" s="5">
        <v>1978.5</v>
      </c>
      <c r="N1184" s="5">
        <v>-91</v>
      </c>
      <c r="O1184" s="5">
        <v>-151.456402039067</v>
      </c>
    </row>
    <row r="1185" spans="13:15" x14ac:dyDescent="0.25">
      <c r="M1185" s="5">
        <v>1978.5833333333301</v>
      </c>
      <c r="N1185" s="5">
        <v>-97</v>
      </c>
      <c r="O1185" s="5">
        <v>-170.01983605466299</v>
      </c>
    </row>
    <row r="1186" spans="13:15" x14ac:dyDescent="0.25">
      <c r="M1186" s="5">
        <v>1978.6666666666599</v>
      </c>
      <c r="N1186" s="5">
        <v>-97</v>
      </c>
      <c r="O1186" s="5">
        <v>-179.46083088403299</v>
      </c>
    </row>
    <row r="1187" spans="13:15" x14ac:dyDescent="0.25">
      <c r="M1187" s="5">
        <v>1978.75</v>
      </c>
      <c r="N1187" s="5">
        <v>-98</v>
      </c>
      <c r="O1187" s="5">
        <v>-185.46252281341401</v>
      </c>
    </row>
    <row r="1188" spans="13:15" x14ac:dyDescent="0.25">
      <c r="M1188" s="5">
        <v>1978.8333333333301</v>
      </c>
      <c r="N1188" s="5">
        <v>-99</v>
      </c>
      <c r="O1188" s="5">
        <v>-190.65920885998099</v>
      </c>
    </row>
    <row r="1189" spans="13:15" x14ac:dyDescent="0.25">
      <c r="M1189" s="5">
        <v>1978.9166666666599</v>
      </c>
      <c r="N1189" s="5">
        <v>-99</v>
      </c>
      <c r="O1189" s="5">
        <v>-193.594350157961</v>
      </c>
    </row>
    <row r="1190" spans="13:15" x14ac:dyDescent="0.25">
      <c r="M1190" s="5">
        <v>1979</v>
      </c>
      <c r="N1190" s="5">
        <v>-98</v>
      </c>
      <c r="O1190" s="5">
        <v>-189.83634846328999</v>
      </c>
    </row>
    <row r="1191" spans="13:15" x14ac:dyDescent="0.25">
      <c r="M1191" s="5">
        <v>1979.0833333333301</v>
      </c>
      <c r="N1191" s="5">
        <v>-68</v>
      </c>
      <c r="O1191" s="5">
        <v>-181.58419132046001</v>
      </c>
    </row>
    <row r="1192" spans="13:15" x14ac:dyDescent="0.25">
      <c r="M1192" s="5">
        <v>1979.1666666666599</v>
      </c>
      <c r="N1192" s="5">
        <v>-68</v>
      </c>
      <c r="O1192" s="5">
        <v>-175.077982328254</v>
      </c>
    </row>
    <row r="1193" spans="13:15" x14ac:dyDescent="0.25">
      <c r="M1193" s="5">
        <v>1979.25</v>
      </c>
      <c r="N1193" s="5">
        <v>-74</v>
      </c>
      <c r="O1193" s="5">
        <v>-171.52054122064601</v>
      </c>
    </row>
    <row r="1194" spans="13:15" x14ac:dyDescent="0.25">
      <c r="M1194" s="5">
        <v>1979.3333333333301</v>
      </c>
      <c r="N1194" s="5">
        <v>-84</v>
      </c>
      <c r="O1194" s="5">
        <v>-172.42773635024</v>
      </c>
    </row>
    <row r="1195" spans="13:15" x14ac:dyDescent="0.25">
      <c r="M1195" s="5">
        <v>1979.4166666666599</v>
      </c>
      <c r="N1195" s="5">
        <v>-137</v>
      </c>
      <c r="O1195" s="5">
        <v>-172.85726988485399</v>
      </c>
    </row>
    <row r="1196" spans="13:15" x14ac:dyDescent="0.25">
      <c r="M1196" s="5">
        <v>1979.5</v>
      </c>
      <c r="N1196" s="5">
        <v>-137</v>
      </c>
      <c r="O1196" s="5">
        <v>-158.37382526223399</v>
      </c>
    </row>
    <row r="1197" spans="13:15" x14ac:dyDescent="0.25">
      <c r="M1197" s="5">
        <v>1979.5833333333301</v>
      </c>
      <c r="N1197" s="5">
        <v>-85</v>
      </c>
      <c r="O1197" s="5">
        <v>-117.62009929918</v>
      </c>
    </row>
    <row r="1198" spans="13:15" x14ac:dyDescent="0.25">
      <c r="M1198" s="5">
        <v>1979.6666666666599</v>
      </c>
      <c r="N1198" s="5">
        <v>-74</v>
      </c>
      <c r="O1198" s="5">
        <v>-46.750707407451301</v>
      </c>
    </row>
    <row r="1199" spans="13:15" x14ac:dyDescent="0.25">
      <c r="M1199" s="5">
        <v>1979.75</v>
      </c>
      <c r="N1199" s="5">
        <v>-47</v>
      </c>
      <c r="O1199" s="5">
        <v>25.690907496701598</v>
      </c>
    </row>
    <row r="1200" spans="13:15" x14ac:dyDescent="0.25">
      <c r="M1200" s="5">
        <v>1979.8333333333301</v>
      </c>
      <c r="N1200" s="5">
        <v>-25</v>
      </c>
      <c r="O1200" s="5">
        <v>41.436729946853902</v>
      </c>
    </row>
    <row r="1201" spans="13:15" x14ac:dyDescent="0.25">
      <c r="M1201" s="5">
        <v>1979.9166666666599</v>
      </c>
      <c r="N1201" s="5">
        <v>2</v>
      </c>
      <c r="O1201" s="5">
        <v>42.806979442550897</v>
      </c>
    </row>
    <row r="1202" spans="13:15" x14ac:dyDescent="0.25">
      <c r="M1202" s="5">
        <v>1980</v>
      </c>
      <c r="N1202" s="5">
        <v>25</v>
      </c>
      <c r="O1202" s="5">
        <v>54.920522155243802</v>
      </c>
    </row>
    <row r="1203" spans="13:15" x14ac:dyDescent="0.25">
      <c r="M1203" s="5">
        <v>1980.0833333333301</v>
      </c>
      <c r="N1203" s="5">
        <v>25</v>
      </c>
      <c r="O1203" s="5">
        <v>58.447002087646503</v>
      </c>
    </row>
    <row r="1204" spans="13:15" x14ac:dyDescent="0.25">
      <c r="M1204" s="5">
        <v>1980.1666666666599</v>
      </c>
      <c r="N1204" s="5">
        <v>25</v>
      </c>
      <c r="O1204" s="5">
        <v>56.547646063389401</v>
      </c>
    </row>
    <row r="1205" spans="13:15" x14ac:dyDescent="0.25">
      <c r="M1205" s="5">
        <v>1980.25</v>
      </c>
      <c r="N1205" s="5">
        <v>52</v>
      </c>
      <c r="O1205" s="5">
        <v>69.574148561973502</v>
      </c>
    </row>
    <row r="1206" spans="13:15" x14ac:dyDescent="0.25">
      <c r="M1206" s="5">
        <v>1980.3333333333301</v>
      </c>
      <c r="N1206" s="5">
        <v>53</v>
      </c>
      <c r="O1206" s="5">
        <v>81.023968588586996</v>
      </c>
    </row>
    <row r="1207" spans="13:15" x14ac:dyDescent="0.25">
      <c r="M1207" s="5">
        <v>1980.4166666666599</v>
      </c>
      <c r="N1207" s="5">
        <v>62</v>
      </c>
      <c r="O1207" s="5">
        <v>75.7450620058965</v>
      </c>
    </row>
    <row r="1208" spans="13:15" x14ac:dyDescent="0.25">
      <c r="M1208" s="5">
        <v>1980.5</v>
      </c>
      <c r="N1208" s="5">
        <v>62</v>
      </c>
      <c r="O1208" s="5">
        <v>49.317948255431702</v>
      </c>
    </row>
    <row r="1209" spans="13:15" x14ac:dyDescent="0.25">
      <c r="M1209" s="5">
        <v>1980.5833333333301</v>
      </c>
      <c r="N1209" s="5">
        <v>-35</v>
      </c>
      <c r="O1209" s="5">
        <v>-15.7656141827543</v>
      </c>
    </row>
    <row r="1210" spans="13:15" x14ac:dyDescent="0.25">
      <c r="M1210" s="5">
        <v>1980.6666666666599</v>
      </c>
      <c r="N1210" s="5">
        <v>-47</v>
      </c>
      <c r="O1210" s="5">
        <v>-75.269537979854107</v>
      </c>
    </row>
    <row r="1211" spans="13:15" x14ac:dyDescent="0.25">
      <c r="M1211" s="5">
        <v>1980.75</v>
      </c>
      <c r="N1211" s="5">
        <v>-60</v>
      </c>
      <c r="O1211" s="5">
        <v>-109.61193690200901</v>
      </c>
    </row>
    <row r="1212" spans="13:15" x14ac:dyDescent="0.25">
      <c r="M1212" s="5">
        <v>1980.8333333333301</v>
      </c>
      <c r="N1212" s="5">
        <v>-90</v>
      </c>
      <c r="O1212" s="5">
        <v>-130.73517095916401</v>
      </c>
    </row>
    <row r="1213" spans="13:15" x14ac:dyDescent="0.25">
      <c r="M1213" s="5">
        <v>1980.9166666666599</v>
      </c>
      <c r="N1213" s="5">
        <v>-90</v>
      </c>
      <c r="O1213" s="5">
        <v>-135.70457685277</v>
      </c>
    </row>
    <row r="1214" spans="13:15" x14ac:dyDescent="0.25">
      <c r="M1214" s="5">
        <v>1981</v>
      </c>
      <c r="N1214" s="5">
        <v>-80</v>
      </c>
      <c r="O1214" s="5">
        <v>-128.85688363640401</v>
      </c>
    </row>
    <row r="1215" spans="13:15" x14ac:dyDescent="0.25">
      <c r="M1215" s="5">
        <v>1981.0833333333301</v>
      </c>
      <c r="N1215" s="5">
        <v>-61</v>
      </c>
      <c r="O1215" s="5">
        <v>-126.78704510229301</v>
      </c>
    </row>
    <row r="1216" spans="13:15" x14ac:dyDescent="0.25">
      <c r="M1216" s="5">
        <v>1981.1666666666599</v>
      </c>
      <c r="N1216" s="5">
        <v>-61</v>
      </c>
      <c r="O1216" s="5">
        <v>-135.09937710774801</v>
      </c>
    </row>
    <row r="1217" spans="13:15" x14ac:dyDescent="0.25">
      <c r="M1217" s="5">
        <v>1981.25</v>
      </c>
      <c r="N1217" s="5">
        <v>-84</v>
      </c>
      <c r="O1217" s="5">
        <v>-154.846412316613</v>
      </c>
    </row>
    <row r="1218" spans="13:15" x14ac:dyDescent="0.25">
      <c r="M1218" s="5">
        <v>1981.3333333333301</v>
      </c>
      <c r="N1218" s="5">
        <v>-105</v>
      </c>
      <c r="O1218" s="5">
        <v>-182.763709665438</v>
      </c>
    </row>
    <row r="1219" spans="13:15" x14ac:dyDescent="0.25">
      <c r="M1219" s="5">
        <v>1981.4166666666599</v>
      </c>
      <c r="N1219" s="5">
        <v>-112</v>
      </c>
      <c r="O1219" s="5">
        <v>-204.30528034848501</v>
      </c>
    </row>
    <row r="1220" spans="13:15" x14ac:dyDescent="0.25">
      <c r="M1220" s="5">
        <v>1981.5</v>
      </c>
      <c r="N1220" s="5">
        <v>-126</v>
      </c>
      <c r="O1220" s="5">
        <v>-214.469711005417</v>
      </c>
    </row>
    <row r="1221" spans="13:15" x14ac:dyDescent="0.25">
      <c r="M1221" s="5">
        <v>1981.5833333333301</v>
      </c>
      <c r="N1221" s="5">
        <v>-126</v>
      </c>
      <c r="O1221" s="5">
        <v>-214.475729749376</v>
      </c>
    </row>
    <row r="1222" spans="13:15" x14ac:dyDescent="0.25">
      <c r="M1222" s="5">
        <v>1981.6666666666599</v>
      </c>
      <c r="N1222" s="5">
        <v>-108</v>
      </c>
      <c r="O1222" s="5">
        <v>-205.331918025254</v>
      </c>
    </row>
    <row r="1223" spans="13:15" x14ac:dyDescent="0.25">
      <c r="M1223" s="5">
        <v>1981.75</v>
      </c>
      <c r="N1223" s="5">
        <v>-101</v>
      </c>
      <c r="O1223" s="5">
        <v>-191.05438023815401</v>
      </c>
    </row>
    <row r="1224" spans="13:15" x14ac:dyDescent="0.25">
      <c r="M1224" s="5">
        <v>1981.8333333333301</v>
      </c>
      <c r="N1224" s="5">
        <v>-101</v>
      </c>
      <c r="O1224" s="5">
        <v>-174.88564564993999</v>
      </c>
    </row>
    <row r="1225" spans="13:15" x14ac:dyDescent="0.25">
      <c r="M1225" s="5">
        <v>1981.9166666666599</v>
      </c>
      <c r="N1225" s="5">
        <v>-101</v>
      </c>
      <c r="O1225" s="5">
        <v>-149.73681329496699</v>
      </c>
    </row>
    <row r="1226" spans="13:15" x14ac:dyDescent="0.25">
      <c r="M1226" s="5">
        <v>1982</v>
      </c>
      <c r="N1226" s="5">
        <v>-69</v>
      </c>
      <c r="O1226" s="5">
        <v>-114.843152159824</v>
      </c>
    </row>
    <row r="1227" spans="13:15" x14ac:dyDescent="0.25">
      <c r="M1227" s="5">
        <v>1982.0833333333301</v>
      </c>
      <c r="N1227" s="5">
        <v>-55</v>
      </c>
      <c r="O1227" s="5">
        <v>-90.982129003116498</v>
      </c>
    </row>
    <row r="1228" spans="13:15" x14ac:dyDescent="0.25">
      <c r="M1228" s="5">
        <v>1982.1666666666599</v>
      </c>
      <c r="N1228" s="5">
        <v>-55</v>
      </c>
      <c r="O1228" s="5">
        <v>-84.752463037115007</v>
      </c>
    </row>
    <row r="1229" spans="13:15" x14ac:dyDescent="0.25">
      <c r="M1229" s="5">
        <v>1982.25</v>
      </c>
      <c r="N1229" s="5">
        <v>-66</v>
      </c>
      <c r="O1229" s="5">
        <v>-80.229382215693704</v>
      </c>
    </row>
    <row r="1230" spans="13:15" x14ac:dyDescent="0.25">
      <c r="M1230" s="5">
        <v>1982.3333333333301</v>
      </c>
      <c r="N1230" s="5">
        <v>-66</v>
      </c>
      <c r="O1230" s="5">
        <v>-51.761908426449402</v>
      </c>
    </row>
    <row r="1231" spans="13:15" x14ac:dyDescent="0.25">
      <c r="M1231" s="5">
        <v>1982.4166666666599</v>
      </c>
      <c r="N1231" s="5">
        <v>27</v>
      </c>
      <c r="O1231" s="5">
        <v>39.950637601474298</v>
      </c>
    </row>
    <row r="1232" spans="13:15" x14ac:dyDescent="0.25">
      <c r="M1232" s="5">
        <v>1982.5</v>
      </c>
      <c r="N1232" s="5">
        <v>72</v>
      </c>
      <c r="O1232" s="5">
        <v>107.89942278047</v>
      </c>
    </row>
    <row r="1233" spans="13:15" x14ac:dyDescent="0.25">
      <c r="M1233" s="5">
        <v>1982.5833333333301</v>
      </c>
      <c r="N1233" s="5">
        <v>103</v>
      </c>
      <c r="O1233" s="5">
        <v>138.279143507025</v>
      </c>
    </row>
    <row r="1234" spans="13:15" x14ac:dyDescent="0.25">
      <c r="M1234" s="5">
        <v>1982.6666666666599</v>
      </c>
      <c r="N1234" s="5">
        <v>103</v>
      </c>
      <c r="O1234" s="5">
        <v>146.47385625789599</v>
      </c>
    </row>
    <row r="1235" spans="13:15" x14ac:dyDescent="0.25">
      <c r="M1235" s="5">
        <v>1982.75</v>
      </c>
      <c r="N1235" s="5">
        <v>101</v>
      </c>
      <c r="O1235" s="5">
        <v>132.249720872235</v>
      </c>
    </row>
    <row r="1236" spans="13:15" x14ac:dyDescent="0.25">
      <c r="M1236" s="5">
        <v>1982.8333333333301</v>
      </c>
      <c r="N1236" s="5">
        <v>83</v>
      </c>
      <c r="O1236" s="5">
        <v>94.578137726096003</v>
      </c>
    </row>
    <row r="1237" spans="13:15" x14ac:dyDescent="0.25">
      <c r="M1237" s="5">
        <v>1982.9166666666599</v>
      </c>
      <c r="N1237" s="5">
        <v>50</v>
      </c>
      <c r="O1237" s="5">
        <v>44.881686026357798</v>
      </c>
    </row>
    <row r="1238" spans="13:15" x14ac:dyDescent="0.25">
      <c r="M1238" s="5">
        <v>1983</v>
      </c>
      <c r="N1238" s="5">
        <v>-39</v>
      </c>
      <c r="O1238" s="5">
        <v>-12.3568660750206</v>
      </c>
    </row>
    <row r="1239" spans="13:15" x14ac:dyDescent="0.25">
      <c r="M1239" s="5">
        <v>1983.0833333333301</v>
      </c>
      <c r="N1239" s="5">
        <v>-44</v>
      </c>
      <c r="O1239" s="5">
        <v>-52.001054357996303</v>
      </c>
    </row>
    <row r="1240" spans="13:15" x14ac:dyDescent="0.25">
      <c r="M1240" s="5">
        <v>1983.1666666666599</v>
      </c>
      <c r="N1240" s="5">
        <v>-44</v>
      </c>
      <c r="O1240" s="5">
        <v>-67.937960123147903</v>
      </c>
    </row>
    <row r="1241" spans="13:15" x14ac:dyDescent="0.25">
      <c r="M1241" s="5">
        <v>1983.25</v>
      </c>
      <c r="N1241" s="5">
        <v>-38</v>
      </c>
      <c r="O1241" s="5">
        <v>-80.854372556755607</v>
      </c>
    </row>
    <row r="1242" spans="13:15" x14ac:dyDescent="0.25">
      <c r="M1242" s="5">
        <v>1983.3333333333301</v>
      </c>
      <c r="N1242" s="5">
        <v>-38</v>
      </c>
      <c r="O1242" s="5">
        <v>-102.579554722335</v>
      </c>
    </row>
    <row r="1243" spans="13:15" x14ac:dyDescent="0.25">
      <c r="M1243" s="5">
        <v>1983.4166666666599</v>
      </c>
      <c r="N1243" s="5">
        <v>-114</v>
      </c>
      <c r="O1243" s="5">
        <v>-132.58512686432701</v>
      </c>
    </row>
    <row r="1244" spans="13:15" x14ac:dyDescent="0.25">
      <c r="M1244" s="5">
        <v>1983.5</v>
      </c>
      <c r="N1244" s="5">
        <v>-114</v>
      </c>
      <c r="O1244" s="5">
        <v>-161.312531671057</v>
      </c>
    </row>
    <row r="1245" spans="13:15" x14ac:dyDescent="0.25">
      <c r="M1245" s="5">
        <v>1983.5833333333301</v>
      </c>
      <c r="N1245" s="5">
        <v>-112</v>
      </c>
      <c r="O1245" s="5">
        <v>-177.93061204523201</v>
      </c>
    </row>
    <row r="1246" spans="13:15" x14ac:dyDescent="0.25">
      <c r="M1246" s="5">
        <v>1983.6666666666599</v>
      </c>
      <c r="N1246" s="5">
        <v>-107</v>
      </c>
      <c r="O1246" s="5">
        <v>-186.80699944274701</v>
      </c>
    </row>
    <row r="1247" spans="13:15" x14ac:dyDescent="0.25">
      <c r="M1247" s="5">
        <v>1983.75</v>
      </c>
      <c r="N1247" s="5">
        <v>-103</v>
      </c>
      <c r="O1247" s="5">
        <v>-196.03933582924299</v>
      </c>
    </row>
    <row r="1248" spans="13:15" x14ac:dyDescent="0.25">
      <c r="M1248" s="5">
        <v>1983.8333333333301</v>
      </c>
      <c r="N1248" s="5">
        <v>-101</v>
      </c>
      <c r="O1248" s="5">
        <v>-202.075519412457</v>
      </c>
    </row>
    <row r="1249" spans="13:15" x14ac:dyDescent="0.25">
      <c r="M1249" s="5">
        <v>1983.9166666666599</v>
      </c>
      <c r="N1249" s="5">
        <v>-101</v>
      </c>
      <c r="O1249" s="5">
        <v>-200.03769942151001</v>
      </c>
    </row>
    <row r="1250" spans="13:15" x14ac:dyDescent="0.25">
      <c r="M1250" s="5">
        <v>1984</v>
      </c>
      <c r="N1250" s="5">
        <v>-86</v>
      </c>
      <c r="O1250" s="5">
        <v>-190.564236187256</v>
      </c>
    </row>
    <row r="1251" spans="13:15" x14ac:dyDescent="0.25">
      <c r="M1251" s="5">
        <v>1984.0833333333301</v>
      </c>
      <c r="N1251" s="5">
        <v>-75</v>
      </c>
      <c r="O1251" s="5">
        <v>-176.90206659440301</v>
      </c>
    </row>
    <row r="1252" spans="13:15" x14ac:dyDescent="0.25">
      <c r="M1252" s="5">
        <v>1984.1666666666599</v>
      </c>
      <c r="N1252" s="5">
        <v>-70</v>
      </c>
      <c r="O1252" s="5">
        <v>-168.846284187972</v>
      </c>
    </row>
    <row r="1253" spans="13:15" x14ac:dyDescent="0.25">
      <c r="M1253" s="5">
        <v>1984.25</v>
      </c>
      <c r="N1253" s="5">
        <v>-70</v>
      </c>
      <c r="O1253" s="5">
        <v>-173.18192244720899</v>
      </c>
    </row>
    <row r="1254" spans="13:15" x14ac:dyDescent="0.25">
      <c r="M1254" s="5">
        <v>1984.3333333333301</v>
      </c>
      <c r="N1254" s="5">
        <v>-79</v>
      </c>
      <c r="O1254" s="5">
        <v>-179.11169095736199</v>
      </c>
    </row>
    <row r="1255" spans="13:15" x14ac:dyDescent="0.25">
      <c r="M1255" s="5">
        <v>1984.4166666666599</v>
      </c>
      <c r="N1255" s="5">
        <v>-82</v>
      </c>
      <c r="O1255" s="5">
        <v>-177.519352499609</v>
      </c>
    </row>
    <row r="1256" spans="13:15" x14ac:dyDescent="0.25">
      <c r="M1256" s="5">
        <v>1984.5</v>
      </c>
      <c r="N1256" s="5">
        <v>-82</v>
      </c>
      <c r="O1256" s="5">
        <v>-162.28674798874701</v>
      </c>
    </row>
    <row r="1257" spans="13:15" x14ac:dyDescent="0.25">
      <c r="M1257" s="5">
        <v>1984.5833333333301</v>
      </c>
      <c r="N1257" s="5">
        <v>-24</v>
      </c>
      <c r="O1257" s="5">
        <v>-121.203901405671</v>
      </c>
    </row>
    <row r="1258" spans="13:15" x14ac:dyDescent="0.25">
      <c r="M1258" s="5">
        <v>1984.6666666666599</v>
      </c>
      <c r="N1258" s="5">
        <v>15</v>
      </c>
      <c r="O1258" s="5">
        <v>-52.344463566168201</v>
      </c>
    </row>
    <row r="1259" spans="13:15" x14ac:dyDescent="0.25">
      <c r="M1259" s="5">
        <v>1984.75</v>
      </c>
      <c r="N1259" s="5">
        <v>36</v>
      </c>
      <c r="O1259" s="5">
        <v>8.4782865557212492</v>
      </c>
    </row>
    <row r="1260" spans="13:15" x14ac:dyDescent="0.25">
      <c r="M1260" s="5">
        <v>1984.8333333333301</v>
      </c>
      <c r="N1260" s="5">
        <v>41</v>
      </c>
      <c r="O1260" s="5">
        <v>45.998327902965201</v>
      </c>
    </row>
    <row r="1261" spans="13:15" x14ac:dyDescent="0.25">
      <c r="M1261" s="5">
        <v>1984.9166666666599</v>
      </c>
      <c r="N1261" s="5">
        <v>43</v>
      </c>
      <c r="O1261" s="5">
        <v>80.968076576299893</v>
      </c>
    </row>
    <row r="1262" spans="13:15" x14ac:dyDescent="0.25">
      <c r="M1262" s="5">
        <v>1985</v>
      </c>
      <c r="N1262" s="5">
        <v>43</v>
      </c>
      <c r="O1262" s="5">
        <v>108.467425349249</v>
      </c>
    </row>
    <row r="1263" spans="13:15" x14ac:dyDescent="0.25">
      <c r="M1263" s="5">
        <v>1985.0833333333301</v>
      </c>
      <c r="N1263" s="5">
        <v>42</v>
      </c>
      <c r="O1263" s="5">
        <v>124.093315559538</v>
      </c>
    </row>
    <row r="1264" spans="13:15" x14ac:dyDescent="0.25">
      <c r="M1264" s="5">
        <v>1985.1666666666599</v>
      </c>
      <c r="N1264" s="5">
        <v>42</v>
      </c>
      <c r="O1264" s="5">
        <v>124.58611852580999</v>
      </c>
    </row>
    <row r="1265" spans="13:15" x14ac:dyDescent="0.25">
      <c r="M1265" s="5">
        <v>1985.25</v>
      </c>
      <c r="N1265" s="5">
        <v>38</v>
      </c>
      <c r="O1265" s="5">
        <v>112.97356464411401</v>
      </c>
    </row>
    <row r="1266" spans="13:15" x14ac:dyDescent="0.25">
      <c r="M1266" s="5">
        <v>1985.3333333333301</v>
      </c>
      <c r="N1266" s="5">
        <v>38</v>
      </c>
      <c r="O1266" s="5">
        <v>90.861243889366193</v>
      </c>
    </row>
    <row r="1267" spans="13:15" x14ac:dyDescent="0.25">
      <c r="M1267" s="5">
        <v>1985.4166666666599</v>
      </c>
      <c r="N1267" s="5">
        <v>-15</v>
      </c>
      <c r="O1267" s="5">
        <v>36.234410809223299</v>
      </c>
    </row>
    <row r="1268" spans="13:15" x14ac:dyDescent="0.25">
      <c r="M1268" s="5">
        <v>1985.5</v>
      </c>
      <c r="N1268" s="5">
        <v>-24</v>
      </c>
      <c r="O1268" s="5">
        <v>-54.941119636012402</v>
      </c>
    </row>
    <row r="1269" spans="13:15" x14ac:dyDescent="0.25">
      <c r="M1269" s="5">
        <v>1985.5833333333301</v>
      </c>
      <c r="N1269" s="5">
        <v>-72</v>
      </c>
      <c r="O1269" s="5">
        <v>-96.215859236051102</v>
      </c>
    </row>
    <row r="1270" spans="13:15" x14ac:dyDescent="0.25">
      <c r="M1270" s="5">
        <v>1985.6666666666599</v>
      </c>
      <c r="N1270" s="5">
        <v>-76</v>
      </c>
      <c r="O1270" s="5">
        <v>-119.603331534977</v>
      </c>
    </row>
    <row r="1271" spans="13:15" x14ac:dyDescent="0.25">
      <c r="M1271" s="5">
        <v>1985.75</v>
      </c>
      <c r="N1271" s="5">
        <v>-87</v>
      </c>
      <c r="O1271" s="5">
        <v>-140.705970577926</v>
      </c>
    </row>
    <row r="1272" spans="13:15" x14ac:dyDescent="0.25">
      <c r="M1272" s="5">
        <v>1985.8333333333301</v>
      </c>
      <c r="N1272" s="5">
        <v>-87</v>
      </c>
      <c r="O1272" s="5">
        <v>-155.99884899313901</v>
      </c>
    </row>
    <row r="1273" spans="13:15" x14ac:dyDescent="0.25">
      <c r="M1273" s="5">
        <v>1985.9166666666599</v>
      </c>
      <c r="N1273" s="5">
        <v>-83</v>
      </c>
      <c r="O1273" s="5">
        <v>-163.434998107692</v>
      </c>
    </row>
    <row r="1274" spans="13:15" x14ac:dyDescent="0.25">
      <c r="M1274" s="5">
        <v>1986</v>
      </c>
      <c r="N1274" s="5">
        <v>-51</v>
      </c>
      <c r="O1274" s="5">
        <v>-160.15436310072599</v>
      </c>
    </row>
    <row r="1275" spans="13:15" x14ac:dyDescent="0.25">
      <c r="M1275" s="5">
        <v>1986.0833333333301</v>
      </c>
      <c r="N1275" s="5">
        <v>-51</v>
      </c>
      <c r="O1275" s="5">
        <v>-149.57980702895799</v>
      </c>
    </row>
    <row r="1276" spans="13:15" x14ac:dyDescent="0.25">
      <c r="M1276" s="5">
        <v>1986.1666666666599</v>
      </c>
      <c r="N1276" s="5">
        <v>-67</v>
      </c>
      <c r="O1276" s="5">
        <v>-147.18162576262199</v>
      </c>
    </row>
    <row r="1277" spans="13:15" x14ac:dyDescent="0.25">
      <c r="M1277" s="5">
        <v>1986.25</v>
      </c>
      <c r="N1277" s="5">
        <v>-83</v>
      </c>
      <c r="O1277" s="5">
        <v>-158.585384061708</v>
      </c>
    </row>
    <row r="1278" spans="13:15" x14ac:dyDescent="0.25">
      <c r="M1278" s="5">
        <v>1986.3333333333301</v>
      </c>
      <c r="N1278" s="5">
        <v>-91</v>
      </c>
      <c r="O1278" s="5">
        <v>-176.41414924839799</v>
      </c>
    </row>
    <row r="1279" spans="13:15" x14ac:dyDescent="0.25">
      <c r="M1279" s="5">
        <v>1986.4166666666599</v>
      </c>
      <c r="N1279" s="5">
        <v>-124</v>
      </c>
      <c r="O1279" s="5">
        <v>-191.26049437971901</v>
      </c>
    </row>
    <row r="1280" spans="13:15" x14ac:dyDescent="0.25">
      <c r="M1280" s="5">
        <v>1986.5</v>
      </c>
      <c r="N1280" s="5">
        <v>-124</v>
      </c>
      <c r="O1280" s="5">
        <v>-193.10225029568201</v>
      </c>
    </row>
    <row r="1281" spans="13:15" x14ac:dyDescent="0.25">
      <c r="M1281" s="5">
        <v>1986.5833333333301</v>
      </c>
      <c r="N1281" s="5">
        <v>-116</v>
      </c>
      <c r="O1281" s="5">
        <v>-179.080615019074</v>
      </c>
    </row>
    <row r="1282" spans="13:15" x14ac:dyDescent="0.25">
      <c r="M1282" s="5">
        <v>1986.6666666666599</v>
      </c>
      <c r="N1282" s="5">
        <v>-94</v>
      </c>
      <c r="O1282" s="5">
        <v>-156.38799671543001</v>
      </c>
    </row>
    <row r="1283" spans="13:15" x14ac:dyDescent="0.25">
      <c r="M1283" s="5">
        <v>1986.75</v>
      </c>
      <c r="N1283" s="5">
        <v>-94</v>
      </c>
      <c r="O1283" s="5">
        <v>-139.30459953629099</v>
      </c>
    </row>
    <row r="1284" spans="13:15" x14ac:dyDescent="0.25">
      <c r="M1284" s="5">
        <v>1986.8333333333301</v>
      </c>
      <c r="N1284" s="5">
        <v>-108</v>
      </c>
      <c r="O1284" s="5">
        <v>-136.027087239689</v>
      </c>
    </row>
    <row r="1285" spans="13:15" x14ac:dyDescent="0.25">
      <c r="M1285" s="5">
        <v>1986.9166666666599</v>
      </c>
      <c r="N1285" s="5">
        <v>-108</v>
      </c>
      <c r="O1285" s="5">
        <v>-138.46013581254701</v>
      </c>
    </row>
    <row r="1286" spans="13:15" x14ac:dyDescent="0.25">
      <c r="M1286" s="5">
        <v>1987</v>
      </c>
      <c r="N1286" s="5">
        <v>-87</v>
      </c>
      <c r="O1286" s="5">
        <v>-134.828173235642</v>
      </c>
    </row>
    <row r="1287" spans="13:15" x14ac:dyDescent="0.25">
      <c r="M1287" s="5">
        <v>1987.0833333333301</v>
      </c>
      <c r="N1287" s="5">
        <v>-87</v>
      </c>
      <c r="O1287" s="5">
        <v>-130.79269026486199</v>
      </c>
    </row>
    <row r="1288" spans="13:15" x14ac:dyDescent="0.25">
      <c r="M1288" s="5">
        <v>1987.1666666666599</v>
      </c>
      <c r="N1288" s="5">
        <v>-87</v>
      </c>
      <c r="O1288" s="5">
        <v>-131.46347756718001</v>
      </c>
    </row>
    <row r="1289" spans="13:15" x14ac:dyDescent="0.25">
      <c r="M1289" s="5">
        <v>1987.25</v>
      </c>
      <c r="N1289" s="5">
        <v>-52</v>
      </c>
      <c r="O1289" s="5">
        <v>-122.848231041475</v>
      </c>
    </row>
    <row r="1290" spans="13:15" x14ac:dyDescent="0.25">
      <c r="M1290" s="5">
        <v>1987.3333333333301</v>
      </c>
      <c r="N1290" s="5">
        <v>-28</v>
      </c>
      <c r="O1290" s="5">
        <v>-99.153236729037204</v>
      </c>
    </row>
    <row r="1291" spans="13:15" x14ac:dyDescent="0.25">
      <c r="M1291" s="5">
        <v>1987.4166666666599</v>
      </c>
      <c r="N1291" s="5">
        <v>-26</v>
      </c>
      <c r="O1291" s="5">
        <v>-63.1501905803255</v>
      </c>
    </row>
    <row r="1292" spans="13:15" x14ac:dyDescent="0.25">
      <c r="M1292" s="5">
        <v>1987.5</v>
      </c>
      <c r="N1292" s="5">
        <v>44</v>
      </c>
      <c r="O1292" s="5">
        <v>-0.29595169616850903</v>
      </c>
    </row>
    <row r="1293" spans="13:15" x14ac:dyDescent="0.25">
      <c r="M1293" s="5">
        <v>1987.5833333333301</v>
      </c>
      <c r="N1293" s="5">
        <v>115</v>
      </c>
      <c r="O1293" s="5">
        <v>56.849732108530297</v>
      </c>
    </row>
    <row r="1294" spans="13:15" x14ac:dyDescent="0.25">
      <c r="M1294" s="5">
        <v>1987.6666666666599</v>
      </c>
      <c r="N1294" s="5">
        <v>115</v>
      </c>
      <c r="O1294" s="5">
        <v>74.7989073606076</v>
      </c>
    </row>
    <row r="1295" spans="13:15" x14ac:dyDescent="0.25">
      <c r="M1295" s="5">
        <v>1987.75</v>
      </c>
      <c r="N1295" s="5">
        <v>103</v>
      </c>
      <c r="O1295" s="5">
        <v>65.628139931724803</v>
      </c>
    </row>
    <row r="1296" spans="13:15" x14ac:dyDescent="0.25">
      <c r="M1296" s="5">
        <v>1987.8333333333301</v>
      </c>
      <c r="N1296" s="5">
        <v>85</v>
      </c>
      <c r="O1296" s="5">
        <v>23.045391428188701</v>
      </c>
    </row>
    <row r="1297" spans="13:15" x14ac:dyDescent="0.25">
      <c r="M1297" s="5">
        <v>1987.9166666666599</v>
      </c>
      <c r="N1297" s="5">
        <v>7</v>
      </c>
      <c r="O1297" s="5">
        <v>-35.830358371129599</v>
      </c>
    </row>
    <row r="1298" spans="13:15" x14ac:dyDescent="0.25">
      <c r="M1298" s="5">
        <v>1988</v>
      </c>
      <c r="N1298" s="5">
        <v>-28</v>
      </c>
      <c r="O1298" s="5">
        <v>-52.177216906805803</v>
      </c>
    </row>
    <row r="1299" spans="13:15" x14ac:dyDescent="0.25">
      <c r="M1299" s="5">
        <v>1988.0833333333301</v>
      </c>
      <c r="N1299" s="5">
        <v>-37</v>
      </c>
      <c r="O1299" s="5">
        <v>-44.3919645534802</v>
      </c>
    </row>
    <row r="1300" spans="13:15" x14ac:dyDescent="0.25">
      <c r="M1300" s="5">
        <v>1988.1666666666599</v>
      </c>
      <c r="N1300" s="5">
        <v>-50</v>
      </c>
      <c r="O1300" s="5">
        <v>-21.662397397349601</v>
      </c>
    </row>
    <row r="1301" spans="13:15" x14ac:dyDescent="0.25">
      <c r="M1301" s="5">
        <v>1988.25</v>
      </c>
      <c r="N1301" s="5">
        <v>-50</v>
      </c>
      <c r="O1301" s="5">
        <v>1.77330836801631</v>
      </c>
    </row>
    <row r="1302" spans="13:15" x14ac:dyDescent="0.25">
      <c r="M1302" s="5">
        <v>1988.3333333333301</v>
      </c>
      <c r="N1302" s="5">
        <v>-50</v>
      </c>
      <c r="O1302" s="5">
        <v>-36.007279032998497</v>
      </c>
    </row>
    <row r="1303" spans="13:15" x14ac:dyDescent="0.25">
      <c r="M1303" s="5">
        <v>1988.4166666666599</v>
      </c>
      <c r="N1303" s="5">
        <v>-52</v>
      </c>
      <c r="O1303" s="5">
        <v>-104.12031764084399</v>
      </c>
    </row>
    <row r="1304" spans="13:15" x14ac:dyDescent="0.25">
      <c r="M1304" s="5">
        <v>1988.5</v>
      </c>
      <c r="N1304" s="5">
        <v>-90</v>
      </c>
      <c r="O1304" s="5">
        <v>-145.45632538828301</v>
      </c>
    </row>
    <row r="1305" spans="13:15" x14ac:dyDescent="0.25">
      <c r="M1305" s="5">
        <v>1988.5833333333301</v>
      </c>
      <c r="N1305" s="5">
        <v>-90</v>
      </c>
      <c r="O1305" s="5">
        <v>-163.45931147491601</v>
      </c>
    </row>
    <row r="1306" spans="13:15" x14ac:dyDescent="0.25">
      <c r="M1306" s="5">
        <v>1988.6666666666599</v>
      </c>
      <c r="N1306" s="5">
        <v>-87</v>
      </c>
      <c r="O1306" s="5">
        <v>-168.57982295313701</v>
      </c>
    </row>
    <row r="1307" spans="13:15" x14ac:dyDescent="0.25">
      <c r="M1307" s="5">
        <v>1988.75</v>
      </c>
      <c r="N1307" s="5">
        <v>-84</v>
      </c>
      <c r="O1307" s="5">
        <v>-169.82429609530999</v>
      </c>
    </row>
    <row r="1308" spans="13:15" x14ac:dyDescent="0.25">
      <c r="M1308" s="5">
        <v>1988.8333333333301</v>
      </c>
      <c r="N1308" s="5">
        <v>-84</v>
      </c>
      <c r="O1308" s="5">
        <v>-171.73524241451699</v>
      </c>
    </row>
    <row r="1309" spans="13:15" x14ac:dyDescent="0.25">
      <c r="M1309" s="5">
        <v>1988.9166666666599</v>
      </c>
      <c r="N1309" s="5">
        <v>-84</v>
      </c>
      <c r="O1309" s="5">
        <v>-166.600688196703</v>
      </c>
    </row>
    <row r="1310" spans="13:15" x14ac:dyDescent="0.25">
      <c r="M1310" s="5">
        <v>1989</v>
      </c>
      <c r="N1310" s="5">
        <v>-88</v>
      </c>
      <c r="O1310" s="5">
        <v>-151.432170414095</v>
      </c>
    </row>
    <row r="1311" spans="13:15" x14ac:dyDescent="0.25">
      <c r="M1311" s="5">
        <v>1989.0833333333301</v>
      </c>
      <c r="N1311" s="5">
        <v>-67</v>
      </c>
      <c r="O1311" s="5">
        <v>-140.83767410278301</v>
      </c>
    </row>
    <row r="1312" spans="13:15" x14ac:dyDescent="0.25">
      <c r="M1312" s="5">
        <v>1989.1666666666599</v>
      </c>
      <c r="N1312" s="5">
        <v>-71</v>
      </c>
      <c r="O1312" s="5">
        <v>-144.923586250456</v>
      </c>
    </row>
    <row r="1313" spans="13:15" x14ac:dyDescent="0.25">
      <c r="M1313" s="5">
        <v>1989.25</v>
      </c>
      <c r="N1313" s="5">
        <v>-71</v>
      </c>
      <c r="O1313" s="5">
        <v>-158.44150468194599</v>
      </c>
    </row>
    <row r="1314" spans="13:15" x14ac:dyDescent="0.25">
      <c r="M1314" s="5">
        <v>1989.3333333333301</v>
      </c>
      <c r="N1314" s="5">
        <v>-97</v>
      </c>
      <c r="O1314" s="5">
        <v>-174.123495967265</v>
      </c>
    </row>
    <row r="1315" spans="13:15" x14ac:dyDescent="0.25">
      <c r="M1315" s="5">
        <v>1989.4166666666599</v>
      </c>
      <c r="N1315" s="5">
        <v>-97</v>
      </c>
      <c r="O1315" s="5">
        <v>-182.949452484343</v>
      </c>
    </row>
    <row r="1316" spans="13:15" x14ac:dyDescent="0.25">
      <c r="M1316" s="5">
        <v>1989.5</v>
      </c>
      <c r="N1316" s="5">
        <v>-88</v>
      </c>
      <c r="O1316" s="5">
        <v>-182.56889142255801</v>
      </c>
    </row>
    <row r="1317" spans="13:15" x14ac:dyDescent="0.25">
      <c r="M1317" s="5">
        <v>1989.5833333333301</v>
      </c>
      <c r="N1317" s="5">
        <v>-72</v>
      </c>
      <c r="O1317" s="5">
        <v>-174.780518973238</v>
      </c>
    </row>
    <row r="1318" spans="13:15" x14ac:dyDescent="0.25">
      <c r="M1318" s="5">
        <v>1989.6666666666599</v>
      </c>
      <c r="N1318" s="5">
        <v>-71</v>
      </c>
      <c r="O1318" s="5">
        <v>-159.133540451638</v>
      </c>
    </row>
    <row r="1319" spans="13:15" x14ac:dyDescent="0.25">
      <c r="M1319" s="5">
        <v>1989.75</v>
      </c>
      <c r="N1319" s="5">
        <v>-66</v>
      </c>
      <c r="O1319" s="5">
        <v>-138.70268146730899</v>
      </c>
    </row>
    <row r="1320" spans="13:15" x14ac:dyDescent="0.25">
      <c r="M1320" s="5">
        <v>1989.8333333333301</v>
      </c>
      <c r="N1320" s="5">
        <v>-33</v>
      </c>
      <c r="O1320" s="5">
        <v>-114.997930601482</v>
      </c>
    </row>
    <row r="1321" spans="13:15" x14ac:dyDescent="0.25">
      <c r="M1321" s="5">
        <v>1989.9166666666599</v>
      </c>
      <c r="N1321" s="5">
        <v>-33</v>
      </c>
      <c r="O1321" s="5">
        <v>-73.762107089725504</v>
      </c>
    </row>
    <row r="1322" spans="13:15" x14ac:dyDescent="0.25">
      <c r="M1322" s="5">
        <v>1990</v>
      </c>
      <c r="N1322" s="5">
        <v>-16</v>
      </c>
      <c r="O1322" s="5">
        <v>-14.753438279861999</v>
      </c>
    </row>
    <row r="1323" spans="13:15" x14ac:dyDescent="0.25">
      <c r="M1323" s="5">
        <v>1990.0833333333301</v>
      </c>
      <c r="N1323" s="5">
        <v>-16</v>
      </c>
      <c r="O1323" s="5">
        <v>26.3387147965501</v>
      </c>
    </row>
    <row r="1324" spans="13:15" x14ac:dyDescent="0.25">
      <c r="M1324" s="5">
        <v>1990.1666666666599</v>
      </c>
      <c r="N1324" s="5">
        <v>1</v>
      </c>
      <c r="O1324" s="5">
        <v>53.629247819478799</v>
      </c>
    </row>
    <row r="1325" spans="13:15" x14ac:dyDescent="0.25">
      <c r="M1325" s="5">
        <v>1990.25</v>
      </c>
      <c r="N1325" s="5">
        <v>51</v>
      </c>
      <c r="O1325" s="5">
        <v>78.136741556917201</v>
      </c>
    </row>
    <row r="1326" spans="13:15" x14ac:dyDescent="0.25">
      <c r="M1326" s="5">
        <v>1990.3333333333301</v>
      </c>
      <c r="N1326" s="5">
        <v>51</v>
      </c>
      <c r="O1326" s="5">
        <v>90.065389882697403</v>
      </c>
    </row>
    <row r="1327" spans="13:15" x14ac:dyDescent="0.25">
      <c r="M1327" s="5">
        <v>1990.4166666666599</v>
      </c>
      <c r="N1327" s="5">
        <v>51</v>
      </c>
      <c r="O1327" s="5">
        <v>89.443372625784093</v>
      </c>
    </row>
    <row r="1328" spans="13:15" x14ac:dyDescent="0.25">
      <c r="M1328" s="5">
        <v>1990.5</v>
      </c>
      <c r="N1328" s="5">
        <v>20</v>
      </c>
      <c r="O1328" s="5">
        <v>76.815011726151397</v>
      </c>
    </row>
    <row r="1329" spans="13:15" x14ac:dyDescent="0.25">
      <c r="M1329" s="5">
        <v>1990.5833333333301</v>
      </c>
      <c r="N1329" s="5">
        <v>-42</v>
      </c>
      <c r="O1329" s="5">
        <v>62.746601473492497</v>
      </c>
    </row>
    <row r="1330" spans="13:15" x14ac:dyDescent="0.25">
      <c r="M1330" s="5">
        <v>1990.6666666666599</v>
      </c>
      <c r="N1330" s="5">
        <v>-49</v>
      </c>
      <c r="O1330" s="5">
        <v>53.051032693934502</v>
      </c>
    </row>
    <row r="1331" spans="13:15" x14ac:dyDescent="0.25">
      <c r="M1331" s="5">
        <v>1990.75</v>
      </c>
      <c r="N1331" s="5">
        <v>-62</v>
      </c>
      <c r="O1331" s="5">
        <v>12.1599874669432</v>
      </c>
    </row>
    <row r="1332" spans="13:15" x14ac:dyDescent="0.25">
      <c r="M1332" s="5">
        <v>1990.8333333333301</v>
      </c>
      <c r="N1332" s="5">
        <v>-90</v>
      </c>
      <c r="O1332" s="5">
        <v>-62.930144429090802</v>
      </c>
    </row>
    <row r="1333" spans="13:15" x14ac:dyDescent="0.25">
      <c r="M1333" s="5">
        <v>1990.9166666666599</v>
      </c>
      <c r="N1333" s="5">
        <v>-90</v>
      </c>
      <c r="O1333" s="5">
        <v>-103.441361845115</v>
      </c>
    </row>
    <row r="1334" spans="13:15" x14ac:dyDescent="0.25">
      <c r="M1334" s="5">
        <v>1991</v>
      </c>
      <c r="N1334" s="5">
        <v>-86</v>
      </c>
      <c r="O1334" s="5">
        <v>-126.258630287804</v>
      </c>
    </row>
    <row r="1335" spans="13:15" x14ac:dyDescent="0.25">
      <c r="M1335" s="5">
        <v>1991.0833333333301</v>
      </c>
      <c r="N1335" s="5">
        <v>-86</v>
      </c>
      <c r="O1335" s="5">
        <v>-145.06610564898401</v>
      </c>
    </row>
    <row r="1336" spans="13:15" x14ac:dyDescent="0.25">
      <c r="M1336" s="5">
        <v>1991.1666666666599</v>
      </c>
      <c r="N1336" s="5">
        <v>-82</v>
      </c>
      <c r="O1336" s="5">
        <v>-163.01898276996599</v>
      </c>
    </row>
    <row r="1337" spans="13:15" x14ac:dyDescent="0.25">
      <c r="M1337" s="5">
        <v>1991.25</v>
      </c>
      <c r="N1337" s="5">
        <v>-87</v>
      </c>
      <c r="O1337" s="5">
        <v>-181.47991880651699</v>
      </c>
    </row>
    <row r="1338" spans="13:15" x14ac:dyDescent="0.25">
      <c r="M1338" s="5">
        <v>1991.3333333333301</v>
      </c>
      <c r="N1338" s="5">
        <v>-87</v>
      </c>
      <c r="O1338" s="5">
        <v>-194.87041206957301</v>
      </c>
    </row>
    <row r="1339" spans="13:15" x14ac:dyDescent="0.25">
      <c r="M1339" s="5">
        <v>1991.4166666666599</v>
      </c>
      <c r="N1339" s="5">
        <v>-101</v>
      </c>
      <c r="O1339" s="5">
        <v>-199.78109149911899</v>
      </c>
    </row>
    <row r="1340" spans="13:15" x14ac:dyDescent="0.25">
      <c r="M1340" s="5">
        <v>1991.5</v>
      </c>
      <c r="N1340" s="5">
        <v>-101</v>
      </c>
      <c r="O1340" s="5">
        <v>-197.32395133540101</v>
      </c>
    </row>
    <row r="1341" spans="13:15" x14ac:dyDescent="0.25">
      <c r="M1341" s="5">
        <v>1991.5833333333301</v>
      </c>
      <c r="N1341" s="5">
        <v>-82</v>
      </c>
      <c r="O1341" s="5">
        <v>-187.75329117122999</v>
      </c>
    </row>
    <row r="1342" spans="13:15" x14ac:dyDescent="0.25">
      <c r="M1342" s="5">
        <v>1991.6666666666599</v>
      </c>
      <c r="N1342" s="5">
        <v>-64</v>
      </c>
      <c r="O1342" s="5">
        <v>-176.26459862261501</v>
      </c>
    </row>
    <row r="1343" spans="13:15" x14ac:dyDescent="0.25">
      <c r="M1343" s="5">
        <v>1991.75</v>
      </c>
      <c r="N1343" s="5">
        <v>-64</v>
      </c>
      <c r="O1343" s="5">
        <v>-172.94984677930799</v>
      </c>
    </row>
    <row r="1344" spans="13:15" x14ac:dyDescent="0.25">
      <c r="M1344" s="5">
        <v>1991.8333333333301</v>
      </c>
      <c r="N1344" s="5">
        <v>-64</v>
      </c>
      <c r="O1344" s="5">
        <v>-171.230347487057</v>
      </c>
    </row>
    <row r="1345" spans="13:15" x14ac:dyDescent="0.25">
      <c r="M1345" s="5">
        <v>1991.9166666666599</v>
      </c>
      <c r="N1345" s="5">
        <v>-66</v>
      </c>
      <c r="O1345" s="5">
        <v>-159.77477826857299</v>
      </c>
    </row>
    <row r="1346" spans="13:15" x14ac:dyDescent="0.25">
      <c r="M1346" s="5">
        <v>1992</v>
      </c>
      <c r="N1346" s="5">
        <v>-57</v>
      </c>
      <c r="O1346" s="5">
        <v>-139.92313025773299</v>
      </c>
    </row>
    <row r="1347" spans="13:15" x14ac:dyDescent="0.25">
      <c r="M1347" s="5">
        <v>1992.0833333333301</v>
      </c>
      <c r="N1347" s="5">
        <v>-66</v>
      </c>
      <c r="O1347" s="5">
        <v>-116.85788899465901</v>
      </c>
    </row>
    <row r="1348" spans="13:15" x14ac:dyDescent="0.25">
      <c r="M1348" s="5">
        <v>1992.1666666666599</v>
      </c>
      <c r="N1348" s="5">
        <v>-25</v>
      </c>
      <c r="O1348" s="5">
        <v>-94.199741043824901</v>
      </c>
    </row>
    <row r="1349" spans="13:15" x14ac:dyDescent="0.25">
      <c r="M1349" s="5">
        <v>1992.25</v>
      </c>
      <c r="N1349" s="5">
        <v>-56</v>
      </c>
      <c r="O1349" s="5">
        <v>-68.973354173963799</v>
      </c>
    </row>
    <row r="1350" spans="13:15" x14ac:dyDescent="0.25">
      <c r="M1350" s="5">
        <v>1992.3333333333301</v>
      </c>
      <c r="N1350" s="5">
        <v>-42</v>
      </c>
      <c r="O1350" s="5">
        <v>-23.702388026881501</v>
      </c>
    </row>
    <row r="1351" spans="13:15" x14ac:dyDescent="0.25">
      <c r="M1351" s="5">
        <v>1992.4166666666599</v>
      </c>
      <c r="N1351" s="5">
        <v>-42</v>
      </c>
      <c r="O1351" s="5">
        <v>29.223948365262899</v>
      </c>
    </row>
    <row r="1352" spans="13:15" x14ac:dyDescent="0.25">
      <c r="M1352" s="5">
        <v>1992.5</v>
      </c>
      <c r="N1352" s="5">
        <v>2</v>
      </c>
      <c r="O1352" s="5">
        <v>51.692469411718299</v>
      </c>
    </row>
    <row r="1353" spans="13:15" x14ac:dyDescent="0.25">
      <c r="M1353" s="5">
        <v>1992.5833333333301</v>
      </c>
      <c r="N1353" s="5">
        <v>46</v>
      </c>
      <c r="O1353" s="5">
        <v>67.745823987341396</v>
      </c>
    </row>
    <row r="1354" spans="13:15" x14ac:dyDescent="0.25">
      <c r="M1354" s="5">
        <v>1992.6666666666599</v>
      </c>
      <c r="N1354" s="5">
        <v>60</v>
      </c>
      <c r="O1354" s="5">
        <v>72.848569228425902</v>
      </c>
    </row>
    <row r="1355" spans="13:15" x14ac:dyDescent="0.25">
      <c r="M1355" s="5">
        <v>1992.75</v>
      </c>
      <c r="N1355" s="5">
        <v>66</v>
      </c>
      <c r="O1355" s="5">
        <v>53.987282977662701</v>
      </c>
    </row>
    <row r="1356" spans="13:15" x14ac:dyDescent="0.25">
      <c r="M1356" s="5">
        <v>1992.8333333333301</v>
      </c>
      <c r="N1356" s="5">
        <v>66</v>
      </c>
      <c r="O1356" s="5">
        <v>26.793445739094999</v>
      </c>
    </row>
    <row r="1357" spans="13:15" x14ac:dyDescent="0.25">
      <c r="M1357" s="5">
        <v>1992.9166666666599</v>
      </c>
      <c r="N1357" s="5">
        <v>75</v>
      </c>
      <c r="O1357" s="5">
        <v>16.891458778177299</v>
      </c>
    </row>
    <row r="1358" spans="13:15" x14ac:dyDescent="0.25">
      <c r="M1358" s="5">
        <v>1993</v>
      </c>
      <c r="N1358" s="5">
        <v>75</v>
      </c>
      <c r="O1358" s="5">
        <v>28.617657410234902</v>
      </c>
    </row>
    <row r="1359" spans="13:15" x14ac:dyDescent="0.25">
      <c r="M1359" s="5">
        <v>1993.0833333333301</v>
      </c>
      <c r="N1359" s="5">
        <v>-6</v>
      </c>
      <c r="O1359" s="5">
        <v>45.151075179297003</v>
      </c>
    </row>
    <row r="1360" spans="13:15" x14ac:dyDescent="0.25">
      <c r="M1360" s="5">
        <v>1993.1666666666599</v>
      </c>
      <c r="N1360" s="5">
        <v>-7</v>
      </c>
      <c r="O1360" s="5">
        <v>27.5026052877189</v>
      </c>
    </row>
    <row r="1361" spans="13:15" x14ac:dyDescent="0.25">
      <c r="M1361" s="5">
        <v>1993.25</v>
      </c>
      <c r="N1361" s="5">
        <v>-51</v>
      </c>
      <c r="O1361" s="5">
        <v>-56.322491182207202</v>
      </c>
    </row>
    <row r="1362" spans="13:15" x14ac:dyDescent="0.25">
      <c r="M1362" s="5">
        <v>1993.3333333333301</v>
      </c>
      <c r="N1362" s="5">
        <v>-85</v>
      </c>
      <c r="O1362" s="5">
        <v>-129.06943682388101</v>
      </c>
    </row>
    <row r="1363" spans="13:15" x14ac:dyDescent="0.25">
      <c r="M1363" s="5">
        <v>1993.4166666666599</v>
      </c>
      <c r="N1363" s="5">
        <v>-118</v>
      </c>
      <c r="O1363" s="5">
        <v>-172.800858699038</v>
      </c>
    </row>
    <row r="1364" spans="13:15" x14ac:dyDescent="0.25">
      <c r="M1364" s="5">
        <v>1993.5</v>
      </c>
      <c r="N1364" s="5">
        <v>-118</v>
      </c>
      <c r="O1364" s="5">
        <v>-192.505655161953</v>
      </c>
    </row>
    <row r="1365" spans="13:15" x14ac:dyDescent="0.25">
      <c r="M1365" s="5">
        <v>1993.5833333333301</v>
      </c>
      <c r="N1365" s="5">
        <v>-87</v>
      </c>
      <c r="O1365" s="5">
        <v>-195.701015119109</v>
      </c>
    </row>
    <row r="1366" spans="13:15" x14ac:dyDescent="0.25">
      <c r="M1366" s="5">
        <v>1993.6666666666599</v>
      </c>
      <c r="N1366" s="5">
        <v>-73</v>
      </c>
      <c r="O1366" s="5">
        <v>-194.156243553899</v>
      </c>
    </row>
    <row r="1367" spans="13:15" x14ac:dyDescent="0.25">
      <c r="M1367" s="5">
        <v>1993.75</v>
      </c>
      <c r="N1367" s="5">
        <v>-73</v>
      </c>
      <c r="O1367" s="5">
        <v>-195.314592549238</v>
      </c>
    </row>
    <row r="1368" spans="13:15" x14ac:dyDescent="0.25">
      <c r="M1368" s="5">
        <v>1993.8333333333301</v>
      </c>
      <c r="N1368" s="5">
        <v>-101</v>
      </c>
      <c r="O1368" s="5">
        <v>-195.49956967352699</v>
      </c>
    </row>
    <row r="1369" spans="13:15" x14ac:dyDescent="0.25">
      <c r="M1369" s="5">
        <v>1993.9166666666599</v>
      </c>
      <c r="N1369" s="5">
        <v>-101</v>
      </c>
      <c r="O1369" s="5">
        <v>-189.56601543639599</v>
      </c>
    </row>
    <row r="1370" spans="13:15" x14ac:dyDescent="0.25">
      <c r="M1370" s="5">
        <v>1994</v>
      </c>
      <c r="N1370" s="5">
        <v>-97</v>
      </c>
      <c r="O1370" s="5">
        <v>-173.95028407273799</v>
      </c>
    </row>
    <row r="1371" spans="13:15" x14ac:dyDescent="0.25">
      <c r="M1371" s="5">
        <v>1994.0833333333301</v>
      </c>
      <c r="N1371" s="5">
        <v>-81</v>
      </c>
      <c r="O1371" s="5">
        <v>-151.388583970366</v>
      </c>
    </row>
    <row r="1372" spans="13:15" x14ac:dyDescent="0.25">
      <c r="M1372" s="5">
        <v>1994.1666666666599</v>
      </c>
      <c r="N1372" s="5">
        <v>-81</v>
      </c>
      <c r="O1372" s="5">
        <v>-135.605851876516</v>
      </c>
    </row>
    <row r="1373" spans="13:15" x14ac:dyDescent="0.25">
      <c r="M1373" s="5">
        <v>1994.25</v>
      </c>
      <c r="N1373" s="5">
        <v>-113</v>
      </c>
      <c r="O1373" s="5">
        <v>-125.813645942561</v>
      </c>
    </row>
    <row r="1374" spans="13:15" x14ac:dyDescent="0.25">
      <c r="M1374" s="5">
        <v>1994.3333333333301</v>
      </c>
      <c r="N1374" s="5">
        <v>-116</v>
      </c>
      <c r="O1374" s="5">
        <v>-109.68576729669699</v>
      </c>
    </row>
    <row r="1375" spans="13:15" x14ac:dyDescent="0.25">
      <c r="M1375" s="5">
        <v>1994.4166666666599</v>
      </c>
      <c r="N1375" s="5">
        <v>-113</v>
      </c>
      <c r="O1375" s="5">
        <v>-84.490482506337898</v>
      </c>
    </row>
    <row r="1376" spans="13:15" x14ac:dyDescent="0.25">
      <c r="M1376" s="5">
        <v>1994.5</v>
      </c>
      <c r="N1376" s="5">
        <v>-16</v>
      </c>
      <c r="O1376" s="5">
        <v>-32.501967124702702</v>
      </c>
    </row>
    <row r="1377" spans="13:15" x14ac:dyDescent="0.25">
      <c r="M1377" s="5">
        <v>1994.5833333333301</v>
      </c>
      <c r="N1377" s="5">
        <v>42</v>
      </c>
      <c r="O1377" s="5">
        <v>50.667249141986602</v>
      </c>
    </row>
    <row r="1378" spans="13:15" x14ac:dyDescent="0.25">
      <c r="M1378" s="5">
        <v>1994.6666666666599</v>
      </c>
      <c r="N1378" s="5">
        <v>65</v>
      </c>
      <c r="O1378" s="5">
        <v>84.889566342253204</v>
      </c>
    </row>
    <row r="1379" spans="13:15" x14ac:dyDescent="0.25">
      <c r="M1379" s="5">
        <v>1994.75</v>
      </c>
      <c r="N1379" s="5">
        <v>66</v>
      </c>
      <c r="O1379" s="5">
        <v>86.883922197541096</v>
      </c>
    </row>
    <row r="1380" spans="13:15" x14ac:dyDescent="0.25">
      <c r="M1380" s="5">
        <v>1994.8333333333301</v>
      </c>
      <c r="N1380" s="5">
        <v>80</v>
      </c>
      <c r="O1380" s="5">
        <v>68.327579653194604</v>
      </c>
    </row>
    <row r="1381" spans="13:15" x14ac:dyDescent="0.25">
      <c r="M1381" s="5">
        <v>1994.9166666666599</v>
      </c>
      <c r="N1381" s="5">
        <v>66</v>
      </c>
      <c r="O1381" s="5">
        <v>34.260993864296999</v>
      </c>
    </row>
    <row r="1382" spans="13:15" x14ac:dyDescent="0.25">
      <c r="M1382" s="5">
        <v>1995</v>
      </c>
      <c r="N1382" s="5">
        <v>40</v>
      </c>
      <c r="O1382" s="5">
        <v>6.3971085253450397</v>
      </c>
    </row>
    <row r="1383" spans="13:15" x14ac:dyDescent="0.25">
      <c r="M1383" s="5">
        <v>1995.0833333333301</v>
      </c>
      <c r="N1383" s="5">
        <v>-15</v>
      </c>
      <c r="O1383" s="5">
        <v>-13.093379086243999</v>
      </c>
    </row>
    <row r="1384" spans="13:15" x14ac:dyDescent="0.25">
      <c r="M1384" s="5">
        <v>1995.1666666666599</v>
      </c>
      <c r="N1384" s="5">
        <v>-15</v>
      </c>
      <c r="O1384" s="5">
        <v>-39.993917804739901</v>
      </c>
    </row>
    <row r="1385" spans="13:15" x14ac:dyDescent="0.25">
      <c r="M1385" s="5">
        <v>1995.25</v>
      </c>
      <c r="N1385" s="5">
        <v>-5</v>
      </c>
      <c r="O1385" s="5">
        <v>-69.506902394577907</v>
      </c>
    </row>
    <row r="1386" spans="13:15" x14ac:dyDescent="0.25">
      <c r="M1386" s="5">
        <v>1995.3333333333301</v>
      </c>
      <c r="N1386" s="5">
        <v>-5</v>
      </c>
      <c r="O1386" s="5">
        <v>-109.90436177410599</v>
      </c>
    </row>
    <row r="1387" spans="13:15" x14ac:dyDescent="0.25">
      <c r="M1387" s="5">
        <v>1995.4166666666599</v>
      </c>
      <c r="N1387" s="5">
        <v>-65</v>
      </c>
      <c r="O1387" s="5">
        <v>-149.719012605182</v>
      </c>
    </row>
    <row r="1388" spans="13:15" x14ac:dyDescent="0.25">
      <c r="M1388" s="5">
        <v>1995.5</v>
      </c>
      <c r="N1388" s="5">
        <v>-71</v>
      </c>
      <c r="O1388" s="5">
        <v>-169.17037505793201</v>
      </c>
    </row>
    <row r="1389" spans="13:15" x14ac:dyDescent="0.25">
      <c r="M1389" s="5">
        <v>1995.5833333333301</v>
      </c>
      <c r="N1389" s="5">
        <v>-116</v>
      </c>
      <c r="O1389" s="5">
        <v>-171.05350287036299</v>
      </c>
    </row>
    <row r="1390" spans="13:15" x14ac:dyDescent="0.25">
      <c r="M1390" s="5">
        <v>1995.6666666666599</v>
      </c>
      <c r="N1390" s="5">
        <v>-116</v>
      </c>
      <c r="O1390" s="5">
        <v>-166.126584888568</v>
      </c>
    </row>
    <row r="1391" spans="13:15" x14ac:dyDescent="0.25">
      <c r="M1391" s="5">
        <v>1995.75</v>
      </c>
      <c r="N1391" s="5">
        <v>-98</v>
      </c>
      <c r="O1391" s="5">
        <v>-164.56483779107199</v>
      </c>
    </row>
    <row r="1392" spans="13:15" x14ac:dyDescent="0.25">
      <c r="M1392" s="5">
        <v>1995.8333333333301</v>
      </c>
      <c r="N1392" s="5">
        <v>-95</v>
      </c>
      <c r="O1392" s="5">
        <v>-170.86856757313001</v>
      </c>
    </row>
    <row r="1393" spans="13:15" x14ac:dyDescent="0.25">
      <c r="M1393" s="5">
        <v>1995.9166666666599</v>
      </c>
      <c r="N1393" s="5">
        <v>-88</v>
      </c>
      <c r="O1393" s="5">
        <v>-175.625670340981</v>
      </c>
    </row>
    <row r="1394" spans="13:15" x14ac:dyDescent="0.25">
      <c r="M1394" s="5">
        <v>1996</v>
      </c>
      <c r="N1394" s="5">
        <v>-88</v>
      </c>
      <c r="O1394" s="5">
        <v>-170.216222058602</v>
      </c>
    </row>
    <row r="1395" spans="13:15" x14ac:dyDescent="0.25">
      <c r="M1395" s="5">
        <v>1996.0833333333301</v>
      </c>
      <c r="N1395" s="5">
        <v>-88</v>
      </c>
      <c r="O1395" s="5">
        <v>-160.53374180298599</v>
      </c>
    </row>
    <row r="1396" spans="13:15" x14ac:dyDescent="0.25">
      <c r="M1396" s="5">
        <v>1996.1666666666599</v>
      </c>
      <c r="N1396" s="5">
        <v>-88</v>
      </c>
      <c r="O1396" s="5">
        <v>-154.72601266056901</v>
      </c>
    </row>
    <row r="1397" spans="13:15" x14ac:dyDescent="0.25">
      <c r="M1397" s="5">
        <v>1996.25</v>
      </c>
      <c r="N1397" s="5">
        <v>-92</v>
      </c>
      <c r="O1397" s="5">
        <v>-151.68540059873101</v>
      </c>
    </row>
    <row r="1398" spans="13:15" x14ac:dyDescent="0.25">
      <c r="M1398" s="5">
        <v>1996.3333333333301</v>
      </c>
      <c r="N1398" s="5">
        <v>-92</v>
      </c>
      <c r="O1398" s="5">
        <v>-151.548102732464</v>
      </c>
    </row>
    <row r="1399" spans="13:15" x14ac:dyDescent="0.25">
      <c r="M1399" s="5">
        <v>1996.4166666666599</v>
      </c>
      <c r="N1399" s="5">
        <v>-93</v>
      </c>
      <c r="O1399" s="5">
        <v>-147.79916317951501</v>
      </c>
    </row>
    <row r="1400" spans="13:15" x14ac:dyDescent="0.25">
      <c r="M1400" s="5">
        <v>1996.5</v>
      </c>
      <c r="N1400" s="5">
        <v>-93</v>
      </c>
      <c r="O1400" s="5">
        <v>-128.05937434594699</v>
      </c>
    </row>
    <row r="1401" spans="13:15" x14ac:dyDescent="0.25">
      <c r="M1401" s="5">
        <v>1996.5833333333301</v>
      </c>
      <c r="N1401" s="5">
        <v>-49</v>
      </c>
      <c r="O1401" s="5">
        <v>-88.956480067244101</v>
      </c>
    </row>
    <row r="1402" spans="13:15" x14ac:dyDescent="0.25">
      <c r="M1402" s="5">
        <v>1996.6666666666599</v>
      </c>
      <c r="N1402" s="5">
        <v>-7</v>
      </c>
      <c r="O1402" s="5">
        <v>-35.936548610891002</v>
      </c>
    </row>
    <row r="1403" spans="13:15" x14ac:dyDescent="0.25">
      <c r="M1403" s="5">
        <v>1996.75</v>
      </c>
      <c r="N1403" s="5">
        <v>-6</v>
      </c>
      <c r="O1403" s="5">
        <v>11.045179496478299</v>
      </c>
    </row>
    <row r="1404" spans="13:15" x14ac:dyDescent="0.25">
      <c r="M1404" s="5">
        <v>1996.8333333333301</v>
      </c>
      <c r="N1404" s="5">
        <v>2</v>
      </c>
      <c r="O1404" s="5">
        <v>25.935936343565999</v>
      </c>
    </row>
    <row r="1405" spans="13:15" x14ac:dyDescent="0.25">
      <c r="M1405" s="5">
        <v>1996.9166666666599</v>
      </c>
      <c r="N1405" s="5">
        <v>2</v>
      </c>
      <c r="O1405" s="5">
        <v>42.390829503989899</v>
      </c>
    </row>
    <row r="1406" spans="13:15" x14ac:dyDescent="0.25">
      <c r="M1406" s="5">
        <v>1997</v>
      </c>
      <c r="N1406" s="5">
        <v>29</v>
      </c>
      <c r="O1406" s="5">
        <v>65.2190745832538</v>
      </c>
    </row>
    <row r="1407" spans="13:15" x14ac:dyDescent="0.25">
      <c r="M1407" s="5">
        <v>1997.0833333333301</v>
      </c>
      <c r="N1407" s="5">
        <v>1</v>
      </c>
      <c r="O1407" s="5">
        <v>71.820165347765297</v>
      </c>
    </row>
    <row r="1408" spans="13:15" x14ac:dyDescent="0.25">
      <c r="M1408" s="5">
        <v>1997.1666666666599</v>
      </c>
      <c r="N1408" s="5">
        <v>29</v>
      </c>
      <c r="O1408" s="5">
        <v>69.321048518786796</v>
      </c>
    </row>
    <row r="1409" spans="13:15" x14ac:dyDescent="0.25">
      <c r="M1409" s="5">
        <v>1997.25</v>
      </c>
      <c r="N1409" s="5">
        <v>24</v>
      </c>
      <c r="O1409" s="5">
        <v>62.393715757424303</v>
      </c>
    </row>
    <row r="1410" spans="13:15" x14ac:dyDescent="0.25">
      <c r="M1410" s="5">
        <v>1997.3333333333301</v>
      </c>
      <c r="N1410" s="5">
        <v>46</v>
      </c>
      <c r="O1410" s="5">
        <v>19.4493448700619</v>
      </c>
    </row>
    <row r="1411" spans="13:15" x14ac:dyDescent="0.25">
      <c r="M1411" s="5">
        <v>1997.4166666666599</v>
      </c>
      <c r="N1411" s="5">
        <v>24</v>
      </c>
      <c r="O1411" s="5">
        <v>-71.508557752529597</v>
      </c>
    </row>
    <row r="1412" spans="13:15" x14ac:dyDescent="0.25">
      <c r="M1412" s="5">
        <v>1997.5</v>
      </c>
      <c r="N1412" s="5">
        <v>-6</v>
      </c>
      <c r="O1412" s="5">
        <v>-129.31188053428099</v>
      </c>
    </row>
    <row r="1413" spans="13:15" x14ac:dyDescent="0.25">
      <c r="M1413" s="5">
        <v>1997.5833333333301</v>
      </c>
      <c r="N1413" s="5">
        <v>-120</v>
      </c>
      <c r="O1413" s="5">
        <v>-158.25319799003799</v>
      </c>
    </row>
    <row r="1414" spans="13:15" x14ac:dyDescent="0.25">
      <c r="M1414" s="5">
        <v>1997.6666666666599</v>
      </c>
      <c r="N1414" s="5">
        <v>-120</v>
      </c>
      <c r="O1414" s="5">
        <v>-168.98283318378799</v>
      </c>
    </row>
    <row r="1415" spans="13:15" x14ac:dyDescent="0.25">
      <c r="M1415" s="5">
        <v>1997.75</v>
      </c>
      <c r="N1415" s="5">
        <v>-120</v>
      </c>
      <c r="O1415" s="5">
        <v>-174.53869397832099</v>
      </c>
    </row>
    <row r="1416" spans="13:15" x14ac:dyDescent="0.25">
      <c r="M1416" s="5">
        <v>1997.8333333333301</v>
      </c>
      <c r="N1416" s="5">
        <v>-103</v>
      </c>
      <c r="O1416" s="5">
        <v>-181.26925478132301</v>
      </c>
    </row>
    <row r="1417" spans="13:15" x14ac:dyDescent="0.25">
      <c r="M1417" s="5">
        <v>1997.9166666666599</v>
      </c>
      <c r="N1417" s="5">
        <v>-93</v>
      </c>
      <c r="O1417" s="5">
        <v>-183.09645965869501</v>
      </c>
    </row>
    <row r="1418" spans="13:15" x14ac:dyDescent="0.25">
      <c r="M1418" s="5">
        <v>1998</v>
      </c>
      <c r="N1418" s="5">
        <v>-63</v>
      </c>
      <c r="O1418" s="5">
        <v>-178.761012022209</v>
      </c>
    </row>
    <row r="1419" spans="13:15" x14ac:dyDescent="0.25">
      <c r="M1419" s="5">
        <v>1998.0833333333301</v>
      </c>
      <c r="N1419" s="5">
        <v>-63</v>
      </c>
      <c r="O1419" s="5">
        <v>-172.73632354124399</v>
      </c>
    </row>
    <row r="1420" spans="13:15" x14ac:dyDescent="0.25">
      <c r="M1420" s="5">
        <v>1998.1666666666599</v>
      </c>
      <c r="N1420" s="5">
        <v>-59</v>
      </c>
      <c r="O1420" s="5">
        <v>-166.03468065814801</v>
      </c>
    </row>
    <row r="1421" spans="13:15" x14ac:dyDescent="0.25">
      <c r="M1421" s="5">
        <v>1998.25</v>
      </c>
      <c r="N1421" s="5">
        <v>-69</v>
      </c>
      <c r="O1421" s="5">
        <v>-162.47253676182899</v>
      </c>
    </row>
    <row r="1422" spans="13:15" x14ac:dyDescent="0.25">
      <c r="M1422" s="5">
        <v>1998.3333333333301</v>
      </c>
      <c r="N1422" s="5">
        <v>-98</v>
      </c>
      <c r="O1422" s="5">
        <v>-163.89724075810801</v>
      </c>
    </row>
    <row r="1423" spans="13:15" x14ac:dyDescent="0.25">
      <c r="M1423" s="5">
        <v>1998.4166666666599</v>
      </c>
      <c r="N1423" s="5">
        <v>-98</v>
      </c>
      <c r="O1423" s="5">
        <v>-161.363471025287</v>
      </c>
    </row>
    <row r="1424" spans="13:15" x14ac:dyDescent="0.25">
      <c r="M1424" s="5">
        <v>1998.5</v>
      </c>
      <c r="N1424" s="5">
        <v>-60</v>
      </c>
      <c r="O1424" s="5">
        <v>-148.16498926007699</v>
      </c>
    </row>
    <row r="1425" spans="13:15" x14ac:dyDescent="0.25">
      <c r="M1425" s="5">
        <v>1998.5833333333301</v>
      </c>
      <c r="N1425" s="5">
        <v>-38</v>
      </c>
      <c r="O1425" s="5">
        <v>-119.81581264979199</v>
      </c>
    </row>
    <row r="1426" spans="13:15" x14ac:dyDescent="0.25">
      <c r="M1426" s="5">
        <v>1998.6666666666599</v>
      </c>
      <c r="N1426" s="5">
        <v>-18</v>
      </c>
      <c r="O1426" s="5">
        <v>-77.303427032235604</v>
      </c>
    </row>
    <row r="1427" spans="13:15" x14ac:dyDescent="0.25">
      <c r="M1427" s="5">
        <v>1998.75</v>
      </c>
      <c r="N1427" s="5">
        <v>0</v>
      </c>
      <c r="O1427" s="5">
        <v>-51.390790790553702</v>
      </c>
    </row>
    <row r="1428" spans="13:15" x14ac:dyDescent="0.25">
      <c r="M1428" s="5">
        <v>1998.8333333333301</v>
      </c>
      <c r="N1428" s="5">
        <v>5</v>
      </c>
      <c r="O1428" s="5">
        <v>-48.010701928519097</v>
      </c>
    </row>
    <row r="1429" spans="13:15" x14ac:dyDescent="0.25">
      <c r="M1429" s="5">
        <v>1998.9166666666599</v>
      </c>
      <c r="N1429" s="5">
        <v>41</v>
      </c>
      <c r="O1429" s="5">
        <v>-27.994984129844799</v>
      </c>
    </row>
    <row r="1430" spans="13:15" x14ac:dyDescent="0.25">
      <c r="M1430" s="5">
        <v>1999</v>
      </c>
      <c r="N1430" s="5">
        <v>41</v>
      </c>
      <c r="O1430" s="5">
        <v>0.121603594903148</v>
      </c>
    </row>
    <row r="1431" spans="13:15" x14ac:dyDescent="0.25">
      <c r="M1431" s="5">
        <v>1999.0833333333301</v>
      </c>
      <c r="N1431" s="5">
        <v>41</v>
      </c>
      <c r="O1431" s="5">
        <v>3.0743868834741801</v>
      </c>
    </row>
    <row r="1432" spans="13:15" x14ac:dyDescent="0.25">
      <c r="M1432" s="5">
        <v>1999.1666666666599</v>
      </c>
      <c r="N1432" s="5">
        <v>35</v>
      </c>
      <c r="O1432" s="5">
        <v>-7.3209347313656004</v>
      </c>
    </row>
    <row r="1433" spans="13:15" x14ac:dyDescent="0.25">
      <c r="M1433" s="5">
        <v>1999.25</v>
      </c>
      <c r="N1433" s="5">
        <v>27</v>
      </c>
      <c r="O1433" s="5">
        <v>-15.943050468229901</v>
      </c>
    </row>
    <row r="1434" spans="13:15" x14ac:dyDescent="0.25">
      <c r="M1434" s="5">
        <v>1999.3333333333301</v>
      </c>
      <c r="N1434" s="5">
        <v>9</v>
      </c>
      <c r="O1434" s="5">
        <v>-14.138582403508799</v>
      </c>
    </row>
    <row r="1435" spans="13:15" x14ac:dyDescent="0.25">
      <c r="M1435" s="5">
        <v>1999.4166666666599</v>
      </c>
      <c r="N1435" s="5">
        <v>-43</v>
      </c>
      <c r="O1435" s="5">
        <v>-12.462325920589301</v>
      </c>
    </row>
    <row r="1436" spans="13:15" x14ac:dyDescent="0.25">
      <c r="M1436" s="5">
        <v>1999.5</v>
      </c>
      <c r="N1436" s="5">
        <v>-74</v>
      </c>
      <c r="O1436" s="5">
        <v>-34.782161214177897</v>
      </c>
    </row>
    <row r="1437" spans="13:15" x14ac:dyDescent="0.25">
      <c r="M1437" s="5">
        <v>1999.5833333333301</v>
      </c>
      <c r="N1437" s="5">
        <v>-74</v>
      </c>
      <c r="O1437" s="5">
        <v>-60.486654102604902</v>
      </c>
    </row>
    <row r="1438" spans="13:15" x14ac:dyDescent="0.25">
      <c r="M1438" s="5">
        <v>1999.6666666666599</v>
      </c>
      <c r="N1438" s="5">
        <v>-65</v>
      </c>
      <c r="O1438" s="5">
        <v>-79.319014180726498</v>
      </c>
    </row>
    <row r="1439" spans="13:15" x14ac:dyDescent="0.25">
      <c r="M1439" s="5">
        <v>1999.75</v>
      </c>
      <c r="N1439" s="5">
        <v>-65</v>
      </c>
      <c r="O1439" s="5">
        <v>-103.62465496324999</v>
      </c>
    </row>
    <row r="1440" spans="13:15" x14ac:dyDescent="0.25">
      <c r="M1440" s="5">
        <v>1999.8333333333301</v>
      </c>
      <c r="N1440" s="5">
        <v>-70</v>
      </c>
      <c r="O1440" s="5">
        <v>-122.176124797737</v>
      </c>
    </row>
    <row r="1441" spans="13:15" x14ac:dyDescent="0.25">
      <c r="M1441" s="5">
        <v>1999.9166666666599</v>
      </c>
      <c r="N1441" s="5">
        <v>-70</v>
      </c>
      <c r="O1441" s="5">
        <v>-127.772921639749</v>
      </c>
    </row>
    <row r="1442" spans="13:15" x14ac:dyDescent="0.25">
      <c r="M1442" s="5">
        <v>2000</v>
      </c>
      <c r="N1442" s="5">
        <v>-72</v>
      </c>
      <c r="O1442" s="5">
        <v>-129.599028678324</v>
      </c>
    </row>
    <row r="1443" spans="13:15" x14ac:dyDescent="0.25">
      <c r="M1443" s="5">
        <v>2000.0833333333301</v>
      </c>
      <c r="N1443" s="5">
        <v>-78</v>
      </c>
      <c r="O1443" s="5">
        <v>-132.107223499111</v>
      </c>
    </row>
    <row r="1444" spans="13:15" x14ac:dyDescent="0.25">
      <c r="M1444" s="5">
        <v>2000.1666666666599</v>
      </c>
      <c r="N1444" s="5">
        <v>-78</v>
      </c>
      <c r="O1444" s="5">
        <v>-139.449588630026</v>
      </c>
    </row>
    <row r="1445" spans="13:15" x14ac:dyDescent="0.25">
      <c r="M1445" s="5">
        <v>2000.25</v>
      </c>
      <c r="N1445" s="5">
        <v>-78</v>
      </c>
      <c r="O1445" s="5">
        <v>-155.97608913337899</v>
      </c>
    </row>
    <row r="1446" spans="13:15" x14ac:dyDescent="0.25">
      <c r="M1446" s="5">
        <v>2000.3333333333301</v>
      </c>
      <c r="N1446" s="5">
        <v>-90</v>
      </c>
      <c r="O1446" s="5">
        <v>-173.96598752858799</v>
      </c>
    </row>
    <row r="1447" spans="13:15" x14ac:dyDescent="0.25">
      <c r="M1447" s="5">
        <v>2000.4166666666599</v>
      </c>
      <c r="N1447" s="5">
        <v>-122</v>
      </c>
      <c r="O1447" s="5">
        <v>-187.51711550441601</v>
      </c>
    </row>
    <row r="1448" spans="13:15" x14ac:dyDescent="0.25">
      <c r="M1448" s="5">
        <v>2000.5</v>
      </c>
      <c r="N1448" s="5">
        <v>-122</v>
      </c>
      <c r="O1448" s="5">
        <v>-193.07268232152299</v>
      </c>
    </row>
    <row r="1449" spans="13:15" x14ac:dyDescent="0.25">
      <c r="M1449" s="5">
        <v>2000.5833333333301</v>
      </c>
      <c r="N1449" s="5">
        <v>-122</v>
      </c>
      <c r="O1449" s="5">
        <v>-186.85901156764999</v>
      </c>
    </row>
    <row r="1450" spans="13:15" x14ac:dyDescent="0.25">
      <c r="M1450" s="5">
        <v>2000.6666666666599</v>
      </c>
      <c r="N1450" s="5">
        <v>-118</v>
      </c>
      <c r="O1450" s="5">
        <v>-173.48224699291401</v>
      </c>
    </row>
    <row r="1451" spans="13:15" x14ac:dyDescent="0.25">
      <c r="M1451" s="5">
        <v>2000.75</v>
      </c>
      <c r="N1451" s="5">
        <v>-106</v>
      </c>
      <c r="O1451" s="5">
        <v>-163.58284884342501</v>
      </c>
    </row>
    <row r="1452" spans="13:15" x14ac:dyDescent="0.25">
      <c r="M1452" s="5">
        <v>2000.8333333333301</v>
      </c>
      <c r="N1452" s="5">
        <v>-92</v>
      </c>
      <c r="O1452" s="5">
        <v>-153.03216446091599</v>
      </c>
    </row>
    <row r="1453" spans="13:15" x14ac:dyDescent="0.25">
      <c r="M1453" s="5">
        <v>2000.9166666666599</v>
      </c>
      <c r="N1453" s="5">
        <v>-65</v>
      </c>
      <c r="O1453" s="5">
        <v>-130.206023348879</v>
      </c>
    </row>
    <row r="1454" spans="13:15" x14ac:dyDescent="0.25">
      <c r="M1454" s="5">
        <v>2001</v>
      </c>
      <c r="N1454" s="5">
        <v>-37</v>
      </c>
      <c r="O1454" s="5">
        <v>-90.470710904588799</v>
      </c>
    </row>
    <row r="1455" spans="13:15" x14ac:dyDescent="0.25">
      <c r="M1455" s="5">
        <v>2001.0833333333301</v>
      </c>
      <c r="N1455" s="5">
        <v>-37</v>
      </c>
      <c r="O1455" s="5">
        <v>-43.833540973114502</v>
      </c>
    </row>
    <row r="1456" spans="13:15" x14ac:dyDescent="0.25">
      <c r="M1456" s="5">
        <v>2001.1666666666599</v>
      </c>
      <c r="N1456" s="5">
        <v>-37</v>
      </c>
      <c r="O1456" s="5">
        <v>-32.5859729978269</v>
      </c>
    </row>
    <row r="1457" spans="13:15" x14ac:dyDescent="0.25">
      <c r="M1457" s="5">
        <v>2001.25</v>
      </c>
      <c r="N1457" s="5">
        <v>-47</v>
      </c>
      <c r="O1457" s="5">
        <v>-54.321218157919503</v>
      </c>
    </row>
    <row r="1458" spans="13:15" x14ac:dyDescent="0.25">
      <c r="M1458" s="5">
        <v>2001.3333333333301</v>
      </c>
      <c r="N1458" s="5">
        <v>-47</v>
      </c>
      <c r="O1458" s="5">
        <v>-63.402876720639298</v>
      </c>
    </row>
    <row r="1459" spans="13:15" x14ac:dyDescent="0.25">
      <c r="M1459" s="5">
        <v>2001.4166666666599</v>
      </c>
      <c r="N1459" s="5">
        <v>-72</v>
      </c>
      <c r="O1459" s="5">
        <v>-55.940829876666299</v>
      </c>
    </row>
    <row r="1460" spans="13:15" x14ac:dyDescent="0.25">
      <c r="M1460" s="5">
        <v>2001.5</v>
      </c>
      <c r="N1460" s="5">
        <v>-72</v>
      </c>
      <c r="O1460" s="5">
        <v>-32.658102494834701</v>
      </c>
    </row>
    <row r="1461" spans="13:15" x14ac:dyDescent="0.25">
      <c r="M1461" s="5">
        <v>2001.5833333333301</v>
      </c>
      <c r="N1461" s="5">
        <v>-26</v>
      </c>
      <c r="O1461" s="5">
        <v>10.0667263854487</v>
      </c>
    </row>
    <row r="1462" spans="13:15" x14ac:dyDescent="0.25">
      <c r="M1462" s="5">
        <v>2001.6666666666599</v>
      </c>
      <c r="N1462" s="5">
        <v>1</v>
      </c>
      <c r="O1462" s="5">
        <v>20.502622544274701</v>
      </c>
    </row>
    <row r="1463" spans="13:15" x14ac:dyDescent="0.25">
      <c r="M1463" s="5">
        <v>2001.75</v>
      </c>
      <c r="N1463" s="5">
        <v>20</v>
      </c>
      <c r="O1463" s="5">
        <v>-17.278357887161</v>
      </c>
    </row>
    <row r="1464" spans="13:15" x14ac:dyDescent="0.25">
      <c r="M1464" s="5">
        <v>2001.8333333333301</v>
      </c>
      <c r="N1464" s="5">
        <v>9</v>
      </c>
      <c r="O1464" s="5">
        <v>-54.389206504345097</v>
      </c>
    </row>
    <row r="1465" spans="13:15" x14ac:dyDescent="0.25">
      <c r="M1465" s="5">
        <v>2001.9166666666599</v>
      </c>
      <c r="N1465" s="5">
        <v>20</v>
      </c>
      <c r="O1465" s="5">
        <v>-72.877399837627806</v>
      </c>
    </row>
    <row r="1466" spans="13:15" x14ac:dyDescent="0.25">
      <c r="M1466" s="5">
        <v>2002</v>
      </c>
      <c r="N1466" s="5">
        <v>17</v>
      </c>
      <c r="O1466" s="5">
        <v>-75.701645057223004</v>
      </c>
    </row>
    <row r="1467" spans="13:15" x14ac:dyDescent="0.25">
      <c r="M1467" s="5">
        <v>2002.0833333333301</v>
      </c>
      <c r="N1467" s="5">
        <v>32</v>
      </c>
      <c r="O1467" s="5">
        <v>-70.420501626628905</v>
      </c>
    </row>
    <row r="1468" spans="13:15" x14ac:dyDescent="0.25">
      <c r="M1468" s="5">
        <v>2002.1666666666599</v>
      </c>
      <c r="N1468" s="5">
        <v>32</v>
      </c>
      <c r="O1468" s="5">
        <v>-73.782141019188799</v>
      </c>
    </row>
    <row r="1469" spans="13:15" x14ac:dyDescent="0.25">
      <c r="M1469" s="5">
        <v>2002.25</v>
      </c>
      <c r="N1469" s="5">
        <v>32</v>
      </c>
      <c r="O1469" s="5">
        <v>-84.187410680370405</v>
      </c>
    </row>
    <row r="1470" spans="13:15" x14ac:dyDescent="0.25">
      <c r="M1470" s="5">
        <v>2002.3333333333301</v>
      </c>
      <c r="N1470" s="5">
        <v>-39</v>
      </c>
      <c r="O1470" s="5">
        <v>-101.56725827967399</v>
      </c>
    </row>
    <row r="1471" spans="13:15" x14ac:dyDescent="0.25">
      <c r="M1471" s="5">
        <v>2002.4166666666599</v>
      </c>
      <c r="N1471" s="5">
        <v>-63</v>
      </c>
      <c r="O1471" s="5">
        <v>-128.58261032749101</v>
      </c>
    </row>
    <row r="1472" spans="13:15" x14ac:dyDescent="0.25">
      <c r="M1472" s="5">
        <v>2002.5</v>
      </c>
      <c r="N1472" s="5">
        <v>-63</v>
      </c>
      <c r="O1472" s="5">
        <v>-145.77391136021799</v>
      </c>
    </row>
    <row r="1473" spans="13:15" x14ac:dyDescent="0.25">
      <c r="M1473" s="5">
        <v>2002.5833333333301</v>
      </c>
      <c r="N1473" s="5">
        <v>-63</v>
      </c>
      <c r="O1473" s="5">
        <v>-147.47407072860901</v>
      </c>
    </row>
    <row r="1474" spans="13:15" x14ac:dyDescent="0.25">
      <c r="M1474" s="5">
        <v>2002.6666666666599</v>
      </c>
      <c r="N1474" s="5">
        <v>-72</v>
      </c>
      <c r="O1474" s="5">
        <v>-148.82015414204801</v>
      </c>
    </row>
    <row r="1475" spans="13:15" x14ac:dyDescent="0.25">
      <c r="M1475" s="5">
        <v>2002.75</v>
      </c>
      <c r="N1475" s="5">
        <v>-88</v>
      </c>
      <c r="O1475" s="5">
        <v>-159.80809716698201</v>
      </c>
    </row>
    <row r="1476" spans="13:15" x14ac:dyDescent="0.25">
      <c r="M1476" s="5">
        <v>2002.8333333333301</v>
      </c>
      <c r="N1476" s="5">
        <v>-88</v>
      </c>
      <c r="O1476" s="5">
        <v>-174.31178792034899</v>
      </c>
    </row>
    <row r="1477" spans="13:15" x14ac:dyDescent="0.25">
      <c r="M1477" s="5">
        <v>2002.9166666666599</v>
      </c>
      <c r="N1477" s="5">
        <v>-82</v>
      </c>
      <c r="O1477" s="5">
        <v>-182.646479149481</v>
      </c>
    </row>
    <row r="1478" spans="13:15" x14ac:dyDescent="0.25">
      <c r="M1478" s="5">
        <v>2003</v>
      </c>
      <c r="N1478" s="5">
        <v>-61</v>
      </c>
      <c r="O1478" s="5">
        <v>-178.91644823890601</v>
      </c>
    </row>
    <row r="1479" spans="13:15" x14ac:dyDescent="0.25">
      <c r="M1479" s="5">
        <v>2003.0833333333301</v>
      </c>
      <c r="N1479" s="5">
        <v>-61</v>
      </c>
      <c r="O1479" s="5">
        <v>-167.61206307924701</v>
      </c>
    </row>
    <row r="1480" spans="13:15" x14ac:dyDescent="0.25">
      <c r="M1480" s="5">
        <v>2003.1666666666599</v>
      </c>
      <c r="N1480" s="5">
        <v>-72</v>
      </c>
      <c r="O1480" s="5">
        <v>-160.72918410448901</v>
      </c>
    </row>
    <row r="1481" spans="13:15" x14ac:dyDescent="0.25">
      <c r="M1481" s="5">
        <v>2003.25</v>
      </c>
      <c r="N1481" s="5">
        <v>-72</v>
      </c>
      <c r="O1481" s="5">
        <v>-160.20054728770799</v>
      </c>
    </row>
    <row r="1482" spans="13:15" x14ac:dyDescent="0.25">
      <c r="M1482" s="5">
        <v>2003.3333333333301</v>
      </c>
      <c r="N1482" s="5">
        <v>-77</v>
      </c>
      <c r="O1482" s="5">
        <v>-162.511066440213</v>
      </c>
    </row>
    <row r="1483" spans="13:15" x14ac:dyDescent="0.25">
      <c r="M1483" s="5">
        <v>2003.4166666666599</v>
      </c>
      <c r="N1483" s="5">
        <v>-85</v>
      </c>
      <c r="O1483" s="5">
        <v>-161.98520721808501</v>
      </c>
    </row>
    <row r="1484" spans="13:15" x14ac:dyDescent="0.25">
      <c r="M1484" s="5">
        <v>2003.5</v>
      </c>
      <c r="N1484" s="5">
        <v>-85</v>
      </c>
      <c r="O1484" s="5">
        <v>-146.23088051775699</v>
      </c>
    </row>
    <row r="1485" spans="13:15" x14ac:dyDescent="0.25">
      <c r="M1485" s="5">
        <v>2003.5833333333301</v>
      </c>
      <c r="N1485" s="5">
        <v>-70</v>
      </c>
      <c r="O1485" s="5">
        <v>-109.620693541145</v>
      </c>
    </row>
    <row r="1486" spans="13:15" x14ac:dyDescent="0.25">
      <c r="M1486" s="5">
        <v>2003.6666666666599</v>
      </c>
      <c r="N1486" s="5">
        <v>-61</v>
      </c>
      <c r="O1486" s="5">
        <v>-65.136489803673896</v>
      </c>
    </row>
    <row r="1487" spans="13:15" x14ac:dyDescent="0.25">
      <c r="M1487" s="5">
        <v>2003.75</v>
      </c>
      <c r="N1487" s="5">
        <v>-61</v>
      </c>
      <c r="O1487" s="5">
        <v>-33.199932826045597</v>
      </c>
    </row>
    <row r="1488" spans="13:15" x14ac:dyDescent="0.25">
      <c r="M1488" s="5">
        <v>2003.8333333333301</v>
      </c>
      <c r="N1488" s="5">
        <v>-57</v>
      </c>
      <c r="O1488" s="5">
        <v>-16.825585963107901</v>
      </c>
    </row>
    <row r="1489" spans="13:15" x14ac:dyDescent="0.25">
      <c r="M1489" s="5">
        <v>2003.9166666666599</v>
      </c>
      <c r="N1489" s="5">
        <v>-34</v>
      </c>
      <c r="O1489" s="5">
        <v>13.346795224827201</v>
      </c>
    </row>
    <row r="1490" spans="13:15" x14ac:dyDescent="0.25">
      <c r="M1490" s="5">
        <v>2004</v>
      </c>
      <c r="N1490" s="5">
        <v>-21</v>
      </c>
      <c r="O1490" s="5">
        <v>59.255508612632902</v>
      </c>
    </row>
    <row r="1491" spans="13:15" x14ac:dyDescent="0.25">
      <c r="M1491" s="5">
        <v>2004.0833333333301</v>
      </c>
      <c r="N1491" s="5">
        <v>6</v>
      </c>
      <c r="O1491" s="5">
        <v>83.151747767966697</v>
      </c>
    </row>
    <row r="1492" spans="13:15" x14ac:dyDescent="0.25">
      <c r="M1492" s="5">
        <v>2004.1666666666599</v>
      </c>
      <c r="N1492" s="5">
        <v>28</v>
      </c>
      <c r="O1492" s="5">
        <v>84.366610095308701</v>
      </c>
    </row>
    <row r="1493" spans="13:15" x14ac:dyDescent="0.25">
      <c r="M1493" s="5">
        <v>2004.25</v>
      </c>
      <c r="N1493" s="5">
        <v>28</v>
      </c>
      <c r="O1493" s="5">
        <v>73.816573260008397</v>
      </c>
    </row>
    <row r="1494" spans="13:15" x14ac:dyDescent="0.25">
      <c r="M1494" s="5">
        <v>2004.3333333333301</v>
      </c>
      <c r="N1494" s="5">
        <v>28</v>
      </c>
      <c r="O1494" s="5">
        <v>31.329879119468099</v>
      </c>
    </row>
    <row r="1495" spans="13:15" x14ac:dyDescent="0.25">
      <c r="M1495" s="5">
        <v>2004.4166666666599</v>
      </c>
      <c r="N1495" s="5">
        <v>-4</v>
      </c>
      <c r="O1495" s="5">
        <v>-61.788114168850598</v>
      </c>
    </row>
    <row r="1496" spans="13:15" x14ac:dyDescent="0.25">
      <c r="M1496" s="5">
        <v>2004.5</v>
      </c>
      <c r="N1496" s="5">
        <v>-69</v>
      </c>
      <c r="O1496" s="5">
        <v>-113.780898493655</v>
      </c>
    </row>
    <row r="1497" spans="13:15" x14ac:dyDescent="0.25">
      <c r="M1497" s="5">
        <v>2004.5833333333301</v>
      </c>
      <c r="N1497" s="5">
        <v>-69</v>
      </c>
      <c r="O1497" s="5">
        <v>-134.439391878782</v>
      </c>
    </row>
    <row r="1498" spans="13:15" x14ac:dyDescent="0.25">
      <c r="M1498" s="5">
        <v>2004.6666666666599</v>
      </c>
      <c r="N1498" s="5">
        <v>-64</v>
      </c>
      <c r="O1498" s="5">
        <v>-138.50903684283099</v>
      </c>
    </row>
    <row r="1499" spans="13:15" x14ac:dyDescent="0.25">
      <c r="M1499" s="5">
        <v>2004.75</v>
      </c>
      <c r="N1499" s="5">
        <v>-64</v>
      </c>
      <c r="O1499" s="5">
        <v>-138.48468031822</v>
      </c>
    </row>
    <row r="1500" spans="13:15" x14ac:dyDescent="0.25">
      <c r="M1500" s="5">
        <v>2004.8333333333301</v>
      </c>
      <c r="N1500" s="5">
        <v>-67</v>
      </c>
      <c r="O1500" s="5">
        <v>-145.49943087108301</v>
      </c>
    </row>
    <row r="1501" spans="13:15" x14ac:dyDescent="0.25">
      <c r="M1501" s="5">
        <v>2004.9166666666599</v>
      </c>
      <c r="N1501" s="5">
        <v>-92</v>
      </c>
      <c r="O1501" s="5">
        <v>-151.236208644231</v>
      </c>
    </row>
    <row r="1502" spans="13:15" x14ac:dyDescent="0.25">
      <c r="M1502" s="5">
        <v>2005</v>
      </c>
      <c r="N1502" s="5">
        <v>-67</v>
      </c>
      <c r="O1502" s="5">
        <v>-148.43018919241601</v>
      </c>
    </row>
    <row r="1503" spans="13:15" x14ac:dyDescent="0.25">
      <c r="M1503" s="5">
        <v>2005.0833333333301</v>
      </c>
      <c r="N1503" s="5">
        <v>-54</v>
      </c>
      <c r="O1503" s="5">
        <v>-145.273140080106</v>
      </c>
    </row>
    <row r="1504" spans="13:15" x14ac:dyDescent="0.25">
      <c r="M1504" s="5">
        <v>2005.1666666666599</v>
      </c>
      <c r="N1504" s="5">
        <v>-54</v>
      </c>
      <c r="O1504" s="5">
        <v>-147.245132947743</v>
      </c>
    </row>
    <row r="1505" spans="13:15" x14ac:dyDescent="0.25">
      <c r="M1505" s="5">
        <v>2005.25</v>
      </c>
      <c r="N1505" s="5">
        <v>-59</v>
      </c>
      <c r="O1505" s="5">
        <v>-156.57788914184499</v>
      </c>
    </row>
    <row r="1506" spans="13:15" x14ac:dyDescent="0.25">
      <c r="M1506" s="5">
        <v>2005.3333333333301</v>
      </c>
      <c r="N1506" s="5">
        <v>-103</v>
      </c>
      <c r="O1506" s="5">
        <v>-173.49673814899199</v>
      </c>
    </row>
    <row r="1507" spans="13:15" x14ac:dyDescent="0.25">
      <c r="M1507" s="5">
        <v>2005.4166666666599</v>
      </c>
      <c r="N1507" s="5">
        <v>-80</v>
      </c>
      <c r="O1507" s="5">
        <v>-185.620619230562</v>
      </c>
    </row>
    <row r="1508" spans="13:15" x14ac:dyDescent="0.25">
      <c r="M1508" s="5">
        <v>2005.5</v>
      </c>
      <c r="N1508" s="5">
        <v>-80</v>
      </c>
      <c r="O1508" s="5">
        <v>-185.06575795183599</v>
      </c>
    </row>
    <row r="1509" spans="13:15" x14ac:dyDescent="0.25">
      <c r="M1509" s="5">
        <v>2005.5833333333301</v>
      </c>
      <c r="N1509" s="5">
        <v>-75</v>
      </c>
      <c r="O1509" s="5">
        <v>-171.59628689377001</v>
      </c>
    </row>
    <row r="1510" spans="13:15" x14ac:dyDescent="0.25">
      <c r="M1510" s="5">
        <v>2005.6666666666599</v>
      </c>
      <c r="N1510" s="5">
        <v>-74</v>
      </c>
      <c r="O1510" s="5">
        <v>-147.47461188382599</v>
      </c>
    </row>
    <row r="1511" spans="13:15" x14ac:dyDescent="0.25">
      <c r="M1511" s="5">
        <v>2005.75</v>
      </c>
      <c r="N1511" s="5">
        <v>-30</v>
      </c>
      <c r="O1511" s="5">
        <v>-126.538811194763</v>
      </c>
    </row>
    <row r="1512" spans="13:15" x14ac:dyDescent="0.25">
      <c r="M1512" s="5">
        <v>2005.8333333333301</v>
      </c>
      <c r="N1512" s="5">
        <v>-27</v>
      </c>
      <c r="O1512" s="5">
        <v>-120.281567177399</v>
      </c>
    </row>
    <row r="1513" spans="13:15" x14ac:dyDescent="0.25">
      <c r="M1513" s="5">
        <v>2005.9166666666599</v>
      </c>
      <c r="N1513" s="5">
        <v>-27</v>
      </c>
      <c r="O1513" s="5">
        <v>-109.99826537448401</v>
      </c>
    </row>
    <row r="1514" spans="13:15" x14ac:dyDescent="0.25">
      <c r="M1514" s="5">
        <v>2006</v>
      </c>
      <c r="N1514" s="5">
        <v>-16</v>
      </c>
      <c r="O1514" s="5">
        <v>-88.560467156862202</v>
      </c>
    </row>
    <row r="1515" spans="13:15" x14ac:dyDescent="0.25">
      <c r="M1515" s="5">
        <v>2006.0833333333301</v>
      </c>
      <c r="N1515" s="5">
        <v>-16</v>
      </c>
      <c r="O1515" s="5">
        <v>-70.871324987636598</v>
      </c>
    </row>
    <row r="1516" spans="13:15" x14ac:dyDescent="0.25">
      <c r="M1516" s="5">
        <v>2006.1666666666599</v>
      </c>
      <c r="N1516" s="5">
        <v>1</v>
      </c>
      <c r="O1516" s="5">
        <v>-51.232649526903103</v>
      </c>
    </row>
    <row r="1517" spans="13:15" x14ac:dyDescent="0.25">
      <c r="M1517" s="5">
        <v>2006.25</v>
      </c>
      <c r="N1517" s="5">
        <v>33</v>
      </c>
      <c r="O1517" s="5">
        <v>-17.094472063269301</v>
      </c>
    </row>
    <row r="1518" spans="13:15" x14ac:dyDescent="0.25">
      <c r="M1518" s="5">
        <v>2006.3333333333301</v>
      </c>
      <c r="N1518" s="5">
        <v>42</v>
      </c>
      <c r="O1518" s="5">
        <v>23.179309693597201</v>
      </c>
    </row>
    <row r="1519" spans="13:15" x14ac:dyDescent="0.25">
      <c r="M1519" s="5">
        <v>2006.4166666666599</v>
      </c>
      <c r="N1519" s="5">
        <v>80</v>
      </c>
      <c r="O1519" s="5">
        <v>49.327766474035798</v>
      </c>
    </row>
    <row r="1520" spans="13:15" x14ac:dyDescent="0.25">
      <c r="M1520" s="5">
        <v>2006.5</v>
      </c>
      <c r="N1520" s="5">
        <v>80</v>
      </c>
      <c r="O1520" s="5">
        <v>54.306268809858501</v>
      </c>
    </row>
    <row r="1521" spans="13:15" x14ac:dyDescent="0.25">
      <c r="M1521" s="5">
        <v>2006.5833333333301</v>
      </c>
      <c r="N1521" s="5">
        <v>-6</v>
      </c>
      <c r="O1521" s="5">
        <v>41.4305223325672</v>
      </c>
    </row>
    <row r="1522" spans="13:15" x14ac:dyDescent="0.25">
      <c r="M1522" s="5">
        <v>2006.6666666666599</v>
      </c>
      <c r="N1522" s="5">
        <v>-38</v>
      </c>
      <c r="O1522" s="5">
        <v>17.953418577078502</v>
      </c>
    </row>
    <row r="1523" spans="13:15" x14ac:dyDescent="0.25">
      <c r="M1523" s="5">
        <v>2006.75</v>
      </c>
      <c r="N1523" s="5">
        <v>-98</v>
      </c>
      <c r="O1523" s="5">
        <v>-37.221186088684298</v>
      </c>
    </row>
    <row r="1524" spans="13:15" x14ac:dyDescent="0.25">
      <c r="M1524" s="5">
        <v>2006.8333333333301</v>
      </c>
      <c r="N1524" s="5">
        <v>-98</v>
      </c>
      <c r="O1524" s="5">
        <v>-91.834649637541602</v>
      </c>
    </row>
    <row r="1525" spans="13:15" x14ac:dyDescent="0.25">
      <c r="M1525" s="5">
        <v>2006.9166666666599</v>
      </c>
      <c r="N1525" s="5">
        <v>-106</v>
      </c>
      <c r="O1525" s="5">
        <v>-122.13925062549799</v>
      </c>
    </row>
    <row r="1526" spans="13:15" x14ac:dyDescent="0.25">
      <c r="M1526" s="5">
        <v>2007</v>
      </c>
      <c r="N1526" s="5">
        <v>-92</v>
      </c>
      <c r="O1526" s="5">
        <v>-139.77346144331099</v>
      </c>
    </row>
    <row r="1527" spans="13:15" x14ac:dyDescent="0.25">
      <c r="M1527" s="5">
        <v>2007.0833333333301</v>
      </c>
      <c r="N1527" s="5">
        <v>-71</v>
      </c>
      <c r="O1527" s="5">
        <v>-150.61418359619</v>
      </c>
    </row>
    <row r="1528" spans="13:15" x14ac:dyDescent="0.25">
      <c r="M1528" s="5">
        <v>2007.1666666666599</v>
      </c>
      <c r="N1528" s="5">
        <v>-71</v>
      </c>
      <c r="O1528" s="5">
        <v>-153.54868182585599</v>
      </c>
    </row>
    <row r="1529" spans="13:15" x14ac:dyDescent="0.25">
      <c r="M1529" s="5">
        <v>2007.25</v>
      </c>
      <c r="N1529" s="5">
        <v>-85</v>
      </c>
      <c r="O1529" s="5">
        <v>-156.386894574103</v>
      </c>
    </row>
    <row r="1530" spans="13:15" x14ac:dyDescent="0.25">
      <c r="M1530" s="5">
        <v>2007.3333333333301</v>
      </c>
      <c r="N1530" s="5">
        <v>-121</v>
      </c>
      <c r="O1530" s="5">
        <v>-164.56874208251901</v>
      </c>
    </row>
    <row r="1531" spans="13:15" x14ac:dyDescent="0.25">
      <c r="M1531" s="5">
        <v>2007.4166666666599</v>
      </c>
      <c r="N1531" s="5">
        <v>-121</v>
      </c>
      <c r="O1531" s="5">
        <v>-174.12071183692299</v>
      </c>
    </row>
    <row r="1532" spans="13:15" x14ac:dyDescent="0.25">
      <c r="M1532" s="5">
        <v>2007.5</v>
      </c>
      <c r="N1532" s="5">
        <v>-109</v>
      </c>
      <c r="O1532" s="5">
        <v>-179.708098611499</v>
      </c>
    </row>
    <row r="1533" spans="13:15" x14ac:dyDescent="0.25">
      <c r="M1533" s="5">
        <v>2007.5833333333301</v>
      </c>
      <c r="N1533" s="5">
        <v>-51</v>
      </c>
      <c r="O1533" s="5">
        <v>-175.08732065570899</v>
      </c>
    </row>
    <row r="1534" spans="13:15" x14ac:dyDescent="0.25">
      <c r="M1534" s="5">
        <v>2007.6666666666599</v>
      </c>
      <c r="N1534" s="5">
        <v>-42</v>
      </c>
      <c r="O1534" s="5">
        <v>-161.25093389141799</v>
      </c>
    </row>
    <row r="1535" spans="13:15" x14ac:dyDescent="0.25">
      <c r="M1535" s="5">
        <v>2007.75</v>
      </c>
      <c r="N1535" s="5">
        <v>-42</v>
      </c>
      <c r="O1535" s="5">
        <v>-150.706392696249</v>
      </c>
    </row>
    <row r="1536" spans="13:15" x14ac:dyDescent="0.25">
      <c r="M1536" s="5">
        <v>2007.8333333333301</v>
      </c>
      <c r="N1536" s="5">
        <v>-42</v>
      </c>
      <c r="O1536" s="5">
        <v>-142.61274726317001</v>
      </c>
    </row>
    <row r="1537" spans="13:15" x14ac:dyDescent="0.25">
      <c r="M1537" s="5">
        <v>2007.9166666666599</v>
      </c>
      <c r="N1537" s="5">
        <v>-34</v>
      </c>
      <c r="O1537" s="5">
        <v>-121.891226142715</v>
      </c>
    </row>
    <row r="1538" spans="13:15" x14ac:dyDescent="0.25">
      <c r="M1538" s="5">
        <v>2008</v>
      </c>
      <c r="N1538" s="5">
        <v>0</v>
      </c>
      <c r="O1538" s="5">
        <v>-85.476499730177594</v>
      </c>
    </row>
    <row r="1539" spans="13:15" x14ac:dyDescent="0.25">
      <c r="M1539" s="5">
        <v>2008.0833333333301</v>
      </c>
      <c r="N1539" s="5">
        <v>0</v>
      </c>
      <c r="O1539" s="5">
        <v>-42.975422575138097</v>
      </c>
    </row>
    <row r="1540" spans="13:15" x14ac:dyDescent="0.25">
      <c r="M1540" s="5">
        <v>2008.1666666666599</v>
      </c>
      <c r="N1540" s="5">
        <v>-9</v>
      </c>
      <c r="O1540" s="5">
        <v>-20.467722192311999</v>
      </c>
    </row>
    <row r="1541" spans="13:15" x14ac:dyDescent="0.25">
      <c r="M1541" s="5">
        <v>2008.25</v>
      </c>
      <c r="N1541" s="5">
        <v>-9</v>
      </c>
      <c r="O1541" s="5">
        <v>-33.932462973160803</v>
      </c>
    </row>
    <row r="1542" spans="13:15" x14ac:dyDescent="0.25">
      <c r="M1542" s="5">
        <v>2008.3333333333301</v>
      </c>
      <c r="N1542" s="5">
        <v>19</v>
      </c>
      <c r="O1542" s="5">
        <v>-51.085159598180397</v>
      </c>
    </row>
    <row r="1543" spans="13:15" x14ac:dyDescent="0.25">
      <c r="M1543" s="5">
        <v>2008.4166666666599</v>
      </c>
      <c r="N1543" s="5">
        <v>19</v>
      </c>
      <c r="O1543" s="5">
        <v>-62.314698359034303</v>
      </c>
    </row>
    <row r="1544" spans="13:15" x14ac:dyDescent="0.25">
      <c r="M1544" s="5">
        <v>2008.5</v>
      </c>
      <c r="N1544" s="5">
        <v>17</v>
      </c>
      <c r="O1544" s="5">
        <v>-75.740737600499699</v>
      </c>
    </row>
    <row r="1545" spans="13:15" x14ac:dyDescent="0.25">
      <c r="M1545" s="5">
        <v>2008.5833333333301</v>
      </c>
      <c r="N1545" s="5">
        <v>-65</v>
      </c>
      <c r="O1545" s="5">
        <v>-84.117776645777795</v>
      </c>
    </row>
    <row r="1546" spans="13:15" x14ac:dyDescent="0.25">
      <c r="M1546" s="5">
        <v>2008.6666666666599</v>
      </c>
      <c r="N1546" s="5">
        <v>-65</v>
      </c>
      <c r="O1546" s="5">
        <v>-94.3161477338802</v>
      </c>
    </row>
    <row r="1547" spans="13:15" x14ac:dyDescent="0.25">
      <c r="M1547" s="5">
        <v>2008.75</v>
      </c>
      <c r="N1547" s="5">
        <v>-65</v>
      </c>
      <c r="O1547" s="5">
        <v>-110.234928703308</v>
      </c>
    </row>
    <row r="1548" spans="13:15" x14ac:dyDescent="0.25">
      <c r="M1548" s="5">
        <v>2008.8333333333301</v>
      </c>
      <c r="N1548" s="5">
        <v>-53</v>
      </c>
      <c r="O1548" s="5">
        <v>-112.266816536787</v>
      </c>
    </row>
    <row r="1549" spans="13:15" x14ac:dyDescent="0.25">
      <c r="M1549" s="5">
        <v>2008.9166666666599</v>
      </c>
      <c r="N1549" s="5">
        <v>-53</v>
      </c>
      <c r="O1549" s="5">
        <v>-94.867302355632305</v>
      </c>
    </row>
    <row r="1550" spans="13:15" x14ac:dyDescent="0.25">
      <c r="M1550" s="5">
        <v>2009</v>
      </c>
      <c r="N1550" s="5">
        <v>-20</v>
      </c>
      <c r="O1550" s="5">
        <v>-72.478525082367298</v>
      </c>
    </row>
    <row r="1551" spans="13:15" x14ac:dyDescent="0.25">
      <c r="M1551" s="5">
        <v>2009.0833333333301</v>
      </c>
      <c r="N1551" s="5">
        <v>-20</v>
      </c>
      <c r="O1551" s="5">
        <v>-63.043322643277101</v>
      </c>
    </row>
    <row r="1552" spans="13:15" x14ac:dyDescent="0.25">
      <c r="M1552" s="5">
        <v>2009.1666666666599</v>
      </c>
      <c r="N1552" s="5">
        <v>-66</v>
      </c>
      <c r="O1552" s="5">
        <v>-80.442432511965606</v>
      </c>
    </row>
    <row r="1553" spans="13:15" x14ac:dyDescent="0.25">
      <c r="M1553" s="5">
        <v>2009.25</v>
      </c>
      <c r="N1553" s="5">
        <v>-74</v>
      </c>
      <c r="O1553" s="5">
        <v>-112.30626165389501</v>
      </c>
    </row>
    <row r="1554" spans="13:15" x14ac:dyDescent="0.25">
      <c r="M1554" s="5">
        <v>2009.3333333333301</v>
      </c>
      <c r="N1554" s="5">
        <v>-97</v>
      </c>
      <c r="O1554" s="5">
        <v>-140.68592782722499</v>
      </c>
    </row>
    <row r="1555" spans="13:15" x14ac:dyDescent="0.25">
      <c r="M1555" s="5">
        <v>2009.4166666666599</v>
      </c>
      <c r="N1555" s="5">
        <v>-121</v>
      </c>
      <c r="O1555" s="5">
        <v>-164.628081451784</v>
      </c>
    </row>
    <row r="1556" spans="13:15" x14ac:dyDescent="0.25">
      <c r="M1556" s="5">
        <v>2009.5</v>
      </c>
      <c r="N1556" s="5">
        <v>-121</v>
      </c>
      <c r="O1556" s="5">
        <v>-178.06712677214401</v>
      </c>
    </row>
    <row r="1557" spans="13:15" x14ac:dyDescent="0.25">
      <c r="M1557" s="5">
        <v>2009.5833333333301</v>
      </c>
      <c r="N1557" s="5">
        <v>-112</v>
      </c>
      <c r="O1557" s="5">
        <v>-175.71070485300501</v>
      </c>
    </row>
    <row r="1558" spans="13:15" x14ac:dyDescent="0.25">
      <c r="M1558" s="5">
        <v>2009.6666666666599</v>
      </c>
      <c r="N1558" s="5">
        <v>-99</v>
      </c>
      <c r="O1558" s="5">
        <v>-163.85006713286501</v>
      </c>
    </row>
    <row r="1559" spans="13:15" x14ac:dyDescent="0.25">
      <c r="M1559" s="5">
        <v>2009.75</v>
      </c>
      <c r="N1559" s="5">
        <v>-99</v>
      </c>
      <c r="O1559" s="5">
        <v>-153.271486473431</v>
      </c>
    </row>
    <row r="1560" spans="13:15" x14ac:dyDescent="0.25">
      <c r="M1560" s="5">
        <v>2009.8333333333301</v>
      </c>
      <c r="N1560" s="5">
        <v>-99</v>
      </c>
      <c r="O1560" s="5">
        <v>-145.53522762093701</v>
      </c>
    </row>
    <row r="1561" spans="13:15" x14ac:dyDescent="0.25">
      <c r="M1561" s="5">
        <v>2009.9166666666599</v>
      </c>
      <c r="N1561" s="5">
        <v>-96</v>
      </c>
      <c r="O1561" s="5">
        <v>-137.610450973414</v>
      </c>
    </row>
    <row r="1562" spans="13:15" x14ac:dyDescent="0.25">
      <c r="M1562" s="5">
        <v>2010</v>
      </c>
      <c r="N1562" s="5">
        <v>-96</v>
      </c>
      <c r="O1562" s="5">
        <v>-125.017361214838</v>
      </c>
    </row>
    <row r="1563" spans="13:15" x14ac:dyDescent="0.25">
      <c r="M1563" s="5">
        <v>2010.0833333333301</v>
      </c>
      <c r="N1563" s="5">
        <v>-94</v>
      </c>
      <c r="O1563" s="5">
        <v>-110.613358334983</v>
      </c>
    </row>
    <row r="1564" spans="13:15" x14ac:dyDescent="0.25">
      <c r="M1564" s="5">
        <v>2010.1666666666599</v>
      </c>
      <c r="N1564" s="5">
        <v>-91</v>
      </c>
      <c r="O1564" s="5">
        <v>-110.485074601759</v>
      </c>
    </row>
    <row r="1565" spans="13:15" x14ac:dyDescent="0.25">
      <c r="M1565" s="5">
        <v>2010.25</v>
      </c>
      <c r="N1565" s="5">
        <v>-86</v>
      </c>
      <c r="O1565" s="5">
        <v>-117.889228479724</v>
      </c>
    </row>
    <row r="1566" spans="13:15" x14ac:dyDescent="0.25">
      <c r="M1566" s="5">
        <v>2010.3333333333301</v>
      </c>
      <c r="N1566" s="5">
        <v>-79</v>
      </c>
      <c r="O1566" s="5">
        <v>-114.629578264461</v>
      </c>
    </row>
    <row r="1567" spans="13:15" x14ac:dyDescent="0.25">
      <c r="M1567" s="5">
        <v>2010.4166666666599</v>
      </c>
      <c r="N1567" s="5">
        <v>26</v>
      </c>
      <c r="O1567" s="5">
        <v>-93.628376802047796</v>
      </c>
    </row>
    <row r="1568" spans="13:15" x14ac:dyDescent="0.25">
      <c r="M1568" s="5">
        <v>2010.5</v>
      </c>
      <c r="N1568" s="5">
        <v>107</v>
      </c>
      <c r="O1568" s="5">
        <v>-32.372496891638498</v>
      </c>
    </row>
    <row r="1569" spans="13:15" x14ac:dyDescent="0.25">
      <c r="M1569" s="5">
        <v>2010.5833333333301</v>
      </c>
      <c r="N1569" s="5">
        <v>133</v>
      </c>
      <c r="O1569" s="5">
        <v>59.599921342626502</v>
      </c>
    </row>
    <row r="1570" spans="13:15" x14ac:dyDescent="0.25">
      <c r="M1570" s="5">
        <v>2010.6666666666599</v>
      </c>
      <c r="N1570" s="5">
        <v>133</v>
      </c>
      <c r="O1570" s="5">
        <v>77.7683766707258</v>
      </c>
    </row>
    <row r="1571" spans="13:15" x14ac:dyDescent="0.25">
      <c r="M1571" s="5">
        <v>2010.75</v>
      </c>
      <c r="N1571" s="5">
        <v>133</v>
      </c>
      <c r="O1571" s="5">
        <v>34.016065638076803</v>
      </c>
    </row>
    <row r="1572" spans="13:15" x14ac:dyDescent="0.25">
      <c r="M1572" s="5">
        <v>2010.8333333333301</v>
      </c>
      <c r="N1572" s="5">
        <v>7</v>
      </c>
      <c r="O1572" s="5">
        <v>-58.603191267856097</v>
      </c>
    </row>
    <row r="1573" spans="13:15" x14ac:dyDescent="0.25">
      <c r="M1573" s="5">
        <v>2010.9166666666599</v>
      </c>
      <c r="N1573" s="5">
        <v>-71</v>
      </c>
      <c r="O1573" s="5">
        <v>-105.183797224233</v>
      </c>
    </row>
    <row r="1574" spans="13:15" x14ac:dyDescent="0.25">
      <c r="M1574" s="5">
        <v>2011</v>
      </c>
      <c r="N1574" s="5">
        <v>-71</v>
      </c>
      <c r="O1574" s="5">
        <v>-117.077526552742</v>
      </c>
    </row>
    <row r="1575" spans="13:15" x14ac:dyDescent="0.25">
      <c r="M1575" s="5">
        <v>2011.0833333333301</v>
      </c>
      <c r="N1575" s="5">
        <v>-74</v>
      </c>
      <c r="O1575" s="5">
        <v>-117.13289118969401</v>
      </c>
    </row>
    <row r="1576" spans="13:15" x14ac:dyDescent="0.25">
      <c r="M1576" s="5">
        <v>2011.1666666666599</v>
      </c>
      <c r="N1576" s="5">
        <v>-78</v>
      </c>
      <c r="O1576" s="5">
        <v>-120.416157191548</v>
      </c>
    </row>
    <row r="1577" spans="13:15" x14ac:dyDescent="0.25">
      <c r="M1577" s="5">
        <v>2011.25</v>
      </c>
      <c r="N1577" s="5">
        <v>-78</v>
      </c>
      <c r="O1577" s="5">
        <v>-121.354334414576</v>
      </c>
    </row>
    <row r="1578" spans="13:15" x14ac:dyDescent="0.25">
      <c r="M1578" s="5">
        <v>2011.3333333333301</v>
      </c>
      <c r="N1578" s="5">
        <v>-78</v>
      </c>
      <c r="O1578" s="5">
        <v>-124.407112256189</v>
      </c>
    </row>
    <row r="1579" spans="13:15" x14ac:dyDescent="0.25">
      <c r="M1579" s="5">
        <v>2011.4166666666599</v>
      </c>
      <c r="N1579" s="5">
        <v>-63</v>
      </c>
      <c r="O1579" s="5">
        <v>-139.033049531053</v>
      </c>
    </row>
    <row r="1580" spans="13:15" x14ac:dyDescent="0.25">
      <c r="M1580" s="5">
        <v>2011.5</v>
      </c>
      <c r="N1580" s="5">
        <v>-86</v>
      </c>
      <c r="O1580" s="5">
        <v>-152.80325859842199</v>
      </c>
    </row>
    <row r="1581" spans="13:15" x14ac:dyDescent="0.25">
      <c r="M1581" s="5">
        <v>2011.5833333333301</v>
      </c>
      <c r="N1581" s="5">
        <v>-97</v>
      </c>
      <c r="O1581" s="5">
        <v>-159.33430861428101</v>
      </c>
    </row>
    <row r="1582" spans="13:15" x14ac:dyDescent="0.25">
      <c r="M1582" s="5">
        <v>2011.6666666666599</v>
      </c>
      <c r="N1582" s="5">
        <v>-106</v>
      </c>
      <c r="O1582" s="5">
        <v>-162.461132236743</v>
      </c>
    </row>
    <row r="1583" spans="13:15" x14ac:dyDescent="0.25">
      <c r="M1583" s="5">
        <v>2011.75</v>
      </c>
      <c r="N1583" s="5">
        <v>-138</v>
      </c>
      <c r="O1583" s="5">
        <v>-163.328323691522</v>
      </c>
    </row>
    <row r="1584" spans="13:15" x14ac:dyDescent="0.25">
      <c r="M1584" s="5">
        <v>2011.8333333333301</v>
      </c>
      <c r="N1584" s="5">
        <v>-138</v>
      </c>
      <c r="O1584" s="5">
        <v>-162.437314970937</v>
      </c>
    </row>
    <row r="1585" spans="13:15" x14ac:dyDescent="0.25">
      <c r="M1585" s="5">
        <v>2011.9166666666599</v>
      </c>
      <c r="N1585" s="5">
        <v>-130</v>
      </c>
      <c r="O1585" s="5">
        <v>-154.83525802966699</v>
      </c>
    </row>
    <row r="1586" spans="13:15" x14ac:dyDescent="0.25">
      <c r="M1586" s="5">
        <v>2012</v>
      </c>
      <c r="N1586" s="5">
        <v>-84</v>
      </c>
      <c r="O1586" s="5">
        <v>-131.17704621262601</v>
      </c>
    </row>
    <row r="1587" spans="13:15" x14ac:dyDescent="0.25">
      <c r="M1587" s="5">
        <v>2012.0833333333301</v>
      </c>
      <c r="N1587" s="5">
        <v>-37</v>
      </c>
      <c r="O1587" s="5">
        <v>-97.340063977349004</v>
      </c>
    </row>
    <row r="1588" spans="13:15" x14ac:dyDescent="0.25">
      <c r="M1588" s="5">
        <v>2012.1666666666599</v>
      </c>
      <c r="N1588" s="5">
        <v>-37</v>
      </c>
      <c r="O1588" s="5">
        <v>-79.294861360789696</v>
      </c>
    </row>
    <row r="1589" spans="13:15" x14ac:dyDescent="0.25">
      <c r="M1589" s="5">
        <v>2012.25</v>
      </c>
      <c r="N1589" s="5">
        <v>-29</v>
      </c>
      <c r="O1589" s="5">
        <v>-92.007979943931701</v>
      </c>
    </row>
    <row r="1590" spans="13:15" x14ac:dyDescent="0.25">
      <c r="M1590" s="5">
        <v>2012.3333333333301</v>
      </c>
      <c r="N1590" s="5">
        <v>-40</v>
      </c>
      <c r="O1590" s="5">
        <v>-127.62820844951599</v>
      </c>
    </row>
    <row r="1591" spans="13:15" x14ac:dyDescent="0.25">
      <c r="M1591" s="5">
        <v>2012.4166666666599</v>
      </c>
      <c r="N1591" s="5">
        <v>-46</v>
      </c>
      <c r="O1591" s="5">
        <v>-155.63434751436299</v>
      </c>
    </row>
    <row r="1592" spans="13:15" x14ac:dyDescent="0.25">
      <c r="M1592" s="5">
        <v>2012.5</v>
      </c>
      <c r="N1592" s="5">
        <v>-46</v>
      </c>
      <c r="O1592" s="5">
        <v>-159.65349098690501</v>
      </c>
    </row>
    <row r="1593" spans="13:15" x14ac:dyDescent="0.25">
      <c r="M1593" s="5">
        <v>2012.5833333333301</v>
      </c>
      <c r="N1593" s="5">
        <v>-52</v>
      </c>
      <c r="O1593" s="5">
        <v>-141.82258162290401</v>
      </c>
    </row>
    <row r="1594" spans="13:15" x14ac:dyDescent="0.25">
      <c r="M1594" s="5">
        <v>2012.6666666666599</v>
      </c>
      <c r="N1594" s="5">
        <v>-52</v>
      </c>
      <c r="O1594" s="5">
        <v>-110.59081345729</v>
      </c>
    </row>
    <row r="1595" spans="13:15" x14ac:dyDescent="0.25">
      <c r="M1595" s="5">
        <v>2012.75</v>
      </c>
      <c r="N1595" s="5">
        <v>-59</v>
      </c>
      <c r="O1595" s="5">
        <v>-85.976476962151295</v>
      </c>
    </row>
    <row r="1596" spans="13:15" x14ac:dyDescent="0.25">
      <c r="M1596" s="5">
        <v>2012.8333333333301</v>
      </c>
      <c r="N1596" s="5">
        <v>-59</v>
      </c>
      <c r="O1596" s="5">
        <v>-83.561333809649895</v>
      </c>
    </row>
    <row r="1597" spans="13:15" x14ac:dyDescent="0.25">
      <c r="M1597" s="5">
        <v>2012.9166666666599</v>
      </c>
      <c r="N1597" s="5">
        <v>-56</v>
      </c>
      <c r="O1597" s="5">
        <v>-75.296827376959598</v>
      </c>
    </row>
    <row r="1598" spans="13:15" x14ac:dyDescent="0.25">
      <c r="M1598" s="5">
        <v>2013</v>
      </c>
      <c r="N1598" s="5">
        <v>-41</v>
      </c>
      <c r="O1598" s="5">
        <v>-38.932052631357202</v>
      </c>
    </row>
    <row r="1599" spans="13:15" x14ac:dyDescent="0.25">
      <c r="M1599" s="5">
        <v>2013.0833333333301</v>
      </c>
      <c r="N1599" s="5">
        <v>-29</v>
      </c>
      <c r="O1599" s="5">
        <v>-1.6636655302227199</v>
      </c>
    </row>
    <row r="1600" spans="13:15" x14ac:dyDescent="0.25">
      <c r="M1600" s="5">
        <v>2013.1666666666599</v>
      </c>
      <c r="N1600" s="5">
        <v>-28</v>
      </c>
      <c r="O1600" s="5">
        <v>8.1773278753566796</v>
      </c>
    </row>
    <row r="1601" spans="13:15" x14ac:dyDescent="0.25">
      <c r="M1601" s="5">
        <v>2013.25</v>
      </c>
      <c r="N1601" s="5">
        <v>24</v>
      </c>
      <c r="O1601" s="5">
        <v>2.04815906443087</v>
      </c>
    </row>
    <row r="1602" spans="13:15" x14ac:dyDescent="0.25">
      <c r="M1602" s="5">
        <v>2013.3333333333301</v>
      </c>
      <c r="N1602" s="5">
        <v>30</v>
      </c>
      <c r="O1602" s="5">
        <v>-25.7338400561319</v>
      </c>
    </row>
    <row r="1603" spans="13:15" x14ac:dyDescent="0.25">
      <c r="M1603" s="5">
        <v>2013.4166666666599</v>
      </c>
      <c r="N1603" s="5">
        <v>83</v>
      </c>
      <c r="O1603" s="5">
        <v>-57.406851711421098</v>
      </c>
    </row>
    <row r="1604" spans="13:15" x14ac:dyDescent="0.25">
      <c r="M1604" s="5">
        <v>2013.5</v>
      </c>
      <c r="N1604" s="5">
        <v>83</v>
      </c>
      <c r="O1604" s="5">
        <v>-79.166694575465797</v>
      </c>
    </row>
    <row r="1605" spans="13:15" x14ac:dyDescent="0.25">
      <c r="M1605" s="5">
        <v>2013.5833333333301</v>
      </c>
      <c r="N1605" s="5">
        <v>-12</v>
      </c>
      <c r="O1605" s="5">
        <v>-95.477105956005104</v>
      </c>
    </row>
    <row r="1606" spans="13:15" x14ac:dyDescent="0.25">
      <c r="M1606" s="5">
        <v>2013.6666666666599</v>
      </c>
      <c r="N1606" s="5">
        <v>-41</v>
      </c>
      <c r="O1606" s="5">
        <v>-106.25153524239801</v>
      </c>
    </row>
    <row r="1607" spans="13:15" x14ac:dyDescent="0.25">
      <c r="M1607" s="5">
        <v>2013.75</v>
      </c>
      <c r="N1607" s="5">
        <v>-90</v>
      </c>
      <c r="O1607" s="5">
        <v>-118.486507284711</v>
      </c>
    </row>
    <row r="1608" spans="13:15" x14ac:dyDescent="0.25">
      <c r="M1608" s="5">
        <v>2013.8333333333301</v>
      </c>
      <c r="N1608" s="5">
        <v>-96</v>
      </c>
      <c r="O1608" s="5">
        <v>-134.47895560863299</v>
      </c>
    </row>
    <row r="1609" spans="13:15" x14ac:dyDescent="0.25">
      <c r="M1609" s="5">
        <v>2013.9166666666599</v>
      </c>
      <c r="N1609" s="5">
        <v>-104</v>
      </c>
      <c r="O1609" s="5">
        <v>-141.83969752955801</v>
      </c>
    </row>
    <row r="1610" spans="13:15" x14ac:dyDescent="0.25">
      <c r="M1610" s="5">
        <v>2014</v>
      </c>
      <c r="N1610" s="5">
        <v>-104</v>
      </c>
      <c r="O1610" s="5">
        <v>-140.898110879673</v>
      </c>
    </row>
    <row r="1611" spans="13:15" x14ac:dyDescent="0.25">
      <c r="M1611" s="5">
        <v>2014.0833333333301</v>
      </c>
      <c r="N1611" s="5">
        <v>-92</v>
      </c>
      <c r="O1611" s="5">
        <v>-140.24680658883</v>
      </c>
    </row>
    <row r="1612" spans="13:15" x14ac:dyDescent="0.25">
      <c r="M1612" s="5">
        <v>2014.1666666666599</v>
      </c>
      <c r="N1612" s="5">
        <v>-79</v>
      </c>
      <c r="O1612" s="5">
        <v>-139.170441446327</v>
      </c>
    </row>
    <row r="1613" spans="13:15" x14ac:dyDescent="0.25">
      <c r="M1613" s="5">
        <v>2014.25</v>
      </c>
      <c r="N1613" s="5">
        <v>-79</v>
      </c>
      <c r="O1613" s="5">
        <v>-143.344741630193</v>
      </c>
    </row>
    <row r="1614" spans="13:15" x14ac:dyDescent="0.25">
      <c r="M1614" s="5">
        <v>2014.3333333333301</v>
      </c>
      <c r="N1614" s="5">
        <v>-112</v>
      </c>
      <c r="O1614" s="5">
        <v>-159.59396327291699</v>
      </c>
    </row>
    <row r="1615" spans="13:15" x14ac:dyDescent="0.25">
      <c r="M1615" s="5">
        <v>2014.4166666666599</v>
      </c>
      <c r="N1615" s="5">
        <v>-127</v>
      </c>
      <c r="O1615" s="5">
        <v>-175.83459284710901</v>
      </c>
    </row>
    <row r="1616" spans="13:15" x14ac:dyDescent="0.25">
      <c r="M1616" s="5">
        <v>2014.5</v>
      </c>
      <c r="N1616" s="5">
        <v>-140</v>
      </c>
      <c r="O1616" s="5">
        <v>-182.04665292868</v>
      </c>
    </row>
    <row r="1617" spans="13:15" x14ac:dyDescent="0.25">
      <c r="M1617" s="5">
        <v>2014.5833333333301</v>
      </c>
      <c r="N1617" s="5">
        <v>-140</v>
      </c>
      <c r="O1617" s="5">
        <v>-174.30305753159899</v>
      </c>
    </row>
    <row r="1618" spans="13:15" x14ac:dyDescent="0.25">
      <c r="M1618" s="5">
        <v>2014.6666666666599</v>
      </c>
      <c r="N1618" s="5">
        <v>-139</v>
      </c>
      <c r="O1618" s="5">
        <v>-152.14545144466999</v>
      </c>
    </row>
    <row r="1619" spans="13:15" x14ac:dyDescent="0.25">
      <c r="M1619" s="5">
        <v>2014.75</v>
      </c>
      <c r="N1619" s="5">
        <v>-114</v>
      </c>
      <c r="O1619" s="5">
        <v>-132.37142639537799</v>
      </c>
    </row>
    <row r="1620" spans="13:15" x14ac:dyDescent="0.25">
      <c r="M1620" s="5">
        <v>2014.8333333333301</v>
      </c>
      <c r="N1620" s="5">
        <v>-114</v>
      </c>
      <c r="O1620" s="5">
        <v>-131.48688137714899</v>
      </c>
    </row>
    <row r="1621" spans="13:15" x14ac:dyDescent="0.25">
      <c r="M1621" s="5">
        <v>2014.9166666666599</v>
      </c>
      <c r="N1621" s="5">
        <v>-92</v>
      </c>
      <c r="O1621" s="5">
        <v>-134.35428081670699</v>
      </c>
    </row>
    <row r="1622" spans="13:15" x14ac:dyDescent="0.25">
      <c r="M1622" s="5">
        <v>2015</v>
      </c>
      <c r="N1622" s="5">
        <v>-63</v>
      </c>
      <c r="O1622" s="5">
        <v>-134.90029217996201</v>
      </c>
    </row>
    <row r="1623" spans="13:15" x14ac:dyDescent="0.25">
      <c r="M1623" s="5">
        <v>2015.0833333333301</v>
      </c>
      <c r="N1623" s="5">
        <v>-35</v>
      </c>
      <c r="O1623" s="5">
        <v>-136.06890067138301</v>
      </c>
    </row>
    <row r="1624" spans="13:15" x14ac:dyDescent="0.25">
      <c r="M1624" s="5">
        <v>2015.1666666666599</v>
      </c>
      <c r="N1624" s="5">
        <v>-23</v>
      </c>
      <c r="O1624" s="5">
        <v>-134.127213229001</v>
      </c>
    </row>
    <row r="1625" spans="13:15" x14ac:dyDescent="0.25">
      <c r="M1625" s="5">
        <v>2015.25</v>
      </c>
      <c r="N1625" s="5">
        <v>-21</v>
      </c>
      <c r="O1625" s="5">
        <v>-127.85092231458999</v>
      </c>
    </row>
    <row r="1626" spans="13:15" x14ac:dyDescent="0.25">
      <c r="M1626" s="5">
        <v>2015.3333333333301</v>
      </c>
      <c r="N1626" s="5">
        <v>-1</v>
      </c>
      <c r="O1626" s="5">
        <v>-110.71018584430099</v>
      </c>
    </row>
    <row r="1627" spans="13:15" x14ac:dyDescent="0.25">
      <c r="M1627" s="5">
        <v>2015.4166666666599</v>
      </c>
      <c r="N1627" s="5">
        <v>93</v>
      </c>
      <c r="O1627" s="5">
        <v>-68.767389389772802</v>
      </c>
    </row>
    <row r="1628" spans="13:15" x14ac:dyDescent="0.25">
      <c r="M1628" s="5">
        <v>2015.5</v>
      </c>
      <c r="N1628" s="5">
        <v>97</v>
      </c>
      <c r="O1628" s="5">
        <v>5.5791712278609804</v>
      </c>
    </row>
    <row r="1629" spans="13:15" x14ac:dyDescent="0.25">
      <c r="M1629" s="5">
        <v>2015.5833333333301</v>
      </c>
      <c r="N1629" s="5">
        <v>104</v>
      </c>
      <c r="O1629" s="5">
        <v>65.579548800532393</v>
      </c>
    </row>
    <row r="1630" spans="13:15" x14ac:dyDescent="0.25">
      <c r="M1630" s="5">
        <v>2015.6666666666599</v>
      </c>
      <c r="N1630" s="5">
        <v>104</v>
      </c>
      <c r="O1630" s="5">
        <v>87.372637704984896</v>
      </c>
    </row>
    <row r="1631" spans="13:15" x14ac:dyDescent="0.25">
      <c r="M1631" s="5">
        <v>2015.75</v>
      </c>
      <c r="N1631" s="5">
        <v>-10</v>
      </c>
      <c r="O1631" s="5">
        <v>74.937314043302294</v>
      </c>
    </row>
    <row r="1632" spans="13:15" x14ac:dyDescent="0.25">
      <c r="M1632" s="5">
        <v>2015.8333333333301</v>
      </c>
      <c r="N1632" s="5">
        <v>-100</v>
      </c>
      <c r="O1632" s="5">
        <v>44.731136656298901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C3" sqref="C3:C20"/>
    </sheetView>
  </sheetViews>
  <sheetFormatPr defaultRowHeight="15" x14ac:dyDescent="0.25"/>
  <cols>
    <col min="3" max="3" width="11.5703125" bestFit="1" customWidth="1"/>
  </cols>
  <sheetData>
    <row r="1" spans="1:5" x14ac:dyDescent="0.25">
      <c r="A1" s="4" t="s">
        <v>15</v>
      </c>
      <c r="B1" s="4" t="s">
        <v>17</v>
      </c>
      <c r="C1" s="4" t="s">
        <v>18</v>
      </c>
      <c r="D1" s="4" t="s">
        <v>15</v>
      </c>
      <c r="E1" s="4" t="s">
        <v>16</v>
      </c>
    </row>
    <row r="2" spans="1:5" x14ac:dyDescent="0.25">
      <c r="A2" s="5">
        <v>0.73050380085532796</v>
      </c>
      <c r="B2" s="5">
        <v>3.512</v>
      </c>
      <c r="C2" s="5">
        <f>+E2/3.09</f>
        <v>1.5064724919093853</v>
      </c>
      <c r="D2" s="5">
        <v>0.73050380085532796</v>
      </c>
      <c r="E2" s="5">
        <v>4.6550000000000002</v>
      </c>
    </row>
    <row r="3" spans="1:5" x14ac:dyDescent="0.25">
      <c r="A3" s="5">
        <v>0.33332146963806603</v>
      </c>
      <c r="B3" s="5">
        <v>1.81</v>
      </c>
      <c r="C3" s="5">
        <f t="shared" ref="C3:C20" si="0">+E3/3.09</f>
        <v>0.84077669902912622</v>
      </c>
      <c r="D3" s="5">
        <v>0.33332146963806603</v>
      </c>
      <c r="E3" s="5">
        <v>2.5979999999999999</v>
      </c>
    </row>
    <row r="4" spans="1:5" x14ac:dyDescent="0.25">
      <c r="A4" s="5">
        <v>0.99999726222416896</v>
      </c>
      <c r="B4" s="5">
        <v>9.0180000000000007</v>
      </c>
      <c r="C4" s="5">
        <f t="shared" si="0"/>
        <v>11.37443365695793</v>
      </c>
      <c r="D4" s="5">
        <v>0.99999726222416896</v>
      </c>
      <c r="E4" s="5">
        <v>35.146999999999998</v>
      </c>
    </row>
    <row r="5" spans="1:5" x14ac:dyDescent="0.25">
      <c r="A5" s="5">
        <v>2.52416219218662</v>
      </c>
      <c r="B5" s="5">
        <v>25.463999999999999</v>
      </c>
      <c r="C5" s="5">
        <f t="shared" si="0"/>
        <v>24.66925566343042</v>
      </c>
      <c r="D5" s="5">
        <v>2.52416219218662</v>
      </c>
      <c r="E5" s="5">
        <v>76.227999999999994</v>
      </c>
    </row>
    <row r="6" spans="1:5" x14ac:dyDescent="0.25">
      <c r="A6" s="5">
        <v>1.95747934139058</v>
      </c>
      <c r="B6" s="5">
        <v>19.797999999999998</v>
      </c>
      <c r="C6" s="5">
        <f t="shared" si="0"/>
        <v>21.148220064724921</v>
      </c>
      <c r="D6" s="5">
        <v>1.95747934139058</v>
      </c>
      <c r="E6" s="5">
        <v>65.347999999999999</v>
      </c>
    </row>
    <row r="7" spans="1:5" x14ac:dyDescent="0.25">
      <c r="A7" s="5">
        <v>0.24254439727864999</v>
      </c>
      <c r="B7" s="5">
        <v>0.84299999999999997</v>
      </c>
      <c r="C7" s="5">
        <f t="shared" si="0"/>
        <v>1.3116504854368933</v>
      </c>
      <c r="D7" s="5">
        <v>0.24254439727864999</v>
      </c>
      <c r="E7" s="5">
        <v>4.0529999999999999</v>
      </c>
    </row>
    <row r="8" spans="1:5" x14ac:dyDescent="0.25">
      <c r="A8" s="5">
        <v>2.1037673496364802</v>
      </c>
      <c r="B8" s="5">
        <v>11.137</v>
      </c>
      <c r="C8" s="5">
        <f t="shared" si="0"/>
        <v>11.778317152103561</v>
      </c>
      <c r="D8" s="5">
        <v>2.1037673496364802</v>
      </c>
      <c r="E8" s="5">
        <v>36.395000000000003</v>
      </c>
    </row>
    <row r="9" spans="1:5" x14ac:dyDescent="0.25">
      <c r="A9" s="5">
        <v>1.34305803574748</v>
      </c>
      <c r="B9" s="5">
        <v>13.35</v>
      </c>
      <c r="C9" s="5">
        <f t="shared" si="0"/>
        <v>5.4482200647249197</v>
      </c>
      <c r="D9" s="5">
        <v>1.34305803574748</v>
      </c>
      <c r="E9" s="5">
        <v>16.835000000000001</v>
      </c>
    </row>
    <row r="10" spans="1:5" x14ac:dyDescent="0.25">
      <c r="A10" s="5">
        <v>0.71624461489965296</v>
      </c>
      <c r="B10" s="5">
        <v>5.8239999999999998</v>
      </c>
      <c r="C10" s="5">
        <f t="shared" si="0"/>
        <v>4.4236245954692563</v>
      </c>
      <c r="D10" s="5">
        <v>0.71624461489965296</v>
      </c>
      <c r="E10" s="5">
        <v>13.669</v>
      </c>
    </row>
    <row r="11" spans="1:5" x14ac:dyDescent="0.25">
      <c r="A11" s="5">
        <v>0.79653949004630398</v>
      </c>
      <c r="B11" s="5">
        <v>7.1280000000000001</v>
      </c>
      <c r="C11" s="5">
        <f t="shared" si="0"/>
        <v>2.8724919093851131</v>
      </c>
      <c r="D11" s="5">
        <v>0.79653949004630398</v>
      </c>
      <c r="E11" s="5">
        <v>8.8759999999999994</v>
      </c>
    </row>
    <row r="12" spans="1:5" x14ac:dyDescent="0.25">
      <c r="A12" s="5">
        <v>0.82369999999999999</v>
      </c>
      <c r="B12" s="5">
        <v>5.94</v>
      </c>
      <c r="C12" s="5">
        <f t="shared" si="0"/>
        <v>6.1961165048543698</v>
      </c>
      <c r="D12" s="5">
        <v>0.82369999999999999</v>
      </c>
      <c r="E12" s="5">
        <v>19.146000000000001</v>
      </c>
    </row>
    <row r="13" spans="1:5" x14ac:dyDescent="0.25">
      <c r="A13" s="5">
        <v>0.412771863179623</v>
      </c>
      <c r="B13" s="5">
        <v>3.1520000000000001</v>
      </c>
      <c r="C13" s="5">
        <f t="shared" si="0"/>
        <v>3.523624595469256</v>
      </c>
      <c r="D13" s="5">
        <v>0.412771863179623</v>
      </c>
      <c r="E13" s="5">
        <v>10.888</v>
      </c>
    </row>
    <row r="14" spans="1:5" x14ac:dyDescent="0.25">
      <c r="A14" s="5">
        <v>0.70291567671574795</v>
      </c>
      <c r="B14" s="5">
        <v>10.108000000000001</v>
      </c>
      <c r="C14" s="5">
        <f t="shared" si="0"/>
        <v>3.1048543689320387</v>
      </c>
      <c r="D14" s="5">
        <v>0.70291567671574795</v>
      </c>
      <c r="E14" s="5">
        <v>9.5939999999999994</v>
      </c>
    </row>
    <row r="15" spans="1:5" x14ac:dyDescent="0.25">
      <c r="A15" s="5">
        <v>2.71062747145898</v>
      </c>
      <c r="B15" s="5">
        <v>23.044</v>
      </c>
      <c r="C15" s="5">
        <f t="shared" si="0"/>
        <v>22.016828478964403</v>
      </c>
      <c r="D15" s="5">
        <v>2.71062747145898</v>
      </c>
      <c r="E15" s="5">
        <v>68.031999999999996</v>
      </c>
    </row>
    <row r="16" spans="1:5" x14ac:dyDescent="0.25">
      <c r="A16" s="5">
        <v>2.3660476895753102</v>
      </c>
      <c r="B16" s="5">
        <v>53.58</v>
      </c>
      <c r="C16" s="5">
        <f t="shared" si="0"/>
        <v>55.528478964401295</v>
      </c>
      <c r="D16" s="5">
        <v>2.3660476895753102</v>
      </c>
      <c r="E16" s="5">
        <v>171.583</v>
      </c>
    </row>
    <row r="17" spans="1:5" x14ac:dyDescent="0.25">
      <c r="A17" s="5">
        <v>0.6666666</v>
      </c>
      <c r="B17" s="5">
        <v>0.78500000000000003</v>
      </c>
      <c r="C17" s="5">
        <f t="shared" si="0"/>
        <v>3.3559870550161812</v>
      </c>
      <c r="D17" s="5">
        <v>0.6666666</v>
      </c>
      <c r="E17" s="5">
        <v>10.37</v>
      </c>
    </row>
    <row r="18" spans="1:5" x14ac:dyDescent="0.25">
      <c r="A18" s="5">
        <v>0.49997536001752102</v>
      </c>
      <c r="B18" s="5">
        <v>6.83</v>
      </c>
      <c r="C18" s="5">
        <f t="shared" si="0"/>
        <v>4.076699029126214</v>
      </c>
      <c r="D18" s="5">
        <v>0.49997536001752102</v>
      </c>
      <c r="E18" s="5">
        <v>12.597</v>
      </c>
    </row>
    <row r="19" spans="1:5" x14ac:dyDescent="0.25">
      <c r="A19" s="5">
        <v>0.53</v>
      </c>
      <c r="B19" s="5">
        <v>3.617</v>
      </c>
      <c r="C19" s="5">
        <f t="shared" si="0"/>
        <v>2.9048543689320394</v>
      </c>
      <c r="D19" s="5">
        <v>0.53</v>
      </c>
      <c r="E19" s="5">
        <v>8.9760000000000009</v>
      </c>
    </row>
    <row r="20" spans="1:5" x14ac:dyDescent="0.25">
      <c r="A20" s="5">
        <v>2.2028812455012101</v>
      </c>
      <c r="B20" s="5">
        <v>18.396999999999998</v>
      </c>
      <c r="C20" s="5">
        <f t="shared" si="0"/>
        <v>25.364724919093852</v>
      </c>
      <c r="D20" s="5">
        <v>2.2028812455012101</v>
      </c>
      <c r="E20" s="5">
        <v>78.376999999999995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B35" sqref="B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saturated_qbo</vt:lpstr>
      <vt:lpstr>saturated_qbo_all_terms</vt:lpstr>
      <vt:lpstr>offset_qbo_all_terms_30hPa</vt:lpstr>
      <vt:lpstr>offset_qbo_all_terms_70hPa</vt:lpstr>
      <vt:lpstr>corr</vt:lpstr>
      <vt:lpstr>Sheet4</vt:lpstr>
      <vt:lpstr>saturated_qbo_all_terms!k</vt:lpstr>
      <vt:lpstr>k</vt:lpstr>
    </vt:vector>
  </TitlesOfParts>
  <Company>BAE Systems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Pukite, Paul R (US SSA)</dc:creator>
  <cp:lastModifiedBy>pp</cp:lastModifiedBy>
  <cp:lastPrinted>2016-03-01T17:38:23Z</cp:lastPrinted>
  <dcterms:created xsi:type="dcterms:W3CDTF">2016-02-22T14:46:21Z</dcterms:created>
  <dcterms:modified xsi:type="dcterms:W3CDTF">2016-03-09T02:27:26Z</dcterms:modified>
</cp:coreProperties>
</file>