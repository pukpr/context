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" yWindow="150" windowWidth="17925" windowHeight="15120" firstSheet="1" activeTab="3"/>
  </bookViews>
  <sheets>
    <sheet name="Ornstein-Uhlenback Diffusion" sheetId="1" r:id="rId1"/>
    <sheet name="Hyperbolic" sheetId="3" r:id="rId2"/>
    <sheet name="NDIC Typical yearly" sheetId="4" r:id="rId3"/>
    <sheet name="NDIC Typical cumulative" sheetId="5" r:id="rId4"/>
    <sheet name="Diffusion Linearization" sheetId="6" r:id="rId5"/>
  </sheets>
  <calcPr calcId="125725"/>
</workbook>
</file>

<file path=xl/calcChain.xml><?xml version="1.0" encoding="utf-8"?>
<calcChain xmlns="http://schemas.openxmlformats.org/spreadsheetml/2006/main">
  <c r="E9" i="5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8"/>
  <c r="E7"/>
  <c r="E6"/>
  <c r="E5"/>
  <c r="E4"/>
  <c r="D4"/>
  <c r="D1"/>
  <c r="C1"/>
  <c r="B50" i="6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C5"/>
  <c r="D5"/>
  <c r="Q5" i="1" l="1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B4" i="5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F4"/>
  <c r="C4" s="1"/>
  <c r="A5"/>
  <c r="E15" i="4"/>
  <c r="F15" s="1"/>
  <c r="E14"/>
  <c r="F14" s="1"/>
  <c r="E13"/>
  <c r="F13" s="1"/>
  <c r="E12"/>
  <c r="F12" s="1"/>
  <c r="E11"/>
  <c r="F11" s="1"/>
  <c r="E10"/>
  <c r="F10" s="1"/>
  <c r="E9"/>
  <c r="F9" s="1"/>
  <c r="E8"/>
  <c r="F8" s="1"/>
  <c r="E7"/>
  <c r="F7" s="1"/>
  <c r="E6"/>
  <c r="F6" s="1"/>
  <c r="E5"/>
  <c r="F5" s="1"/>
  <c r="C5" s="1"/>
  <c r="E4"/>
  <c r="F4" s="1"/>
  <c r="C4" s="1"/>
  <c r="E3"/>
  <c r="F3" s="1"/>
  <c r="S362" i="3"/>
  <c r="S361"/>
  <c r="S360"/>
  <c r="S359"/>
  <c r="O359" s="1"/>
  <c r="S358"/>
  <c r="O358" s="1"/>
  <c r="S357"/>
  <c r="S356"/>
  <c r="S355"/>
  <c r="S354"/>
  <c r="S353"/>
  <c r="O353" s="1"/>
  <c r="S352"/>
  <c r="S351"/>
  <c r="S350"/>
  <c r="O350" s="1"/>
  <c r="S349"/>
  <c r="S348"/>
  <c r="S347"/>
  <c r="S346"/>
  <c r="S345"/>
  <c r="S344"/>
  <c r="O344" s="1"/>
  <c r="S343"/>
  <c r="O343" s="1"/>
  <c r="S342"/>
  <c r="O342" s="1"/>
  <c r="S341"/>
  <c r="S340"/>
  <c r="S339"/>
  <c r="S338"/>
  <c r="S337"/>
  <c r="S336"/>
  <c r="S335"/>
  <c r="O335" s="1"/>
  <c r="S334"/>
  <c r="S333"/>
  <c r="S332"/>
  <c r="S331"/>
  <c r="O331" s="1"/>
  <c r="S330"/>
  <c r="S329"/>
  <c r="S328"/>
  <c r="S327"/>
  <c r="O327" s="1"/>
  <c r="S326"/>
  <c r="S325"/>
  <c r="S324"/>
  <c r="S323"/>
  <c r="S322"/>
  <c r="S321"/>
  <c r="S320"/>
  <c r="O320" s="1"/>
  <c r="S319"/>
  <c r="O319" s="1"/>
  <c r="S318"/>
  <c r="S317"/>
  <c r="S316"/>
  <c r="O316" s="1"/>
  <c r="S315"/>
  <c r="O315" s="1"/>
  <c r="S314"/>
  <c r="S313"/>
  <c r="O313" s="1"/>
  <c r="S312"/>
  <c r="O312" s="1"/>
  <c r="S311"/>
  <c r="S310"/>
  <c r="S309"/>
  <c r="S308"/>
  <c r="S307"/>
  <c r="S306"/>
  <c r="S305"/>
  <c r="O305" s="1"/>
  <c r="S304"/>
  <c r="O304" s="1"/>
  <c r="S303"/>
  <c r="O303" s="1"/>
  <c r="S302"/>
  <c r="S301"/>
  <c r="S300"/>
  <c r="S299"/>
  <c r="S298"/>
  <c r="S297"/>
  <c r="O297" s="1"/>
  <c r="S296"/>
  <c r="O296" s="1"/>
  <c r="S295"/>
  <c r="O295" s="1"/>
  <c r="S294"/>
  <c r="S293"/>
  <c r="S292"/>
  <c r="S291"/>
  <c r="S290"/>
  <c r="S289"/>
  <c r="O289" s="1"/>
  <c r="S288"/>
  <c r="O288" s="1"/>
  <c r="S287"/>
  <c r="S286"/>
  <c r="S285"/>
  <c r="S284"/>
  <c r="S283"/>
  <c r="S282"/>
  <c r="S281"/>
  <c r="O281" s="1"/>
  <c r="S280"/>
  <c r="O280" s="1"/>
  <c r="S279"/>
  <c r="S278"/>
  <c r="S277"/>
  <c r="S276"/>
  <c r="S275"/>
  <c r="S274"/>
  <c r="S273"/>
  <c r="O273" s="1"/>
  <c r="S272"/>
  <c r="O272" s="1"/>
  <c r="S271"/>
  <c r="S270"/>
  <c r="S269"/>
  <c r="S268"/>
  <c r="S267"/>
  <c r="S266"/>
  <c r="S265"/>
  <c r="O265" s="1"/>
  <c r="S264"/>
  <c r="O264" s="1"/>
  <c r="S263"/>
  <c r="S262"/>
  <c r="S261"/>
  <c r="S260"/>
  <c r="S259"/>
  <c r="S258"/>
  <c r="S257"/>
  <c r="O257" s="1"/>
  <c r="S256"/>
  <c r="S255"/>
  <c r="S254"/>
  <c r="S253"/>
  <c r="S252"/>
  <c r="S251"/>
  <c r="S250"/>
  <c r="S249"/>
  <c r="O249" s="1"/>
  <c r="S248"/>
  <c r="S247"/>
  <c r="S246"/>
  <c r="S245"/>
  <c r="S244"/>
  <c r="S243"/>
  <c r="S242"/>
  <c r="S241"/>
  <c r="O241" s="1"/>
  <c r="S240"/>
  <c r="S239"/>
  <c r="S238"/>
  <c r="S237"/>
  <c r="S236"/>
  <c r="S235"/>
  <c r="S234"/>
  <c r="S233"/>
  <c r="O233" s="1"/>
  <c r="S232"/>
  <c r="S231"/>
  <c r="S230"/>
  <c r="S229"/>
  <c r="S228"/>
  <c r="O228" s="1"/>
  <c r="S227"/>
  <c r="S226"/>
  <c r="S225"/>
  <c r="O225" s="1"/>
  <c r="S224"/>
  <c r="S223"/>
  <c r="S222"/>
  <c r="S221"/>
  <c r="S220"/>
  <c r="S219"/>
  <c r="S218"/>
  <c r="S217"/>
  <c r="O217" s="1"/>
  <c r="S216"/>
  <c r="S215"/>
  <c r="S214"/>
  <c r="S213"/>
  <c r="S212"/>
  <c r="S211"/>
  <c r="O211" s="1"/>
  <c r="S210"/>
  <c r="S209"/>
  <c r="O209" s="1"/>
  <c r="S208"/>
  <c r="S207"/>
  <c r="S206"/>
  <c r="S205"/>
  <c r="S204"/>
  <c r="S203"/>
  <c r="S202"/>
  <c r="S201"/>
  <c r="O201" s="1"/>
  <c r="S200"/>
  <c r="S199"/>
  <c r="S198"/>
  <c r="S197"/>
  <c r="S196"/>
  <c r="S195"/>
  <c r="S194"/>
  <c r="S193"/>
  <c r="O193" s="1"/>
  <c r="S192"/>
  <c r="S191"/>
  <c r="S190"/>
  <c r="S189"/>
  <c r="S188"/>
  <c r="O188" s="1"/>
  <c r="S187"/>
  <c r="S186"/>
  <c r="S185"/>
  <c r="O185" s="1"/>
  <c r="S184"/>
  <c r="S183"/>
  <c r="S182"/>
  <c r="S181"/>
  <c r="S180"/>
  <c r="O180" s="1"/>
  <c r="S179"/>
  <c r="O179" s="1"/>
  <c r="S178"/>
  <c r="S177"/>
  <c r="O177" s="1"/>
  <c r="S176"/>
  <c r="O176" s="1"/>
  <c r="S175"/>
  <c r="S174"/>
  <c r="S173"/>
  <c r="S172"/>
  <c r="O172" s="1"/>
  <c r="S171"/>
  <c r="O171" s="1"/>
  <c r="S170"/>
  <c r="S169"/>
  <c r="O169" s="1"/>
  <c r="S168"/>
  <c r="O168" s="1"/>
  <c r="S167"/>
  <c r="S166"/>
  <c r="S165"/>
  <c r="S164"/>
  <c r="O164" s="1"/>
  <c r="S163"/>
  <c r="S162"/>
  <c r="S161"/>
  <c r="O161" s="1"/>
  <c r="S160"/>
  <c r="O160" s="1"/>
  <c r="S159"/>
  <c r="S158"/>
  <c r="S157"/>
  <c r="S156"/>
  <c r="O156" s="1"/>
  <c r="S155"/>
  <c r="O155" s="1"/>
  <c r="S154"/>
  <c r="S153"/>
  <c r="O153" s="1"/>
  <c r="S152"/>
  <c r="O152" s="1"/>
  <c r="S151"/>
  <c r="S150"/>
  <c r="S149"/>
  <c r="S148"/>
  <c r="O148" s="1"/>
  <c r="S147"/>
  <c r="O147" s="1"/>
  <c r="S146"/>
  <c r="S145"/>
  <c r="O145" s="1"/>
  <c r="S144"/>
  <c r="O144" s="1"/>
  <c r="S143"/>
  <c r="S142"/>
  <c r="S141"/>
  <c r="S140"/>
  <c r="O140" s="1"/>
  <c r="S139"/>
  <c r="O139" s="1"/>
  <c r="S138"/>
  <c r="S137"/>
  <c r="O137" s="1"/>
  <c r="S136"/>
  <c r="O136" s="1"/>
  <c r="S135"/>
  <c r="S134"/>
  <c r="S133"/>
  <c r="S132"/>
  <c r="O132" s="1"/>
  <c r="S131"/>
  <c r="S130"/>
  <c r="S129"/>
  <c r="O129" s="1"/>
  <c r="S128"/>
  <c r="O128" s="1"/>
  <c r="S127"/>
  <c r="S126"/>
  <c r="S125"/>
  <c r="S124"/>
  <c r="O124" s="1"/>
  <c r="S123"/>
  <c r="S122"/>
  <c r="S121"/>
  <c r="O121" s="1"/>
  <c r="S120"/>
  <c r="O120" s="1"/>
  <c r="S119"/>
  <c r="S118"/>
  <c r="S117"/>
  <c r="S116"/>
  <c r="O116" s="1"/>
  <c r="S115"/>
  <c r="S114"/>
  <c r="S113"/>
  <c r="O113" s="1"/>
  <c r="S112"/>
  <c r="O112" s="1"/>
  <c r="S111"/>
  <c r="O111" s="1"/>
  <c r="S110"/>
  <c r="S109"/>
  <c r="S108"/>
  <c r="O108" s="1"/>
  <c r="S107"/>
  <c r="O107" s="1"/>
  <c r="S106"/>
  <c r="S105"/>
  <c r="S104"/>
  <c r="S103"/>
  <c r="S102"/>
  <c r="S101"/>
  <c r="S100"/>
  <c r="O100" s="1"/>
  <c r="S99"/>
  <c r="O99" s="1"/>
  <c r="S98"/>
  <c r="S97"/>
  <c r="S96"/>
  <c r="S95"/>
  <c r="S94"/>
  <c r="S93"/>
  <c r="S92"/>
  <c r="O92" s="1"/>
  <c r="S91"/>
  <c r="O91" s="1"/>
  <c r="S90"/>
  <c r="O90" s="1"/>
  <c r="S89"/>
  <c r="S88"/>
  <c r="S87"/>
  <c r="S86"/>
  <c r="S85"/>
  <c r="S84"/>
  <c r="O84" s="1"/>
  <c r="S83"/>
  <c r="O83" s="1"/>
  <c r="S82"/>
  <c r="O82" s="1"/>
  <c r="S81"/>
  <c r="S80"/>
  <c r="S79"/>
  <c r="S78"/>
  <c r="S77"/>
  <c r="S76"/>
  <c r="O76" s="1"/>
  <c r="S75"/>
  <c r="O75" s="1"/>
  <c r="S74"/>
  <c r="O74" s="1"/>
  <c r="S73"/>
  <c r="S72"/>
  <c r="S71"/>
  <c r="S70"/>
  <c r="O70" s="1"/>
  <c r="S69"/>
  <c r="S68"/>
  <c r="O68" s="1"/>
  <c r="S67"/>
  <c r="O67" s="1"/>
  <c r="S66"/>
  <c r="O66" s="1"/>
  <c r="S65"/>
  <c r="S64"/>
  <c r="S63"/>
  <c r="S62"/>
  <c r="S61"/>
  <c r="S60"/>
  <c r="O60" s="1"/>
  <c r="S59"/>
  <c r="O59" s="1"/>
  <c r="S58"/>
  <c r="S57"/>
  <c r="S56"/>
  <c r="S55"/>
  <c r="S54"/>
  <c r="S53"/>
  <c r="O53" s="1"/>
  <c r="S52"/>
  <c r="O52" s="1"/>
  <c r="S51"/>
  <c r="O51" s="1"/>
  <c r="S50"/>
  <c r="O50" s="1"/>
  <c r="S49"/>
  <c r="S48"/>
  <c r="S47"/>
  <c r="S46"/>
  <c r="S45"/>
  <c r="S44"/>
  <c r="O44" s="1"/>
  <c r="S43"/>
  <c r="O43" s="1"/>
  <c r="S42"/>
  <c r="S41"/>
  <c r="S40"/>
  <c r="S39"/>
  <c r="S38"/>
  <c r="S37"/>
  <c r="S36"/>
  <c r="O36" s="1"/>
  <c r="S35"/>
  <c r="O35" s="1"/>
  <c r="S34"/>
  <c r="O34" s="1"/>
  <c r="S33"/>
  <c r="S32"/>
  <c r="S31"/>
  <c r="S30"/>
  <c r="S29"/>
  <c r="S28"/>
  <c r="O28" s="1"/>
  <c r="S27"/>
  <c r="O27" s="1"/>
  <c r="S26"/>
  <c r="O26" s="1"/>
  <c r="S25"/>
  <c r="O25" s="1"/>
  <c r="S24"/>
  <c r="S23"/>
  <c r="S22"/>
  <c r="S21"/>
  <c r="S20"/>
  <c r="O20" s="1"/>
  <c r="S19"/>
  <c r="O19" s="1"/>
  <c r="S18"/>
  <c r="O18" s="1"/>
  <c r="S17"/>
  <c r="O17" s="1"/>
  <c r="S16"/>
  <c r="S15"/>
  <c r="S14"/>
  <c r="S13"/>
  <c r="S12"/>
  <c r="O12" s="1"/>
  <c r="S11"/>
  <c r="O11" s="1"/>
  <c r="S10"/>
  <c r="O10" s="1"/>
  <c r="S9"/>
  <c r="O9" s="1"/>
  <c r="S8"/>
  <c r="S7"/>
  <c r="S6"/>
  <c r="S5"/>
  <c r="S4"/>
  <c r="O4" s="1"/>
  <c r="S3"/>
  <c r="Q362"/>
  <c r="Q361"/>
  <c r="N361" s="1"/>
  <c r="Q360"/>
  <c r="N360" s="1"/>
  <c r="Q359"/>
  <c r="Q358"/>
  <c r="Q357"/>
  <c r="Q356"/>
  <c r="Q355"/>
  <c r="Q354"/>
  <c r="Q353"/>
  <c r="Q352"/>
  <c r="N352" s="1"/>
  <c r="Q351"/>
  <c r="Q350"/>
  <c r="Q349"/>
  <c r="Q348"/>
  <c r="Q347"/>
  <c r="Q346"/>
  <c r="Q345"/>
  <c r="Q344"/>
  <c r="Q343"/>
  <c r="N343" s="1"/>
  <c r="Q342"/>
  <c r="Q341"/>
  <c r="Q340"/>
  <c r="Q339"/>
  <c r="Q338"/>
  <c r="N338" s="1"/>
  <c r="Q337"/>
  <c r="N337" s="1"/>
  <c r="Q336"/>
  <c r="N336" s="1"/>
  <c r="Q335"/>
  <c r="Q334"/>
  <c r="Q333"/>
  <c r="Q332"/>
  <c r="Q331"/>
  <c r="N331" s="1"/>
  <c r="Q330"/>
  <c r="N330" s="1"/>
  <c r="Q329"/>
  <c r="Q328"/>
  <c r="Q327"/>
  <c r="Q326"/>
  <c r="Q325"/>
  <c r="Q324"/>
  <c r="Q323"/>
  <c r="Q322"/>
  <c r="Q321"/>
  <c r="N321" s="1"/>
  <c r="Q320"/>
  <c r="Q319"/>
  <c r="N319" s="1"/>
  <c r="Q318"/>
  <c r="Q317"/>
  <c r="Q316"/>
  <c r="Q315"/>
  <c r="Q314"/>
  <c r="N314" s="1"/>
  <c r="Q313"/>
  <c r="N313" s="1"/>
  <c r="Q312"/>
  <c r="Q311"/>
  <c r="N311" s="1"/>
  <c r="Q310"/>
  <c r="Q309"/>
  <c r="Q308"/>
  <c r="N308" s="1"/>
  <c r="Q307"/>
  <c r="Q306"/>
  <c r="N306" s="1"/>
  <c r="Q305"/>
  <c r="N305" s="1"/>
  <c r="Q304"/>
  <c r="Q303"/>
  <c r="N303" s="1"/>
  <c r="Q302"/>
  <c r="Q301"/>
  <c r="Q300"/>
  <c r="N300" s="1"/>
  <c r="Q299"/>
  <c r="Q298"/>
  <c r="N298" s="1"/>
  <c r="Q297"/>
  <c r="N297" s="1"/>
  <c r="Q296"/>
  <c r="Q295"/>
  <c r="N295" s="1"/>
  <c r="Q294"/>
  <c r="Q293"/>
  <c r="Q292"/>
  <c r="Q291"/>
  <c r="N291" s="1"/>
  <c r="Q290"/>
  <c r="N290" s="1"/>
  <c r="Q289"/>
  <c r="N289" s="1"/>
  <c r="Q288"/>
  <c r="Q287"/>
  <c r="N287" s="1"/>
  <c r="Q286"/>
  <c r="Q285"/>
  <c r="Q284"/>
  <c r="Q283"/>
  <c r="N283" s="1"/>
  <c r="Q282"/>
  <c r="N282" s="1"/>
  <c r="Q281"/>
  <c r="N281" s="1"/>
  <c r="Q280"/>
  <c r="Q279"/>
  <c r="N279" s="1"/>
  <c r="Q278"/>
  <c r="Q277"/>
  <c r="Q276"/>
  <c r="Q275"/>
  <c r="N275" s="1"/>
  <c r="Q274"/>
  <c r="N274" s="1"/>
  <c r="Q273"/>
  <c r="N273" s="1"/>
  <c r="Q272"/>
  <c r="Q271"/>
  <c r="N271" s="1"/>
  <c r="Q270"/>
  <c r="Q269"/>
  <c r="Q268"/>
  <c r="Q267"/>
  <c r="N267" s="1"/>
  <c r="Q266"/>
  <c r="N266" s="1"/>
  <c r="Q265"/>
  <c r="N265" s="1"/>
  <c r="Q264"/>
  <c r="Q263"/>
  <c r="N263" s="1"/>
  <c r="Q262"/>
  <c r="Q261"/>
  <c r="Q260"/>
  <c r="Q259"/>
  <c r="Q258"/>
  <c r="N258" s="1"/>
  <c r="Q257"/>
  <c r="N257" s="1"/>
  <c r="Q256"/>
  <c r="Q255"/>
  <c r="N255" s="1"/>
  <c r="Q254"/>
  <c r="Q253"/>
  <c r="Q252"/>
  <c r="N252" s="1"/>
  <c r="Q251"/>
  <c r="Q250"/>
  <c r="N250" s="1"/>
  <c r="Q249"/>
  <c r="N249" s="1"/>
  <c r="Q248"/>
  <c r="Q247"/>
  <c r="N247" s="1"/>
  <c r="Q246"/>
  <c r="Q245"/>
  <c r="Q244"/>
  <c r="Q243"/>
  <c r="N243" s="1"/>
  <c r="Q242"/>
  <c r="N242" s="1"/>
  <c r="Q241"/>
  <c r="N241" s="1"/>
  <c r="Q240"/>
  <c r="Q239"/>
  <c r="N239" s="1"/>
  <c r="Q238"/>
  <c r="Q237"/>
  <c r="Q236"/>
  <c r="Q235"/>
  <c r="N235" s="1"/>
  <c r="Q234"/>
  <c r="N234" s="1"/>
  <c r="Q233"/>
  <c r="N233" s="1"/>
  <c r="Q232"/>
  <c r="Q231"/>
  <c r="N231" s="1"/>
  <c r="Q230"/>
  <c r="Q229"/>
  <c r="Q228"/>
  <c r="Q227"/>
  <c r="Q226"/>
  <c r="N226" s="1"/>
  <c r="Q225"/>
  <c r="N225" s="1"/>
  <c r="Q224"/>
  <c r="Q223"/>
  <c r="N223" s="1"/>
  <c r="Q222"/>
  <c r="Q221"/>
  <c r="Q220"/>
  <c r="N220" s="1"/>
  <c r="Q219"/>
  <c r="Q218"/>
  <c r="N218" s="1"/>
  <c r="Q217"/>
  <c r="N217" s="1"/>
  <c r="Q216"/>
  <c r="Q215"/>
  <c r="N215" s="1"/>
  <c r="Q214"/>
  <c r="Q213"/>
  <c r="Q212"/>
  <c r="Q211"/>
  <c r="N211" s="1"/>
  <c r="Q210"/>
  <c r="N210" s="1"/>
  <c r="Q209"/>
  <c r="N209" s="1"/>
  <c r="Q208"/>
  <c r="Q207"/>
  <c r="N207" s="1"/>
  <c r="Q206"/>
  <c r="Q205"/>
  <c r="Q204"/>
  <c r="Q203"/>
  <c r="N203" s="1"/>
  <c r="Q202"/>
  <c r="N202" s="1"/>
  <c r="Q201"/>
  <c r="N201" s="1"/>
  <c r="Q200"/>
  <c r="Q199"/>
  <c r="N199" s="1"/>
  <c r="Q198"/>
  <c r="Q197"/>
  <c r="Q196"/>
  <c r="Q195"/>
  <c r="Q194"/>
  <c r="N194" s="1"/>
  <c r="Q193"/>
  <c r="N193" s="1"/>
  <c r="Q192"/>
  <c r="Q191"/>
  <c r="N191" s="1"/>
  <c r="Q190"/>
  <c r="Q189"/>
  <c r="Q188"/>
  <c r="N188" s="1"/>
  <c r="Q187"/>
  <c r="Q186"/>
  <c r="N186" s="1"/>
  <c r="Q185"/>
  <c r="N185" s="1"/>
  <c r="Q184"/>
  <c r="Q183"/>
  <c r="N183" s="1"/>
  <c r="Q182"/>
  <c r="Q181"/>
  <c r="Q180"/>
  <c r="Q179"/>
  <c r="N179" s="1"/>
  <c r="Q178"/>
  <c r="Q177"/>
  <c r="Q176"/>
  <c r="Q175"/>
  <c r="Q174"/>
  <c r="Q173"/>
  <c r="Q172"/>
  <c r="Q171"/>
  <c r="N171" s="1"/>
  <c r="Q170"/>
  <c r="Q169"/>
  <c r="Q168"/>
  <c r="Q167"/>
  <c r="Q166"/>
  <c r="Q165"/>
  <c r="Q164"/>
  <c r="N164" s="1"/>
  <c r="Q163"/>
  <c r="N163" s="1"/>
  <c r="Q162"/>
  <c r="Q161"/>
  <c r="Q160"/>
  <c r="Q159"/>
  <c r="Q158"/>
  <c r="Q157"/>
  <c r="Q156"/>
  <c r="N156" s="1"/>
  <c r="Q155"/>
  <c r="N155" s="1"/>
  <c r="Q154"/>
  <c r="Q153"/>
  <c r="Q152"/>
  <c r="Q151"/>
  <c r="Q150"/>
  <c r="Q149"/>
  <c r="Q148"/>
  <c r="Q147"/>
  <c r="N147" s="1"/>
  <c r="Q146"/>
  <c r="Q145"/>
  <c r="Q144"/>
  <c r="Q143"/>
  <c r="Q142"/>
  <c r="Q141"/>
  <c r="Q140"/>
  <c r="Q139"/>
  <c r="N139" s="1"/>
  <c r="Q138"/>
  <c r="Q137"/>
  <c r="Q136"/>
  <c r="Q135"/>
  <c r="Q134"/>
  <c r="Q133"/>
  <c r="Q132"/>
  <c r="Q131"/>
  <c r="Q130"/>
  <c r="Q129"/>
  <c r="Q128"/>
  <c r="Q127"/>
  <c r="Q126"/>
  <c r="Q125"/>
  <c r="Q124"/>
  <c r="Q123"/>
  <c r="N123" s="1"/>
  <c r="Q122"/>
  <c r="Q121"/>
  <c r="N121" s="1"/>
  <c r="Q120"/>
  <c r="N120" s="1"/>
  <c r="Q119"/>
  <c r="Q118"/>
  <c r="Q117"/>
  <c r="Q116"/>
  <c r="Q115"/>
  <c r="N115" s="1"/>
  <c r="Q114"/>
  <c r="N114" s="1"/>
  <c r="Q113"/>
  <c r="N113" s="1"/>
  <c r="Q112"/>
  <c r="N112" s="1"/>
  <c r="Q111"/>
  <c r="N111" s="1"/>
  <c r="Q110"/>
  <c r="N110" s="1"/>
  <c r="Q109"/>
  <c r="N109" s="1"/>
  <c r="Q108"/>
  <c r="Q107"/>
  <c r="N107" s="1"/>
  <c r="Q106"/>
  <c r="N106" s="1"/>
  <c r="Q105"/>
  <c r="Q104"/>
  <c r="Q103"/>
  <c r="Q102"/>
  <c r="Q101"/>
  <c r="Q100"/>
  <c r="N100" s="1"/>
  <c r="Q99"/>
  <c r="N99" s="1"/>
  <c r="Q98"/>
  <c r="N98" s="1"/>
  <c r="Q97"/>
  <c r="Q96"/>
  <c r="Q95"/>
  <c r="Q94"/>
  <c r="Q93"/>
  <c r="Q92"/>
  <c r="N92" s="1"/>
  <c r="Q91"/>
  <c r="N91" s="1"/>
  <c r="Q90"/>
  <c r="N90" s="1"/>
  <c r="Q89"/>
  <c r="Q88"/>
  <c r="Q87"/>
  <c r="Q86"/>
  <c r="N86" s="1"/>
  <c r="Q85"/>
  <c r="N85" s="1"/>
  <c r="Q84"/>
  <c r="Q83"/>
  <c r="N83" s="1"/>
  <c r="Q82"/>
  <c r="N82" s="1"/>
  <c r="Q81"/>
  <c r="Q80"/>
  <c r="Q79"/>
  <c r="Q78"/>
  <c r="Q77"/>
  <c r="N77" s="1"/>
  <c r="Q76"/>
  <c r="N76" s="1"/>
  <c r="Q75"/>
  <c r="N75" s="1"/>
  <c r="Q74"/>
  <c r="N74" s="1"/>
  <c r="Q73"/>
  <c r="Q72"/>
  <c r="Q71"/>
  <c r="Q70"/>
  <c r="Q69"/>
  <c r="N69" s="1"/>
  <c r="Q68"/>
  <c r="N68" s="1"/>
  <c r="Q67"/>
  <c r="N67" s="1"/>
  <c r="Q66"/>
  <c r="N66" s="1"/>
  <c r="Q65"/>
  <c r="Q64"/>
  <c r="Q63"/>
  <c r="Q62"/>
  <c r="N62" s="1"/>
  <c r="Q61"/>
  <c r="N61" s="1"/>
  <c r="Q60"/>
  <c r="N60" s="1"/>
  <c r="Q59"/>
  <c r="N59" s="1"/>
  <c r="Q58"/>
  <c r="N58" s="1"/>
  <c r="Q57"/>
  <c r="Q56"/>
  <c r="Q55"/>
  <c r="Q54"/>
  <c r="Q53"/>
  <c r="N53" s="1"/>
  <c r="Q52"/>
  <c r="N52" s="1"/>
  <c r="Q51"/>
  <c r="N51" s="1"/>
  <c r="Q50"/>
  <c r="N50" s="1"/>
  <c r="Q49"/>
  <c r="Q48"/>
  <c r="Q47"/>
  <c r="Q46"/>
  <c r="Q45"/>
  <c r="Q44"/>
  <c r="N44" s="1"/>
  <c r="Q43"/>
  <c r="N43" s="1"/>
  <c r="Q42"/>
  <c r="N42" s="1"/>
  <c r="Q41"/>
  <c r="Q40"/>
  <c r="Q39"/>
  <c r="Q38"/>
  <c r="Q37"/>
  <c r="N37" s="1"/>
  <c r="Q36"/>
  <c r="Q35"/>
  <c r="N35" s="1"/>
  <c r="Q34"/>
  <c r="N34" s="1"/>
  <c r="Q33"/>
  <c r="Q32"/>
  <c r="Q31"/>
  <c r="Q30"/>
  <c r="Q29"/>
  <c r="N29" s="1"/>
  <c r="Q28"/>
  <c r="N28" s="1"/>
  <c r="Q27"/>
  <c r="N27" s="1"/>
  <c r="Q26"/>
  <c r="N26" s="1"/>
  <c r="Q25"/>
  <c r="Q24"/>
  <c r="Q23"/>
  <c r="Q22"/>
  <c r="Q21"/>
  <c r="N21" s="1"/>
  <c r="Q20"/>
  <c r="N20" s="1"/>
  <c r="Q19"/>
  <c r="N19" s="1"/>
  <c r="Q18"/>
  <c r="N18" s="1"/>
  <c r="Q17"/>
  <c r="Q16"/>
  <c r="Q15"/>
  <c r="Q14"/>
  <c r="Q13"/>
  <c r="N13" s="1"/>
  <c r="Q12"/>
  <c r="N12" s="1"/>
  <c r="Q11"/>
  <c r="N11" s="1"/>
  <c r="Q10"/>
  <c r="N10" s="1"/>
  <c r="Q9"/>
  <c r="Q8"/>
  <c r="Q7"/>
  <c r="Q6"/>
  <c r="Q5"/>
  <c r="N5" s="1"/>
  <c r="Q4"/>
  <c r="N4" s="1"/>
  <c r="Q3"/>
  <c r="N3" s="1"/>
  <c r="H362"/>
  <c r="O361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N131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R363" i="1"/>
  <c r="S363" s="1"/>
  <c r="O363" s="1"/>
  <c r="R362"/>
  <c r="S362" s="1"/>
  <c r="O362" s="1"/>
  <c r="R361"/>
  <c r="S361" s="1"/>
  <c r="O361" s="1"/>
  <c r="R360"/>
  <c r="S360" s="1"/>
  <c r="O360" s="1"/>
  <c r="R359"/>
  <c r="S359" s="1"/>
  <c r="O359" s="1"/>
  <c r="R358"/>
  <c r="S358" s="1"/>
  <c r="O358" s="1"/>
  <c r="R357"/>
  <c r="S357" s="1"/>
  <c r="O357" s="1"/>
  <c r="R356"/>
  <c r="S356" s="1"/>
  <c r="O356" s="1"/>
  <c r="R355"/>
  <c r="S355" s="1"/>
  <c r="O355" s="1"/>
  <c r="R354"/>
  <c r="S354" s="1"/>
  <c r="O354" s="1"/>
  <c r="R353"/>
  <c r="S353" s="1"/>
  <c r="O353" s="1"/>
  <c r="R352"/>
  <c r="S352" s="1"/>
  <c r="O352" s="1"/>
  <c r="R351"/>
  <c r="S351" s="1"/>
  <c r="O351" s="1"/>
  <c r="R350"/>
  <c r="S350" s="1"/>
  <c r="O350" s="1"/>
  <c r="R349"/>
  <c r="S349" s="1"/>
  <c r="O349" s="1"/>
  <c r="R348"/>
  <c r="S348" s="1"/>
  <c r="O348" s="1"/>
  <c r="R347"/>
  <c r="S347" s="1"/>
  <c r="O347" s="1"/>
  <c r="R346"/>
  <c r="S346" s="1"/>
  <c r="O346" s="1"/>
  <c r="R345"/>
  <c r="S345" s="1"/>
  <c r="O345" s="1"/>
  <c r="R344"/>
  <c r="S344" s="1"/>
  <c r="O344" s="1"/>
  <c r="R343"/>
  <c r="S343" s="1"/>
  <c r="O343" s="1"/>
  <c r="R342"/>
  <c r="S342" s="1"/>
  <c r="O342" s="1"/>
  <c r="R341"/>
  <c r="S341" s="1"/>
  <c r="O341" s="1"/>
  <c r="R340"/>
  <c r="S340" s="1"/>
  <c r="O340" s="1"/>
  <c r="R339"/>
  <c r="S339" s="1"/>
  <c r="O339" s="1"/>
  <c r="R338"/>
  <c r="S338" s="1"/>
  <c r="O338" s="1"/>
  <c r="R337"/>
  <c r="S337" s="1"/>
  <c r="O337" s="1"/>
  <c r="R336"/>
  <c r="S336" s="1"/>
  <c r="O336" s="1"/>
  <c r="R335"/>
  <c r="S335" s="1"/>
  <c r="O335" s="1"/>
  <c r="R334"/>
  <c r="S334" s="1"/>
  <c r="O334" s="1"/>
  <c r="R333"/>
  <c r="S333" s="1"/>
  <c r="O333" s="1"/>
  <c r="R332"/>
  <c r="S332" s="1"/>
  <c r="O332" s="1"/>
  <c r="R331"/>
  <c r="S331" s="1"/>
  <c r="O331" s="1"/>
  <c r="R330"/>
  <c r="S330" s="1"/>
  <c r="O330" s="1"/>
  <c r="R329"/>
  <c r="S329" s="1"/>
  <c r="O329" s="1"/>
  <c r="R328"/>
  <c r="S328" s="1"/>
  <c r="O328" s="1"/>
  <c r="R327"/>
  <c r="S327" s="1"/>
  <c r="O327" s="1"/>
  <c r="R326"/>
  <c r="S326" s="1"/>
  <c r="O326" s="1"/>
  <c r="R325"/>
  <c r="S325" s="1"/>
  <c r="O325" s="1"/>
  <c r="R324"/>
  <c r="S324" s="1"/>
  <c r="O324" s="1"/>
  <c r="R323"/>
  <c r="S323" s="1"/>
  <c r="O323" s="1"/>
  <c r="R322"/>
  <c r="S322" s="1"/>
  <c r="O322" s="1"/>
  <c r="R321"/>
  <c r="S321" s="1"/>
  <c r="O321" s="1"/>
  <c r="R320"/>
  <c r="S320" s="1"/>
  <c r="O320" s="1"/>
  <c r="R319"/>
  <c r="S319" s="1"/>
  <c r="O319" s="1"/>
  <c r="R318"/>
  <c r="S318" s="1"/>
  <c r="O318" s="1"/>
  <c r="R317"/>
  <c r="S317" s="1"/>
  <c r="O317" s="1"/>
  <c r="R316"/>
  <c r="S316" s="1"/>
  <c r="O316" s="1"/>
  <c r="R315"/>
  <c r="S315" s="1"/>
  <c r="O315" s="1"/>
  <c r="R314"/>
  <c r="S314" s="1"/>
  <c r="O314" s="1"/>
  <c r="R313"/>
  <c r="S313" s="1"/>
  <c r="O313" s="1"/>
  <c r="R312"/>
  <c r="S312" s="1"/>
  <c r="O312" s="1"/>
  <c r="R311"/>
  <c r="S311" s="1"/>
  <c r="O311" s="1"/>
  <c r="R310"/>
  <c r="S310" s="1"/>
  <c r="O310" s="1"/>
  <c r="R309"/>
  <c r="S309" s="1"/>
  <c r="O309" s="1"/>
  <c r="R308"/>
  <c r="S308" s="1"/>
  <c r="O308" s="1"/>
  <c r="R307"/>
  <c r="S307" s="1"/>
  <c r="O307" s="1"/>
  <c r="R306"/>
  <c r="S306" s="1"/>
  <c r="O306" s="1"/>
  <c r="R305"/>
  <c r="S305" s="1"/>
  <c r="O305" s="1"/>
  <c r="R304"/>
  <c r="S304" s="1"/>
  <c r="O304" s="1"/>
  <c r="R303"/>
  <c r="S303" s="1"/>
  <c r="O303" s="1"/>
  <c r="R302"/>
  <c r="S302" s="1"/>
  <c r="O302" s="1"/>
  <c r="R301"/>
  <c r="S301" s="1"/>
  <c r="O301" s="1"/>
  <c r="R300"/>
  <c r="S300" s="1"/>
  <c r="O300" s="1"/>
  <c r="R299"/>
  <c r="S299" s="1"/>
  <c r="O299" s="1"/>
  <c r="R298"/>
  <c r="S298" s="1"/>
  <c r="O298" s="1"/>
  <c r="R297"/>
  <c r="S297" s="1"/>
  <c r="O297" s="1"/>
  <c r="R296"/>
  <c r="S296" s="1"/>
  <c r="O296" s="1"/>
  <c r="R295"/>
  <c r="S295" s="1"/>
  <c r="O295" s="1"/>
  <c r="R294"/>
  <c r="S294" s="1"/>
  <c r="O294" s="1"/>
  <c r="R293"/>
  <c r="S293" s="1"/>
  <c r="O293" s="1"/>
  <c r="R292"/>
  <c r="S292" s="1"/>
  <c r="O292" s="1"/>
  <c r="R291"/>
  <c r="S291" s="1"/>
  <c r="O291" s="1"/>
  <c r="R290"/>
  <c r="S290" s="1"/>
  <c r="O290" s="1"/>
  <c r="R289"/>
  <c r="S289" s="1"/>
  <c r="O289" s="1"/>
  <c r="R288"/>
  <c r="S288" s="1"/>
  <c r="O288" s="1"/>
  <c r="R287"/>
  <c r="S287" s="1"/>
  <c r="O287" s="1"/>
  <c r="R286"/>
  <c r="S286" s="1"/>
  <c r="O286" s="1"/>
  <c r="R285"/>
  <c r="S285" s="1"/>
  <c r="O285" s="1"/>
  <c r="R284"/>
  <c r="S284" s="1"/>
  <c r="O284" s="1"/>
  <c r="R283"/>
  <c r="S283" s="1"/>
  <c r="O283" s="1"/>
  <c r="R282"/>
  <c r="S282" s="1"/>
  <c r="O282" s="1"/>
  <c r="R281"/>
  <c r="S281" s="1"/>
  <c r="O281" s="1"/>
  <c r="R280"/>
  <c r="S280" s="1"/>
  <c r="O280" s="1"/>
  <c r="R279"/>
  <c r="S279" s="1"/>
  <c r="O279" s="1"/>
  <c r="R278"/>
  <c r="S278" s="1"/>
  <c r="O278" s="1"/>
  <c r="R277"/>
  <c r="S277" s="1"/>
  <c r="O277" s="1"/>
  <c r="R276"/>
  <c r="S276" s="1"/>
  <c r="O276" s="1"/>
  <c r="R275"/>
  <c r="S275" s="1"/>
  <c r="O275" s="1"/>
  <c r="R274"/>
  <c r="S274" s="1"/>
  <c r="O274" s="1"/>
  <c r="R273"/>
  <c r="S273" s="1"/>
  <c r="O273" s="1"/>
  <c r="R272"/>
  <c r="S272" s="1"/>
  <c r="O272" s="1"/>
  <c r="R271"/>
  <c r="S271" s="1"/>
  <c r="O271" s="1"/>
  <c r="R270"/>
  <c r="S270" s="1"/>
  <c r="O270" s="1"/>
  <c r="R269"/>
  <c r="S269" s="1"/>
  <c r="O269" s="1"/>
  <c r="R268"/>
  <c r="S268" s="1"/>
  <c r="O268" s="1"/>
  <c r="R267"/>
  <c r="S267" s="1"/>
  <c r="O267" s="1"/>
  <c r="R266"/>
  <c r="S266" s="1"/>
  <c r="O266" s="1"/>
  <c r="R265"/>
  <c r="S265" s="1"/>
  <c r="O265" s="1"/>
  <c r="R264"/>
  <c r="S264" s="1"/>
  <c r="O264" s="1"/>
  <c r="R263"/>
  <c r="S263" s="1"/>
  <c r="O263" s="1"/>
  <c r="R262"/>
  <c r="S262" s="1"/>
  <c r="O262" s="1"/>
  <c r="R261"/>
  <c r="S261" s="1"/>
  <c r="O261" s="1"/>
  <c r="R260"/>
  <c r="S260" s="1"/>
  <c r="O260" s="1"/>
  <c r="R259"/>
  <c r="S259" s="1"/>
  <c r="O259" s="1"/>
  <c r="R258"/>
  <c r="S258" s="1"/>
  <c r="O258" s="1"/>
  <c r="R257"/>
  <c r="S257" s="1"/>
  <c r="O257" s="1"/>
  <c r="R256"/>
  <c r="S256" s="1"/>
  <c r="O256" s="1"/>
  <c r="R255"/>
  <c r="S255" s="1"/>
  <c r="O255" s="1"/>
  <c r="R254"/>
  <c r="S254" s="1"/>
  <c r="O254" s="1"/>
  <c r="R253"/>
  <c r="S253" s="1"/>
  <c r="O253" s="1"/>
  <c r="R252"/>
  <c r="S252" s="1"/>
  <c r="O252" s="1"/>
  <c r="R251"/>
  <c r="S251" s="1"/>
  <c r="O251" s="1"/>
  <c r="R250"/>
  <c r="S250" s="1"/>
  <c r="O250" s="1"/>
  <c r="R249"/>
  <c r="S249" s="1"/>
  <c r="O249" s="1"/>
  <c r="R248"/>
  <c r="S248" s="1"/>
  <c r="O248" s="1"/>
  <c r="R247"/>
  <c r="S247" s="1"/>
  <c r="O247" s="1"/>
  <c r="R246"/>
  <c r="S246" s="1"/>
  <c r="O246" s="1"/>
  <c r="R245"/>
  <c r="S245" s="1"/>
  <c r="O245" s="1"/>
  <c r="R244"/>
  <c r="S244" s="1"/>
  <c r="O244" s="1"/>
  <c r="R243"/>
  <c r="S243" s="1"/>
  <c r="O243" s="1"/>
  <c r="R242"/>
  <c r="S242" s="1"/>
  <c r="O242" s="1"/>
  <c r="R241"/>
  <c r="S241" s="1"/>
  <c r="O241" s="1"/>
  <c r="R240"/>
  <c r="S240" s="1"/>
  <c r="O240" s="1"/>
  <c r="R239"/>
  <c r="S239" s="1"/>
  <c r="O239" s="1"/>
  <c r="R238"/>
  <c r="S238" s="1"/>
  <c r="O238" s="1"/>
  <c r="R237"/>
  <c r="S237" s="1"/>
  <c r="O237" s="1"/>
  <c r="R236"/>
  <c r="S236" s="1"/>
  <c r="O236" s="1"/>
  <c r="R235"/>
  <c r="S235" s="1"/>
  <c r="O235" s="1"/>
  <c r="R234"/>
  <c r="S234" s="1"/>
  <c r="O234" s="1"/>
  <c r="R233"/>
  <c r="S233" s="1"/>
  <c r="O233" s="1"/>
  <c r="R232"/>
  <c r="S232" s="1"/>
  <c r="O232" s="1"/>
  <c r="R231"/>
  <c r="S231" s="1"/>
  <c r="O231" s="1"/>
  <c r="R230"/>
  <c r="S230" s="1"/>
  <c r="O230" s="1"/>
  <c r="R229"/>
  <c r="S229" s="1"/>
  <c r="O229" s="1"/>
  <c r="R228"/>
  <c r="S228" s="1"/>
  <c r="O228" s="1"/>
  <c r="R227"/>
  <c r="S227" s="1"/>
  <c r="O227" s="1"/>
  <c r="R226"/>
  <c r="S226" s="1"/>
  <c r="O226" s="1"/>
  <c r="R225"/>
  <c r="S225" s="1"/>
  <c r="O225" s="1"/>
  <c r="R224"/>
  <c r="S224" s="1"/>
  <c r="O224" s="1"/>
  <c r="R223"/>
  <c r="S223" s="1"/>
  <c r="O223" s="1"/>
  <c r="R222"/>
  <c r="S222" s="1"/>
  <c r="O222" s="1"/>
  <c r="R221"/>
  <c r="S221" s="1"/>
  <c r="O221" s="1"/>
  <c r="R220"/>
  <c r="S220" s="1"/>
  <c r="O220" s="1"/>
  <c r="R219"/>
  <c r="S219" s="1"/>
  <c r="O219" s="1"/>
  <c r="R218"/>
  <c r="S218" s="1"/>
  <c r="O218" s="1"/>
  <c r="R217"/>
  <c r="S217" s="1"/>
  <c r="O217" s="1"/>
  <c r="R216"/>
  <c r="S216" s="1"/>
  <c r="O216" s="1"/>
  <c r="R215"/>
  <c r="S215" s="1"/>
  <c r="O215" s="1"/>
  <c r="R214"/>
  <c r="S214" s="1"/>
  <c r="O214" s="1"/>
  <c r="R213"/>
  <c r="S213" s="1"/>
  <c r="O213" s="1"/>
  <c r="R212"/>
  <c r="S212" s="1"/>
  <c r="O212" s="1"/>
  <c r="R211"/>
  <c r="S211" s="1"/>
  <c r="O211" s="1"/>
  <c r="R210"/>
  <c r="S210" s="1"/>
  <c r="O210" s="1"/>
  <c r="R209"/>
  <c r="S209" s="1"/>
  <c r="O209" s="1"/>
  <c r="R208"/>
  <c r="S208" s="1"/>
  <c r="O208" s="1"/>
  <c r="R207"/>
  <c r="S207" s="1"/>
  <c r="O207" s="1"/>
  <c r="R206"/>
  <c r="S206" s="1"/>
  <c r="O206" s="1"/>
  <c r="R205"/>
  <c r="S205" s="1"/>
  <c r="O205" s="1"/>
  <c r="R204"/>
  <c r="S204" s="1"/>
  <c r="O204" s="1"/>
  <c r="R203"/>
  <c r="S203" s="1"/>
  <c r="O203" s="1"/>
  <c r="R202"/>
  <c r="S202" s="1"/>
  <c r="O202" s="1"/>
  <c r="R201"/>
  <c r="S201" s="1"/>
  <c r="O201" s="1"/>
  <c r="R200"/>
  <c r="S200" s="1"/>
  <c r="O200" s="1"/>
  <c r="R199"/>
  <c r="S199" s="1"/>
  <c r="O199" s="1"/>
  <c r="R198"/>
  <c r="S198" s="1"/>
  <c r="O198" s="1"/>
  <c r="R197"/>
  <c r="S197" s="1"/>
  <c r="O197" s="1"/>
  <c r="R196"/>
  <c r="S196" s="1"/>
  <c r="O196" s="1"/>
  <c r="R195"/>
  <c r="S195" s="1"/>
  <c r="O195" s="1"/>
  <c r="R194"/>
  <c r="S194" s="1"/>
  <c r="O194" s="1"/>
  <c r="R193"/>
  <c r="S193" s="1"/>
  <c r="O193" s="1"/>
  <c r="R192"/>
  <c r="S192" s="1"/>
  <c r="O192" s="1"/>
  <c r="R191"/>
  <c r="S191" s="1"/>
  <c r="O191" s="1"/>
  <c r="R190"/>
  <c r="S190" s="1"/>
  <c r="O190" s="1"/>
  <c r="R189"/>
  <c r="S189" s="1"/>
  <c r="O189" s="1"/>
  <c r="R188"/>
  <c r="S188" s="1"/>
  <c r="O188" s="1"/>
  <c r="R187"/>
  <c r="S187" s="1"/>
  <c r="O187" s="1"/>
  <c r="R186"/>
  <c r="S186" s="1"/>
  <c r="O186" s="1"/>
  <c r="R185"/>
  <c r="S185" s="1"/>
  <c r="O185" s="1"/>
  <c r="R184"/>
  <c r="S184" s="1"/>
  <c r="O184" s="1"/>
  <c r="R183"/>
  <c r="S183" s="1"/>
  <c r="O183" s="1"/>
  <c r="R182"/>
  <c r="S182" s="1"/>
  <c r="O182" s="1"/>
  <c r="R181"/>
  <c r="S181" s="1"/>
  <c r="O181" s="1"/>
  <c r="R180"/>
  <c r="S180" s="1"/>
  <c r="O180" s="1"/>
  <c r="R179"/>
  <c r="S179" s="1"/>
  <c r="O179" s="1"/>
  <c r="R178"/>
  <c r="S178" s="1"/>
  <c r="O178" s="1"/>
  <c r="R177"/>
  <c r="S177" s="1"/>
  <c r="O177" s="1"/>
  <c r="R176"/>
  <c r="S176" s="1"/>
  <c r="O176" s="1"/>
  <c r="R175"/>
  <c r="S175" s="1"/>
  <c r="O175" s="1"/>
  <c r="R174"/>
  <c r="S174" s="1"/>
  <c r="O174" s="1"/>
  <c r="R173"/>
  <c r="S173" s="1"/>
  <c r="O173" s="1"/>
  <c r="R172"/>
  <c r="S172" s="1"/>
  <c r="O172" s="1"/>
  <c r="R171"/>
  <c r="S171" s="1"/>
  <c r="O171" s="1"/>
  <c r="R170"/>
  <c r="S170" s="1"/>
  <c r="O170" s="1"/>
  <c r="R169"/>
  <c r="S169" s="1"/>
  <c r="O169" s="1"/>
  <c r="R168"/>
  <c r="S168" s="1"/>
  <c r="O168" s="1"/>
  <c r="R167"/>
  <c r="S167" s="1"/>
  <c r="O167" s="1"/>
  <c r="R166"/>
  <c r="S166" s="1"/>
  <c r="O166" s="1"/>
  <c r="R165"/>
  <c r="S165" s="1"/>
  <c r="O165" s="1"/>
  <c r="R164"/>
  <c r="S164" s="1"/>
  <c r="O164" s="1"/>
  <c r="R163"/>
  <c r="S163" s="1"/>
  <c r="O163" s="1"/>
  <c r="R162"/>
  <c r="S162" s="1"/>
  <c r="O162" s="1"/>
  <c r="R161"/>
  <c r="S161" s="1"/>
  <c r="O161" s="1"/>
  <c r="R160"/>
  <c r="S160" s="1"/>
  <c r="O160" s="1"/>
  <c r="R159"/>
  <c r="S159" s="1"/>
  <c r="O159" s="1"/>
  <c r="R158"/>
  <c r="S158" s="1"/>
  <c r="O158" s="1"/>
  <c r="R157"/>
  <c r="S157" s="1"/>
  <c r="O157" s="1"/>
  <c r="R156"/>
  <c r="S156" s="1"/>
  <c r="O156" s="1"/>
  <c r="R155"/>
  <c r="S155" s="1"/>
  <c r="O155" s="1"/>
  <c r="R154"/>
  <c r="S154" s="1"/>
  <c r="O154" s="1"/>
  <c r="R153"/>
  <c r="S153" s="1"/>
  <c r="O153" s="1"/>
  <c r="R152"/>
  <c r="S152" s="1"/>
  <c r="O152" s="1"/>
  <c r="R151"/>
  <c r="S151" s="1"/>
  <c r="O151" s="1"/>
  <c r="R150"/>
  <c r="S150" s="1"/>
  <c r="O150" s="1"/>
  <c r="R149"/>
  <c r="S149" s="1"/>
  <c r="O149" s="1"/>
  <c r="R148"/>
  <c r="S148" s="1"/>
  <c r="O148" s="1"/>
  <c r="R147"/>
  <c r="S147" s="1"/>
  <c r="O147" s="1"/>
  <c r="R146"/>
  <c r="S146" s="1"/>
  <c r="O146" s="1"/>
  <c r="R145"/>
  <c r="S145" s="1"/>
  <c r="O145" s="1"/>
  <c r="R144"/>
  <c r="S144" s="1"/>
  <c r="O144" s="1"/>
  <c r="R143"/>
  <c r="S143" s="1"/>
  <c r="O143" s="1"/>
  <c r="R142"/>
  <c r="S142" s="1"/>
  <c r="O142" s="1"/>
  <c r="R141"/>
  <c r="S141" s="1"/>
  <c r="O141" s="1"/>
  <c r="R140"/>
  <c r="S140" s="1"/>
  <c r="O140" s="1"/>
  <c r="R139"/>
  <c r="S139" s="1"/>
  <c r="O139" s="1"/>
  <c r="R138"/>
  <c r="S138" s="1"/>
  <c r="O138" s="1"/>
  <c r="R137"/>
  <c r="S137" s="1"/>
  <c r="O137" s="1"/>
  <c r="R136"/>
  <c r="S136" s="1"/>
  <c r="O136" s="1"/>
  <c r="R135"/>
  <c r="S135" s="1"/>
  <c r="O135" s="1"/>
  <c r="R134"/>
  <c r="S134" s="1"/>
  <c r="O134" s="1"/>
  <c r="R133"/>
  <c r="S133" s="1"/>
  <c r="O133" s="1"/>
  <c r="R132"/>
  <c r="S132" s="1"/>
  <c r="O132" s="1"/>
  <c r="R131"/>
  <c r="S131" s="1"/>
  <c r="O131" s="1"/>
  <c r="R130"/>
  <c r="S130" s="1"/>
  <c r="O130" s="1"/>
  <c r="R129"/>
  <c r="S129" s="1"/>
  <c r="O129" s="1"/>
  <c r="R128"/>
  <c r="S128" s="1"/>
  <c r="O128" s="1"/>
  <c r="R127"/>
  <c r="S127" s="1"/>
  <c r="O127" s="1"/>
  <c r="R126"/>
  <c r="S126" s="1"/>
  <c r="O126" s="1"/>
  <c r="R125"/>
  <c r="S125" s="1"/>
  <c r="O125" s="1"/>
  <c r="R124"/>
  <c r="S124" s="1"/>
  <c r="O124" s="1"/>
  <c r="R123"/>
  <c r="S123" s="1"/>
  <c r="O123" s="1"/>
  <c r="R122"/>
  <c r="S122" s="1"/>
  <c r="O122" s="1"/>
  <c r="R121"/>
  <c r="S121" s="1"/>
  <c r="O121" s="1"/>
  <c r="R120"/>
  <c r="S120" s="1"/>
  <c r="O120" s="1"/>
  <c r="R119"/>
  <c r="S119" s="1"/>
  <c r="O119" s="1"/>
  <c r="R118"/>
  <c r="S118" s="1"/>
  <c r="O118" s="1"/>
  <c r="R117"/>
  <c r="S117" s="1"/>
  <c r="O117" s="1"/>
  <c r="R116"/>
  <c r="S116" s="1"/>
  <c r="O116" s="1"/>
  <c r="R115"/>
  <c r="S115" s="1"/>
  <c r="O115" s="1"/>
  <c r="R114"/>
  <c r="S114" s="1"/>
  <c r="O114" s="1"/>
  <c r="R113"/>
  <c r="S113" s="1"/>
  <c r="O113" s="1"/>
  <c r="R112"/>
  <c r="S112" s="1"/>
  <c r="O112" s="1"/>
  <c r="R111"/>
  <c r="S111" s="1"/>
  <c r="O111" s="1"/>
  <c r="R110"/>
  <c r="S110" s="1"/>
  <c r="O110" s="1"/>
  <c r="R109"/>
  <c r="S109" s="1"/>
  <c r="O109" s="1"/>
  <c r="R108"/>
  <c r="S108" s="1"/>
  <c r="O108" s="1"/>
  <c r="R107"/>
  <c r="S107" s="1"/>
  <c r="O107" s="1"/>
  <c r="R106"/>
  <c r="S106" s="1"/>
  <c r="O106" s="1"/>
  <c r="R105"/>
  <c r="S105" s="1"/>
  <c r="O105" s="1"/>
  <c r="R104"/>
  <c r="S104" s="1"/>
  <c r="O104" s="1"/>
  <c r="R103"/>
  <c r="S103" s="1"/>
  <c r="O103" s="1"/>
  <c r="R102"/>
  <c r="S102" s="1"/>
  <c r="O102" s="1"/>
  <c r="R101"/>
  <c r="S101" s="1"/>
  <c r="O101" s="1"/>
  <c r="R100"/>
  <c r="S100" s="1"/>
  <c r="O100" s="1"/>
  <c r="R99"/>
  <c r="S99" s="1"/>
  <c r="O99" s="1"/>
  <c r="R98"/>
  <c r="S98" s="1"/>
  <c r="O98" s="1"/>
  <c r="R97"/>
  <c r="S97" s="1"/>
  <c r="O97" s="1"/>
  <c r="R96"/>
  <c r="S96" s="1"/>
  <c r="O96" s="1"/>
  <c r="R95"/>
  <c r="S95" s="1"/>
  <c r="O95" s="1"/>
  <c r="R94"/>
  <c r="S94" s="1"/>
  <c r="O94" s="1"/>
  <c r="R93"/>
  <c r="S93" s="1"/>
  <c r="O93" s="1"/>
  <c r="R92"/>
  <c r="S92" s="1"/>
  <c r="O92" s="1"/>
  <c r="R91"/>
  <c r="S91" s="1"/>
  <c r="O91" s="1"/>
  <c r="R90"/>
  <c r="S90" s="1"/>
  <c r="O90" s="1"/>
  <c r="R89"/>
  <c r="S89" s="1"/>
  <c r="O89" s="1"/>
  <c r="R88"/>
  <c r="S88" s="1"/>
  <c r="O88" s="1"/>
  <c r="R87"/>
  <c r="S87" s="1"/>
  <c r="O87" s="1"/>
  <c r="R86"/>
  <c r="S86" s="1"/>
  <c r="O86" s="1"/>
  <c r="R85"/>
  <c r="S85" s="1"/>
  <c r="O85" s="1"/>
  <c r="R84"/>
  <c r="S84" s="1"/>
  <c r="O84" s="1"/>
  <c r="R83"/>
  <c r="S83" s="1"/>
  <c r="O83" s="1"/>
  <c r="R82"/>
  <c r="S82" s="1"/>
  <c r="O82" s="1"/>
  <c r="R81"/>
  <c r="S81" s="1"/>
  <c r="O81" s="1"/>
  <c r="R80"/>
  <c r="S80" s="1"/>
  <c r="O80" s="1"/>
  <c r="R79"/>
  <c r="S79" s="1"/>
  <c r="O79" s="1"/>
  <c r="R78"/>
  <c r="S78" s="1"/>
  <c r="O78" s="1"/>
  <c r="R77"/>
  <c r="S77" s="1"/>
  <c r="O77" s="1"/>
  <c r="R76"/>
  <c r="S76" s="1"/>
  <c r="O76" s="1"/>
  <c r="R75"/>
  <c r="S75" s="1"/>
  <c r="O75" s="1"/>
  <c r="R74"/>
  <c r="S74" s="1"/>
  <c r="O74" s="1"/>
  <c r="R73"/>
  <c r="S73" s="1"/>
  <c r="O73" s="1"/>
  <c r="R72"/>
  <c r="S72" s="1"/>
  <c r="O72" s="1"/>
  <c r="R71"/>
  <c r="S71" s="1"/>
  <c r="O71" s="1"/>
  <c r="R70"/>
  <c r="S70" s="1"/>
  <c r="O70" s="1"/>
  <c r="R69"/>
  <c r="S69" s="1"/>
  <c r="O69" s="1"/>
  <c r="R68"/>
  <c r="S68" s="1"/>
  <c r="O68" s="1"/>
  <c r="R67"/>
  <c r="S67" s="1"/>
  <c r="O67" s="1"/>
  <c r="R66"/>
  <c r="S66" s="1"/>
  <c r="O66" s="1"/>
  <c r="R65"/>
  <c r="S65" s="1"/>
  <c r="O65" s="1"/>
  <c r="R64"/>
  <c r="S64" s="1"/>
  <c r="O64" s="1"/>
  <c r="R63"/>
  <c r="S63" s="1"/>
  <c r="O63" s="1"/>
  <c r="R62"/>
  <c r="S62" s="1"/>
  <c r="O62" s="1"/>
  <c r="R61"/>
  <c r="S61" s="1"/>
  <c r="O61" s="1"/>
  <c r="R60"/>
  <c r="S60" s="1"/>
  <c r="O60" s="1"/>
  <c r="R59"/>
  <c r="S59" s="1"/>
  <c r="O59" s="1"/>
  <c r="R58"/>
  <c r="S58" s="1"/>
  <c r="O58" s="1"/>
  <c r="R57"/>
  <c r="S57" s="1"/>
  <c r="O57" s="1"/>
  <c r="R56"/>
  <c r="S56" s="1"/>
  <c r="O56" s="1"/>
  <c r="R55"/>
  <c r="S55" s="1"/>
  <c r="O55" s="1"/>
  <c r="R54"/>
  <c r="S54" s="1"/>
  <c r="O54" s="1"/>
  <c r="R53"/>
  <c r="S53" s="1"/>
  <c r="O53" s="1"/>
  <c r="R52"/>
  <c r="S52" s="1"/>
  <c r="O52" s="1"/>
  <c r="R51"/>
  <c r="S51" s="1"/>
  <c r="O51" s="1"/>
  <c r="R50"/>
  <c r="S50" s="1"/>
  <c r="O50" s="1"/>
  <c r="R49"/>
  <c r="S49" s="1"/>
  <c r="O49" s="1"/>
  <c r="R48"/>
  <c r="S48" s="1"/>
  <c r="O48" s="1"/>
  <c r="R47"/>
  <c r="S47" s="1"/>
  <c r="O47" s="1"/>
  <c r="R46"/>
  <c r="S46" s="1"/>
  <c r="O46" s="1"/>
  <c r="R45"/>
  <c r="S45" s="1"/>
  <c r="O45" s="1"/>
  <c r="R44"/>
  <c r="S44" s="1"/>
  <c r="O44" s="1"/>
  <c r="R43"/>
  <c r="S43" s="1"/>
  <c r="O43" s="1"/>
  <c r="R42"/>
  <c r="S42" s="1"/>
  <c r="O42" s="1"/>
  <c r="R41"/>
  <c r="S41" s="1"/>
  <c r="O41" s="1"/>
  <c r="R40"/>
  <c r="S40" s="1"/>
  <c r="O40" s="1"/>
  <c r="R39"/>
  <c r="S39" s="1"/>
  <c r="O39" s="1"/>
  <c r="R38"/>
  <c r="S38" s="1"/>
  <c r="O38" s="1"/>
  <c r="R37"/>
  <c r="S37" s="1"/>
  <c r="O37" s="1"/>
  <c r="R36"/>
  <c r="S36" s="1"/>
  <c r="O36" s="1"/>
  <c r="R35"/>
  <c r="S35" s="1"/>
  <c r="O35" s="1"/>
  <c r="R34"/>
  <c r="S34" s="1"/>
  <c r="O34" s="1"/>
  <c r="R33"/>
  <c r="S33" s="1"/>
  <c r="O33" s="1"/>
  <c r="R32"/>
  <c r="S32" s="1"/>
  <c r="O32" s="1"/>
  <c r="R31"/>
  <c r="S31" s="1"/>
  <c r="O31" s="1"/>
  <c r="R30"/>
  <c r="S30" s="1"/>
  <c r="O30" s="1"/>
  <c r="R29"/>
  <c r="S29" s="1"/>
  <c r="O29" s="1"/>
  <c r="R28"/>
  <c r="S28" s="1"/>
  <c r="O28" s="1"/>
  <c r="R27"/>
  <c r="S27" s="1"/>
  <c r="O27" s="1"/>
  <c r="R26"/>
  <c r="S26" s="1"/>
  <c r="O26" s="1"/>
  <c r="R25"/>
  <c r="S25" s="1"/>
  <c r="O25" s="1"/>
  <c r="R24"/>
  <c r="S24" s="1"/>
  <c r="O24" s="1"/>
  <c r="R23"/>
  <c r="S23" s="1"/>
  <c r="O23" s="1"/>
  <c r="R22"/>
  <c r="S22" s="1"/>
  <c r="O22" s="1"/>
  <c r="R21"/>
  <c r="S21" s="1"/>
  <c r="O21" s="1"/>
  <c r="R20"/>
  <c r="S20" s="1"/>
  <c r="O20" s="1"/>
  <c r="R19"/>
  <c r="S19" s="1"/>
  <c r="O19" s="1"/>
  <c r="R18"/>
  <c r="S18" s="1"/>
  <c r="O18" s="1"/>
  <c r="R17"/>
  <c r="S17" s="1"/>
  <c r="O17" s="1"/>
  <c r="R16"/>
  <c r="S16" s="1"/>
  <c r="O16" s="1"/>
  <c r="R15"/>
  <c r="S15" s="1"/>
  <c r="O15" s="1"/>
  <c r="R14"/>
  <c r="S14" s="1"/>
  <c r="O14" s="1"/>
  <c r="R13"/>
  <c r="S13" s="1"/>
  <c r="O13" s="1"/>
  <c r="R12"/>
  <c r="S12" s="1"/>
  <c r="O12" s="1"/>
  <c r="R11"/>
  <c r="S11" s="1"/>
  <c r="O11" s="1"/>
  <c r="R10"/>
  <c r="S10" s="1"/>
  <c r="O10" s="1"/>
  <c r="R9"/>
  <c r="S9" s="1"/>
  <c r="O9" s="1"/>
  <c r="R8"/>
  <c r="S8" s="1"/>
  <c r="O8" s="1"/>
  <c r="R7"/>
  <c r="S7" s="1"/>
  <c r="O7" s="1"/>
  <c r="R6"/>
  <c r="S6" s="1"/>
  <c r="O6" s="1"/>
  <c r="R5"/>
  <c r="S5" s="1"/>
  <c r="O5" s="1"/>
  <c r="R4"/>
  <c r="S4" s="1"/>
  <c r="O4" s="1"/>
  <c r="P363"/>
  <c r="P362"/>
  <c r="P361"/>
  <c r="P360"/>
  <c r="P359"/>
  <c r="P358"/>
  <c r="P357"/>
  <c r="P356"/>
  <c r="P355"/>
  <c r="P354"/>
  <c r="P353"/>
  <c r="P352"/>
  <c r="P351"/>
  <c r="P350"/>
  <c r="P349"/>
  <c r="P348"/>
  <c r="P347"/>
  <c r="P346"/>
  <c r="P345"/>
  <c r="P344"/>
  <c r="P343"/>
  <c r="P342"/>
  <c r="P341"/>
  <c r="P340"/>
  <c r="P339"/>
  <c r="P338"/>
  <c r="P337"/>
  <c r="P336"/>
  <c r="P335"/>
  <c r="P334"/>
  <c r="P333"/>
  <c r="P332"/>
  <c r="P331"/>
  <c r="P330"/>
  <c r="P329"/>
  <c r="P328"/>
  <c r="P327"/>
  <c r="P326"/>
  <c r="P325"/>
  <c r="P324"/>
  <c r="P323"/>
  <c r="P322"/>
  <c r="P321"/>
  <c r="P320"/>
  <c r="P319"/>
  <c r="P318"/>
  <c r="P317"/>
  <c r="P316"/>
  <c r="P315"/>
  <c r="P314"/>
  <c r="P313"/>
  <c r="P312"/>
  <c r="P311"/>
  <c r="P310"/>
  <c r="P309"/>
  <c r="P308"/>
  <c r="P307"/>
  <c r="P306"/>
  <c r="P305"/>
  <c r="P304"/>
  <c r="P303"/>
  <c r="P302"/>
  <c r="P301"/>
  <c r="P300"/>
  <c r="P299"/>
  <c r="P298"/>
  <c r="P297"/>
  <c r="P296"/>
  <c r="P295"/>
  <c r="P294"/>
  <c r="P293"/>
  <c r="P292"/>
  <c r="P291"/>
  <c r="P290"/>
  <c r="P289"/>
  <c r="P288"/>
  <c r="P287"/>
  <c r="P286"/>
  <c r="P285"/>
  <c r="P284"/>
  <c r="P283"/>
  <c r="P282"/>
  <c r="P281"/>
  <c r="P280"/>
  <c r="P279"/>
  <c r="P278"/>
  <c r="P277"/>
  <c r="P276"/>
  <c r="P275"/>
  <c r="P274"/>
  <c r="P273"/>
  <c r="P272"/>
  <c r="P271"/>
  <c r="P270"/>
  <c r="P269"/>
  <c r="P268"/>
  <c r="P267"/>
  <c r="P266"/>
  <c r="P265"/>
  <c r="P264"/>
  <c r="P263"/>
  <c r="P262"/>
  <c r="P261"/>
  <c r="P260"/>
  <c r="P259"/>
  <c r="P258"/>
  <c r="P257"/>
  <c r="P256"/>
  <c r="P255"/>
  <c r="P254"/>
  <c r="P253"/>
  <c r="P252"/>
  <c r="P251"/>
  <c r="P250"/>
  <c r="P249"/>
  <c r="P248"/>
  <c r="P247"/>
  <c r="P246"/>
  <c r="P245"/>
  <c r="P244"/>
  <c r="P243"/>
  <c r="P242"/>
  <c r="P241"/>
  <c r="P240"/>
  <c r="P239"/>
  <c r="P238"/>
  <c r="P237"/>
  <c r="P236"/>
  <c r="P235"/>
  <c r="P234"/>
  <c r="P233"/>
  <c r="P232"/>
  <c r="P231"/>
  <c r="P230"/>
  <c r="P229"/>
  <c r="P228"/>
  <c r="P227"/>
  <c r="P226"/>
  <c r="P225"/>
  <c r="P224"/>
  <c r="P223"/>
  <c r="P222"/>
  <c r="P221"/>
  <c r="P220"/>
  <c r="P219"/>
  <c r="P218"/>
  <c r="P217"/>
  <c r="P216"/>
  <c r="P215"/>
  <c r="P214"/>
  <c r="P213"/>
  <c r="P212"/>
  <c r="P211"/>
  <c r="P210"/>
  <c r="P209"/>
  <c r="P208"/>
  <c r="P207"/>
  <c r="P206"/>
  <c r="P205"/>
  <c r="P204"/>
  <c r="P203"/>
  <c r="P202"/>
  <c r="P201"/>
  <c r="P200"/>
  <c r="P199"/>
  <c r="P198"/>
  <c r="P197"/>
  <c r="P196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Q4" s="1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A6" i="5" l="1"/>
  <c r="D5"/>
  <c r="N337" i="1"/>
  <c r="N8"/>
  <c r="N48"/>
  <c r="N72"/>
  <c r="N96"/>
  <c r="N120"/>
  <c r="N144"/>
  <c r="N168"/>
  <c r="N192"/>
  <c r="N216"/>
  <c r="N240"/>
  <c r="N264"/>
  <c r="N288"/>
  <c r="N312"/>
  <c r="N328"/>
  <c r="N344"/>
  <c r="N9"/>
  <c r="N33"/>
  <c r="N57"/>
  <c r="N81"/>
  <c r="N153"/>
  <c r="N201"/>
  <c r="N249"/>
  <c r="N265"/>
  <c r="N313"/>
  <c r="N15"/>
  <c r="N95"/>
  <c r="N111"/>
  <c r="N127"/>
  <c r="N143"/>
  <c r="N159"/>
  <c r="N175"/>
  <c r="N191"/>
  <c r="N207"/>
  <c r="N239"/>
  <c r="N255"/>
  <c r="N271"/>
  <c r="N287"/>
  <c r="N303"/>
  <c r="N319"/>
  <c r="N335"/>
  <c r="N351"/>
  <c r="N47"/>
  <c r="N63"/>
  <c r="N223"/>
  <c r="N6"/>
  <c r="N22"/>
  <c r="N38"/>
  <c r="N46"/>
  <c r="N62"/>
  <c r="N78"/>
  <c r="N102"/>
  <c r="N118"/>
  <c r="N134"/>
  <c r="N150"/>
  <c r="N166"/>
  <c r="N182"/>
  <c r="N198"/>
  <c r="N214"/>
  <c r="N230"/>
  <c r="N246"/>
  <c r="N262"/>
  <c r="N278"/>
  <c r="N294"/>
  <c r="N310"/>
  <c r="N326"/>
  <c r="N342"/>
  <c r="N358"/>
  <c r="N97"/>
  <c r="N121"/>
  <c r="N169"/>
  <c r="N217"/>
  <c r="N297"/>
  <c r="N16"/>
  <c r="N40"/>
  <c r="N64"/>
  <c r="N88"/>
  <c r="N112"/>
  <c r="N136"/>
  <c r="N160"/>
  <c r="N184"/>
  <c r="N208"/>
  <c r="N232"/>
  <c r="N256"/>
  <c r="N280"/>
  <c r="N304"/>
  <c r="N336"/>
  <c r="N360"/>
  <c r="N25"/>
  <c r="N49"/>
  <c r="N129"/>
  <c r="N145"/>
  <c r="N177"/>
  <c r="N193"/>
  <c r="N225"/>
  <c r="N241"/>
  <c r="N273"/>
  <c r="N289"/>
  <c r="N321"/>
  <c r="N353"/>
  <c r="N23"/>
  <c r="N71"/>
  <c r="N87"/>
  <c r="N103"/>
  <c r="N119"/>
  <c r="N135"/>
  <c r="N151"/>
  <c r="N167"/>
  <c r="N183"/>
  <c r="N199"/>
  <c r="N215"/>
  <c r="N231"/>
  <c r="N263"/>
  <c r="N279"/>
  <c r="N295"/>
  <c r="N311"/>
  <c r="N327"/>
  <c r="N343"/>
  <c r="N359"/>
  <c r="N24"/>
  <c r="N14"/>
  <c r="N30"/>
  <c r="N54"/>
  <c r="N70"/>
  <c r="N86"/>
  <c r="N94"/>
  <c r="N110"/>
  <c r="N126"/>
  <c r="N142"/>
  <c r="N158"/>
  <c r="N174"/>
  <c r="N190"/>
  <c r="N206"/>
  <c r="N222"/>
  <c r="N238"/>
  <c r="N254"/>
  <c r="N270"/>
  <c r="N286"/>
  <c r="N302"/>
  <c r="N318"/>
  <c r="N334"/>
  <c r="N350"/>
  <c r="N7"/>
  <c r="N31"/>
  <c r="N39"/>
  <c r="N55"/>
  <c r="N79"/>
  <c r="N247"/>
  <c r="N5"/>
  <c r="N13"/>
  <c r="N21"/>
  <c r="N29"/>
  <c r="N37"/>
  <c r="N45"/>
  <c r="N53"/>
  <c r="N61"/>
  <c r="N69"/>
  <c r="N77"/>
  <c r="N85"/>
  <c r="N93"/>
  <c r="N101"/>
  <c r="N109"/>
  <c r="N117"/>
  <c r="N125"/>
  <c r="N133"/>
  <c r="N141"/>
  <c r="N149"/>
  <c r="N157"/>
  <c r="N165"/>
  <c r="N173"/>
  <c r="N181"/>
  <c r="N189"/>
  <c r="N197"/>
  <c r="N205"/>
  <c r="N213"/>
  <c r="N221"/>
  <c r="N229"/>
  <c r="N237"/>
  <c r="N245"/>
  <c r="N253"/>
  <c r="N261"/>
  <c r="N269"/>
  <c r="N277"/>
  <c r="N285"/>
  <c r="N293"/>
  <c r="N301"/>
  <c r="N309"/>
  <c r="N317"/>
  <c r="N325"/>
  <c r="N333"/>
  <c r="N341"/>
  <c r="N349"/>
  <c r="N357"/>
  <c r="N65"/>
  <c r="N89"/>
  <c r="N113"/>
  <c r="N137"/>
  <c r="N185"/>
  <c r="N209"/>
  <c r="N233"/>
  <c r="N257"/>
  <c r="N281"/>
  <c r="N305"/>
  <c r="N329"/>
  <c r="N361"/>
  <c r="N32"/>
  <c r="N56"/>
  <c r="N80"/>
  <c r="N104"/>
  <c r="N128"/>
  <c r="N152"/>
  <c r="N176"/>
  <c r="N200"/>
  <c r="N224"/>
  <c r="N248"/>
  <c r="N272"/>
  <c r="N296"/>
  <c r="N320"/>
  <c r="N352"/>
  <c r="N17"/>
  <c r="N41"/>
  <c r="N73"/>
  <c r="N105"/>
  <c r="N161"/>
  <c r="N345"/>
  <c r="N76"/>
  <c r="N84"/>
  <c r="N92"/>
  <c r="N100"/>
  <c r="N108"/>
  <c r="N116"/>
  <c r="N124"/>
  <c r="N132"/>
  <c r="N140"/>
  <c r="N148"/>
  <c r="N156"/>
  <c r="N164"/>
  <c r="N172"/>
  <c r="N180"/>
  <c r="N188"/>
  <c r="N196"/>
  <c r="N204"/>
  <c r="N212"/>
  <c r="N220"/>
  <c r="N228"/>
  <c r="N236"/>
  <c r="N244"/>
  <c r="N252"/>
  <c r="N260"/>
  <c r="N268"/>
  <c r="N276"/>
  <c r="N284"/>
  <c r="N292"/>
  <c r="N300"/>
  <c r="N308"/>
  <c r="N316"/>
  <c r="N324"/>
  <c r="N332"/>
  <c r="N340"/>
  <c r="N348"/>
  <c r="N356"/>
  <c r="N12"/>
  <c r="N20"/>
  <c r="N28"/>
  <c r="N36"/>
  <c r="N44"/>
  <c r="N52"/>
  <c r="N60"/>
  <c r="N68"/>
  <c r="N10"/>
  <c r="N18"/>
  <c r="N26"/>
  <c r="N34"/>
  <c r="N42"/>
  <c r="N50"/>
  <c r="N58"/>
  <c r="N66"/>
  <c r="N74"/>
  <c r="N82"/>
  <c r="N90"/>
  <c r="N98"/>
  <c r="N106"/>
  <c r="N114"/>
  <c r="N122"/>
  <c r="N130"/>
  <c r="N138"/>
  <c r="N146"/>
  <c r="N154"/>
  <c r="N162"/>
  <c r="N170"/>
  <c r="N178"/>
  <c r="N186"/>
  <c r="N194"/>
  <c r="N202"/>
  <c r="N210"/>
  <c r="N218"/>
  <c r="N226"/>
  <c r="N234"/>
  <c r="N242"/>
  <c r="N250"/>
  <c r="N258"/>
  <c r="N266"/>
  <c r="N274"/>
  <c r="N282"/>
  <c r="N290"/>
  <c r="N298"/>
  <c r="N314"/>
  <c r="N322"/>
  <c r="N330"/>
  <c r="N338"/>
  <c r="N346"/>
  <c r="N354"/>
  <c r="N362"/>
  <c r="N306"/>
  <c r="N11"/>
  <c r="N19"/>
  <c r="N27"/>
  <c r="N35"/>
  <c r="N43"/>
  <c r="N51"/>
  <c r="N59"/>
  <c r="N67"/>
  <c r="N75"/>
  <c r="N83"/>
  <c r="N91"/>
  <c r="N99"/>
  <c r="N107"/>
  <c r="N115"/>
  <c r="N123"/>
  <c r="N131"/>
  <c r="N139"/>
  <c r="N147"/>
  <c r="N155"/>
  <c r="N163"/>
  <c r="N171"/>
  <c r="N179"/>
  <c r="N187"/>
  <c r="N195"/>
  <c r="N203"/>
  <c r="N211"/>
  <c r="N219"/>
  <c r="N227"/>
  <c r="N235"/>
  <c r="N243"/>
  <c r="N251"/>
  <c r="N259"/>
  <c r="N267"/>
  <c r="N275"/>
  <c r="N283"/>
  <c r="N291"/>
  <c r="N299"/>
  <c r="N307"/>
  <c r="N315"/>
  <c r="N323"/>
  <c r="N331"/>
  <c r="N339"/>
  <c r="N347"/>
  <c r="N355"/>
  <c r="N363"/>
  <c r="N4"/>
  <c r="I4" i="5"/>
  <c r="F5"/>
  <c r="C5" s="1"/>
  <c r="C8" i="4"/>
  <c r="C7"/>
  <c r="C9"/>
  <c r="C6"/>
  <c r="C11"/>
  <c r="C10"/>
  <c r="C12"/>
  <c r="C13"/>
  <c r="O339" i="3"/>
  <c r="O123"/>
  <c r="O284"/>
  <c r="O308"/>
  <c r="O276"/>
  <c r="O300"/>
  <c r="O236"/>
  <c r="O244"/>
  <c r="O252"/>
  <c r="O260"/>
  <c r="O292"/>
  <c r="O37"/>
  <c r="O101"/>
  <c r="O131"/>
  <c r="O291"/>
  <c r="O283"/>
  <c r="O235"/>
  <c r="O243"/>
  <c r="O251"/>
  <c r="O259"/>
  <c r="O267"/>
  <c r="O227"/>
  <c r="O69"/>
  <c r="O196"/>
  <c r="O204"/>
  <c r="O212"/>
  <c r="O115"/>
  <c r="O219"/>
  <c r="O195"/>
  <c r="O203"/>
  <c r="O323"/>
  <c r="O187"/>
  <c r="O299"/>
  <c r="O307"/>
  <c r="O77"/>
  <c r="O85"/>
  <c r="O13"/>
  <c r="O45"/>
  <c r="O175"/>
  <c r="O62"/>
  <c r="O61"/>
  <c r="O93"/>
  <c r="O21"/>
  <c r="O159"/>
  <c r="O337"/>
  <c r="O345"/>
  <c r="O94"/>
  <c r="O102"/>
  <c r="O109"/>
  <c r="O5"/>
  <c r="O30"/>
  <c r="O151"/>
  <c r="O178"/>
  <c r="O266"/>
  <c r="O271"/>
  <c r="O42"/>
  <c r="O135"/>
  <c r="O29"/>
  <c r="O130"/>
  <c r="O298"/>
  <c r="O330"/>
  <c r="O86"/>
  <c r="O98"/>
  <c r="O106"/>
  <c r="O114"/>
  <c r="O163"/>
  <c r="O194"/>
  <c r="O199"/>
  <c r="O220"/>
  <c r="O268"/>
  <c r="O275"/>
  <c r="O226"/>
  <c r="O127"/>
  <c r="O146"/>
  <c r="O191"/>
  <c r="O218"/>
  <c r="O223"/>
  <c r="O240"/>
  <c r="O250"/>
  <c r="O255"/>
  <c r="O290"/>
  <c r="O186"/>
  <c r="O215"/>
  <c r="O14"/>
  <c r="O143"/>
  <c r="O162"/>
  <c r="O167"/>
  <c r="O242"/>
  <c r="O247"/>
  <c r="O314"/>
  <c r="O321"/>
  <c r="O38"/>
  <c r="O46"/>
  <c r="O119"/>
  <c r="O274"/>
  <c r="O279"/>
  <c r="O338"/>
  <c r="O346"/>
  <c r="O351"/>
  <c r="O192"/>
  <c r="O248"/>
  <c r="O216"/>
  <c r="O328"/>
  <c r="O184"/>
  <c r="O360"/>
  <c r="O232"/>
  <c r="O122"/>
  <c r="O138"/>
  <c r="O154"/>
  <c r="O170"/>
  <c r="O210"/>
  <c r="O234"/>
  <c r="O239"/>
  <c r="O306"/>
  <c r="O311"/>
  <c r="O322"/>
  <c r="O352"/>
  <c r="O362"/>
  <c r="O54"/>
  <c r="O78"/>
  <c r="O105"/>
  <c r="O183"/>
  <c r="O200"/>
  <c r="O256"/>
  <c r="O282"/>
  <c r="O287"/>
  <c r="O329"/>
  <c r="O208"/>
  <c r="O6"/>
  <c r="O22"/>
  <c r="O58"/>
  <c r="O110"/>
  <c r="O202"/>
  <c r="O207"/>
  <c r="O224"/>
  <c r="O231"/>
  <c r="O258"/>
  <c r="O263"/>
  <c r="O326"/>
  <c r="O336"/>
  <c r="O354"/>
  <c r="O3"/>
  <c r="N132"/>
  <c r="N140"/>
  <c r="N196"/>
  <c r="N228"/>
  <c r="N260"/>
  <c r="N299"/>
  <c r="N148"/>
  <c r="N84"/>
  <c r="N124"/>
  <c r="N187"/>
  <c r="N219"/>
  <c r="N251"/>
  <c r="N268"/>
  <c r="N307"/>
  <c r="N204"/>
  <c r="N236"/>
  <c r="N276"/>
  <c r="N315"/>
  <c r="N108"/>
  <c r="N212"/>
  <c r="N292"/>
  <c r="N149"/>
  <c r="N286"/>
  <c r="N125"/>
  <c r="N294"/>
  <c r="N134"/>
  <c r="N142"/>
  <c r="N133"/>
  <c r="N141"/>
  <c r="N270"/>
  <c r="N195"/>
  <c r="N227"/>
  <c r="N259"/>
  <c r="N323"/>
  <c r="N6"/>
  <c r="N302"/>
  <c r="N45"/>
  <c r="N101"/>
  <c r="N168"/>
  <c r="N70"/>
  <c r="N126"/>
  <c r="N318"/>
  <c r="N327"/>
  <c r="N176"/>
  <c r="N137"/>
  <c r="N129"/>
  <c r="N214"/>
  <c r="N246"/>
  <c r="N78"/>
  <c r="N280"/>
  <c r="N342"/>
  <c r="N362"/>
  <c r="N94"/>
  <c r="N162"/>
  <c r="N146"/>
  <c r="N46"/>
  <c r="N118"/>
  <c r="N254"/>
  <c r="N262"/>
  <c r="N154"/>
  <c r="N160"/>
  <c r="N17"/>
  <c r="N54"/>
  <c r="N93"/>
  <c r="N117"/>
  <c r="N174"/>
  <c r="N182"/>
  <c r="N224"/>
  <c r="N312"/>
  <c r="N351"/>
  <c r="N173"/>
  <c r="N190"/>
  <c r="N198"/>
  <c r="N206"/>
  <c r="N232"/>
  <c r="N240"/>
  <c r="N353"/>
  <c r="N358"/>
  <c r="N122"/>
  <c r="N161"/>
  <c r="N200"/>
  <c r="N335"/>
  <c r="N272"/>
  <c r="N346"/>
  <c r="N130"/>
  <c r="N9"/>
  <c r="N96"/>
  <c r="N102"/>
  <c r="N128"/>
  <c r="N153"/>
  <c r="N158"/>
  <c r="N165"/>
  <c r="N178"/>
  <c r="N192"/>
  <c r="N230"/>
  <c r="N256"/>
  <c r="N278"/>
  <c r="N310"/>
  <c r="N320"/>
  <c r="N328"/>
  <c r="N345"/>
  <c r="N350"/>
  <c r="N359"/>
  <c r="N344"/>
  <c r="N138"/>
  <c r="N152"/>
  <c r="N177"/>
  <c r="N216"/>
  <c r="N304"/>
  <c r="N329"/>
  <c r="N104"/>
  <c r="N144"/>
  <c r="N169"/>
  <c r="N208"/>
  <c r="N14"/>
  <c r="N97"/>
  <c r="N103"/>
  <c r="N136"/>
  <c r="N166"/>
  <c r="N238"/>
  <c r="N264"/>
  <c r="N296"/>
  <c r="N322"/>
  <c r="N326"/>
  <c r="N25"/>
  <c r="N36"/>
  <c r="N38"/>
  <c r="N95"/>
  <c r="N116"/>
  <c r="N145"/>
  <c r="N150"/>
  <c r="N157"/>
  <c r="N170"/>
  <c r="N172"/>
  <c r="N180"/>
  <c r="N184"/>
  <c r="N222"/>
  <c r="N244"/>
  <c r="N248"/>
  <c r="N284"/>
  <c r="N288"/>
  <c r="N316"/>
  <c r="N334"/>
  <c r="N354"/>
  <c r="N24"/>
  <c r="O24"/>
  <c r="N48"/>
  <c r="O48"/>
  <c r="N79"/>
  <c r="O79"/>
  <c r="O81"/>
  <c r="N81"/>
  <c r="N16"/>
  <c r="O16"/>
  <c r="N55"/>
  <c r="O55"/>
  <c r="N57"/>
  <c r="O57"/>
  <c r="N88"/>
  <c r="O88"/>
  <c r="N31"/>
  <c r="O31"/>
  <c r="N47"/>
  <c r="O47"/>
  <c r="N49"/>
  <c r="O49"/>
  <c r="N80"/>
  <c r="O80"/>
  <c r="N56"/>
  <c r="O56"/>
  <c r="N89"/>
  <c r="O89"/>
  <c r="N8"/>
  <c r="O8"/>
  <c r="N33"/>
  <c r="O33"/>
  <c r="N71"/>
  <c r="O71"/>
  <c r="N23"/>
  <c r="O23"/>
  <c r="N87"/>
  <c r="O87"/>
  <c r="O65"/>
  <c r="N65"/>
  <c r="N64"/>
  <c r="O64"/>
  <c r="N40"/>
  <c r="O40"/>
  <c r="O73"/>
  <c r="N73"/>
  <c r="N15"/>
  <c r="O15"/>
  <c r="N63"/>
  <c r="O63"/>
  <c r="N7"/>
  <c r="O7"/>
  <c r="N32"/>
  <c r="O32"/>
  <c r="N39"/>
  <c r="O39"/>
  <c r="O41"/>
  <c r="N41"/>
  <c r="N72"/>
  <c r="O72"/>
  <c r="N30"/>
  <c r="N22"/>
  <c r="N181"/>
  <c r="O181"/>
  <c r="N189"/>
  <c r="O189"/>
  <c r="N197"/>
  <c r="O197"/>
  <c r="N205"/>
  <c r="O205"/>
  <c r="N213"/>
  <c r="O213"/>
  <c r="N221"/>
  <c r="O221"/>
  <c r="N229"/>
  <c r="O229"/>
  <c r="N237"/>
  <c r="O237"/>
  <c r="N245"/>
  <c r="O245"/>
  <c r="N253"/>
  <c r="O253"/>
  <c r="N261"/>
  <c r="O261"/>
  <c r="N269"/>
  <c r="O269"/>
  <c r="N277"/>
  <c r="O277"/>
  <c r="N285"/>
  <c r="O285"/>
  <c r="N293"/>
  <c r="O293"/>
  <c r="N301"/>
  <c r="O301"/>
  <c r="N309"/>
  <c r="O309"/>
  <c r="N317"/>
  <c r="O317"/>
  <c r="N324"/>
  <c r="O324"/>
  <c r="O182"/>
  <c r="O190"/>
  <c r="O198"/>
  <c r="O206"/>
  <c r="O214"/>
  <c r="O222"/>
  <c r="O230"/>
  <c r="O238"/>
  <c r="O246"/>
  <c r="O254"/>
  <c r="O262"/>
  <c r="O270"/>
  <c r="O278"/>
  <c r="O286"/>
  <c r="O294"/>
  <c r="O302"/>
  <c r="O310"/>
  <c r="O318"/>
  <c r="N339"/>
  <c r="N341"/>
  <c r="O341"/>
  <c r="N355"/>
  <c r="O355"/>
  <c r="N357"/>
  <c r="O357"/>
  <c r="N119"/>
  <c r="N127"/>
  <c r="N135"/>
  <c r="N143"/>
  <c r="N151"/>
  <c r="N159"/>
  <c r="N167"/>
  <c r="N175"/>
  <c r="N333"/>
  <c r="O333"/>
  <c r="N325"/>
  <c r="O325"/>
  <c r="N347"/>
  <c r="O347"/>
  <c r="N349"/>
  <c r="O349"/>
  <c r="O96"/>
  <c r="O104"/>
  <c r="O334"/>
  <c r="N356"/>
  <c r="O356"/>
  <c r="O97"/>
  <c r="O95"/>
  <c r="O103"/>
  <c r="N105"/>
  <c r="O117"/>
  <c r="O125"/>
  <c r="O133"/>
  <c r="O141"/>
  <c r="O149"/>
  <c r="O157"/>
  <c r="O165"/>
  <c r="O173"/>
  <c r="N340"/>
  <c r="O340"/>
  <c r="O118"/>
  <c r="O126"/>
  <c r="O134"/>
  <c r="O142"/>
  <c r="O150"/>
  <c r="O158"/>
  <c r="O166"/>
  <c r="O174"/>
  <c r="N332"/>
  <c r="O332"/>
  <c r="N348"/>
  <c r="O348"/>
  <c r="A7" i="5" l="1"/>
  <c r="D6"/>
  <c r="F6"/>
  <c r="C6" s="1"/>
  <c r="I6" s="1"/>
  <c r="I5"/>
  <c r="A8" l="1"/>
  <c r="D7"/>
  <c r="F7"/>
  <c r="C7" s="1"/>
  <c r="I7" s="1"/>
  <c r="A9" l="1"/>
  <c r="D8"/>
  <c r="F8"/>
  <c r="C8" s="1"/>
  <c r="I8" s="1"/>
  <c r="A10" l="1"/>
  <c r="D9"/>
  <c r="F9"/>
  <c r="C9" s="1"/>
  <c r="I9" s="1"/>
  <c r="A11" l="1"/>
  <c r="D10"/>
  <c r="F10"/>
  <c r="C10" s="1"/>
  <c r="I10" s="1"/>
  <c r="A12" l="1"/>
  <c r="D11"/>
  <c r="F11"/>
  <c r="C11" s="1"/>
  <c r="I11" s="1"/>
  <c r="A13" l="1"/>
  <c r="D12"/>
  <c r="F12"/>
  <c r="C12" s="1"/>
  <c r="I12" s="1"/>
  <c r="A14" l="1"/>
  <c r="D13"/>
  <c r="F13"/>
  <c r="C13" s="1"/>
  <c r="I13" s="1"/>
  <c r="A15" l="1"/>
  <c r="D14"/>
  <c r="F14"/>
  <c r="C14" s="1"/>
  <c r="I14" s="1"/>
  <c r="A16" l="1"/>
  <c r="D15"/>
  <c r="F15"/>
  <c r="C15" s="1"/>
  <c r="I15" s="1"/>
  <c r="A17" l="1"/>
  <c r="D16"/>
  <c r="F16"/>
  <c r="C16" s="1"/>
  <c r="I16" s="1"/>
  <c r="A18" l="1"/>
  <c r="D17"/>
  <c r="F17"/>
  <c r="C17" s="1"/>
  <c r="I17" s="1"/>
  <c r="A19" l="1"/>
  <c r="D18"/>
  <c r="F18"/>
  <c r="C18" s="1"/>
  <c r="I18" s="1"/>
  <c r="A20" l="1"/>
  <c r="D19"/>
  <c r="F19"/>
  <c r="C19" s="1"/>
  <c r="I19" s="1"/>
  <c r="A21" l="1"/>
  <c r="D20"/>
  <c r="F20"/>
  <c r="C20" s="1"/>
  <c r="I20" s="1"/>
  <c r="A22" l="1"/>
  <c r="D21"/>
  <c r="F21"/>
  <c r="C21" s="1"/>
  <c r="I21" s="1"/>
  <c r="A23" l="1"/>
  <c r="D22"/>
  <c r="F22"/>
  <c r="C22" s="1"/>
  <c r="I22" s="1"/>
  <c r="A24" l="1"/>
  <c r="D23"/>
  <c r="F23"/>
  <c r="C23" s="1"/>
  <c r="I23" s="1"/>
  <c r="A25" l="1"/>
  <c r="D24"/>
  <c r="F24"/>
  <c r="C24" s="1"/>
  <c r="I24" s="1"/>
  <c r="A26" l="1"/>
  <c r="D25"/>
  <c r="F25"/>
  <c r="C25" s="1"/>
  <c r="I25" s="1"/>
  <c r="A27" l="1"/>
  <c r="D26"/>
  <c r="F26"/>
  <c r="C26" s="1"/>
  <c r="I26" s="1"/>
  <c r="A28" l="1"/>
  <c r="D27"/>
  <c r="F27"/>
  <c r="C27" s="1"/>
  <c r="I27" s="1"/>
  <c r="A29" l="1"/>
  <c r="D28"/>
  <c r="F28"/>
  <c r="C28" s="1"/>
  <c r="I28" s="1"/>
  <c r="A30" l="1"/>
  <c r="D29"/>
  <c r="F29"/>
  <c r="C29" s="1"/>
  <c r="I29" s="1"/>
  <c r="A31" l="1"/>
  <c r="D30"/>
  <c r="F30"/>
  <c r="C30" s="1"/>
  <c r="I30" s="1"/>
  <c r="A32" l="1"/>
  <c r="D31"/>
  <c r="F31"/>
  <c r="C31" s="1"/>
  <c r="I31"/>
  <c r="F32" l="1"/>
  <c r="C32" s="1"/>
  <c r="I32" s="1"/>
  <c r="D32"/>
  <c r="A33"/>
  <c r="F33" l="1"/>
  <c r="C33" s="1"/>
  <c r="D33"/>
  <c r="A34"/>
  <c r="F34" l="1"/>
  <c r="C34" s="1"/>
  <c r="D34"/>
  <c r="A35"/>
  <c r="A36" l="1"/>
  <c r="F35"/>
  <c r="C35" s="1"/>
  <c r="D35"/>
  <c r="F36" l="1"/>
  <c r="C36" s="1"/>
  <c r="A37"/>
  <c r="D36"/>
  <c r="A38" l="1"/>
  <c r="F37"/>
  <c r="C37" s="1"/>
  <c r="D37"/>
  <c r="A39" l="1"/>
  <c r="F38"/>
  <c r="C38" s="1"/>
  <c r="D38"/>
  <c r="F39" l="1"/>
  <c r="C39" s="1"/>
  <c r="A40"/>
  <c r="D39"/>
  <c r="F40" l="1"/>
  <c r="C40" s="1"/>
  <c r="A41"/>
  <c r="D40"/>
  <c r="A42" l="1"/>
  <c r="F41"/>
  <c r="C41" s="1"/>
  <c r="D41"/>
  <c r="F42" l="1"/>
  <c r="C42" s="1"/>
  <c r="A43"/>
  <c r="D42"/>
  <c r="A44" l="1"/>
  <c r="F43"/>
  <c r="C43" s="1"/>
  <c r="D43"/>
  <c r="F44" l="1"/>
  <c r="C44" s="1"/>
  <c r="A45"/>
  <c r="D44"/>
  <c r="A46" l="1"/>
  <c r="F45"/>
  <c r="C45" s="1"/>
  <c r="D45"/>
  <c r="F46" l="1"/>
  <c r="C46" s="1"/>
  <c r="A47"/>
  <c r="D46"/>
  <c r="A48" l="1"/>
  <c r="F47"/>
  <c r="C47" s="1"/>
  <c r="D47"/>
  <c r="F48" l="1"/>
  <c r="C48" s="1"/>
  <c r="A49"/>
  <c r="D48"/>
  <c r="D49" l="1"/>
  <c r="A50"/>
  <c r="F49"/>
  <c r="C49" s="1"/>
  <c r="F50" l="1"/>
  <c r="C50" s="1"/>
  <c r="D50"/>
  <c r="A51"/>
  <c r="A52" l="1"/>
  <c r="F51"/>
  <c r="C51" s="1"/>
  <c r="D51"/>
  <c r="F52" l="1"/>
  <c r="C52" s="1"/>
  <c r="A53"/>
  <c r="D52"/>
  <c r="F53" l="1"/>
  <c r="C53" s="1"/>
  <c r="D53"/>
  <c r="A54"/>
  <c r="F54" l="1"/>
  <c r="C54" s="1"/>
  <c r="A55"/>
  <c r="D54"/>
  <c r="F55" l="1"/>
  <c r="C55" s="1"/>
  <c r="D55"/>
  <c r="A56"/>
  <c r="F56" l="1"/>
  <c r="C56" s="1"/>
  <c r="D56"/>
  <c r="A57"/>
  <c r="F57" l="1"/>
  <c r="C57" s="1"/>
  <c r="D57"/>
  <c r="A58"/>
  <c r="F58" l="1"/>
  <c r="C58" s="1"/>
  <c r="D58"/>
  <c r="A59"/>
  <c r="F59" l="1"/>
  <c r="C59" s="1"/>
  <c r="D59"/>
  <c r="A60"/>
  <c r="F60" l="1"/>
  <c r="C60" s="1"/>
  <c r="D60"/>
  <c r="A61"/>
  <c r="F61" l="1"/>
  <c r="C61" s="1"/>
  <c r="D61"/>
  <c r="A62"/>
  <c r="F62" l="1"/>
  <c r="C62" s="1"/>
  <c r="D62"/>
  <c r="A63"/>
  <c r="D63" l="1"/>
  <c r="F63"/>
  <c r="C63" s="1"/>
  <c r="A64"/>
  <c r="F64" l="1"/>
  <c r="C64" s="1"/>
  <c r="D64"/>
  <c r="A65"/>
  <c r="F65" l="1"/>
  <c r="C65" s="1"/>
  <c r="D65"/>
  <c r="A66"/>
  <c r="F66" l="1"/>
  <c r="C66" s="1"/>
  <c r="D66"/>
  <c r="A67"/>
  <c r="F67" l="1"/>
  <c r="C67" s="1"/>
  <c r="A68"/>
  <c r="D67"/>
  <c r="F68" l="1"/>
  <c r="C68" s="1"/>
  <c r="D68"/>
  <c r="A69"/>
  <c r="F69" l="1"/>
  <c r="C69" s="1"/>
  <c r="D69"/>
  <c r="A70"/>
  <c r="F70" l="1"/>
  <c r="C70" s="1"/>
  <c r="D70"/>
  <c r="A71"/>
  <c r="A72" l="1"/>
  <c r="F71"/>
  <c r="C71" s="1"/>
  <c r="D71"/>
  <c r="F72" l="1"/>
  <c r="C72" s="1"/>
  <c r="D72"/>
  <c r="A73"/>
  <c r="F73" l="1"/>
  <c r="C73" s="1"/>
  <c r="D73"/>
  <c r="A74"/>
  <c r="F74" l="1"/>
  <c r="C74" s="1"/>
  <c r="D74"/>
  <c r="A75"/>
  <c r="F75" l="1"/>
  <c r="C75" s="1"/>
  <c r="D75"/>
  <c r="A76"/>
  <c r="F76" l="1"/>
  <c r="C76" s="1"/>
  <c r="D76"/>
  <c r="A77"/>
  <c r="F77" l="1"/>
  <c r="C77" s="1"/>
  <c r="D77"/>
  <c r="A78"/>
  <c r="F78" l="1"/>
  <c r="C78" s="1"/>
  <c r="A79"/>
  <c r="D78"/>
  <c r="F79" l="1"/>
  <c r="C79" s="1"/>
  <c r="D79"/>
  <c r="A80"/>
  <c r="F80" l="1"/>
  <c r="C80" s="1"/>
  <c r="D80"/>
  <c r="A81"/>
  <c r="F81" l="1"/>
  <c r="C81" s="1"/>
  <c r="D81"/>
  <c r="A82"/>
  <c r="D82" l="1"/>
  <c r="F82"/>
  <c r="C82" s="1"/>
  <c r="A83"/>
  <c r="F83" l="1"/>
  <c r="C83" s="1"/>
  <c r="D83"/>
  <c r="A84"/>
  <c r="F84" l="1"/>
  <c r="C84" s="1"/>
  <c r="D84"/>
  <c r="A85"/>
  <c r="F85" l="1"/>
  <c r="C85" s="1"/>
  <c r="A86"/>
  <c r="D85"/>
  <c r="F86" l="1"/>
  <c r="C86" s="1"/>
  <c r="D86"/>
  <c r="A87"/>
  <c r="F87" l="1"/>
  <c r="C87" s="1"/>
  <c r="D87"/>
  <c r="A88"/>
  <c r="F88" l="1"/>
  <c r="C88" s="1"/>
  <c r="D88"/>
  <c r="A89"/>
  <c r="F89" l="1"/>
  <c r="C89" s="1"/>
  <c r="D89"/>
  <c r="A90"/>
  <c r="F90" l="1"/>
  <c r="C90" s="1"/>
  <c r="A91"/>
  <c r="D90"/>
  <c r="F91" l="1"/>
  <c r="C91" s="1"/>
  <c r="A92"/>
  <c r="D91"/>
  <c r="F92" l="1"/>
  <c r="C92" s="1"/>
  <c r="A93"/>
  <c r="D92"/>
  <c r="F93" l="1"/>
  <c r="C93" s="1"/>
  <c r="A94"/>
  <c r="D93"/>
  <c r="F94" l="1"/>
  <c r="C94" s="1"/>
  <c r="A95"/>
  <c r="D94"/>
  <c r="F95" l="1"/>
  <c r="C95" s="1"/>
  <c r="D95"/>
  <c r="A96"/>
  <c r="F96" l="1"/>
  <c r="C96" s="1"/>
  <c r="D96"/>
  <c r="A97"/>
  <c r="F97" l="1"/>
  <c r="C97" s="1"/>
  <c r="A98"/>
  <c r="D97"/>
  <c r="F98" l="1"/>
  <c r="C98" s="1"/>
  <c r="A99"/>
  <c r="D98"/>
  <c r="F99" l="1"/>
  <c r="C99" s="1"/>
  <c r="A100"/>
  <c r="D99"/>
  <c r="F100" l="1"/>
  <c r="C100" s="1"/>
  <c r="A101"/>
  <c r="D100"/>
  <c r="F101" l="1"/>
  <c r="C101" s="1"/>
  <c r="A102"/>
  <c r="D101"/>
  <c r="F102" l="1"/>
  <c r="C102" s="1"/>
  <c r="A103"/>
  <c r="D102"/>
  <c r="F103" l="1"/>
  <c r="C103" s="1"/>
  <c r="A104"/>
  <c r="D103"/>
  <c r="F104" l="1"/>
  <c r="C104" s="1"/>
  <c r="A105"/>
  <c r="D104"/>
  <c r="F105" l="1"/>
  <c r="C105" s="1"/>
  <c r="A106"/>
  <c r="D105"/>
  <c r="F106" l="1"/>
  <c r="C106" s="1"/>
  <c r="D106"/>
  <c r="A107"/>
  <c r="F107" l="1"/>
  <c r="C107" s="1"/>
  <c r="A108"/>
  <c r="D107"/>
  <c r="F108" l="1"/>
  <c r="C108" s="1"/>
  <c r="A109"/>
  <c r="D108"/>
  <c r="F109" l="1"/>
  <c r="C109" s="1"/>
  <c r="A110"/>
  <c r="D109"/>
  <c r="F110" l="1"/>
  <c r="C110" s="1"/>
  <c r="A111"/>
  <c r="D110"/>
  <c r="F111" l="1"/>
  <c r="C111" s="1"/>
  <c r="A112"/>
  <c r="D111"/>
  <c r="F112" l="1"/>
  <c r="C112" s="1"/>
  <c r="A113"/>
  <c r="D112"/>
  <c r="F113" l="1"/>
  <c r="C113" s="1"/>
  <c r="A114"/>
  <c r="D113"/>
  <c r="F114" l="1"/>
  <c r="C114" s="1"/>
  <c r="A115"/>
  <c r="D114"/>
  <c r="F115" l="1"/>
  <c r="C115" s="1"/>
  <c r="A116"/>
  <c r="D115"/>
  <c r="F116" l="1"/>
  <c r="C116" s="1"/>
  <c r="A117"/>
  <c r="D116"/>
  <c r="F117" l="1"/>
  <c r="C117" s="1"/>
  <c r="A118"/>
  <c r="D117"/>
  <c r="F118" l="1"/>
  <c r="C118" s="1"/>
  <c r="A119"/>
  <c r="D118"/>
  <c r="F119" l="1"/>
  <c r="C119" s="1"/>
  <c r="A120"/>
  <c r="D119"/>
  <c r="F120" l="1"/>
  <c r="C120" s="1"/>
  <c r="D120"/>
  <c r="A121"/>
  <c r="F121" l="1"/>
  <c r="C121" s="1"/>
  <c r="A122"/>
  <c r="D121"/>
  <c r="F122" l="1"/>
  <c r="C122" s="1"/>
  <c r="A123"/>
  <c r="D122"/>
  <c r="F123" l="1"/>
  <c r="C123" s="1"/>
  <c r="A124"/>
  <c r="D123"/>
  <c r="F124" l="1"/>
  <c r="C124" s="1"/>
  <c r="A125"/>
  <c r="D124"/>
  <c r="F125" l="1"/>
  <c r="C125" s="1"/>
  <c r="D125"/>
  <c r="A126"/>
  <c r="F126" l="1"/>
  <c r="C126" s="1"/>
  <c r="D126"/>
  <c r="A127"/>
  <c r="F127" l="1"/>
  <c r="C127" s="1"/>
  <c r="A128"/>
  <c r="D127"/>
  <c r="F128" l="1"/>
  <c r="C128" s="1"/>
  <c r="A129"/>
  <c r="D128"/>
  <c r="F129" l="1"/>
  <c r="C129" s="1"/>
  <c r="A130"/>
  <c r="D129"/>
  <c r="F130" l="1"/>
  <c r="C130" s="1"/>
  <c r="D130"/>
  <c r="A131"/>
  <c r="F131" l="1"/>
  <c r="C131" s="1"/>
  <c r="A132"/>
  <c r="D131"/>
  <c r="F132" l="1"/>
  <c r="C132" s="1"/>
  <c r="A133"/>
  <c r="D132"/>
  <c r="F133" l="1"/>
  <c r="C133" s="1"/>
  <c r="A134"/>
  <c r="D133"/>
  <c r="F134" l="1"/>
  <c r="C134" s="1"/>
  <c r="A135"/>
  <c r="D134"/>
  <c r="F135" l="1"/>
  <c r="C135" s="1"/>
  <c r="A136"/>
  <c r="D135"/>
  <c r="F136" l="1"/>
  <c r="C136" s="1"/>
  <c r="A137"/>
  <c r="D136"/>
  <c r="F137" l="1"/>
  <c r="C137" s="1"/>
  <c r="A138"/>
  <c r="D137"/>
  <c r="F138" l="1"/>
  <c r="C138" s="1"/>
  <c r="A139"/>
  <c r="D138"/>
  <c r="F139" l="1"/>
  <c r="C139" s="1"/>
  <c r="D139"/>
  <c r="A140"/>
  <c r="F140" l="1"/>
  <c r="C140" s="1"/>
  <c r="A141"/>
  <c r="D140"/>
  <c r="F141" l="1"/>
  <c r="C141" s="1"/>
  <c r="A142"/>
  <c r="D141"/>
  <c r="F142" l="1"/>
  <c r="C142" s="1"/>
  <c r="A143"/>
  <c r="D142"/>
  <c r="F143" l="1"/>
  <c r="C143" s="1"/>
  <c r="D143"/>
  <c r="A144"/>
  <c r="F144" l="1"/>
  <c r="C144" s="1"/>
  <c r="A145"/>
  <c r="D144"/>
  <c r="F145" l="1"/>
  <c r="C145" s="1"/>
  <c r="A146"/>
  <c r="D145"/>
  <c r="F146" l="1"/>
  <c r="C146" s="1"/>
  <c r="A147"/>
  <c r="D146"/>
  <c r="F147" l="1"/>
  <c r="C147" s="1"/>
  <c r="A148"/>
  <c r="D147"/>
  <c r="F148" l="1"/>
  <c r="C148" s="1"/>
  <c r="A149"/>
  <c r="D148"/>
  <c r="F149" l="1"/>
  <c r="C149" s="1"/>
  <c r="A150"/>
  <c r="D149"/>
  <c r="F150" l="1"/>
  <c r="C150" s="1"/>
  <c r="A151"/>
  <c r="D150"/>
  <c r="F151" l="1"/>
  <c r="C151" s="1"/>
  <c r="A152"/>
  <c r="D151"/>
  <c r="F152" l="1"/>
  <c r="C152" s="1"/>
  <c r="D152"/>
  <c r="A153"/>
  <c r="F153" l="1"/>
  <c r="C153" s="1"/>
  <c r="D153"/>
  <c r="A154"/>
  <c r="F154" l="1"/>
  <c r="C154" s="1"/>
  <c r="A155"/>
  <c r="D154"/>
  <c r="F155" l="1"/>
  <c r="C155" s="1"/>
  <c r="A156"/>
  <c r="D155"/>
  <c r="F156" l="1"/>
  <c r="C156" s="1"/>
  <c r="A157"/>
  <c r="D156"/>
  <c r="F157" l="1"/>
  <c r="C157" s="1"/>
  <c r="D157"/>
  <c r="A158"/>
  <c r="F158" l="1"/>
  <c r="C158" s="1"/>
  <c r="D158"/>
  <c r="A159"/>
  <c r="F159" l="1"/>
  <c r="C159" s="1"/>
  <c r="A160"/>
  <c r="D159"/>
  <c r="F160" l="1"/>
  <c r="C160" s="1"/>
  <c r="D160"/>
  <c r="A161"/>
  <c r="F161" l="1"/>
  <c r="C161" s="1"/>
  <c r="A162"/>
  <c r="D161"/>
  <c r="F162" l="1"/>
  <c r="C162" s="1"/>
  <c r="A163"/>
  <c r="D162"/>
  <c r="F163" l="1"/>
  <c r="C163" s="1"/>
  <c r="A164"/>
  <c r="D163"/>
  <c r="F164" l="1"/>
  <c r="C164" s="1"/>
  <c r="D164"/>
  <c r="A165"/>
  <c r="F165" l="1"/>
  <c r="C165" s="1"/>
  <c r="A166"/>
  <c r="D165"/>
  <c r="F166" l="1"/>
  <c r="C166" s="1"/>
  <c r="D166"/>
  <c r="A167"/>
  <c r="F167" l="1"/>
  <c r="C167" s="1"/>
  <c r="D167"/>
  <c r="A168"/>
  <c r="F168" l="1"/>
  <c r="C168" s="1"/>
  <c r="D168"/>
  <c r="A169"/>
  <c r="F169" l="1"/>
  <c r="C169" s="1"/>
  <c r="A170"/>
  <c r="D169"/>
  <c r="F170" l="1"/>
  <c r="C170" s="1"/>
  <c r="D170"/>
  <c r="A171"/>
  <c r="F171" l="1"/>
  <c r="C171" s="1"/>
  <c r="D171"/>
  <c r="A172"/>
  <c r="F172" l="1"/>
  <c r="C172" s="1"/>
  <c r="A173"/>
  <c r="D172"/>
  <c r="F173" l="1"/>
  <c r="C173" s="1"/>
  <c r="D173"/>
  <c r="A174"/>
  <c r="F174" l="1"/>
  <c r="C174" s="1"/>
  <c r="D174"/>
  <c r="A175"/>
  <c r="F175" l="1"/>
  <c r="C175" s="1"/>
  <c r="A176"/>
  <c r="D175"/>
  <c r="F176" l="1"/>
  <c r="C176" s="1"/>
  <c r="D176"/>
  <c r="A177"/>
  <c r="F177" l="1"/>
  <c r="C177" s="1"/>
  <c r="A178"/>
  <c r="D177"/>
  <c r="F178" l="1"/>
  <c r="C178" s="1"/>
  <c r="A179"/>
  <c r="D178"/>
  <c r="F179" l="1"/>
  <c r="C179" s="1"/>
  <c r="D179"/>
  <c r="A180"/>
  <c r="F180" l="1"/>
  <c r="C180" s="1"/>
  <c r="A181"/>
  <c r="D180"/>
  <c r="F181" l="1"/>
  <c r="C181" s="1"/>
  <c r="A182"/>
  <c r="D181"/>
  <c r="F182" l="1"/>
  <c r="C182" s="1"/>
  <c r="A183"/>
  <c r="D182"/>
  <c r="F183" l="1"/>
  <c r="C183" s="1"/>
  <c r="A184"/>
  <c r="D183"/>
  <c r="F184" l="1"/>
  <c r="C184" s="1"/>
  <c r="A185"/>
  <c r="D184"/>
  <c r="F185" l="1"/>
  <c r="C185" s="1"/>
  <c r="A186"/>
  <c r="D185"/>
  <c r="F186" l="1"/>
  <c r="C186" s="1"/>
  <c r="D186"/>
  <c r="A187"/>
  <c r="F187" l="1"/>
  <c r="C187" s="1"/>
  <c r="D187"/>
  <c r="A188"/>
  <c r="F188" l="1"/>
  <c r="C188" s="1"/>
  <c r="D188"/>
  <c r="A189"/>
  <c r="F189" l="1"/>
  <c r="C189" s="1"/>
  <c r="A190"/>
  <c r="D189"/>
  <c r="F190" l="1"/>
  <c r="C190" s="1"/>
  <c r="D190"/>
  <c r="A191"/>
  <c r="F191" l="1"/>
  <c r="C191" s="1"/>
  <c r="A192"/>
  <c r="D191"/>
  <c r="F192" l="1"/>
  <c r="C192" s="1"/>
  <c r="A193"/>
  <c r="D192"/>
  <c r="F193" l="1"/>
  <c r="C193" s="1"/>
  <c r="A194"/>
  <c r="D193"/>
  <c r="F194" l="1"/>
  <c r="C194" s="1"/>
  <c r="A195"/>
  <c r="D194"/>
  <c r="F195" l="1"/>
  <c r="C195" s="1"/>
  <c r="A196"/>
  <c r="D195"/>
  <c r="F196" l="1"/>
  <c r="C196" s="1"/>
  <c r="D196"/>
  <c r="A197"/>
  <c r="F197" l="1"/>
  <c r="C197" s="1"/>
  <c r="A198"/>
  <c r="D197"/>
  <c r="F198" l="1"/>
  <c r="C198" s="1"/>
  <c r="D198"/>
  <c r="A199"/>
  <c r="F199" l="1"/>
  <c r="C199" s="1"/>
  <c r="D199"/>
  <c r="A200"/>
  <c r="F200" l="1"/>
  <c r="C200" s="1"/>
  <c r="D200"/>
  <c r="A201"/>
  <c r="F201" l="1"/>
  <c r="C201" s="1"/>
  <c r="D201"/>
  <c r="A202"/>
  <c r="F202" l="1"/>
  <c r="C202" s="1"/>
  <c r="A203"/>
  <c r="D202"/>
  <c r="F203" l="1"/>
  <c r="C203" s="1"/>
  <c r="A204"/>
  <c r="D203"/>
  <c r="F204" l="1"/>
  <c r="C204" s="1"/>
  <c r="A205"/>
  <c r="D204"/>
  <c r="F205" l="1"/>
  <c r="C205" s="1"/>
  <c r="D205"/>
  <c r="A206"/>
  <c r="F206" l="1"/>
  <c r="C206" s="1"/>
  <c r="A207"/>
  <c r="D206"/>
  <c r="F207" l="1"/>
  <c r="C207" s="1"/>
  <c r="A208"/>
  <c r="D207"/>
  <c r="F208" l="1"/>
  <c r="C208" s="1"/>
  <c r="A209"/>
  <c r="D208"/>
  <c r="F209" l="1"/>
  <c r="C209" s="1"/>
  <c r="A210"/>
  <c r="D209"/>
  <c r="F210" l="1"/>
  <c r="C210" s="1"/>
  <c r="A211"/>
  <c r="D210"/>
  <c r="F211" l="1"/>
  <c r="C211" s="1"/>
  <c r="A212"/>
  <c r="D211"/>
  <c r="F212" l="1"/>
  <c r="C212" s="1"/>
  <c r="A213"/>
  <c r="D212"/>
  <c r="F213" l="1"/>
  <c r="C213" s="1"/>
  <c r="D213"/>
  <c r="A214"/>
  <c r="F214" l="1"/>
  <c r="C214" s="1"/>
  <c r="A215"/>
  <c r="D214"/>
  <c r="F215" l="1"/>
  <c r="C215" s="1"/>
  <c r="D215"/>
  <c r="A216"/>
  <c r="F216" l="1"/>
  <c r="C216" s="1"/>
  <c r="A217"/>
  <c r="D216"/>
  <c r="F217" l="1"/>
  <c r="C217" s="1"/>
  <c r="A218"/>
  <c r="D217"/>
  <c r="F218" l="1"/>
  <c r="C218" s="1"/>
  <c r="A219"/>
  <c r="D218"/>
  <c r="F219" l="1"/>
  <c r="C219" s="1"/>
  <c r="A220"/>
  <c r="D219"/>
  <c r="F220" l="1"/>
  <c r="C220" s="1"/>
  <c r="D220"/>
  <c r="A221"/>
  <c r="F221" l="1"/>
  <c r="C221" s="1"/>
  <c r="A222"/>
  <c r="D221"/>
  <c r="F222" l="1"/>
  <c r="C222" s="1"/>
  <c r="A223"/>
  <c r="D222"/>
  <c r="F223" l="1"/>
  <c r="C223" s="1"/>
  <c r="A224"/>
  <c r="D223"/>
  <c r="F224" l="1"/>
  <c r="C224" s="1"/>
  <c r="D224"/>
  <c r="A225"/>
  <c r="F225" l="1"/>
  <c r="C225" s="1"/>
  <c r="D225"/>
  <c r="A226"/>
  <c r="F226" l="1"/>
  <c r="C226" s="1"/>
  <c r="A227"/>
  <c r="D226"/>
  <c r="F227" l="1"/>
  <c r="C227" s="1"/>
  <c r="D227"/>
  <c r="A228"/>
  <c r="F228" l="1"/>
  <c r="C228" s="1"/>
  <c r="A229"/>
  <c r="D228"/>
  <c r="F229" l="1"/>
  <c r="C229" s="1"/>
  <c r="D229"/>
  <c r="A230"/>
  <c r="F230" l="1"/>
  <c r="C230" s="1"/>
  <c r="A231"/>
  <c r="D230"/>
  <c r="F231" l="1"/>
  <c r="C231" s="1"/>
  <c r="D231"/>
  <c r="A232"/>
  <c r="D232" l="1"/>
  <c r="F232"/>
  <c r="C232" s="1"/>
  <c r="A233"/>
  <c r="F233" l="1"/>
  <c r="C233" s="1"/>
  <c r="D233"/>
  <c r="A234"/>
  <c r="F234" l="1"/>
  <c r="C234" s="1"/>
  <c r="A235"/>
  <c r="D234"/>
  <c r="F235" l="1"/>
  <c r="C235" s="1"/>
  <c r="D235"/>
  <c r="A236"/>
  <c r="F236" l="1"/>
  <c r="C236" s="1"/>
  <c r="D236"/>
  <c r="A237"/>
  <c r="F237" l="1"/>
  <c r="C237" s="1"/>
  <c r="D237"/>
  <c r="A238"/>
  <c r="F238" l="1"/>
  <c r="C238" s="1"/>
  <c r="A239"/>
  <c r="D238"/>
  <c r="F239" l="1"/>
  <c r="C239" s="1"/>
  <c r="D239"/>
  <c r="A240"/>
  <c r="F240" l="1"/>
  <c r="C240" s="1"/>
  <c r="A241"/>
  <c r="D240"/>
  <c r="F241" l="1"/>
  <c r="C241" s="1"/>
  <c r="A242"/>
  <c r="D241"/>
  <c r="F242" l="1"/>
  <c r="C242" s="1"/>
  <c r="D242"/>
  <c r="A243"/>
  <c r="F243" l="1"/>
  <c r="C243" s="1"/>
  <c r="D243"/>
  <c r="A244"/>
  <c r="F244" l="1"/>
  <c r="C244" s="1"/>
  <c r="A245"/>
  <c r="D244"/>
  <c r="F245" l="1"/>
  <c r="C245" s="1"/>
  <c r="D245"/>
  <c r="A246"/>
  <c r="F246" l="1"/>
  <c r="C246" s="1"/>
  <c r="A247"/>
  <c r="D246"/>
  <c r="F247" l="1"/>
  <c r="C247" s="1"/>
  <c r="A248"/>
  <c r="D247"/>
  <c r="F248" l="1"/>
  <c r="C248" s="1"/>
  <c r="D248"/>
  <c r="A249"/>
  <c r="F249" l="1"/>
  <c r="C249" s="1"/>
  <c r="A250"/>
  <c r="D249"/>
  <c r="F250" l="1"/>
  <c r="C250" s="1"/>
  <c r="A251"/>
  <c r="D250"/>
  <c r="F251" l="1"/>
  <c r="C251" s="1"/>
  <c r="A252"/>
  <c r="D251"/>
  <c r="F252" l="1"/>
  <c r="C252" s="1"/>
  <c r="A253"/>
  <c r="D252"/>
  <c r="F253" l="1"/>
  <c r="C253" s="1"/>
  <c r="A254"/>
  <c r="D253"/>
  <c r="F254" l="1"/>
  <c r="C254" s="1"/>
  <c r="A255"/>
  <c r="D254"/>
  <c r="F255" l="1"/>
  <c r="C255" s="1"/>
  <c r="A256"/>
  <c r="D255"/>
  <c r="F256" l="1"/>
  <c r="C256" s="1"/>
  <c r="A257"/>
  <c r="D256"/>
  <c r="F257" l="1"/>
  <c r="C257" s="1"/>
  <c r="A258"/>
  <c r="D257"/>
  <c r="F258" l="1"/>
  <c r="C258" s="1"/>
  <c r="D258"/>
  <c r="A259"/>
  <c r="F259" l="1"/>
  <c r="C259" s="1"/>
  <c r="D259"/>
  <c r="A260"/>
  <c r="F260" l="1"/>
  <c r="C260" s="1"/>
  <c r="A261"/>
  <c r="D260"/>
  <c r="F261" l="1"/>
  <c r="C261" s="1"/>
  <c r="D261"/>
  <c r="A262"/>
  <c r="F262" l="1"/>
  <c r="C262" s="1"/>
  <c r="A263"/>
  <c r="D262"/>
  <c r="F263" l="1"/>
  <c r="C263" s="1"/>
  <c r="D263"/>
  <c r="A264"/>
  <c r="F264" l="1"/>
  <c r="C264" s="1"/>
  <c r="D264"/>
  <c r="A265"/>
  <c r="F265" l="1"/>
  <c r="C265" s="1"/>
  <c r="A266"/>
  <c r="D265"/>
  <c r="F266" l="1"/>
  <c r="C266" s="1"/>
  <c r="D266"/>
  <c r="A267"/>
  <c r="F267" l="1"/>
  <c r="C267" s="1"/>
  <c r="A268"/>
  <c r="D267"/>
  <c r="F268" l="1"/>
  <c r="C268" s="1"/>
  <c r="D268"/>
  <c r="A269"/>
  <c r="F269" l="1"/>
  <c r="C269" s="1"/>
  <c r="A270"/>
  <c r="D269"/>
  <c r="F270" l="1"/>
  <c r="C270" s="1"/>
  <c r="A271"/>
  <c r="D270"/>
  <c r="F271" l="1"/>
  <c r="C271" s="1"/>
  <c r="D271"/>
  <c r="A272"/>
  <c r="F272" l="1"/>
  <c r="C272" s="1"/>
  <c r="D272"/>
  <c r="A273"/>
  <c r="F273" l="1"/>
  <c r="C273" s="1"/>
  <c r="A274"/>
  <c r="D273"/>
  <c r="F274" l="1"/>
  <c r="C274" s="1"/>
  <c r="A275"/>
  <c r="D274"/>
  <c r="F275" l="1"/>
  <c r="C275" s="1"/>
  <c r="A276"/>
  <c r="D275"/>
  <c r="F276" l="1"/>
  <c r="C276" s="1"/>
  <c r="D276"/>
  <c r="A277"/>
  <c r="F277" l="1"/>
  <c r="C277" s="1"/>
  <c r="D277"/>
  <c r="A278"/>
  <c r="F278" l="1"/>
  <c r="C278" s="1"/>
  <c r="A279"/>
  <c r="D278"/>
  <c r="F279" l="1"/>
  <c r="C279" s="1"/>
  <c r="A280"/>
  <c r="D279"/>
  <c r="F280" l="1"/>
  <c r="C280" s="1"/>
  <c r="D280"/>
  <c r="A281"/>
  <c r="F281" l="1"/>
  <c r="C281" s="1"/>
  <c r="D281"/>
  <c r="A282"/>
  <c r="F282" l="1"/>
  <c r="C282" s="1"/>
  <c r="D282"/>
  <c r="A283"/>
  <c r="F283" l="1"/>
  <c r="C283" s="1"/>
  <c r="A284"/>
  <c r="D283"/>
  <c r="F284" l="1"/>
  <c r="C284" s="1"/>
  <c r="D284"/>
  <c r="A285"/>
  <c r="F285" l="1"/>
  <c r="C285" s="1"/>
  <c r="A286"/>
  <c r="D285"/>
  <c r="F286" l="1"/>
  <c r="C286" s="1"/>
  <c r="D286"/>
  <c r="A287"/>
  <c r="F287" l="1"/>
  <c r="C287" s="1"/>
  <c r="A288"/>
  <c r="D287"/>
  <c r="F288" l="1"/>
  <c r="C288" s="1"/>
  <c r="D288"/>
  <c r="A289"/>
  <c r="F289" l="1"/>
  <c r="C289" s="1"/>
  <c r="A290"/>
  <c r="D289"/>
  <c r="F290" l="1"/>
  <c r="C290" s="1"/>
  <c r="D290"/>
  <c r="A291"/>
  <c r="F291" l="1"/>
  <c r="C291" s="1"/>
  <c r="A292"/>
  <c r="D291"/>
  <c r="F292" l="1"/>
  <c r="C292" s="1"/>
  <c r="A293"/>
  <c r="D292"/>
  <c r="F293" l="1"/>
  <c r="C293" s="1"/>
  <c r="D293"/>
  <c r="A294"/>
  <c r="F294" l="1"/>
  <c r="C294" s="1"/>
  <c r="D294"/>
  <c r="A295"/>
  <c r="F295" l="1"/>
  <c r="C295" s="1"/>
  <c r="D295"/>
  <c r="A296"/>
  <c r="F296" l="1"/>
  <c r="C296" s="1"/>
  <c r="D296"/>
  <c r="A297"/>
  <c r="F297" l="1"/>
  <c r="C297" s="1"/>
  <c r="A298"/>
  <c r="D297"/>
  <c r="F298" l="1"/>
  <c r="C298" s="1"/>
  <c r="D298"/>
  <c r="A299"/>
  <c r="F299" l="1"/>
  <c r="C299" s="1"/>
  <c r="D299"/>
  <c r="A300"/>
  <c r="F300" l="1"/>
  <c r="C300" s="1"/>
  <c r="A301"/>
  <c r="D300"/>
  <c r="F301" l="1"/>
  <c r="C301" s="1"/>
  <c r="A302"/>
  <c r="D301"/>
  <c r="F302" l="1"/>
  <c r="C302" s="1"/>
  <c r="D302"/>
  <c r="A303"/>
  <c r="F303" l="1"/>
  <c r="C303" s="1"/>
  <c r="A304"/>
  <c r="D303"/>
  <c r="F304" l="1"/>
  <c r="C304" s="1"/>
  <c r="A305"/>
  <c r="D304"/>
  <c r="F305" l="1"/>
  <c r="C305" s="1"/>
  <c r="A306"/>
  <c r="D305"/>
  <c r="F306" l="1"/>
  <c r="C306" s="1"/>
  <c r="A307"/>
  <c r="D306"/>
  <c r="F307" l="1"/>
  <c r="C307" s="1"/>
  <c r="A308"/>
  <c r="D307"/>
  <c r="F308" l="1"/>
  <c r="C308" s="1"/>
  <c r="A309"/>
  <c r="D308"/>
  <c r="F309" l="1"/>
  <c r="C309" s="1"/>
  <c r="A310"/>
  <c r="D309"/>
  <c r="F310" l="1"/>
  <c r="C310" s="1"/>
  <c r="A311"/>
  <c r="D310"/>
  <c r="F311" l="1"/>
  <c r="C311" s="1"/>
  <c r="A312"/>
  <c r="D311"/>
  <c r="F312" l="1"/>
  <c r="C312" s="1"/>
  <c r="A313"/>
  <c r="D312"/>
  <c r="F313" l="1"/>
  <c r="C313" s="1"/>
  <c r="A314"/>
  <c r="D313"/>
  <c r="F314" l="1"/>
  <c r="C314" s="1"/>
  <c r="A315"/>
  <c r="D314"/>
  <c r="F315" l="1"/>
  <c r="C315" s="1"/>
  <c r="A316"/>
  <c r="D315"/>
  <c r="F316" l="1"/>
  <c r="C316" s="1"/>
  <c r="A317"/>
  <c r="D316"/>
  <c r="F317" l="1"/>
  <c r="C317" s="1"/>
  <c r="D317"/>
  <c r="A318"/>
  <c r="F318" l="1"/>
  <c r="C318" s="1"/>
  <c r="A319"/>
  <c r="D318"/>
  <c r="F319" l="1"/>
  <c r="C319" s="1"/>
  <c r="A320"/>
  <c r="D319"/>
  <c r="F320" l="1"/>
  <c r="C320" s="1"/>
  <c r="A321"/>
  <c r="D320"/>
  <c r="F321" l="1"/>
  <c r="C321" s="1"/>
  <c r="A322"/>
  <c r="D321"/>
  <c r="F322" l="1"/>
  <c r="C322" s="1"/>
  <c r="A323"/>
  <c r="D322"/>
  <c r="F323" l="1"/>
  <c r="C323" s="1"/>
  <c r="D323"/>
  <c r="A324"/>
  <c r="F324" l="1"/>
  <c r="C324" s="1"/>
  <c r="A325"/>
  <c r="D324"/>
  <c r="F325" l="1"/>
  <c r="C325" s="1"/>
  <c r="A326"/>
  <c r="D325"/>
  <c r="F326" l="1"/>
  <c r="C326" s="1"/>
  <c r="D326"/>
  <c r="A327"/>
  <c r="F327" l="1"/>
  <c r="C327" s="1"/>
  <c r="D327"/>
  <c r="A328"/>
  <c r="F328" l="1"/>
  <c r="C328" s="1"/>
  <c r="D328"/>
  <c r="A329"/>
  <c r="F329" l="1"/>
  <c r="C329" s="1"/>
  <c r="A330"/>
  <c r="D329"/>
  <c r="F330" l="1"/>
  <c r="C330" s="1"/>
  <c r="A331"/>
  <c r="D330"/>
  <c r="F331" l="1"/>
  <c r="C331" s="1"/>
  <c r="A332"/>
  <c r="D331"/>
  <c r="F332" l="1"/>
  <c r="C332" s="1"/>
  <c r="A333"/>
  <c r="D332"/>
  <c r="F333" l="1"/>
  <c r="C333" s="1"/>
  <c r="A334"/>
  <c r="D333"/>
  <c r="F334" l="1"/>
  <c r="C334" s="1"/>
  <c r="D334"/>
  <c r="A335"/>
  <c r="F335" l="1"/>
  <c r="C335" s="1"/>
  <c r="A336"/>
  <c r="D335"/>
  <c r="F336" l="1"/>
  <c r="C336" s="1"/>
  <c r="A337"/>
  <c r="D336"/>
  <c r="F337" l="1"/>
  <c r="C337" s="1"/>
  <c r="A338"/>
  <c r="D337"/>
  <c r="F338" l="1"/>
  <c r="C338" s="1"/>
  <c r="A339"/>
  <c r="D338"/>
  <c r="F339" l="1"/>
  <c r="C339" s="1"/>
  <c r="A340"/>
  <c r="D339"/>
  <c r="F340" l="1"/>
  <c r="C340" s="1"/>
  <c r="D340"/>
  <c r="A341"/>
  <c r="F341" l="1"/>
  <c r="C341" s="1"/>
  <c r="A342"/>
  <c r="D341"/>
  <c r="F342" l="1"/>
  <c r="C342" s="1"/>
  <c r="A343"/>
  <c r="D342"/>
  <c r="F343" l="1"/>
  <c r="C343" s="1"/>
  <c r="A344"/>
  <c r="D343"/>
  <c r="F344" l="1"/>
  <c r="C344" s="1"/>
  <c r="D344"/>
  <c r="A345"/>
  <c r="F345" l="1"/>
  <c r="C345" s="1"/>
  <c r="D345"/>
  <c r="A346"/>
  <c r="F346" l="1"/>
  <c r="C346" s="1"/>
  <c r="D346"/>
  <c r="A347"/>
  <c r="F347" l="1"/>
  <c r="C347" s="1"/>
  <c r="A348"/>
  <c r="D347"/>
  <c r="F348" l="1"/>
  <c r="C348" s="1"/>
  <c r="A349"/>
  <c r="D348"/>
  <c r="F349" l="1"/>
  <c r="C349" s="1"/>
  <c r="D349"/>
  <c r="A350"/>
  <c r="F350" l="1"/>
  <c r="C350" s="1"/>
  <c r="D350"/>
  <c r="A351"/>
  <c r="F351" l="1"/>
  <c r="C351" s="1"/>
  <c r="D351"/>
  <c r="A352"/>
  <c r="F352" l="1"/>
  <c r="C352" s="1"/>
  <c r="D352"/>
  <c r="A353"/>
  <c r="F353" l="1"/>
  <c r="C353" s="1"/>
  <c r="A354"/>
  <c r="D353"/>
  <c r="F354" l="1"/>
  <c r="C354" s="1"/>
  <c r="A355"/>
  <c r="D354"/>
  <c r="F355" l="1"/>
  <c r="C355" s="1"/>
  <c r="A356"/>
  <c r="D355"/>
  <c r="F356" l="1"/>
  <c r="C356" s="1"/>
  <c r="A357"/>
  <c r="D356"/>
  <c r="F357" l="1"/>
  <c r="C357" s="1"/>
  <c r="D357"/>
  <c r="A358"/>
  <c r="F358" l="1"/>
  <c r="C358" s="1"/>
  <c r="A359"/>
  <c r="D358"/>
  <c r="F359" l="1"/>
  <c r="C359" s="1"/>
  <c r="A360"/>
  <c r="D359"/>
  <c r="F360" l="1"/>
  <c r="C360" s="1"/>
  <c r="A361"/>
  <c r="D360"/>
  <c r="F361" l="1"/>
  <c r="C361" s="1"/>
  <c r="A362"/>
  <c r="D361"/>
  <c r="F362" l="1"/>
  <c r="C362" s="1"/>
  <c r="D362"/>
  <c r="A363"/>
  <c r="F363" l="1"/>
  <c r="C363" s="1"/>
  <c r="D363"/>
  <c r="A364"/>
  <c r="F364" l="1"/>
  <c r="C364" s="1"/>
  <c r="D364"/>
  <c r="A365"/>
  <c r="F365" l="1"/>
  <c r="C365" s="1"/>
  <c r="A366"/>
  <c r="D365"/>
  <c r="F366" l="1"/>
  <c r="C366" s="1"/>
  <c r="A367"/>
  <c r="D366"/>
  <c r="F367" l="1"/>
  <c r="C367" s="1"/>
  <c r="A368"/>
  <c r="D367"/>
  <c r="F368" l="1"/>
  <c r="C368" s="1"/>
  <c r="D368"/>
  <c r="A369"/>
  <c r="D369" l="1"/>
  <c r="A370"/>
  <c r="F369"/>
  <c r="C369" s="1"/>
  <c r="F370" l="1"/>
  <c r="C370" s="1"/>
  <c r="A371"/>
  <c r="D370"/>
  <c r="F371" l="1"/>
  <c r="C371" s="1"/>
  <c r="D371"/>
  <c r="A372"/>
  <c r="F372" l="1"/>
  <c r="C372" s="1"/>
  <c r="A373"/>
  <c r="D372"/>
  <c r="F373" l="1"/>
  <c r="C373" s="1"/>
  <c r="D373"/>
  <c r="A374"/>
  <c r="F374" l="1"/>
  <c r="C374" s="1"/>
  <c r="A375"/>
  <c r="D374"/>
  <c r="F375" l="1"/>
  <c r="C375" s="1"/>
  <c r="D375"/>
  <c r="A376"/>
  <c r="F376" l="1"/>
  <c r="C376" s="1"/>
  <c r="D376"/>
  <c r="A377"/>
  <c r="F377" l="1"/>
  <c r="C377" s="1"/>
  <c r="A378"/>
  <c r="D377"/>
  <c r="F378" l="1"/>
  <c r="C378" s="1"/>
  <c r="D378"/>
  <c r="A379"/>
  <c r="F379" l="1"/>
  <c r="C379" s="1"/>
  <c r="D379"/>
  <c r="A380"/>
  <c r="F380" l="1"/>
  <c r="C380" s="1"/>
  <c r="A381"/>
  <c r="D380"/>
  <c r="F381" l="1"/>
  <c r="C381" s="1"/>
  <c r="A382"/>
  <c r="D381"/>
  <c r="F382" l="1"/>
  <c r="C382" s="1"/>
  <c r="D382"/>
  <c r="A383"/>
  <c r="F383" l="1"/>
  <c r="C383" s="1"/>
  <c r="A384"/>
  <c r="D383"/>
  <c r="F384" l="1"/>
  <c r="C384" s="1"/>
  <c r="A385"/>
  <c r="D384"/>
  <c r="F385" l="1"/>
  <c r="C385" s="1"/>
  <c r="A386"/>
  <c r="D385"/>
  <c r="F386" l="1"/>
  <c r="C386" s="1"/>
  <c r="A387"/>
  <c r="D386"/>
  <c r="F387" l="1"/>
  <c r="C387" s="1"/>
  <c r="D387"/>
  <c r="A388"/>
  <c r="F388" l="1"/>
  <c r="C388" s="1"/>
  <c r="D388"/>
  <c r="A389"/>
  <c r="F389" l="1"/>
  <c r="C389" s="1"/>
  <c r="A390"/>
  <c r="D389"/>
  <c r="F390" l="1"/>
  <c r="C390" s="1"/>
  <c r="D390"/>
  <c r="A391"/>
  <c r="F391" l="1"/>
  <c r="C391" s="1"/>
  <c r="A392"/>
  <c r="D391"/>
  <c r="F392" l="1"/>
  <c r="C392" s="1"/>
  <c r="A393"/>
  <c r="D392"/>
  <c r="F393" l="1"/>
  <c r="C393" s="1"/>
  <c r="D393"/>
  <c r="A394"/>
  <c r="F394" l="1"/>
  <c r="C394" s="1"/>
  <c r="A395"/>
  <c r="D394"/>
  <c r="F395" l="1"/>
  <c r="C395" s="1"/>
  <c r="A396"/>
  <c r="D395"/>
  <c r="F396" l="1"/>
  <c r="C396" s="1"/>
  <c r="D396"/>
  <c r="A397"/>
  <c r="F397" l="1"/>
  <c r="C397" s="1"/>
  <c r="A398"/>
  <c r="D397"/>
  <c r="F398" l="1"/>
  <c r="C398" s="1"/>
  <c r="A399"/>
  <c r="D398"/>
  <c r="F399" l="1"/>
  <c r="C399" s="1"/>
  <c r="D399"/>
  <c r="A400"/>
  <c r="F400" l="1"/>
  <c r="C400" s="1"/>
  <c r="A401"/>
  <c r="D400"/>
  <c r="F401" l="1"/>
  <c r="C401" s="1"/>
  <c r="A402"/>
  <c r="D401"/>
  <c r="F402" l="1"/>
  <c r="C402" s="1"/>
  <c r="A403"/>
  <c r="D402"/>
  <c r="F403" l="1"/>
  <c r="C403" s="1"/>
  <c r="A404"/>
  <c r="D403"/>
  <c r="F404" l="1"/>
  <c r="C404" s="1"/>
  <c r="A405"/>
  <c r="D404"/>
  <c r="F405" l="1"/>
  <c r="C405" s="1"/>
  <c r="D405"/>
  <c r="A406"/>
  <c r="F406" l="1"/>
  <c r="C406" s="1"/>
  <c r="A407"/>
  <c r="D406"/>
  <c r="F407" l="1"/>
  <c r="C407" s="1"/>
  <c r="D407"/>
  <c r="A408"/>
  <c r="F408" l="1"/>
  <c r="C408" s="1"/>
  <c r="A409"/>
  <c r="D408"/>
  <c r="F409" l="1"/>
  <c r="C409" s="1"/>
  <c r="D409"/>
  <c r="A410"/>
  <c r="F410" l="1"/>
  <c r="C410" s="1"/>
  <c r="A411"/>
  <c r="D410"/>
  <c r="F411" l="1"/>
  <c r="C411" s="1"/>
  <c r="A412"/>
  <c r="D411"/>
  <c r="F412" l="1"/>
  <c r="C412" s="1"/>
  <c r="A413"/>
  <c r="D412"/>
  <c r="F413" l="1"/>
  <c r="C413" s="1"/>
  <c r="A414"/>
  <c r="D413"/>
  <c r="F414" l="1"/>
  <c r="C414" s="1"/>
  <c r="D414"/>
  <c r="A415"/>
  <c r="F415" l="1"/>
  <c r="C415" s="1"/>
  <c r="A416"/>
  <c r="D415"/>
  <c r="F416" l="1"/>
  <c r="C416" s="1"/>
  <c r="D416"/>
  <c r="A417"/>
  <c r="F417" l="1"/>
  <c r="C417" s="1"/>
  <c r="A418"/>
  <c r="D417"/>
  <c r="F418" l="1"/>
  <c r="C418" s="1"/>
  <c r="D418"/>
  <c r="A419"/>
  <c r="F419" l="1"/>
  <c r="C419" s="1"/>
  <c r="A420"/>
  <c r="D419"/>
  <c r="F420" l="1"/>
  <c r="C420" s="1"/>
  <c r="D420"/>
  <c r="A421"/>
  <c r="F421" l="1"/>
  <c r="C421" s="1"/>
  <c r="D421"/>
  <c r="A422"/>
  <c r="F422" l="1"/>
  <c r="C422" s="1"/>
  <c r="A423"/>
  <c r="D422"/>
  <c r="F423" l="1"/>
  <c r="C423" s="1"/>
  <c r="A424"/>
  <c r="D423"/>
  <c r="F424" l="1"/>
  <c r="C424" s="1"/>
  <c r="A425"/>
  <c r="D424"/>
  <c r="F425" l="1"/>
  <c r="C425" s="1"/>
  <c r="D425"/>
  <c r="A426"/>
  <c r="F426" l="1"/>
  <c r="C426" s="1"/>
  <c r="D426"/>
  <c r="A427"/>
  <c r="F427" l="1"/>
  <c r="C427" s="1"/>
  <c r="A428"/>
  <c r="D427"/>
  <c r="F428" l="1"/>
  <c r="C428" s="1"/>
  <c r="A429"/>
  <c r="D428"/>
  <c r="F429" l="1"/>
  <c r="C429" s="1"/>
  <c r="A430"/>
  <c r="D429"/>
  <c r="F430" l="1"/>
  <c r="C430" s="1"/>
  <c r="D430"/>
  <c r="A431"/>
  <c r="F431" l="1"/>
  <c r="C431" s="1"/>
  <c r="A432"/>
  <c r="D431"/>
  <c r="F432" l="1"/>
  <c r="C432" s="1"/>
  <c r="D432"/>
  <c r="A433"/>
  <c r="F433" l="1"/>
  <c r="C433" s="1"/>
  <c r="A434"/>
  <c r="D433"/>
  <c r="F434" l="1"/>
  <c r="C434" s="1"/>
  <c r="D434"/>
  <c r="A435"/>
  <c r="F435" l="1"/>
  <c r="C435" s="1"/>
  <c r="A436"/>
  <c r="D435"/>
  <c r="F436" l="1"/>
  <c r="C436" s="1"/>
  <c r="A437"/>
  <c r="D436"/>
  <c r="F437" l="1"/>
  <c r="C437" s="1"/>
  <c r="A438"/>
  <c r="D437"/>
  <c r="F438" l="1"/>
  <c r="C438" s="1"/>
  <c r="D438"/>
  <c r="A439"/>
  <c r="F439" l="1"/>
  <c r="C439" s="1"/>
  <c r="A440"/>
  <c r="D439"/>
  <c r="F440" l="1"/>
  <c r="C440" s="1"/>
  <c r="A441"/>
  <c r="D440"/>
  <c r="F441" l="1"/>
  <c r="C441" s="1"/>
  <c r="A442"/>
  <c r="D441"/>
  <c r="F442" l="1"/>
  <c r="C442" s="1"/>
  <c r="A443"/>
  <c r="D442"/>
  <c r="F443" l="1"/>
  <c r="C443" s="1"/>
  <c r="D443"/>
  <c r="A444"/>
  <c r="F444" l="1"/>
  <c r="C444" s="1"/>
  <c r="A445"/>
  <c r="D444"/>
  <c r="F445" l="1"/>
  <c r="C445" s="1"/>
  <c r="A446"/>
  <c r="D445"/>
  <c r="F446" l="1"/>
  <c r="C446" s="1"/>
  <c r="D446"/>
  <c r="A447"/>
  <c r="F447" l="1"/>
  <c r="C447" s="1"/>
  <c r="D447"/>
  <c r="A448"/>
  <c r="F448" l="1"/>
  <c r="C448" s="1"/>
  <c r="D448"/>
  <c r="A449"/>
  <c r="F449" l="1"/>
  <c r="C449" s="1"/>
  <c r="A450"/>
  <c r="D449"/>
  <c r="F450" l="1"/>
  <c r="C450" s="1"/>
  <c r="A451"/>
  <c r="D450"/>
  <c r="F451" l="1"/>
  <c r="C451" s="1"/>
  <c r="D451"/>
  <c r="A452"/>
  <c r="F452" l="1"/>
  <c r="C452" s="1"/>
  <c r="A453"/>
  <c r="D452"/>
  <c r="F453" l="1"/>
  <c r="C453" s="1"/>
  <c r="D453"/>
  <c r="A454"/>
  <c r="F454" l="1"/>
  <c r="C454" s="1"/>
  <c r="D454"/>
  <c r="A455"/>
  <c r="F455" l="1"/>
  <c r="C455" s="1"/>
  <c r="D455"/>
  <c r="A456"/>
  <c r="F456" l="1"/>
  <c r="C456" s="1"/>
  <c r="A457"/>
  <c r="D456"/>
  <c r="F457" l="1"/>
  <c r="C457" s="1"/>
  <c r="A458"/>
  <c r="D457"/>
  <c r="F458" l="1"/>
  <c r="C458" s="1"/>
  <c r="A459"/>
  <c r="D458"/>
  <c r="F459" l="1"/>
  <c r="C459" s="1"/>
  <c r="A460"/>
  <c r="D459"/>
  <c r="F460" l="1"/>
  <c r="C460" s="1"/>
  <c r="D460"/>
  <c r="A461"/>
  <c r="F461" l="1"/>
  <c r="C461" s="1"/>
  <c r="D461"/>
  <c r="A462"/>
  <c r="F462" l="1"/>
  <c r="C462" s="1"/>
  <c r="A463"/>
  <c r="D462"/>
  <c r="F463" l="1"/>
  <c r="C463" s="1"/>
  <c r="D463"/>
  <c r="A464"/>
  <c r="F464" l="1"/>
  <c r="C464" s="1"/>
  <c r="D464"/>
  <c r="A465"/>
  <c r="F465" l="1"/>
  <c r="C465" s="1"/>
  <c r="A466"/>
  <c r="D465"/>
  <c r="F466" l="1"/>
  <c r="C466" s="1"/>
  <c r="D466"/>
  <c r="A467"/>
  <c r="F467" l="1"/>
  <c r="C467" s="1"/>
  <c r="A468"/>
  <c r="D467"/>
  <c r="F468" l="1"/>
  <c r="C468" s="1"/>
  <c r="A469"/>
  <c r="D468"/>
  <c r="F469" l="1"/>
  <c r="C469" s="1"/>
  <c r="D469"/>
  <c r="A470"/>
  <c r="F470" l="1"/>
  <c r="C470" s="1"/>
  <c r="A471"/>
  <c r="D470"/>
  <c r="F471" l="1"/>
  <c r="C471" s="1"/>
  <c r="A472"/>
  <c r="D471"/>
  <c r="F472" l="1"/>
  <c r="C472" s="1"/>
  <c r="A473"/>
  <c r="D472"/>
  <c r="F473" l="1"/>
  <c r="C473" s="1"/>
  <c r="D473"/>
  <c r="A474"/>
  <c r="F474" l="1"/>
  <c r="C474" s="1"/>
  <c r="D474"/>
  <c r="A475"/>
  <c r="F475" l="1"/>
  <c r="C475" s="1"/>
  <c r="A476"/>
  <c r="D475"/>
  <c r="F476" l="1"/>
  <c r="C476" s="1"/>
  <c r="A477"/>
  <c r="D476"/>
  <c r="F477" l="1"/>
  <c r="C477" s="1"/>
  <c r="D477"/>
  <c r="A478"/>
  <c r="F478" l="1"/>
  <c r="C478" s="1"/>
  <c r="A479"/>
  <c r="D478"/>
  <c r="F479" l="1"/>
  <c r="C479" s="1"/>
  <c r="D479"/>
  <c r="A480"/>
  <c r="F480" l="1"/>
  <c r="C480" s="1"/>
  <c r="D480"/>
  <c r="A481"/>
  <c r="F481" l="1"/>
  <c r="C481" s="1"/>
  <c r="A482"/>
  <c r="D481"/>
  <c r="F482" l="1"/>
  <c r="C482" s="1"/>
  <c r="D482"/>
  <c r="A483"/>
  <c r="F483" l="1"/>
  <c r="C483" s="1"/>
  <c r="A484"/>
  <c r="D483"/>
  <c r="F484" l="1"/>
  <c r="C484" s="1"/>
  <c r="A485"/>
  <c r="D484"/>
  <c r="F485" l="1"/>
  <c r="C485" s="1"/>
  <c r="A486"/>
  <c r="D485"/>
  <c r="F486" l="1"/>
  <c r="C486" s="1"/>
  <c r="A487"/>
  <c r="D486"/>
  <c r="F487" l="1"/>
  <c r="C487" s="1"/>
  <c r="A488"/>
  <c r="D487"/>
  <c r="F488" l="1"/>
  <c r="C488" s="1"/>
  <c r="A489"/>
  <c r="D488"/>
  <c r="F489" l="1"/>
  <c r="C489" s="1"/>
  <c r="D489"/>
  <c r="A490"/>
  <c r="F490" l="1"/>
  <c r="C490" s="1"/>
  <c r="A491"/>
  <c r="D490"/>
  <c r="F491" l="1"/>
  <c r="C491" s="1"/>
  <c r="D491"/>
  <c r="A492"/>
  <c r="F492" l="1"/>
  <c r="C492" s="1"/>
  <c r="D492"/>
  <c r="A493"/>
  <c r="F493" l="1"/>
  <c r="C493" s="1"/>
  <c r="D493"/>
  <c r="A494"/>
  <c r="F494" l="1"/>
  <c r="C494" s="1"/>
  <c r="D494"/>
  <c r="A495"/>
  <c r="F495" l="1"/>
  <c r="C495" s="1"/>
  <c r="A496"/>
  <c r="D495"/>
  <c r="F496" l="1"/>
  <c r="C496" s="1"/>
  <c r="A497"/>
  <c r="D496"/>
  <c r="I1"/>
  <c r="F497" l="1"/>
  <c r="C497" s="1"/>
  <c r="A498"/>
  <c r="D497"/>
  <c r="F498" l="1"/>
  <c r="C498" s="1"/>
  <c r="A499"/>
  <c r="D498"/>
  <c r="F499" l="1"/>
  <c r="C499" s="1"/>
  <c r="A500"/>
  <c r="D499"/>
  <c r="F500" l="1"/>
  <c r="C500" s="1"/>
  <c r="D500"/>
  <c r="A501"/>
  <c r="F501" l="1"/>
  <c r="C501" s="1"/>
  <c r="A502"/>
  <c r="D501"/>
  <c r="F502" l="1"/>
  <c r="C502" s="1"/>
  <c r="D502"/>
  <c r="A503"/>
  <c r="F503" l="1"/>
  <c r="C503" s="1"/>
  <c r="D503"/>
  <c r="A504"/>
  <c r="F504" l="1"/>
  <c r="C504" s="1"/>
  <c r="D504"/>
  <c r="A505"/>
  <c r="F505" l="1"/>
  <c r="C505" s="1"/>
  <c r="D505"/>
  <c r="A506"/>
  <c r="F506" l="1"/>
  <c r="C506" s="1"/>
  <c r="A507"/>
  <c r="D506"/>
  <c r="F507" l="1"/>
  <c r="C507" s="1"/>
  <c r="A508"/>
  <c r="D507"/>
  <c r="F508" l="1"/>
  <c r="C508" s="1"/>
  <c r="A509"/>
  <c r="D508"/>
  <c r="F509" l="1"/>
  <c r="C509" s="1"/>
  <c r="A510"/>
  <c r="D509"/>
  <c r="F510" l="1"/>
  <c r="C510" s="1"/>
  <c r="A511"/>
  <c r="D510"/>
  <c r="F511" l="1"/>
  <c r="C511" s="1"/>
  <c r="A512"/>
  <c r="D511"/>
  <c r="F512" l="1"/>
  <c r="C512" s="1"/>
  <c r="D512"/>
  <c r="A513"/>
  <c r="F513" l="1"/>
  <c r="C513" s="1"/>
  <c r="A514"/>
  <c r="D513"/>
  <c r="F514" l="1"/>
  <c r="C514" s="1"/>
  <c r="A515"/>
  <c r="D514"/>
  <c r="F515" l="1"/>
  <c r="C515" s="1"/>
  <c r="A516"/>
  <c r="D515"/>
  <c r="F516" l="1"/>
  <c r="C516" s="1"/>
  <c r="A517"/>
  <c r="D516"/>
  <c r="F517" l="1"/>
  <c r="C517" s="1"/>
  <c r="A518"/>
  <c r="D517"/>
  <c r="F518" l="1"/>
  <c r="C518" s="1"/>
  <c r="A519"/>
  <c r="D518"/>
  <c r="F519" l="1"/>
  <c r="C519" s="1"/>
  <c r="D519"/>
  <c r="A520"/>
  <c r="F520" l="1"/>
  <c r="C520" s="1"/>
  <c r="D520"/>
  <c r="A521"/>
  <c r="F521" l="1"/>
  <c r="C521" s="1"/>
  <c r="A522"/>
  <c r="D521"/>
  <c r="F522" l="1"/>
  <c r="C522" s="1"/>
  <c r="A523"/>
  <c r="D522"/>
  <c r="F523" l="1"/>
  <c r="C523" s="1"/>
  <c r="D523"/>
  <c r="A524"/>
  <c r="F524" l="1"/>
  <c r="C524" s="1"/>
  <c r="A525"/>
  <c r="D524"/>
  <c r="F525" l="1"/>
  <c r="C525" s="1"/>
  <c r="D525"/>
</calcChain>
</file>

<file path=xl/sharedStrings.xml><?xml version="1.0" encoding="utf-8"?>
<sst xmlns="http://schemas.openxmlformats.org/spreadsheetml/2006/main" count="43" uniqueCount="30">
  <si>
    <t>month</t>
  </si>
  <si>
    <t>Jan 08 to Jan 13</t>
  </si>
  <si>
    <t>Dec04 to Jan 08</t>
  </si>
  <si>
    <t>Jan 08 to Jan 13 cumulative</t>
  </si>
  <si>
    <t>Dec-24 Cumulative</t>
  </si>
  <si>
    <t>Dec-18 Cumulative</t>
  </si>
  <si>
    <t>Dec-14 Cumulative</t>
  </si>
  <si>
    <t>Dec-16 Cumulative</t>
  </si>
  <si>
    <t>Monthly output (barrels/month) columns B to G</t>
  </si>
  <si>
    <t>Cumulative output (barrels) columns H to L</t>
  </si>
  <si>
    <t>O-U Model 1</t>
  </si>
  <si>
    <t>O-U Model 2</t>
  </si>
  <si>
    <t>Hyperbolic 1</t>
  </si>
  <si>
    <t>Hyperbolic 2</t>
  </si>
  <si>
    <t>T2</t>
  </si>
  <si>
    <t>T1</t>
  </si>
  <si>
    <t>Month</t>
  </si>
  <si>
    <t>Columns A through H hidden</t>
  </si>
  <si>
    <t>65%, 35%, 14%, 10%, 10%, 10%, 10%, 8%, 7%, then followed by 6%</t>
  </si>
  <si>
    <t>Typical</t>
  </si>
  <si>
    <t>O-U</t>
  </si>
  <si>
    <t>NDIC Typical</t>
  </si>
  <si>
    <t>904,427,149,105,82,65,55,50,45,43,41,39,37,35,33,31,30,28,27,26,24,23,22,21,20,19,18,17,16,15,15,14,13,12,12,11,11,10,10,9,9,8,8,7,7,7</t>
  </si>
  <si>
    <t>Year</t>
  </si>
  <si>
    <t>Data</t>
  </si>
  <si>
    <t>Model</t>
  </si>
  <si>
    <r>
      <t xml:space="preserve">1361642 </t>
    </r>
    <r>
      <rPr>
        <b/>
        <sz val="11"/>
        <color theme="1"/>
        <rFont val="Calibri"/>
        <family val="2"/>
        <scheme val="minor"/>
      </rPr>
      <t>| Median=</t>
    </r>
    <r>
      <rPr>
        <i/>
        <sz val="11"/>
        <color theme="1"/>
        <rFont val="Calibri"/>
        <family val="2"/>
        <scheme val="minor"/>
      </rPr>
      <t xml:space="preserve">8.3 </t>
    </r>
  </si>
  <si>
    <t>Ornstein-Uhlenbeck Diffusion Process</t>
  </si>
  <si>
    <t>Dispersive Diffusion Process</t>
  </si>
  <si>
    <t>NDIC typical</t>
  </si>
</sst>
</file>

<file path=xl/styles.xml><?xml version="1.0" encoding="utf-8"?>
<styleSheet xmlns="http://schemas.openxmlformats.org/spreadsheetml/2006/main">
  <numFmts count="2">
    <numFmt numFmtId="164" formatCode="[$-409]mmm\-yy;@"/>
    <numFmt numFmtId="165" formatCode="0.0"/>
  </numFmts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165" fontId="2" fillId="2" borderId="0" xfId="0" applyNumberFormat="1" applyFont="1" applyFill="1"/>
    <xf numFmtId="165" fontId="2" fillId="3" borderId="0" xfId="0" applyNumberFormat="1" applyFont="1" applyFill="1"/>
    <xf numFmtId="0" fontId="2" fillId="2" borderId="0" xfId="0" applyFont="1" applyFill="1"/>
    <xf numFmtId="0" fontId="2" fillId="3" borderId="0" xfId="0" applyFont="1" applyFill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2186664008771061"/>
          <c:y val="3.8152988608382718E-2"/>
          <c:w val="0.81725170935911495"/>
          <c:h val="0.83273093452959857"/>
        </c:manualLayout>
      </c:layout>
      <c:scatterChart>
        <c:scatterStyle val="lineMarker"/>
        <c:ser>
          <c:idx val="0"/>
          <c:order val="0"/>
          <c:tx>
            <c:strRef>
              <c:f>'Ornstein-Uhlenback Diffusion'!$I$3</c:f>
              <c:strCache>
                <c:ptCount val="1"/>
                <c:pt idx="0">
                  <c:v>Jan 08 to Jan 13 cumulative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'Ornstein-Uhlenback Diffusion'!$H$4:$H$363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'Ornstein-Uhlenback Diffusion'!$I$4:$I$363</c:f>
              <c:numCache>
                <c:formatCode>0.0</c:formatCode>
                <c:ptCount val="360"/>
                <c:pt idx="0">
                  <c:v>14897.615546421317</c:v>
                </c:pt>
                <c:pt idx="1">
                  <c:v>28155.615889597411</c:v>
                </c:pt>
                <c:pt idx="2">
                  <c:v>39954.455277816269</c:v>
                </c:pt>
                <c:pt idx="3">
                  <c:v>50454.727363013313</c:v>
                </c:pt>
                <c:pt idx="4">
                  <c:v>59799.351036190739</c:v>
                </c:pt>
                <c:pt idx="5">
                  <c:v>68115.515692191591</c:v>
                </c:pt>
                <c:pt idx="6">
                  <c:v>75516.412400769477</c:v>
                </c:pt>
                <c:pt idx="7">
                  <c:v>82102.774546871908</c:v>
                </c:pt>
                <c:pt idx="8">
                  <c:v>87964.248909746326</c:v>
                </c:pt>
                <c:pt idx="9">
                  <c:v>93180.615842585772</c:v>
                </c:pt>
                <c:pt idx="10">
                  <c:v>97822.875160542928</c:v>
                </c:pt>
                <c:pt idx="11">
                  <c:v>101954.21251710219</c:v>
                </c:pt>
                <c:pt idx="12">
                  <c:v>105630.85942212965</c:v>
                </c:pt>
                <c:pt idx="13">
                  <c:v>108902.85860728119</c:v>
                </c:pt>
                <c:pt idx="14">
                  <c:v>111814.74515613442</c:v>
                </c:pt>
                <c:pt idx="15">
                  <c:v>114523.39970158896</c:v>
                </c:pt>
                <c:pt idx="16">
                  <c:v>117091.95142572689</c:v>
                </c:pt>
                <c:pt idx="17">
                  <c:v>119534.18093392361</c:v>
                </c:pt>
                <c:pt idx="18">
                  <c:v>121861.93093392361</c:v>
                </c:pt>
                <c:pt idx="19">
                  <c:v>124085.45332198331</c:v>
                </c:pt>
                <c:pt idx="20">
                  <c:v>126213.68189341188</c:v>
                </c:pt>
                <c:pt idx="21">
                  <c:v>128254.44901669955</c:v>
                </c:pt>
                <c:pt idx="22">
                  <c:v>130214.65954301534</c:v>
                </c:pt>
                <c:pt idx="23">
                  <c:v>132100.43169491406</c:v>
                </c:pt>
                <c:pt idx="24">
                  <c:v>133917.21218271894</c:v>
                </c:pt>
                <c:pt idx="25">
                  <c:v>135669.87100624834</c:v>
                </c:pt>
                <c:pt idx="26">
                  <c:v>137362.78009715743</c:v>
                </c:pt>
                <c:pt idx="27">
                  <c:v>138999.87899825635</c:v>
                </c:pt>
                <c:pt idx="28">
                  <c:v>140584.73006208614</c:v>
                </c:pt>
                <c:pt idx="29">
                  <c:v>142120.56511363253</c:v>
                </c:pt>
                <c:pt idx="30">
                  <c:v>143610.32511363254</c:v>
                </c:pt>
                <c:pt idx="31">
                  <c:v>145056.69404567138</c:v>
                </c:pt>
                <c:pt idx="32">
                  <c:v>146462.12800793553</c:v>
                </c:pt>
                <c:pt idx="33">
                  <c:v>147828.88030151351</c:v>
                </c:pt>
                <c:pt idx="34">
                  <c:v>149159.02315865638</c:v>
                </c:pt>
                <c:pt idx="35">
                  <c:v>150454.46663691723</c:v>
                </c:pt>
                <c:pt idx="36">
                  <c:v>151716.97511149349</c:v>
                </c:pt>
                <c:pt idx="37">
                  <c:v>152948.18172306375</c:v>
                </c:pt>
                <c:pt idx="38">
                  <c:v>154149.60107790245</c:v>
                </c:pt>
                <c:pt idx="39">
                  <c:v>155322.64044798119</c:v>
                </c:pt>
                <c:pt idx="40">
                  <c:v>156468.60967875042</c:v>
                </c:pt>
                <c:pt idx="41">
                  <c:v>157588.7299795023</c:v>
                </c:pt>
                <c:pt idx="42">
                  <c:v>158684.14174420817</c:v>
                </c:pt>
                <c:pt idx="43">
                  <c:v>159755.91152838082</c:v>
                </c:pt>
                <c:pt idx="44">
                  <c:v>160805.0382889442</c:v>
                </c:pt>
                <c:pt idx="45">
                  <c:v>161832.45897859937</c:v>
                </c:pt>
                <c:pt idx="46">
                  <c:v>162839.05357319396</c:v>
                </c:pt>
                <c:pt idx="47">
                  <c:v>163825.64959968402</c:v>
                </c:pt>
                <c:pt idx="48">
                  <c:v>164793.02622306065</c:v>
                </c:pt>
                <c:pt idx="49">
                  <c:v>165741.91794280586</c:v>
                </c:pt>
                <c:pt idx="50">
                  <c:v>166673.01794280586</c:v>
                </c:pt>
                <c:pt idx="51">
                  <c:v>167586.98113298992</c:v>
                </c:pt>
                <c:pt idx="52">
                  <c:v>168484.42691612247</c:v>
                </c:pt>
                <c:pt idx="53">
                  <c:v>169365.94170902186</c:v>
                </c:pt>
                <c:pt idx="54">
                  <c:v>170232.08124390559</c:v>
                </c:pt>
                <c:pt idx="55">
                  <c:v>171083.37267247701</c:v>
                </c:pt>
                <c:pt idx="56">
                  <c:v>171920.31649270174</c:v>
                </c:pt>
                <c:pt idx="57">
                  <c:v>172743.38831590617</c:v>
                </c:pt>
                <c:pt idx="58">
                  <c:v>173553.04048981922</c:v>
                </c:pt>
                <c:pt idx="59">
                  <c:v>174349.70359142349</c:v>
                </c:pt>
                <c:pt idx="60">
                  <c:v>175133.7878019498</c:v>
                </c:pt>
                <c:pt idx="61">
                  <c:v>175905.68417500678</c:v>
                </c:pt>
                <c:pt idx="62">
                  <c:v>176665.76580765983</c:v>
                </c:pt>
                <c:pt idx="63">
                  <c:v>177414.38892323771</c:v>
                </c:pt>
                <c:pt idx="64">
                  <c:v>178151.89387373277</c:v>
                </c:pt>
                <c:pt idx="65">
                  <c:v>178878.60606885471</c:v>
                </c:pt>
                <c:pt idx="66">
                  <c:v>179594.8368380855</c:v>
                </c:pt>
                <c:pt idx="67">
                  <c:v>180300.88423145041</c:v>
                </c:pt>
                <c:pt idx="68">
                  <c:v>180997.0337641607</c:v>
                </c:pt>
                <c:pt idx="69">
                  <c:v>181683.55910978283</c:v>
                </c:pt>
                <c:pt idx="70">
                  <c:v>182360.72274614646</c:v>
                </c:pt>
                <c:pt idx="71">
                  <c:v>183028.77655780566</c:v>
                </c:pt>
                <c:pt idx="72">
                  <c:v>183687.96239851363</c:v>
                </c:pt>
                <c:pt idx="73">
                  <c:v>184338.51261685425</c:v>
                </c:pt>
                <c:pt idx="74">
                  <c:v>184980.65054788874</c:v>
                </c:pt>
                <c:pt idx="75">
                  <c:v>185614.59097342065</c:v>
                </c:pt>
                <c:pt idx="76">
                  <c:v>186240.54055325259</c:v>
                </c:pt>
                <c:pt idx="77">
                  <c:v>186858.69822960114</c:v>
                </c:pt>
                <c:pt idx="78">
                  <c:v>187469.25560665032</c:v>
                </c:pt>
                <c:pt idx="79">
                  <c:v>188072.39730705519</c:v>
                </c:pt>
                <c:pt idx="80">
                  <c:v>188668.3013070552</c:v>
                </c:pt>
                <c:pt idx="81">
                  <c:v>189257.13925171923</c:v>
                </c:pt>
                <c:pt idx="82">
                  <c:v>189839.07675171923</c:v>
                </c:pt>
                <c:pt idx="83">
                  <c:v>190414.27366291615</c:v>
                </c:pt>
                <c:pt idx="84">
                  <c:v>190982.88434993906</c:v>
                </c:pt>
                <c:pt idx="85">
                  <c:v>191545.05793484472</c:v>
                </c:pt>
                <c:pt idx="86">
                  <c:v>192100.93853185963</c:v>
                </c:pt>
                <c:pt idx="87">
                  <c:v>192650.66546912902</c:v>
                </c:pt>
                <c:pt idx="88">
                  <c:v>193194.37349832611</c:v>
                </c:pt>
                <c:pt idx="89">
                  <c:v>193732.19299291095</c:v>
                </c:pt>
                <c:pt idx="90">
                  <c:v>194264.25013576809</c:v>
                </c:pt>
                <c:pt idx="91">
                  <c:v>194790.66709689883</c:v>
                </c:pt>
                <c:pt idx="92">
                  <c:v>195311.56220179395</c:v>
                </c:pt>
                <c:pt idx="93">
                  <c:v>195827.0500910673</c:v>
                </c:pt>
                <c:pt idx="94">
                  <c:v>196337.24187188921</c:v>
                </c:pt>
                <c:pt idx="95">
                  <c:v>196842.24526171971</c:v>
                </c:pt>
                <c:pt idx="96">
                  <c:v>197342.16472480696</c:v>
                </c:pt>
                <c:pt idx="97">
                  <c:v>197837.10160188336</c:v>
                </c:pt>
                <c:pt idx="98">
                  <c:v>198327.15423346232</c:v>
                </c:pt>
                <c:pt idx="99">
                  <c:v>198812.41807711055</c:v>
                </c:pt>
                <c:pt idx="100">
                  <c:v>199292.98581904604</c:v>
                </c:pt>
                <c:pt idx="101">
                  <c:v>199768.9474803879</c:v>
                </c:pt>
                <c:pt idx="102">
                  <c:v>200240.39051836258</c:v>
                </c:pt>
                <c:pt idx="103">
                  <c:v>200707.3999227513</c:v>
                </c:pt>
                <c:pt idx="104">
                  <c:v>201170.05830784448</c:v>
                </c:pt>
                <c:pt idx="105">
                  <c:v>201628.44600015218</c:v>
                </c:pt>
                <c:pt idx="106">
                  <c:v>202082.64112210341</c:v>
                </c:pt>
                <c:pt idx="107">
                  <c:v>202532.71967195236</c:v>
                </c:pt>
                <c:pt idx="108">
                  <c:v>202978.75560009608</c:v>
                </c:pt>
                <c:pt idx="109">
                  <c:v>203420.8208819952</c:v>
                </c:pt>
                <c:pt idx="110">
                  <c:v>203858.98558787754</c:v>
                </c:pt>
                <c:pt idx="111">
                  <c:v>204293.31794939359</c:v>
                </c:pt>
                <c:pt idx="112">
                  <c:v>204723.88442338203</c:v>
                </c:pt>
                <c:pt idx="113">
                  <c:v>205150.74975289492</c:v>
                </c:pt>
                <c:pt idx="114">
                  <c:v>205573.97702562218</c:v>
                </c:pt>
                <c:pt idx="115">
                  <c:v>205993.62772984753</c:v>
                </c:pt>
                <c:pt idx="116">
                  <c:v>206409.76180805982</c:v>
                </c:pt>
                <c:pt idx="117">
                  <c:v>206822.43770833683</c:v>
                </c:pt>
                <c:pt idx="118">
                  <c:v>207231.71243361157</c:v>
                </c:pt>
                <c:pt idx="119">
                  <c:v>207637.64158892492</c:v>
                </c:pt>
                <c:pt idx="120">
                  <c:v>208040.27942676275</c:v>
                </c:pt>
                <c:pt idx="121">
                  <c:v>208439.67889056972</c:v>
                </c:pt>
                <c:pt idx="122">
                  <c:v>208835.89165652715</c:v>
                </c:pt>
                <c:pt idx="123">
                  <c:v>209228.96817367754</c:v>
                </c:pt>
                <c:pt idx="124">
                  <c:v>209618.95770247336</c:v>
                </c:pt>
                <c:pt idx="125">
                  <c:v>210005.90835182401</c:v>
                </c:pt>
                <c:pt idx="126">
                  <c:v>210389.86711471059</c:v>
                </c:pt>
                <c:pt idx="127">
                  <c:v>210770.87990243439</c:v>
                </c:pt>
                <c:pt idx="128">
                  <c:v>211148.9915775613</c:v>
                </c:pt>
                <c:pt idx="129">
                  <c:v>211524.24598562176</c:v>
                </c:pt>
                <c:pt idx="130">
                  <c:v>211896.68598562176</c:v>
                </c:pt>
                <c:pt idx="131">
                  <c:v>212266.35347941829</c:v>
                </c:pt>
                <c:pt idx="132">
                  <c:v>212633.28944000942</c:v>
                </c:pt>
                <c:pt idx="133">
                  <c:v>212997.53393878692</c:v>
                </c:pt>
                <c:pt idx="134">
                  <c:v>213359.12617179661</c:v>
                </c:pt>
                <c:pt idx="135">
                  <c:v>213718.10448504961</c:v>
                </c:pt>
                <c:pt idx="136">
                  <c:v>214074.50639892521</c:v>
                </c:pt>
                <c:pt idx="137">
                  <c:v>214428.3686317043</c:v>
                </c:pt>
                <c:pt idx="138">
                  <c:v>214779.72712227033</c:v>
                </c:pt>
                <c:pt idx="139">
                  <c:v>215128.61705201271</c:v>
                </c:pt>
                <c:pt idx="140">
                  <c:v>215475.07286596618</c:v>
                </c:pt>
                <c:pt idx="141">
                  <c:v>215819.12829321792</c:v>
                </c:pt>
                <c:pt idx="142">
                  <c:v>216160.81636661242</c:v>
                </c:pt>
                <c:pt idx="143">
                  <c:v>216500.16944178325</c:v>
                </c:pt>
                <c:pt idx="144">
                  <c:v>216837.21921553891</c:v>
                </c:pt>
                <c:pt idx="145">
                  <c:v>217171.99674362878</c:v>
                </c:pt>
                <c:pt idx="146">
                  <c:v>217504.53245791449</c:v>
                </c:pt>
                <c:pt idx="147">
                  <c:v>217834.85618296993</c:v>
                </c:pt>
                <c:pt idx="148">
                  <c:v>218162.99715213291</c:v>
                </c:pt>
                <c:pt idx="149">
                  <c:v>218488.98402303006</c:v>
                </c:pt>
                <c:pt idx="150">
                  <c:v>218812.84489259528</c:v>
                </c:pt>
                <c:pt idx="151">
                  <c:v>219134.60731160175</c:v>
                </c:pt>
                <c:pt idx="152">
                  <c:v>219454.29829872621</c:v>
                </c:pt>
                <c:pt idx="153">
                  <c:v>219771.94435416331</c:v>
                </c:pt>
                <c:pt idx="154">
                  <c:v>220087.57147280738</c:v>
                </c:pt>
                <c:pt idx="155">
                  <c:v>220401.20515701792</c:v>
                </c:pt>
                <c:pt idx="156">
                  <c:v>220712.87042898443</c:v>
                </c:pt>
                <c:pt idx="157">
                  <c:v>221022.59184270585</c:v>
                </c:pt>
                <c:pt idx="158">
                  <c:v>221330.3934955984</c:v>
                </c:pt>
                <c:pt idx="159">
                  <c:v>221636.29903974626</c:v>
                </c:pt>
                <c:pt idx="160">
                  <c:v>221940.33169280749</c:v>
                </c:pt>
                <c:pt idx="161">
                  <c:v>222242.51424858841</c:v>
                </c:pt>
                <c:pt idx="162">
                  <c:v>222542.86908729808</c:v>
                </c:pt>
                <c:pt idx="163">
                  <c:v>222841.41818549446</c:v>
                </c:pt>
                <c:pt idx="164">
                  <c:v>223138.18312573351</c:v>
                </c:pt>
                <c:pt idx="165">
                  <c:v>223433.18510593154</c:v>
                </c:pt>
                <c:pt idx="166">
                  <c:v>223726.44494845122</c:v>
                </c:pt>
                <c:pt idx="167">
                  <c:v>224017.98310892089</c:v>
                </c:pt>
                <c:pt idx="168">
                  <c:v>224307.81968479638</c:v>
                </c:pt>
                <c:pt idx="169">
                  <c:v>224595.97442367452</c:v>
                </c:pt>
                <c:pt idx="170">
                  <c:v>224882.46673136682</c:v>
                </c:pt>
                <c:pt idx="171">
                  <c:v>225167.31567974159</c:v>
                </c:pt>
                <c:pt idx="172">
                  <c:v>225450.54001434235</c:v>
                </c:pt>
                <c:pt idx="173">
                  <c:v>225732.15816179037</c:v>
                </c:pt>
                <c:pt idx="174">
                  <c:v>226012.18823697834</c:v>
                </c:pt>
                <c:pt idx="175">
                  <c:v>226290.64805006245</c:v>
                </c:pt>
                <c:pt idx="176">
                  <c:v>226567.55511325947</c:v>
                </c:pt>
                <c:pt idx="177">
                  <c:v>226842.9266474554</c:v>
                </c:pt>
                <c:pt idx="178">
                  <c:v>227116.77958863188</c:v>
                </c:pt>
                <c:pt idx="179">
                  <c:v>227389.13059411634</c:v>
                </c:pt>
                <c:pt idx="180">
                  <c:v>227659.99604866179</c:v>
                </c:pt>
                <c:pt idx="181">
                  <c:v>227929.39207036162</c:v>
                </c:pt>
                <c:pt idx="182">
                  <c:v>228197.33451640478</c:v>
                </c:pt>
                <c:pt idx="183">
                  <c:v>228463.8389886767</c:v>
                </c:pt>
                <c:pt idx="184">
                  <c:v>228728.92083921051</c:v>
                </c:pt>
                <c:pt idx="185">
                  <c:v>228992.59517549368</c:v>
                </c:pt>
                <c:pt idx="186">
                  <c:v>229254.87686563452</c:v>
                </c:pt>
                <c:pt idx="187">
                  <c:v>229515.78054339284</c:v>
                </c:pt>
                <c:pt idx="188">
                  <c:v>229775.32061307927</c:v>
                </c:pt>
                <c:pt idx="189">
                  <c:v>230033.51125432711</c:v>
                </c:pt>
                <c:pt idx="190">
                  <c:v>230290.36642674089</c:v>
                </c:pt>
                <c:pt idx="191">
                  <c:v>230545.89987442529</c:v>
                </c:pt>
                <c:pt idx="192">
                  <c:v>230800.125130398</c:v>
                </c:pt>
                <c:pt idx="193">
                  <c:v>231053.05552089037</c:v>
                </c:pt>
                <c:pt idx="194">
                  <c:v>231304.70416953901</c:v>
                </c:pt>
                <c:pt idx="195">
                  <c:v>231555.08400147178</c:v>
                </c:pt>
                <c:pt idx="196">
                  <c:v>231804.20774729119</c:v>
                </c:pt>
                <c:pt idx="197">
                  <c:v>232052.0879469584</c:v>
                </c:pt>
                <c:pt idx="198">
                  <c:v>232298.73695358093</c:v>
                </c:pt>
                <c:pt idx="199">
                  <c:v>232544.16693710646</c:v>
                </c:pt>
                <c:pt idx="200">
                  <c:v>232788.38988792614</c:v>
                </c:pt>
                <c:pt idx="201">
                  <c:v>233031.41762038943</c:v>
                </c:pt>
                <c:pt idx="202">
                  <c:v>233273.26177623359</c:v>
                </c:pt>
                <c:pt idx="203">
                  <c:v>233513.93382792987</c:v>
                </c:pt>
                <c:pt idx="204">
                  <c:v>233753.44508194915</c:v>
                </c:pt>
                <c:pt idx="205">
                  <c:v>233991.80668194915</c:v>
                </c:pt>
                <c:pt idx="206">
                  <c:v>234229.02961188546</c:v>
                </c:pt>
                <c:pt idx="207">
                  <c:v>234465.1246990487</c:v>
                </c:pt>
                <c:pt idx="208">
                  <c:v>234700.10261702977</c:v>
                </c:pt>
                <c:pt idx="209">
                  <c:v>234933.97388861532</c:v>
                </c:pt>
                <c:pt idx="210">
                  <c:v>235166.74888861532</c:v>
                </c:pt>
                <c:pt idx="211">
                  <c:v>235398.43784662464</c:v>
                </c:pt>
                <c:pt idx="212">
                  <c:v>235629.0508497206</c:v>
                </c:pt>
                <c:pt idx="213">
                  <c:v>235858.59784509812</c:v>
                </c:pt>
                <c:pt idx="214">
                  <c:v>236087.08864264414</c:v>
                </c:pt>
                <c:pt idx="215">
                  <c:v>236314.5329174533</c:v>
                </c:pt>
                <c:pt idx="216">
                  <c:v>236540.94021228614</c:v>
                </c:pt>
                <c:pt idx="217">
                  <c:v>236766.31993997146</c:v>
                </c:pt>
                <c:pt idx="218">
                  <c:v>236990.68138575461</c:v>
                </c:pt>
                <c:pt idx="219">
                  <c:v>237214.03370959268</c:v>
                </c:pt>
                <c:pt idx="220">
                  <c:v>237436.38594839865</c:v>
                </c:pt>
                <c:pt idx="221">
                  <c:v>237657.74701823521</c:v>
                </c:pt>
                <c:pt idx="222">
                  <c:v>237878.12571646005</c:v>
                </c:pt>
                <c:pt idx="223">
                  <c:v>238097.53072382382</c:v>
                </c:pt>
                <c:pt idx="224">
                  <c:v>238315.97060652176</c:v>
                </c:pt>
                <c:pt idx="225">
                  <c:v>238533.45381820059</c:v>
                </c:pt>
                <c:pt idx="226">
                  <c:v>238749.98870192151</c:v>
                </c:pt>
                <c:pt idx="227">
                  <c:v>238965.58349208071</c:v>
                </c:pt>
                <c:pt idx="228">
                  <c:v>239180.24631628819</c:v>
                </c:pt>
                <c:pt idx="229">
                  <c:v>239393.98519720641</c:v>
                </c:pt>
                <c:pt idx="230">
                  <c:v>239606.80805434927</c:v>
                </c:pt>
                <c:pt idx="231">
                  <c:v>239818.72270584287</c:v>
                </c:pt>
                <c:pt idx="232">
                  <c:v>240029.73687014883</c:v>
                </c:pt>
                <c:pt idx="233">
                  <c:v>240239.85816775108</c:v>
                </c:pt>
                <c:pt idx="234">
                  <c:v>240449.09412280726</c:v>
                </c:pt>
                <c:pt idx="235">
                  <c:v>240657.4521647653</c:v>
                </c:pt>
                <c:pt idx="236">
                  <c:v>240864.93962994637</c:v>
                </c:pt>
                <c:pt idx="237">
                  <c:v>241071.56376309477</c:v>
                </c:pt>
                <c:pt idx="238">
                  <c:v>241277.33171889588</c:v>
                </c:pt>
                <c:pt idx="239">
                  <c:v>241482.25056346258</c:v>
                </c:pt>
                <c:pt idx="240">
                  <c:v>241686.32727579135</c:v>
                </c:pt>
                <c:pt idx="241">
                  <c:v>241889.56874918836</c:v>
                </c:pt>
                <c:pt idx="242">
                  <c:v>242091.98179266663</c:v>
                </c:pt>
                <c:pt idx="243">
                  <c:v>242293.57313231481</c:v>
                </c:pt>
                <c:pt idx="244">
                  <c:v>242494.34941263826</c:v>
                </c:pt>
                <c:pt idx="245">
                  <c:v>242694.31719787317</c:v>
                </c:pt>
                <c:pt idx="246">
                  <c:v>242893.48297327425</c:v>
                </c:pt>
                <c:pt idx="247">
                  <c:v>243091.85314637679</c:v>
                </c:pt>
                <c:pt idx="248">
                  <c:v>243289.43404823355</c:v>
                </c:pt>
                <c:pt idx="249">
                  <c:v>243486.23193462723</c:v>
                </c:pt>
                <c:pt idx="250">
                  <c:v>243682.25298725881</c:v>
                </c:pt>
                <c:pt idx="251">
                  <c:v>243877.50331491281</c:v>
                </c:pt>
                <c:pt idx="252">
                  <c:v>244071.98895459951</c:v>
                </c:pt>
                <c:pt idx="253">
                  <c:v>244265.71587267492</c:v>
                </c:pt>
                <c:pt idx="254">
                  <c:v>244458.68996593918</c:v>
                </c:pt>
                <c:pt idx="255">
                  <c:v>244650.91706271339</c:v>
                </c:pt>
                <c:pt idx="256">
                  <c:v>244842.40292389592</c:v>
                </c:pt>
                <c:pt idx="257">
                  <c:v>245033.15324399836</c:v>
                </c:pt>
                <c:pt idx="258">
                  <c:v>245223.17365216161</c:v>
                </c:pt>
                <c:pt idx="259">
                  <c:v>245412.46971315271</c:v>
                </c:pt>
                <c:pt idx="260">
                  <c:v>245601.04692834258</c:v>
                </c:pt>
                <c:pt idx="261">
                  <c:v>245788.91073666539</c:v>
                </c:pt>
                <c:pt idx="262">
                  <c:v>245976.06651555985</c:v>
                </c:pt>
                <c:pt idx="263">
                  <c:v>246162.51958189276</c:v>
                </c:pt>
                <c:pt idx="264">
                  <c:v>246348.27519286532</c:v>
                </c:pt>
                <c:pt idx="265">
                  <c:v>246533.33854690258</c:v>
                </c:pt>
                <c:pt idx="266">
                  <c:v>246717.71478452635</c:v>
                </c:pt>
                <c:pt idx="267">
                  <c:v>246901.40898921192</c:v>
                </c:pt>
                <c:pt idx="268">
                  <c:v>247084.42618822912</c:v>
                </c:pt>
                <c:pt idx="269">
                  <c:v>247266.7713534678</c:v>
                </c:pt>
                <c:pt idx="270">
                  <c:v>247448.44940224828</c:v>
                </c:pt>
                <c:pt idx="271">
                  <c:v>247629.46519811705</c:v>
                </c:pt>
                <c:pt idx="272">
                  <c:v>247809.82355162795</c:v>
                </c:pt>
                <c:pt idx="273">
                  <c:v>247989.52922110926</c:v>
                </c:pt>
                <c:pt idx="274">
                  <c:v>248168.58691341695</c:v>
                </c:pt>
                <c:pt idx="275">
                  <c:v>248347.00128467442</c:v>
                </c:pt>
                <c:pt idx="276">
                  <c:v>248524.776940999</c:v>
                </c:pt>
                <c:pt idx="277">
                  <c:v>248701.9184392154</c:v>
                </c:pt>
                <c:pt idx="278">
                  <c:v>248878.43028755664</c:v>
                </c:pt>
                <c:pt idx="279">
                  <c:v>249054.3169463524</c:v>
                </c:pt>
                <c:pt idx="280">
                  <c:v>249229.58282870534</c:v>
                </c:pt>
                <c:pt idx="281">
                  <c:v>249404.23230115551</c:v>
                </c:pt>
                <c:pt idx="282">
                  <c:v>249578.26968433309</c:v>
                </c:pt>
                <c:pt idx="283">
                  <c:v>249751.69925359968</c:v>
                </c:pt>
                <c:pt idx="284">
                  <c:v>249924.52523967857</c:v>
                </c:pt>
                <c:pt idx="285">
                  <c:v>250096.75182927394</c:v>
                </c:pt>
                <c:pt idx="286">
                  <c:v>250268.38316567946</c:v>
                </c:pt>
                <c:pt idx="287">
                  <c:v>250439.42334937636</c:v>
                </c:pt>
                <c:pt idx="288">
                  <c:v>250609.8764386212</c:v>
                </c:pt>
                <c:pt idx="289">
                  <c:v>250779.7464500237</c:v>
                </c:pt>
                <c:pt idx="290">
                  <c:v>250949.03735911462</c:v>
                </c:pt>
                <c:pt idx="291">
                  <c:v>251117.75310090397</c:v>
                </c:pt>
                <c:pt idx="292">
                  <c:v>251285.89757042992</c:v>
                </c:pt>
                <c:pt idx="293">
                  <c:v>251453.4746232983</c:v>
                </c:pt>
                <c:pt idx="294">
                  <c:v>251620.48807621311</c:v>
                </c:pt>
                <c:pt idx="295">
                  <c:v>251786.94170749802</c:v>
                </c:pt>
                <c:pt idx="296">
                  <c:v>251952.83925760936</c:v>
                </c:pt>
                <c:pt idx="297">
                  <c:v>252118.18442964045</c:v>
                </c:pt>
                <c:pt idx="298">
                  <c:v>252282.98088981744</c:v>
                </c:pt>
                <c:pt idx="299">
                  <c:v>252447.23226798722</c:v>
                </c:pt>
                <c:pt idx="300">
                  <c:v>252610.94215809711</c:v>
                </c:pt>
                <c:pt idx="301">
                  <c:v>252774.11411866665</c:v>
                </c:pt>
                <c:pt idx="302">
                  <c:v>252936.7516732518</c:v>
                </c:pt>
                <c:pt idx="303">
                  <c:v>253098.85831090141</c:v>
                </c:pt>
                <c:pt idx="304">
                  <c:v>253260.43748660642</c:v>
                </c:pt>
                <c:pt idx="305">
                  <c:v>253421.49262174155</c:v>
                </c:pt>
                <c:pt idx="306">
                  <c:v>253582.02710450016</c:v>
                </c:pt>
                <c:pt idx="307">
                  <c:v>253742.04429032185</c:v>
                </c:pt>
                <c:pt idx="308">
                  <c:v>253901.54750231327</c:v>
                </c:pt>
                <c:pt idx="309">
                  <c:v>254060.54003166227</c:v>
                </c:pt>
                <c:pt idx="310">
                  <c:v>254219.02513804525</c:v>
                </c:pt>
                <c:pt idx="311">
                  <c:v>254377.00605002829</c:v>
                </c:pt>
                <c:pt idx="312">
                  <c:v>254534.4859654617</c:v>
                </c:pt>
                <c:pt idx="313">
                  <c:v>254691.46805186843</c:v>
                </c:pt>
                <c:pt idx="314">
                  <c:v>254847.95544682641</c:v>
                </c:pt>
                <c:pt idx="315">
                  <c:v>255003.95125834472</c:v>
                </c:pt>
                <c:pt idx="316">
                  <c:v>255159.45856523406</c:v>
                </c:pt>
                <c:pt idx="317">
                  <c:v>255314.48041747132</c:v>
                </c:pt>
                <c:pt idx="318">
                  <c:v>255469.01983655847</c:v>
                </c:pt>
                <c:pt idx="319">
                  <c:v>255623.07981587594</c:v>
                </c:pt>
                <c:pt idx="320">
                  <c:v>255776.66332103059</c:v>
                </c:pt>
                <c:pt idx="321">
                  <c:v>255929.77329019812</c:v>
                </c:pt>
                <c:pt idx="322">
                  <c:v>256082.41263446043</c:v>
                </c:pt>
                <c:pt idx="323">
                  <c:v>256234.58423813764</c:v>
                </c:pt>
                <c:pt idx="324">
                  <c:v>256386.29095911523</c:v>
                </c:pt>
                <c:pt idx="325">
                  <c:v>256537.535629166</c:v>
                </c:pt>
                <c:pt idx="326">
                  <c:v>256688.3210542672</c:v>
                </c:pt>
                <c:pt idx="327">
                  <c:v>256838.650014913</c:v>
                </c:pt>
                <c:pt idx="328">
                  <c:v>256988.52526642205</c:v>
                </c:pt>
                <c:pt idx="329">
                  <c:v>257137.94953924051</c:v>
                </c:pt>
                <c:pt idx="330">
                  <c:v>257286.9255392405</c:v>
                </c:pt>
                <c:pt idx="331">
                  <c:v>257435.45594801419</c:v>
                </c:pt>
                <c:pt idx="332">
                  <c:v>257583.5434231633</c:v>
                </c:pt>
                <c:pt idx="333">
                  <c:v>257731.19059858451</c:v>
                </c:pt>
                <c:pt idx="334">
                  <c:v>257878.40008475052</c:v>
                </c:pt>
                <c:pt idx="335">
                  <c:v>258025.17446898698</c:v>
                </c:pt>
                <c:pt idx="336">
                  <c:v>258171.51631574534</c:v>
                </c:pt>
                <c:pt idx="337">
                  <c:v>258317.42816687169</c:v>
                </c:pt>
                <c:pt idx="338">
                  <c:v>258462.91254187169</c:v>
                </c:pt>
                <c:pt idx="339">
                  <c:v>258607.9719381716</c:v>
                </c:pt>
                <c:pt idx="340">
                  <c:v>258752.60883137549</c:v>
                </c:pt>
                <c:pt idx="341">
                  <c:v>258896.82567551875</c:v>
                </c:pt>
                <c:pt idx="342">
                  <c:v>259040.62490331798</c:v>
                </c:pt>
                <c:pt idx="343">
                  <c:v>259184.00892641713</c:v>
                </c:pt>
                <c:pt idx="344">
                  <c:v>259326.98013563018</c:v>
                </c:pt>
                <c:pt idx="345">
                  <c:v>259469.54090118041</c:v>
                </c:pt>
                <c:pt idx="346">
                  <c:v>259611.69357293614</c:v>
                </c:pt>
                <c:pt idx="347">
                  <c:v>259753.4404806431</c:v>
                </c:pt>
                <c:pt idx="348">
                  <c:v>259894.78393415353</c:v>
                </c:pt>
                <c:pt idx="349">
                  <c:v>260035.72622365211</c:v>
                </c:pt>
                <c:pt idx="350">
                  <c:v>260176.26961987853</c:v>
                </c:pt>
                <c:pt idx="351">
                  <c:v>260316.416374347</c:v>
                </c:pt>
                <c:pt idx="352">
                  <c:v>260456.16871956276</c:v>
                </c:pt>
                <c:pt idx="353">
                  <c:v>260595.52886923536</c:v>
                </c:pt>
                <c:pt idx="354">
                  <c:v>260734.49901848909</c:v>
                </c:pt>
                <c:pt idx="355">
                  <c:v>260873.0813440705</c:v>
                </c:pt>
                <c:pt idx="356">
                  <c:v>261011.27800455288</c:v>
                </c:pt>
                <c:pt idx="357">
                  <c:v>261149.09114053808</c:v>
                </c:pt>
                <c:pt idx="358">
                  <c:v>261286.52287485541</c:v>
                </c:pt>
                <c:pt idx="359">
                  <c:v>261423.57531275789</c:v>
                </c:pt>
              </c:numCache>
            </c:numRef>
          </c:yVal>
        </c:ser>
        <c:ser>
          <c:idx val="1"/>
          <c:order val="1"/>
          <c:tx>
            <c:strRef>
              <c:f>'Ornstein-Uhlenback Diffusion'!$J$3</c:f>
              <c:strCache>
                <c:ptCount val="1"/>
                <c:pt idx="0">
                  <c:v>Dec-24 Cumulative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'Ornstein-Uhlenback Diffusion'!$H$4:$H$363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'Ornstein-Uhlenback Diffusion'!$J$4:$J$363</c:f>
              <c:numCache>
                <c:formatCode>0.0</c:formatCode>
                <c:ptCount val="360"/>
                <c:pt idx="0">
                  <c:v>7311.2936701189419</c:v>
                </c:pt>
                <c:pt idx="1">
                  <c:v>13817.914389753729</c:v>
                </c:pt>
                <c:pt idx="2">
                  <c:v>19608.423579968206</c:v>
                </c:pt>
                <c:pt idx="3">
                  <c:v>24761.635689101313</c:v>
                </c:pt>
                <c:pt idx="4">
                  <c:v>29347.690933878912</c:v>
                </c:pt>
                <c:pt idx="5">
                  <c:v>33429.009975817251</c:v>
                </c:pt>
                <c:pt idx="6">
                  <c:v>37061.143526990003</c:v>
                </c:pt>
                <c:pt idx="7">
                  <c:v>40293.528449117854</c:v>
                </c:pt>
                <c:pt idx="8">
                  <c:v>43170.160637222805</c:v>
                </c:pt>
                <c:pt idx="9">
                  <c:v>45730.193846446571</c:v>
                </c:pt>
                <c:pt idx="10">
                  <c:v>48008.472612647121</c:v>
                </c:pt>
                <c:pt idx="11">
                  <c:v>50036.006520339724</c:v>
                </c:pt>
                <c:pt idx="12">
                  <c:v>51840.392273229358</c:v>
                </c:pt>
                <c:pt idx="13">
                  <c:v>53446.189312123912</c:v>
                </c:pt>
                <c:pt idx="14">
                  <c:v>54875.254092752468</c:v>
                </c:pt>
                <c:pt idx="15">
                  <c:v>56204.578827372701</c:v>
                </c:pt>
                <c:pt idx="16">
                  <c:v>57465.145386064301</c:v>
                </c:pt>
                <c:pt idx="17">
                  <c:v>58663.716868098934</c:v>
                </c:pt>
                <c:pt idx="18">
                  <c:v>59806.105311913198</c:v>
                </c:pt>
                <c:pt idx="19">
                  <c:v>60897.342034362642</c:v>
                </c:pt>
                <c:pt idx="20">
                  <c:v>61941.811468707107</c:v>
                </c:pt>
                <c:pt idx="21">
                  <c:v>62943.357501640159</c:v>
                </c:pt>
                <c:pt idx="22">
                  <c:v>63905.368822746903</c:v>
                </c:pt>
                <c:pt idx="23">
                  <c:v>64830.848068368585</c:v>
                </c:pt>
                <c:pt idx="24">
                  <c:v>65722.468317199222</c:v>
                </c:pt>
                <c:pt idx="25">
                  <c:v>66582.619616071141</c:v>
                </c:pt>
                <c:pt idx="26">
                  <c:v>67413.447575208789</c:v>
                </c:pt>
                <c:pt idx="27">
                  <c:v>68216.885601627611</c:v>
                </c:pt>
                <c:pt idx="28">
                  <c:v>68994.681988905402</c:v>
                </c:pt>
                <c:pt idx="29">
                  <c:v>69748.422817813786</c:v>
                </c:pt>
                <c:pt idx="30">
                  <c:v>70479.551421854907</c:v>
                </c:pt>
                <c:pt idx="31">
                  <c:v>71189.385018011337</c:v>
                </c:pt>
                <c:pt idx="32">
                  <c:v>71879.128984087874</c:v>
                </c:pt>
                <c:pt idx="33">
                  <c:v>72549.889171281568</c:v>
                </c:pt>
                <c:pt idx="34">
                  <c:v>73202.682567746859</c:v>
                </c:pt>
                <c:pt idx="35">
                  <c:v>73838.44657126088</c:v>
                </c:pt>
                <c:pt idx="36">
                  <c:v>74458.047083160141</c:v>
                </c:pt>
                <c:pt idx="37">
                  <c:v>75062.285598896604</c:v>
                </c:pt>
                <c:pt idx="38">
                  <c:v>75651.905440865259</c:v>
                </c:pt>
                <c:pt idx="39">
                  <c:v>76227.597255070868</c:v>
                </c:pt>
                <c:pt idx="40">
                  <c:v>76790.003873564041</c:v>
                </c:pt>
                <c:pt idx="41">
                  <c:v>77339.724628482189</c:v>
                </c:pt>
                <c:pt idx="42">
                  <c:v>77877.319190277136</c:v>
                </c:pt>
                <c:pt idx="43">
                  <c:v>78403.310991745573</c:v>
                </c:pt>
                <c:pt idx="44">
                  <c:v>78918.190290366081</c:v>
                </c:pt>
                <c:pt idx="45">
                  <c:v>79422.416913842724</c:v>
                </c:pt>
                <c:pt idx="46">
                  <c:v>79916.422727384022</c:v>
                </c:pt>
                <c:pt idx="47">
                  <c:v>80400.613855888078</c:v>
                </c:pt>
                <c:pt idx="48">
                  <c:v>80875.372689681011</c:v>
                </c:pt>
                <c:pt idx="49">
                  <c:v>81341.059698624405</c:v>
                </c:pt>
                <c:pt idx="50">
                  <c:v>81798.015076150114</c:v>
                </c:pt>
                <c:pt idx="51">
                  <c:v>82246.560232003569</c:v>
                </c:pt>
                <c:pt idx="52">
                  <c:v>82686.99915010063</c:v>
                </c:pt>
                <c:pt idx="53">
                  <c:v>83119.619625864609</c:v>
                </c:pt>
                <c:pt idx="54">
                  <c:v>83544.694395655955</c:v>
                </c:pt>
                <c:pt idx="55">
                  <c:v>83962.482169393741</c:v>
                </c:pt>
                <c:pt idx="56">
                  <c:v>84373.228576158421</c:v>
                </c:pt>
                <c:pt idx="57">
                  <c:v>84777.167031429766</c:v>
                </c:pt>
                <c:pt idx="58">
                  <c:v>85174.519533626037</c:v>
                </c:pt>
                <c:pt idx="59">
                  <c:v>85565.497396749633</c:v>
                </c:pt>
                <c:pt idx="60">
                  <c:v>85950.301925192325</c:v>
                </c:pt>
                <c:pt idx="61">
                  <c:v>86329.125036094469</c:v>
                </c:pt>
                <c:pt idx="62">
                  <c:v>86702.149834074633</c:v>
                </c:pt>
                <c:pt idx="63">
                  <c:v>87069.551142638011</c:v>
                </c:pt>
                <c:pt idx="64">
                  <c:v>87431.495996123718</c:v>
                </c:pt>
                <c:pt idx="65">
                  <c:v>87788.144095655982</c:v>
                </c:pt>
                <c:pt idx="66">
                  <c:v>88139.648232214211</c:v>
                </c:pt>
                <c:pt idx="67">
                  <c:v>88486.15467962707</c:v>
                </c:pt>
                <c:pt idx="68">
                  <c:v>88827.803560020126</c:v>
                </c:pt>
                <c:pt idx="69">
                  <c:v>89164.729184002208</c:v>
                </c:pt>
                <c:pt idx="70">
                  <c:v>89497.060367657265</c:v>
                </c:pt>
                <c:pt idx="71">
                  <c:v>89824.920728213823</c:v>
                </c:pt>
                <c:pt idx="72">
                  <c:v>90148.42896009043</c:v>
                </c:pt>
                <c:pt idx="73">
                  <c:v>90467.699092859475</c:v>
                </c:pt>
                <c:pt idx="74">
                  <c:v>90782.840732532379</c:v>
                </c:pt>
                <c:pt idx="75">
                  <c:v>91093.959287443489</c:v>
                </c:pt>
                <c:pt idx="76">
                  <c:v>91401.156179897749</c:v>
                </c:pt>
                <c:pt idx="77">
                  <c:v>91704.529044645111</c:v>
                </c:pt>
                <c:pt idx="78">
                  <c:v>92004.171915153769</c:v>
                </c:pt>
                <c:pt idx="79">
                  <c:v>92300.175398571228</c:v>
                </c:pt>
                <c:pt idx="80">
                  <c:v>92592.626840187673</c:v>
                </c:pt>
                <c:pt idx="81">
                  <c:v>92881.610478148592</c:v>
                </c:pt>
                <c:pt idx="82">
                  <c:v>93167.207589102152</c:v>
                </c:pt>
                <c:pt idx="83">
                  <c:v>93449.49662541147</c:v>
                </c:pt>
                <c:pt idx="84">
                  <c:v>93728.553344511136</c:v>
                </c:pt>
                <c:pt idx="85">
                  <c:v>94004.450930941748</c:v>
                </c:pt>
                <c:pt idx="86">
                  <c:v>94277.260111554104</c:v>
                </c:pt>
                <c:pt idx="87">
                  <c:v>94547.049264336805</c:v>
                </c:pt>
                <c:pt idx="88">
                  <c:v>94813.88452128612</c:v>
                </c:pt>
                <c:pt idx="89">
                  <c:v>95077.829865705295</c:v>
                </c:pt>
                <c:pt idx="90">
                  <c:v>95338.947224291405</c:v>
                </c:pt>
                <c:pt idx="91">
                  <c:v>95597.296554341272</c:v>
                </c:pt>
                <c:pt idx="92">
                  <c:v>95852.935926383623</c:v>
                </c:pt>
                <c:pt idx="93">
                  <c:v>96105.921602522416</c:v>
                </c:pt>
                <c:pt idx="94">
                  <c:v>96356.308110755679</c:v>
                </c:pt>
                <c:pt idx="95">
                  <c:v>96604.148315515384</c:v>
                </c:pt>
                <c:pt idx="96">
                  <c:v>96849.493484656705</c:v>
                </c:pt>
                <c:pt idx="97">
                  <c:v>97092.393353108913</c:v>
                </c:pt>
                <c:pt idx="98">
                  <c:v>97332.896183385601</c:v>
                </c:pt>
                <c:pt idx="99">
                  <c:v>97571.048823138408</c:v>
                </c:pt>
                <c:pt idx="100">
                  <c:v>97806.896759925861</c:v>
                </c:pt>
                <c:pt idx="101">
                  <c:v>98040.48417335753</c:v>
                </c:pt>
                <c:pt idx="102">
                  <c:v>98271.853984762944</c:v>
                </c:pt>
                <c:pt idx="103">
                  <c:v>98501.047904525054</c:v>
                </c:pt>
                <c:pt idx="104">
                  <c:v>98728.106477208639</c:v>
                </c:pt>
                <c:pt idx="105">
                  <c:v>98953.069124605914</c:v>
                </c:pt>
                <c:pt idx="106">
                  <c:v>99175.974186813575</c:v>
                </c:pt>
                <c:pt idx="107">
                  <c:v>99396.85896144835</c:v>
                </c:pt>
                <c:pt idx="108">
                  <c:v>99615.759741101385</c:v>
                </c:pt>
                <c:pt idx="109">
                  <c:v>99832.711849125451</c:v>
                </c:pt>
                <c:pt idx="110">
                  <c:v>100047.74967384343</c:v>
                </c:pt>
                <c:pt idx="111">
                  <c:v>100260.90670126067</c:v>
                </c:pt>
                <c:pt idx="112">
                  <c:v>100472.21554635926</c:v>
                </c:pt>
                <c:pt idx="113">
                  <c:v>100681.70798304726</c:v>
                </c:pt>
                <c:pt idx="114">
                  <c:v>100889.41497283167</c:v>
                </c:pt>
                <c:pt idx="115">
                  <c:v>101095.36669227987</c:v>
                </c:pt>
                <c:pt idx="116">
                  <c:v>101299.59255933047</c:v>
                </c:pt>
                <c:pt idx="117">
                  <c:v>101502.12125851084</c:v>
                </c:pt>
                <c:pt idx="118">
                  <c:v>101702.98076511554</c:v>
                </c:pt>
                <c:pt idx="119">
                  <c:v>101902.19836839651</c:v>
                </c:pt>
                <c:pt idx="120">
                  <c:v>102099.80069381303</c:v>
                </c:pt>
                <c:pt idx="121">
                  <c:v>102295.81372438706</c:v>
                </c:pt>
                <c:pt idx="122">
                  <c:v>102490.2628212065</c:v>
                </c:pt>
                <c:pt idx="123">
                  <c:v>102683.17274311709</c:v>
                </c:pt>
                <c:pt idx="124">
                  <c:v>102874.56766564095</c:v>
                </c:pt>
                <c:pt idx="125">
                  <c:v>103064.47119915813</c:v>
                </c:pt>
                <c:pt idx="126">
                  <c:v>103252.90640638523</c:v>
                </c:pt>
                <c:pt idx="127">
                  <c:v>103439.89581918347</c:v>
                </c:pt>
                <c:pt idx="128">
                  <c:v>103625.4614547269</c:v>
                </c:pt>
                <c:pt idx="129">
                  <c:v>103809.62483105969</c:v>
                </c:pt>
                <c:pt idx="130">
                  <c:v>103992.40698206997</c:v>
                </c:pt>
                <c:pt idx="131">
                  <c:v>104173.82847190647</c:v>
                </c:pt>
                <c:pt idx="132">
                  <c:v>104353.90940886241</c:v>
                </c:pt>
                <c:pt idx="133">
                  <c:v>104532.66945875021</c:v>
                </c:pt>
                <c:pt idx="134">
                  <c:v>104710.12785778932</c:v>
                </c:pt>
                <c:pt idx="135">
                  <c:v>104886.30342502815</c:v>
                </c:pt>
                <c:pt idx="136">
                  <c:v>105061.21457432029</c:v>
                </c:pt>
                <c:pt idx="137">
                  <c:v>105234.879325874</c:v>
                </c:pt>
                <c:pt idx="138">
                  <c:v>105407.31531739314</c:v>
                </c:pt>
                <c:pt idx="139">
                  <c:v>105578.53981482665</c:v>
                </c:pt>
                <c:pt idx="140">
                  <c:v>105748.5697227432</c:v>
                </c:pt>
                <c:pt idx="141">
                  <c:v>105917.42159434623</c:v>
                </c:pt>
                <c:pt idx="142">
                  <c:v>106085.11164114466</c:v>
                </c:pt>
                <c:pt idx="143">
                  <c:v>106251.65574229298</c:v>
                </c:pt>
                <c:pt idx="144">
                  <c:v>106417.0694536145</c:v>
                </c:pt>
                <c:pt idx="145">
                  <c:v>106581.36801632037</c:v>
                </c:pt>
                <c:pt idx="146">
                  <c:v>106744.56636543669</c:v>
                </c:pt>
                <c:pt idx="147">
                  <c:v>106906.67913795136</c:v>
                </c:pt>
                <c:pt idx="148">
                  <c:v>107067.72068069169</c:v>
                </c:pt>
                <c:pt idx="149">
                  <c:v>107227.70505794359</c:v>
                </c:pt>
                <c:pt idx="150">
                  <c:v>107386.64605882209</c:v>
                </c:pt>
                <c:pt idx="151">
                  <c:v>107544.55720440333</c:v>
                </c:pt>
                <c:pt idx="152">
                  <c:v>107701.45175462675</c:v>
                </c:pt>
                <c:pt idx="153">
                  <c:v>107857.34271497666</c:v>
                </c:pt>
                <c:pt idx="154">
                  <c:v>108012.24284295148</c:v>
                </c:pt>
                <c:pt idx="155">
                  <c:v>108166.16465432856</c:v>
                </c:pt>
                <c:pt idx="156">
                  <c:v>108319.12042923256</c:v>
                </c:pt>
                <c:pt idx="157">
                  <c:v>108471.1222180145</c:v>
                </c:pt>
                <c:pt idx="158">
                  <c:v>108622.18184694862</c:v>
                </c:pt>
                <c:pt idx="159">
                  <c:v>108772.31092375377</c:v>
                </c:pt>
                <c:pt idx="160">
                  <c:v>108921.52084294584</c:v>
                </c:pt>
                <c:pt idx="161">
                  <c:v>109069.82279102721</c:v>
                </c:pt>
                <c:pt idx="162">
                  <c:v>109217.22775151937</c:v>
                </c:pt>
                <c:pt idx="163">
                  <c:v>109363.74650984425</c:v>
                </c:pt>
                <c:pt idx="164">
                  <c:v>109509.3896580596</c:v>
                </c:pt>
                <c:pt idx="165">
                  <c:v>109654.16759945388</c:v>
                </c:pt>
                <c:pt idx="166">
                  <c:v>109798.09055300528</c:v>
                </c:pt>
                <c:pt idx="167">
                  <c:v>109941.16855771</c:v>
                </c:pt>
                <c:pt idx="168">
                  <c:v>110083.41147678415</c:v>
                </c:pt>
                <c:pt idx="169">
                  <c:v>110224.82900174375</c:v>
                </c:pt>
                <c:pt idx="170">
                  <c:v>110365.43065636705</c:v>
                </c:pt>
                <c:pt idx="171">
                  <c:v>110505.22580054318</c:v>
                </c:pt>
                <c:pt idx="172">
                  <c:v>110644.22363401107</c:v>
                </c:pt>
                <c:pt idx="173">
                  <c:v>110782.43319999237</c:v>
                </c:pt>
                <c:pt idx="174">
                  <c:v>110919.8633887219</c:v>
                </c:pt>
                <c:pt idx="175">
                  <c:v>111056.52294087912</c:v>
                </c:pt>
                <c:pt idx="176">
                  <c:v>111192.42045092394</c:v>
                </c:pt>
                <c:pt idx="177">
                  <c:v>111327.56437034004</c:v>
                </c:pt>
                <c:pt idx="178">
                  <c:v>111461.96301078878</c:v>
                </c:pt>
                <c:pt idx="179">
                  <c:v>111595.62454717656</c:v>
                </c:pt>
                <c:pt idx="180">
                  <c:v>111728.55702063857</c:v>
                </c:pt>
                <c:pt idx="181">
                  <c:v>111860.76834144167</c:v>
                </c:pt>
                <c:pt idx="182">
                  <c:v>111992.26629180877</c:v>
                </c:pt>
                <c:pt idx="183">
                  <c:v>112123.05852866765</c:v>
                </c:pt>
                <c:pt idx="184">
                  <c:v>112253.15258632621</c:v>
                </c:pt>
                <c:pt idx="185">
                  <c:v>112382.55587907686</c:v>
                </c:pt>
                <c:pt idx="186">
                  <c:v>112511.27570373198</c:v>
                </c:pt>
                <c:pt idx="187">
                  <c:v>112639.31924209296</c:v>
                </c:pt>
                <c:pt idx="188">
                  <c:v>112766.69356335448</c:v>
                </c:pt>
                <c:pt idx="189">
                  <c:v>112893.40562644653</c:v>
                </c:pt>
                <c:pt idx="190">
                  <c:v>113019.4622823157</c:v>
                </c:pt>
                <c:pt idx="191">
                  <c:v>113144.87027614779</c:v>
                </c:pt>
                <c:pt idx="192">
                  <c:v>113269.63624953365</c:v>
                </c:pt>
                <c:pt idx="193">
                  <c:v>113393.76674257968</c:v>
                </c:pt>
                <c:pt idx="194">
                  <c:v>113517.26819596501</c:v>
                </c:pt>
                <c:pt idx="195">
                  <c:v>113640.14695294671</c:v>
                </c:pt>
                <c:pt idx="196">
                  <c:v>113762.4092613148</c:v>
                </c:pt>
                <c:pt idx="197">
                  <c:v>113884.06127529834</c:v>
                </c:pt>
                <c:pt idx="198">
                  <c:v>114005.10905742436</c:v>
                </c:pt>
                <c:pt idx="199">
                  <c:v>114125.55858033063</c:v>
                </c:pt>
                <c:pt idx="200">
                  <c:v>114245.41572853409</c:v>
                </c:pt>
                <c:pt idx="201">
                  <c:v>114364.68630015581</c:v>
                </c:pt>
                <c:pt idx="202">
                  <c:v>114483.37600860404</c:v>
                </c:pt>
                <c:pt idx="203">
                  <c:v>114601.4904842165</c:v>
                </c:pt>
                <c:pt idx="204">
                  <c:v>114719.03527586297</c:v>
                </c:pt>
                <c:pt idx="205">
                  <c:v>114836.01585250956</c:v>
                </c:pt>
                <c:pt idx="206">
                  <c:v>114952.43760474541</c:v>
                </c:pt>
                <c:pt idx="207">
                  <c:v>115068.30584627333</c:v>
                </c:pt>
                <c:pt idx="208">
                  <c:v>115183.625815365</c:v>
                </c:pt>
                <c:pt idx="209">
                  <c:v>115298.40267628197</c:v>
                </c:pt>
                <c:pt idx="210">
                  <c:v>115412.6415206634</c:v>
                </c:pt>
                <c:pt idx="211">
                  <c:v>115526.3473688813</c:v>
                </c:pt>
                <c:pt idx="212">
                  <c:v>115639.52517136444</c:v>
                </c:pt>
                <c:pt idx="213">
                  <c:v>115752.17980989158</c:v>
                </c:pt>
                <c:pt idx="214">
                  <c:v>115864.31609885494</c:v>
                </c:pt>
                <c:pt idx="215">
                  <c:v>115975.93878649481</c:v>
                </c:pt>
                <c:pt idx="216">
                  <c:v>116087.05255610592</c:v>
                </c:pt>
                <c:pt idx="217">
                  <c:v>116197.66202721653</c:v>
                </c:pt>
                <c:pt idx="218">
                  <c:v>116307.7717567408</c:v>
                </c:pt>
                <c:pt idx="219">
                  <c:v>116417.38624010529</c:v>
                </c:pt>
                <c:pt idx="220">
                  <c:v>116526.50991235023</c:v>
                </c:pt>
                <c:pt idx="221">
                  <c:v>116635.14714920627</c:v>
                </c:pt>
                <c:pt idx="222">
                  <c:v>116743.30226814726</c:v>
                </c:pt>
                <c:pt idx="223">
                  <c:v>116850.97952941988</c:v>
                </c:pt>
                <c:pt idx="224">
                  <c:v>116958.18313705055</c:v>
                </c:pt>
                <c:pt idx="225">
                  <c:v>117064.91723983028</c:v>
                </c:pt>
                <c:pt idx="226">
                  <c:v>117171.18593227811</c:v>
                </c:pt>
                <c:pt idx="227">
                  <c:v>117276.99325558363</c:v>
                </c:pt>
                <c:pt idx="228">
                  <c:v>117382.34319852904</c:v>
                </c:pt>
                <c:pt idx="229">
                  <c:v>117487.23969839147</c:v>
                </c:pt>
                <c:pt idx="230">
                  <c:v>117591.68664182592</c:v>
                </c:pt>
                <c:pt idx="231">
                  <c:v>117695.68786572934</c:v>
                </c:pt>
                <c:pt idx="232">
                  <c:v>117799.24715808644</c:v>
                </c:pt>
                <c:pt idx="233">
                  <c:v>117902.36825879746</c:v>
                </c:pt>
                <c:pt idx="234">
                  <c:v>118005.05486048863</c:v>
                </c:pt>
                <c:pt idx="235">
                  <c:v>118107.31060930557</c:v>
                </c:pt>
                <c:pt idx="236">
                  <c:v>118209.13910569012</c:v>
                </c:pt>
                <c:pt idx="237">
                  <c:v>118310.54390514104</c:v>
                </c:pt>
                <c:pt idx="238">
                  <c:v>118411.52851895888</c:v>
                </c:pt>
                <c:pt idx="239">
                  <c:v>118512.09641497553</c:v>
                </c:pt>
                <c:pt idx="240">
                  <c:v>118612.25101826884</c:v>
                </c:pt>
                <c:pt idx="241">
                  <c:v>118711.99571186244</c:v>
                </c:pt>
                <c:pt idx="242">
                  <c:v>118811.33383741151</c:v>
                </c:pt>
                <c:pt idx="243">
                  <c:v>118910.26869587445</c:v>
                </c:pt>
                <c:pt idx="244">
                  <c:v>119008.8035481711</c:v>
                </c:pt>
                <c:pt idx="245">
                  <c:v>119106.94161582763</c:v>
                </c:pt>
                <c:pt idx="246">
                  <c:v>119204.68608160852</c:v>
                </c:pt>
                <c:pt idx="247">
                  <c:v>119302.04009013597</c:v>
                </c:pt>
                <c:pt idx="248">
                  <c:v>119399.00674849686</c:v>
                </c:pt>
                <c:pt idx="249">
                  <c:v>119495.58912683783</c:v>
                </c:pt>
                <c:pt idx="250">
                  <c:v>119591.7902589485</c:v>
                </c:pt>
                <c:pt idx="251">
                  <c:v>119687.61314283332</c:v>
                </c:pt>
                <c:pt idx="252">
                  <c:v>119783.0607412721</c:v>
                </c:pt>
                <c:pt idx="253">
                  <c:v>119878.13598236977</c:v>
                </c:pt>
                <c:pt idx="254">
                  <c:v>119972.84176009531</c:v>
                </c:pt>
                <c:pt idx="255">
                  <c:v>120067.1809348103</c:v>
                </c:pt>
                <c:pt idx="256">
                  <c:v>120161.15633378731</c:v>
                </c:pt>
                <c:pt idx="257">
                  <c:v>120254.77075171832</c:v>
                </c:pt>
                <c:pt idx="258">
                  <c:v>120348.02695121335</c:v>
                </c:pt>
                <c:pt idx="259">
                  <c:v>120440.92766328974</c:v>
                </c:pt>
                <c:pt idx="260">
                  <c:v>120533.47558785191</c:v>
                </c:pt>
                <c:pt idx="261">
                  <c:v>120625.67339416227</c:v>
                </c:pt>
                <c:pt idx="262">
                  <c:v>120717.52372130311</c:v>
                </c:pt>
                <c:pt idx="263">
                  <c:v>120809.02917862991</c:v>
                </c:pt>
                <c:pt idx="264">
                  <c:v>120900.19234621608</c:v>
                </c:pt>
                <c:pt idx="265">
                  <c:v>120991.0157752895</c:v>
                </c:pt>
                <c:pt idx="266">
                  <c:v>121081.50198866092</c:v>
                </c:pt>
                <c:pt idx="267">
                  <c:v>121171.65348114441</c:v>
                </c:pt>
                <c:pt idx="268">
                  <c:v>121261.4727199701</c:v>
                </c:pt>
                <c:pt idx="269">
                  <c:v>121350.96214518933</c:v>
                </c:pt>
                <c:pt idx="270">
                  <c:v>121440.12417007239</c:v>
                </c:pt>
                <c:pt idx="271">
                  <c:v>121528.96118149902</c:v>
                </c:pt>
                <c:pt idx="272">
                  <c:v>121617.47554034177</c:v>
                </c:pt>
                <c:pt idx="273">
                  <c:v>121705.66958184251</c:v>
                </c:pt>
                <c:pt idx="274">
                  <c:v>121793.54561598206</c:v>
                </c:pt>
                <c:pt idx="275">
                  <c:v>121881.10592784328</c:v>
                </c:pt>
                <c:pt idx="276">
                  <c:v>121968.35277796752</c:v>
                </c:pt>
                <c:pt idx="277">
                  <c:v>122055.28840270487</c:v>
                </c:pt>
                <c:pt idx="278">
                  <c:v>122141.91501455808</c:v>
                </c:pt>
                <c:pt idx="279">
                  <c:v>122228.23480252043</c:v>
                </c:pt>
                <c:pt idx="280">
                  <c:v>122314.24993240762</c:v>
                </c:pt>
                <c:pt idx="281">
                  <c:v>122399.96254718384</c:v>
                </c:pt>
                <c:pt idx="282">
                  <c:v>122485.3747672821</c:v>
                </c:pt>
                <c:pt idx="283">
                  <c:v>122570.48869091902</c:v>
                </c:pt>
                <c:pt idx="284">
                  <c:v>122655.30639440408</c:v>
                </c:pt>
                <c:pt idx="285">
                  <c:v>122739.82993244351</c:v>
                </c:pt>
                <c:pt idx="286">
                  <c:v>122824.06133843903</c:v>
                </c:pt>
                <c:pt idx="287">
                  <c:v>122908.00262478129</c:v>
                </c:pt>
                <c:pt idx="288">
                  <c:v>122991.6557831384</c:v>
                </c:pt>
                <c:pt idx="289">
                  <c:v>123075.02278473944</c:v>
                </c:pt>
                <c:pt idx="290">
                  <c:v>123158.10558065321</c:v>
                </c:pt>
                <c:pt idx="291">
                  <c:v>123240.90610206217</c:v>
                </c:pt>
                <c:pt idx="292">
                  <c:v>123323.42626053182</c:v>
                </c:pt>
                <c:pt idx="293">
                  <c:v>123405.66794827548</c:v>
                </c:pt>
                <c:pt idx="294">
                  <c:v>123487.63303841463</c:v>
                </c:pt>
                <c:pt idx="295">
                  <c:v>123569.32338523486</c:v>
                </c:pt>
                <c:pt idx="296">
                  <c:v>123650.74082443766</c:v>
                </c:pt>
                <c:pt idx="297">
                  <c:v>123731.88717338783</c:v>
                </c:pt>
                <c:pt idx="298">
                  <c:v>123812.76423135698</c:v>
                </c:pt>
                <c:pt idx="299">
                  <c:v>123893.37377976284</c:v>
                </c:pt>
                <c:pt idx="300">
                  <c:v>123973.71758240473</c:v>
                </c:pt>
                <c:pt idx="301">
                  <c:v>124053.7973856951</c:v>
                </c:pt>
                <c:pt idx="302">
                  <c:v>124133.61491888737</c:v>
                </c:pt>
                <c:pt idx="303">
                  <c:v>124213.1718942999</c:v>
                </c:pt>
                <c:pt idx="304">
                  <c:v>124292.47000753647</c:v>
                </c:pt>
                <c:pt idx="305">
                  <c:v>124371.51093770307</c:v>
                </c:pt>
                <c:pt idx="306">
                  <c:v>124450.2963476213</c:v>
                </c:pt>
                <c:pt idx="307">
                  <c:v>124528.82788403818</c:v>
                </c:pt>
                <c:pt idx="308">
                  <c:v>124607.10717783273</c:v>
                </c:pt>
                <c:pt idx="309">
                  <c:v>124685.13584421918</c:v>
                </c:pt>
                <c:pt idx="310">
                  <c:v>124762.91548294696</c:v>
                </c:pt>
                <c:pt idx="311">
                  <c:v>124840.44767849745</c:v>
                </c:pt>
                <c:pt idx="312">
                  <c:v>124917.73400027771</c:v>
                </c:pt>
                <c:pt idx="313">
                  <c:v>124994.77600281102</c:v>
                </c:pt>
                <c:pt idx="314">
                  <c:v>125071.57522592458</c:v>
                </c:pt>
                <c:pt idx="315">
                  <c:v>125148.13319493413</c:v>
                </c:pt>
                <c:pt idx="316">
                  <c:v>125224.45142082569</c:v>
                </c:pt>
                <c:pt idx="317">
                  <c:v>125300.53140043454</c:v>
                </c:pt>
                <c:pt idx="318">
                  <c:v>125376.37461662138</c:v>
                </c:pt>
                <c:pt idx="319">
                  <c:v>125451.98253844569</c:v>
                </c:pt>
                <c:pt idx="320">
                  <c:v>125527.35662133653</c:v>
                </c:pt>
                <c:pt idx="321">
                  <c:v>125602.49830726058</c:v>
                </c:pt>
                <c:pt idx="322">
                  <c:v>125677.40902488775</c:v>
                </c:pt>
                <c:pt idx="323">
                  <c:v>125752.09018975405</c:v>
                </c:pt>
                <c:pt idx="324">
                  <c:v>125826.54320442218</c:v>
                </c:pt>
                <c:pt idx="325">
                  <c:v>125900.76945863955</c:v>
                </c:pt>
                <c:pt idx="326">
                  <c:v>125974.77032949391</c:v>
                </c:pt>
                <c:pt idx="327">
                  <c:v>126048.54718156668</c:v>
                </c:pt>
                <c:pt idx="328">
                  <c:v>126122.1013670839</c:v>
                </c:pt>
                <c:pt idx="329">
                  <c:v>126195.43422606496</c:v>
                </c:pt>
                <c:pt idx="330">
                  <c:v>126268.54708646907</c:v>
                </c:pt>
                <c:pt idx="331">
                  <c:v>126341.44126433958</c:v>
                </c:pt>
                <c:pt idx="332">
                  <c:v>126414.11806394605</c:v>
                </c:pt>
                <c:pt idx="333">
                  <c:v>126486.57877792435</c:v>
                </c:pt>
                <c:pt idx="334">
                  <c:v>126558.82468741458</c:v>
                </c:pt>
                <c:pt idx="335">
                  <c:v>126630.85706219696</c:v>
                </c:pt>
                <c:pt idx="336">
                  <c:v>126702.67716082575</c:v>
                </c:pt>
                <c:pt idx="337">
                  <c:v>126774.28623076122</c:v>
                </c:pt>
                <c:pt idx="338">
                  <c:v>126845.68550849962</c:v>
                </c:pt>
                <c:pt idx="339">
                  <c:v>126916.87621970128</c:v>
                </c:pt>
                <c:pt idx="340">
                  <c:v>126987.85957931692</c:v>
                </c:pt>
                <c:pt idx="341">
                  <c:v>127058.63679171199</c:v>
                </c:pt>
                <c:pt idx="342">
                  <c:v>127129.20905078932</c:v>
                </c:pt>
                <c:pt idx="343">
                  <c:v>127199.57754010992</c:v>
                </c:pt>
                <c:pt idx="344">
                  <c:v>127269.74343301215</c:v>
                </c:pt>
                <c:pt idx="345">
                  <c:v>127339.707892729</c:v>
                </c:pt>
                <c:pt idx="346">
                  <c:v>127409.47207250392</c:v>
                </c:pt>
                <c:pt idx="347">
                  <c:v>127479.03711570479</c:v>
                </c:pt>
                <c:pt idx="348">
                  <c:v>127548.4041559364</c:v>
                </c:pt>
                <c:pt idx="349">
                  <c:v>127617.57431715126</c:v>
                </c:pt>
                <c:pt idx="350">
                  <c:v>127686.54871375891</c:v>
                </c:pt>
                <c:pt idx="351">
                  <c:v>127755.32845073362</c:v>
                </c:pt>
                <c:pt idx="352">
                  <c:v>127823.9146237206</c:v>
                </c:pt>
                <c:pt idx="353">
                  <c:v>127892.30831914072</c:v>
                </c:pt>
                <c:pt idx="354">
                  <c:v>127960.51061429382</c:v>
                </c:pt>
                <c:pt idx="355">
                  <c:v>128028.52257746043</c:v>
                </c:pt>
                <c:pt idx="356">
                  <c:v>128096.34526800227</c:v>
                </c:pt>
                <c:pt idx="357">
                  <c:v>128163.97973646122</c:v>
                </c:pt>
                <c:pt idx="358">
                  <c:v>128231.42702465689</c:v>
                </c:pt>
                <c:pt idx="359">
                  <c:v>128298.68816578302</c:v>
                </c:pt>
              </c:numCache>
            </c:numRef>
          </c:yVal>
        </c:ser>
        <c:ser>
          <c:idx val="2"/>
          <c:order val="2"/>
          <c:tx>
            <c:strRef>
              <c:f>'Ornstein-Uhlenback Diffusion'!$K$3</c:f>
              <c:strCache>
                <c:ptCount val="1"/>
                <c:pt idx="0">
                  <c:v>Dec-18 Cumulative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'Ornstein-Uhlenback Diffusion'!$H$4:$H$363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'Ornstein-Uhlenback Diffusion'!$K$4:$K$363</c:f>
              <c:numCache>
                <c:formatCode>0.0</c:formatCode>
                <c:ptCount val="360"/>
                <c:pt idx="0">
                  <c:v>10436.514851444223</c:v>
                </c:pt>
                <c:pt idx="1">
                  <c:v>19724.39834198364</c:v>
                </c:pt>
                <c:pt idx="2">
                  <c:v>27990.067577523245</c:v>
                </c:pt>
                <c:pt idx="3">
                  <c:v>35346.026336150819</c:v>
                </c:pt>
                <c:pt idx="4">
                  <c:v>41892.396353713855</c:v>
                </c:pt>
                <c:pt idx="5">
                  <c:v>47718.280077787902</c:v>
                </c:pt>
                <c:pt idx="6">
                  <c:v>52902.973438439978</c:v>
                </c:pt>
                <c:pt idx="7">
                  <c:v>57517.045142773917</c:v>
                </c:pt>
                <c:pt idx="8">
                  <c:v>61623.297183503579</c:v>
                </c:pt>
                <c:pt idx="9">
                  <c:v>65277.619635007512</c:v>
                </c:pt>
                <c:pt idx="10">
                  <c:v>68529.751371468767</c:v>
                </c:pt>
                <c:pt idx="11">
                  <c:v>71423.957061211811</c:v>
                </c:pt>
                <c:pt idx="12">
                  <c:v>73999.629651786425</c:v>
                </c:pt>
                <c:pt idx="13">
                  <c:v>76291.826546204902</c:v>
                </c:pt>
                <c:pt idx="14">
                  <c:v>78331.746768211684</c:v>
                </c:pt>
                <c:pt idx="15">
                  <c:v>80229.292942831482</c:v>
                </c:pt>
                <c:pt idx="16">
                  <c:v>82028.690177384749</c:v>
                </c:pt>
                <c:pt idx="17">
                  <c:v>83739.59246597637</c:v>
                </c:pt>
                <c:pt idx="18">
                  <c:v>85370.296209790264</c:v>
                </c:pt>
                <c:pt idx="19">
                  <c:v>86927.983368060246</c:v>
                </c:pt>
                <c:pt idx="20">
                  <c:v>88418.912505261527</c:v>
                </c:pt>
                <c:pt idx="21">
                  <c:v>89848.570582029875</c:v>
                </c:pt>
                <c:pt idx="22">
                  <c:v>91221.794787346837</c:v>
                </c:pt>
                <c:pt idx="23">
                  <c:v>92542.871238031512</c:v>
                </c:pt>
                <c:pt idx="24">
                  <c:v>93815.615623447229</c:v>
                </c:pt>
                <c:pt idx="25">
                  <c:v>95043.43961878946</c:v>
                </c:pt>
                <c:pt idx="26">
                  <c:v>96229.405977926843</c:v>
                </c:pt>
                <c:pt idx="27">
                  <c:v>97376.274545004751</c:v>
                </c:pt>
                <c:pt idx="28">
                  <c:v>98486.540923771652</c:v>
                </c:pt>
                <c:pt idx="29">
                  <c:v>99562.46916711278</c:v>
                </c:pt>
                <c:pt idx="30">
                  <c:v>100606.11956315367</c:v>
                </c:pt>
                <c:pt idx="31">
                  <c:v>101619.37237484385</c:v>
                </c:pt>
                <c:pt idx="32">
                  <c:v>102603.94822016545</c:v>
                </c:pt>
                <c:pt idx="33">
                  <c:v>103561.4256477259</c:v>
                </c:pt>
                <c:pt idx="34">
                  <c:v>104493.2563584767</c:v>
                </c:pt>
                <c:pt idx="35">
                  <c:v>105400.77844199052</c:v>
                </c:pt>
                <c:pt idx="36">
                  <c:v>106285.22793016076</c:v>
                </c:pt>
                <c:pt idx="37">
                  <c:v>107147.7489186243</c:v>
                </c:pt>
                <c:pt idx="38">
                  <c:v>107989.40246381857</c:v>
                </c:pt>
                <c:pt idx="39">
                  <c:v>108811.1744292051</c:v>
                </c:pt>
                <c:pt idx="40">
                  <c:v>109613.98242615964</c:v>
                </c:pt>
                <c:pt idx="41">
                  <c:v>110398.68197205504</c:v>
                </c:pt>
                <c:pt idx="42">
                  <c:v>111166.07196914393</c:v>
                </c:pt>
                <c:pt idx="43">
                  <c:v>111916.89959219492</c:v>
                </c:pt>
                <c:pt idx="44">
                  <c:v>112651.86465982936</c:v>
                </c:pt>
                <c:pt idx="45">
                  <c:v>113371.62355365066</c:v>
                </c:pt>
                <c:pt idx="46">
                  <c:v>114076.79274016478</c:v>
                </c:pt>
                <c:pt idx="47">
                  <c:v>114767.95194284087</c:v>
                </c:pt>
                <c:pt idx="48">
                  <c:v>115445.64700520509</c:v>
                </c:pt>
                <c:pt idx="49">
                  <c:v>116110.39248039036</c:v>
                </c:pt>
                <c:pt idx="50">
                  <c:v>116762.67397791593</c:v>
                </c:pt>
                <c:pt idx="51">
                  <c:v>117402.95029450543</c:v>
                </c:pt>
                <c:pt idx="52">
                  <c:v>118031.65535236138</c:v>
                </c:pt>
                <c:pt idx="53">
                  <c:v>118649.19996540333</c:v>
                </c:pt>
                <c:pt idx="54">
                  <c:v>119255.97345147362</c:v>
                </c:pt>
                <c:pt idx="55">
                  <c:v>119852.34510635413</c:v>
                </c:pt>
                <c:pt idx="56">
                  <c:v>120438.66555356811</c:v>
                </c:pt>
                <c:pt idx="57">
                  <c:v>121015.26798231997</c:v>
                </c:pt>
                <c:pt idx="58">
                  <c:v>121582.4692845161</c:v>
                </c:pt>
                <c:pt idx="59">
                  <c:v>122140.57110058075</c:v>
                </c:pt>
                <c:pt idx="60">
                  <c:v>122689.86078270753</c:v>
                </c:pt>
                <c:pt idx="61">
                  <c:v>123230.61228324685</c:v>
                </c:pt>
                <c:pt idx="62">
                  <c:v>123763.08697510445</c:v>
                </c:pt>
                <c:pt idx="63">
                  <c:v>124287.53441030088</c:v>
                </c:pt>
                <c:pt idx="64">
                  <c:v>124804.19302220231</c:v>
                </c:pt>
                <c:pt idx="65">
                  <c:v>125313.29077636859</c:v>
                </c:pt>
                <c:pt idx="66">
                  <c:v>125815.04577446518</c:v>
                </c:pt>
                <c:pt idx="67">
                  <c:v>126309.66681524285</c:v>
                </c:pt>
                <c:pt idx="68">
                  <c:v>126797.35391619653</c:v>
                </c:pt>
                <c:pt idx="69">
                  <c:v>127278.29879916468</c:v>
                </c:pt>
                <c:pt idx="70">
                  <c:v>127752.68534281963</c:v>
                </c:pt>
                <c:pt idx="71">
                  <c:v>128220.69000472137</c:v>
                </c:pt>
                <c:pt idx="72">
                  <c:v>128682.48221535893</c:v>
                </c:pt>
                <c:pt idx="73">
                  <c:v>129138.22474638115</c:v>
                </c:pt>
                <c:pt idx="74">
                  <c:v>129588.07405501946</c:v>
                </c:pt>
                <c:pt idx="75">
                  <c:v>130032.18060652622</c:v>
                </c:pt>
                <c:pt idx="76">
                  <c:v>130470.6891762913</c:v>
                </c:pt>
                <c:pt idx="77">
                  <c:v>130903.73913315474</c:v>
                </c:pt>
                <c:pt idx="78">
                  <c:v>131331.46470530264</c:v>
                </c:pt>
                <c:pt idx="79">
                  <c:v>131753.99523001554</c:v>
                </c:pt>
                <c:pt idx="80">
                  <c:v>132171.4553884319</c:v>
                </c:pt>
                <c:pt idx="81">
                  <c:v>132583.96542639274</c:v>
                </c:pt>
                <c:pt idx="82">
                  <c:v>132991.64136234621</c:v>
                </c:pt>
                <c:pt idx="83">
                  <c:v>133394.59518321144</c:v>
                </c:pt>
                <c:pt idx="84">
                  <c:v>133792.93502902857</c:v>
                </c:pt>
                <c:pt idx="85">
                  <c:v>134186.7653671572</c:v>
                </c:pt>
                <c:pt idx="86">
                  <c:v>134576.18715672471</c:v>
                </c:pt>
                <c:pt idx="87">
                  <c:v>134961.29800397228</c:v>
                </c:pt>
                <c:pt idx="88">
                  <c:v>135342.19230909669</c:v>
                </c:pt>
                <c:pt idx="89">
                  <c:v>135718.96140514032</c:v>
                </c:pt>
                <c:pt idx="90">
                  <c:v>136091.69368944064</c:v>
                </c:pt>
                <c:pt idx="91">
                  <c:v>136460.47474811232</c:v>
                </c:pt>
                <c:pt idx="92">
                  <c:v>136825.38747400074</c:v>
                </c:pt>
                <c:pt idx="93">
                  <c:v>137186.51217851316</c:v>
                </c:pt>
                <c:pt idx="94">
                  <c:v>137543.92669770526</c:v>
                </c:pt>
                <c:pt idx="95">
                  <c:v>137897.70649297335</c:v>
                </c:pt>
                <c:pt idx="96">
                  <c:v>138247.92474667836</c:v>
                </c:pt>
                <c:pt idx="97">
                  <c:v>138594.65245300424</c:v>
                </c:pt>
                <c:pt idx="98">
                  <c:v>138937.95850433348</c:v>
                </c:pt>
                <c:pt idx="99">
                  <c:v>139277.90977340218</c:v>
                </c:pt>
                <c:pt idx="100">
                  <c:v>139614.57119147989</c:v>
                </c:pt>
                <c:pt idx="101">
                  <c:v>139948.00582280286</c:v>
                </c:pt>
                <c:pt idx="102">
                  <c:v>140278.27493547404</c:v>
                </c:pt>
                <c:pt idx="103">
                  <c:v>140605.43806902919</c:v>
                </c:pt>
                <c:pt idx="104">
                  <c:v>140929.55309885554</c:v>
                </c:pt>
                <c:pt idx="105">
                  <c:v>141250.67629763734</c:v>
                </c:pt>
                <c:pt idx="106">
                  <c:v>141568.86239399126</c:v>
                </c:pt>
                <c:pt idx="107">
                  <c:v>141884.16462844471</c:v>
                </c:pt>
                <c:pt idx="108">
                  <c:v>142196.63480690005</c:v>
                </c:pt>
                <c:pt idx="109">
                  <c:v>142506.3233517193</c:v>
                </c:pt>
                <c:pt idx="110">
                  <c:v>142813.27935055486</c:v>
                </c:pt>
                <c:pt idx="111">
                  <c:v>143117.55060304492</c:v>
                </c:pt>
                <c:pt idx="112">
                  <c:v>143419.18366548448</c:v>
                </c:pt>
                <c:pt idx="113">
                  <c:v>143718.22389357642</c:v>
                </c:pt>
                <c:pt idx="114">
                  <c:v>144014.71548336075</c:v>
                </c:pt>
                <c:pt idx="115">
                  <c:v>144308.70151041451</c:v>
                </c:pt>
                <c:pt idx="116">
                  <c:v>144600.22396740917</c:v>
                </c:pt>
                <c:pt idx="117">
                  <c:v>144889.32380010746</c:v>
                </c:pt>
                <c:pt idx="118">
                  <c:v>145176.04094187694</c:v>
                </c:pt>
                <c:pt idx="119">
                  <c:v>145460.41434679271</c:v>
                </c:pt>
                <c:pt idx="120">
                  <c:v>145742.48202139835</c:v>
                </c:pt>
                <c:pt idx="121">
                  <c:v>146022.28105518947</c:v>
                </c:pt>
                <c:pt idx="122">
                  <c:v>146299.84764988118</c:v>
                </c:pt>
                <c:pt idx="123">
                  <c:v>146575.21714751731</c:v>
                </c:pt>
                <c:pt idx="124">
                  <c:v>146848.42405747567</c:v>
                </c:pt>
                <c:pt idx="125">
                  <c:v>147119.50208242136</c:v>
                </c:pt>
                <c:pt idx="126">
                  <c:v>147388.48414325665</c:v>
                </c:pt>
                <c:pt idx="127">
                  <c:v>147655.40240311367</c:v>
                </c:pt>
                <c:pt idx="128">
                  <c:v>147920.2882904337</c:v>
                </c:pt>
                <c:pt idx="129">
                  <c:v>148183.17252117448</c:v>
                </c:pt>
                <c:pt idx="130">
                  <c:v>148444.0851201847</c:v>
                </c:pt>
                <c:pt idx="131">
                  <c:v>148703.05544178293</c:v>
                </c:pt>
                <c:pt idx="132">
                  <c:v>148960.11218957626</c:v>
                </c:pt>
                <c:pt idx="133">
                  <c:v>149215.28343555203</c:v>
                </c:pt>
                <c:pt idx="134">
                  <c:v>149468.59663847458</c:v>
                </c:pt>
                <c:pt idx="135">
                  <c:v>149720.07866161698</c:v>
                </c:pt>
                <c:pt idx="136">
                  <c:v>149969.75578985643</c:v>
                </c:pt>
                <c:pt idx="137">
                  <c:v>150217.65374616068</c:v>
                </c:pt>
                <c:pt idx="138">
                  <c:v>150463.79770749109</c:v>
                </c:pt>
                <c:pt idx="139">
                  <c:v>150708.21232014702</c:v>
                </c:pt>
                <c:pt idx="140">
                  <c:v>150950.92171457515</c:v>
                </c:pt>
                <c:pt idx="141">
                  <c:v>151191.94951966542</c:v>
                </c:pt>
                <c:pt idx="142">
                  <c:v>151431.31887655554</c:v>
                </c:pt>
                <c:pt idx="143">
                  <c:v>151669.05245196348</c:v>
                </c:pt>
                <c:pt idx="144">
                  <c:v>151905.17245106774</c:v>
                </c:pt>
                <c:pt idx="145">
                  <c:v>152139.70062995332</c:v>
                </c:pt>
                <c:pt idx="146">
                  <c:v>152372.65830764102</c:v>
                </c:pt>
                <c:pt idx="147">
                  <c:v>152604.0663777166</c:v>
                </c:pt>
                <c:pt idx="148">
                  <c:v>152833.94531957584</c:v>
                </c:pt>
                <c:pt idx="149">
                  <c:v>153062.31520930032</c:v>
                </c:pt>
                <c:pt idx="150">
                  <c:v>153289.19573017876</c:v>
                </c:pt>
                <c:pt idx="151">
                  <c:v>153514.60618288736</c:v>
                </c:pt>
                <c:pt idx="152">
                  <c:v>153738.56549534248</c:v>
                </c:pt>
                <c:pt idx="153">
                  <c:v>153961.09223223818</c:v>
                </c:pt>
                <c:pt idx="154">
                  <c:v>154182.20460428073</c:v>
                </c:pt>
                <c:pt idx="155">
                  <c:v>154401.92047713144</c:v>
                </c:pt>
                <c:pt idx="156">
                  <c:v>154620.25738006886</c:v>
                </c:pt>
                <c:pt idx="157">
                  <c:v>154837.23251438088</c:v>
                </c:pt>
                <c:pt idx="158">
                  <c:v>155052.86276149677</c:v>
                </c:pt>
                <c:pt idx="159">
                  <c:v>155267.16469086861</c:v>
                </c:pt>
                <c:pt idx="160">
                  <c:v>155480.15456761164</c:v>
                </c:pt>
                <c:pt idx="161">
                  <c:v>155691.84835991202</c:v>
                </c:pt>
                <c:pt idx="162">
                  <c:v>155902.2617462106</c:v>
                </c:pt>
                <c:pt idx="163">
                  <c:v>156111.4101221707</c:v>
                </c:pt>
                <c:pt idx="164">
                  <c:v>156319.30860743779</c:v>
                </c:pt>
                <c:pt idx="165">
                  <c:v>156525.97205219837</c:v>
                </c:pt>
                <c:pt idx="166">
                  <c:v>156731.41504354501</c:v>
                </c:pt>
                <c:pt idx="167">
                  <c:v>156935.65191165477</c:v>
                </c:pt>
                <c:pt idx="168">
                  <c:v>157138.69673578723</c:v>
                </c:pt>
                <c:pt idx="169">
                  <c:v>157340.56335010848</c:v>
                </c:pt>
                <c:pt idx="170">
                  <c:v>157541.26534934712</c:v>
                </c:pt>
                <c:pt idx="171">
                  <c:v>157740.81609428802</c:v>
                </c:pt>
                <c:pt idx="172">
                  <c:v>157939.22871710948</c:v>
                </c:pt>
                <c:pt idx="173">
                  <c:v>158136.51612656901</c:v>
                </c:pt>
                <c:pt idx="174">
                  <c:v>158332.69101304287</c:v>
                </c:pt>
                <c:pt idx="175">
                  <c:v>158527.76585342435</c:v>
                </c:pt>
                <c:pt idx="176">
                  <c:v>158721.75291588547</c:v>
                </c:pt>
                <c:pt idx="177">
                  <c:v>158914.66426450672</c:v>
                </c:pt>
                <c:pt idx="178">
                  <c:v>159106.51176377895</c:v>
                </c:pt>
                <c:pt idx="179">
                  <c:v>159297.30708298204</c:v>
                </c:pt>
                <c:pt idx="180">
                  <c:v>159487.06170044403</c:v>
                </c:pt>
                <c:pt idx="181">
                  <c:v>159675.7869076847</c:v>
                </c:pt>
                <c:pt idx="182">
                  <c:v>159863.49381344745</c:v>
                </c:pt>
                <c:pt idx="183">
                  <c:v>160050.19334762293</c:v>
                </c:pt>
                <c:pt idx="184">
                  <c:v>160235.89626506792</c:v>
                </c:pt>
                <c:pt idx="185">
                  <c:v>160420.61314932295</c:v>
                </c:pt>
                <c:pt idx="186">
                  <c:v>160604.35441623157</c:v>
                </c:pt>
                <c:pt idx="187">
                  <c:v>160787.13031746465</c:v>
                </c:pt>
                <c:pt idx="188">
                  <c:v>160968.9509439526</c:v>
                </c:pt>
                <c:pt idx="189">
                  <c:v>161149.82622922832</c:v>
                </c:pt>
                <c:pt idx="190">
                  <c:v>161329.76595268364</c:v>
                </c:pt>
                <c:pt idx="191">
                  <c:v>161508.7797427421</c:v>
                </c:pt>
                <c:pt idx="192">
                  <c:v>161686.87707995044</c:v>
                </c:pt>
                <c:pt idx="193">
                  <c:v>161864.06729999135</c:v>
                </c:pt>
                <c:pt idx="194">
                  <c:v>162040.35959661988</c:v>
                </c:pt>
                <c:pt idx="195">
                  <c:v>162215.76302452592</c:v>
                </c:pt>
                <c:pt idx="196">
                  <c:v>162390.28650212474</c:v>
                </c:pt>
                <c:pt idx="197">
                  <c:v>162563.93881427796</c:v>
                </c:pt>
                <c:pt idx="198">
                  <c:v>162736.72861494697</c:v>
                </c:pt>
                <c:pt idx="199">
                  <c:v>162908.66442978074</c:v>
                </c:pt>
                <c:pt idx="200">
                  <c:v>163079.7546586399</c:v>
                </c:pt>
                <c:pt idx="201">
                  <c:v>163250.0075780593</c:v>
                </c:pt>
                <c:pt idx="202">
                  <c:v>163419.43134365036</c:v>
                </c:pt>
                <c:pt idx="203">
                  <c:v>163588.03399244533</c:v>
                </c:pt>
                <c:pt idx="204">
                  <c:v>163755.82344518503</c:v>
                </c:pt>
                <c:pt idx="205">
                  <c:v>163922.80750855157</c:v>
                </c:pt>
                <c:pt idx="206">
                  <c:v>164088.99387734791</c:v>
                </c:pt>
                <c:pt idx="207">
                  <c:v>164254.39013662538</c:v>
                </c:pt>
                <c:pt idx="208">
                  <c:v>164419.00376376117</c:v>
                </c:pt>
                <c:pt idx="209">
                  <c:v>164582.84213048659</c:v>
                </c:pt>
                <c:pt idx="210">
                  <c:v>164745.91250486797</c:v>
                </c:pt>
                <c:pt idx="211">
                  <c:v>164908.22205324136</c:v>
                </c:pt>
                <c:pt idx="212">
                  <c:v>165069.77784210219</c:v>
                </c:pt>
                <c:pt idx="213">
                  <c:v>165230.58683995134</c:v>
                </c:pt>
                <c:pt idx="214">
                  <c:v>165390.65591909873</c:v>
                </c:pt>
                <c:pt idx="215">
                  <c:v>165549.99185742557</c:v>
                </c:pt>
                <c:pt idx="216">
                  <c:v>165708.60134010657</c:v>
                </c:pt>
                <c:pt idx="217">
                  <c:v>165866.49096129279</c:v>
                </c:pt>
                <c:pt idx="218">
                  <c:v>166023.66722575677</c:v>
                </c:pt>
                <c:pt idx="219">
                  <c:v>166180.13655050052</c:v>
                </c:pt>
                <c:pt idx="220">
                  <c:v>166335.90526632752</c:v>
                </c:pt>
                <c:pt idx="221">
                  <c:v>166490.97961937965</c:v>
                </c:pt>
                <c:pt idx="222">
                  <c:v>166645.36577264013</c:v>
                </c:pt>
                <c:pt idx="223">
                  <c:v>166799.06980740314</c:v>
                </c:pt>
                <c:pt idx="224">
                  <c:v>166952.09772471117</c:v>
                </c:pt>
                <c:pt idx="225">
                  <c:v>167104.45544676093</c:v>
                </c:pt>
                <c:pt idx="226">
                  <c:v>167256.14881827851</c:v>
                </c:pt>
                <c:pt idx="227">
                  <c:v>167407.18360786475</c:v>
                </c:pt>
                <c:pt idx="228">
                  <c:v>167557.56550931156</c:v>
                </c:pt>
                <c:pt idx="229">
                  <c:v>167707.30014288987</c:v>
                </c:pt>
                <c:pt idx="230">
                  <c:v>167856.39305660999</c:v>
                </c:pt>
                <c:pt idx="231">
                  <c:v>168004.84972745506</c:v>
                </c:pt>
                <c:pt idx="232">
                  <c:v>168152.67556258832</c:v>
                </c:pt>
                <c:pt idx="233">
                  <c:v>168299.87590053485</c:v>
                </c:pt>
                <c:pt idx="234">
                  <c:v>168446.45601233834</c:v>
                </c:pt>
                <c:pt idx="235">
                  <c:v>168592.42110269371</c:v>
                </c:pt>
                <c:pt idx="236">
                  <c:v>168737.77631105596</c:v>
                </c:pt>
                <c:pt idx="237">
                  <c:v>168882.52671272599</c:v>
                </c:pt>
                <c:pt idx="238">
                  <c:v>169026.67731991396</c:v>
                </c:pt>
                <c:pt idx="239">
                  <c:v>169170.23308278064</c:v>
                </c:pt>
                <c:pt idx="240">
                  <c:v>169313.19889045748</c:v>
                </c:pt>
                <c:pt idx="241">
                  <c:v>169455.57957204559</c:v>
                </c:pt>
                <c:pt idx="242">
                  <c:v>169597.37989759463</c:v>
                </c:pt>
                <c:pt idx="243">
                  <c:v>169738.60457906159</c:v>
                </c:pt>
                <c:pt idx="244">
                  <c:v>169879.25827125038</c:v>
                </c:pt>
                <c:pt idx="245">
                  <c:v>170019.34557273239</c:v>
                </c:pt>
                <c:pt idx="246">
                  <c:v>170158.87102674856</c:v>
                </c:pt>
                <c:pt idx="247">
                  <c:v>170297.83912209354</c:v>
                </c:pt>
                <c:pt idx="248">
                  <c:v>170436.25429398226</c:v>
                </c:pt>
                <c:pt idx="249">
                  <c:v>170574.12092489915</c:v>
                </c:pt>
                <c:pt idx="250">
                  <c:v>170711.44334543086</c:v>
                </c:pt>
                <c:pt idx="251">
                  <c:v>170848.22583508235</c:v>
                </c:pt>
                <c:pt idx="252">
                  <c:v>170984.47262307725</c:v>
                </c:pt>
                <c:pt idx="253">
                  <c:v>171120.1878891424</c:v>
                </c:pt>
                <c:pt idx="254">
                  <c:v>171255.37576427724</c:v>
                </c:pt>
                <c:pt idx="255">
                  <c:v>171390.04033150832</c:v>
                </c:pt>
                <c:pt idx="256">
                  <c:v>171524.18562662927</c:v>
                </c:pt>
                <c:pt idx="257">
                  <c:v>171657.81563892643</c:v>
                </c:pt>
                <c:pt idx="258">
                  <c:v>171790.93431189083</c:v>
                </c:pt>
                <c:pt idx="259">
                  <c:v>171923.54554391635</c:v>
                </c:pt>
                <c:pt idx="260">
                  <c:v>172055.65318898481</c:v>
                </c:pt>
                <c:pt idx="261">
                  <c:v>172187.26105733801</c:v>
                </c:pt>
                <c:pt idx="262">
                  <c:v>172318.3729161371</c:v>
                </c:pt>
                <c:pt idx="263">
                  <c:v>172448.99249010967</c:v>
                </c:pt>
                <c:pt idx="264">
                  <c:v>172579.12346218459</c:v>
                </c:pt>
                <c:pt idx="265">
                  <c:v>172708.76947411514</c:v>
                </c:pt>
                <c:pt idx="266">
                  <c:v>172837.9341270905</c:v>
                </c:pt>
                <c:pt idx="267">
                  <c:v>172966.620982336</c:v>
                </c:pt>
                <c:pt idx="268">
                  <c:v>173094.83356170219</c:v>
                </c:pt>
                <c:pt idx="269">
                  <c:v>173222.57534824332</c:v>
                </c:pt>
                <c:pt idx="270">
                  <c:v>173349.84978678491</c:v>
                </c:pt>
                <c:pt idx="271">
                  <c:v>173476.66028448124</c:v>
                </c:pt>
                <c:pt idx="272">
                  <c:v>173603.01021136271</c:v>
                </c:pt>
                <c:pt idx="273">
                  <c:v>173728.90290087307</c:v>
                </c:pt>
                <c:pt idx="274">
                  <c:v>173854.34165039723</c:v>
                </c:pt>
                <c:pt idx="275">
                  <c:v>173979.32972177936</c:v>
                </c:pt>
                <c:pt idx="276">
                  <c:v>174103.87034183196</c:v>
                </c:pt>
                <c:pt idx="277">
                  <c:v>174227.96670283563</c:v>
                </c:pt>
                <c:pt idx="278">
                  <c:v>174351.62196303005</c:v>
                </c:pt>
                <c:pt idx="279">
                  <c:v>174474.83924709627</c:v>
                </c:pt>
                <c:pt idx="280">
                  <c:v>174597.62164663049</c:v>
                </c:pt>
                <c:pt idx="281">
                  <c:v>174719.97222060949</c:v>
                </c:pt>
                <c:pt idx="282">
                  <c:v>174841.8939958479</c:v>
                </c:pt>
                <c:pt idx="283">
                  <c:v>174963.38996744755</c:v>
                </c:pt>
                <c:pt idx="284">
                  <c:v>175084.46309923884</c:v>
                </c:pt>
                <c:pt idx="285">
                  <c:v>175205.11632421467</c:v>
                </c:pt>
                <c:pt idx="286">
                  <c:v>175325.35254495672</c:v>
                </c:pt>
                <c:pt idx="287">
                  <c:v>175445.17463405442</c:v>
                </c:pt>
                <c:pt idx="288">
                  <c:v>175564.58543451678</c:v>
                </c:pt>
                <c:pt idx="289">
                  <c:v>175683.58776017709</c:v>
                </c:pt>
                <c:pt idx="290">
                  <c:v>175802.18439609083</c:v>
                </c:pt>
                <c:pt idx="291">
                  <c:v>175920.37809892671</c:v>
                </c:pt>
                <c:pt idx="292">
                  <c:v>176038.1715973512</c:v>
                </c:pt>
                <c:pt idx="293">
                  <c:v>176155.56759240641</c:v>
                </c:pt>
                <c:pt idx="294">
                  <c:v>176272.56875788185</c:v>
                </c:pt>
                <c:pt idx="295">
                  <c:v>176389.1777406797</c:v>
                </c:pt>
                <c:pt idx="296">
                  <c:v>176505.39716117425</c:v>
                </c:pt>
                <c:pt idx="297">
                  <c:v>176621.22961356502</c:v>
                </c:pt>
                <c:pt idx="298">
                  <c:v>176736.67766622442</c:v>
                </c:pt>
                <c:pt idx="299">
                  <c:v>176851.74386203929</c:v>
                </c:pt>
                <c:pt idx="300">
                  <c:v>176966.43071874708</c:v>
                </c:pt>
                <c:pt idx="301">
                  <c:v>177080.74072926634</c:v>
                </c:pt>
                <c:pt idx="302">
                  <c:v>177194.67636202188</c:v>
                </c:pt>
                <c:pt idx="303">
                  <c:v>177308.24006126463</c:v>
                </c:pt>
                <c:pt idx="304">
                  <c:v>177421.43424738621</c:v>
                </c:pt>
                <c:pt idx="305">
                  <c:v>177534.26131722846</c:v>
                </c:pt>
                <c:pt idx="306">
                  <c:v>177646.72364438805</c:v>
                </c:pt>
                <c:pt idx="307">
                  <c:v>177758.82357951597</c:v>
                </c:pt>
                <c:pt idx="308">
                  <c:v>177870.56345061242</c:v>
                </c:pt>
                <c:pt idx="309">
                  <c:v>177981.9455633169</c:v>
                </c:pt>
                <c:pt idx="310">
                  <c:v>178092.9722011936</c:v>
                </c:pt>
                <c:pt idx="311">
                  <c:v>178203.64562601235</c:v>
                </c:pt>
                <c:pt idx="312">
                  <c:v>178313.96807802512</c:v>
                </c:pt>
                <c:pt idx="313">
                  <c:v>178423.94177623806</c:v>
                </c:pt>
                <c:pt idx="314">
                  <c:v>178533.56891867935</c:v>
                </c:pt>
                <c:pt idx="315">
                  <c:v>178642.85168266267</c:v>
                </c:pt>
                <c:pt idx="316">
                  <c:v>178751.7922250469</c:v>
                </c:pt>
                <c:pt idx="317">
                  <c:v>178860.39268249131</c:v>
                </c:pt>
                <c:pt idx="318">
                  <c:v>178968.65517170716</c:v>
                </c:pt>
                <c:pt idx="319">
                  <c:v>179076.58178970517</c:v>
                </c:pt>
                <c:pt idx="320">
                  <c:v>179184.17461403928</c:v>
                </c:pt>
                <c:pt idx="321">
                  <c:v>179291.43570304656</c:v>
                </c:pt>
                <c:pt idx="322">
                  <c:v>179398.36709608353</c:v>
                </c:pt>
                <c:pt idx="323">
                  <c:v>179504.97081375879</c:v>
                </c:pt>
                <c:pt idx="324">
                  <c:v>179611.24885816214</c:v>
                </c:pt>
                <c:pt idx="325">
                  <c:v>179717.20321309016</c:v>
                </c:pt>
                <c:pt idx="326">
                  <c:v>179822.83584426838</c:v>
                </c:pt>
                <c:pt idx="327">
                  <c:v>179928.14869957019</c:v>
                </c:pt>
                <c:pt idx="328">
                  <c:v>180033.14370923224</c:v>
                </c:pt>
                <c:pt idx="329">
                  <c:v>180137.82278606683</c:v>
                </c:pt>
                <c:pt idx="330">
                  <c:v>180242.1878256709</c:v>
                </c:pt>
                <c:pt idx="331">
                  <c:v>180346.24070663212</c:v>
                </c:pt>
                <c:pt idx="332">
                  <c:v>180449.98329073162</c:v>
                </c:pt>
                <c:pt idx="333">
                  <c:v>180553.41742314398</c:v>
                </c:pt>
                <c:pt idx="334">
                  <c:v>180656.54493263419</c:v>
                </c:pt>
                <c:pt idx="335">
                  <c:v>180759.36763175152</c:v>
                </c:pt>
                <c:pt idx="336">
                  <c:v>180861.88731702077</c:v>
                </c:pt>
                <c:pt idx="337">
                  <c:v>180964.10576913055</c:v>
                </c:pt>
                <c:pt idx="338">
                  <c:v>181066.02475311892</c:v>
                </c:pt>
                <c:pt idx="339">
                  <c:v>181167.6460185562</c:v>
                </c:pt>
                <c:pt idx="340">
                  <c:v>181268.97129972524</c:v>
                </c:pt>
                <c:pt idx="341">
                  <c:v>181370.00231579889</c:v>
                </c:pt>
                <c:pt idx="342">
                  <c:v>181470.7407710152</c:v>
                </c:pt>
                <c:pt idx="343">
                  <c:v>181571.18835484976</c:v>
                </c:pt>
                <c:pt idx="344">
                  <c:v>181671.34674218573</c:v>
                </c:pt>
                <c:pt idx="345">
                  <c:v>181771.2175934815</c:v>
                </c:pt>
                <c:pt idx="346">
                  <c:v>181870.8025549358</c:v>
                </c:pt>
                <c:pt idx="347">
                  <c:v>181970.10325865043</c:v>
                </c:pt>
                <c:pt idx="348">
                  <c:v>182069.12132279092</c:v>
                </c:pt>
                <c:pt idx="349">
                  <c:v>182167.85835174465</c:v>
                </c:pt>
                <c:pt idx="350">
                  <c:v>182266.31593627681</c:v>
                </c:pt>
                <c:pt idx="351">
                  <c:v>182364.49565368422</c:v>
                </c:pt>
                <c:pt idx="352">
                  <c:v>182462.39906794697</c:v>
                </c:pt>
                <c:pt idx="353">
                  <c:v>182560.02772987782</c:v>
                </c:pt>
                <c:pt idx="354">
                  <c:v>182657.38317726969</c:v>
                </c:pt>
                <c:pt idx="355">
                  <c:v>182754.46693504092</c:v>
                </c:pt>
                <c:pt idx="356">
                  <c:v>182851.28051537866</c:v>
                </c:pt>
                <c:pt idx="357">
                  <c:v>182947.82541788014</c:v>
                </c:pt>
                <c:pt idx="358">
                  <c:v>183044.10312969203</c:v>
                </c:pt>
                <c:pt idx="359">
                  <c:v>183140.11512564795</c:v>
                </c:pt>
              </c:numCache>
            </c:numRef>
          </c:yVal>
        </c:ser>
        <c:ser>
          <c:idx val="3"/>
          <c:order val="3"/>
          <c:tx>
            <c:strRef>
              <c:f>'Ornstein-Uhlenback Diffusion'!$L$3</c:f>
              <c:strCache>
                <c:ptCount val="1"/>
                <c:pt idx="0">
                  <c:v>Dec-14 Cumulative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'Ornstein-Uhlenback Diffusion'!$H$4:$H$363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'Ornstein-Uhlenback Diffusion'!$L$4:$L$363</c:f>
              <c:numCache>
                <c:formatCode>0.0</c:formatCode>
                <c:ptCount val="360"/>
                <c:pt idx="0">
                  <c:v>13275.400122948058</c:v>
                </c:pt>
                <c:pt idx="1">
                  <c:v>25089.724290289396</c:v>
                </c:pt>
                <c:pt idx="2">
                  <c:v>35603.776916827439</c:v>
                </c:pt>
                <c:pt idx="3">
                  <c:v>44960.664460102664</c:v>
                </c:pt>
                <c:pt idx="4">
                  <c:v>53287.743238129187</c:v>
                </c:pt>
                <c:pt idx="5">
                  <c:v>60698.352872450851</c:v>
                </c:pt>
                <c:pt idx="6">
                  <c:v>67293.358950358539</c:v>
                </c:pt>
                <c:pt idx="7">
                  <c:v>73162.525903398375</c:v>
                </c:pt>
                <c:pt idx="8">
                  <c:v>78385.738788379298</c:v>
                </c:pt>
                <c:pt idx="9">
                  <c:v>83034.090600504962</c:v>
                </c:pt>
                <c:pt idx="10">
                  <c:v>87170.84991801664</c:v>
                </c:pt>
                <c:pt idx="11">
                  <c:v>90852.322048929665</c:v>
                </c:pt>
                <c:pt idx="12">
                  <c:v>94128.61540090591</c:v>
                </c:pt>
                <c:pt idx="13">
                  <c:v>97044.323505299908</c:v>
                </c:pt>
                <c:pt idx="14">
                  <c:v>99639.131978387595</c:v>
                </c:pt>
                <c:pt idx="15">
                  <c:v>102052.83857282237</c:v>
                </c:pt>
                <c:pt idx="16">
                  <c:v>104341.69827444154</c:v>
                </c:pt>
                <c:pt idx="17">
                  <c:v>106517.99110548929</c:v>
                </c:pt>
                <c:pt idx="18">
                  <c:v>108592.27021008167</c:v>
                </c:pt>
                <c:pt idx="19">
                  <c:v>110573.67114581171</c:v>
                </c:pt>
                <c:pt idx="20">
                  <c:v>112470.15489858188</c:v>
                </c:pt>
                <c:pt idx="21">
                  <c:v>114288.70096288205</c:v>
                </c:pt>
                <c:pt idx="22">
                  <c:v>116035.46231411774</c:v>
                </c:pt>
                <c:pt idx="23">
                  <c:v>117715.89095581284</c:v>
                </c:pt>
                <c:pt idx="24">
                  <c:v>119334.84050086055</c:v>
                </c:pt>
                <c:pt idx="25">
                  <c:v>120896.6506502007</c:v>
                </c:pt>
                <c:pt idx="26">
                  <c:v>122405.21727172243</c:v>
                </c:pt>
                <c:pt idx="27">
                  <c:v>123864.05092769949</c:v>
                </c:pt>
                <c:pt idx="28">
                  <c:v>125276.32606274111</c:v>
                </c:pt>
                <c:pt idx="29">
                  <c:v>126644.92258535876</c:v>
                </c:pt>
                <c:pt idx="30">
                  <c:v>127972.46121229789</c:v>
                </c:pt>
                <c:pt idx="31">
                  <c:v>129261.33366563685</c:v>
                </c:pt>
                <c:pt idx="32">
                  <c:v>130513.72859671149</c:v>
                </c:pt>
                <c:pt idx="33">
                  <c:v>131731.65394252719</c:v>
                </c:pt>
                <c:pt idx="34">
                  <c:v>132916.95628800854</c:v>
                </c:pt>
                <c:pt idx="35">
                  <c:v>134071.33770273821</c:v>
                </c:pt>
                <c:pt idx="36">
                  <c:v>135196.37043743237</c:v>
                </c:pt>
                <c:pt idx="37">
                  <c:v>136293.50979853907</c:v>
                </c:pt>
                <c:pt idx="38">
                  <c:v>137364.10546542547</c:v>
                </c:pt>
                <c:pt idx="39">
                  <c:v>138409.41147088935</c:v>
                </c:pt>
                <c:pt idx="40">
                  <c:v>139430.59503007328</c:v>
                </c:pt>
                <c:pt idx="41">
                  <c:v>140428.74437363652</c:v>
                </c:pt>
                <c:pt idx="42">
                  <c:v>141404.87571697411</c:v>
                </c:pt>
                <c:pt idx="43">
                  <c:v>142359.93947736197</c:v>
                </c:pt>
                <c:pt idx="44">
                  <c:v>143294.82583436134</c:v>
                </c:pt>
                <c:pt idx="45">
                  <c:v>144210.369715009</c:v>
                </c:pt>
                <c:pt idx="46">
                  <c:v>145107.35527375166</c:v>
                </c:pt>
                <c:pt idx="47">
                  <c:v>145986.51992735371</c:v>
                </c:pt>
                <c:pt idx="48">
                  <c:v>146848.5579967947</c:v>
                </c:pt>
                <c:pt idx="49">
                  <c:v>147694.12400121451</c:v>
                </c:pt>
                <c:pt idx="50">
                  <c:v>148523.83564305145</c:v>
                </c:pt>
                <c:pt idx="51">
                  <c:v>149338.27651847422</c:v>
                </c:pt>
                <c:pt idx="52">
                  <c:v>150137.99858289538</c:v>
                </c:pt>
                <c:pt idx="53">
                  <c:v>150923.52439765225</c:v>
                </c:pt>
                <c:pt idx="54">
                  <c:v>151695.3491807564</c:v>
                </c:pt>
                <c:pt idx="55">
                  <c:v>152453.94268186446</c:v>
                </c:pt>
                <c:pt idx="56">
                  <c:v>153199.75089924599</c:v>
                </c:pt>
                <c:pt idx="57">
                  <c:v>153933.19765446096</c:v>
                </c:pt>
                <c:pt idx="58">
                  <c:v>154654.68603866702</c:v>
                </c:pt>
                <c:pt idx="59">
                  <c:v>155364.59974291254</c:v>
                </c:pt>
                <c:pt idx="60">
                  <c:v>156063.30428340682</c:v>
                </c:pt>
                <c:pt idx="61">
                  <c:v>156751.14813156181</c:v>
                </c:pt>
                <c:pt idx="62">
                  <c:v>157428.46375755116</c:v>
                </c:pt>
                <c:pt idx="63">
                  <c:v>158095.56859520901</c:v>
                </c:pt>
                <c:pt idx="64">
                  <c:v>158752.76593527789</c:v>
                </c:pt>
                <c:pt idx="65">
                  <c:v>159400.34575329698</c:v>
                </c:pt>
                <c:pt idx="66">
                  <c:v>160038.58547778695</c:v>
                </c:pt>
                <c:pt idx="67">
                  <c:v>160667.75070382445</c:v>
                </c:pt>
                <c:pt idx="68">
                  <c:v>161288.09585659974</c:v>
                </c:pt>
                <c:pt idx="69">
                  <c:v>161899.86480910625</c:v>
                </c:pt>
                <c:pt idx="70">
                  <c:v>162503.29145771495</c:v>
                </c:pt>
                <c:pt idx="71">
                  <c:v>163098.60025903294</c:v>
                </c:pt>
                <c:pt idx="72">
                  <c:v>163686.00673112989</c:v>
                </c:pt>
                <c:pt idx="73">
                  <c:v>164265.71792193301</c:v>
                </c:pt>
                <c:pt idx="74">
                  <c:v>164837.9328473378</c:v>
                </c:pt>
                <c:pt idx="75">
                  <c:v>165402.84290135445</c:v>
                </c:pt>
                <c:pt idx="76">
                  <c:v>165960.63224040449</c:v>
                </c:pt>
                <c:pt idx="77">
                  <c:v>166511.47814369874</c:v>
                </c:pt>
                <c:pt idx="78">
                  <c:v>167055.55135146069</c:v>
                </c:pt>
                <c:pt idx="79">
                  <c:v>167593.01638261013</c:v>
                </c:pt>
                <c:pt idx="80">
                  <c:v>168124.03183338579</c:v>
                </c:pt>
                <c:pt idx="81">
                  <c:v>168648.7506582629</c:v>
                </c:pt>
                <c:pt idx="82">
                  <c:v>169167.320434411</c:v>
                </c:pt>
                <c:pt idx="83">
                  <c:v>169679.88361083536</c:v>
                </c:pt>
                <c:pt idx="84">
                  <c:v>170186.57774325486</c:v>
                </c:pt>
                <c:pt idx="85">
                  <c:v>170687.53571568473</c:v>
                </c:pt>
                <c:pt idx="86">
                  <c:v>171182.88594961725</c:v>
                </c:pt>
                <c:pt idx="87">
                  <c:v>171672.75260162432</c:v>
                </c:pt>
                <c:pt idx="88">
                  <c:v>172157.25575014224</c:v>
                </c:pt>
                <c:pt idx="89">
                  <c:v>172636.51157214193</c:v>
                </c:pt>
                <c:pt idx="90">
                  <c:v>173110.63251033449</c:v>
                </c:pt>
                <c:pt idx="91">
                  <c:v>173579.72743151439</c:v>
                </c:pt>
                <c:pt idx="92">
                  <c:v>174043.90177659801</c:v>
                </c:pt>
                <c:pt idx="93">
                  <c:v>174503.25770287451</c:v>
                </c:pt>
                <c:pt idx="94">
                  <c:v>174957.89421894954</c:v>
                </c:pt>
                <c:pt idx="95">
                  <c:v>175407.90731282721</c:v>
                </c:pt>
                <c:pt idx="96">
                  <c:v>175853.39007354504</c:v>
                </c:pt>
                <c:pt idx="97">
                  <c:v>176294.43280674741</c:v>
                </c:pt>
                <c:pt idx="98">
                  <c:v>176731.12314455633</c:v>
                </c:pt>
                <c:pt idx="99">
                  <c:v>177163.54615007396</c:v>
                </c:pt>
                <c:pt idx="100">
                  <c:v>177591.78441682851</c:v>
                </c:pt>
                <c:pt idx="101">
                  <c:v>178015.91816345442</c:v>
                </c:pt>
                <c:pt idx="102">
                  <c:v>178436.02532387819</c:v>
                </c:pt>
                <c:pt idx="103">
                  <c:v>178852.18163326351</c:v>
                </c:pt>
                <c:pt idx="104">
                  <c:v>179264.46070995266</c:v>
                </c:pt>
                <c:pt idx="105">
                  <c:v>179672.93413362623</c:v>
                </c:pt>
                <c:pt idx="106">
                  <c:v>180077.67151988816</c:v>
                </c:pt>
                <c:pt idx="107">
                  <c:v>180478.74059147097</c:v>
                </c:pt>
                <c:pt idx="108">
                  <c:v>180876.20724624317</c:v>
                </c:pt>
                <c:pt idx="109">
                  <c:v>181270.1356221895</c:v>
                </c:pt>
                <c:pt idx="110">
                  <c:v>181660.58815952454</c:v>
                </c:pt>
                <c:pt idx="111">
                  <c:v>182047.62566008989</c:v>
                </c:pt>
                <c:pt idx="112">
                  <c:v>182431.30734417634</c:v>
                </c:pt>
                <c:pt idx="113">
                  <c:v>182811.69090490389</c:v>
                </c:pt>
                <c:pt idx="114">
                  <c:v>183188.83256028433</c:v>
                </c:pt>
                <c:pt idx="115">
                  <c:v>183562.78710308409</c:v>
                </c:pt>
                <c:pt idx="116">
                  <c:v>183933.60794859781</c:v>
                </c:pt>
                <c:pt idx="117">
                  <c:v>184301.34718043692</c:v>
                </c:pt>
                <c:pt idx="118">
                  <c:v>184666.05559443118</c:v>
                </c:pt>
                <c:pt idx="119">
                  <c:v>185027.78274073612</c:v>
                </c:pt>
                <c:pt idx="120">
                  <c:v>185386.57696423319</c:v>
                </c:pt>
                <c:pt idx="121">
                  <c:v>185742.48544330534</c:v>
                </c:pt>
                <c:pt idx="122">
                  <c:v>186095.55422706573</c:v>
                </c:pt>
                <c:pt idx="123">
                  <c:v>186445.82827111299</c:v>
                </c:pt>
                <c:pt idx="124">
                  <c:v>186793.3514718824</c:v>
                </c:pt>
                <c:pt idx="125">
                  <c:v>187138.16669965879</c:v>
                </c:pt>
                <c:pt idx="126">
                  <c:v>187480.31583031319</c:v>
                </c:pt>
                <c:pt idx="127">
                  <c:v>187819.83977582192</c:v>
                </c:pt>
                <c:pt idx="128">
                  <c:v>188156.77851362372</c:v>
                </c:pt>
                <c:pt idx="129">
                  <c:v>188491.17111486784</c:v>
                </c:pt>
                <c:pt idx="130">
                  <c:v>188823.05577160264</c:v>
                </c:pt>
                <c:pt idx="131">
                  <c:v>189152.46982295229</c:v>
                </c:pt>
                <c:pt idx="132">
                  <c:v>189479.44978032645</c:v>
                </c:pt>
                <c:pt idx="133">
                  <c:v>189804.0313517052</c:v>
                </c:pt>
                <c:pt idx="134">
                  <c:v>190126.24946503993</c:v>
                </c:pt>
                <c:pt idx="135">
                  <c:v>190446.13829080839</c:v>
                </c:pt>
                <c:pt idx="136">
                  <c:v>190763.73126376033</c:v>
                </c:pt>
                <c:pt idx="137">
                  <c:v>191079.06110388838</c:v>
                </c:pt>
                <c:pt idx="138">
                  <c:v>191392.15983665705</c:v>
                </c:pt>
                <c:pt idx="139">
                  <c:v>191703.05881252102</c:v>
                </c:pt>
                <c:pt idx="140">
                  <c:v>192011.78872576269</c:v>
                </c:pt>
                <c:pt idx="141">
                  <c:v>192318.37963267704</c:v>
                </c:pt>
                <c:pt idx="142">
                  <c:v>192622.86096913097</c:v>
                </c:pt>
                <c:pt idx="143">
                  <c:v>192925.26156752257</c:v>
                </c:pt>
                <c:pt idx="144">
                  <c:v>193225.6096731649</c:v>
                </c:pt>
                <c:pt idx="145">
                  <c:v>193523.93296011753</c:v>
                </c:pt>
                <c:pt idx="146">
                  <c:v>193820.25854648786</c:v>
                </c:pt>
                <c:pt idx="147">
                  <c:v>194114.6130092238</c:v>
                </c:pt>
                <c:pt idx="148">
                  <c:v>194407.02239841744</c:v>
                </c:pt>
                <c:pt idx="149">
                  <c:v>194697.51225113936</c:v>
                </c:pt>
                <c:pt idx="150">
                  <c:v>194986.10760482177</c:v>
                </c:pt>
                <c:pt idx="151">
                  <c:v>195272.83301020818</c:v>
                </c:pt>
                <c:pt idx="152">
                  <c:v>195557.7125438861</c:v>
                </c:pt>
                <c:pt idx="153">
                  <c:v>195840.76982041897</c:v>
                </c:pt>
                <c:pt idx="154">
                  <c:v>196122.02800409251</c:v>
                </c:pt>
                <c:pt idx="155">
                  <c:v>196401.50982029023</c:v>
                </c:pt>
                <c:pt idx="156">
                  <c:v>196679.23756651182</c:v>
                </c:pt>
                <c:pt idx="157">
                  <c:v>196955.233123048</c:v>
                </c:pt>
                <c:pt idx="158">
                  <c:v>197229.51796332467</c:v>
                </c:pt>
                <c:pt idx="159">
                  <c:v>197502.11316392818</c:v>
                </c:pt>
                <c:pt idx="160">
                  <c:v>197773.03941432392</c:v>
                </c:pt>
                <c:pt idx="161">
                  <c:v>198042.31702627911</c:v>
                </c:pt>
                <c:pt idx="162">
                  <c:v>198309.96594300072</c:v>
                </c:pt>
                <c:pt idx="163">
                  <c:v>198576.00574799854</c:v>
                </c:pt>
                <c:pt idx="164">
                  <c:v>198840.45567368364</c:v>
                </c:pt>
                <c:pt idx="165">
                  <c:v>199103.33460971119</c:v>
                </c:pt>
                <c:pt idx="166">
                  <c:v>199364.66111107718</c:v>
                </c:pt>
                <c:pt idx="167">
                  <c:v>199624.4534059772</c:v>
                </c:pt>
                <c:pt idx="168">
                  <c:v>199882.72940343618</c:v>
                </c:pt>
                <c:pt idx="169">
                  <c:v>200139.50670071648</c:v>
                </c:pt>
                <c:pt idx="170">
                  <c:v>200394.80259051247</c:v>
                </c:pt>
                <c:pt idx="171">
                  <c:v>200648.63406793869</c:v>
                </c:pt>
                <c:pt idx="172">
                  <c:v>200901.01783731877</c:v>
                </c:pt>
                <c:pt idx="173">
                  <c:v>201151.97031878174</c:v>
                </c:pt>
                <c:pt idx="174">
                  <c:v>201401.50765467255</c:v>
                </c:pt>
                <c:pt idx="175">
                  <c:v>201649.64571578265</c:v>
                </c:pt>
                <c:pt idx="176">
                  <c:v>201896.40010740701</c:v>
                </c:pt>
                <c:pt idx="177">
                  <c:v>202141.78617523311</c:v>
                </c:pt>
                <c:pt idx="178">
                  <c:v>202385.81901106751</c:v>
                </c:pt>
                <c:pt idx="179">
                  <c:v>202628.51345840556</c:v>
                </c:pt>
                <c:pt idx="180">
                  <c:v>202869.88411784903</c:v>
                </c:pt>
                <c:pt idx="181">
                  <c:v>203109.9453523769</c:v>
                </c:pt>
                <c:pt idx="182">
                  <c:v>203348.71129247386</c:v>
                </c:pt>
                <c:pt idx="183">
                  <c:v>203586.19584112128</c:v>
                </c:pt>
                <c:pt idx="184">
                  <c:v>203822.41267865495</c:v>
                </c:pt>
                <c:pt idx="185">
                  <c:v>204057.37526749374</c:v>
                </c:pt>
                <c:pt idx="186">
                  <c:v>204291.09685674359</c:v>
                </c:pt>
                <c:pt idx="187">
                  <c:v>204523.59048668039</c:v>
                </c:pt>
                <c:pt idx="188">
                  <c:v>204754.86899311579</c:v>
                </c:pt>
                <c:pt idx="189">
                  <c:v>204984.94501164943</c:v>
                </c:pt>
                <c:pt idx="190">
                  <c:v>205213.83098181133</c:v>
                </c:pt>
                <c:pt idx="191">
                  <c:v>205441.53915109762</c:v>
                </c:pt>
                <c:pt idx="192">
                  <c:v>205668.08157890293</c:v>
                </c:pt>
                <c:pt idx="193">
                  <c:v>205893.4701403527</c:v>
                </c:pt>
                <c:pt idx="194">
                  <c:v>206117.71653003836</c:v>
                </c:pt>
                <c:pt idx="195">
                  <c:v>206340.83226565839</c:v>
                </c:pt>
                <c:pt idx="196">
                  <c:v>206562.82869156793</c:v>
                </c:pt>
                <c:pt idx="197">
                  <c:v>206783.71698224</c:v>
                </c:pt>
                <c:pt idx="198">
                  <c:v>207003.50814564052</c:v>
                </c:pt>
                <c:pt idx="199">
                  <c:v>207222.2130265201</c:v>
                </c:pt>
                <c:pt idx="200">
                  <c:v>207439.84230962486</c:v>
                </c:pt>
                <c:pt idx="201">
                  <c:v>207656.40652282862</c:v>
                </c:pt>
                <c:pt idx="202">
                  <c:v>207871.91604018887</c:v>
                </c:pt>
                <c:pt idx="203">
                  <c:v>208086.38108492864</c:v>
                </c:pt>
                <c:pt idx="204">
                  <c:v>208299.81173234651</c:v>
                </c:pt>
                <c:pt idx="205">
                  <c:v>208512.21791265678</c:v>
                </c:pt>
                <c:pt idx="206">
                  <c:v>208723.60941376173</c:v>
                </c:pt>
                <c:pt idx="207">
                  <c:v>208933.99588395809</c:v>
                </c:pt>
                <c:pt idx="208">
                  <c:v>209143.3868345794</c:v>
                </c:pt>
                <c:pt idx="209">
                  <c:v>209351.79164257614</c:v>
                </c:pt>
                <c:pt idx="210">
                  <c:v>209559.21955303536</c:v>
                </c:pt>
                <c:pt idx="211">
                  <c:v>209765.67968164175</c:v>
                </c:pt>
                <c:pt idx="212">
                  <c:v>209971.18101708125</c:v>
                </c:pt>
                <c:pt idx="213">
                  <c:v>210175.73242338927</c:v>
                </c:pt>
                <c:pt idx="214">
                  <c:v>210379.34264224497</c:v>
                </c:pt>
                <c:pt idx="215">
                  <c:v>210582.02029521277</c:v>
                </c:pt>
                <c:pt idx="216">
                  <c:v>210783.77388593301</c:v>
                </c:pt>
                <c:pt idx="217">
                  <c:v>210984.61180226269</c:v>
                </c:pt>
                <c:pt idx="218">
                  <c:v>211184.54231836798</c:v>
                </c:pt>
                <c:pt idx="219">
                  <c:v>211383.57359676965</c:v>
                </c:pt>
                <c:pt idx="220">
                  <c:v>211581.71369034264</c:v>
                </c:pt>
                <c:pt idx="221">
                  <c:v>211778.9705442712</c:v>
                </c:pt>
                <c:pt idx="222">
                  <c:v>211975.35199796042</c:v>
                </c:pt>
                <c:pt idx="223">
                  <c:v>212170.86578690581</c:v>
                </c:pt>
                <c:pt idx="224">
                  <c:v>212365.51954452152</c:v>
                </c:pt>
                <c:pt idx="225">
                  <c:v>212559.32080392868</c:v>
                </c:pt>
                <c:pt idx="226">
                  <c:v>212752.27699970471</c:v>
                </c:pt>
                <c:pt idx="227">
                  <c:v>212944.3954695946</c:v>
                </c:pt>
                <c:pt idx="228">
                  <c:v>213135.68345618524</c:v>
                </c:pt>
                <c:pt idx="229">
                  <c:v>213326.1481085438</c:v>
                </c:pt>
                <c:pt idx="230">
                  <c:v>213515.79648382083</c:v>
                </c:pt>
                <c:pt idx="231">
                  <c:v>213704.63554881929</c:v>
                </c:pt>
                <c:pt idx="232">
                  <c:v>213892.67218153022</c:v>
                </c:pt>
                <c:pt idx="233">
                  <c:v>214079.91317263586</c:v>
                </c:pt>
                <c:pt idx="234">
                  <c:v>214266.36522698123</c:v>
                </c:pt>
                <c:pt idx="235">
                  <c:v>214452.03496501467</c:v>
                </c:pt>
                <c:pt idx="236">
                  <c:v>214636.92892419838</c:v>
                </c:pt>
                <c:pt idx="237">
                  <c:v>214821.05356038967</c:v>
                </c:pt>
                <c:pt idx="238">
                  <c:v>215004.41524919341</c:v>
                </c:pt>
                <c:pt idx="239">
                  <c:v>215187.02028728681</c:v>
                </c:pt>
                <c:pt idx="240">
                  <c:v>215368.87489371683</c:v>
                </c:pt>
                <c:pt idx="241">
                  <c:v>215549.98521117101</c:v>
                </c:pt>
                <c:pt idx="242">
                  <c:v>215730.35730722253</c:v>
                </c:pt>
                <c:pt idx="243">
                  <c:v>215909.99717554988</c:v>
                </c:pt>
                <c:pt idx="244">
                  <c:v>216088.91073713198</c:v>
                </c:pt>
                <c:pt idx="245">
                  <c:v>216267.10384141913</c:v>
                </c:pt>
                <c:pt idx="246">
                  <c:v>216444.58226748049</c:v>
                </c:pt>
                <c:pt idx="247">
                  <c:v>216621.35172512886</c:v>
                </c:pt>
                <c:pt idx="248">
                  <c:v>216797.41785602263</c:v>
                </c:pt>
                <c:pt idx="249">
                  <c:v>216972.78623474643</c:v>
                </c:pt>
                <c:pt idx="250">
                  <c:v>217147.46236986999</c:v>
                </c:pt>
                <c:pt idx="251">
                  <c:v>217321.45170498651</c:v>
                </c:pt>
                <c:pt idx="252">
                  <c:v>217494.75961973052</c:v>
                </c:pt>
                <c:pt idx="253">
                  <c:v>217667.39143077593</c:v>
                </c:pt>
                <c:pt idx="254">
                  <c:v>217839.35239281468</c:v>
                </c:pt>
                <c:pt idx="255">
                  <c:v>218010.6476995165</c:v>
                </c:pt>
                <c:pt idx="256">
                  <c:v>218181.28248447011</c:v>
                </c:pt>
                <c:pt idx="257">
                  <c:v>218351.26182210637</c:v>
                </c:pt>
                <c:pt idx="258">
                  <c:v>218520.59072860371</c:v>
                </c:pt>
                <c:pt idx="259">
                  <c:v>218689.27416277642</c:v>
                </c:pt>
                <c:pt idx="260">
                  <c:v>218857.31702694594</c:v>
                </c:pt>
                <c:pt idx="261">
                  <c:v>219024.72416779576</c:v>
                </c:pt>
                <c:pt idx="262">
                  <c:v>219191.50037721024</c:v>
                </c:pt>
                <c:pt idx="263">
                  <c:v>219357.65039309749</c:v>
                </c:pt>
                <c:pt idx="264">
                  <c:v>219523.17890019712</c:v>
                </c:pt>
                <c:pt idx="265">
                  <c:v>219688.09053087278</c:v>
                </c:pt>
                <c:pt idx="266">
                  <c:v>219852.38986589</c:v>
                </c:pt>
                <c:pt idx="267">
                  <c:v>220016.08143517966</c:v>
                </c:pt>
                <c:pt idx="268">
                  <c:v>220179.16971858742</c:v>
                </c:pt>
                <c:pt idx="269">
                  <c:v>220341.65914660934</c:v>
                </c:pt>
                <c:pt idx="270">
                  <c:v>220503.5541011141</c:v>
                </c:pt>
                <c:pt idx="271">
                  <c:v>220664.85891605204</c:v>
                </c:pt>
                <c:pt idx="272">
                  <c:v>220825.57787815121</c:v>
                </c:pt>
                <c:pt idx="273">
                  <c:v>220985.71522760103</c:v>
                </c:pt>
                <c:pt idx="274">
                  <c:v>221145.27515872353</c:v>
                </c:pt>
                <c:pt idx="275">
                  <c:v>221304.26182063241</c:v>
                </c:pt>
                <c:pt idx="276">
                  <c:v>221462.67931788051</c:v>
                </c:pt>
                <c:pt idx="277">
                  <c:v>221620.53171109562</c:v>
                </c:pt>
                <c:pt idx="278">
                  <c:v>221777.823017605</c:v>
                </c:pt>
                <c:pt idx="279">
                  <c:v>221934.55721204882</c:v>
                </c:pt>
                <c:pt idx="280">
                  <c:v>222090.73822698282</c:v>
                </c:pt>
                <c:pt idx="281">
                  <c:v>222246.36995347042</c:v>
                </c:pt>
                <c:pt idx="282">
                  <c:v>222401.45624166424</c:v>
                </c:pt>
                <c:pt idx="283">
                  <c:v>222556.00090137776</c:v>
                </c:pt>
                <c:pt idx="284">
                  <c:v>222710.00770264681</c:v>
                </c:pt>
                <c:pt idx="285">
                  <c:v>222863.4803762814</c:v>
                </c:pt>
                <c:pt idx="286">
                  <c:v>223016.42261440802</c:v>
                </c:pt>
                <c:pt idx="287">
                  <c:v>223168.83807100262</c:v>
                </c:pt>
                <c:pt idx="288">
                  <c:v>223320.73036241441</c:v>
                </c:pt>
                <c:pt idx="289">
                  <c:v>223472.10306788067</c:v>
                </c:pt>
                <c:pt idx="290">
                  <c:v>223622.95973003283</c:v>
                </c:pt>
                <c:pt idx="291">
                  <c:v>223773.30385539401</c:v>
                </c:pt>
                <c:pt idx="292">
                  <c:v>223923.13891486794</c:v>
                </c:pt>
                <c:pt idx="293">
                  <c:v>224072.46834421993</c:v>
                </c:pt>
                <c:pt idx="294">
                  <c:v>224221.29554454942</c:v>
                </c:pt>
                <c:pt idx="295">
                  <c:v>224369.62388275491</c:v>
                </c:pt>
                <c:pt idx="296">
                  <c:v>224517.4566919909</c:v>
                </c:pt>
                <c:pt idx="297">
                  <c:v>224664.79727211731</c:v>
                </c:pt>
                <c:pt idx="298">
                  <c:v>224811.64889014154</c:v>
                </c:pt>
                <c:pt idx="299">
                  <c:v>224958.01478065303</c:v>
                </c:pt>
                <c:pt idx="300">
                  <c:v>225103.89814625072</c:v>
                </c:pt>
                <c:pt idx="301">
                  <c:v>225249.30215796366</c:v>
                </c:pt>
                <c:pt idx="302">
                  <c:v>225394.22995566443</c:v>
                </c:pt>
                <c:pt idx="303">
                  <c:v>225538.68464847608</c:v>
                </c:pt>
                <c:pt idx="304">
                  <c:v>225682.6693151723</c:v>
                </c:pt>
                <c:pt idx="305">
                  <c:v>225826.18700457111</c:v>
                </c:pt>
                <c:pt idx="306">
                  <c:v>225969.2407359223</c:v>
                </c:pt>
                <c:pt idx="307">
                  <c:v>226111.83349928848</c:v>
                </c:pt>
                <c:pt idx="308">
                  <c:v>226253.96825592007</c:v>
                </c:pt>
                <c:pt idx="309">
                  <c:v>226395.64793862434</c:v>
                </c:pt>
                <c:pt idx="310">
                  <c:v>226536.8754521285</c:v>
                </c:pt>
                <c:pt idx="311">
                  <c:v>226677.65367343699</c:v>
                </c:pt>
                <c:pt idx="312">
                  <c:v>226817.9854521832</c:v>
                </c:pt>
                <c:pt idx="313">
                  <c:v>226957.87361097551</c:v>
                </c:pt>
                <c:pt idx="314">
                  <c:v>227097.32094573803</c:v>
                </c:pt>
                <c:pt idx="315">
                  <c:v>227236.3302260458</c:v>
                </c:pt>
                <c:pt idx="316">
                  <c:v>227374.9041954549</c:v>
                </c:pt>
                <c:pt idx="317">
                  <c:v>227513.04557182733</c:v>
                </c:pt>
                <c:pt idx="318">
                  <c:v>227650.7570476509</c:v>
                </c:pt>
                <c:pt idx="319">
                  <c:v>227788.04129035401</c:v>
                </c:pt>
                <c:pt idx="320">
                  <c:v>227924.90094261579</c:v>
                </c:pt>
                <c:pt idx="321">
                  <c:v>228061.3386226712</c:v>
                </c:pt>
                <c:pt idx="322">
                  <c:v>228197.3569246117</c:v>
                </c:pt>
                <c:pt idx="323">
                  <c:v>228332.95841868105</c:v>
                </c:pt>
                <c:pt idx="324">
                  <c:v>228468.14565156691</c:v>
                </c:pt>
                <c:pt idx="325">
                  <c:v>228602.92114668764</c:v>
                </c:pt>
                <c:pt idx="326">
                  <c:v>228737.28740447501</c:v>
                </c:pt>
                <c:pt idx="327">
                  <c:v>228871.24690265252</c:v>
                </c:pt>
                <c:pt idx="328">
                  <c:v>229004.80209650958</c:v>
                </c:pt>
                <c:pt idx="329">
                  <c:v>229137.95541917149</c:v>
                </c:pt>
                <c:pt idx="330">
                  <c:v>229270.70928186539</c:v>
                </c:pt>
                <c:pt idx="331">
                  <c:v>229403.06607418237</c:v>
                </c:pt>
                <c:pt idx="332">
                  <c:v>229535.02816433535</c:v>
                </c:pt>
                <c:pt idx="333">
                  <c:v>229666.59789941355</c:v>
                </c:pt>
                <c:pt idx="334">
                  <c:v>229797.77760563284</c:v>
                </c:pt>
                <c:pt idx="335">
                  <c:v>229928.5695885825</c:v>
                </c:pt>
                <c:pt idx="336">
                  <c:v>230058.97613346847</c:v>
                </c:pt>
                <c:pt idx="337">
                  <c:v>230188.99950535281</c:v>
                </c:pt>
                <c:pt idx="338">
                  <c:v>230318.64194938983</c:v>
                </c:pt>
                <c:pt idx="339">
                  <c:v>230447.9056910587</c:v>
                </c:pt>
                <c:pt idx="340">
                  <c:v>230576.79293639259</c:v>
                </c:pt>
                <c:pt idx="341">
                  <c:v>230705.30587220471</c:v>
                </c:pt>
                <c:pt idx="342">
                  <c:v>230833.4466663108</c:v>
                </c:pt>
                <c:pt idx="343">
                  <c:v>230961.21746774865</c:v>
                </c:pt>
                <c:pt idx="344">
                  <c:v>231088.62040699425</c:v>
                </c:pt>
                <c:pt idx="345">
                  <c:v>231215.65759617503</c:v>
                </c:pt>
                <c:pt idx="346">
                  <c:v>231342.33112927992</c:v>
                </c:pt>
                <c:pt idx="347">
                  <c:v>231468.64308236641</c:v>
                </c:pt>
                <c:pt idx="348">
                  <c:v>231594.5955137648</c:v>
                </c:pt>
                <c:pt idx="349">
                  <c:v>231720.19046427938</c:v>
                </c:pt>
                <c:pt idx="350">
                  <c:v>231845.42995738683</c:v>
                </c:pt>
                <c:pt idx="351">
                  <c:v>231970.31599943191</c:v>
                </c:pt>
                <c:pt idx="352">
                  <c:v>232094.85057982019</c:v>
                </c:pt>
                <c:pt idx="353">
                  <c:v>232219.03567120832</c:v>
                </c:pt>
                <c:pt idx="354">
                  <c:v>232342.87322969144</c:v>
                </c:pt>
                <c:pt idx="355">
                  <c:v>232466.36519498809</c:v>
                </c:pt>
                <c:pt idx="356">
                  <c:v>232589.51349062251</c:v>
                </c:pt>
                <c:pt idx="357">
                  <c:v>232712.32002410438</c:v>
                </c:pt>
                <c:pt idx="358">
                  <c:v>232834.78668710616</c:v>
                </c:pt>
                <c:pt idx="359">
                  <c:v>232956.91535563782</c:v>
                </c:pt>
              </c:numCache>
            </c:numRef>
          </c:yVal>
        </c:ser>
        <c:ser>
          <c:idx val="4"/>
          <c:order val="4"/>
          <c:tx>
            <c:strRef>
              <c:f>'Ornstein-Uhlenback Diffusion'!$M$3</c:f>
              <c:strCache>
                <c:ptCount val="1"/>
                <c:pt idx="0">
                  <c:v>Dec-16 Cumulative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'Ornstein-Uhlenback Diffusion'!$H$4:$H$363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'Ornstein-Uhlenback Diffusion'!$M$4:$M$363</c:f>
              <c:numCache>
                <c:formatCode>0.0</c:formatCode>
                <c:ptCount val="360"/>
                <c:pt idx="0">
                  <c:v>11770.68012232139</c:v>
                </c:pt>
                <c:pt idx="1">
                  <c:v>22245.892119495024</c:v>
                </c:pt>
                <c:pt idx="2">
                  <c:v>31568.213790410478</c:v>
                </c:pt>
                <c:pt idx="3">
                  <c:v>39864.530978021416</c:v>
                </c:pt>
                <c:pt idx="4">
                  <c:v>47247.764608779573</c:v>
                </c:pt>
                <c:pt idx="5">
                  <c:v>53818.407656005686</c:v>
                </c:pt>
                <c:pt idx="6">
                  <c:v>59665.892946760003</c:v>
                </c:pt>
                <c:pt idx="7">
                  <c:v>64869.810429391044</c:v>
                </c:pt>
                <c:pt idx="8">
                  <c:v>69500.990469955053</c:v>
                </c:pt>
                <c:pt idx="9">
                  <c:v>73622.467922221389</c:v>
                </c:pt>
                <c:pt idx="10">
                  <c:v>77290.340093192121</c:v>
                </c:pt>
                <c:pt idx="11">
                  <c:v>80554.530281878891</c:v>
                </c:pt>
                <c:pt idx="12">
                  <c:v>83459.467283840728</c:v>
                </c:pt>
                <c:pt idx="13">
                  <c:v>86044.690110198775</c:v>
                </c:pt>
                <c:pt idx="14">
                  <c:v>88345.386151940518</c:v>
                </c:pt>
                <c:pt idx="15">
                  <c:v>90485.507577216267</c:v>
                </c:pt>
                <c:pt idx="16">
                  <c:v>92514.933066701895</c:v>
                </c:pt>
                <c:pt idx="17">
                  <c:v>94444.550745229208</c:v>
                </c:pt>
                <c:pt idx="18">
                  <c:v>96283.717595075548</c:v>
                </c:pt>
                <c:pt idx="19">
                  <c:v>98040.533690451164</c:v>
                </c:pt>
                <c:pt idx="20">
                  <c:v>99722.05766745354</c:v>
                </c:pt>
                <c:pt idx="21">
                  <c:v>101334.47791937362</c:v>
                </c:pt>
                <c:pt idx="22">
                  <c:v>102883.25000345476</c:v>
                </c:pt>
                <c:pt idx="23">
                  <c:v>104373.20795776065</c:v>
                </c:pt>
                <c:pt idx="24">
                  <c:v>105808.65525520169</c:v>
                </c:pt>
                <c:pt idx="25">
                  <c:v>107193.43970685071</c:v>
                </c:pt>
                <c:pt idx="26">
                  <c:v>108531.01559764805</c:v>
                </c:pt>
                <c:pt idx="27">
                  <c:v>109824.49557995757</c:v>
                </c:pt>
                <c:pt idx="28">
                  <c:v>111076.69428623593</c:v>
                </c:pt>
                <c:pt idx="29">
                  <c:v>112290.16519747475</c:v>
                </c:pt>
                <c:pt idx="30">
                  <c:v>113467.23198137642</c:v>
                </c:pt>
                <c:pt idx="31">
                  <c:v>114610.01526671783</c:v>
                </c:pt>
                <c:pt idx="32">
                  <c:v>115720.45562888921</c:v>
                </c:pt>
                <c:pt idx="33">
                  <c:v>116800.33341228522</c:v>
                </c:pt>
                <c:pt idx="34">
                  <c:v>117851.2858979117</c:v>
                </c:pt>
                <c:pt idx="35">
                  <c:v>118874.82223173924</c:v>
                </c:pt>
                <c:pt idx="36">
                  <c:v>119872.33645538471</c:v>
                </c:pt>
                <c:pt idx="37">
                  <c:v>120845.11892141914</c:v>
                </c:pt>
                <c:pt idx="38">
                  <c:v>121794.36632779145</c:v>
                </c:pt>
                <c:pt idx="39">
                  <c:v>122721.19056708409</c:v>
                </c:pt>
                <c:pt idx="40">
                  <c:v>123626.62655470075</c:v>
                </c:pt>
                <c:pt idx="41">
                  <c:v>124511.63917417568</c:v>
                </c:pt>
                <c:pt idx="42">
                  <c:v>125377.12945645631</c:v>
                </c:pt>
                <c:pt idx="43">
                  <c:v>126223.94009235679</c:v>
                </c:pt>
                <c:pt idx="44">
                  <c:v>127052.86036271007</c:v>
                </c:pt>
                <c:pt idx="45">
                  <c:v>127864.63055850432</c:v>
                </c:pt>
                <c:pt idx="46">
                  <c:v>128659.94595303247</c:v>
                </c:pt>
                <c:pt idx="47">
                  <c:v>129439.46037945741</c:v>
                </c:pt>
                <c:pt idx="48">
                  <c:v>130203.78945991304</c:v>
                </c:pt>
                <c:pt idx="49">
                  <c:v>130953.51352609244</c:v>
                </c:pt>
                <c:pt idx="50">
                  <c:v>131689.18026603098</c:v>
                </c:pt>
                <c:pt idx="51">
                  <c:v>132411.30712732035</c:v>
                </c:pt>
                <c:pt idx="52">
                  <c:v>133120.38350316472</c:v>
                </c:pt>
                <c:pt idx="53">
                  <c:v>133816.87272440831</c:v>
                </c:pt>
                <c:pt idx="54">
                  <c:v>134501.2138778395</c:v>
                </c:pt>
                <c:pt idx="55">
                  <c:v>135173.82346864045</c:v>
                </c:pt>
                <c:pt idx="56">
                  <c:v>135835.0969427425</c:v>
                </c:pt>
                <c:pt idx="57">
                  <c:v>136485.41008301967</c:v>
                </c:pt>
                <c:pt idx="58">
                  <c:v>137125.12029166188</c:v>
                </c:pt>
                <c:pt idx="59">
                  <c:v>137754.56776968416</c:v>
                </c:pt>
                <c:pt idx="60">
                  <c:v>138374.07660331661</c:v>
                </c:pt>
                <c:pt idx="61">
                  <c:v>138983.95576595995</c:v>
                </c:pt>
                <c:pt idx="62">
                  <c:v>139584.50004346081</c:v>
                </c:pt>
                <c:pt idx="63">
                  <c:v>140175.99088964253</c:v>
                </c:pt>
                <c:pt idx="64">
                  <c:v>140758.69721830671</c:v>
                </c:pt>
                <c:pt idx="65">
                  <c:v>141332.87613728314</c:v>
                </c:pt>
                <c:pt idx="66">
                  <c:v>141898.77362954355</c:v>
                </c:pt>
                <c:pt idx="67">
                  <c:v>142456.62518589504</c:v>
                </c:pt>
                <c:pt idx="68">
                  <c:v>143006.65639332571</c:v>
                </c:pt>
                <c:pt idx="69">
                  <c:v>143549.08348268131</c:v>
                </c:pt>
                <c:pt idx="70">
                  <c:v>144084.11383900023</c:v>
                </c:pt>
                <c:pt idx="71">
                  <c:v>144611.94647752115</c:v>
                </c:pt>
                <c:pt idx="72">
                  <c:v>145132.77248809711</c:v>
                </c:pt>
                <c:pt idx="73">
                  <c:v>145646.77545049958</c:v>
                </c:pt>
                <c:pt idx="74">
                  <c:v>146154.13182287099</c:v>
                </c:pt>
                <c:pt idx="75">
                  <c:v>146655.01130538233</c:v>
                </c:pt>
                <c:pt idx="76">
                  <c:v>147149.57718097128</c:v>
                </c:pt>
                <c:pt idx="77">
                  <c:v>147637.98663487239</c:v>
                </c:pt>
                <c:pt idx="78">
                  <c:v>148120.3910545042</c:v>
                </c:pt>
                <c:pt idx="79">
                  <c:v>148596.93631114456</c:v>
                </c:pt>
                <c:pt idx="80">
                  <c:v>149067.76302470523</c:v>
                </c:pt>
                <c:pt idx="81">
                  <c:v>149533.00681280866</c:v>
                </c:pt>
                <c:pt idx="82">
                  <c:v>149992.79852527025</c:v>
                </c:pt>
                <c:pt idx="83">
                  <c:v>150447.26446500063</c:v>
                </c:pt>
                <c:pt idx="84">
                  <c:v>150896.52659626081</c:v>
                </c:pt>
                <c:pt idx="85">
                  <c:v>151340.70274112935</c:v>
                </c:pt>
                <c:pt idx="86">
                  <c:v>151779.90676497325</c:v>
                </c:pt>
                <c:pt idx="87">
                  <c:v>152214.24875165283</c:v>
                </c:pt>
                <c:pt idx="88">
                  <c:v>152643.83516913519</c:v>
                </c:pt>
                <c:pt idx="89">
                  <c:v>153068.7690261394</c:v>
                </c:pt>
                <c:pt idx="90">
                  <c:v>153489.15002038999</c:v>
                </c:pt>
                <c:pt idx="91">
                  <c:v>153905.0746790125</c:v>
                </c:pt>
                <c:pt idx="92">
                  <c:v>154316.63649156553</c:v>
                </c:pt>
                <c:pt idx="93">
                  <c:v>154723.92603616818</c:v>
                </c:pt>
                <c:pt idx="94">
                  <c:v>155127.03109914821</c:v>
                </c:pt>
                <c:pt idx="95">
                  <c:v>155526.03678860641</c:v>
                </c:pt>
                <c:pt idx="96">
                  <c:v>155921.02564226469</c:v>
                </c:pt>
                <c:pt idx="97">
                  <c:v>156312.07772993966</c:v>
                </c:pt>
                <c:pt idx="98">
                  <c:v>156699.27075095993</c:v>
                </c:pt>
                <c:pt idx="99">
                  <c:v>157082.68012682366</c:v>
                </c:pt>
                <c:pt idx="100">
                  <c:v>157462.37908937258</c:v>
                </c:pt>
                <c:pt idx="101">
                  <c:v>157838.43876474054</c:v>
                </c:pt>
                <c:pt idx="102">
                  <c:v>158210.92825331702</c:v>
                </c:pt>
                <c:pt idx="103">
                  <c:v>158579.91470595077</c:v>
                </c:pt>
                <c:pt idx="104">
                  <c:v>158945.46339660345</c:v>
                </c:pt>
                <c:pt idx="105">
                  <c:v>159307.63779165011</c:v>
                </c:pt>
                <c:pt idx="106">
                  <c:v>159666.49961601038</c:v>
                </c:pt>
                <c:pt idx="107">
                  <c:v>160022.10891628277</c:v>
                </c:pt>
                <c:pt idx="108">
                  <c:v>160374.52412104374</c:v>
                </c:pt>
                <c:pt idx="109">
                  <c:v>160723.80209846262</c:v>
                </c:pt>
                <c:pt idx="110">
                  <c:v>161069.99821137488</c:v>
                </c:pt>
                <c:pt idx="111">
                  <c:v>161413.16636994679</c:v>
                </c:pt>
                <c:pt idx="112">
                  <c:v>161753.35908205708</c:v>
                </c:pt>
                <c:pt idx="113">
                  <c:v>162090.62750151314</c:v>
                </c:pt>
                <c:pt idx="114">
                  <c:v>162425.02147421247</c:v>
                </c:pt>
                <c:pt idx="115">
                  <c:v>162756.58958235377</c:v>
                </c:pt>
                <c:pt idx="116">
                  <c:v>163085.37918679559</c:v>
                </c:pt>
                <c:pt idx="117">
                  <c:v>163411.43646765477</c:v>
                </c:pt>
                <c:pt idx="118">
                  <c:v>163734.80646323215</c:v>
                </c:pt>
                <c:pt idx="119">
                  <c:v>164055.53310734703</c:v>
                </c:pt>
                <c:pt idx="120">
                  <c:v>164373.65926515829</c:v>
                </c:pt>
                <c:pt idx="121">
                  <c:v>164689.22676754481</c:v>
                </c:pt>
                <c:pt idx="122">
                  <c:v>165002.2764441144</c:v>
                </c:pt>
                <c:pt idx="123">
                  <c:v>165312.84815490639</c:v>
                </c:pt>
                <c:pt idx="124">
                  <c:v>165620.98082084922</c:v>
                </c:pt>
                <c:pt idx="125">
                  <c:v>165926.71245303148</c:v>
                </c:pt>
                <c:pt idx="126">
                  <c:v>166230.08018084118</c:v>
                </c:pt>
                <c:pt idx="127">
                  <c:v>166531.12027902575</c:v>
                </c:pt>
                <c:pt idx="128">
                  <c:v>166829.8681937216</c:v>
                </c:pt>
                <c:pt idx="129">
                  <c:v>167126.35856750037</c:v>
                </c:pt>
                <c:pt idx="130">
                  <c:v>167420.62526347578</c:v>
                </c:pt>
                <c:pt idx="131">
                  <c:v>167712.70138851341</c:v>
                </c:pt>
                <c:pt idx="132">
                  <c:v>168002.61931558279</c:v>
                </c:pt>
                <c:pt idx="133">
                  <c:v>168290.4107052898</c:v>
                </c:pt>
                <c:pt idx="134">
                  <c:v>168576.10652662517</c:v>
                </c:pt>
                <c:pt idx="135">
                  <c:v>168859.73707696292</c:v>
                </c:pt>
                <c:pt idx="136">
                  <c:v>169141.3320013413</c:v>
                </c:pt>
                <c:pt idx="137">
                  <c:v>169420.92031105666</c:v>
                </c:pt>
                <c:pt idx="138">
                  <c:v>169698.53040159951</c:v>
                </c:pt>
                <c:pt idx="139">
                  <c:v>169974.19006996055</c:v>
                </c:pt>
                <c:pt idx="140">
                  <c:v>170247.92653133304</c:v>
                </c:pt>
                <c:pt idx="141">
                  <c:v>170519.76643523644</c:v>
                </c:pt>
                <c:pt idx="142">
                  <c:v>170789.73588108545</c:v>
                </c:pt>
                <c:pt idx="143">
                  <c:v>171057.86043322706</c:v>
                </c:pt>
                <c:pt idx="144">
                  <c:v>171324.16513546725</c:v>
                </c:pt>
                <c:pt idx="145">
                  <c:v>171588.67452510807</c:v>
                </c:pt>
                <c:pt idx="146">
                  <c:v>171851.41264651468</c:v>
                </c:pt>
                <c:pt idx="147">
                  <c:v>172112.40306423124</c:v>
                </c:pt>
                <c:pt idx="148">
                  <c:v>172371.66887566334</c:v>
                </c:pt>
                <c:pt idx="149">
                  <c:v>172629.23272334423</c:v>
                </c:pt>
                <c:pt idx="150">
                  <c:v>172885.11680680112</c:v>
                </c:pt>
                <c:pt idx="151">
                  <c:v>173139.3428940369</c:v>
                </c:pt>
                <c:pt idx="152">
                  <c:v>173391.93233264241</c:v>
                </c:pt>
                <c:pt idx="153">
                  <c:v>173642.90606055321</c:v>
                </c:pt>
                <c:pt idx="154">
                  <c:v>173892.28461646457</c:v>
                </c:pt>
                <c:pt idx="155">
                  <c:v>174140.08814991754</c:v>
                </c:pt>
                <c:pt idx="156">
                  <c:v>174386.33643106851</c:v>
                </c:pt>
                <c:pt idx="157">
                  <c:v>174631.04886015409</c:v>
                </c:pt>
                <c:pt idx="158">
                  <c:v>174874.24447666269</c:v>
                </c:pt>
                <c:pt idx="159">
                  <c:v>175115.9419682236</c:v>
                </c:pt>
                <c:pt idx="160">
                  <c:v>175356.15967922393</c:v>
                </c:pt>
                <c:pt idx="161">
                  <c:v>175594.91561916342</c:v>
                </c:pt>
                <c:pt idx="162">
                  <c:v>175832.22747075651</c:v>
                </c:pt>
                <c:pt idx="163">
                  <c:v>176068.1125977909</c:v>
                </c:pt>
                <c:pt idx="164">
                  <c:v>176302.58805275138</c:v>
                </c:pt>
                <c:pt idx="165">
                  <c:v>176535.67058421706</c:v>
                </c:pt>
                <c:pt idx="166">
                  <c:v>176767.37664404023</c:v>
                </c:pt>
                <c:pt idx="167">
                  <c:v>176997.72239431454</c:v>
                </c:pt>
                <c:pt idx="168">
                  <c:v>177226.72371413975</c:v>
                </c:pt>
                <c:pt idx="169">
                  <c:v>177454.39620619037</c:v>
                </c:pt>
                <c:pt idx="170">
                  <c:v>177680.75520309454</c:v>
                </c:pt>
                <c:pt idx="171">
                  <c:v>177905.81577363022</c:v>
                </c:pt>
                <c:pt idx="172">
                  <c:v>178129.59272874461</c:v>
                </c:pt>
                <c:pt idx="173">
                  <c:v>178352.10062740277</c:v>
                </c:pt>
                <c:pt idx="174">
                  <c:v>178573.3537822715</c:v>
                </c:pt>
                <c:pt idx="175">
                  <c:v>178793.36626524376</c:v>
                </c:pt>
                <c:pt idx="176">
                  <c:v>179012.15191280912</c:v>
                </c:pt>
                <c:pt idx="177">
                  <c:v>179229.72433127524</c:v>
                </c:pt>
                <c:pt idx="178">
                  <c:v>179446.09690184539</c:v>
                </c:pt>
                <c:pt idx="179">
                  <c:v>179661.28278555683</c:v>
                </c:pt>
                <c:pt idx="180">
                  <c:v>179875.29492808442</c:v>
                </c:pt>
                <c:pt idx="181">
                  <c:v>180088.14606441383</c:v>
                </c:pt>
                <c:pt idx="182">
                  <c:v>180299.84872338895</c:v>
                </c:pt>
                <c:pt idx="183">
                  <c:v>180510.41523213702</c:v>
                </c:pt>
                <c:pt idx="184">
                  <c:v>180719.85772037576</c:v>
                </c:pt>
                <c:pt idx="185">
                  <c:v>180928.18812460615</c:v>
                </c:pt>
                <c:pt idx="186">
                  <c:v>181135.41819219448</c:v>
                </c:pt>
                <c:pt idx="187">
                  <c:v>181341.55948534713</c:v>
                </c:pt>
                <c:pt idx="188">
                  <c:v>181546.62338498156</c:v>
                </c:pt>
                <c:pt idx="189">
                  <c:v>181750.62109449657</c:v>
                </c:pt>
                <c:pt idx="190">
                  <c:v>181953.56364344514</c:v>
                </c:pt>
                <c:pt idx="191">
                  <c:v>182155.46189111267</c:v>
                </c:pt>
                <c:pt idx="192">
                  <c:v>182356.32653000375</c:v>
                </c:pt>
                <c:pt idx="193">
                  <c:v>182556.16808924003</c:v>
                </c:pt>
                <c:pt idx="194">
                  <c:v>182754.99693787206</c:v>
                </c:pt>
                <c:pt idx="195">
                  <c:v>182952.82328810764</c:v>
                </c:pt>
                <c:pt idx="196">
                  <c:v>183149.65719845908</c:v>
                </c:pt>
                <c:pt idx="197">
                  <c:v>183345.50857681211</c:v>
                </c:pt>
                <c:pt idx="198">
                  <c:v>183540.38718341835</c:v>
                </c:pt>
                <c:pt idx="199">
                  <c:v>183734.30263381402</c:v>
                </c:pt>
                <c:pt idx="200">
                  <c:v>183927.26440166676</c:v>
                </c:pt>
                <c:pt idx="201">
                  <c:v>184119.28182155284</c:v>
                </c:pt>
                <c:pt idx="202">
                  <c:v>184310.36409166674</c:v>
                </c:pt>
                <c:pt idx="203">
                  <c:v>184500.52027646507</c:v>
                </c:pt>
                <c:pt idx="204">
                  <c:v>184689.7593092467</c:v>
                </c:pt>
                <c:pt idx="205">
                  <c:v>184878.08999467097</c:v>
                </c:pt>
                <c:pt idx="206">
                  <c:v>185065.52101121581</c:v>
                </c:pt>
                <c:pt idx="207">
                  <c:v>185252.06091357741</c:v>
                </c:pt>
                <c:pt idx="208">
                  <c:v>185437.71813501301</c:v>
                </c:pt>
                <c:pt idx="209">
                  <c:v>185622.50098962866</c:v>
                </c:pt>
                <c:pt idx="210">
                  <c:v>185806.4176746133</c:v>
                </c:pt>
                <c:pt idx="211">
                  <c:v>185989.47627242072</c:v>
                </c:pt>
                <c:pt idx="212">
                  <c:v>186171.68475290085</c:v>
                </c:pt>
                <c:pt idx="213">
                  <c:v>186353.05097538183</c:v>
                </c:pt>
                <c:pt idx="214">
                  <c:v>186533.58269070418</c:v>
                </c:pt>
                <c:pt idx="215">
                  <c:v>186713.28754320825</c:v>
                </c:pt>
                <c:pt idx="216">
                  <c:v>186892.17307267658</c:v>
                </c:pt>
                <c:pt idx="217">
                  <c:v>187070.24671623204</c:v>
                </c:pt>
                <c:pt idx="218">
                  <c:v>187247.51581019314</c:v>
                </c:pt>
                <c:pt idx="219">
                  <c:v>187423.98759188753</c:v>
                </c:pt>
                <c:pt idx="220">
                  <c:v>187599.6692014251</c:v>
                </c:pt>
                <c:pt idx="221">
                  <c:v>187774.56768343129</c:v>
                </c:pt>
                <c:pt idx="222">
                  <c:v>187948.68998874218</c:v>
                </c:pt>
                <c:pt idx="223">
                  <c:v>188122.04297606202</c:v>
                </c:pt>
                <c:pt idx="224">
                  <c:v>188294.63341358426</c:v>
                </c:pt>
                <c:pt idx="225">
                  <c:v>188466.4679805772</c:v>
                </c:pt>
                <c:pt idx="226">
                  <c:v>188637.55326893501</c:v>
                </c:pt>
                <c:pt idx="227">
                  <c:v>188807.89578469502</c:v>
                </c:pt>
                <c:pt idx="228">
                  <c:v>188977.50194952235</c:v>
                </c:pt>
                <c:pt idx="229">
                  <c:v>189146.37810216247</c:v>
                </c:pt>
                <c:pt idx="230">
                  <c:v>189314.53049986271</c:v>
                </c:pt>
                <c:pt idx="231">
                  <c:v>189481.96531976337</c:v>
                </c:pt>
                <c:pt idx="232">
                  <c:v>189648.68866025936</c:v>
                </c:pt>
                <c:pt idx="233">
                  <c:v>189814.70654233295</c:v>
                </c:pt>
                <c:pt idx="234">
                  <c:v>189980.02491085845</c:v>
                </c:pt>
                <c:pt idx="235">
                  <c:v>190144.64963587967</c:v>
                </c:pt>
                <c:pt idx="236">
                  <c:v>190308.58651386041</c:v>
                </c:pt>
                <c:pt idx="237">
                  <c:v>190471.84126890919</c:v>
                </c:pt>
                <c:pt idx="238">
                  <c:v>190634.41955397849</c:v>
                </c:pt>
                <c:pt idx="239">
                  <c:v>190796.32695203924</c:v>
                </c:pt>
                <c:pt idx="240">
                  <c:v>190957.56897723125</c:v>
                </c:pt>
                <c:pt idx="241">
                  <c:v>191118.15107599</c:v>
                </c:pt>
                <c:pt idx="242">
                  <c:v>191278.07862815054</c:v>
                </c:pt>
                <c:pt idx="243">
                  <c:v>191437.35694802899</c:v>
                </c:pt>
                <c:pt idx="244">
                  <c:v>191595.99128548204</c:v>
                </c:pt>
                <c:pt idx="245">
                  <c:v>191753.98682694536</c:v>
                </c:pt>
                <c:pt idx="246">
                  <c:v>191911.34869645094</c:v>
                </c:pt>
                <c:pt idx="247">
                  <c:v>192068.08195662426</c:v>
                </c:pt>
                <c:pt idx="248">
                  <c:v>192224.19160966162</c:v>
                </c:pt>
                <c:pt idx="249">
                  <c:v>192379.682598288</c:v>
                </c:pt>
                <c:pt idx="250">
                  <c:v>192534.55980669611</c:v>
                </c:pt>
                <c:pt idx="251">
                  <c:v>192688.82806146698</c:v>
                </c:pt>
                <c:pt idx="252">
                  <c:v>192842.49213247243</c:v>
                </c:pt>
                <c:pt idx="253">
                  <c:v>192995.55673376002</c:v>
                </c:pt>
                <c:pt idx="254">
                  <c:v>193148.02652442086</c:v>
                </c:pt>
                <c:pt idx="255">
                  <c:v>193299.90610944043</c:v>
                </c:pt>
                <c:pt idx="256">
                  <c:v>193451.20004053318</c:v>
                </c:pt>
                <c:pt idx="257">
                  <c:v>193601.91281696103</c:v>
                </c:pt>
                <c:pt idx="258">
                  <c:v>193752.04888633624</c:v>
                </c:pt>
                <c:pt idx="259">
                  <c:v>193901.61264540887</c:v>
                </c:pt>
                <c:pt idx="260">
                  <c:v>194050.60844083945</c:v>
                </c:pt>
                <c:pt idx="261">
                  <c:v>194199.04056995694</c:v>
                </c:pt>
                <c:pt idx="262">
                  <c:v>194346.91328150238</c:v>
                </c:pt>
                <c:pt idx="263">
                  <c:v>194494.23077635866</c:v>
                </c:pt>
                <c:pt idx="264">
                  <c:v>194640.99720826661</c:v>
                </c:pt>
                <c:pt idx="265">
                  <c:v>194787.2166845277</c:v>
                </c:pt>
                <c:pt idx="266">
                  <c:v>194932.89326669375</c:v>
                </c:pt>
                <c:pt idx="267">
                  <c:v>195078.03097124389</c:v>
                </c:pt>
                <c:pt idx="268">
                  <c:v>195222.633770249</c:v>
                </c:pt>
                <c:pt idx="269">
                  <c:v>195366.70559202399</c:v>
                </c:pt>
                <c:pt idx="270">
                  <c:v>195510.25032176811</c:v>
                </c:pt>
                <c:pt idx="271">
                  <c:v>195653.27180219357</c:v>
                </c:pt>
                <c:pt idx="272">
                  <c:v>195795.77383414292</c:v>
                </c:pt>
                <c:pt idx="273">
                  <c:v>195937.76017719498</c:v>
                </c:pt>
                <c:pt idx="274">
                  <c:v>196079.23455026009</c:v>
                </c:pt>
                <c:pt idx="275">
                  <c:v>196220.20063216449</c:v>
                </c:pt>
                <c:pt idx="276">
                  <c:v>196360.66206222435</c:v>
                </c:pt>
                <c:pt idx="277">
                  <c:v>196500.62244080956</c:v>
                </c:pt>
                <c:pt idx="278">
                  <c:v>196640.08532989744</c:v>
                </c:pt>
                <c:pt idx="279">
                  <c:v>196779.05425361663</c:v>
                </c:pt>
                <c:pt idx="280">
                  <c:v>196917.53269878152</c:v>
                </c:pt>
                <c:pt idx="281">
                  <c:v>197055.52411541712</c:v>
                </c:pt>
                <c:pt idx="282">
                  <c:v>197193.03191727478</c:v>
                </c:pt>
                <c:pt idx="283">
                  <c:v>197330.05948233901</c:v>
                </c:pt>
                <c:pt idx="284">
                  <c:v>197466.61015332528</c:v>
                </c:pt>
                <c:pt idx="285">
                  <c:v>197602.6872381694</c:v>
                </c:pt>
                <c:pt idx="286">
                  <c:v>197738.29401050831</c:v>
                </c:pt>
                <c:pt idx="287">
                  <c:v>197873.43371015257</c:v>
                </c:pt>
                <c:pt idx="288">
                  <c:v>198008.10954355093</c:v>
                </c:pt>
                <c:pt idx="289">
                  <c:v>198142.32468424668</c:v>
                </c:pt>
                <c:pt idx="290">
                  <c:v>198276.08227332641</c:v>
                </c:pt>
                <c:pt idx="291">
                  <c:v>198409.38541986112</c:v>
                </c:pt>
                <c:pt idx="292">
                  <c:v>198542.23720133986</c:v>
                </c:pt>
                <c:pt idx="293">
                  <c:v>198674.64066409596</c:v>
                </c:pt>
                <c:pt idx="294">
                  <c:v>198806.59882372621</c:v>
                </c:pt>
                <c:pt idx="295">
                  <c:v>198938.11466550292</c:v>
                </c:pt>
                <c:pt idx="296">
                  <c:v>199069.19114477927</c:v>
                </c:pt>
                <c:pt idx="297">
                  <c:v>199199.83118738767</c:v>
                </c:pt>
                <c:pt idx="298">
                  <c:v>199330.03769003166</c:v>
                </c:pt>
                <c:pt idx="299">
                  <c:v>199459.81352067131</c:v>
                </c:pt>
                <c:pt idx="300">
                  <c:v>199589.16151890226</c:v>
                </c:pt>
                <c:pt idx="301">
                  <c:v>199718.08449632852</c:v>
                </c:pt>
                <c:pt idx="302">
                  <c:v>199846.58523692912</c:v>
                </c:pt>
                <c:pt idx="303">
                  <c:v>199974.66649741898</c:v>
                </c:pt>
                <c:pt idx="304">
                  <c:v>200102.33100760353</c:v>
                </c:pt>
                <c:pt idx="305">
                  <c:v>200229.58147072804</c:v>
                </c:pt>
                <c:pt idx="306">
                  <c:v>200356.4205638209</c:v>
                </c:pt>
                <c:pt idx="307">
                  <c:v>200482.8509380316</c:v>
                </c:pt>
                <c:pt idx="308">
                  <c:v>200608.87521896325</c:v>
                </c:pt>
                <c:pt idx="309">
                  <c:v>200734.49600699972</c:v>
                </c:pt>
                <c:pt idx="310">
                  <c:v>200859.71587762755</c:v>
                </c:pt>
                <c:pt idx="311">
                  <c:v>200984.53738175286</c:v>
                </c:pt>
                <c:pt idx="312">
                  <c:v>201108.96304601309</c:v>
                </c:pt>
                <c:pt idx="313">
                  <c:v>201232.99537308386</c:v>
                </c:pt>
                <c:pt idx="314">
                  <c:v>201356.63684198109</c:v>
                </c:pt>
                <c:pt idx="315">
                  <c:v>201479.88990835822</c:v>
                </c:pt>
                <c:pt idx="316">
                  <c:v>201602.75700479888</c:v>
                </c:pt>
                <c:pt idx="317">
                  <c:v>201725.24054110498</c:v>
                </c:pt>
                <c:pt idx="318">
                  <c:v>201847.34290458026</c:v>
                </c:pt>
                <c:pt idx="319">
                  <c:v>201969.06646030949</c:v>
                </c:pt>
                <c:pt idx="320">
                  <c:v>202090.41355143336</c:v>
                </c:pt>
                <c:pt idx="321">
                  <c:v>202211.38649941914</c:v>
                </c:pt>
                <c:pt idx="322">
                  <c:v>202331.98760432709</c:v>
                </c:pt>
                <c:pt idx="323">
                  <c:v>202452.21914507292</c:v>
                </c:pt>
                <c:pt idx="324">
                  <c:v>202572.08337968611</c:v>
                </c:pt>
                <c:pt idx="325">
                  <c:v>202691.58254556445</c:v>
                </c:pt>
                <c:pt idx="326">
                  <c:v>202810.71885972453</c:v>
                </c:pt>
                <c:pt idx="327">
                  <c:v>202929.4945190486</c:v>
                </c:pt>
                <c:pt idx="328">
                  <c:v>203047.91170052765</c:v>
                </c:pt>
                <c:pt idx="329">
                  <c:v>203165.97256150073</c:v>
                </c:pt>
                <c:pt idx="330">
                  <c:v>203283.67923989089</c:v>
                </c:pt>
                <c:pt idx="331">
                  <c:v>203401.03385443741</c:v>
                </c:pt>
                <c:pt idx="332">
                  <c:v>203518.03850492465</c:v>
                </c:pt>
                <c:pt idx="333">
                  <c:v>203634.69527240747</c:v>
                </c:pt>
                <c:pt idx="334">
                  <c:v>203751.00621943333</c:v>
                </c:pt>
                <c:pt idx="335">
                  <c:v>203866.97339026109</c:v>
                </c:pt>
                <c:pt idx="336">
                  <c:v>203982.59881107658</c:v>
                </c:pt>
                <c:pt idx="337">
                  <c:v>204097.88449020503</c:v>
                </c:pt>
                <c:pt idx="338">
                  <c:v>204212.83241832044</c:v>
                </c:pt>
                <c:pt idx="339">
                  <c:v>204327.44456865167</c:v>
                </c:pt>
                <c:pt idx="340">
                  <c:v>204441.7228971858</c:v>
                </c:pt>
                <c:pt idx="341">
                  <c:v>204555.66934286844</c:v>
                </c:pt>
                <c:pt idx="342">
                  <c:v>204669.28582780104</c:v>
                </c:pt>
                <c:pt idx="343">
                  <c:v>204782.57425743545</c:v>
                </c:pt>
                <c:pt idx="344">
                  <c:v>204895.53652076575</c:v>
                </c:pt>
                <c:pt idx="345">
                  <c:v>205008.17449051709</c:v>
                </c:pt>
                <c:pt idx="346">
                  <c:v>205120.49002333212</c:v>
                </c:pt>
                <c:pt idx="347">
                  <c:v>205232.48495995454</c:v>
                </c:pt>
                <c:pt idx="348">
                  <c:v>205344.16112541012</c:v>
                </c:pt>
                <c:pt idx="349">
                  <c:v>205455.52032918512</c:v>
                </c:pt>
                <c:pt idx="350">
                  <c:v>205566.56436540227</c:v>
                </c:pt>
                <c:pt idx="351">
                  <c:v>205677.29501299415</c:v>
                </c:pt>
                <c:pt idx="352">
                  <c:v>205787.71403587423</c:v>
                </c:pt>
                <c:pt idx="353">
                  <c:v>205897.82318310544</c:v>
                </c:pt>
                <c:pt idx="354">
                  <c:v>206007.62418906641</c:v>
                </c:pt>
                <c:pt idx="355">
                  <c:v>206117.1187736154</c:v>
                </c:pt>
                <c:pt idx="356">
                  <c:v>206226.30864225191</c:v>
                </c:pt>
                <c:pt idx="357">
                  <c:v>206335.19548627612</c:v>
                </c:pt>
                <c:pt idx="358">
                  <c:v>206443.78098294602</c:v>
                </c:pt>
                <c:pt idx="359">
                  <c:v>206552.06679563248</c:v>
                </c:pt>
              </c:numCache>
            </c:numRef>
          </c:yVal>
        </c:ser>
        <c:ser>
          <c:idx val="5"/>
          <c:order val="5"/>
          <c:tx>
            <c:strRef>
              <c:f>'Ornstein-Uhlenback Diffusion'!$N$3</c:f>
              <c:strCache>
                <c:ptCount val="1"/>
                <c:pt idx="0">
                  <c:v>O-U Model 1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2"/>
            <c:spPr>
              <a:solidFill>
                <a:schemeClr val="bg1"/>
              </a:solidFill>
            </c:spPr>
          </c:marker>
          <c:xVal>
            <c:numRef>
              <c:f>'Ornstein-Uhlenback Diffusion'!$H$4:$H$363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'Ornstein-Uhlenback Diffusion'!$N$4:$N$363</c:f>
              <c:numCache>
                <c:formatCode>General</c:formatCode>
                <c:ptCount val="360"/>
                <c:pt idx="0">
                  <c:v>32077.735282020123</c:v>
                </c:pt>
                <c:pt idx="1">
                  <c:v>44301.958853157194</c:v>
                </c:pt>
                <c:pt idx="2">
                  <c:v>53255.163227319004</c:v>
                </c:pt>
                <c:pt idx="3">
                  <c:v>60542.152070248922</c:v>
                </c:pt>
                <c:pt idx="4">
                  <c:v>66771.485137387135</c:v>
                </c:pt>
                <c:pt idx="5">
                  <c:v>72254.356569016687</c:v>
                </c:pt>
                <c:pt idx="6">
                  <c:v>77175.103460443366</c:v>
                </c:pt>
                <c:pt idx="7">
                  <c:v>81653.495338352353</c:v>
                </c:pt>
                <c:pt idx="8">
                  <c:v>85772.494474393039</c:v>
                </c:pt>
                <c:pt idx="9">
                  <c:v>89592.340046632788</c:v>
                </c:pt>
                <c:pt idx="10">
                  <c:v>93158.384614328563</c:v>
                </c:pt>
                <c:pt idx="11">
                  <c:v>96505.768006326602</c:v>
                </c:pt>
                <c:pt idx="12">
                  <c:v>99662.360656254459</c:v>
                </c:pt>
                <c:pt idx="13">
                  <c:v>102650.70007277849</c:v>
                </c:pt>
                <c:pt idx="14">
                  <c:v>105489.31164878103</c:v>
                </c:pt>
                <c:pt idx="15">
                  <c:v>108193.63720420828</c:v>
                </c:pt>
                <c:pt idx="16">
                  <c:v>110776.70478313589</c:v>
                </c:pt>
                <c:pt idx="17">
                  <c:v>113249.62264661578</c:v>
                </c:pt>
                <c:pt idx="18">
                  <c:v>115621.95071608375</c:v>
                </c:pt>
                <c:pt idx="19">
                  <c:v>117901.98465618498</c:v>
                </c:pt>
                <c:pt idx="20">
                  <c:v>120096.97644049664</c:v>
                </c:pt>
                <c:pt idx="21">
                  <c:v>122213.30791912247</c:v>
                </c:pt>
                <c:pt idx="22">
                  <c:v>124256.6290613142</c:v>
                </c:pt>
                <c:pt idx="23">
                  <c:v>126231.96926955189</c:v>
                </c:pt>
                <c:pt idx="24">
                  <c:v>128143.82790191418</c:v>
                </c:pt>
                <c:pt idx="25">
                  <c:v>129996.24855353859</c:v>
                </c:pt>
                <c:pt idx="26">
                  <c:v>131792.88051666322</c:v>
                </c:pt>
                <c:pt idx="27">
                  <c:v>133537.03001987693</c:v>
                </c:pt>
                <c:pt idx="28">
                  <c:v>135231.70324646987</c:v>
                </c:pt>
                <c:pt idx="29">
                  <c:v>136879.64268559503</c:v>
                </c:pt>
                <c:pt idx="30">
                  <c:v>138483.35803476532</c:v>
                </c:pt>
                <c:pt idx="31">
                  <c:v>140045.15261773477</c:v>
                </c:pt>
                <c:pt idx="32">
                  <c:v>141567.14608671647</c:v>
                </c:pt>
                <c:pt idx="33">
                  <c:v>143051.29402694991</c:v>
                </c:pt>
                <c:pt idx="34">
                  <c:v>144499.4049638501</c:v>
                </c:pt>
                <c:pt idx="35">
                  <c:v>145913.15518033956</c:v>
                </c:pt>
                <c:pt idx="36">
                  <c:v>147294.10167856177</c:v>
                </c:pt>
                <c:pt idx="37">
                  <c:v>148643.69356160151</c:v>
                </c:pt>
                <c:pt idx="38">
                  <c:v>149963.28206379243</c:v>
                </c:pt>
                <c:pt idx="39">
                  <c:v>151254.12942016419</c:v>
                </c:pt>
                <c:pt idx="40">
                  <c:v>152517.41673466965</c:v>
                </c:pt>
                <c:pt idx="41">
                  <c:v>153754.25098155695</c:v>
                </c:pt>
                <c:pt idx="42">
                  <c:v>154965.67125348226</c:v>
                </c:pt>
                <c:pt idx="43">
                  <c:v>156152.65435280322</c:v>
                </c:pt>
                <c:pt idx="44">
                  <c:v>157316.11980825756</c:v>
                </c:pt>
                <c:pt idx="45">
                  <c:v>158456.93438736125</c:v>
                </c:pt>
                <c:pt idx="46">
                  <c:v>159575.91616492867</c:v>
                </c:pt>
                <c:pt idx="47">
                  <c:v>160673.83819976024</c:v>
                </c:pt>
                <c:pt idx="48">
                  <c:v>161751.43186449824</c:v>
                </c:pt>
                <c:pt idx="49">
                  <c:v>162809.38986767773</c:v>
                </c:pt>
                <c:pt idx="50">
                  <c:v>163848.36900192461</c:v>
                </c:pt>
                <c:pt idx="51">
                  <c:v>164868.99264792204</c:v>
                </c:pt>
                <c:pt idx="52">
                  <c:v>165871.85306006164</c:v>
                </c:pt>
                <c:pt idx="53">
                  <c:v>166857.51345651195</c:v>
                </c:pt>
                <c:pt idx="54">
                  <c:v>167826.50993369956</c:v>
                </c:pt>
                <c:pt idx="55">
                  <c:v>168779.35322282955</c:v>
                </c:pt>
                <c:pt idx="56">
                  <c:v>169716.53030402385</c:v>
                </c:pt>
                <c:pt idx="57">
                  <c:v>170638.5058918763</c:v>
                </c:pt>
                <c:pt idx="58">
                  <c:v>171545.72380467333</c:v>
                </c:pt>
                <c:pt idx="59">
                  <c:v>172438.60822817721</c:v>
                </c:pt>
                <c:pt idx="60">
                  <c:v>173317.5648836857</c:v>
                </c:pt>
                <c:pt idx="61">
                  <c:v>174182.98210904351</c:v>
                </c:pt>
                <c:pt idx="62">
                  <c:v>175035.23186037026</c:v>
                </c:pt>
                <c:pt idx="63">
                  <c:v>175874.6706414654</c:v>
                </c:pt>
                <c:pt idx="64">
                  <c:v>176701.64036714134</c:v>
                </c:pt>
                <c:pt idx="65">
                  <c:v>177516.46916611042</c:v>
                </c:pt>
                <c:pt idx="66">
                  <c:v>178319.47212849298</c:v>
                </c:pt>
                <c:pt idx="67">
                  <c:v>179110.95200252376</c:v>
                </c:pt>
                <c:pt idx="68">
                  <c:v>179891.199844591</c:v>
                </c:pt>
                <c:pt idx="69">
                  <c:v>180660.49562635555</c:v>
                </c:pt>
                <c:pt idx="70">
                  <c:v>181419.10880234448</c:v>
                </c:pt>
                <c:pt idx="71">
                  <c:v>182167.29884110441</c:v>
                </c:pt>
                <c:pt idx="72">
                  <c:v>182905.31572271837</c:v>
                </c:pt>
                <c:pt idx="73">
                  <c:v>183633.40040523969</c:v>
                </c:pt>
                <c:pt idx="74">
                  <c:v>184351.7852623715</c:v>
                </c:pt>
                <c:pt idx="75">
                  <c:v>185060.69449451781</c:v>
                </c:pt>
                <c:pt idx="76">
                  <c:v>185760.34451514762</c:v>
                </c:pt>
                <c:pt idx="77">
                  <c:v>186450.94431425235</c:v>
                </c:pt>
                <c:pt idx="78">
                  <c:v>187132.69580052348</c:v>
                </c:pt>
                <c:pt idx="79">
                  <c:v>187805.79412374634</c:v>
                </c:pt>
                <c:pt idx="80">
                  <c:v>188470.42797878207</c:v>
                </c:pt>
                <c:pt idx="81">
                  <c:v>189126.77989239866</c:v>
                </c:pt>
                <c:pt idx="82">
                  <c:v>189775.02649411326</c:v>
                </c:pt>
                <c:pt idx="83">
                  <c:v>190415.33877211422</c:v>
                </c:pt>
                <c:pt idx="84">
                  <c:v>191047.88231524988</c:v>
                </c:pt>
                <c:pt idx="85">
                  <c:v>191672.81754199474</c:v>
                </c:pt>
                <c:pt idx="86">
                  <c:v>192290.29991723297</c:v>
                </c:pt>
                <c:pt idx="87">
                  <c:v>192900.48015763907</c:v>
                </c:pt>
                <c:pt idx="88">
                  <c:v>193503.50442637427</c:v>
                </c:pt>
                <c:pt idx="89">
                  <c:v>194099.51451776669</c:v>
                </c:pt>
                <c:pt idx="90">
                  <c:v>194688.64803259325</c:v>
                </c:pt>
                <c:pt idx="91">
                  <c:v>195271.03854453858</c:v>
                </c:pt>
                <c:pt idx="92">
                  <c:v>195846.81575836317</c:v>
                </c:pt>
                <c:pt idx="93">
                  <c:v>196416.10566027727</c:v>
                </c:pt>
                <c:pt idx="94">
                  <c:v>196979.03066098096</c:v>
                </c:pt>
                <c:pt idx="95">
                  <c:v>197535.70973180144</c:v>
                </c:pt>
                <c:pt idx="96">
                  <c:v>198086.25853432558</c:v>
                </c:pt>
                <c:pt idx="97">
                  <c:v>198630.78954390273</c:v>
                </c:pt>
                <c:pt idx="98">
                  <c:v>199169.4121673652</c:v>
                </c:pt>
                <c:pt idx="99">
                  <c:v>199702.23285529122</c:v>
                </c:pt>
                <c:pt idx="100">
                  <c:v>200229.35520911502</c:v>
                </c:pt>
                <c:pt idx="101">
                  <c:v>200750.88008336764</c:v>
                </c:pt>
                <c:pt idx="102">
                  <c:v>201266.90568331463</c:v>
                </c:pt>
                <c:pt idx="103">
                  <c:v>201777.52765823953</c:v>
                </c:pt>
                <c:pt idx="104">
                  <c:v>202282.83919060623</c:v>
                </c:pt>
                <c:pt idx="105">
                  <c:v>202782.93108131908</c:v>
                </c:pt>
                <c:pt idx="106">
                  <c:v>203277.89183128614</c:v>
                </c:pt>
                <c:pt idx="107">
                  <c:v>203767.80771947769</c:v>
                </c:pt>
                <c:pt idx="108">
                  <c:v>204252.76287766144</c:v>
                </c:pt>
                <c:pt idx="109">
                  <c:v>204732.83936198382</c:v>
                </c:pt>
                <c:pt idx="110">
                  <c:v>205208.11722155818</c:v>
                </c:pt>
                <c:pt idx="111">
                  <c:v>205678.67456420901</c:v>
                </c:pt>
                <c:pt idx="112">
                  <c:v>206144.58761951546</c:v>
                </c:pt>
                <c:pt idx="113">
                  <c:v>206605.93079928582</c:v>
                </c:pt>
                <c:pt idx="114">
                  <c:v>207062.77675559008</c:v>
                </c:pt>
                <c:pt idx="115">
                  <c:v>207515.1964364681</c:v>
                </c:pt>
                <c:pt idx="116">
                  <c:v>207963.25913942623</c:v>
                </c:pt>
                <c:pt idx="117">
                  <c:v>208407.03256282661</c:v>
                </c:pt>
                <c:pt idx="118">
                  <c:v>208846.58285527048</c:v>
                </c:pt>
                <c:pt idx="119">
                  <c:v>209281.97466306793</c:v>
                </c:pt>
                <c:pt idx="120">
                  <c:v>209713.27117588447</c:v>
                </c:pt>
                <c:pt idx="121">
                  <c:v>210140.53417064832</c:v>
                </c:pt>
                <c:pt idx="122">
                  <c:v>210563.82405379717</c:v>
                </c:pt>
                <c:pt idx="123">
                  <c:v>210983.19990194123</c:v>
                </c:pt>
                <c:pt idx="124">
                  <c:v>211398.71950101302</c:v>
                </c:pt>
                <c:pt idx="125">
                  <c:v>211810.43938397171</c:v>
                </c:pt>
                <c:pt idx="126">
                  <c:v>212218.4148671263</c:v>
                </c:pt>
                <c:pt idx="127">
                  <c:v>212622.70008513876</c:v>
                </c:pt>
                <c:pt idx="128">
                  <c:v>213023.34802476372</c:v>
                </c:pt>
                <c:pt idx="129">
                  <c:v>213420.41055738096</c:v>
                </c:pt>
                <c:pt idx="130">
                  <c:v>213813.93847037142</c:v>
                </c:pt>
                <c:pt idx="131">
                  <c:v>214203.98149738667</c:v>
                </c:pt>
                <c:pt idx="132">
                  <c:v>214590.58834755869</c:v>
                </c:pt>
                <c:pt idx="133">
                  <c:v>214973.80673369474</c:v>
                </c:pt>
                <c:pt idx="134">
                  <c:v>215353.68339949904</c:v>
                </c:pt>
                <c:pt idx="135">
                  <c:v>215730.26414586251</c:v>
                </c:pt>
                <c:pt idx="136">
                  <c:v>216103.59385625817</c:v>
                </c:pt>
                <c:pt idx="137">
                  <c:v>216473.71652127913</c:v>
                </c:pt>
                <c:pt idx="138">
                  <c:v>216840.67526235429</c:v>
                </c:pt>
                <c:pt idx="139">
                  <c:v>217204.51235467364</c:v>
                </c:pt>
                <c:pt idx="140">
                  <c:v>217565.26924935664</c:v>
                </c:pt>
                <c:pt idx="141">
                  <c:v>217922.98659489202</c:v>
                </c:pt>
                <c:pt idx="142">
                  <c:v>218277.70425787877</c:v>
                </c:pt>
                <c:pt idx="143">
                  <c:v>218629.46134309564</c:v>
                </c:pt>
                <c:pt idx="144">
                  <c:v>218978.29621292438</c:v>
                </c:pt>
                <c:pt idx="145">
                  <c:v>219324.24650615323</c:v>
                </c:pt>
                <c:pt idx="146">
                  <c:v>219667.34915618302</c:v>
                </c:pt>
                <c:pt idx="147">
                  <c:v>220007.64040865944</c:v>
                </c:pt>
                <c:pt idx="148">
                  <c:v>220345.1558385533</c:v>
                </c:pt>
                <c:pt idx="149">
                  <c:v>220679.93036670869</c:v>
                </c:pt>
                <c:pt idx="150">
                  <c:v>221011.99827588035</c:v>
                </c:pt>
                <c:pt idx="151">
                  <c:v>221341.39322627772</c:v>
                </c:pt>
                <c:pt idx="152">
                  <c:v>221668.14827063499</c:v>
                </c:pt>
                <c:pt idx="153">
                  <c:v>221992.29586882406</c:v>
                </c:pt>
                <c:pt idx="154">
                  <c:v>222313.86790202706</c:v>
                </c:pt>
                <c:pt idx="155">
                  <c:v>222632.89568648461</c:v>
                </c:pt>
                <c:pt idx="156">
                  <c:v>222949.40998683465</c:v>
                </c:pt>
                <c:pt idx="157">
                  <c:v>223263.44102905734</c:v>
                </c:pt>
                <c:pt idx="158">
                  <c:v>223575.0185130387</c:v>
                </c:pt>
                <c:pt idx="159">
                  <c:v>223884.17162476791</c:v>
                </c:pt>
                <c:pt idx="160">
                  <c:v>224190.92904818011</c:v>
                </c:pt>
                <c:pt idx="161">
                  <c:v>224495.31897665726</c:v>
                </c:pt>
                <c:pt idx="162">
                  <c:v>224797.36912419944</c:v>
                </c:pt>
                <c:pt idx="163">
                  <c:v>225097.10673627735</c:v>
                </c:pt>
                <c:pt idx="164">
                  <c:v>225394.55860037715</c:v>
                </c:pt>
                <c:pt idx="165">
                  <c:v>225689.75105624809</c:v>
                </c:pt>
                <c:pt idx="166">
                  <c:v>225982.71000586322</c:v>
                </c:pt>
                <c:pt idx="167">
                  <c:v>226273.4609231026</c:v>
                </c:pt>
                <c:pt idx="168">
                  <c:v>226562.02886316794</c:v>
                </c:pt>
                <c:pt idx="169">
                  <c:v>226848.43847173869</c:v>
                </c:pt>
                <c:pt idx="170">
                  <c:v>227132.71399387697</c:v>
                </c:pt>
                <c:pt idx="171">
                  <c:v>227414.87928269032</c:v>
                </c:pt>
                <c:pt idx="172">
                  <c:v>227694.9578077597</c:v>
                </c:pt>
                <c:pt idx="173">
                  <c:v>227972.97266334103</c:v>
                </c:pt>
                <c:pt idx="174">
                  <c:v>228248.94657634679</c:v>
                </c:pt>
                <c:pt idx="175">
                  <c:v>228522.90191411553</c:v>
                </c:pt>
                <c:pt idx="176">
                  <c:v>228794.86069197539</c:v>
                </c:pt>
                <c:pt idx="177">
                  <c:v>229064.84458060868</c:v>
                </c:pt>
                <c:pt idx="178">
                  <c:v>229332.8749132235</c:v>
                </c:pt>
                <c:pt idx="179">
                  <c:v>229598.97269253901</c:v>
                </c:pt>
                <c:pt idx="180">
                  <c:v>229863.15859758898</c:v>
                </c:pt>
                <c:pt idx="181">
                  <c:v>230125.45299035069</c:v>
                </c:pt>
                <c:pt idx="182">
                  <c:v>230385.87592220405</c:v>
                </c:pt>
                <c:pt idx="183">
                  <c:v>230644.44714022538</c:v>
                </c:pt>
                <c:pt idx="184">
                  <c:v>230901.18609332235</c:v>
                </c:pt>
                <c:pt idx="185">
                  <c:v>231156.11193821378</c:v>
                </c:pt>
                <c:pt idx="186">
                  <c:v>231409.24354525952</c:v>
                </c:pt>
                <c:pt idx="187">
                  <c:v>231660.59950414451</c:v>
                </c:pt>
                <c:pt idx="188">
                  <c:v>231910.19812942238</c:v>
                </c:pt>
                <c:pt idx="189">
                  <c:v>232158.05746592145</c:v>
                </c:pt>
                <c:pt idx="190">
                  <c:v>232404.19529401779</c:v>
                </c:pt>
                <c:pt idx="191">
                  <c:v>232648.62913478012</c:v>
                </c:pt>
                <c:pt idx="192">
                  <c:v>232891.37625498851</c:v>
                </c:pt>
                <c:pt idx="193">
                  <c:v>233132.45367203234</c:v>
                </c:pt>
                <c:pt idx="194">
                  <c:v>233371.87815868988</c:v>
                </c:pt>
                <c:pt idx="195">
                  <c:v>233609.6662477935</c:v>
                </c:pt>
                <c:pt idx="196">
                  <c:v>233845.83423678332</c:v>
                </c:pt>
                <c:pt idx="197">
                  <c:v>234080.39819215334</c:v>
                </c:pt>
                <c:pt idx="198">
                  <c:v>234313.37395379174</c:v>
                </c:pt>
                <c:pt idx="199">
                  <c:v>234544.77713921995</c:v>
                </c:pt>
                <c:pt idx="200">
                  <c:v>234774.62314773226</c:v>
                </c:pt>
                <c:pt idx="201">
                  <c:v>235002.927164439</c:v>
                </c:pt>
                <c:pt idx="202">
                  <c:v>235229.70416421583</c:v>
                </c:pt>
                <c:pt idx="203">
                  <c:v>235454.96891556273</c:v>
                </c:pt>
                <c:pt idx="204">
                  <c:v>235678.73598437387</c:v>
                </c:pt>
                <c:pt idx="205">
                  <c:v>235901.01973762104</c:v>
                </c:pt>
                <c:pt idx="206">
                  <c:v>236121.83434695445</c:v>
                </c:pt>
                <c:pt idx="207">
                  <c:v>236341.1937922209</c:v>
                </c:pt>
                <c:pt idx="208">
                  <c:v>236559.11186490356</c:v>
                </c:pt>
                <c:pt idx="209">
                  <c:v>236775.60217148421</c:v>
                </c:pt>
                <c:pt idx="210">
                  <c:v>236990.67813673051</c:v>
                </c:pt>
                <c:pt idx="211">
                  <c:v>237204.35300691039</c:v>
                </c:pt>
                <c:pt idx="212">
                  <c:v>237416.63985293533</c:v>
                </c:pt>
                <c:pt idx="213">
                  <c:v>237627.55157343438</c:v>
                </c:pt>
                <c:pt idx="214">
                  <c:v>237837.10089776097</c:v>
                </c:pt>
                <c:pt idx="215">
                  <c:v>238045.30038893395</c:v>
                </c:pt>
                <c:pt idx="216">
                  <c:v>238252.16244651491</c:v>
                </c:pt>
                <c:pt idx="217">
                  <c:v>238457.69930942354</c:v>
                </c:pt>
                <c:pt idx="218">
                  <c:v>238661.92305869164</c:v>
                </c:pt>
                <c:pt idx="219">
                  <c:v>238864.84562015897</c:v>
                </c:pt>
                <c:pt idx="220">
                  <c:v>239066.47876711126</c:v>
                </c:pt>
                <c:pt idx="221">
                  <c:v>239266.83412286185</c:v>
                </c:pt>
                <c:pt idx="222">
                  <c:v>239465.92316327966</c:v>
                </c:pt>
                <c:pt idx="223">
                  <c:v>239663.75721926254</c:v>
                </c:pt>
                <c:pt idx="224">
                  <c:v>239860.34747916035</c:v>
                </c:pt>
                <c:pt idx="225">
                  <c:v>240055.70499114611</c:v>
                </c:pt>
                <c:pt idx="226">
                  <c:v>240249.84066553885</c:v>
                </c:pt>
                <c:pt idx="227">
                  <c:v>240442.76527707765</c:v>
                </c:pt>
                <c:pt idx="228">
                  <c:v>240634.48946714931</c:v>
                </c:pt>
                <c:pt idx="229">
                  <c:v>240825.02374597013</c:v>
                </c:pt>
                <c:pt idx="230">
                  <c:v>241014.37849472294</c:v>
                </c:pt>
                <c:pt idx="231">
                  <c:v>241202.56396765122</c:v>
                </c:pt>
                <c:pt idx="232">
                  <c:v>241389.59029410983</c:v>
                </c:pt>
                <c:pt idx="233">
                  <c:v>241575.46748057523</c:v>
                </c:pt>
                <c:pt idx="234">
                  <c:v>241760.205412615</c:v>
                </c:pt>
                <c:pt idx="235">
                  <c:v>241943.81385681761</c:v>
                </c:pt>
                <c:pt idx="236">
                  <c:v>242126.30246268428</c:v>
                </c:pt>
                <c:pt idx="237">
                  <c:v>242307.680764483</c:v>
                </c:pt>
                <c:pt idx="238">
                  <c:v>242487.95818306558</c:v>
                </c:pt>
                <c:pt idx="239">
                  <c:v>242667.14402764972</c:v>
                </c:pt>
                <c:pt idx="240">
                  <c:v>242845.24749756529</c:v>
                </c:pt>
                <c:pt idx="241">
                  <c:v>243022.27768396694</c:v>
                </c:pt>
                <c:pt idx="242">
                  <c:v>243198.24357151339</c:v>
                </c:pt>
                <c:pt idx="243">
                  <c:v>243373.15404001402</c:v>
                </c:pt>
                <c:pt idx="244">
                  <c:v>243547.01786604364</c:v>
                </c:pt>
                <c:pt idx="245">
                  <c:v>243719.84372452658</c:v>
                </c:pt>
                <c:pt idx="246">
                  <c:v>243891.64019028991</c:v>
                </c:pt>
                <c:pt idx="247">
                  <c:v>244062.4157395873</c:v>
                </c:pt>
                <c:pt idx="248">
                  <c:v>244232.17875159424</c:v>
                </c:pt>
                <c:pt idx="249">
                  <c:v>244400.9375098742</c:v>
                </c:pt>
                <c:pt idx="250">
                  <c:v>244568.70020381777</c:v>
                </c:pt>
                <c:pt idx="251">
                  <c:v>244735.47493005457</c:v>
                </c:pt>
                <c:pt idx="252">
                  <c:v>244901.26969383887</c:v>
                </c:pt>
                <c:pt idx="253">
                  <c:v>245066.0924104088</c:v>
                </c:pt>
                <c:pt idx="254">
                  <c:v>245229.95090632149</c:v>
                </c:pt>
                <c:pt idx="255">
                  <c:v>245392.85292076197</c:v>
                </c:pt>
                <c:pt idx="256">
                  <c:v>245554.8061068294</c:v>
                </c:pt>
                <c:pt idx="257">
                  <c:v>245715.81803279862</c:v>
                </c:pt>
                <c:pt idx="258">
                  <c:v>245875.89618335955</c:v>
                </c:pt>
                <c:pt idx="259">
                  <c:v>246035.04796083277</c:v>
                </c:pt>
                <c:pt idx="260">
                  <c:v>246193.28068636448</c:v>
                </c:pt>
                <c:pt idx="261">
                  <c:v>246350.60160109858</c:v>
                </c:pt>
                <c:pt idx="262">
                  <c:v>246507.0178673286</c:v>
                </c:pt>
                <c:pt idx="263">
                  <c:v>246662.53656962808</c:v>
                </c:pt>
                <c:pt idx="264">
                  <c:v>246817.16471596158</c:v>
                </c:pt>
                <c:pt idx="265">
                  <c:v>246970.90923877506</c:v>
                </c:pt>
                <c:pt idx="266">
                  <c:v>247123.77699606746</c:v>
                </c:pt>
                <c:pt idx="267">
                  <c:v>247275.77477244326</c:v>
                </c:pt>
                <c:pt idx="268">
                  <c:v>247426.90928014618</c:v>
                </c:pt>
                <c:pt idx="269">
                  <c:v>247577.18716007491</c:v>
                </c:pt>
                <c:pt idx="270">
                  <c:v>247726.61498278115</c:v>
                </c:pt>
                <c:pt idx="271">
                  <c:v>247875.19924945009</c:v>
                </c:pt>
                <c:pt idx="272">
                  <c:v>248022.94639286361</c:v>
                </c:pt>
                <c:pt idx="273">
                  <c:v>248169.86277834757</c:v>
                </c:pt>
                <c:pt idx="274">
                  <c:v>248315.95470470175</c:v>
                </c:pt>
                <c:pt idx="275">
                  <c:v>248461.22840511473</c:v>
                </c:pt>
                <c:pt idx="276">
                  <c:v>248605.69004806201</c:v>
                </c:pt>
                <c:pt idx="277">
                  <c:v>248749.34573819014</c:v>
                </c:pt>
                <c:pt idx="278">
                  <c:v>248892.20151718461</c:v>
                </c:pt>
                <c:pt idx="279">
                  <c:v>249034.26336462348</c:v>
                </c:pt>
                <c:pt idx="280">
                  <c:v>249175.53719881686</c:v>
                </c:pt>
                <c:pt idx="281">
                  <c:v>249316.02887763167</c:v>
                </c:pt>
                <c:pt idx="282">
                  <c:v>249455.74419930295</c:v>
                </c:pt>
                <c:pt idx="283">
                  <c:v>249594.68890323141</c:v>
                </c:pt>
                <c:pt idx="284">
                  <c:v>249732.86867076802</c:v>
                </c:pt>
                <c:pt idx="285">
                  <c:v>249870.28912598477</c:v>
                </c:pt>
                <c:pt idx="286">
                  <c:v>250006.95583643383</c:v>
                </c:pt>
                <c:pt idx="287">
                  <c:v>250142.87431389291</c:v>
                </c:pt>
                <c:pt idx="288">
                  <c:v>250278.05001509938</c:v>
                </c:pt>
                <c:pt idx="289">
                  <c:v>250412.48834247183</c:v>
                </c:pt>
                <c:pt idx="290">
                  <c:v>250546.19464481971</c:v>
                </c:pt>
                <c:pt idx="291">
                  <c:v>250679.17421804208</c:v>
                </c:pt>
                <c:pt idx="292">
                  <c:v>250811.43230581415</c:v>
                </c:pt>
                <c:pt idx="293">
                  <c:v>250942.9741002635</c:v>
                </c:pt>
                <c:pt idx="294">
                  <c:v>251073.80474263462</c:v>
                </c:pt>
                <c:pt idx="295">
                  <c:v>251203.92932394368</c:v>
                </c:pt>
                <c:pt idx="296">
                  <c:v>251333.35288562177</c:v>
                </c:pt>
                <c:pt idx="297">
                  <c:v>251462.08042014868</c:v>
                </c:pt>
                <c:pt idx="298">
                  <c:v>251590.11687167629</c:v>
                </c:pt>
                <c:pt idx="299">
                  <c:v>251717.46713664194</c:v>
                </c:pt>
                <c:pt idx="300">
                  <c:v>251844.13606437237</c:v>
                </c:pt>
                <c:pt idx="301">
                  <c:v>251970.12845767787</c:v>
                </c:pt>
                <c:pt idx="302">
                  <c:v>252095.44907343737</c:v>
                </c:pt>
                <c:pt idx="303">
                  <c:v>252220.10262317382</c:v>
                </c:pt>
                <c:pt idx="304">
                  <c:v>252344.09377362151</c:v>
                </c:pt>
                <c:pt idx="305">
                  <c:v>252467.42714728354</c:v>
                </c:pt>
                <c:pt idx="306">
                  <c:v>252590.10732298149</c:v>
                </c:pt>
                <c:pt idx="307">
                  <c:v>252712.13883639569</c:v>
                </c:pt>
                <c:pt idx="308">
                  <c:v>252833.52618059813</c:v>
                </c:pt>
                <c:pt idx="309">
                  <c:v>252954.27380657659</c:v>
                </c:pt>
                <c:pt idx="310">
                  <c:v>253074.38612375068</c:v>
                </c:pt>
                <c:pt idx="311">
                  <c:v>253193.86750048021</c:v>
                </c:pt>
                <c:pt idx="312">
                  <c:v>253312.72226456602</c:v>
                </c:pt>
                <c:pt idx="313">
                  <c:v>253430.95470374258</c:v>
                </c:pt>
                <c:pt idx="314">
                  <c:v>253548.56906616376</c:v>
                </c:pt>
                <c:pt idx="315">
                  <c:v>253665.56956088083</c:v>
                </c:pt>
                <c:pt idx="316">
                  <c:v>253781.96035831366</c:v>
                </c:pt>
                <c:pt idx="317">
                  <c:v>253897.7455907143</c:v>
                </c:pt>
                <c:pt idx="318">
                  <c:v>254012.92935262431</c:v>
                </c:pt>
                <c:pt idx="319">
                  <c:v>254127.51570132471</c:v>
                </c:pt>
                <c:pt idx="320">
                  <c:v>254241.50865727937</c:v>
                </c:pt>
                <c:pt idx="321">
                  <c:v>254354.91220457203</c:v>
                </c:pt>
                <c:pt idx="322">
                  <c:v>254467.73029133686</c:v>
                </c:pt>
                <c:pt idx="323">
                  <c:v>254579.96683018203</c:v>
                </c:pt>
                <c:pt idx="324">
                  <c:v>254691.62569860838</c:v>
                </c:pt>
                <c:pt idx="325">
                  <c:v>254802.71073942023</c:v>
                </c:pt>
                <c:pt idx="326">
                  <c:v>254913.22576113179</c:v>
                </c:pt>
                <c:pt idx="327">
                  <c:v>255023.17453836664</c:v>
                </c:pt>
                <c:pt idx="328">
                  <c:v>255132.56081225173</c:v>
                </c:pt>
                <c:pt idx="329">
                  <c:v>255241.38829080589</c:v>
                </c:pt>
                <c:pt idx="330">
                  <c:v>255349.66064932238</c:v>
                </c:pt>
                <c:pt idx="331">
                  <c:v>255457.38153074586</c:v>
                </c:pt>
                <c:pt idx="332">
                  <c:v>255564.55454604453</c:v>
                </c:pt>
                <c:pt idx="333">
                  <c:v>255671.18327457641</c:v>
                </c:pt>
                <c:pt idx="334">
                  <c:v>255777.27126445048</c:v>
                </c:pt>
                <c:pt idx="335">
                  <c:v>255882.82203288272</c:v>
                </c:pt>
                <c:pt idx="336">
                  <c:v>255987.83906654749</c:v>
                </c:pt>
                <c:pt idx="337">
                  <c:v>256092.32582192309</c:v>
                </c:pt>
                <c:pt idx="338">
                  <c:v>256196.28572563324</c:v>
                </c:pt>
                <c:pt idx="339">
                  <c:v>256299.72217478335</c:v>
                </c:pt>
                <c:pt idx="340">
                  <c:v>256402.63853729225</c:v>
                </c:pt>
                <c:pt idx="341">
                  <c:v>256505.03815221906</c:v>
                </c:pt>
                <c:pt idx="342">
                  <c:v>256606.92433008587</c:v>
                </c:pt>
                <c:pt idx="343">
                  <c:v>256708.30035319537</c:v>
                </c:pt>
                <c:pt idx="344">
                  <c:v>256809.16947594468</c:v>
                </c:pt>
                <c:pt idx="345">
                  <c:v>256909.53492513453</c:v>
                </c:pt>
                <c:pt idx="346">
                  <c:v>257009.399900274</c:v>
                </c:pt>
                <c:pt idx="347">
                  <c:v>257108.76757388166</c:v>
                </c:pt>
                <c:pt idx="348">
                  <c:v>257207.64109178167</c:v>
                </c:pt>
                <c:pt idx="349">
                  <c:v>257306.02357339693</c:v>
                </c:pt>
                <c:pt idx="350">
                  <c:v>257403.91811203718</c:v>
                </c:pt>
                <c:pt idx="351">
                  <c:v>257501.32777518386</c:v>
                </c:pt>
                <c:pt idx="352">
                  <c:v>257598.25560477097</c:v>
                </c:pt>
                <c:pt idx="353">
                  <c:v>257694.70461746174</c:v>
                </c:pt>
                <c:pt idx="354">
                  <c:v>257790.67780492239</c:v>
                </c:pt>
                <c:pt idx="355">
                  <c:v>257886.17813409123</c:v>
                </c:pt>
                <c:pt idx="356">
                  <c:v>257981.20854744466</c:v>
                </c:pt>
                <c:pt idx="357">
                  <c:v>258075.77196326014</c:v>
                </c:pt>
                <c:pt idx="358">
                  <c:v>258169.87127587403</c:v>
                </c:pt>
                <c:pt idx="359">
                  <c:v>258263.50935593812</c:v>
                </c:pt>
              </c:numCache>
            </c:numRef>
          </c:yVal>
        </c:ser>
        <c:ser>
          <c:idx val="6"/>
          <c:order val="6"/>
          <c:tx>
            <c:strRef>
              <c:f>'Ornstein-Uhlenback Diffusion'!$O$3</c:f>
              <c:strCache>
                <c:ptCount val="1"/>
                <c:pt idx="0">
                  <c:v>O-U Model 2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2"/>
            <c:spPr>
              <a:solidFill>
                <a:schemeClr val="bg1"/>
              </a:solidFill>
            </c:spPr>
          </c:marker>
          <c:xVal>
            <c:numRef>
              <c:f>'Ornstein-Uhlenback Diffusion'!$H$4:$H$363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'Ornstein-Uhlenback Diffusion'!$O$4:$O$363</c:f>
              <c:numCache>
                <c:formatCode>General</c:formatCode>
                <c:ptCount val="360"/>
                <c:pt idx="0">
                  <c:v>15460.668477296776</c:v>
                </c:pt>
                <c:pt idx="1">
                  <c:v>21328.736991506757</c:v>
                </c:pt>
                <c:pt idx="2">
                  <c:v>25636.789454848597</c:v>
                </c:pt>
                <c:pt idx="3">
                  <c:v>29143.738173033384</c:v>
                </c:pt>
                <c:pt idx="4">
                  <c:v>32142.505742089597</c:v>
                </c:pt>
                <c:pt idx="5">
                  <c:v>34782.821414767197</c:v>
                </c:pt>
                <c:pt idx="6">
                  <c:v>37153.344415086678</c:v>
                </c:pt>
                <c:pt idx="7">
                  <c:v>39311.65869167776</c:v>
                </c:pt>
                <c:pt idx="8">
                  <c:v>41297.6379339083</c:v>
                </c:pt>
                <c:pt idx="9">
                  <c:v>43140.225003814994</c:v>
                </c:pt>
                <c:pt idx="10">
                  <c:v>44861.203333215766</c:v>
                </c:pt>
                <c:pt idx="11">
                  <c:v>46477.445878610488</c:v>
                </c:pt>
                <c:pt idx="12">
                  <c:v>48002.331125147131</c:v>
                </c:pt>
                <c:pt idx="13">
                  <c:v>49446.674535941223</c:v>
                </c:pt>
                <c:pt idx="14">
                  <c:v>50819.363756251478</c:v>
                </c:pt>
                <c:pt idx="15">
                  <c:v>52127.805092671733</c:v>
                </c:pt>
                <c:pt idx="16">
                  <c:v>53378.24552331632</c:v>
                </c:pt>
                <c:pt idx="17">
                  <c:v>54576.01014945245</c:v>
                </c:pt>
                <c:pt idx="18">
                  <c:v>55725.680711146357</c:v>
                </c:pt>
                <c:pt idx="19">
                  <c:v>56831.232095454383</c:v>
                </c:pt>
                <c:pt idx="20">
                  <c:v>57896.138306387402</c:v>
                </c:pt>
                <c:pt idx="21">
                  <c:v>58923.455841739014</c:v>
                </c:pt>
                <c:pt idx="22">
                  <c:v>59915.890090554727</c:v>
                </c:pt>
                <c:pt idx="23">
                  <c:v>60875.848788753246</c:v>
                </c:pt>
                <c:pt idx="24">
                  <c:v>61805.48548353395</c:v>
                </c:pt>
                <c:pt idx="25">
                  <c:v>62706.735194389432</c:v>
                </c:pt>
                <c:pt idx="26">
                  <c:v>63581.343914484169</c:v>
                </c:pt>
                <c:pt idx="27">
                  <c:v>64430.893202392734</c:v>
                </c:pt>
                <c:pt idx="28">
                  <c:v>65256.820825347306</c:v>
                </c:pt>
                <c:pt idx="29">
                  <c:v>66060.438200629505</c:v>
                </c:pt>
                <c:pt idx="30">
                  <c:v>66842.945220605077</c:v>
                </c:pt>
                <c:pt idx="31">
                  <c:v>67605.442924579751</c:v>
                </c:pt>
                <c:pt idx="32">
                  <c:v>68348.94438687971</c:v>
                </c:pt>
                <c:pt idx="33">
                  <c:v>69074.384118019516</c:v>
                </c:pt>
                <c:pt idx="34">
                  <c:v>69782.626219220198</c:v>
                </c:pt>
                <c:pt idx="35">
                  <c:v>70474.471486029361</c:v>
                </c:pt>
                <c:pt idx="36">
                  <c:v>71150.66362152659</c:v>
                </c:pt>
                <c:pt idx="37">
                  <c:v>71811.894691458874</c:v>
                </c:pt>
                <c:pt idx="38">
                  <c:v>72458.809931048556</c:v>
                </c:pt>
                <c:pt idx="39">
                  <c:v>73092.011994952321</c:v>
                </c:pt>
                <c:pt idx="40">
                  <c:v>73712.064726999946</c:v>
                </c:pt>
                <c:pt idx="41">
                  <c:v>74319.496514205326</c:v>
                </c:pt>
                <c:pt idx="42">
                  <c:v>74914.803279565909</c:v>
                </c:pt>
                <c:pt idx="43">
                  <c:v>75498.451159931326</c:v>
                </c:pt>
                <c:pt idx="44">
                  <c:v>76070.878908384373</c:v>
                </c:pt>
                <c:pt idx="45">
                  <c:v>76632.500054881326</c:v>
                </c:pt>
                <c:pt idx="46">
                  <c:v>77183.704854128082</c:v>
                </c:pt>
                <c:pt idx="47">
                  <c:v>77724.862045659582</c:v>
                </c:pt>
                <c:pt idx="48">
                  <c:v>78256.320447706079</c:v>
                </c:pt>
                <c:pt idx="49">
                  <c:v>78778.410403565213</c:v>
                </c:pt>
                <c:pt idx="50">
                  <c:v>79291.445096761454</c:v>
                </c:pt>
                <c:pt idx="51">
                  <c:v>79795.721749197619</c:v>
                </c:pt>
                <c:pt idx="52">
                  <c:v>80291.522714724328</c:v>
                </c:pt>
                <c:pt idx="53">
                  <c:v>80779.116479027114</c:v>
                </c:pt>
                <c:pt idx="54">
                  <c:v>81258.758575416301</c:v>
                </c:pt>
                <c:pt idx="55">
                  <c:v>81730.692424969122</c:v>
                </c:pt>
                <c:pt idx="56">
                  <c:v>82195.150108492046</c:v>
                </c:pt>
                <c:pt idx="57">
                  <c:v>82652.353076915169</c:v>
                </c:pt>
                <c:pt idx="58">
                  <c:v>83102.512805990511</c:v>
                </c:pt>
                <c:pt idx="59">
                  <c:v>83545.831400514668</c:v>
                </c:pt>
                <c:pt idx="60">
                  <c:v>83982.502152730565</c:v>
                </c:pt>
                <c:pt idx="61">
                  <c:v>84412.710059065517</c:v>
                </c:pt>
                <c:pt idx="62">
                  <c:v>84836.632298924276</c:v>
                </c:pt>
                <c:pt idx="63">
                  <c:v>85254.438678872364</c:v>
                </c:pt>
                <c:pt idx="64">
                  <c:v>85666.292045203489</c:v>
                </c:pt>
                <c:pt idx="65">
                  <c:v>86072.34866758564</c:v>
                </c:pt>
                <c:pt idx="66">
                  <c:v>86472.758596212705</c:v>
                </c:pt>
                <c:pt idx="67">
                  <c:v>86867.665994653275</c:v>
                </c:pt>
                <c:pt idx="68">
                  <c:v>87257.209450376977</c:v>
                </c:pt>
                <c:pt idx="69">
                  <c:v>87641.522264751693</c:v>
                </c:pt>
                <c:pt idx="70">
                  <c:v>88020.732724137677</c:v>
                </c:pt>
                <c:pt idx="71">
                  <c:v>88394.964353554897</c:v>
                </c:pt>
                <c:pt idx="72">
                  <c:v>88764.336154266188</c:v>
                </c:pt>
                <c:pt idx="73">
                  <c:v>89128.962826498377</c:v>
                </c:pt>
                <c:pt idx="74">
                  <c:v>89488.954978415655</c:v>
                </c:pt>
                <c:pt idx="75">
                  <c:v>89844.41932236297</c:v>
                </c:pt>
                <c:pt idx="76">
                  <c:v>90195.458859308361</c:v>
                </c:pt>
                <c:pt idx="77">
                  <c:v>90542.173052336017</c:v>
                </c:pt>
                <c:pt idx="78">
                  <c:v>90884.657989968808</c:v>
                </c:pt>
                <c:pt idx="79">
                  <c:v>91223.006540035727</c:v>
                </c:pt>
                <c:pt idx="80">
                  <c:v>91557.308494740486</c:v>
                </c:pt>
                <c:pt idx="81">
                  <c:v>91887.650707535257</c:v>
                </c:pt>
                <c:pt idx="82">
                  <c:v>92214.117222354165</c:v>
                </c:pt>
                <c:pt idx="83">
                  <c:v>92536.789395718966</c:v>
                </c:pt>
                <c:pt idx="84">
                  <c:v>92855.746012187927</c:v>
                </c:pt>
                <c:pt idx="85">
                  <c:v>93171.06339358387</c:v>
                </c:pt>
                <c:pt idx="86">
                  <c:v>93482.815502403188</c:v>
                </c:pt>
                <c:pt idx="87">
                  <c:v>93791.074039778308</c:v>
                </c:pt>
                <c:pt idx="88">
                  <c:v>94095.908538337346</c:v>
                </c:pt>
                <c:pt idx="89">
                  <c:v>94397.386450280566</c:v>
                </c:pt>
                <c:pt idx="90">
                  <c:v>94695.573230968832</c:v>
                </c:pt>
                <c:pt idx="91">
                  <c:v>94990.532418299044</c:v>
                </c:pt>
                <c:pt idx="92">
                  <c:v>95282.325708121178</c:v>
                </c:pt>
                <c:pt idx="93">
                  <c:v>95571.013025933862</c:v>
                </c:pt>
                <c:pt idx="94">
                  <c:v>95856.652595079184</c:v>
                </c:pt>
                <c:pt idx="95">
                  <c:v>96139.301001641987</c:v>
                </c:pt>
                <c:pt idx="96">
                  <c:v>96419.013256244478</c:v>
                </c:pt>
                <c:pt idx="97">
                  <c:v>96695.842852915026</c:v>
                </c:pt>
                <c:pt idx="98">
                  <c:v>96969.841825197014</c:v>
                </c:pt>
                <c:pt idx="99">
                  <c:v>97241.060799653525</c:v>
                </c:pt>
                <c:pt idx="100">
                  <c:v>97509.549046912813</c:v>
                </c:pt>
                <c:pt idx="101">
                  <c:v>97775.354530390134</c:v>
                </c:pt>
                <c:pt idx="102">
                  <c:v>98038.523952813615</c:v>
                </c:pt>
                <c:pt idx="103">
                  <c:v>98299.102800672088</c:v>
                </c:pt>
                <c:pt idx="104">
                  <c:v>98557.135386697264</c:v>
                </c:pt>
                <c:pt idx="105">
                  <c:v>98812.664890484084</c:v>
                </c:pt>
                <c:pt idx="106">
                  <c:v>99065.733397347518</c:v>
                </c:pt>
                <c:pt idx="107">
                  <c:v>99316.38193550783</c:v>
                </c:pt>
                <c:pt idx="108">
                  <c:v>99564.650511690284</c:v>
                </c:pt>
                <c:pt idx="109">
                  <c:v>99810.578145221152</c:v>
                </c:pt>
                <c:pt idx="110">
                  <c:v>100054.20290069572</c:v>
                </c:pt>
                <c:pt idx="111">
                  <c:v>100295.5619192906</c:v>
                </c:pt>
                <c:pt idx="112">
                  <c:v>100534.69144878758</c:v>
                </c:pt>
                <c:pt idx="113">
                  <c:v>100771.62687237292</c:v>
                </c:pt>
                <c:pt idx="114">
                  <c:v>101006.4027362721</c:v>
                </c:pt>
                <c:pt idx="115">
                  <c:v>101239.05277627663</c:v>
                </c:pt>
                <c:pt idx="116">
                  <c:v>101469.60994321585</c:v>
                </c:pt>
                <c:pt idx="117">
                  <c:v>101698.10642742504</c:v>
                </c:pt>
                <c:pt idx="118">
                  <c:v>101924.57368225635</c:v>
                </c:pt>
                <c:pt idx="119">
                  <c:v>102149.04244667824</c:v>
                </c:pt>
                <c:pt idx="120">
                  <c:v>102371.54276700571</c:v>
                </c:pt>
                <c:pt idx="121">
                  <c:v>102592.10401780123</c:v>
                </c:pt>
                <c:pt idx="122">
                  <c:v>102810.75492198483</c:v>
                </c:pt>
                <c:pt idx="123">
                  <c:v>103027.52357018901</c:v>
                </c:pt>
                <c:pt idx="124">
                  <c:v>103242.43743939258</c:v>
                </c:pt>
                <c:pt idx="125">
                  <c:v>103455.52341086594</c:v>
                </c:pt>
                <c:pt idx="126">
                  <c:v>103666.80778745787</c:v>
                </c:pt>
                <c:pt idx="127">
                  <c:v>103876.31631025365</c:v>
                </c:pt>
                <c:pt idx="128">
                  <c:v>104084.07417463111</c:v>
                </c:pt>
                <c:pt idx="129">
                  <c:v>104290.10604574141</c:v>
                </c:pt>
                <c:pt idx="130">
                  <c:v>104494.43607343908</c:v>
                </c:pt>
                <c:pt idx="131">
                  <c:v>104697.08790668477</c:v>
                </c:pt>
                <c:pt idx="132">
                  <c:v>104898.08470744333</c:v>
                </c:pt>
                <c:pt idx="133">
                  <c:v>105097.44916409825</c:v>
                </c:pt>
                <c:pt idx="134">
                  <c:v>105295.20350440274</c:v>
                </c:pt>
                <c:pt idx="135">
                  <c:v>105491.36950798695</c:v>
                </c:pt>
                <c:pt idx="136">
                  <c:v>105685.96851843901</c:v>
                </c:pt>
                <c:pt idx="137">
                  <c:v>105879.02145497806</c:v>
                </c:pt>
                <c:pt idx="138">
                  <c:v>106070.54882373528</c:v>
                </c:pt>
                <c:pt idx="139">
                  <c:v>106260.57072865905</c:v>
                </c:pt>
                <c:pt idx="140">
                  <c:v>106449.10688205918</c:v>
                </c:pt>
                <c:pt idx="141">
                  <c:v>106636.17661480437</c:v>
                </c:pt>
                <c:pt idx="142">
                  <c:v>106821.79888618726</c:v>
                </c:pt>
                <c:pt idx="143">
                  <c:v>107005.99229346913</c:v>
                </c:pt>
                <c:pt idx="144">
                  <c:v>107188.77508111759</c:v>
                </c:pt>
                <c:pt idx="145">
                  <c:v>107370.16514974873</c:v>
                </c:pt>
                <c:pt idx="146">
                  <c:v>107550.18006478515</c:v>
                </c:pt>
                <c:pt idx="147">
                  <c:v>107728.83706484066</c:v>
                </c:pt>
                <c:pt idx="148">
                  <c:v>107906.15306984229</c:v>
                </c:pt>
                <c:pt idx="149">
                  <c:v>108082.14468889906</c:v>
                </c:pt>
                <c:pt idx="150">
                  <c:v>108256.82822792749</c:v>
                </c:pt>
                <c:pt idx="151">
                  <c:v>108430.21969704244</c:v>
                </c:pt>
                <c:pt idx="152">
                  <c:v>108602.33481772232</c:v>
                </c:pt>
                <c:pt idx="153">
                  <c:v>108773.18902975667</c:v>
                </c:pt>
                <c:pt idx="154">
                  <c:v>108942.79749798433</c:v>
                </c:pt>
                <c:pt idx="155">
                  <c:v>109111.17511882931</c:v>
                </c:pt>
                <c:pt idx="156">
                  <c:v>109278.33652664251</c:v>
                </c:pt>
                <c:pt idx="157">
                  <c:v>109444.29609985513</c:v>
                </c:pt>
                <c:pt idx="158">
                  <c:v>109609.06796695142</c:v>
                </c:pt>
                <c:pt idx="159">
                  <c:v>109772.66601226662</c:v>
                </c:pt>
                <c:pt idx="160">
                  <c:v>109935.10388161654</c:v>
                </c:pt>
                <c:pt idx="161">
                  <c:v>110096.39498776424</c:v>
                </c:pt>
                <c:pt idx="162">
                  <c:v>110256.55251573006</c:v>
                </c:pt>
                <c:pt idx="163">
                  <c:v>110415.58942794979</c:v>
                </c:pt>
                <c:pt idx="164">
                  <c:v>110573.51846928681</c:v>
                </c:pt>
                <c:pt idx="165">
                  <c:v>110730.35217190241</c:v>
                </c:pt>
                <c:pt idx="166">
                  <c:v>110886.10285999016</c:v>
                </c:pt>
                <c:pt idx="167">
                  <c:v>111040.78265437753</c:v>
                </c:pt>
                <c:pt idx="168">
                  <c:v>111194.40347700068</c:v>
                </c:pt>
                <c:pt idx="169">
                  <c:v>111346.97705525543</c:v>
                </c:pt>
                <c:pt idx="170">
                  <c:v>111498.51492622927</c:v>
                </c:pt>
                <c:pt idx="171">
                  <c:v>111649.02844081803</c:v>
                </c:pt>
                <c:pt idx="172">
                  <c:v>111798.52876773097</c:v>
                </c:pt>
                <c:pt idx="173">
                  <c:v>111947.02689738802</c:v>
                </c:pt>
                <c:pt idx="174">
                  <c:v>112094.53364571257</c:v>
                </c:pt>
                <c:pt idx="175">
                  <c:v>112241.05965782327</c:v>
                </c:pt>
                <c:pt idx="176">
                  <c:v>112386.61541162813</c:v>
                </c:pt>
                <c:pt idx="177">
                  <c:v>112531.21122132363</c:v>
                </c:pt>
                <c:pt idx="178">
                  <c:v>112674.85724080239</c:v>
                </c:pt>
                <c:pt idx="179">
                  <c:v>112817.56346697203</c:v>
                </c:pt>
                <c:pt idx="180">
                  <c:v>112959.33974298788</c:v>
                </c:pt>
                <c:pt idx="181">
                  <c:v>113100.19576140237</c:v>
                </c:pt>
                <c:pt idx="182">
                  <c:v>113240.14106723371</c:v>
                </c:pt>
                <c:pt idx="183">
                  <c:v>113379.1850609563</c:v>
                </c:pt>
                <c:pt idx="184">
                  <c:v>113517.33700141519</c:v>
                </c:pt>
                <c:pt idx="185">
                  <c:v>113654.60600866703</c:v>
                </c:pt>
                <c:pt idx="186">
                  <c:v>113791.00106674976</c:v>
                </c:pt>
                <c:pt idx="187">
                  <c:v>113926.5310263828</c:v>
                </c:pt>
                <c:pt idx="188">
                  <c:v>114061.20460760067</c:v>
                </c:pt>
                <c:pt idx="189">
                  <c:v>114195.030402321</c:v>
                </c:pt>
                <c:pt idx="190">
                  <c:v>114328.01687684964</c:v>
                </c:pt>
                <c:pt idx="191">
                  <c:v>114460.17237432439</c:v>
                </c:pt>
                <c:pt idx="192">
                  <c:v>114591.50511709938</c:v>
                </c:pt>
                <c:pt idx="193">
                  <c:v>114722.02320907135</c:v>
                </c:pt>
                <c:pt idx="194">
                  <c:v>114851.73463795026</c:v>
                </c:pt>
                <c:pt idx="195">
                  <c:v>114980.64727747503</c:v>
                </c:pt>
                <c:pt idx="196">
                  <c:v>115108.76888957692</c:v>
                </c:pt>
                <c:pt idx="197">
                  <c:v>115236.10712649097</c:v>
                </c:pt>
                <c:pt idx="198">
                  <c:v>115362.66953281788</c:v>
                </c:pt>
                <c:pt idx="199">
                  <c:v>115488.46354753744</c:v>
                </c:pt>
                <c:pt idx="200">
                  <c:v>115613.49650597463</c:v>
                </c:pt>
                <c:pt idx="201">
                  <c:v>115737.77564171994</c:v>
                </c:pt>
                <c:pt idx="202">
                  <c:v>115861.30808850551</c:v>
                </c:pt>
                <c:pt idx="203">
                  <c:v>115984.10088203756</c:v>
                </c:pt>
                <c:pt idx="204">
                  <c:v>116106.16096178695</c:v>
                </c:pt>
                <c:pt idx="205">
                  <c:v>116227.49517273904</c:v>
                </c:pt>
                <c:pt idx="206">
                  <c:v>116348.11026710317</c:v>
                </c:pt>
                <c:pt idx="207">
                  <c:v>116468.0129059842</c:v>
                </c:pt>
                <c:pt idx="208">
                  <c:v>116587.20966101572</c:v>
                </c:pt>
                <c:pt idx="209">
                  <c:v>116705.70701595706</c:v>
                </c:pt>
                <c:pt idx="210">
                  <c:v>116823.51136825452</c:v>
                </c:pt>
                <c:pt idx="211">
                  <c:v>116940.62903056775</c:v>
                </c:pt>
                <c:pt idx="212">
                  <c:v>117057.06623226275</c:v>
                </c:pt>
                <c:pt idx="213">
                  <c:v>117172.82912087161</c:v>
                </c:pt>
                <c:pt idx="214">
                  <c:v>117287.92376352038</c:v>
                </c:pt>
                <c:pt idx="215">
                  <c:v>117402.35614832606</c:v>
                </c:pt>
                <c:pt idx="216">
                  <c:v>117516.13218576269</c:v>
                </c:pt>
                <c:pt idx="217">
                  <c:v>117629.25770999849</c:v>
                </c:pt>
                <c:pt idx="218">
                  <c:v>117741.73848020373</c:v>
                </c:pt>
                <c:pt idx="219">
                  <c:v>117853.58018183093</c:v>
                </c:pt>
                <c:pt idx="220">
                  <c:v>117964.78842786749</c:v>
                </c:pt>
                <c:pt idx="221">
                  <c:v>118075.36876006192</c:v>
                </c:pt>
                <c:pt idx="222">
                  <c:v>118185.32665012384</c:v>
                </c:pt>
                <c:pt idx="223">
                  <c:v>118294.66750089922</c:v>
                </c:pt>
                <c:pt idx="224">
                  <c:v>118403.39664752016</c:v>
                </c:pt>
                <c:pt idx="225">
                  <c:v>118511.51935853157</c:v>
                </c:pt>
                <c:pt idx="226">
                  <c:v>118619.04083699384</c:v>
                </c:pt>
                <c:pt idx="227">
                  <c:v>118725.96622156285</c:v>
                </c:pt>
                <c:pt idx="228">
                  <c:v>118832.30058754762</c:v>
                </c:pt>
                <c:pt idx="229">
                  <c:v>118938.04894794658</c:v>
                </c:pt>
                <c:pt idx="230">
                  <c:v>119043.21625446218</c:v>
                </c:pt>
                <c:pt idx="231">
                  <c:v>119147.80739849529</c:v>
                </c:pt>
                <c:pt idx="232">
                  <c:v>119251.82721211904</c:v>
                </c:pt>
                <c:pt idx="233">
                  <c:v>119355.28046903337</c:v>
                </c:pt>
                <c:pt idx="234">
                  <c:v>119458.17188550018</c:v>
                </c:pt>
                <c:pt idx="235">
                  <c:v>119560.50612125978</c:v>
                </c:pt>
                <c:pt idx="236">
                  <c:v>119662.28778042911</c:v>
                </c:pt>
                <c:pt idx="237">
                  <c:v>119763.52141238212</c:v>
                </c:pt>
                <c:pt idx="238">
                  <c:v>119864.21151261275</c:v>
                </c:pt>
                <c:pt idx="239">
                  <c:v>119964.36252358077</c:v>
                </c:pt>
                <c:pt idx="240">
                  <c:v>120063.97883554138</c:v>
                </c:pt>
                <c:pt idx="241">
                  <c:v>120163.06478735815</c:v>
                </c:pt>
                <c:pt idx="242">
                  <c:v>120261.62466730052</c:v>
                </c:pt>
                <c:pt idx="243">
                  <c:v>120359.66271382553</c:v>
                </c:pt>
                <c:pt idx="244">
                  <c:v>120457.18311634485</c:v>
                </c:pt>
                <c:pt idx="245">
                  <c:v>120554.19001597655</c:v>
                </c:pt>
                <c:pt idx="246">
                  <c:v>120650.68750628296</c:v>
                </c:pt>
                <c:pt idx="247">
                  <c:v>120746.67963399415</c:v>
                </c:pt>
                <c:pt idx="248">
                  <c:v>120842.17039971777</c:v>
                </c:pt>
                <c:pt idx="249">
                  <c:v>120937.16375863543</c:v>
                </c:pt>
                <c:pt idx="250">
                  <c:v>121031.66362118593</c:v>
                </c:pt>
                <c:pt idx="251">
                  <c:v>121125.67385373577</c:v>
                </c:pt>
                <c:pt idx="252">
                  <c:v>121219.19827923689</c:v>
                </c:pt>
                <c:pt idx="253">
                  <c:v>121312.24067787237</c:v>
                </c:pt>
                <c:pt idx="254">
                  <c:v>121404.80478768999</c:v>
                </c:pt>
                <c:pt idx="255">
                  <c:v>121496.89430522427</c:v>
                </c:pt>
                <c:pt idx="256">
                  <c:v>121588.51288610668</c:v>
                </c:pt>
                <c:pt idx="257">
                  <c:v>121679.66414566502</c:v>
                </c:pt>
                <c:pt idx="258">
                  <c:v>121770.35165951174</c:v>
                </c:pt>
                <c:pt idx="259">
                  <c:v>121860.57896412133</c:v>
                </c:pt>
                <c:pt idx="260">
                  <c:v>121950.34955739742</c:v>
                </c:pt>
                <c:pt idx="261">
                  <c:v>122039.66689922972</c:v>
                </c:pt>
                <c:pt idx="262">
                  <c:v>122128.53441204064</c:v>
                </c:pt>
                <c:pt idx="263">
                  <c:v>122216.95548132225</c:v>
                </c:pt>
                <c:pt idx="264">
                  <c:v>122304.93345616377</c:v>
                </c:pt>
                <c:pt idx="265">
                  <c:v>122392.4716497693</c:v>
                </c:pt>
                <c:pt idx="266">
                  <c:v>122479.57333996677</c:v>
                </c:pt>
                <c:pt idx="267">
                  <c:v>122566.24176970753</c:v>
                </c:pt>
                <c:pt idx="268">
                  <c:v>122652.48014755736</c:v>
                </c:pt>
                <c:pt idx="269">
                  <c:v>122738.29164817874</c:v>
                </c:pt>
                <c:pt idx="270">
                  <c:v>122823.67941280481</c:v>
                </c:pt>
                <c:pt idx="271">
                  <c:v>122908.64654970478</c:v>
                </c:pt>
                <c:pt idx="272">
                  <c:v>122993.19613464158</c:v>
                </c:pt>
                <c:pt idx="273">
                  <c:v>123077.33121132145</c:v>
                </c:pt>
                <c:pt idx="274">
                  <c:v>123161.05479183562</c:v>
                </c:pt>
                <c:pt idx="275">
                  <c:v>123244.36985709472</c:v>
                </c:pt>
                <c:pt idx="276">
                  <c:v>123327.27935725538</c:v>
                </c:pt>
                <c:pt idx="277">
                  <c:v>123409.78621213982</c:v>
                </c:pt>
                <c:pt idx="278">
                  <c:v>123491.89331164816</c:v>
                </c:pt>
                <c:pt idx="279">
                  <c:v>123573.60351616387</c:v>
                </c:pt>
                <c:pt idx="280">
                  <c:v>123654.91965695212</c:v>
                </c:pt>
                <c:pt idx="281">
                  <c:v>123735.84453655162</c:v>
                </c:pt>
                <c:pt idx="282">
                  <c:v>123816.38092915996</c:v>
                </c:pt>
                <c:pt idx="283">
                  <c:v>123896.5315810122</c:v>
                </c:pt>
                <c:pt idx="284">
                  <c:v>123976.29921075347</c:v>
                </c:pt>
                <c:pt idx="285">
                  <c:v>124055.68650980511</c:v>
                </c:pt>
                <c:pt idx="286">
                  <c:v>124134.69614272499</c:v>
                </c:pt>
                <c:pt idx="287">
                  <c:v>124213.33074756169</c:v>
                </c:pt>
                <c:pt idx="288">
                  <c:v>124291.5929362029</c:v>
                </c:pt>
                <c:pt idx="289">
                  <c:v>124369.48529471818</c:v>
                </c:pt>
                <c:pt idx="290">
                  <c:v>124447.01038369616</c:v>
                </c:pt>
                <c:pt idx="291">
                  <c:v>124524.17073857597</c:v>
                </c:pt>
                <c:pt idx="292">
                  <c:v>124600.96886997367</c:v>
                </c:pt>
                <c:pt idx="293">
                  <c:v>124677.40726400311</c:v>
                </c:pt>
                <c:pt idx="294">
                  <c:v>124753.48838259168</c:v>
                </c:pt>
                <c:pt idx="295">
                  <c:v>124829.21466379116</c:v>
                </c:pt>
                <c:pt idx="296">
                  <c:v>124904.58852208336</c:v>
                </c:pt>
                <c:pt idx="297">
                  <c:v>124979.61234868095</c:v>
                </c:pt>
                <c:pt idx="298">
                  <c:v>125054.28851182357</c:v>
                </c:pt>
                <c:pt idx="299">
                  <c:v>125128.6193570692</c:v>
                </c:pt>
                <c:pt idx="300">
                  <c:v>125202.60720758088</c:v>
                </c:pt>
                <c:pt idx="301">
                  <c:v>125276.25436440902</c:v>
                </c:pt>
                <c:pt idx="302">
                  <c:v>125349.56310676906</c:v>
                </c:pt>
                <c:pt idx="303">
                  <c:v>125422.53569231508</c:v>
                </c:pt>
                <c:pt idx="304">
                  <c:v>125495.17435740892</c:v>
                </c:pt>
                <c:pt idx="305">
                  <c:v>125567.48131738511</c:v>
                </c:pt>
                <c:pt idx="306">
                  <c:v>125639.45876681182</c:v>
                </c:pt>
                <c:pt idx="307">
                  <c:v>125711.10887974771</c:v>
                </c:pt>
                <c:pt idx="308">
                  <c:v>125782.43380999473</c:v>
                </c:pt>
                <c:pt idx="309">
                  <c:v>125853.43569134724</c:v>
                </c:pt>
                <c:pt idx="310">
                  <c:v>125924.11663783711</c:v>
                </c:pt>
                <c:pt idx="311">
                  <c:v>125994.47874397512</c:v>
                </c:pt>
                <c:pt idx="312">
                  <c:v>126064.52408498885</c:v>
                </c:pt>
                <c:pt idx="313">
                  <c:v>126134.25471705668</c:v>
                </c:pt>
                <c:pt idx="314">
                  <c:v>126203.6726775385</c:v>
                </c:pt>
                <c:pt idx="315">
                  <c:v>126272.77998520281</c:v>
                </c:pt>
                <c:pt idx="316">
                  <c:v>126341.57864045045</c:v>
                </c:pt>
                <c:pt idx="317">
                  <c:v>126410.07062553481</c:v>
                </c:pt>
                <c:pt idx="318">
                  <c:v>126478.25790477911</c:v>
                </c:pt>
                <c:pt idx="319">
                  <c:v>126546.1424247901</c:v>
                </c:pt>
                <c:pt idx="320">
                  <c:v>126613.72611466872</c:v>
                </c:pt>
                <c:pt idx="321">
                  <c:v>126681.01088621761</c:v>
                </c:pt>
                <c:pt idx="322">
                  <c:v>126747.99863414568</c:v>
                </c:pt>
                <c:pt idx="323">
                  <c:v>126814.69123626931</c:v>
                </c:pt>
                <c:pt idx="324">
                  <c:v>126881.09055371111</c:v>
                </c:pt>
                <c:pt idx="325">
                  <c:v>126947.19843109541</c:v>
                </c:pt>
                <c:pt idx="326">
                  <c:v>127013.01669674092</c:v>
                </c:pt>
                <c:pt idx="327">
                  <c:v>127078.54716285066</c:v>
                </c:pt>
                <c:pt idx="328">
                  <c:v>127143.79162569929</c:v>
                </c:pt>
                <c:pt idx="329">
                  <c:v>127208.75186581732</c:v>
                </c:pt>
                <c:pt idx="330">
                  <c:v>127273.42964817313</c:v>
                </c:pt>
                <c:pt idx="331">
                  <c:v>127337.82672235204</c:v>
                </c:pt>
                <c:pt idx="332">
                  <c:v>127401.94482273287</c:v>
                </c:pt>
                <c:pt idx="333">
                  <c:v>127465.78566866217</c:v>
                </c:pt>
                <c:pt idx="334">
                  <c:v>127529.35096462576</c:v>
                </c:pt>
                <c:pt idx="335">
                  <c:v>127592.64240041775</c:v>
                </c:pt>
                <c:pt idx="336">
                  <c:v>127655.66165130762</c:v>
                </c:pt>
                <c:pt idx="337">
                  <c:v>127718.41037820425</c:v>
                </c:pt>
                <c:pt idx="338">
                  <c:v>127780.89022781832</c:v>
                </c:pt>
                <c:pt idx="339">
                  <c:v>127843.102832822</c:v>
                </c:pt>
                <c:pt idx="340">
                  <c:v>127905.04981200637</c:v>
                </c:pt>
                <c:pt idx="341">
                  <c:v>127966.73277043713</c:v>
                </c:pt>
                <c:pt idx="342">
                  <c:v>128028.15329960745</c:v>
                </c:pt>
                <c:pt idx="343">
                  <c:v>128089.31297758924</c:v>
                </c:pt>
                <c:pt idx="344">
                  <c:v>128150.21336918205</c:v>
                </c:pt>
                <c:pt idx="345">
                  <c:v>128210.85602606008</c:v>
                </c:pt>
                <c:pt idx="346">
                  <c:v>128271.24248691686</c:v>
                </c:pt>
                <c:pt idx="347">
                  <c:v>128331.37427760843</c:v>
                </c:pt>
                <c:pt idx="348">
                  <c:v>128391.25291129413</c:v>
                </c:pt>
                <c:pt idx="349">
                  <c:v>128450.87988857548</c:v>
                </c:pt>
                <c:pt idx="350">
                  <c:v>128510.25669763362</c:v>
                </c:pt>
                <c:pt idx="351">
                  <c:v>128569.38481436428</c:v>
                </c:pt>
                <c:pt idx="352">
                  <c:v>128628.26570251133</c:v>
                </c:pt>
                <c:pt idx="353">
                  <c:v>128686.90081379835</c:v>
                </c:pt>
                <c:pt idx="354">
                  <c:v>128745.29158805849</c:v>
                </c:pt>
                <c:pt idx="355">
                  <c:v>128803.43945336268</c:v>
                </c:pt>
                <c:pt idx="356">
                  <c:v>128861.34582614571</c:v>
                </c:pt>
                <c:pt idx="357">
                  <c:v>128919.01211133118</c:v>
                </c:pt>
                <c:pt idx="358">
                  <c:v>128976.43970245447</c:v>
                </c:pt>
                <c:pt idx="359">
                  <c:v>129033.62998178403</c:v>
                </c:pt>
              </c:numCache>
            </c:numRef>
          </c:yVal>
        </c:ser>
        <c:axId val="205984512"/>
        <c:axId val="206002816"/>
      </c:scatterChart>
      <c:valAx>
        <c:axId val="20598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50743673876208495"/>
              <c:y val="0.9381137497255071"/>
            </c:manualLayout>
          </c:layout>
        </c:title>
        <c:numFmt formatCode="0.0" sourceLinked="1"/>
        <c:tickLblPos val="nextTo"/>
        <c:crossAx val="206002816"/>
        <c:crosses val="autoZero"/>
        <c:crossBetween val="midCat"/>
      </c:valAx>
      <c:valAx>
        <c:axId val="206002816"/>
        <c:scaling>
          <c:orientation val="minMax"/>
          <c:max val="300000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Production</a:t>
                </a:r>
              </a:p>
            </c:rich>
          </c:tx>
          <c:layout>
            <c:manualLayout>
              <c:xMode val="edge"/>
              <c:yMode val="edge"/>
              <c:x val="1.4845489883384834E-2"/>
              <c:y val="0.32062603130783973"/>
            </c:manualLayout>
          </c:layout>
        </c:title>
        <c:numFmt formatCode="0.0" sourceLinked="1"/>
        <c:tickLblPos val="nextTo"/>
        <c:crossAx val="2059845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079027210206322"/>
          <c:y val="3.1119616024092606E-2"/>
          <c:w val="0.2871736070965813"/>
          <c:h val="0.32245757128964497"/>
        </c:manualLayout>
      </c:layout>
    </c:legend>
    <c:plotVisOnly val="1"/>
  </c:chart>
  <c:txPr>
    <a:bodyPr/>
    <a:lstStyle/>
    <a:p>
      <a:pPr>
        <a:defRPr sz="16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768942170516976"/>
          <c:y val="3.8152988608382718E-2"/>
          <c:w val="0.83142889254712238"/>
          <c:h val="0.87575885488540794"/>
        </c:manualLayout>
      </c:layout>
      <c:scatterChart>
        <c:scatterStyle val="lineMarker"/>
        <c:ser>
          <c:idx val="0"/>
          <c:order val="0"/>
          <c:tx>
            <c:strRef>
              <c:f>Hyperbolic!$I$2</c:f>
              <c:strCache>
                <c:ptCount val="1"/>
                <c:pt idx="0">
                  <c:v>Jan 08 to Jan 13 cumulative</c:v>
                </c:pt>
              </c:strCache>
            </c:strRef>
          </c:tx>
          <c:spPr>
            <a:ln w="63500"/>
          </c:spPr>
          <c:marker>
            <c:symbol val="none"/>
          </c:marker>
          <c:xVal>
            <c:numRef>
              <c:f>Hyperbolic!$H$3:$H$362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Hyperbolic!$I$3:$I$362</c:f>
              <c:numCache>
                <c:formatCode>0.0</c:formatCode>
                <c:ptCount val="360"/>
                <c:pt idx="0">
                  <c:v>14897.615546421317</c:v>
                </c:pt>
                <c:pt idx="1">
                  <c:v>28155.615889597411</c:v>
                </c:pt>
                <c:pt idx="2">
                  <c:v>39954.455277816269</c:v>
                </c:pt>
                <c:pt idx="3">
                  <c:v>50454.727363013313</c:v>
                </c:pt>
                <c:pt idx="4">
                  <c:v>59799.351036190739</c:v>
                </c:pt>
                <c:pt idx="5">
                  <c:v>68115.515692191591</c:v>
                </c:pt>
                <c:pt idx="6">
                  <c:v>75516.412400769477</c:v>
                </c:pt>
                <c:pt idx="7">
                  <c:v>82102.774546871908</c:v>
                </c:pt>
                <c:pt idx="8">
                  <c:v>87964.248909746326</c:v>
                </c:pt>
                <c:pt idx="9">
                  <c:v>93180.615842585772</c:v>
                </c:pt>
                <c:pt idx="10">
                  <c:v>97822.875160542928</c:v>
                </c:pt>
                <c:pt idx="11">
                  <c:v>101954.21251710219</c:v>
                </c:pt>
                <c:pt idx="12">
                  <c:v>105630.85942212965</c:v>
                </c:pt>
                <c:pt idx="13">
                  <c:v>108902.85860728119</c:v>
                </c:pt>
                <c:pt idx="14">
                  <c:v>111814.74515613442</c:v>
                </c:pt>
                <c:pt idx="15">
                  <c:v>114523.39970158896</c:v>
                </c:pt>
                <c:pt idx="16">
                  <c:v>117091.95142572689</c:v>
                </c:pt>
                <c:pt idx="17">
                  <c:v>119534.18093392361</c:v>
                </c:pt>
                <c:pt idx="18">
                  <c:v>121861.93093392361</c:v>
                </c:pt>
                <c:pt idx="19">
                  <c:v>124085.45332198331</c:v>
                </c:pt>
                <c:pt idx="20">
                  <c:v>126213.68189341188</c:v>
                </c:pt>
                <c:pt idx="21">
                  <c:v>128254.44901669955</c:v>
                </c:pt>
                <c:pt idx="22">
                  <c:v>130214.65954301534</c:v>
                </c:pt>
                <c:pt idx="23">
                  <c:v>132100.43169491406</c:v>
                </c:pt>
                <c:pt idx="24">
                  <c:v>133917.21218271894</c:v>
                </c:pt>
                <c:pt idx="25">
                  <c:v>135669.87100624834</c:v>
                </c:pt>
                <c:pt idx="26">
                  <c:v>137362.78009715743</c:v>
                </c:pt>
                <c:pt idx="27">
                  <c:v>138999.87899825635</c:v>
                </c:pt>
                <c:pt idx="28">
                  <c:v>140584.73006208614</c:v>
                </c:pt>
                <c:pt idx="29">
                  <c:v>142120.56511363253</c:v>
                </c:pt>
                <c:pt idx="30">
                  <c:v>143610.32511363254</c:v>
                </c:pt>
                <c:pt idx="31">
                  <c:v>145056.69404567138</c:v>
                </c:pt>
                <c:pt idx="32">
                  <c:v>146462.12800793553</c:v>
                </c:pt>
                <c:pt idx="33">
                  <c:v>147828.88030151351</c:v>
                </c:pt>
                <c:pt idx="34">
                  <c:v>149159.02315865638</c:v>
                </c:pt>
                <c:pt idx="35">
                  <c:v>150454.46663691723</c:v>
                </c:pt>
                <c:pt idx="36">
                  <c:v>151716.97511149349</c:v>
                </c:pt>
                <c:pt idx="37">
                  <c:v>152948.18172306375</c:v>
                </c:pt>
                <c:pt idx="38">
                  <c:v>154149.60107790245</c:v>
                </c:pt>
                <c:pt idx="39">
                  <c:v>155322.64044798119</c:v>
                </c:pt>
                <c:pt idx="40">
                  <c:v>156468.60967875042</c:v>
                </c:pt>
                <c:pt idx="41">
                  <c:v>157588.7299795023</c:v>
                </c:pt>
                <c:pt idx="42">
                  <c:v>158684.14174420817</c:v>
                </c:pt>
                <c:pt idx="43">
                  <c:v>159755.91152838082</c:v>
                </c:pt>
                <c:pt idx="44">
                  <c:v>160805.0382889442</c:v>
                </c:pt>
                <c:pt idx="45">
                  <c:v>161832.45897859937</c:v>
                </c:pt>
                <c:pt idx="46">
                  <c:v>162839.05357319396</c:v>
                </c:pt>
                <c:pt idx="47">
                  <c:v>163825.64959968402</c:v>
                </c:pt>
                <c:pt idx="48">
                  <c:v>164793.02622306065</c:v>
                </c:pt>
                <c:pt idx="49">
                  <c:v>165741.91794280586</c:v>
                </c:pt>
                <c:pt idx="50">
                  <c:v>166673.01794280586</c:v>
                </c:pt>
                <c:pt idx="51">
                  <c:v>167586.98113298992</c:v>
                </c:pt>
                <c:pt idx="52">
                  <c:v>168484.42691612247</c:v>
                </c:pt>
                <c:pt idx="53">
                  <c:v>169365.94170902186</c:v>
                </c:pt>
                <c:pt idx="54">
                  <c:v>170232.08124390559</c:v>
                </c:pt>
                <c:pt idx="55">
                  <c:v>171083.37267247701</c:v>
                </c:pt>
                <c:pt idx="56">
                  <c:v>171920.31649270174</c:v>
                </c:pt>
                <c:pt idx="57">
                  <c:v>172743.38831590617</c:v>
                </c:pt>
                <c:pt idx="58">
                  <c:v>173553.04048981922</c:v>
                </c:pt>
                <c:pt idx="59">
                  <c:v>174349.70359142349</c:v>
                </c:pt>
                <c:pt idx="60">
                  <c:v>175133.7878019498</c:v>
                </c:pt>
                <c:pt idx="61">
                  <c:v>175905.68417500678</c:v>
                </c:pt>
                <c:pt idx="62">
                  <c:v>176665.76580765983</c:v>
                </c:pt>
                <c:pt idx="63">
                  <c:v>177414.38892323771</c:v>
                </c:pt>
                <c:pt idx="64">
                  <c:v>178151.89387373277</c:v>
                </c:pt>
                <c:pt idx="65">
                  <c:v>178878.60606885471</c:v>
                </c:pt>
                <c:pt idx="66">
                  <c:v>179594.8368380855</c:v>
                </c:pt>
                <c:pt idx="67">
                  <c:v>180300.88423145041</c:v>
                </c:pt>
                <c:pt idx="68">
                  <c:v>180997.0337641607</c:v>
                </c:pt>
                <c:pt idx="69">
                  <c:v>181683.55910978283</c:v>
                </c:pt>
                <c:pt idx="70">
                  <c:v>182360.72274614646</c:v>
                </c:pt>
                <c:pt idx="71">
                  <c:v>183028.77655780566</c:v>
                </c:pt>
                <c:pt idx="72">
                  <c:v>183687.96239851363</c:v>
                </c:pt>
                <c:pt idx="73">
                  <c:v>184338.51261685425</c:v>
                </c:pt>
                <c:pt idx="74">
                  <c:v>184980.65054788874</c:v>
                </c:pt>
                <c:pt idx="75">
                  <c:v>185614.59097342065</c:v>
                </c:pt>
                <c:pt idx="76">
                  <c:v>186240.54055325259</c:v>
                </c:pt>
                <c:pt idx="77">
                  <c:v>186858.69822960114</c:v>
                </c:pt>
                <c:pt idx="78">
                  <c:v>187469.25560665032</c:v>
                </c:pt>
                <c:pt idx="79">
                  <c:v>188072.39730705519</c:v>
                </c:pt>
                <c:pt idx="80">
                  <c:v>188668.3013070552</c:v>
                </c:pt>
                <c:pt idx="81">
                  <c:v>189257.13925171923</c:v>
                </c:pt>
                <c:pt idx="82">
                  <c:v>189839.07675171923</c:v>
                </c:pt>
                <c:pt idx="83">
                  <c:v>190414.27366291615</c:v>
                </c:pt>
                <c:pt idx="84">
                  <c:v>190982.88434993906</c:v>
                </c:pt>
                <c:pt idx="85">
                  <c:v>191545.05793484472</c:v>
                </c:pt>
                <c:pt idx="86">
                  <c:v>192100.93853185963</c:v>
                </c:pt>
                <c:pt idx="87">
                  <c:v>192650.66546912902</c:v>
                </c:pt>
                <c:pt idx="88">
                  <c:v>193194.37349832611</c:v>
                </c:pt>
                <c:pt idx="89">
                  <c:v>193732.19299291095</c:v>
                </c:pt>
                <c:pt idx="90">
                  <c:v>194264.25013576809</c:v>
                </c:pt>
                <c:pt idx="91">
                  <c:v>194790.66709689883</c:v>
                </c:pt>
                <c:pt idx="92">
                  <c:v>195311.56220179395</c:v>
                </c:pt>
                <c:pt idx="93">
                  <c:v>195827.0500910673</c:v>
                </c:pt>
                <c:pt idx="94">
                  <c:v>196337.24187188921</c:v>
                </c:pt>
                <c:pt idx="95">
                  <c:v>196842.24526171971</c:v>
                </c:pt>
                <c:pt idx="96">
                  <c:v>197342.16472480696</c:v>
                </c:pt>
                <c:pt idx="97">
                  <c:v>197837.10160188336</c:v>
                </c:pt>
                <c:pt idx="98">
                  <c:v>198327.15423346232</c:v>
                </c:pt>
                <c:pt idx="99">
                  <c:v>198812.41807711055</c:v>
                </c:pt>
                <c:pt idx="100">
                  <c:v>199292.98581904604</c:v>
                </c:pt>
                <c:pt idx="101">
                  <c:v>199768.9474803879</c:v>
                </c:pt>
                <c:pt idx="102">
                  <c:v>200240.39051836258</c:v>
                </c:pt>
                <c:pt idx="103">
                  <c:v>200707.3999227513</c:v>
                </c:pt>
                <c:pt idx="104">
                  <c:v>201170.05830784448</c:v>
                </c:pt>
                <c:pt idx="105">
                  <c:v>201628.44600015218</c:v>
                </c:pt>
                <c:pt idx="106">
                  <c:v>202082.64112210341</c:v>
                </c:pt>
                <c:pt idx="107">
                  <c:v>202532.71967195236</c:v>
                </c:pt>
                <c:pt idx="108">
                  <c:v>202978.75560009608</c:v>
                </c:pt>
                <c:pt idx="109">
                  <c:v>203420.8208819952</c:v>
                </c:pt>
                <c:pt idx="110">
                  <c:v>203858.98558787754</c:v>
                </c:pt>
                <c:pt idx="111">
                  <c:v>204293.31794939359</c:v>
                </c:pt>
                <c:pt idx="112">
                  <c:v>204723.88442338203</c:v>
                </c:pt>
                <c:pt idx="113">
                  <c:v>205150.74975289492</c:v>
                </c:pt>
                <c:pt idx="114">
                  <c:v>205573.97702562218</c:v>
                </c:pt>
                <c:pt idx="115">
                  <c:v>205993.62772984753</c:v>
                </c:pt>
                <c:pt idx="116">
                  <c:v>206409.76180805982</c:v>
                </c:pt>
                <c:pt idx="117">
                  <c:v>206822.43770833683</c:v>
                </c:pt>
                <c:pt idx="118">
                  <c:v>207231.71243361157</c:v>
                </c:pt>
                <c:pt idx="119">
                  <c:v>207637.64158892492</c:v>
                </c:pt>
                <c:pt idx="120">
                  <c:v>208040.27942676275</c:v>
                </c:pt>
                <c:pt idx="121">
                  <c:v>208439.67889056972</c:v>
                </c:pt>
                <c:pt idx="122">
                  <c:v>208835.89165652715</c:v>
                </c:pt>
                <c:pt idx="123">
                  <c:v>209228.96817367754</c:v>
                </c:pt>
                <c:pt idx="124">
                  <c:v>209618.95770247336</c:v>
                </c:pt>
                <c:pt idx="125">
                  <c:v>210005.90835182401</c:v>
                </c:pt>
                <c:pt idx="126">
                  <c:v>210389.86711471059</c:v>
                </c:pt>
                <c:pt idx="127">
                  <c:v>210770.87990243439</c:v>
                </c:pt>
                <c:pt idx="128">
                  <c:v>211148.9915775613</c:v>
                </c:pt>
                <c:pt idx="129">
                  <c:v>211524.24598562176</c:v>
                </c:pt>
                <c:pt idx="130">
                  <c:v>211896.68598562176</c:v>
                </c:pt>
                <c:pt idx="131">
                  <c:v>212266.35347941829</c:v>
                </c:pt>
                <c:pt idx="132">
                  <c:v>212633.28944000942</c:v>
                </c:pt>
                <c:pt idx="133">
                  <c:v>212997.53393878692</c:v>
                </c:pt>
                <c:pt idx="134">
                  <c:v>213359.12617179661</c:v>
                </c:pt>
                <c:pt idx="135">
                  <c:v>213718.10448504961</c:v>
                </c:pt>
                <c:pt idx="136">
                  <c:v>214074.50639892521</c:v>
                </c:pt>
                <c:pt idx="137">
                  <c:v>214428.3686317043</c:v>
                </c:pt>
                <c:pt idx="138">
                  <c:v>214779.72712227033</c:v>
                </c:pt>
                <c:pt idx="139">
                  <c:v>215128.61705201271</c:v>
                </c:pt>
                <c:pt idx="140">
                  <c:v>215475.07286596618</c:v>
                </c:pt>
                <c:pt idx="141">
                  <c:v>215819.12829321792</c:v>
                </c:pt>
                <c:pt idx="142">
                  <c:v>216160.81636661242</c:v>
                </c:pt>
                <c:pt idx="143">
                  <c:v>216500.16944178325</c:v>
                </c:pt>
                <c:pt idx="144">
                  <c:v>216837.21921553891</c:v>
                </c:pt>
                <c:pt idx="145">
                  <c:v>217171.99674362878</c:v>
                </c:pt>
                <c:pt idx="146">
                  <c:v>217504.53245791449</c:v>
                </c:pt>
                <c:pt idx="147">
                  <c:v>217834.85618296993</c:v>
                </c:pt>
                <c:pt idx="148">
                  <c:v>218162.99715213291</c:v>
                </c:pt>
                <c:pt idx="149">
                  <c:v>218488.98402303006</c:v>
                </c:pt>
                <c:pt idx="150">
                  <c:v>218812.84489259528</c:v>
                </c:pt>
                <c:pt idx="151">
                  <c:v>219134.60731160175</c:v>
                </c:pt>
                <c:pt idx="152">
                  <c:v>219454.29829872621</c:v>
                </c:pt>
                <c:pt idx="153">
                  <c:v>219771.94435416331</c:v>
                </c:pt>
                <c:pt idx="154">
                  <c:v>220087.57147280738</c:v>
                </c:pt>
                <c:pt idx="155">
                  <c:v>220401.20515701792</c:v>
                </c:pt>
                <c:pt idx="156">
                  <c:v>220712.87042898443</c:v>
                </c:pt>
                <c:pt idx="157">
                  <c:v>221022.59184270585</c:v>
                </c:pt>
                <c:pt idx="158">
                  <c:v>221330.3934955984</c:v>
                </c:pt>
                <c:pt idx="159">
                  <c:v>221636.29903974626</c:v>
                </c:pt>
                <c:pt idx="160">
                  <c:v>221940.33169280749</c:v>
                </c:pt>
                <c:pt idx="161">
                  <c:v>222242.51424858841</c:v>
                </c:pt>
                <c:pt idx="162">
                  <c:v>222542.86908729808</c:v>
                </c:pt>
                <c:pt idx="163">
                  <c:v>222841.41818549446</c:v>
                </c:pt>
                <c:pt idx="164">
                  <c:v>223138.18312573351</c:v>
                </c:pt>
                <c:pt idx="165">
                  <c:v>223433.18510593154</c:v>
                </c:pt>
                <c:pt idx="166">
                  <c:v>223726.44494845122</c:v>
                </c:pt>
                <c:pt idx="167">
                  <c:v>224017.98310892089</c:v>
                </c:pt>
                <c:pt idx="168">
                  <c:v>224307.81968479638</c:v>
                </c:pt>
                <c:pt idx="169">
                  <c:v>224595.97442367452</c:v>
                </c:pt>
                <c:pt idx="170">
                  <c:v>224882.46673136682</c:v>
                </c:pt>
                <c:pt idx="171">
                  <c:v>225167.31567974159</c:v>
                </c:pt>
                <c:pt idx="172">
                  <c:v>225450.54001434235</c:v>
                </c:pt>
                <c:pt idx="173">
                  <c:v>225732.15816179037</c:v>
                </c:pt>
                <c:pt idx="174">
                  <c:v>226012.18823697834</c:v>
                </c:pt>
                <c:pt idx="175">
                  <c:v>226290.64805006245</c:v>
                </c:pt>
                <c:pt idx="176">
                  <c:v>226567.55511325947</c:v>
                </c:pt>
                <c:pt idx="177">
                  <c:v>226842.9266474554</c:v>
                </c:pt>
                <c:pt idx="178">
                  <c:v>227116.77958863188</c:v>
                </c:pt>
                <c:pt idx="179">
                  <c:v>227389.13059411634</c:v>
                </c:pt>
                <c:pt idx="180">
                  <c:v>227659.99604866179</c:v>
                </c:pt>
                <c:pt idx="181">
                  <c:v>227929.39207036162</c:v>
                </c:pt>
                <c:pt idx="182">
                  <c:v>228197.33451640478</c:v>
                </c:pt>
                <c:pt idx="183">
                  <c:v>228463.8389886767</c:v>
                </c:pt>
                <c:pt idx="184">
                  <c:v>228728.92083921051</c:v>
                </c:pt>
                <c:pt idx="185">
                  <c:v>228992.59517549368</c:v>
                </c:pt>
                <c:pt idx="186">
                  <c:v>229254.87686563452</c:v>
                </c:pt>
                <c:pt idx="187">
                  <c:v>229515.78054339284</c:v>
                </c:pt>
                <c:pt idx="188">
                  <c:v>229775.32061307927</c:v>
                </c:pt>
                <c:pt idx="189">
                  <c:v>230033.51125432711</c:v>
                </c:pt>
                <c:pt idx="190">
                  <c:v>230290.36642674089</c:v>
                </c:pt>
                <c:pt idx="191">
                  <c:v>230545.89987442529</c:v>
                </c:pt>
                <c:pt idx="192">
                  <c:v>230800.125130398</c:v>
                </c:pt>
                <c:pt idx="193">
                  <c:v>231053.05552089037</c:v>
                </c:pt>
                <c:pt idx="194">
                  <c:v>231304.70416953901</c:v>
                </c:pt>
                <c:pt idx="195">
                  <c:v>231555.08400147178</c:v>
                </c:pt>
                <c:pt idx="196">
                  <c:v>231804.20774729119</c:v>
                </c:pt>
                <c:pt idx="197">
                  <c:v>232052.0879469584</c:v>
                </c:pt>
                <c:pt idx="198">
                  <c:v>232298.73695358093</c:v>
                </c:pt>
                <c:pt idx="199">
                  <c:v>232544.16693710646</c:v>
                </c:pt>
                <c:pt idx="200">
                  <c:v>232788.38988792614</c:v>
                </c:pt>
                <c:pt idx="201">
                  <c:v>233031.41762038943</c:v>
                </c:pt>
                <c:pt idx="202">
                  <c:v>233273.26177623359</c:v>
                </c:pt>
                <c:pt idx="203">
                  <c:v>233513.93382792987</c:v>
                </c:pt>
                <c:pt idx="204">
                  <c:v>233753.44508194915</c:v>
                </c:pt>
                <c:pt idx="205">
                  <c:v>233991.80668194915</c:v>
                </c:pt>
                <c:pt idx="206">
                  <c:v>234229.02961188546</c:v>
                </c:pt>
                <c:pt idx="207">
                  <c:v>234465.1246990487</c:v>
                </c:pt>
                <c:pt idx="208">
                  <c:v>234700.10261702977</c:v>
                </c:pt>
                <c:pt idx="209">
                  <c:v>234933.97388861532</c:v>
                </c:pt>
                <c:pt idx="210">
                  <c:v>235166.74888861532</c:v>
                </c:pt>
                <c:pt idx="211">
                  <c:v>235398.43784662464</c:v>
                </c:pt>
                <c:pt idx="212">
                  <c:v>235629.0508497206</c:v>
                </c:pt>
                <c:pt idx="213">
                  <c:v>235858.59784509812</c:v>
                </c:pt>
                <c:pt idx="214">
                  <c:v>236087.08864264414</c:v>
                </c:pt>
                <c:pt idx="215">
                  <c:v>236314.5329174533</c:v>
                </c:pt>
                <c:pt idx="216">
                  <c:v>236540.94021228614</c:v>
                </c:pt>
                <c:pt idx="217">
                  <c:v>236766.31993997146</c:v>
                </c:pt>
                <c:pt idx="218">
                  <c:v>236990.68138575461</c:v>
                </c:pt>
                <c:pt idx="219">
                  <c:v>237214.03370959268</c:v>
                </c:pt>
                <c:pt idx="220">
                  <c:v>237436.38594839865</c:v>
                </c:pt>
                <c:pt idx="221">
                  <c:v>237657.74701823521</c:v>
                </c:pt>
                <c:pt idx="222">
                  <c:v>237878.12571646005</c:v>
                </c:pt>
                <c:pt idx="223">
                  <c:v>238097.53072382382</c:v>
                </c:pt>
                <c:pt idx="224">
                  <c:v>238315.97060652176</c:v>
                </c:pt>
                <c:pt idx="225">
                  <c:v>238533.45381820059</c:v>
                </c:pt>
                <c:pt idx="226">
                  <c:v>238749.98870192151</c:v>
                </c:pt>
                <c:pt idx="227">
                  <c:v>238965.58349208071</c:v>
                </c:pt>
                <c:pt idx="228">
                  <c:v>239180.24631628819</c:v>
                </c:pt>
                <c:pt idx="229">
                  <c:v>239393.98519720641</c:v>
                </c:pt>
                <c:pt idx="230">
                  <c:v>239606.80805434927</c:v>
                </c:pt>
                <c:pt idx="231">
                  <c:v>239818.72270584287</c:v>
                </c:pt>
                <c:pt idx="232">
                  <c:v>240029.73687014883</c:v>
                </c:pt>
                <c:pt idx="233">
                  <c:v>240239.85816775108</c:v>
                </c:pt>
                <c:pt idx="234">
                  <c:v>240449.09412280726</c:v>
                </c:pt>
                <c:pt idx="235">
                  <c:v>240657.4521647653</c:v>
                </c:pt>
                <c:pt idx="236">
                  <c:v>240864.93962994637</c:v>
                </c:pt>
                <c:pt idx="237">
                  <c:v>241071.56376309477</c:v>
                </c:pt>
                <c:pt idx="238">
                  <c:v>241277.33171889588</c:v>
                </c:pt>
                <c:pt idx="239">
                  <c:v>241482.25056346258</c:v>
                </c:pt>
                <c:pt idx="240">
                  <c:v>241686.32727579135</c:v>
                </c:pt>
                <c:pt idx="241">
                  <c:v>241889.56874918836</c:v>
                </c:pt>
                <c:pt idx="242">
                  <c:v>242091.98179266663</c:v>
                </c:pt>
                <c:pt idx="243">
                  <c:v>242293.57313231481</c:v>
                </c:pt>
                <c:pt idx="244">
                  <c:v>242494.34941263826</c:v>
                </c:pt>
                <c:pt idx="245">
                  <c:v>242694.31719787317</c:v>
                </c:pt>
                <c:pt idx="246">
                  <c:v>242893.48297327425</c:v>
                </c:pt>
                <c:pt idx="247">
                  <c:v>243091.85314637679</c:v>
                </c:pt>
                <c:pt idx="248">
                  <c:v>243289.43404823355</c:v>
                </c:pt>
                <c:pt idx="249">
                  <c:v>243486.23193462723</c:v>
                </c:pt>
                <c:pt idx="250">
                  <c:v>243682.25298725881</c:v>
                </c:pt>
                <c:pt idx="251">
                  <c:v>243877.50331491281</c:v>
                </c:pt>
                <c:pt idx="252">
                  <c:v>244071.98895459951</c:v>
                </c:pt>
                <c:pt idx="253">
                  <c:v>244265.71587267492</c:v>
                </c:pt>
                <c:pt idx="254">
                  <c:v>244458.68996593918</c:v>
                </c:pt>
                <c:pt idx="255">
                  <c:v>244650.91706271339</c:v>
                </c:pt>
                <c:pt idx="256">
                  <c:v>244842.40292389592</c:v>
                </c:pt>
                <c:pt idx="257">
                  <c:v>245033.15324399836</c:v>
                </c:pt>
                <c:pt idx="258">
                  <c:v>245223.17365216161</c:v>
                </c:pt>
                <c:pt idx="259">
                  <c:v>245412.46971315271</c:v>
                </c:pt>
                <c:pt idx="260">
                  <c:v>245601.04692834258</c:v>
                </c:pt>
                <c:pt idx="261">
                  <c:v>245788.91073666539</c:v>
                </c:pt>
                <c:pt idx="262">
                  <c:v>245976.06651555985</c:v>
                </c:pt>
                <c:pt idx="263">
                  <c:v>246162.51958189276</c:v>
                </c:pt>
                <c:pt idx="264">
                  <c:v>246348.27519286532</c:v>
                </c:pt>
                <c:pt idx="265">
                  <c:v>246533.33854690258</c:v>
                </c:pt>
                <c:pt idx="266">
                  <c:v>246717.71478452635</c:v>
                </c:pt>
                <c:pt idx="267">
                  <c:v>246901.40898921192</c:v>
                </c:pt>
                <c:pt idx="268">
                  <c:v>247084.42618822912</c:v>
                </c:pt>
                <c:pt idx="269">
                  <c:v>247266.7713534678</c:v>
                </c:pt>
                <c:pt idx="270">
                  <c:v>247448.44940224828</c:v>
                </c:pt>
                <c:pt idx="271">
                  <c:v>247629.46519811705</c:v>
                </c:pt>
                <c:pt idx="272">
                  <c:v>247809.82355162795</c:v>
                </c:pt>
                <c:pt idx="273">
                  <c:v>247989.52922110926</c:v>
                </c:pt>
                <c:pt idx="274">
                  <c:v>248168.58691341695</c:v>
                </c:pt>
                <c:pt idx="275">
                  <c:v>248347.00128467442</c:v>
                </c:pt>
                <c:pt idx="276">
                  <c:v>248524.776940999</c:v>
                </c:pt>
                <c:pt idx="277">
                  <c:v>248701.9184392154</c:v>
                </c:pt>
                <c:pt idx="278">
                  <c:v>248878.43028755664</c:v>
                </c:pt>
                <c:pt idx="279">
                  <c:v>249054.3169463524</c:v>
                </c:pt>
                <c:pt idx="280">
                  <c:v>249229.58282870534</c:v>
                </c:pt>
                <c:pt idx="281">
                  <c:v>249404.23230115551</c:v>
                </c:pt>
                <c:pt idx="282">
                  <c:v>249578.26968433309</c:v>
                </c:pt>
                <c:pt idx="283">
                  <c:v>249751.69925359968</c:v>
                </c:pt>
                <c:pt idx="284">
                  <c:v>249924.52523967857</c:v>
                </c:pt>
                <c:pt idx="285">
                  <c:v>250096.75182927394</c:v>
                </c:pt>
                <c:pt idx="286">
                  <c:v>250268.38316567946</c:v>
                </c:pt>
                <c:pt idx="287">
                  <c:v>250439.42334937636</c:v>
                </c:pt>
                <c:pt idx="288">
                  <c:v>250609.8764386212</c:v>
                </c:pt>
                <c:pt idx="289">
                  <c:v>250779.7464500237</c:v>
                </c:pt>
                <c:pt idx="290">
                  <c:v>250949.03735911462</c:v>
                </c:pt>
                <c:pt idx="291">
                  <c:v>251117.75310090397</c:v>
                </c:pt>
                <c:pt idx="292">
                  <c:v>251285.89757042992</c:v>
                </c:pt>
                <c:pt idx="293">
                  <c:v>251453.4746232983</c:v>
                </c:pt>
                <c:pt idx="294">
                  <c:v>251620.48807621311</c:v>
                </c:pt>
                <c:pt idx="295">
                  <c:v>251786.94170749802</c:v>
                </c:pt>
                <c:pt idx="296">
                  <c:v>251952.83925760936</c:v>
                </c:pt>
                <c:pt idx="297">
                  <c:v>252118.18442964045</c:v>
                </c:pt>
                <c:pt idx="298">
                  <c:v>252282.98088981744</c:v>
                </c:pt>
                <c:pt idx="299">
                  <c:v>252447.23226798722</c:v>
                </c:pt>
                <c:pt idx="300">
                  <c:v>252610.94215809711</c:v>
                </c:pt>
                <c:pt idx="301">
                  <c:v>252774.11411866665</c:v>
                </c:pt>
                <c:pt idx="302">
                  <c:v>252936.7516732518</c:v>
                </c:pt>
                <c:pt idx="303">
                  <c:v>253098.85831090141</c:v>
                </c:pt>
                <c:pt idx="304">
                  <c:v>253260.43748660642</c:v>
                </c:pt>
                <c:pt idx="305">
                  <c:v>253421.49262174155</c:v>
                </c:pt>
                <c:pt idx="306">
                  <c:v>253582.02710450016</c:v>
                </c:pt>
                <c:pt idx="307">
                  <c:v>253742.04429032185</c:v>
                </c:pt>
                <c:pt idx="308">
                  <c:v>253901.54750231327</c:v>
                </c:pt>
                <c:pt idx="309">
                  <c:v>254060.54003166227</c:v>
                </c:pt>
                <c:pt idx="310">
                  <c:v>254219.02513804525</c:v>
                </c:pt>
                <c:pt idx="311">
                  <c:v>254377.00605002829</c:v>
                </c:pt>
                <c:pt idx="312">
                  <c:v>254534.4859654617</c:v>
                </c:pt>
                <c:pt idx="313">
                  <c:v>254691.46805186843</c:v>
                </c:pt>
                <c:pt idx="314">
                  <c:v>254847.95544682641</c:v>
                </c:pt>
                <c:pt idx="315">
                  <c:v>255003.95125834472</c:v>
                </c:pt>
                <c:pt idx="316">
                  <c:v>255159.45856523406</c:v>
                </c:pt>
                <c:pt idx="317">
                  <c:v>255314.48041747132</c:v>
                </c:pt>
                <c:pt idx="318">
                  <c:v>255469.01983655847</c:v>
                </c:pt>
                <c:pt idx="319">
                  <c:v>255623.07981587594</c:v>
                </c:pt>
                <c:pt idx="320">
                  <c:v>255776.66332103059</c:v>
                </c:pt>
                <c:pt idx="321">
                  <c:v>255929.77329019812</c:v>
                </c:pt>
                <c:pt idx="322">
                  <c:v>256082.41263446043</c:v>
                </c:pt>
                <c:pt idx="323">
                  <c:v>256234.58423813764</c:v>
                </c:pt>
                <c:pt idx="324">
                  <c:v>256386.29095911523</c:v>
                </c:pt>
                <c:pt idx="325">
                  <c:v>256537.535629166</c:v>
                </c:pt>
                <c:pt idx="326">
                  <c:v>256688.3210542672</c:v>
                </c:pt>
                <c:pt idx="327">
                  <c:v>256838.650014913</c:v>
                </c:pt>
                <c:pt idx="328">
                  <c:v>256988.52526642205</c:v>
                </c:pt>
                <c:pt idx="329">
                  <c:v>257137.94953924051</c:v>
                </c:pt>
                <c:pt idx="330">
                  <c:v>257286.9255392405</c:v>
                </c:pt>
                <c:pt idx="331">
                  <c:v>257435.45594801419</c:v>
                </c:pt>
                <c:pt idx="332">
                  <c:v>257583.5434231633</c:v>
                </c:pt>
                <c:pt idx="333">
                  <c:v>257731.19059858451</c:v>
                </c:pt>
                <c:pt idx="334">
                  <c:v>257878.40008475052</c:v>
                </c:pt>
                <c:pt idx="335">
                  <c:v>258025.17446898698</c:v>
                </c:pt>
                <c:pt idx="336">
                  <c:v>258171.51631574534</c:v>
                </c:pt>
                <c:pt idx="337">
                  <c:v>258317.42816687169</c:v>
                </c:pt>
                <c:pt idx="338">
                  <c:v>258462.91254187169</c:v>
                </c:pt>
                <c:pt idx="339">
                  <c:v>258607.9719381716</c:v>
                </c:pt>
                <c:pt idx="340">
                  <c:v>258752.60883137549</c:v>
                </c:pt>
                <c:pt idx="341">
                  <c:v>258896.82567551875</c:v>
                </c:pt>
                <c:pt idx="342">
                  <c:v>259040.62490331798</c:v>
                </c:pt>
                <c:pt idx="343">
                  <c:v>259184.00892641713</c:v>
                </c:pt>
                <c:pt idx="344">
                  <c:v>259326.98013563018</c:v>
                </c:pt>
                <c:pt idx="345">
                  <c:v>259469.54090118041</c:v>
                </c:pt>
                <c:pt idx="346">
                  <c:v>259611.69357293614</c:v>
                </c:pt>
                <c:pt idx="347">
                  <c:v>259753.4404806431</c:v>
                </c:pt>
                <c:pt idx="348">
                  <c:v>259894.78393415353</c:v>
                </c:pt>
                <c:pt idx="349">
                  <c:v>260035.72622365211</c:v>
                </c:pt>
                <c:pt idx="350">
                  <c:v>260176.26961987853</c:v>
                </c:pt>
                <c:pt idx="351">
                  <c:v>260316.416374347</c:v>
                </c:pt>
                <c:pt idx="352">
                  <c:v>260456.16871956276</c:v>
                </c:pt>
                <c:pt idx="353">
                  <c:v>260595.52886923536</c:v>
                </c:pt>
                <c:pt idx="354">
                  <c:v>260734.49901848909</c:v>
                </c:pt>
                <c:pt idx="355">
                  <c:v>260873.0813440705</c:v>
                </c:pt>
                <c:pt idx="356">
                  <c:v>261011.27800455288</c:v>
                </c:pt>
                <c:pt idx="357">
                  <c:v>261149.09114053808</c:v>
                </c:pt>
                <c:pt idx="358">
                  <c:v>261286.52287485541</c:v>
                </c:pt>
                <c:pt idx="359">
                  <c:v>261423.57531275789</c:v>
                </c:pt>
              </c:numCache>
            </c:numRef>
          </c:yVal>
        </c:ser>
        <c:ser>
          <c:idx val="1"/>
          <c:order val="1"/>
          <c:tx>
            <c:strRef>
              <c:f>Hyperbolic!$J$2</c:f>
              <c:strCache>
                <c:ptCount val="1"/>
                <c:pt idx="0">
                  <c:v>Dec-24 Cumulative</c:v>
                </c:pt>
              </c:strCache>
            </c:strRef>
          </c:tx>
          <c:spPr>
            <a:ln w="63500"/>
          </c:spPr>
          <c:marker>
            <c:symbol val="none"/>
          </c:marker>
          <c:xVal>
            <c:numRef>
              <c:f>Hyperbolic!$H$3:$H$362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Hyperbolic!$J$3:$J$362</c:f>
              <c:numCache>
                <c:formatCode>0.0</c:formatCode>
                <c:ptCount val="360"/>
                <c:pt idx="0">
                  <c:v>7311.2936701189419</c:v>
                </c:pt>
                <c:pt idx="1">
                  <c:v>13817.914389753729</c:v>
                </c:pt>
                <c:pt idx="2">
                  <c:v>19608.423579968206</c:v>
                </c:pt>
                <c:pt idx="3">
                  <c:v>24761.635689101313</c:v>
                </c:pt>
                <c:pt idx="4">
                  <c:v>29347.690933878912</c:v>
                </c:pt>
                <c:pt idx="5">
                  <c:v>33429.009975817251</c:v>
                </c:pt>
                <c:pt idx="6">
                  <c:v>37061.143526990003</c:v>
                </c:pt>
                <c:pt idx="7">
                  <c:v>40293.528449117854</c:v>
                </c:pt>
                <c:pt idx="8">
                  <c:v>43170.160637222805</c:v>
                </c:pt>
                <c:pt idx="9">
                  <c:v>45730.193846446571</c:v>
                </c:pt>
                <c:pt idx="10">
                  <c:v>48008.472612647121</c:v>
                </c:pt>
                <c:pt idx="11">
                  <c:v>50036.006520339724</c:v>
                </c:pt>
                <c:pt idx="12">
                  <c:v>51840.392273229358</c:v>
                </c:pt>
                <c:pt idx="13">
                  <c:v>53446.189312123912</c:v>
                </c:pt>
                <c:pt idx="14">
                  <c:v>54875.254092752468</c:v>
                </c:pt>
                <c:pt idx="15">
                  <c:v>56204.578827372701</c:v>
                </c:pt>
                <c:pt idx="16">
                  <c:v>57465.145386064301</c:v>
                </c:pt>
                <c:pt idx="17">
                  <c:v>58663.716868098934</c:v>
                </c:pt>
                <c:pt idx="18">
                  <c:v>59806.105311913198</c:v>
                </c:pt>
                <c:pt idx="19">
                  <c:v>60897.342034362642</c:v>
                </c:pt>
                <c:pt idx="20">
                  <c:v>61941.811468707107</c:v>
                </c:pt>
                <c:pt idx="21">
                  <c:v>62943.357501640159</c:v>
                </c:pt>
                <c:pt idx="22">
                  <c:v>63905.368822746903</c:v>
                </c:pt>
                <c:pt idx="23">
                  <c:v>64830.848068368585</c:v>
                </c:pt>
                <c:pt idx="24">
                  <c:v>65722.468317199222</c:v>
                </c:pt>
                <c:pt idx="25">
                  <c:v>66582.619616071141</c:v>
                </c:pt>
                <c:pt idx="26">
                  <c:v>67413.447575208789</c:v>
                </c:pt>
                <c:pt idx="27">
                  <c:v>68216.885601627611</c:v>
                </c:pt>
                <c:pt idx="28">
                  <c:v>68994.681988905402</c:v>
                </c:pt>
                <c:pt idx="29">
                  <c:v>69748.422817813786</c:v>
                </c:pt>
                <c:pt idx="30">
                  <c:v>70479.551421854907</c:v>
                </c:pt>
                <c:pt idx="31">
                  <c:v>71189.385018011337</c:v>
                </c:pt>
                <c:pt idx="32">
                  <c:v>71879.128984087874</c:v>
                </c:pt>
                <c:pt idx="33">
                  <c:v>72549.889171281568</c:v>
                </c:pt>
                <c:pt idx="34">
                  <c:v>73202.682567746859</c:v>
                </c:pt>
                <c:pt idx="35">
                  <c:v>73838.44657126088</c:v>
                </c:pt>
                <c:pt idx="36">
                  <c:v>74458.047083160141</c:v>
                </c:pt>
                <c:pt idx="37">
                  <c:v>75062.285598896604</c:v>
                </c:pt>
                <c:pt idx="38">
                  <c:v>75651.905440865259</c:v>
                </c:pt>
                <c:pt idx="39">
                  <c:v>76227.597255070868</c:v>
                </c:pt>
                <c:pt idx="40">
                  <c:v>76790.003873564041</c:v>
                </c:pt>
                <c:pt idx="41">
                  <c:v>77339.724628482189</c:v>
                </c:pt>
                <c:pt idx="42">
                  <c:v>77877.319190277136</c:v>
                </c:pt>
                <c:pt idx="43">
                  <c:v>78403.310991745573</c:v>
                </c:pt>
                <c:pt idx="44">
                  <c:v>78918.190290366081</c:v>
                </c:pt>
                <c:pt idx="45">
                  <c:v>79422.416913842724</c:v>
                </c:pt>
                <c:pt idx="46">
                  <c:v>79916.422727384022</c:v>
                </c:pt>
                <c:pt idx="47">
                  <c:v>80400.613855888078</c:v>
                </c:pt>
                <c:pt idx="48">
                  <c:v>80875.372689681011</c:v>
                </c:pt>
                <c:pt idx="49">
                  <c:v>81341.059698624405</c:v>
                </c:pt>
                <c:pt idx="50">
                  <c:v>81798.015076150114</c:v>
                </c:pt>
                <c:pt idx="51">
                  <c:v>82246.560232003569</c:v>
                </c:pt>
                <c:pt idx="52">
                  <c:v>82686.99915010063</c:v>
                </c:pt>
                <c:pt idx="53">
                  <c:v>83119.619625864609</c:v>
                </c:pt>
                <c:pt idx="54">
                  <c:v>83544.694395655955</c:v>
                </c:pt>
                <c:pt idx="55">
                  <c:v>83962.482169393741</c:v>
                </c:pt>
                <c:pt idx="56">
                  <c:v>84373.228576158421</c:v>
                </c:pt>
                <c:pt idx="57">
                  <c:v>84777.167031429766</c:v>
                </c:pt>
                <c:pt idx="58">
                  <c:v>85174.519533626037</c:v>
                </c:pt>
                <c:pt idx="59">
                  <c:v>85565.497396749633</c:v>
                </c:pt>
                <c:pt idx="60">
                  <c:v>85950.301925192325</c:v>
                </c:pt>
                <c:pt idx="61">
                  <c:v>86329.125036094469</c:v>
                </c:pt>
                <c:pt idx="62">
                  <c:v>86702.149834074633</c:v>
                </c:pt>
                <c:pt idx="63">
                  <c:v>87069.551142638011</c:v>
                </c:pt>
                <c:pt idx="64">
                  <c:v>87431.495996123718</c:v>
                </c:pt>
                <c:pt idx="65">
                  <c:v>87788.144095655982</c:v>
                </c:pt>
                <c:pt idx="66">
                  <c:v>88139.648232214211</c:v>
                </c:pt>
                <c:pt idx="67">
                  <c:v>88486.15467962707</c:v>
                </c:pt>
                <c:pt idx="68">
                  <c:v>88827.803560020126</c:v>
                </c:pt>
                <c:pt idx="69">
                  <c:v>89164.729184002208</c:v>
                </c:pt>
                <c:pt idx="70">
                  <c:v>89497.060367657265</c:v>
                </c:pt>
                <c:pt idx="71">
                  <c:v>89824.920728213823</c:v>
                </c:pt>
                <c:pt idx="72">
                  <c:v>90148.42896009043</c:v>
                </c:pt>
                <c:pt idx="73">
                  <c:v>90467.699092859475</c:v>
                </c:pt>
                <c:pt idx="74">
                  <c:v>90782.840732532379</c:v>
                </c:pt>
                <c:pt idx="75">
                  <c:v>91093.959287443489</c:v>
                </c:pt>
                <c:pt idx="76">
                  <c:v>91401.156179897749</c:v>
                </c:pt>
                <c:pt idx="77">
                  <c:v>91704.529044645111</c:v>
                </c:pt>
                <c:pt idx="78">
                  <c:v>92004.171915153769</c:v>
                </c:pt>
                <c:pt idx="79">
                  <c:v>92300.175398571228</c:v>
                </c:pt>
                <c:pt idx="80">
                  <c:v>92592.626840187673</c:v>
                </c:pt>
                <c:pt idx="81">
                  <c:v>92881.610478148592</c:v>
                </c:pt>
                <c:pt idx="82">
                  <c:v>93167.207589102152</c:v>
                </c:pt>
                <c:pt idx="83">
                  <c:v>93449.49662541147</c:v>
                </c:pt>
                <c:pt idx="84">
                  <c:v>93728.553344511136</c:v>
                </c:pt>
                <c:pt idx="85">
                  <c:v>94004.450930941748</c:v>
                </c:pt>
                <c:pt idx="86">
                  <c:v>94277.260111554104</c:v>
                </c:pt>
                <c:pt idx="87">
                  <c:v>94547.049264336805</c:v>
                </c:pt>
                <c:pt idx="88">
                  <c:v>94813.88452128612</c:v>
                </c:pt>
                <c:pt idx="89">
                  <c:v>95077.829865705295</c:v>
                </c:pt>
                <c:pt idx="90">
                  <c:v>95338.947224291405</c:v>
                </c:pt>
                <c:pt idx="91">
                  <c:v>95597.296554341272</c:v>
                </c:pt>
                <c:pt idx="92">
                  <c:v>95852.935926383623</c:v>
                </c:pt>
                <c:pt idx="93">
                  <c:v>96105.921602522416</c:v>
                </c:pt>
                <c:pt idx="94">
                  <c:v>96356.308110755679</c:v>
                </c:pt>
                <c:pt idx="95">
                  <c:v>96604.148315515384</c:v>
                </c:pt>
                <c:pt idx="96">
                  <c:v>96849.493484656705</c:v>
                </c:pt>
                <c:pt idx="97">
                  <c:v>97092.393353108913</c:v>
                </c:pt>
                <c:pt idx="98">
                  <c:v>97332.896183385601</c:v>
                </c:pt>
                <c:pt idx="99">
                  <c:v>97571.048823138408</c:v>
                </c:pt>
                <c:pt idx="100">
                  <c:v>97806.896759925861</c:v>
                </c:pt>
                <c:pt idx="101">
                  <c:v>98040.48417335753</c:v>
                </c:pt>
                <c:pt idx="102">
                  <c:v>98271.853984762944</c:v>
                </c:pt>
                <c:pt idx="103">
                  <c:v>98501.047904525054</c:v>
                </c:pt>
                <c:pt idx="104">
                  <c:v>98728.106477208639</c:v>
                </c:pt>
                <c:pt idx="105">
                  <c:v>98953.069124605914</c:v>
                </c:pt>
                <c:pt idx="106">
                  <c:v>99175.974186813575</c:v>
                </c:pt>
                <c:pt idx="107">
                  <c:v>99396.85896144835</c:v>
                </c:pt>
                <c:pt idx="108">
                  <c:v>99615.759741101385</c:v>
                </c:pt>
                <c:pt idx="109">
                  <c:v>99832.711849125451</c:v>
                </c:pt>
                <c:pt idx="110">
                  <c:v>100047.74967384343</c:v>
                </c:pt>
                <c:pt idx="111">
                  <c:v>100260.90670126067</c:v>
                </c:pt>
                <c:pt idx="112">
                  <c:v>100472.21554635926</c:v>
                </c:pt>
                <c:pt idx="113">
                  <c:v>100681.70798304726</c:v>
                </c:pt>
                <c:pt idx="114">
                  <c:v>100889.41497283167</c:v>
                </c:pt>
                <c:pt idx="115">
                  <c:v>101095.36669227987</c:v>
                </c:pt>
                <c:pt idx="116">
                  <c:v>101299.59255933047</c:v>
                </c:pt>
                <c:pt idx="117">
                  <c:v>101502.12125851084</c:v>
                </c:pt>
                <c:pt idx="118">
                  <c:v>101702.98076511554</c:v>
                </c:pt>
                <c:pt idx="119">
                  <c:v>101902.19836839651</c:v>
                </c:pt>
                <c:pt idx="120">
                  <c:v>102099.80069381303</c:v>
                </c:pt>
                <c:pt idx="121">
                  <c:v>102295.81372438706</c:v>
                </c:pt>
                <c:pt idx="122">
                  <c:v>102490.2628212065</c:v>
                </c:pt>
                <c:pt idx="123">
                  <c:v>102683.17274311709</c:v>
                </c:pt>
                <c:pt idx="124">
                  <c:v>102874.56766564095</c:v>
                </c:pt>
                <c:pt idx="125">
                  <c:v>103064.47119915813</c:v>
                </c:pt>
                <c:pt idx="126">
                  <c:v>103252.90640638523</c:v>
                </c:pt>
                <c:pt idx="127">
                  <c:v>103439.89581918347</c:v>
                </c:pt>
                <c:pt idx="128">
                  <c:v>103625.4614547269</c:v>
                </c:pt>
                <c:pt idx="129">
                  <c:v>103809.62483105969</c:v>
                </c:pt>
                <c:pt idx="130">
                  <c:v>103992.40698206997</c:v>
                </c:pt>
                <c:pt idx="131">
                  <c:v>104173.82847190647</c:v>
                </c:pt>
                <c:pt idx="132">
                  <c:v>104353.90940886241</c:v>
                </c:pt>
                <c:pt idx="133">
                  <c:v>104532.66945875021</c:v>
                </c:pt>
                <c:pt idx="134">
                  <c:v>104710.12785778932</c:v>
                </c:pt>
                <c:pt idx="135">
                  <c:v>104886.30342502815</c:v>
                </c:pt>
                <c:pt idx="136">
                  <c:v>105061.21457432029</c:v>
                </c:pt>
                <c:pt idx="137">
                  <c:v>105234.879325874</c:v>
                </c:pt>
                <c:pt idx="138">
                  <c:v>105407.31531739314</c:v>
                </c:pt>
                <c:pt idx="139">
                  <c:v>105578.53981482665</c:v>
                </c:pt>
                <c:pt idx="140">
                  <c:v>105748.5697227432</c:v>
                </c:pt>
                <c:pt idx="141">
                  <c:v>105917.42159434623</c:v>
                </c:pt>
                <c:pt idx="142">
                  <c:v>106085.11164114466</c:v>
                </c:pt>
                <c:pt idx="143">
                  <c:v>106251.65574229298</c:v>
                </c:pt>
                <c:pt idx="144">
                  <c:v>106417.0694536145</c:v>
                </c:pt>
                <c:pt idx="145">
                  <c:v>106581.36801632037</c:v>
                </c:pt>
                <c:pt idx="146">
                  <c:v>106744.56636543669</c:v>
                </c:pt>
                <c:pt idx="147">
                  <c:v>106906.67913795136</c:v>
                </c:pt>
                <c:pt idx="148">
                  <c:v>107067.72068069169</c:v>
                </c:pt>
                <c:pt idx="149">
                  <c:v>107227.70505794359</c:v>
                </c:pt>
                <c:pt idx="150">
                  <c:v>107386.64605882209</c:v>
                </c:pt>
                <c:pt idx="151">
                  <c:v>107544.55720440333</c:v>
                </c:pt>
                <c:pt idx="152">
                  <c:v>107701.45175462675</c:v>
                </c:pt>
                <c:pt idx="153">
                  <c:v>107857.34271497666</c:v>
                </c:pt>
                <c:pt idx="154">
                  <c:v>108012.24284295148</c:v>
                </c:pt>
                <c:pt idx="155">
                  <c:v>108166.16465432856</c:v>
                </c:pt>
                <c:pt idx="156">
                  <c:v>108319.12042923256</c:v>
                </c:pt>
                <c:pt idx="157">
                  <c:v>108471.1222180145</c:v>
                </c:pt>
                <c:pt idx="158">
                  <c:v>108622.18184694862</c:v>
                </c:pt>
                <c:pt idx="159">
                  <c:v>108772.31092375377</c:v>
                </c:pt>
                <c:pt idx="160">
                  <c:v>108921.52084294584</c:v>
                </c:pt>
                <c:pt idx="161">
                  <c:v>109069.82279102721</c:v>
                </c:pt>
                <c:pt idx="162">
                  <c:v>109217.22775151937</c:v>
                </c:pt>
                <c:pt idx="163">
                  <c:v>109363.74650984425</c:v>
                </c:pt>
                <c:pt idx="164">
                  <c:v>109509.3896580596</c:v>
                </c:pt>
                <c:pt idx="165">
                  <c:v>109654.16759945388</c:v>
                </c:pt>
                <c:pt idx="166">
                  <c:v>109798.09055300528</c:v>
                </c:pt>
                <c:pt idx="167">
                  <c:v>109941.16855771</c:v>
                </c:pt>
                <c:pt idx="168">
                  <c:v>110083.41147678415</c:v>
                </c:pt>
                <c:pt idx="169">
                  <c:v>110224.82900174375</c:v>
                </c:pt>
                <c:pt idx="170">
                  <c:v>110365.43065636705</c:v>
                </c:pt>
                <c:pt idx="171">
                  <c:v>110505.22580054318</c:v>
                </c:pt>
                <c:pt idx="172">
                  <c:v>110644.22363401107</c:v>
                </c:pt>
                <c:pt idx="173">
                  <c:v>110782.43319999237</c:v>
                </c:pt>
                <c:pt idx="174">
                  <c:v>110919.8633887219</c:v>
                </c:pt>
                <c:pt idx="175">
                  <c:v>111056.52294087912</c:v>
                </c:pt>
                <c:pt idx="176">
                  <c:v>111192.42045092394</c:v>
                </c:pt>
                <c:pt idx="177">
                  <c:v>111327.56437034004</c:v>
                </c:pt>
                <c:pt idx="178">
                  <c:v>111461.96301078878</c:v>
                </c:pt>
                <c:pt idx="179">
                  <c:v>111595.62454717656</c:v>
                </c:pt>
                <c:pt idx="180">
                  <c:v>111728.55702063857</c:v>
                </c:pt>
                <c:pt idx="181">
                  <c:v>111860.76834144167</c:v>
                </c:pt>
                <c:pt idx="182">
                  <c:v>111992.26629180877</c:v>
                </c:pt>
                <c:pt idx="183">
                  <c:v>112123.05852866765</c:v>
                </c:pt>
                <c:pt idx="184">
                  <c:v>112253.15258632621</c:v>
                </c:pt>
                <c:pt idx="185">
                  <c:v>112382.55587907686</c:v>
                </c:pt>
                <c:pt idx="186">
                  <c:v>112511.27570373198</c:v>
                </c:pt>
                <c:pt idx="187">
                  <c:v>112639.31924209296</c:v>
                </c:pt>
                <c:pt idx="188">
                  <c:v>112766.69356335448</c:v>
                </c:pt>
                <c:pt idx="189">
                  <c:v>112893.40562644653</c:v>
                </c:pt>
                <c:pt idx="190">
                  <c:v>113019.4622823157</c:v>
                </c:pt>
                <c:pt idx="191">
                  <c:v>113144.87027614779</c:v>
                </c:pt>
                <c:pt idx="192">
                  <c:v>113269.63624953365</c:v>
                </c:pt>
                <c:pt idx="193">
                  <c:v>113393.76674257968</c:v>
                </c:pt>
                <c:pt idx="194">
                  <c:v>113517.26819596501</c:v>
                </c:pt>
                <c:pt idx="195">
                  <c:v>113640.14695294671</c:v>
                </c:pt>
                <c:pt idx="196">
                  <c:v>113762.4092613148</c:v>
                </c:pt>
                <c:pt idx="197">
                  <c:v>113884.06127529834</c:v>
                </c:pt>
                <c:pt idx="198">
                  <c:v>114005.10905742436</c:v>
                </c:pt>
                <c:pt idx="199">
                  <c:v>114125.55858033063</c:v>
                </c:pt>
                <c:pt idx="200">
                  <c:v>114245.41572853409</c:v>
                </c:pt>
                <c:pt idx="201">
                  <c:v>114364.68630015581</c:v>
                </c:pt>
                <c:pt idx="202">
                  <c:v>114483.37600860404</c:v>
                </c:pt>
                <c:pt idx="203">
                  <c:v>114601.4904842165</c:v>
                </c:pt>
                <c:pt idx="204">
                  <c:v>114719.03527586297</c:v>
                </c:pt>
                <c:pt idx="205">
                  <c:v>114836.01585250956</c:v>
                </c:pt>
                <c:pt idx="206">
                  <c:v>114952.43760474541</c:v>
                </c:pt>
                <c:pt idx="207">
                  <c:v>115068.30584627333</c:v>
                </c:pt>
                <c:pt idx="208">
                  <c:v>115183.625815365</c:v>
                </c:pt>
                <c:pt idx="209">
                  <c:v>115298.40267628197</c:v>
                </c:pt>
                <c:pt idx="210">
                  <c:v>115412.6415206634</c:v>
                </c:pt>
                <c:pt idx="211">
                  <c:v>115526.3473688813</c:v>
                </c:pt>
                <c:pt idx="212">
                  <c:v>115639.52517136444</c:v>
                </c:pt>
                <c:pt idx="213">
                  <c:v>115752.17980989158</c:v>
                </c:pt>
                <c:pt idx="214">
                  <c:v>115864.31609885494</c:v>
                </c:pt>
                <c:pt idx="215">
                  <c:v>115975.93878649481</c:v>
                </c:pt>
                <c:pt idx="216">
                  <c:v>116087.05255610592</c:v>
                </c:pt>
                <c:pt idx="217">
                  <c:v>116197.66202721653</c:v>
                </c:pt>
                <c:pt idx="218">
                  <c:v>116307.7717567408</c:v>
                </c:pt>
                <c:pt idx="219">
                  <c:v>116417.38624010529</c:v>
                </c:pt>
                <c:pt idx="220">
                  <c:v>116526.50991235023</c:v>
                </c:pt>
                <c:pt idx="221">
                  <c:v>116635.14714920627</c:v>
                </c:pt>
                <c:pt idx="222">
                  <c:v>116743.30226814726</c:v>
                </c:pt>
                <c:pt idx="223">
                  <c:v>116850.97952941988</c:v>
                </c:pt>
                <c:pt idx="224">
                  <c:v>116958.18313705055</c:v>
                </c:pt>
                <c:pt idx="225">
                  <c:v>117064.91723983028</c:v>
                </c:pt>
                <c:pt idx="226">
                  <c:v>117171.18593227811</c:v>
                </c:pt>
                <c:pt idx="227">
                  <c:v>117276.99325558363</c:v>
                </c:pt>
                <c:pt idx="228">
                  <c:v>117382.34319852904</c:v>
                </c:pt>
                <c:pt idx="229">
                  <c:v>117487.23969839147</c:v>
                </c:pt>
                <c:pt idx="230">
                  <c:v>117591.68664182592</c:v>
                </c:pt>
                <c:pt idx="231">
                  <c:v>117695.68786572934</c:v>
                </c:pt>
                <c:pt idx="232">
                  <c:v>117799.24715808644</c:v>
                </c:pt>
                <c:pt idx="233">
                  <c:v>117902.36825879746</c:v>
                </c:pt>
                <c:pt idx="234">
                  <c:v>118005.05486048863</c:v>
                </c:pt>
                <c:pt idx="235">
                  <c:v>118107.31060930557</c:v>
                </c:pt>
                <c:pt idx="236">
                  <c:v>118209.13910569012</c:v>
                </c:pt>
                <c:pt idx="237">
                  <c:v>118310.54390514104</c:v>
                </c:pt>
                <c:pt idx="238">
                  <c:v>118411.52851895888</c:v>
                </c:pt>
                <c:pt idx="239">
                  <c:v>118512.09641497553</c:v>
                </c:pt>
                <c:pt idx="240">
                  <c:v>118612.25101826884</c:v>
                </c:pt>
                <c:pt idx="241">
                  <c:v>118711.99571186244</c:v>
                </c:pt>
                <c:pt idx="242">
                  <c:v>118811.33383741151</c:v>
                </c:pt>
                <c:pt idx="243">
                  <c:v>118910.26869587445</c:v>
                </c:pt>
                <c:pt idx="244">
                  <c:v>119008.8035481711</c:v>
                </c:pt>
                <c:pt idx="245">
                  <c:v>119106.94161582763</c:v>
                </c:pt>
                <c:pt idx="246">
                  <c:v>119204.68608160852</c:v>
                </c:pt>
                <c:pt idx="247">
                  <c:v>119302.04009013597</c:v>
                </c:pt>
                <c:pt idx="248">
                  <c:v>119399.00674849686</c:v>
                </c:pt>
                <c:pt idx="249">
                  <c:v>119495.58912683783</c:v>
                </c:pt>
                <c:pt idx="250">
                  <c:v>119591.7902589485</c:v>
                </c:pt>
                <c:pt idx="251">
                  <c:v>119687.61314283332</c:v>
                </c:pt>
                <c:pt idx="252">
                  <c:v>119783.0607412721</c:v>
                </c:pt>
                <c:pt idx="253">
                  <c:v>119878.13598236977</c:v>
                </c:pt>
                <c:pt idx="254">
                  <c:v>119972.84176009531</c:v>
                </c:pt>
                <c:pt idx="255">
                  <c:v>120067.1809348103</c:v>
                </c:pt>
                <c:pt idx="256">
                  <c:v>120161.15633378731</c:v>
                </c:pt>
                <c:pt idx="257">
                  <c:v>120254.77075171832</c:v>
                </c:pt>
                <c:pt idx="258">
                  <c:v>120348.02695121335</c:v>
                </c:pt>
                <c:pt idx="259">
                  <c:v>120440.92766328974</c:v>
                </c:pt>
                <c:pt idx="260">
                  <c:v>120533.47558785191</c:v>
                </c:pt>
                <c:pt idx="261">
                  <c:v>120625.67339416227</c:v>
                </c:pt>
                <c:pt idx="262">
                  <c:v>120717.52372130311</c:v>
                </c:pt>
                <c:pt idx="263">
                  <c:v>120809.02917862991</c:v>
                </c:pt>
                <c:pt idx="264">
                  <c:v>120900.19234621608</c:v>
                </c:pt>
                <c:pt idx="265">
                  <c:v>120991.0157752895</c:v>
                </c:pt>
                <c:pt idx="266">
                  <c:v>121081.50198866092</c:v>
                </c:pt>
                <c:pt idx="267">
                  <c:v>121171.65348114441</c:v>
                </c:pt>
                <c:pt idx="268">
                  <c:v>121261.4727199701</c:v>
                </c:pt>
                <c:pt idx="269">
                  <c:v>121350.96214518933</c:v>
                </c:pt>
                <c:pt idx="270">
                  <c:v>121440.12417007239</c:v>
                </c:pt>
                <c:pt idx="271">
                  <c:v>121528.96118149902</c:v>
                </c:pt>
                <c:pt idx="272">
                  <c:v>121617.47554034177</c:v>
                </c:pt>
                <c:pt idx="273">
                  <c:v>121705.66958184251</c:v>
                </c:pt>
                <c:pt idx="274">
                  <c:v>121793.54561598206</c:v>
                </c:pt>
                <c:pt idx="275">
                  <c:v>121881.10592784328</c:v>
                </c:pt>
                <c:pt idx="276">
                  <c:v>121968.35277796752</c:v>
                </c:pt>
                <c:pt idx="277">
                  <c:v>122055.28840270487</c:v>
                </c:pt>
                <c:pt idx="278">
                  <c:v>122141.91501455808</c:v>
                </c:pt>
                <c:pt idx="279">
                  <c:v>122228.23480252043</c:v>
                </c:pt>
                <c:pt idx="280">
                  <c:v>122314.24993240762</c:v>
                </c:pt>
                <c:pt idx="281">
                  <c:v>122399.96254718384</c:v>
                </c:pt>
                <c:pt idx="282">
                  <c:v>122485.3747672821</c:v>
                </c:pt>
                <c:pt idx="283">
                  <c:v>122570.48869091902</c:v>
                </c:pt>
                <c:pt idx="284">
                  <c:v>122655.30639440408</c:v>
                </c:pt>
                <c:pt idx="285">
                  <c:v>122739.82993244351</c:v>
                </c:pt>
                <c:pt idx="286">
                  <c:v>122824.06133843903</c:v>
                </c:pt>
                <c:pt idx="287">
                  <c:v>122908.00262478129</c:v>
                </c:pt>
                <c:pt idx="288">
                  <c:v>122991.6557831384</c:v>
                </c:pt>
                <c:pt idx="289">
                  <c:v>123075.02278473944</c:v>
                </c:pt>
                <c:pt idx="290">
                  <c:v>123158.10558065321</c:v>
                </c:pt>
                <c:pt idx="291">
                  <c:v>123240.90610206217</c:v>
                </c:pt>
                <c:pt idx="292">
                  <c:v>123323.42626053182</c:v>
                </c:pt>
                <c:pt idx="293">
                  <c:v>123405.66794827548</c:v>
                </c:pt>
                <c:pt idx="294">
                  <c:v>123487.63303841463</c:v>
                </c:pt>
                <c:pt idx="295">
                  <c:v>123569.32338523486</c:v>
                </c:pt>
                <c:pt idx="296">
                  <c:v>123650.74082443766</c:v>
                </c:pt>
                <c:pt idx="297">
                  <c:v>123731.88717338783</c:v>
                </c:pt>
                <c:pt idx="298">
                  <c:v>123812.76423135698</c:v>
                </c:pt>
                <c:pt idx="299">
                  <c:v>123893.37377976284</c:v>
                </c:pt>
                <c:pt idx="300">
                  <c:v>123973.71758240473</c:v>
                </c:pt>
                <c:pt idx="301">
                  <c:v>124053.7973856951</c:v>
                </c:pt>
                <c:pt idx="302">
                  <c:v>124133.61491888737</c:v>
                </c:pt>
                <c:pt idx="303">
                  <c:v>124213.1718942999</c:v>
                </c:pt>
                <c:pt idx="304">
                  <c:v>124292.47000753647</c:v>
                </c:pt>
                <c:pt idx="305">
                  <c:v>124371.51093770307</c:v>
                </c:pt>
                <c:pt idx="306">
                  <c:v>124450.2963476213</c:v>
                </c:pt>
                <c:pt idx="307">
                  <c:v>124528.82788403818</c:v>
                </c:pt>
                <c:pt idx="308">
                  <c:v>124607.10717783273</c:v>
                </c:pt>
                <c:pt idx="309">
                  <c:v>124685.13584421918</c:v>
                </c:pt>
                <c:pt idx="310">
                  <c:v>124762.91548294696</c:v>
                </c:pt>
                <c:pt idx="311">
                  <c:v>124840.44767849745</c:v>
                </c:pt>
                <c:pt idx="312">
                  <c:v>124917.73400027771</c:v>
                </c:pt>
                <c:pt idx="313">
                  <c:v>124994.77600281102</c:v>
                </c:pt>
                <c:pt idx="314">
                  <c:v>125071.57522592458</c:v>
                </c:pt>
                <c:pt idx="315">
                  <c:v>125148.13319493413</c:v>
                </c:pt>
                <c:pt idx="316">
                  <c:v>125224.45142082569</c:v>
                </c:pt>
                <c:pt idx="317">
                  <c:v>125300.53140043454</c:v>
                </c:pt>
                <c:pt idx="318">
                  <c:v>125376.37461662138</c:v>
                </c:pt>
                <c:pt idx="319">
                  <c:v>125451.98253844569</c:v>
                </c:pt>
                <c:pt idx="320">
                  <c:v>125527.35662133653</c:v>
                </c:pt>
                <c:pt idx="321">
                  <c:v>125602.49830726058</c:v>
                </c:pt>
                <c:pt idx="322">
                  <c:v>125677.40902488775</c:v>
                </c:pt>
                <c:pt idx="323">
                  <c:v>125752.09018975405</c:v>
                </c:pt>
                <c:pt idx="324">
                  <c:v>125826.54320442218</c:v>
                </c:pt>
                <c:pt idx="325">
                  <c:v>125900.76945863955</c:v>
                </c:pt>
                <c:pt idx="326">
                  <c:v>125974.77032949391</c:v>
                </c:pt>
                <c:pt idx="327">
                  <c:v>126048.54718156668</c:v>
                </c:pt>
                <c:pt idx="328">
                  <c:v>126122.1013670839</c:v>
                </c:pt>
                <c:pt idx="329">
                  <c:v>126195.43422606496</c:v>
                </c:pt>
                <c:pt idx="330">
                  <c:v>126268.54708646907</c:v>
                </c:pt>
                <c:pt idx="331">
                  <c:v>126341.44126433958</c:v>
                </c:pt>
                <c:pt idx="332">
                  <c:v>126414.11806394605</c:v>
                </c:pt>
                <c:pt idx="333">
                  <c:v>126486.57877792435</c:v>
                </c:pt>
                <c:pt idx="334">
                  <c:v>126558.82468741458</c:v>
                </c:pt>
                <c:pt idx="335">
                  <c:v>126630.85706219696</c:v>
                </c:pt>
                <c:pt idx="336">
                  <c:v>126702.67716082575</c:v>
                </c:pt>
                <c:pt idx="337">
                  <c:v>126774.28623076122</c:v>
                </c:pt>
                <c:pt idx="338">
                  <c:v>126845.68550849962</c:v>
                </c:pt>
                <c:pt idx="339">
                  <c:v>126916.87621970128</c:v>
                </c:pt>
                <c:pt idx="340">
                  <c:v>126987.85957931692</c:v>
                </c:pt>
                <c:pt idx="341">
                  <c:v>127058.63679171199</c:v>
                </c:pt>
                <c:pt idx="342">
                  <c:v>127129.20905078932</c:v>
                </c:pt>
                <c:pt idx="343">
                  <c:v>127199.57754010992</c:v>
                </c:pt>
                <c:pt idx="344">
                  <c:v>127269.74343301215</c:v>
                </c:pt>
                <c:pt idx="345">
                  <c:v>127339.707892729</c:v>
                </c:pt>
                <c:pt idx="346">
                  <c:v>127409.47207250392</c:v>
                </c:pt>
                <c:pt idx="347">
                  <c:v>127479.03711570479</c:v>
                </c:pt>
                <c:pt idx="348">
                  <c:v>127548.4041559364</c:v>
                </c:pt>
                <c:pt idx="349">
                  <c:v>127617.57431715126</c:v>
                </c:pt>
                <c:pt idx="350">
                  <c:v>127686.54871375891</c:v>
                </c:pt>
                <c:pt idx="351">
                  <c:v>127755.32845073362</c:v>
                </c:pt>
                <c:pt idx="352">
                  <c:v>127823.9146237206</c:v>
                </c:pt>
                <c:pt idx="353">
                  <c:v>127892.30831914072</c:v>
                </c:pt>
                <c:pt idx="354">
                  <c:v>127960.51061429382</c:v>
                </c:pt>
                <c:pt idx="355">
                  <c:v>128028.52257746043</c:v>
                </c:pt>
                <c:pt idx="356">
                  <c:v>128096.34526800227</c:v>
                </c:pt>
                <c:pt idx="357">
                  <c:v>128163.97973646122</c:v>
                </c:pt>
                <c:pt idx="358">
                  <c:v>128231.42702465689</c:v>
                </c:pt>
                <c:pt idx="359">
                  <c:v>128298.68816578302</c:v>
                </c:pt>
              </c:numCache>
            </c:numRef>
          </c:yVal>
        </c:ser>
        <c:ser>
          <c:idx val="2"/>
          <c:order val="2"/>
          <c:tx>
            <c:strRef>
              <c:f>Hyperbolic!$K$2</c:f>
              <c:strCache>
                <c:ptCount val="1"/>
                <c:pt idx="0">
                  <c:v>Dec-18 Cumulative</c:v>
                </c:pt>
              </c:strCache>
            </c:strRef>
          </c:tx>
          <c:spPr>
            <a:ln w="19050">
              <a:prstDash val="sysDot"/>
            </a:ln>
          </c:spPr>
          <c:marker>
            <c:symbol val="none"/>
          </c:marker>
          <c:xVal>
            <c:numRef>
              <c:f>Hyperbolic!$H$3:$H$362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Hyperbolic!$K$3:$K$362</c:f>
              <c:numCache>
                <c:formatCode>0.0</c:formatCode>
                <c:ptCount val="360"/>
                <c:pt idx="0">
                  <c:v>10436.514851444223</c:v>
                </c:pt>
                <c:pt idx="1">
                  <c:v>19724.39834198364</c:v>
                </c:pt>
                <c:pt idx="2">
                  <c:v>27990.067577523245</c:v>
                </c:pt>
                <c:pt idx="3">
                  <c:v>35346.026336150819</c:v>
                </c:pt>
                <c:pt idx="4">
                  <c:v>41892.396353713855</c:v>
                </c:pt>
                <c:pt idx="5">
                  <c:v>47718.280077787902</c:v>
                </c:pt>
                <c:pt idx="6">
                  <c:v>52902.973438439978</c:v>
                </c:pt>
                <c:pt idx="7">
                  <c:v>57517.045142773917</c:v>
                </c:pt>
                <c:pt idx="8">
                  <c:v>61623.297183503579</c:v>
                </c:pt>
                <c:pt idx="9">
                  <c:v>65277.619635007512</c:v>
                </c:pt>
                <c:pt idx="10">
                  <c:v>68529.751371468767</c:v>
                </c:pt>
                <c:pt idx="11">
                  <c:v>71423.957061211811</c:v>
                </c:pt>
                <c:pt idx="12">
                  <c:v>73999.629651786425</c:v>
                </c:pt>
                <c:pt idx="13">
                  <c:v>76291.826546204902</c:v>
                </c:pt>
                <c:pt idx="14">
                  <c:v>78331.746768211684</c:v>
                </c:pt>
                <c:pt idx="15">
                  <c:v>80229.292942831482</c:v>
                </c:pt>
                <c:pt idx="16">
                  <c:v>82028.690177384749</c:v>
                </c:pt>
                <c:pt idx="17">
                  <c:v>83739.59246597637</c:v>
                </c:pt>
                <c:pt idx="18">
                  <c:v>85370.296209790264</c:v>
                </c:pt>
                <c:pt idx="19">
                  <c:v>86927.983368060246</c:v>
                </c:pt>
                <c:pt idx="20">
                  <c:v>88418.912505261527</c:v>
                </c:pt>
                <c:pt idx="21">
                  <c:v>89848.570582029875</c:v>
                </c:pt>
                <c:pt idx="22">
                  <c:v>91221.794787346837</c:v>
                </c:pt>
                <c:pt idx="23">
                  <c:v>92542.871238031512</c:v>
                </c:pt>
                <c:pt idx="24">
                  <c:v>93815.615623447229</c:v>
                </c:pt>
                <c:pt idx="25">
                  <c:v>95043.43961878946</c:v>
                </c:pt>
                <c:pt idx="26">
                  <c:v>96229.405977926843</c:v>
                </c:pt>
                <c:pt idx="27">
                  <c:v>97376.274545004751</c:v>
                </c:pt>
                <c:pt idx="28">
                  <c:v>98486.540923771652</c:v>
                </c:pt>
                <c:pt idx="29">
                  <c:v>99562.46916711278</c:v>
                </c:pt>
                <c:pt idx="30">
                  <c:v>100606.11956315367</c:v>
                </c:pt>
                <c:pt idx="31">
                  <c:v>101619.37237484385</c:v>
                </c:pt>
                <c:pt idx="32">
                  <c:v>102603.94822016545</c:v>
                </c:pt>
                <c:pt idx="33">
                  <c:v>103561.4256477259</c:v>
                </c:pt>
                <c:pt idx="34">
                  <c:v>104493.2563584767</c:v>
                </c:pt>
                <c:pt idx="35">
                  <c:v>105400.77844199052</c:v>
                </c:pt>
                <c:pt idx="36">
                  <c:v>106285.22793016076</c:v>
                </c:pt>
                <c:pt idx="37">
                  <c:v>107147.7489186243</c:v>
                </c:pt>
                <c:pt idx="38">
                  <c:v>107989.40246381857</c:v>
                </c:pt>
                <c:pt idx="39">
                  <c:v>108811.1744292051</c:v>
                </c:pt>
                <c:pt idx="40">
                  <c:v>109613.98242615964</c:v>
                </c:pt>
                <c:pt idx="41">
                  <c:v>110398.68197205504</c:v>
                </c:pt>
                <c:pt idx="42">
                  <c:v>111166.07196914393</c:v>
                </c:pt>
                <c:pt idx="43">
                  <c:v>111916.89959219492</c:v>
                </c:pt>
                <c:pt idx="44">
                  <c:v>112651.86465982936</c:v>
                </c:pt>
                <c:pt idx="45">
                  <c:v>113371.62355365066</c:v>
                </c:pt>
                <c:pt idx="46">
                  <c:v>114076.79274016478</c:v>
                </c:pt>
                <c:pt idx="47">
                  <c:v>114767.95194284087</c:v>
                </c:pt>
                <c:pt idx="48">
                  <c:v>115445.64700520509</c:v>
                </c:pt>
                <c:pt idx="49">
                  <c:v>116110.39248039036</c:v>
                </c:pt>
                <c:pt idx="50">
                  <c:v>116762.67397791593</c:v>
                </c:pt>
                <c:pt idx="51">
                  <c:v>117402.95029450543</c:v>
                </c:pt>
                <c:pt idx="52">
                  <c:v>118031.65535236138</c:v>
                </c:pt>
                <c:pt idx="53">
                  <c:v>118649.19996540333</c:v>
                </c:pt>
                <c:pt idx="54">
                  <c:v>119255.97345147362</c:v>
                </c:pt>
                <c:pt idx="55">
                  <c:v>119852.34510635413</c:v>
                </c:pt>
                <c:pt idx="56">
                  <c:v>120438.66555356811</c:v>
                </c:pt>
                <c:pt idx="57">
                  <c:v>121015.26798231997</c:v>
                </c:pt>
                <c:pt idx="58">
                  <c:v>121582.4692845161</c:v>
                </c:pt>
                <c:pt idx="59">
                  <c:v>122140.57110058075</c:v>
                </c:pt>
                <c:pt idx="60">
                  <c:v>122689.86078270753</c:v>
                </c:pt>
                <c:pt idx="61">
                  <c:v>123230.61228324685</c:v>
                </c:pt>
                <c:pt idx="62">
                  <c:v>123763.08697510445</c:v>
                </c:pt>
                <c:pt idx="63">
                  <c:v>124287.53441030088</c:v>
                </c:pt>
                <c:pt idx="64">
                  <c:v>124804.19302220231</c:v>
                </c:pt>
                <c:pt idx="65">
                  <c:v>125313.29077636859</c:v>
                </c:pt>
                <c:pt idx="66">
                  <c:v>125815.04577446518</c:v>
                </c:pt>
                <c:pt idx="67">
                  <c:v>126309.66681524285</c:v>
                </c:pt>
                <c:pt idx="68">
                  <c:v>126797.35391619653</c:v>
                </c:pt>
                <c:pt idx="69">
                  <c:v>127278.29879916468</c:v>
                </c:pt>
                <c:pt idx="70">
                  <c:v>127752.68534281963</c:v>
                </c:pt>
                <c:pt idx="71">
                  <c:v>128220.69000472137</c:v>
                </c:pt>
                <c:pt idx="72">
                  <c:v>128682.48221535893</c:v>
                </c:pt>
                <c:pt idx="73">
                  <c:v>129138.22474638115</c:v>
                </c:pt>
                <c:pt idx="74">
                  <c:v>129588.07405501946</c:v>
                </c:pt>
                <c:pt idx="75">
                  <c:v>130032.18060652622</c:v>
                </c:pt>
                <c:pt idx="76">
                  <c:v>130470.6891762913</c:v>
                </c:pt>
                <c:pt idx="77">
                  <c:v>130903.73913315474</c:v>
                </c:pt>
                <c:pt idx="78">
                  <c:v>131331.46470530264</c:v>
                </c:pt>
                <c:pt idx="79">
                  <c:v>131753.99523001554</c:v>
                </c:pt>
                <c:pt idx="80">
                  <c:v>132171.4553884319</c:v>
                </c:pt>
                <c:pt idx="81">
                  <c:v>132583.96542639274</c:v>
                </c:pt>
                <c:pt idx="82">
                  <c:v>132991.64136234621</c:v>
                </c:pt>
                <c:pt idx="83">
                  <c:v>133394.59518321144</c:v>
                </c:pt>
                <c:pt idx="84">
                  <c:v>133792.93502902857</c:v>
                </c:pt>
                <c:pt idx="85">
                  <c:v>134186.7653671572</c:v>
                </c:pt>
                <c:pt idx="86">
                  <c:v>134576.18715672471</c:v>
                </c:pt>
                <c:pt idx="87">
                  <c:v>134961.29800397228</c:v>
                </c:pt>
                <c:pt idx="88">
                  <c:v>135342.19230909669</c:v>
                </c:pt>
                <c:pt idx="89">
                  <c:v>135718.96140514032</c:v>
                </c:pt>
                <c:pt idx="90">
                  <c:v>136091.69368944064</c:v>
                </c:pt>
                <c:pt idx="91">
                  <c:v>136460.47474811232</c:v>
                </c:pt>
                <c:pt idx="92">
                  <c:v>136825.38747400074</c:v>
                </c:pt>
                <c:pt idx="93">
                  <c:v>137186.51217851316</c:v>
                </c:pt>
                <c:pt idx="94">
                  <c:v>137543.92669770526</c:v>
                </c:pt>
                <c:pt idx="95">
                  <c:v>137897.70649297335</c:v>
                </c:pt>
                <c:pt idx="96">
                  <c:v>138247.92474667836</c:v>
                </c:pt>
                <c:pt idx="97">
                  <c:v>138594.65245300424</c:v>
                </c:pt>
                <c:pt idx="98">
                  <c:v>138937.95850433348</c:v>
                </c:pt>
                <c:pt idx="99">
                  <c:v>139277.90977340218</c:v>
                </c:pt>
                <c:pt idx="100">
                  <c:v>139614.57119147989</c:v>
                </c:pt>
                <c:pt idx="101">
                  <c:v>139948.00582280286</c:v>
                </c:pt>
                <c:pt idx="102">
                  <c:v>140278.27493547404</c:v>
                </c:pt>
                <c:pt idx="103">
                  <c:v>140605.43806902919</c:v>
                </c:pt>
                <c:pt idx="104">
                  <c:v>140929.55309885554</c:v>
                </c:pt>
                <c:pt idx="105">
                  <c:v>141250.67629763734</c:v>
                </c:pt>
                <c:pt idx="106">
                  <c:v>141568.86239399126</c:v>
                </c:pt>
                <c:pt idx="107">
                  <c:v>141884.16462844471</c:v>
                </c:pt>
                <c:pt idx="108">
                  <c:v>142196.63480690005</c:v>
                </c:pt>
                <c:pt idx="109">
                  <c:v>142506.3233517193</c:v>
                </c:pt>
                <c:pt idx="110">
                  <c:v>142813.27935055486</c:v>
                </c:pt>
                <c:pt idx="111">
                  <c:v>143117.55060304492</c:v>
                </c:pt>
                <c:pt idx="112">
                  <c:v>143419.18366548448</c:v>
                </c:pt>
                <c:pt idx="113">
                  <c:v>143718.22389357642</c:v>
                </c:pt>
                <c:pt idx="114">
                  <c:v>144014.71548336075</c:v>
                </c:pt>
                <c:pt idx="115">
                  <c:v>144308.70151041451</c:v>
                </c:pt>
                <c:pt idx="116">
                  <c:v>144600.22396740917</c:v>
                </c:pt>
                <c:pt idx="117">
                  <c:v>144889.32380010746</c:v>
                </c:pt>
                <c:pt idx="118">
                  <c:v>145176.04094187694</c:v>
                </c:pt>
                <c:pt idx="119">
                  <c:v>145460.41434679271</c:v>
                </c:pt>
                <c:pt idx="120">
                  <c:v>145742.48202139835</c:v>
                </c:pt>
                <c:pt idx="121">
                  <c:v>146022.28105518947</c:v>
                </c:pt>
                <c:pt idx="122">
                  <c:v>146299.84764988118</c:v>
                </c:pt>
                <c:pt idx="123">
                  <c:v>146575.21714751731</c:v>
                </c:pt>
                <c:pt idx="124">
                  <c:v>146848.42405747567</c:v>
                </c:pt>
                <c:pt idx="125">
                  <c:v>147119.50208242136</c:v>
                </c:pt>
                <c:pt idx="126">
                  <c:v>147388.48414325665</c:v>
                </c:pt>
                <c:pt idx="127">
                  <c:v>147655.40240311367</c:v>
                </c:pt>
                <c:pt idx="128">
                  <c:v>147920.2882904337</c:v>
                </c:pt>
                <c:pt idx="129">
                  <c:v>148183.17252117448</c:v>
                </c:pt>
                <c:pt idx="130">
                  <c:v>148444.0851201847</c:v>
                </c:pt>
                <c:pt idx="131">
                  <c:v>148703.05544178293</c:v>
                </c:pt>
                <c:pt idx="132">
                  <c:v>148960.11218957626</c:v>
                </c:pt>
                <c:pt idx="133">
                  <c:v>149215.28343555203</c:v>
                </c:pt>
                <c:pt idx="134">
                  <c:v>149468.59663847458</c:v>
                </c:pt>
                <c:pt idx="135">
                  <c:v>149720.07866161698</c:v>
                </c:pt>
                <c:pt idx="136">
                  <c:v>149969.75578985643</c:v>
                </c:pt>
                <c:pt idx="137">
                  <c:v>150217.65374616068</c:v>
                </c:pt>
                <c:pt idx="138">
                  <c:v>150463.79770749109</c:v>
                </c:pt>
                <c:pt idx="139">
                  <c:v>150708.21232014702</c:v>
                </c:pt>
                <c:pt idx="140">
                  <c:v>150950.92171457515</c:v>
                </c:pt>
                <c:pt idx="141">
                  <c:v>151191.94951966542</c:v>
                </c:pt>
                <c:pt idx="142">
                  <c:v>151431.31887655554</c:v>
                </c:pt>
                <c:pt idx="143">
                  <c:v>151669.05245196348</c:v>
                </c:pt>
                <c:pt idx="144">
                  <c:v>151905.17245106774</c:v>
                </c:pt>
                <c:pt idx="145">
                  <c:v>152139.70062995332</c:v>
                </c:pt>
                <c:pt idx="146">
                  <c:v>152372.65830764102</c:v>
                </c:pt>
                <c:pt idx="147">
                  <c:v>152604.0663777166</c:v>
                </c:pt>
                <c:pt idx="148">
                  <c:v>152833.94531957584</c:v>
                </c:pt>
                <c:pt idx="149">
                  <c:v>153062.31520930032</c:v>
                </c:pt>
                <c:pt idx="150">
                  <c:v>153289.19573017876</c:v>
                </c:pt>
                <c:pt idx="151">
                  <c:v>153514.60618288736</c:v>
                </c:pt>
                <c:pt idx="152">
                  <c:v>153738.56549534248</c:v>
                </c:pt>
                <c:pt idx="153">
                  <c:v>153961.09223223818</c:v>
                </c:pt>
                <c:pt idx="154">
                  <c:v>154182.20460428073</c:v>
                </c:pt>
                <c:pt idx="155">
                  <c:v>154401.92047713144</c:v>
                </c:pt>
                <c:pt idx="156">
                  <c:v>154620.25738006886</c:v>
                </c:pt>
                <c:pt idx="157">
                  <c:v>154837.23251438088</c:v>
                </c:pt>
                <c:pt idx="158">
                  <c:v>155052.86276149677</c:v>
                </c:pt>
                <c:pt idx="159">
                  <c:v>155267.16469086861</c:v>
                </c:pt>
                <c:pt idx="160">
                  <c:v>155480.15456761164</c:v>
                </c:pt>
                <c:pt idx="161">
                  <c:v>155691.84835991202</c:v>
                </c:pt>
                <c:pt idx="162">
                  <c:v>155902.2617462106</c:v>
                </c:pt>
                <c:pt idx="163">
                  <c:v>156111.4101221707</c:v>
                </c:pt>
                <c:pt idx="164">
                  <c:v>156319.30860743779</c:v>
                </c:pt>
                <c:pt idx="165">
                  <c:v>156525.97205219837</c:v>
                </c:pt>
                <c:pt idx="166">
                  <c:v>156731.41504354501</c:v>
                </c:pt>
                <c:pt idx="167">
                  <c:v>156935.65191165477</c:v>
                </c:pt>
                <c:pt idx="168">
                  <c:v>157138.69673578723</c:v>
                </c:pt>
                <c:pt idx="169">
                  <c:v>157340.56335010848</c:v>
                </c:pt>
                <c:pt idx="170">
                  <c:v>157541.26534934712</c:v>
                </c:pt>
                <c:pt idx="171">
                  <c:v>157740.81609428802</c:v>
                </c:pt>
                <c:pt idx="172">
                  <c:v>157939.22871710948</c:v>
                </c:pt>
                <c:pt idx="173">
                  <c:v>158136.51612656901</c:v>
                </c:pt>
                <c:pt idx="174">
                  <c:v>158332.69101304287</c:v>
                </c:pt>
                <c:pt idx="175">
                  <c:v>158527.76585342435</c:v>
                </c:pt>
                <c:pt idx="176">
                  <c:v>158721.75291588547</c:v>
                </c:pt>
                <c:pt idx="177">
                  <c:v>158914.66426450672</c:v>
                </c:pt>
                <c:pt idx="178">
                  <c:v>159106.51176377895</c:v>
                </c:pt>
                <c:pt idx="179">
                  <c:v>159297.30708298204</c:v>
                </c:pt>
                <c:pt idx="180">
                  <c:v>159487.06170044403</c:v>
                </c:pt>
                <c:pt idx="181">
                  <c:v>159675.7869076847</c:v>
                </c:pt>
                <c:pt idx="182">
                  <c:v>159863.49381344745</c:v>
                </c:pt>
                <c:pt idx="183">
                  <c:v>160050.19334762293</c:v>
                </c:pt>
                <c:pt idx="184">
                  <c:v>160235.89626506792</c:v>
                </c:pt>
                <c:pt idx="185">
                  <c:v>160420.61314932295</c:v>
                </c:pt>
                <c:pt idx="186">
                  <c:v>160604.35441623157</c:v>
                </c:pt>
                <c:pt idx="187">
                  <c:v>160787.13031746465</c:v>
                </c:pt>
                <c:pt idx="188">
                  <c:v>160968.9509439526</c:v>
                </c:pt>
                <c:pt idx="189">
                  <c:v>161149.82622922832</c:v>
                </c:pt>
                <c:pt idx="190">
                  <c:v>161329.76595268364</c:v>
                </c:pt>
                <c:pt idx="191">
                  <c:v>161508.7797427421</c:v>
                </c:pt>
                <c:pt idx="192">
                  <c:v>161686.87707995044</c:v>
                </c:pt>
                <c:pt idx="193">
                  <c:v>161864.06729999135</c:v>
                </c:pt>
                <c:pt idx="194">
                  <c:v>162040.35959661988</c:v>
                </c:pt>
                <c:pt idx="195">
                  <c:v>162215.76302452592</c:v>
                </c:pt>
                <c:pt idx="196">
                  <c:v>162390.28650212474</c:v>
                </c:pt>
                <c:pt idx="197">
                  <c:v>162563.93881427796</c:v>
                </c:pt>
                <c:pt idx="198">
                  <c:v>162736.72861494697</c:v>
                </c:pt>
                <c:pt idx="199">
                  <c:v>162908.66442978074</c:v>
                </c:pt>
                <c:pt idx="200">
                  <c:v>163079.7546586399</c:v>
                </c:pt>
                <c:pt idx="201">
                  <c:v>163250.0075780593</c:v>
                </c:pt>
                <c:pt idx="202">
                  <c:v>163419.43134365036</c:v>
                </c:pt>
                <c:pt idx="203">
                  <c:v>163588.03399244533</c:v>
                </c:pt>
                <c:pt idx="204">
                  <c:v>163755.82344518503</c:v>
                </c:pt>
                <c:pt idx="205">
                  <c:v>163922.80750855157</c:v>
                </c:pt>
                <c:pt idx="206">
                  <c:v>164088.99387734791</c:v>
                </c:pt>
                <c:pt idx="207">
                  <c:v>164254.39013662538</c:v>
                </c:pt>
                <c:pt idx="208">
                  <c:v>164419.00376376117</c:v>
                </c:pt>
                <c:pt idx="209">
                  <c:v>164582.84213048659</c:v>
                </c:pt>
                <c:pt idx="210">
                  <c:v>164745.91250486797</c:v>
                </c:pt>
                <c:pt idx="211">
                  <c:v>164908.22205324136</c:v>
                </c:pt>
                <c:pt idx="212">
                  <c:v>165069.77784210219</c:v>
                </c:pt>
                <c:pt idx="213">
                  <c:v>165230.58683995134</c:v>
                </c:pt>
                <c:pt idx="214">
                  <c:v>165390.65591909873</c:v>
                </c:pt>
                <c:pt idx="215">
                  <c:v>165549.99185742557</c:v>
                </c:pt>
                <c:pt idx="216">
                  <c:v>165708.60134010657</c:v>
                </c:pt>
                <c:pt idx="217">
                  <c:v>165866.49096129279</c:v>
                </c:pt>
                <c:pt idx="218">
                  <c:v>166023.66722575677</c:v>
                </c:pt>
                <c:pt idx="219">
                  <c:v>166180.13655050052</c:v>
                </c:pt>
                <c:pt idx="220">
                  <c:v>166335.90526632752</c:v>
                </c:pt>
                <c:pt idx="221">
                  <c:v>166490.97961937965</c:v>
                </c:pt>
                <c:pt idx="222">
                  <c:v>166645.36577264013</c:v>
                </c:pt>
                <c:pt idx="223">
                  <c:v>166799.06980740314</c:v>
                </c:pt>
                <c:pt idx="224">
                  <c:v>166952.09772471117</c:v>
                </c:pt>
                <c:pt idx="225">
                  <c:v>167104.45544676093</c:v>
                </c:pt>
                <c:pt idx="226">
                  <c:v>167256.14881827851</c:v>
                </c:pt>
                <c:pt idx="227">
                  <c:v>167407.18360786475</c:v>
                </c:pt>
                <c:pt idx="228">
                  <c:v>167557.56550931156</c:v>
                </c:pt>
                <c:pt idx="229">
                  <c:v>167707.30014288987</c:v>
                </c:pt>
                <c:pt idx="230">
                  <c:v>167856.39305660999</c:v>
                </c:pt>
                <c:pt idx="231">
                  <c:v>168004.84972745506</c:v>
                </c:pt>
                <c:pt idx="232">
                  <c:v>168152.67556258832</c:v>
                </c:pt>
                <c:pt idx="233">
                  <c:v>168299.87590053485</c:v>
                </c:pt>
                <c:pt idx="234">
                  <c:v>168446.45601233834</c:v>
                </c:pt>
                <c:pt idx="235">
                  <c:v>168592.42110269371</c:v>
                </c:pt>
                <c:pt idx="236">
                  <c:v>168737.77631105596</c:v>
                </c:pt>
                <c:pt idx="237">
                  <c:v>168882.52671272599</c:v>
                </c:pt>
                <c:pt idx="238">
                  <c:v>169026.67731991396</c:v>
                </c:pt>
                <c:pt idx="239">
                  <c:v>169170.23308278064</c:v>
                </c:pt>
                <c:pt idx="240">
                  <c:v>169313.19889045748</c:v>
                </c:pt>
                <c:pt idx="241">
                  <c:v>169455.57957204559</c:v>
                </c:pt>
                <c:pt idx="242">
                  <c:v>169597.37989759463</c:v>
                </c:pt>
                <c:pt idx="243">
                  <c:v>169738.60457906159</c:v>
                </c:pt>
                <c:pt idx="244">
                  <c:v>169879.25827125038</c:v>
                </c:pt>
                <c:pt idx="245">
                  <c:v>170019.34557273239</c:v>
                </c:pt>
                <c:pt idx="246">
                  <c:v>170158.87102674856</c:v>
                </c:pt>
                <c:pt idx="247">
                  <c:v>170297.83912209354</c:v>
                </c:pt>
                <c:pt idx="248">
                  <c:v>170436.25429398226</c:v>
                </c:pt>
                <c:pt idx="249">
                  <c:v>170574.12092489915</c:v>
                </c:pt>
                <c:pt idx="250">
                  <c:v>170711.44334543086</c:v>
                </c:pt>
                <c:pt idx="251">
                  <c:v>170848.22583508235</c:v>
                </c:pt>
                <c:pt idx="252">
                  <c:v>170984.47262307725</c:v>
                </c:pt>
                <c:pt idx="253">
                  <c:v>171120.1878891424</c:v>
                </c:pt>
                <c:pt idx="254">
                  <c:v>171255.37576427724</c:v>
                </c:pt>
                <c:pt idx="255">
                  <c:v>171390.04033150832</c:v>
                </c:pt>
                <c:pt idx="256">
                  <c:v>171524.18562662927</c:v>
                </c:pt>
                <c:pt idx="257">
                  <c:v>171657.81563892643</c:v>
                </c:pt>
                <c:pt idx="258">
                  <c:v>171790.93431189083</c:v>
                </c:pt>
                <c:pt idx="259">
                  <c:v>171923.54554391635</c:v>
                </c:pt>
                <c:pt idx="260">
                  <c:v>172055.65318898481</c:v>
                </c:pt>
                <c:pt idx="261">
                  <c:v>172187.26105733801</c:v>
                </c:pt>
                <c:pt idx="262">
                  <c:v>172318.3729161371</c:v>
                </c:pt>
                <c:pt idx="263">
                  <c:v>172448.99249010967</c:v>
                </c:pt>
                <c:pt idx="264">
                  <c:v>172579.12346218459</c:v>
                </c:pt>
                <c:pt idx="265">
                  <c:v>172708.76947411514</c:v>
                </c:pt>
                <c:pt idx="266">
                  <c:v>172837.9341270905</c:v>
                </c:pt>
                <c:pt idx="267">
                  <c:v>172966.620982336</c:v>
                </c:pt>
                <c:pt idx="268">
                  <c:v>173094.83356170219</c:v>
                </c:pt>
                <c:pt idx="269">
                  <c:v>173222.57534824332</c:v>
                </c:pt>
                <c:pt idx="270">
                  <c:v>173349.84978678491</c:v>
                </c:pt>
                <c:pt idx="271">
                  <c:v>173476.66028448124</c:v>
                </c:pt>
                <c:pt idx="272">
                  <c:v>173603.01021136271</c:v>
                </c:pt>
                <c:pt idx="273">
                  <c:v>173728.90290087307</c:v>
                </c:pt>
                <c:pt idx="274">
                  <c:v>173854.34165039723</c:v>
                </c:pt>
                <c:pt idx="275">
                  <c:v>173979.32972177936</c:v>
                </c:pt>
                <c:pt idx="276">
                  <c:v>174103.87034183196</c:v>
                </c:pt>
                <c:pt idx="277">
                  <c:v>174227.96670283563</c:v>
                </c:pt>
                <c:pt idx="278">
                  <c:v>174351.62196303005</c:v>
                </c:pt>
                <c:pt idx="279">
                  <c:v>174474.83924709627</c:v>
                </c:pt>
                <c:pt idx="280">
                  <c:v>174597.62164663049</c:v>
                </c:pt>
                <c:pt idx="281">
                  <c:v>174719.97222060949</c:v>
                </c:pt>
                <c:pt idx="282">
                  <c:v>174841.8939958479</c:v>
                </c:pt>
                <c:pt idx="283">
                  <c:v>174963.38996744755</c:v>
                </c:pt>
                <c:pt idx="284">
                  <c:v>175084.46309923884</c:v>
                </c:pt>
                <c:pt idx="285">
                  <c:v>175205.11632421467</c:v>
                </c:pt>
                <c:pt idx="286">
                  <c:v>175325.35254495672</c:v>
                </c:pt>
                <c:pt idx="287">
                  <c:v>175445.17463405442</c:v>
                </c:pt>
                <c:pt idx="288">
                  <c:v>175564.58543451678</c:v>
                </c:pt>
                <c:pt idx="289">
                  <c:v>175683.58776017709</c:v>
                </c:pt>
                <c:pt idx="290">
                  <c:v>175802.18439609083</c:v>
                </c:pt>
                <c:pt idx="291">
                  <c:v>175920.37809892671</c:v>
                </c:pt>
                <c:pt idx="292">
                  <c:v>176038.1715973512</c:v>
                </c:pt>
                <c:pt idx="293">
                  <c:v>176155.56759240641</c:v>
                </c:pt>
                <c:pt idx="294">
                  <c:v>176272.56875788185</c:v>
                </c:pt>
                <c:pt idx="295">
                  <c:v>176389.1777406797</c:v>
                </c:pt>
                <c:pt idx="296">
                  <c:v>176505.39716117425</c:v>
                </c:pt>
                <c:pt idx="297">
                  <c:v>176621.22961356502</c:v>
                </c:pt>
                <c:pt idx="298">
                  <c:v>176736.67766622442</c:v>
                </c:pt>
                <c:pt idx="299">
                  <c:v>176851.74386203929</c:v>
                </c:pt>
                <c:pt idx="300">
                  <c:v>176966.43071874708</c:v>
                </c:pt>
                <c:pt idx="301">
                  <c:v>177080.74072926634</c:v>
                </c:pt>
                <c:pt idx="302">
                  <c:v>177194.67636202188</c:v>
                </c:pt>
                <c:pt idx="303">
                  <c:v>177308.24006126463</c:v>
                </c:pt>
                <c:pt idx="304">
                  <c:v>177421.43424738621</c:v>
                </c:pt>
                <c:pt idx="305">
                  <c:v>177534.26131722846</c:v>
                </c:pt>
                <c:pt idx="306">
                  <c:v>177646.72364438805</c:v>
                </c:pt>
                <c:pt idx="307">
                  <c:v>177758.82357951597</c:v>
                </c:pt>
                <c:pt idx="308">
                  <c:v>177870.56345061242</c:v>
                </c:pt>
                <c:pt idx="309">
                  <c:v>177981.9455633169</c:v>
                </c:pt>
                <c:pt idx="310">
                  <c:v>178092.9722011936</c:v>
                </c:pt>
                <c:pt idx="311">
                  <c:v>178203.64562601235</c:v>
                </c:pt>
                <c:pt idx="312">
                  <c:v>178313.96807802512</c:v>
                </c:pt>
                <c:pt idx="313">
                  <c:v>178423.94177623806</c:v>
                </c:pt>
                <c:pt idx="314">
                  <c:v>178533.56891867935</c:v>
                </c:pt>
                <c:pt idx="315">
                  <c:v>178642.85168266267</c:v>
                </c:pt>
                <c:pt idx="316">
                  <c:v>178751.7922250469</c:v>
                </c:pt>
                <c:pt idx="317">
                  <c:v>178860.39268249131</c:v>
                </c:pt>
                <c:pt idx="318">
                  <c:v>178968.65517170716</c:v>
                </c:pt>
                <c:pt idx="319">
                  <c:v>179076.58178970517</c:v>
                </c:pt>
                <c:pt idx="320">
                  <c:v>179184.17461403928</c:v>
                </c:pt>
                <c:pt idx="321">
                  <c:v>179291.43570304656</c:v>
                </c:pt>
                <c:pt idx="322">
                  <c:v>179398.36709608353</c:v>
                </c:pt>
                <c:pt idx="323">
                  <c:v>179504.97081375879</c:v>
                </c:pt>
                <c:pt idx="324">
                  <c:v>179611.24885816214</c:v>
                </c:pt>
                <c:pt idx="325">
                  <c:v>179717.20321309016</c:v>
                </c:pt>
                <c:pt idx="326">
                  <c:v>179822.83584426838</c:v>
                </c:pt>
                <c:pt idx="327">
                  <c:v>179928.14869957019</c:v>
                </c:pt>
                <c:pt idx="328">
                  <c:v>180033.14370923224</c:v>
                </c:pt>
                <c:pt idx="329">
                  <c:v>180137.82278606683</c:v>
                </c:pt>
                <c:pt idx="330">
                  <c:v>180242.1878256709</c:v>
                </c:pt>
                <c:pt idx="331">
                  <c:v>180346.24070663212</c:v>
                </c:pt>
                <c:pt idx="332">
                  <c:v>180449.98329073162</c:v>
                </c:pt>
                <c:pt idx="333">
                  <c:v>180553.41742314398</c:v>
                </c:pt>
                <c:pt idx="334">
                  <c:v>180656.54493263419</c:v>
                </c:pt>
                <c:pt idx="335">
                  <c:v>180759.36763175152</c:v>
                </c:pt>
                <c:pt idx="336">
                  <c:v>180861.88731702077</c:v>
                </c:pt>
                <c:pt idx="337">
                  <c:v>180964.10576913055</c:v>
                </c:pt>
                <c:pt idx="338">
                  <c:v>181066.02475311892</c:v>
                </c:pt>
                <c:pt idx="339">
                  <c:v>181167.6460185562</c:v>
                </c:pt>
                <c:pt idx="340">
                  <c:v>181268.97129972524</c:v>
                </c:pt>
                <c:pt idx="341">
                  <c:v>181370.00231579889</c:v>
                </c:pt>
                <c:pt idx="342">
                  <c:v>181470.7407710152</c:v>
                </c:pt>
                <c:pt idx="343">
                  <c:v>181571.18835484976</c:v>
                </c:pt>
                <c:pt idx="344">
                  <c:v>181671.34674218573</c:v>
                </c:pt>
                <c:pt idx="345">
                  <c:v>181771.2175934815</c:v>
                </c:pt>
                <c:pt idx="346">
                  <c:v>181870.8025549358</c:v>
                </c:pt>
                <c:pt idx="347">
                  <c:v>181970.10325865043</c:v>
                </c:pt>
                <c:pt idx="348">
                  <c:v>182069.12132279092</c:v>
                </c:pt>
                <c:pt idx="349">
                  <c:v>182167.85835174465</c:v>
                </c:pt>
                <c:pt idx="350">
                  <c:v>182266.31593627681</c:v>
                </c:pt>
                <c:pt idx="351">
                  <c:v>182364.49565368422</c:v>
                </c:pt>
                <c:pt idx="352">
                  <c:v>182462.39906794697</c:v>
                </c:pt>
                <c:pt idx="353">
                  <c:v>182560.02772987782</c:v>
                </c:pt>
                <c:pt idx="354">
                  <c:v>182657.38317726969</c:v>
                </c:pt>
                <c:pt idx="355">
                  <c:v>182754.46693504092</c:v>
                </c:pt>
                <c:pt idx="356">
                  <c:v>182851.28051537866</c:v>
                </c:pt>
                <c:pt idx="357">
                  <c:v>182947.82541788014</c:v>
                </c:pt>
                <c:pt idx="358">
                  <c:v>183044.10312969203</c:v>
                </c:pt>
                <c:pt idx="359">
                  <c:v>183140.11512564795</c:v>
                </c:pt>
              </c:numCache>
            </c:numRef>
          </c:yVal>
        </c:ser>
        <c:ser>
          <c:idx val="3"/>
          <c:order val="3"/>
          <c:tx>
            <c:strRef>
              <c:f>Hyperbolic!$L$2</c:f>
              <c:strCache>
                <c:ptCount val="1"/>
                <c:pt idx="0">
                  <c:v>Dec-14 Cumulative</c:v>
                </c:pt>
              </c:strCache>
            </c:strRef>
          </c:tx>
          <c:spPr>
            <a:ln w="19050">
              <a:prstDash val="sysDot"/>
            </a:ln>
          </c:spPr>
          <c:marker>
            <c:symbol val="none"/>
          </c:marker>
          <c:xVal>
            <c:numRef>
              <c:f>Hyperbolic!$H$3:$H$362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Hyperbolic!$L$3:$L$362</c:f>
              <c:numCache>
                <c:formatCode>0.0</c:formatCode>
                <c:ptCount val="360"/>
                <c:pt idx="0">
                  <c:v>13275.400122948058</c:v>
                </c:pt>
                <c:pt idx="1">
                  <c:v>25089.724290289396</c:v>
                </c:pt>
                <c:pt idx="2">
                  <c:v>35603.776916827439</c:v>
                </c:pt>
                <c:pt idx="3">
                  <c:v>44960.664460102664</c:v>
                </c:pt>
                <c:pt idx="4">
                  <c:v>53287.743238129187</c:v>
                </c:pt>
                <c:pt idx="5">
                  <c:v>60698.352872450851</c:v>
                </c:pt>
                <c:pt idx="6">
                  <c:v>67293.358950358539</c:v>
                </c:pt>
                <c:pt idx="7">
                  <c:v>73162.525903398375</c:v>
                </c:pt>
                <c:pt idx="8">
                  <c:v>78385.738788379298</c:v>
                </c:pt>
                <c:pt idx="9">
                  <c:v>83034.090600504962</c:v>
                </c:pt>
                <c:pt idx="10">
                  <c:v>87170.84991801664</c:v>
                </c:pt>
                <c:pt idx="11">
                  <c:v>90852.322048929665</c:v>
                </c:pt>
                <c:pt idx="12">
                  <c:v>94128.61540090591</c:v>
                </c:pt>
                <c:pt idx="13">
                  <c:v>97044.323505299908</c:v>
                </c:pt>
                <c:pt idx="14">
                  <c:v>99639.131978387595</c:v>
                </c:pt>
                <c:pt idx="15">
                  <c:v>102052.83857282237</c:v>
                </c:pt>
                <c:pt idx="16">
                  <c:v>104341.69827444154</c:v>
                </c:pt>
                <c:pt idx="17">
                  <c:v>106517.99110548929</c:v>
                </c:pt>
                <c:pt idx="18">
                  <c:v>108592.27021008167</c:v>
                </c:pt>
                <c:pt idx="19">
                  <c:v>110573.67114581171</c:v>
                </c:pt>
                <c:pt idx="20">
                  <c:v>112470.15489858188</c:v>
                </c:pt>
                <c:pt idx="21">
                  <c:v>114288.70096288205</c:v>
                </c:pt>
                <c:pt idx="22">
                  <c:v>116035.46231411774</c:v>
                </c:pt>
                <c:pt idx="23">
                  <c:v>117715.89095581284</c:v>
                </c:pt>
                <c:pt idx="24">
                  <c:v>119334.84050086055</c:v>
                </c:pt>
                <c:pt idx="25">
                  <c:v>120896.6506502007</c:v>
                </c:pt>
                <c:pt idx="26">
                  <c:v>122405.21727172243</c:v>
                </c:pt>
                <c:pt idx="27">
                  <c:v>123864.05092769949</c:v>
                </c:pt>
                <c:pt idx="28">
                  <c:v>125276.32606274111</c:v>
                </c:pt>
                <c:pt idx="29">
                  <c:v>126644.92258535876</c:v>
                </c:pt>
                <c:pt idx="30">
                  <c:v>127972.46121229789</c:v>
                </c:pt>
                <c:pt idx="31">
                  <c:v>129261.33366563685</c:v>
                </c:pt>
                <c:pt idx="32">
                  <c:v>130513.72859671149</c:v>
                </c:pt>
                <c:pt idx="33">
                  <c:v>131731.65394252719</c:v>
                </c:pt>
                <c:pt idx="34">
                  <c:v>132916.95628800854</c:v>
                </c:pt>
                <c:pt idx="35">
                  <c:v>134071.33770273821</c:v>
                </c:pt>
                <c:pt idx="36">
                  <c:v>135196.37043743237</c:v>
                </c:pt>
                <c:pt idx="37">
                  <c:v>136293.50979853907</c:v>
                </c:pt>
                <c:pt idx="38">
                  <c:v>137364.10546542547</c:v>
                </c:pt>
                <c:pt idx="39">
                  <c:v>138409.41147088935</c:v>
                </c:pt>
                <c:pt idx="40">
                  <c:v>139430.59503007328</c:v>
                </c:pt>
                <c:pt idx="41">
                  <c:v>140428.74437363652</c:v>
                </c:pt>
                <c:pt idx="42">
                  <c:v>141404.87571697411</c:v>
                </c:pt>
                <c:pt idx="43">
                  <c:v>142359.93947736197</c:v>
                </c:pt>
                <c:pt idx="44">
                  <c:v>143294.82583436134</c:v>
                </c:pt>
                <c:pt idx="45">
                  <c:v>144210.369715009</c:v>
                </c:pt>
                <c:pt idx="46">
                  <c:v>145107.35527375166</c:v>
                </c:pt>
                <c:pt idx="47">
                  <c:v>145986.51992735371</c:v>
                </c:pt>
                <c:pt idx="48">
                  <c:v>146848.5579967947</c:v>
                </c:pt>
                <c:pt idx="49">
                  <c:v>147694.12400121451</c:v>
                </c:pt>
                <c:pt idx="50">
                  <c:v>148523.83564305145</c:v>
                </c:pt>
                <c:pt idx="51">
                  <c:v>149338.27651847422</c:v>
                </c:pt>
                <c:pt idx="52">
                  <c:v>150137.99858289538</c:v>
                </c:pt>
                <c:pt idx="53">
                  <c:v>150923.52439765225</c:v>
                </c:pt>
                <c:pt idx="54">
                  <c:v>151695.3491807564</c:v>
                </c:pt>
                <c:pt idx="55">
                  <c:v>152453.94268186446</c:v>
                </c:pt>
                <c:pt idx="56">
                  <c:v>153199.75089924599</c:v>
                </c:pt>
                <c:pt idx="57">
                  <c:v>153933.19765446096</c:v>
                </c:pt>
                <c:pt idx="58">
                  <c:v>154654.68603866702</c:v>
                </c:pt>
                <c:pt idx="59">
                  <c:v>155364.59974291254</c:v>
                </c:pt>
                <c:pt idx="60">
                  <c:v>156063.30428340682</c:v>
                </c:pt>
                <c:pt idx="61">
                  <c:v>156751.14813156181</c:v>
                </c:pt>
                <c:pt idx="62">
                  <c:v>157428.46375755116</c:v>
                </c:pt>
                <c:pt idx="63">
                  <c:v>158095.56859520901</c:v>
                </c:pt>
                <c:pt idx="64">
                  <c:v>158752.76593527789</c:v>
                </c:pt>
                <c:pt idx="65">
                  <c:v>159400.34575329698</c:v>
                </c:pt>
                <c:pt idx="66">
                  <c:v>160038.58547778695</c:v>
                </c:pt>
                <c:pt idx="67">
                  <c:v>160667.75070382445</c:v>
                </c:pt>
                <c:pt idx="68">
                  <c:v>161288.09585659974</c:v>
                </c:pt>
                <c:pt idx="69">
                  <c:v>161899.86480910625</c:v>
                </c:pt>
                <c:pt idx="70">
                  <c:v>162503.29145771495</c:v>
                </c:pt>
                <c:pt idx="71">
                  <c:v>163098.60025903294</c:v>
                </c:pt>
                <c:pt idx="72">
                  <c:v>163686.00673112989</c:v>
                </c:pt>
                <c:pt idx="73">
                  <c:v>164265.71792193301</c:v>
                </c:pt>
                <c:pt idx="74">
                  <c:v>164837.9328473378</c:v>
                </c:pt>
                <c:pt idx="75">
                  <c:v>165402.84290135445</c:v>
                </c:pt>
                <c:pt idx="76">
                  <c:v>165960.63224040449</c:v>
                </c:pt>
                <c:pt idx="77">
                  <c:v>166511.47814369874</c:v>
                </c:pt>
                <c:pt idx="78">
                  <c:v>167055.55135146069</c:v>
                </c:pt>
                <c:pt idx="79">
                  <c:v>167593.01638261013</c:v>
                </c:pt>
                <c:pt idx="80">
                  <c:v>168124.03183338579</c:v>
                </c:pt>
                <c:pt idx="81">
                  <c:v>168648.7506582629</c:v>
                </c:pt>
                <c:pt idx="82">
                  <c:v>169167.320434411</c:v>
                </c:pt>
                <c:pt idx="83">
                  <c:v>169679.88361083536</c:v>
                </c:pt>
                <c:pt idx="84">
                  <c:v>170186.57774325486</c:v>
                </c:pt>
                <c:pt idx="85">
                  <c:v>170687.53571568473</c:v>
                </c:pt>
                <c:pt idx="86">
                  <c:v>171182.88594961725</c:v>
                </c:pt>
                <c:pt idx="87">
                  <c:v>171672.75260162432</c:v>
                </c:pt>
                <c:pt idx="88">
                  <c:v>172157.25575014224</c:v>
                </c:pt>
                <c:pt idx="89">
                  <c:v>172636.51157214193</c:v>
                </c:pt>
                <c:pt idx="90">
                  <c:v>173110.63251033449</c:v>
                </c:pt>
                <c:pt idx="91">
                  <c:v>173579.72743151439</c:v>
                </c:pt>
                <c:pt idx="92">
                  <c:v>174043.90177659801</c:v>
                </c:pt>
                <c:pt idx="93">
                  <c:v>174503.25770287451</c:v>
                </c:pt>
                <c:pt idx="94">
                  <c:v>174957.89421894954</c:v>
                </c:pt>
                <c:pt idx="95">
                  <c:v>175407.90731282721</c:v>
                </c:pt>
                <c:pt idx="96">
                  <c:v>175853.39007354504</c:v>
                </c:pt>
                <c:pt idx="97">
                  <c:v>176294.43280674741</c:v>
                </c:pt>
                <c:pt idx="98">
                  <c:v>176731.12314455633</c:v>
                </c:pt>
                <c:pt idx="99">
                  <c:v>177163.54615007396</c:v>
                </c:pt>
                <c:pt idx="100">
                  <c:v>177591.78441682851</c:v>
                </c:pt>
                <c:pt idx="101">
                  <c:v>178015.91816345442</c:v>
                </c:pt>
                <c:pt idx="102">
                  <c:v>178436.02532387819</c:v>
                </c:pt>
                <c:pt idx="103">
                  <c:v>178852.18163326351</c:v>
                </c:pt>
                <c:pt idx="104">
                  <c:v>179264.46070995266</c:v>
                </c:pt>
                <c:pt idx="105">
                  <c:v>179672.93413362623</c:v>
                </c:pt>
                <c:pt idx="106">
                  <c:v>180077.67151988816</c:v>
                </c:pt>
                <c:pt idx="107">
                  <c:v>180478.74059147097</c:v>
                </c:pt>
                <c:pt idx="108">
                  <c:v>180876.20724624317</c:v>
                </c:pt>
                <c:pt idx="109">
                  <c:v>181270.1356221895</c:v>
                </c:pt>
                <c:pt idx="110">
                  <c:v>181660.58815952454</c:v>
                </c:pt>
                <c:pt idx="111">
                  <c:v>182047.62566008989</c:v>
                </c:pt>
                <c:pt idx="112">
                  <c:v>182431.30734417634</c:v>
                </c:pt>
                <c:pt idx="113">
                  <c:v>182811.69090490389</c:v>
                </c:pt>
                <c:pt idx="114">
                  <c:v>183188.83256028433</c:v>
                </c:pt>
                <c:pt idx="115">
                  <c:v>183562.78710308409</c:v>
                </c:pt>
                <c:pt idx="116">
                  <c:v>183933.60794859781</c:v>
                </c:pt>
                <c:pt idx="117">
                  <c:v>184301.34718043692</c:v>
                </c:pt>
                <c:pt idx="118">
                  <c:v>184666.05559443118</c:v>
                </c:pt>
                <c:pt idx="119">
                  <c:v>185027.78274073612</c:v>
                </c:pt>
                <c:pt idx="120">
                  <c:v>185386.57696423319</c:v>
                </c:pt>
                <c:pt idx="121">
                  <c:v>185742.48544330534</c:v>
                </c:pt>
                <c:pt idx="122">
                  <c:v>186095.55422706573</c:v>
                </c:pt>
                <c:pt idx="123">
                  <c:v>186445.82827111299</c:v>
                </c:pt>
                <c:pt idx="124">
                  <c:v>186793.3514718824</c:v>
                </c:pt>
                <c:pt idx="125">
                  <c:v>187138.16669965879</c:v>
                </c:pt>
                <c:pt idx="126">
                  <c:v>187480.31583031319</c:v>
                </c:pt>
                <c:pt idx="127">
                  <c:v>187819.83977582192</c:v>
                </c:pt>
                <c:pt idx="128">
                  <c:v>188156.77851362372</c:v>
                </c:pt>
                <c:pt idx="129">
                  <c:v>188491.17111486784</c:v>
                </c:pt>
                <c:pt idx="130">
                  <c:v>188823.05577160264</c:v>
                </c:pt>
                <c:pt idx="131">
                  <c:v>189152.46982295229</c:v>
                </c:pt>
                <c:pt idx="132">
                  <c:v>189479.44978032645</c:v>
                </c:pt>
                <c:pt idx="133">
                  <c:v>189804.0313517052</c:v>
                </c:pt>
                <c:pt idx="134">
                  <c:v>190126.24946503993</c:v>
                </c:pt>
                <c:pt idx="135">
                  <c:v>190446.13829080839</c:v>
                </c:pt>
                <c:pt idx="136">
                  <c:v>190763.73126376033</c:v>
                </c:pt>
                <c:pt idx="137">
                  <c:v>191079.06110388838</c:v>
                </c:pt>
                <c:pt idx="138">
                  <c:v>191392.15983665705</c:v>
                </c:pt>
                <c:pt idx="139">
                  <c:v>191703.05881252102</c:v>
                </c:pt>
                <c:pt idx="140">
                  <c:v>192011.78872576269</c:v>
                </c:pt>
                <c:pt idx="141">
                  <c:v>192318.37963267704</c:v>
                </c:pt>
                <c:pt idx="142">
                  <c:v>192622.86096913097</c:v>
                </c:pt>
                <c:pt idx="143">
                  <c:v>192925.26156752257</c:v>
                </c:pt>
                <c:pt idx="144">
                  <c:v>193225.6096731649</c:v>
                </c:pt>
                <c:pt idx="145">
                  <c:v>193523.93296011753</c:v>
                </c:pt>
                <c:pt idx="146">
                  <c:v>193820.25854648786</c:v>
                </c:pt>
                <c:pt idx="147">
                  <c:v>194114.6130092238</c:v>
                </c:pt>
                <c:pt idx="148">
                  <c:v>194407.02239841744</c:v>
                </c:pt>
                <c:pt idx="149">
                  <c:v>194697.51225113936</c:v>
                </c:pt>
                <c:pt idx="150">
                  <c:v>194986.10760482177</c:v>
                </c:pt>
                <c:pt idx="151">
                  <c:v>195272.83301020818</c:v>
                </c:pt>
                <c:pt idx="152">
                  <c:v>195557.7125438861</c:v>
                </c:pt>
                <c:pt idx="153">
                  <c:v>195840.76982041897</c:v>
                </c:pt>
                <c:pt idx="154">
                  <c:v>196122.02800409251</c:v>
                </c:pt>
                <c:pt idx="155">
                  <c:v>196401.50982029023</c:v>
                </c:pt>
                <c:pt idx="156">
                  <c:v>196679.23756651182</c:v>
                </c:pt>
                <c:pt idx="157">
                  <c:v>196955.233123048</c:v>
                </c:pt>
                <c:pt idx="158">
                  <c:v>197229.51796332467</c:v>
                </c:pt>
                <c:pt idx="159">
                  <c:v>197502.11316392818</c:v>
                </c:pt>
                <c:pt idx="160">
                  <c:v>197773.03941432392</c:v>
                </c:pt>
                <c:pt idx="161">
                  <c:v>198042.31702627911</c:v>
                </c:pt>
                <c:pt idx="162">
                  <c:v>198309.96594300072</c:v>
                </c:pt>
                <c:pt idx="163">
                  <c:v>198576.00574799854</c:v>
                </c:pt>
                <c:pt idx="164">
                  <c:v>198840.45567368364</c:v>
                </c:pt>
                <c:pt idx="165">
                  <c:v>199103.33460971119</c:v>
                </c:pt>
                <c:pt idx="166">
                  <c:v>199364.66111107718</c:v>
                </c:pt>
                <c:pt idx="167">
                  <c:v>199624.4534059772</c:v>
                </c:pt>
                <c:pt idx="168">
                  <c:v>199882.72940343618</c:v>
                </c:pt>
                <c:pt idx="169">
                  <c:v>200139.50670071648</c:v>
                </c:pt>
                <c:pt idx="170">
                  <c:v>200394.80259051247</c:v>
                </c:pt>
                <c:pt idx="171">
                  <c:v>200648.63406793869</c:v>
                </c:pt>
                <c:pt idx="172">
                  <c:v>200901.01783731877</c:v>
                </c:pt>
                <c:pt idx="173">
                  <c:v>201151.97031878174</c:v>
                </c:pt>
                <c:pt idx="174">
                  <c:v>201401.50765467255</c:v>
                </c:pt>
                <c:pt idx="175">
                  <c:v>201649.64571578265</c:v>
                </c:pt>
                <c:pt idx="176">
                  <c:v>201896.40010740701</c:v>
                </c:pt>
                <c:pt idx="177">
                  <c:v>202141.78617523311</c:v>
                </c:pt>
                <c:pt idx="178">
                  <c:v>202385.81901106751</c:v>
                </c:pt>
                <c:pt idx="179">
                  <c:v>202628.51345840556</c:v>
                </c:pt>
                <c:pt idx="180">
                  <c:v>202869.88411784903</c:v>
                </c:pt>
                <c:pt idx="181">
                  <c:v>203109.9453523769</c:v>
                </c:pt>
                <c:pt idx="182">
                  <c:v>203348.71129247386</c:v>
                </c:pt>
                <c:pt idx="183">
                  <c:v>203586.19584112128</c:v>
                </c:pt>
                <c:pt idx="184">
                  <c:v>203822.41267865495</c:v>
                </c:pt>
                <c:pt idx="185">
                  <c:v>204057.37526749374</c:v>
                </c:pt>
                <c:pt idx="186">
                  <c:v>204291.09685674359</c:v>
                </c:pt>
                <c:pt idx="187">
                  <c:v>204523.59048668039</c:v>
                </c:pt>
                <c:pt idx="188">
                  <c:v>204754.86899311579</c:v>
                </c:pt>
                <c:pt idx="189">
                  <c:v>204984.94501164943</c:v>
                </c:pt>
                <c:pt idx="190">
                  <c:v>205213.83098181133</c:v>
                </c:pt>
                <c:pt idx="191">
                  <c:v>205441.53915109762</c:v>
                </c:pt>
                <c:pt idx="192">
                  <c:v>205668.08157890293</c:v>
                </c:pt>
                <c:pt idx="193">
                  <c:v>205893.4701403527</c:v>
                </c:pt>
                <c:pt idx="194">
                  <c:v>206117.71653003836</c:v>
                </c:pt>
                <c:pt idx="195">
                  <c:v>206340.83226565839</c:v>
                </c:pt>
                <c:pt idx="196">
                  <c:v>206562.82869156793</c:v>
                </c:pt>
                <c:pt idx="197">
                  <c:v>206783.71698224</c:v>
                </c:pt>
                <c:pt idx="198">
                  <c:v>207003.50814564052</c:v>
                </c:pt>
                <c:pt idx="199">
                  <c:v>207222.2130265201</c:v>
                </c:pt>
                <c:pt idx="200">
                  <c:v>207439.84230962486</c:v>
                </c:pt>
                <c:pt idx="201">
                  <c:v>207656.40652282862</c:v>
                </c:pt>
                <c:pt idx="202">
                  <c:v>207871.91604018887</c:v>
                </c:pt>
                <c:pt idx="203">
                  <c:v>208086.38108492864</c:v>
                </c:pt>
                <c:pt idx="204">
                  <c:v>208299.81173234651</c:v>
                </c:pt>
                <c:pt idx="205">
                  <c:v>208512.21791265678</c:v>
                </c:pt>
                <c:pt idx="206">
                  <c:v>208723.60941376173</c:v>
                </c:pt>
                <c:pt idx="207">
                  <c:v>208933.99588395809</c:v>
                </c:pt>
                <c:pt idx="208">
                  <c:v>209143.3868345794</c:v>
                </c:pt>
                <c:pt idx="209">
                  <c:v>209351.79164257614</c:v>
                </c:pt>
                <c:pt idx="210">
                  <c:v>209559.21955303536</c:v>
                </c:pt>
                <c:pt idx="211">
                  <c:v>209765.67968164175</c:v>
                </c:pt>
                <c:pt idx="212">
                  <c:v>209971.18101708125</c:v>
                </c:pt>
                <c:pt idx="213">
                  <c:v>210175.73242338927</c:v>
                </c:pt>
                <c:pt idx="214">
                  <c:v>210379.34264224497</c:v>
                </c:pt>
                <c:pt idx="215">
                  <c:v>210582.02029521277</c:v>
                </c:pt>
                <c:pt idx="216">
                  <c:v>210783.77388593301</c:v>
                </c:pt>
                <c:pt idx="217">
                  <c:v>210984.61180226269</c:v>
                </c:pt>
                <c:pt idx="218">
                  <c:v>211184.54231836798</c:v>
                </c:pt>
                <c:pt idx="219">
                  <c:v>211383.57359676965</c:v>
                </c:pt>
                <c:pt idx="220">
                  <c:v>211581.71369034264</c:v>
                </c:pt>
                <c:pt idx="221">
                  <c:v>211778.9705442712</c:v>
                </c:pt>
                <c:pt idx="222">
                  <c:v>211975.35199796042</c:v>
                </c:pt>
                <c:pt idx="223">
                  <c:v>212170.86578690581</c:v>
                </c:pt>
                <c:pt idx="224">
                  <c:v>212365.51954452152</c:v>
                </c:pt>
                <c:pt idx="225">
                  <c:v>212559.32080392868</c:v>
                </c:pt>
                <c:pt idx="226">
                  <c:v>212752.27699970471</c:v>
                </c:pt>
                <c:pt idx="227">
                  <c:v>212944.3954695946</c:v>
                </c:pt>
                <c:pt idx="228">
                  <c:v>213135.68345618524</c:v>
                </c:pt>
                <c:pt idx="229">
                  <c:v>213326.1481085438</c:v>
                </c:pt>
                <c:pt idx="230">
                  <c:v>213515.79648382083</c:v>
                </c:pt>
                <c:pt idx="231">
                  <c:v>213704.63554881929</c:v>
                </c:pt>
                <c:pt idx="232">
                  <c:v>213892.67218153022</c:v>
                </c:pt>
                <c:pt idx="233">
                  <c:v>214079.91317263586</c:v>
                </c:pt>
                <c:pt idx="234">
                  <c:v>214266.36522698123</c:v>
                </c:pt>
                <c:pt idx="235">
                  <c:v>214452.03496501467</c:v>
                </c:pt>
                <c:pt idx="236">
                  <c:v>214636.92892419838</c:v>
                </c:pt>
                <c:pt idx="237">
                  <c:v>214821.05356038967</c:v>
                </c:pt>
                <c:pt idx="238">
                  <c:v>215004.41524919341</c:v>
                </c:pt>
                <c:pt idx="239">
                  <c:v>215187.02028728681</c:v>
                </c:pt>
                <c:pt idx="240">
                  <c:v>215368.87489371683</c:v>
                </c:pt>
                <c:pt idx="241">
                  <c:v>215549.98521117101</c:v>
                </c:pt>
                <c:pt idx="242">
                  <c:v>215730.35730722253</c:v>
                </c:pt>
                <c:pt idx="243">
                  <c:v>215909.99717554988</c:v>
                </c:pt>
                <c:pt idx="244">
                  <c:v>216088.91073713198</c:v>
                </c:pt>
                <c:pt idx="245">
                  <c:v>216267.10384141913</c:v>
                </c:pt>
                <c:pt idx="246">
                  <c:v>216444.58226748049</c:v>
                </c:pt>
                <c:pt idx="247">
                  <c:v>216621.35172512886</c:v>
                </c:pt>
                <c:pt idx="248">
                  <c:v>216797.41785602263</c:v>
                </c:pt>
                <c:pt idx="249">
                  <c:v>216972.78623474643</c:v>
                </c:pt>
                <c:pt idx="250">
                  <c:v>217147.46236986999</c:v>
                </c:pt>
                <c:pt idx="251">
                  <c:v>217321.45170498651</c:v>
                </c:pt>
                <c:pt idx="252">
                  <c:v>217494.75961973052</c:v>
                </c:pt>
                <c:pt idx="253">
                  <c:v>217667.39143077593</c:v>
                </c:pt>
                <c:pt idx="254">
                  <c:v>217839.35239281468</c:v>
                </c:pt>
                <c:pt idx="255">
                  <c:v>218010.6476995165</c:v>
                </c:pt>
                <c:pt idx="256">
                  <c:v>218181.28248447011</c:v>
                </c:pt>
                <c:pt idx="257">
                  <c:v>218351.26182210637</c:v>
                </c:pt>
                <c:pt idx="258">
                  <c:v>218520.59072860371</c:v>
                </c:pt>
                <c:pt idx="259">
                  <c:v>218689.27416277642</c:v>
                </c:pt>
                <c:pt idx="260">
                  <c:v>218857.31702694594</c:v>
                </c:pt>
                <c:pt idx="261">
                  <c:v>219024.72416779576</c:v>
                </c:pt>
                <c:pt idx="262">
                  <c:v>219191.50037721024</c:v>
                </c:pt>
                <c:pt idx="263">
                  <c:v>219357.65039309749</c:v>
                </c:pt>
                <c:pt idx="264">
                  <c:v>219523.17890019712</c:v>
                </c:pt>
                <c:pt idx="265">
                  <c:v>219688.09053087278</c:v>
                </c:pt>
                <c:pt idx="266">
                  <c:v>219852.38986589</c:v>
                </c:pt>
                <c:pt idx="267">
                  <c:v>220016.08143517966</c:v>
                </c:pt>
                <c:pt idx="268">
                  <c:v>220179.16971858742</c:v>
                </c:pt>
                <c:pt idx="269">
                  <c:v>220341.65914660934</c:v>
                </c:pt>
                <c:pt idx="270">
                  <c:v>220503.5541011141</c:v>
                </c:pt>
                <c:pt idx="271">
                  <c:v>220664.85891605204</c:v>
                </c:pt>
                <c:pt idx="272">
                  <c:v>220825.57787815121</c:v>
                </c:pt>
                <c:pt idx="273">
                  <c:v>220985.71522760103</c:v>
                </c:pt>
                <c:pt idx="274">
                  <c:v>221145.27515872353</c:v>
                </c:pt>
                <c:pt idx="275">
                  <c:v>221304.26182063241</c:v>
                </c:pt>
                <c:pt idx="276">
                  <c:v>221462.67931788051</c:v>
                </c:pt>
                <c:pt idx="277">
                  <c:v>221620.53171109562</c:v>
                </c:pt>
                <c:pt idx="278">
                  <c:v>221777.823017605</c:v>
                </c:pt>
                <c:pt idx="279">
                  <c:v>221934.55721204882</c:v>
                </c:pt>
                <c:pt idx="280">
                  <c:v>222090.73822698282</c:v>
                </c:pt>
                <c:pt idx="281">
                  <c:v>222246.36995347042</c:v>
                </c:pt>
                <c:pt idx="282">
                  <c:v>222401.45624166424</c:v>
                </c:pt>
                <c:pt idx="283">
                  <c:v>222556.00090137776</c:v>
                </c:pt>
                <c:pt idx="284">
                  <c:v>222710.00770264681</c:v>
                </c:pt>
                <c:pt idx="285">
                  <c:v>222863.4803762814</c:v>
                </c:pt>
                <c:pt idx="286">
                  <c:v>223016.42261440802</c:v>
                </c:pt>
                <c:pt idx="287">
                  <c:v>223168.83807100262</c:v>
                </c:pt>
                <c:pt idx="288">
                  <c:v>223320.73036241441</c:v>
                </c:pt>
                <c:pt idx="289">
                  <c:v>223472.10306788067</c:v>
                </c:pt>
                <c:pt idx="290">
                  <c:v>223622.95973003283</c:v>
                </c:pt>
                <c:pt idx="291">
                  <c:v>223773.30385539401</c:v>
                </c:pt>
                <c:pt idx="292">
                  <c:v>223923.13891486794</c:v>
                </c:pt>
                <c:pt idx="293">
                  <c:v>224072.46834421993</c:v>
                </c:pt>
                <c:pt idx="294">
                  <c:v>224221.29554454942</c:v>
                </c:pt>
                <c:pt idx="295">
                  <c:v>224369.62388275491</c:v>
                </c:pt>
                <c:pt idx="296">
                  <c:v>224517.4566919909</c:v>
                </c:pt>
                <c:pt idx="297">
                  <c:v>224664.79727211731</c:v>
                </c:pt>
                <c:pt idx="298">
                  <c:v>224811.64889014154</c:v>
                </c:pt>
                <c:pt idx="299">
                  <c:v>224958.01478065303</c:v>
                </c:pt>
                <c:pt idx="300">
                  <c:v>225103.89814625072</c:v>
                </c:pt>
                <c:pt idx="301">
                  <c:v>225249.30215796366</c:v>
                </c:pt>
                <c:pt idx="302">
                  <c:v>225394.22995566443</c:v>
                </c:pt>
                <c:pt idx="303">
                  <c:v>225538.68464847608</c:v>
                </c:pt>
                <c:pt idx="304">
                  <c:v>225682.6693151723</c:v>
                </c:pt>
                <c:pt idx="305">
                  <c:v>225826.18700457111</c:v>
                </c:pt>
                <c:pt idx="306">
                  <c:v>225969.2407359223</c:v>
                </c:pt>
                <c:pt idx="307">
                  <c:v>226111.83349928848</c:v>
                </c:pt>
                <c:pt idx="308">
                  <c:v>226253.96825592007</c:v>
                </c:pt>
                <c:pt idx="309">
                  <c:v>226395.64793862434</c:v>
                </c:pt>
                <c:pt idx="310">
                  <c:v>226536.8754521285</c:v>
                </c:pt>
                <c:pt idx="311">
                  <c:v>226677.65367343699</c:v>
                </c:pt>
                <c:pt idx="312">
                  <c:v>226817.9854521832</c:v>
                </c:pt>
                <c:pt idx="313">
                  <c:v>226957.87361097551</c:v>
                </c:pt>
                <c:pt idx="314">
                  <c:v>227097.32094573803</c:v>
                </c:pt>
                <c:pt idx="315">
                  <c:v>227236.3302260458</c:v>
                </c:pt>
                <c:pt idx="316">
                  <c:v>227374.9041954549</c:v>
                </c:pt>
                <c:pt idx="317">
                  <c:v>227513.04557182733</c:v>
                </c:pt>
                <c:pt idx="318">
                  <c:v>227650.7570476509</c:v>
                </c:pt>
                <c:pt idx="319">
                  <c:v>227788.04129035401</c:v>
                </c:pt>
                <c:pt idx="320">
                  <c:v>227924.90094261579</c:v>
                </c:pt>
                <c:pt idx="321">
                  <c:v>228061.3386226712</c:v>
                </c:pt>
                <c:pt idx="322">
                  <c:v>228197.3569246117</c:v>
                </c:pt>
                <c:pt idx="323">
                  <c:v>228332.95841868105</c:v>
                </c:pt>
                <c:pt idx="324">
                  <c:v>228468.14565156691</c:v>
                </c:pt>
                <c:pt idx="325">
                  <c:v>228602.92114668764</c:v>
                </c:pt>
                <c:pt idx="326">
                  <c:v>228737.28740447501</c:v>
                </c:pt>
                <c:pt idx="327">
                  <c:v>228871.24690265252</c:v>
                </c:pt>
                <c:pt idx="328">
                  <c:v>229004.80209650958</c:v>
                </c:pt>
                <c:pt idx="329">
                  <c:v>229137.95541917149</c:v>
                </c:pt>
                <c:pt idx="330">
                  <c:v>229270.70928186539</c:v>
                </c:pt>
                <c:pt idx="331">
                  <c:v>229403.06607418237</c:v>
                </c:pt>
                <c:pt idx="332">
                  <c:v>229535.02816433535</c:v>
                </c:pt>
                <c:pt idx="333">
                  <c:v>229666.59789941355</c:v>
                </c:pt>
                <c:pt idx="334">
                  <c:v>229797.77760563284</c:v>
                </c:pt>
                <c:pt idx="335">
                  <c:v>229928.5695885825</c:v>
                </c:pt>
                <c:pt idx="336">
                  <c:v>230058.97613346847</c:v>
                </c:pt>
                <c:pt idx="337">
                  <c:v>230188.99950535281</c:v>
                </c:pt>
                <c:pt idx="338">
                  <c:v>230318.64194938983</c:v>
                </c:pt>
                <c:pt idx="339">
                  <c:v>230447.9056910587</c:v>
                </c:pt>
                <c:pt idx="340">
                  <c:v>230576.79293639259</c:v>
                </c:pt>
                <c:pt idx="341">
                  <c:v>230705.30587220471</c:v>
                </c:pt>
                <c:pt idx="342">
                  <c:v>230833.4466663108</c:v>
                </c:pt>
                <c:pt idx="343">
                  <c:v>230961.21746774865</c:v>
                </c:pt>
                <c:pt idx="344">
                  <c:v>231088.62040699425</c:v>
                </c:pt>
                <c:pt idx="345">
                  <c:v>231215.65759617503</c:v>
                </c:pt>
                <c:pt idx="346">
                  <c:v>231342.33112927992</c:v>
                </c:pt>
                <c:pt idx="347">
                  <c:v>231468.64308236641</c:v>
                </c:pt>
                <c:pt idx="348">
                  <c:v>231594.5955137648</c:v>
                </c:pt>
                <c:pt idx="349">
                  <c:v>231720.19046427938</c:v>
                </c:pt>
                <c:pt idx="350">
                  <c:v>231845.42995738683</c:v>
                </c:pt>
                <c:pt idx="351">
                  <c:v>231970.31599943191</c:v>
                </c:pt>
                <c:pt idx="352">
                  <c:v>232094.85057982019</c:v>
                </c:pt>
                <c:pt idx="353">
                  <c:v>232219.03567120832</c:v>
                </c:pt>
                <c:pt idx="354">
                  <c:v>232342.87322969144</c:v>
                </c:pt>
                <c:pt idx="355">
                  <c:v>232466.36519498809</c:v>
                </c:pt>
                <c:pt idx="356">
                  <c:v>232589.51349062251</c:v>
                </c:pt>
                <c:pt idx="357">
                  <c:v>232712.32002410438</c:v>
                </c:pt>
                <c:pt idx="358">
                  <c:v>232834.78668710616</c:v>
                </c:pt>
                <c:pt idx="359">
                  <c:v>232956.91535563782</c:v>
                </c:pt>
              </c:numCache>
            </c:numRef>
          </c:yVal>
        </c:ser>
        <c:ser>
          <c:idx val="4"/>
          <c:order val="4"/>
          <c:tx>
            <c:strRef>
              <c:f>Hyperbolic!$M$2</c:f>
              <c:strCache>
                <c:ptCount val="1"/>
                <c:pt idx="0">
                  <c:v>Dec-16 Cumulative</c:v>
                </c:pt>
              </c:strCache>
            </c:strRef>
          </c:tx>
          <c:spPr>
            <a:ln w="19050">
              <a:prstDash val="sysDot"/>
            </a:ln>
          </c:spPr>
          <c:marker>
            <c:symbol val="none"/>
          </c:marker>
          <c:xVal>
            <c:numRef>
              <c:f>Hyperbolic!$H$3:$H$362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Hyperbolic!$M$3:$M$362</c:f>
              <c:numCache>
                <c:formatCode>0.0</c:formatCode>
                <c:ptCount val="360"/>
                <c:pt idx="0">
                  <c:v>11770.68012232139</c:v>
                </c:pt>
                <c:pt idx="1">
                  <c:v>22245.892119495024</c:v>
                </c:pt>
                <c:pt idx="2">
                  <c:v>31568.213790410478</c:v>
                </c:pt>
                <c:pt idx="3">
                  <c:v>39864.530978021416</c:v>
                </c:pt>
                <c:pt idx="4">
                  <c:v>47247.764608779573</c:v>
                </c:pt>
                <c:pt idx="5">
                  <c:v>53818.407656005686</c:v>
                </c:pt>
                <c:pt idx="6">
                  <c:v>59665.892946760003</c:v>
                </c:pt>
                <c:pt idx="7">
                  <c:v>64869.810429391044</c:v>
                </c:pt>
                <c:pt idx="8">
                  <c:v>69500.990469955053</c:v>
                </c:pt>
                <c:pt idx="9">
                  <c:v>73622.467922221389</c:v>
                </c:pt>
                <c:pt idx="10">
                  <c:v>77290.340093192121</c:v>
                </c:pt>
                <c:pt idx="11">
                  <c:v>80554.530281878891</c:v>
                </c:pt>
                <c:pt idx="12">
                  <c:v>83459.467283840728</c:v>
                </c:pt>
                <c:pt idx="13">
                  <c:v>86044.690110198775</c:v>
                </c:pt>
                <c:pt idx="14">
                  <c:v>88345.386151940518</c:v>
                </c:pt>
                <c:pt idx="15">
                  <c:v>90485.507577216267</c:v>
                </c:pt>
                <c:pt idx="16">
                  <c:v>92514.933066701895</c:v>
                </c:pt>
                <c:pt idx="17">
                  <c:v>94444.550745229208</c:v>
                </c:pt>
                <c:pt idx="18">
                  <c:v>96283.717595075548</c:v>
                </c:pt>
                <c:pt idx="19">
                  <c:v>98040.533690451164</c:v>
                </c:pt>
                <c:pt idx="20">
                  <c:v>99722.05766745354</c:v>
                </c:pt>
                <c:pt idx="21">
                  <c:v>101334.47791937362</c:v>
                </c:pt>
                <c:pt idx="22">
                  <c:v>102883.25000345476</c:v>
                </c:pt>
                <c:pt idx="23">
                  <c:v>104373.20795776065</c:v>
                </c:pt>
                <c:pt idx="24">
                  <c:v>105808.65525520169</c:v>
                </c:pt>
                <c:pt idx="25">
                  <c:v>107193.43970685071</c:v>
                </c:pt>
                <c:pt idx="26">
                  <c:v>108531.01559764805</c:v>
                </c:pt>
                <c:pt idx="27">
                  <c:v>109824.49557995757</c:v>
                </c:pt>
                <c:pt idx="28">
                  <c:v>111076.69428623593</c:v>
                </c:pt>
                <c:pt idx="29">
                  <c:v>112290.16519747475</c:v>
                </c:pt>
                <c:pt idx="30">
                  <c:v>113467.23198137642</c:v>
                </c:pt>
                <c:pt idx="31">
                  <c:v>114610.01526671783</c:v>
                </c:pt>
                <c:pt idx="32">
                  <c:v>115720.45562888921</c:v>
                </c:pt>
                <c:pt idx="33">
                  <c:v>116800.33341228522</c:v>
                </c:pt>
                <c:pt idx="34">
                  <c:v>117851.2858979117</c:v>
                </c:pt>
                <c:pt idx="35">
                  <c:v>118874.82223173924</c:v>
                </c:pt>
                <c:pt idx="36">
                  <c:v>119872.33645538471</c:v>
                </c:pt>
                <c:pt idx="37">
                  <c:v>120845.11892141914</c:v>
                </c:pt>
                <c:pt idx="38">
                  <c:v>121794.36632779145</c:v>
                </c:pt>
                <c:pt idx="39">
                  <c:v>122721.19056708409</c:v>
                </c:pt>
                <c:pt idx="40">
                  <c:v>123626.62655470075</c:v>
                </c:pt>
                <c:pt idx="41">
                  <c:v>124511.63917417568</c:v>
                </c:pt>
                <c:pt idx="42">
                  <c:v>125377.12945645631</c:v>
                </c:pt>
                <c:pt idx="43">
                  <c:v>126223.94009235679</c:v>
                </c:pt>
                <c:pt idx="44">
                  <c:v>127052.86036271007</c:v>
                </c:pt>
                <c:pt idx="45">
                  <c:v>127864.63055850432</c:v>
                </c:pt>
                <c:pt idx="46">
                  <c:v>128659.94595303247</c:v>
                </c:pt>
                <c:pt idx="47">
                  <c:v>129439.46037945741</c:v>
                </c:pt>
                <c:pt idx="48">
                  <c:v>130203.78945991304</c:v>
                </c:pt>
                <c:pt idx="49">
                  <c:v>130953.51352609244</c:v>
                </c:pt>
                <c:pt idx="50">
                  <c:v>131689.18026603098</c:v>
                </c:pt>
                <c:pt idx="51">
                  <c:v>132411.30712732035</c:v>
                </c:pt>
                <c:pt idx="52">
                  <c:v>133120.38350316472</c:v>
                </c:pt>
                <c:pt idx="53">
                  <c:v>133816.87272440831</c:v>
                </c:pt>
                <c:pt idx="54">
                  <c:v>134501.2138778395</c:v>
                </c:pt>
                <c:pt idx="55">
                  <c:v>135173.82346864045</c:v>
                </c:pt>
                <c:pt idx="56">
                  <c:v>135835.0969427425</c:v>
                </c:pt>
                <c:pt idx="57">
                  <c:v>136485.41008301967</c:v>
                </c:pt>
                <c:pt idx="58">
                  <c:v>137125.12029166188</c:v>
                </c:pt>
                <c:pt idx="59">
                  <c:v>137754.56776968416</c:v>
                </c:pt>
                <c:pt idx="60">
                  <c:v>138374.07660331661</c:v>
                </c:pt>
                <c:pt idx="61">
                  <c:v>138983.95576595995</c:v>
                </c:pt>
                <c:pt idx="62">
                  <c:v>139584.50004346081</c:v>
                </c:pt>
                <c:pt idx="63">
                  <c:v>140175.99088964253</c:v>
                </c:pt>
                <c:pt idx="64">
                  <c:v>140758.69721830671</c:v>
                </c:pt>
                <c:pt idx="65">
                  <c:v>141332.87613728314</c:v>
                </c:pt>
                <c:pt idx="66">
                  <c:v>141898.77362954355</c:v>
                </c:pt>
                <c:pt idx="67">
                  <c:v>142456.62518589504</c:v>
                </c:pt>
                <c:pt idx="68">
                  <c:v>143006.65639332571</c:v>
                </c:pt>
                <c:pt idx="69">
                  <c:v>143549.08348268131</c:v>
                </c:pt>
                <c:pt idx="70">
                  <c:v>144084.11383900023</c:v>
                </c:pt>
                <c:pt idx="71">
                  <c:v>144611.94647752115</c:v>
                </c:pt>
                <c:pt idx="72">
                  <c:v>145132.77248809711</c:v>
                </c:pt>
                <c:pt idx="73">
                  <c:v>145646.77545049958</c:v>
                </c:pt>
                <c:pt idx="74">
                  <c:v>146154.13182287099</c:v>
                </c:pt>
                <c:pt idx="75">
                  <c:v>146655.01130538233</c:v>
                </c:pt>
                <c:pt idx="76">
                  <c:v>147149.57718097128</c:v>
                </c:pt>
                <c:pt idx="77">
                  <c:v>147637.98663487239</c:v>
                </c:pt>
                <c:pt idx="78">
                  <c:v>148120.3910545042</c:v>
                </c:pt>
                <c:pt idx="79">
                  <c:v>148596.93631114456</c:v>
                </c:pt>
                <c:pt idx="80">
                  <c:v>149067.76302470523</c:v>
                </c:pt>
                <c:pt idx="81">
                  <c:v>149533.00681280866</c:v>
                </c:pt>
                <c:pt idx="82">
                  <c:v>149992.79852527025</c:v>
                </c:pt>
                <c:pt idx="83">
                  <c:v>150447.26446500063</c:v>
                </c:pt>
                <c:pt idx="84">
                  <c:v>150896.52659626081</c:v>
                </c:pt>
                <c:pt idx="85">
                  <c:v>151340.70274112935</c:v>
                </c:pt>
                <c:pt idx="86">
                  <c:v>151779.90676497325</c:v>
                </c:pt>
                <c:pt idx="87">
                  <c:v>152214.24875165283</c:v>
                </c:pt>
                <c:pt idx="88">
                  <c:v>152643.83516913519</c:v>
                </c:pt>
                <c:pt idx="89">
                  <c:v>153068.7690261394</c:v>
                </c:pt>
                <c:pt idx="90">
                  <c:v>153489.15002038999</c:v>
                </c:pt>
                <c:pt idx="91">
                  <c:v>153905.0746790125</c:v>
                </c:pt>
                <c:pt idx="92">
                  <c:v>154316.63649156553</c:v>
                </c:pt>
                <c:pt idx="93">
                  <c:v>154723.92603616818</c:v>
                </c:pt>
                <c:pt idx="94">
                  <c:v>155127.03109914821</c:v>
                </c:pt>
                <c:pt idx="95">
                  <c:v>155526.03678860641</c:v>
                </c:pt>
                <c:pt idx="96">
                  <c:v>155921.02564226469</c:v>
                </c:pt>
                <c:pt idx="97">
                  <c:v>156312.07772993966</c:v>
                </c:pt>
                <c:pt idx="98">
                  <c:v>156699.27075095993</c:v>
                </c:pt>
                <c:pt idx="99">
                  <c:v>157082.68012682366</c:v>
                </c:pt>
                <c:pt idx="100">
                  <c:v>157462.37908937258</c:v>
                </c:pt>
                <c:pt idx="101">
                  <c:v>157838.43876474054</c:v>
                </c:pt>
                <c:pt idx="102">
                  <c:v>158210.92825331702</c:v>
                </c:pt>
                <c:pt idx="103">
                  <c:v>158579.91470595077</c:v>
                </c:pt>
                <c:pt idx="104">
                  <c:v>158945.46339660345</c:v>
                </c:pt>
                <c:pt idx="105">
                  <c:v>159307.63779165011</c:v>
                </c:pt>
                <c:pt idx="106">
                  <c:v>159666.49961601038</c:v>
                </c:pt>
                <c:pt idx="107">
                  <c:v>160022.10891628277</c:v>
                </c:pt>
                <c:pt idx="108">
                  <c:v>160374.52412104374</c:v>
                </c:pt>
                <c:pt idx="109">
                  <c:v>160723.80209846262</c:v>
                </c:pt>
                <c:pt idx="110">
                  <c:v>161069.99821137488</c:v>
                </c:pt>
                <c:pt idx="111">
                  <c:v>161413.16636994679</c:v>
                </c:pt>
                <c:pt idx="112">
                  <c:v>161753.35908205708</c:v>
                </c:pt>
                <c:pt idx="113">
                  <c:v>162090.62750151314</c:v>
                </c:pt>
                <c:pt idx="114">
                  <c:v>162425.02147421247</c:v>
                </c:pt>
                <c:pt idx="115">
                  <c:v>162756.58958235377</c:v>
                </c:pt>
                <c:pt idx="116">
                  <c:v>163085.37918679559</c:v>
                </c:pt>
                <c:pt idx="117">
                  <c:v>163411.43646765477</c:v>
                </c:pt>
                <c:pt idx="118">
                  <c:v>163734.80646323215</c:v>
                </c:pt>
                <c:pt idx="119">
                  <c:v>164055.53310734703</c:v>
                </c:pt>
                <c:pt idx="120">
                  <c:v>164373.65926515829</c:v>
                </c:pt>
                <c:pt idx="121">
                  <c:v>164689.22676754481</c:v>
                </c:pt>
                <c:pt idx="122">
                  <c:v>165002.2764441144</c:v>
                </c:pt>
                <c:pt idx="123">
                  <c:v>165312.84815490639</c:v>
                </c:pt>
                <c:pt idx="124">
                  <c:v>165620.98082084922</c:v>
                </c:pt>
                <c:pt idx="125">
                  <c:v>165926.71245303148</c:v>
                </c:pt>
                <c:pt idx="126">
                  <c:v>166230.08018084118</c:v>
                </c:pt>
                <c:pt idx="127">
                  <c:v>166531.12027902575</c:v>
                </c:pt>
                <c:pt idx="128">
                  <c:v>166829.8681937216</c:v>
                </c:pt>
                <c:pt idx="129">
                  <c:v>167126.35856750037</c:v>
                </c:pt>
                <c:pt idx="130">
                  <c:v>167420.62526347578</c:v>
                </c:pt>
                <c:pt idx="131">
                  <c:v>167712.70138851341</c:v>
                </c:pt>
                <c:pt idx="132">
                  <c:v>168002.61931558279</c:v>
                </c:pt>
                <c:pt idx="133">
                  <c:v>168290.4107052898</c:v>
                </c:pt>
                <c:pt idx="134">
                  <c:v>168576.10652662517</c:v>
                </c:pt>
                <c:pt idx="135">
                  <c:v>168859.73707696292</c:v>
                </c:pt>
                <c:pt idx="136">
                  <c:v>169141.3320013413</c:v>
                </c:pt>
                <c:pt idx="137">
                  <c:v>169420.92031105666</c:v>
                </c:pt>
                <c:pt idx="138">
                  <c:v>169698.53040159951</c:v>
                </c:pt>
                <c:pt idx="139">
                  <c:v>169974.19006996055</c:v>
                </c:pt>
                <c:pt idx="140">
                  <c:v>170247.92653133304</c:v>
                </c:pt>
                <c:pt idx="141">
                  <c:v>170519.76643523644</c:v>
                </c:pt>
                <c:pt idx="142">
                  <c:v>170789.73588108545</c:v>
                </c:pt>
                <c:pt idx="143">
                  <c:v>171057.86043322706</c:v>
                </c:pt>
                <c:pt idx="144">
                  <c:v>171324.16513546725</c:v>
                </c:pt>
                <c:pt idx="145">
                  <c:v>171588.67452510807</c:v>
                </c:pt>
                <c:pt idx="146">
                  <c:v>171851.41264651468</c:v>
                </c:pt>
                <c:pt idx="147">
                  <c:v>172112.40306423124</c:v>
                </c:pt>
                <c:pt idx="148">
                  <c:v>172371.66887566334</c:v>
                </c:pt>
                <c:pt idx="149">
                  <c:v>172629.23272334423</c:v>
                </c:pt>
                <c:pt idx="150">
                  <c:v>172885.11680680112</c:v>
                </c:pt>
                <c:pt idx="151">
                  <c:v>173139.3428940369</c:v>
                </c:pt>
                <c:pt idx="152">
                  <c:v>173391.93233264241</c:v>
                </c:pt>
                <c:pt idx="153">
                  <c:v>173642.90606055321</c:v>
                </c:pt>
                <c:pt idx="154">
                  <c:v>173892.28461646457</c:v>
                </c:pt>
                <c:pt idx="155">
                  <c:v>174140.08814991754</c:v>
                </c:pt>
                <c:pt idx="156">
                  <c:v>174386.33643106851</c:v>
                </c:pt>
                <c:pt idx="157">
                  <c:v>174631.04886015409</c:v>
                </c:pt>
                <c:pt idx="158">
                  <c:v>174874.24447666269</c:v>
                </c:pt>
                <c:pt idx="159">
                  <c:v>175115.9419682236</c:v>
                </c:pt>
                <c:pt idx="160">
                  <c:v>175356.15967922393</c:v>
                </c:pt>
                <c:pt idx="161">
                  <c:v>175594.91561916342</c:v>
                </c:pt>
                <c:pt idx="162">
                  <c:v>175832.22747075651</c:v>
                </c:pt>
                <c:pt idx="163">
                  <c:v>176068.1125977909</c:v>
                </c:pt>
                <c:pt idx="164">
                  <c:v>176302.58805275138</c:v>
                </c:pt>
                <c:pt idx="165">
                  <c:v>176535.67058421706</c:v>
                </c:pt>
                <c:pt idx="166">
                  <c:v>176767.37664404023</c:v>
                </c:pt>
                <c:pt idx="167">
                  <c:v>176997.72239431454</c:v>
                </c:pt>
                <c:pt idx="168">
                  <c:v>177226.72371413975</c:v>
                </c:pt>
                <c:pt idx="169">
                  <c:v>177454.39620619037</c:v>
                </c:pt>
                <c:pt idx="170">
                  <c:v>177680.75520309454</c:v>
                </c:pt>
                <c:pt idx="171">
                  <c:v>177905.81577363022</c:v>
                </c:pt>
                <c:pt idx="172">
                  <c:v>178129.59272874461</c:v>
                </c:pt>
                <c:pt idx="173">
                  <c:v>178352.10062740277</c:v>
                </c:pt>
                <c:pt idx="174">
                  <c:v>178573.3537822715</c:v>
                </c:pt>
                <c:pt idx="175">
                  <c:v>178793.36626524376</c:v>
                </c:pt>
                <c:pt idx="176">
                  <c:v>179012.15191280912</c:v>
                </c:pt>
                <c:pt idx="177">
                  <c:v>179229.72433127524</c:v>
                </c:pt>
                <c:pt idx="178">
                  <c:v>179446.09690184539</c:v>
                </c:pt>
                <c:pt idx="179">
                  <c:v>179661.28278555683</c:v>
                </c:pt>
                <c:pt idx="180">
                  <c:v>179875.29492808442</c:v>
                </c:pt>
                <c:pt idx="181">
                  <c:v>180088.14606441383</c:v>
                </c:pt>
                <c:pt idx="182">
                  <c:v>180299.84872338895</c:v>
                </c:pt>
                <c:pt idx="183">
                  <c:v>180510.41523213702</c:v>
                </c:pt>
                <c:pt idx="184">
                  <c:v>180719.85772037576</c:v>
                </c:pt>
                <c:pt idx="185">
                  <c:v>180928.18812460615</c:v>
                </c:pt>
                <c:pt idx="186">
                  <c:v>181135.41819219448</c:v>
                </c:pt>
                <c:pt idx="187">
                  <c:v>181341.55948534713</c:v>
                </c:pt>
                <c:pt idx="188">
                  <c:v>181546.62338498156</c:v>
                </c:pt>
                <c:pt idx="189">
                  <c:v>181750.62109449657</c:v>
                </c:pt>
                <c:pt idx="190">
                  <c:v>181953.56364344514</c:v>
                </c:pt>
                <c:pt idx="191">
                  <c:v>182155.46189111267</c:v>
                </c:pt>
                <c:pt idx="192">
                  <c:v>182356.32653000375</c:v>
                </c:pt>
                <c:pt idx="193">
                  <c:v>182556.16808924003</c:v>
                </c:pt>
                <c:pt idx="194">
                  <c:v>182754.99693787206</c:v>
                </c:pt>
                <c:pt idx="195">
                  <c:v>182952.82328810764</c:v>
                </c:pt>
                <c:pt idx="196">
                  <c:v>183149.65719845908</c:v>
                </c:pt>
                <c:pt idx="197">
                  <c:v>183345.50857681211</c:v>
                </c:pt>
                <c:pt idx="198">
                  <c:v>183540.38718341835</c:v>
                </c:pt>
                <c:pt idx="199">
                  <c:v>183734.30263381402</c:v>
                </c:pt>
                <c:pt idx="200">
                  <c:v>183927.26440166676</c:v>
                </c:pt>
                <c:pt idx="201">
                  <c:v>184119.28182155284</c:v>
                </c:pt>
                <c:pt idx="202">
                  <c:v>184310.36409166674</c:v>
                </c:pt>
                <c:pt idx="203">
                  <c:v>184500.52027646507</c:v>
                </c:pt>
                <c:pt idx="204">
                  <c:v>184689.7593092467</c:v>
                </c:pt>
                <c:pt idx="205">
                  <c:v>184878.08999467097</c:v>
                </c:pt>
                <c:pt idx="206">
                  <c:v>185065.52101121581</c:v>
                </c:pt>
                <c:pt idx="207">
                  <c:v>185252.06091357741</c:v>
                </c:pt>
                <c:pt idx="208">
                  <c:v>185437.71813501301</c:v>
                </c:pt>
                <c:pt idx="209">
                  <c:v>185622.50098962866</c:v>
                </c:pt>
                <c:pt idx="210">
                  <c:v>185806.4176746133</c:v>
                </c:pt>
                <c:pt idx="211">
                  <c:v>185989.47627242072</c:v>
                </c:pt>
                <c:pt idx="212">
                  <c:v>186171.68475290085</c:v>
                </c:pt>
                <c:pt idx="213">
                  <c:v>186353.05097538183</c:v>
                </c:pt>
                <c:pt idx="214">
                  <c:v>186533.58269070418</c:v>
                </c:pt>
                <c:pt idx="215">
                  <c:v>186713.28754320825</c:v>
                </c:pt>
                <c:pt idx="216">
                  <c:v>186892.17307267658</c:v>
                </c:pt>
                <c:pt idx="217">
                  <c:v>187070.24671623204</c:v>
                </c:pt>
                <c:pt idx="218">
                  <c:v>187247.51581019314</c:v>
                </c:pt>
                <c:pt idx="219">
                  <c:v>187423.98759188753</c:v>
                </c:pt>
                <c:pt idx="220">
                  <c:v>187599.6692014251</c:v>
                </c:pt>
                <c:pt idx="221">
                  <c:v>187774.56768343129</c:v>
                </c:pt>
                <c:pt idx="222">
                  <c:v>187948.68998874218</c:v>
                </c:pt>
                <c:pt idx="223">
                  <c:v>188122.04297606202</c:v>
                </c:pt>
                <c:pt idx="224">
                  <c:v>188294.63341358426</c:v>
                </c:pt>
                <c:pt idx="225">
                  <c:v>188466.4679805772</c:v>
                </c:pt>
                <c:pt idx="226">
                  <c:v>188637.55326893501</c:v>
                </c:pt>
                <c:pt idx="227">
                  <c:v>188807.89578469502</c:v>
                </c:pt>
                <c:pt idx="228">
                  <c:v>188977.50194952235</c:v>
                </c:pt>
                <c:pt idx="229">
                  <c:v>189146.37810216247</c:v>
                </c:pt>
                <c:pt idx="230">
                  <c:v>189314.53049986271</c:v>
                </c:pt>
                <c:pt idx="231">
                  <c:v>189481.96531976337</c:v>
                </c:pt>
                <c:pt idx="232">
                  <c:v>189648.68866025936</c:v>
                </c:pt>
                <c:pt idx="233">
                  <c:v>189814.70654233295</c:v>
                </c:pt>
                <c:pt idx="234">
                  <c:v>189980.02491085845</c:v>
                </c:pt>
                <c:pt idx="235">
                  <c:v>190144.64963587967</c:v>
                </c:pt>
                <c:pt idx="236">
                  <c:v>190308.58651386041</c:v>
                </c:pt>
                <c:pt idx="237">
                  <c:v>190471.84126890919</c:v>
                </c:pt>
                <c:pt idx="238">
                  <c:v>190634.41955397849</c:v>
                </c:pt>
                <c:pt idx="239">
                  <c:v>190796.32695203924</c:v>
                </c:pt>
                <c:pt idx="240">
                  <c:v>190957.56897723125</c:v>
                </c:pt>
                <c:pt idx="241">
                  <c:v>191118.15107599</c:v>
                </c:pt>
                <c:pt idx="242">
                  <c:v>191278.07862815054</c:v>
                </c:pt>
                <c:pt idx="243">
                  <c:v>191437.35694802899</c:v>
                </c:pt>
                <c:pt idx="244">
                  <c:v>191595.99128548204</c:v>
                </c:pt>
                <c:pt idx="245">
                  <c:v>191753.98682694536</c:v>
                </c:pt>
                <c:pt idx="246">
                  <c:v>191911.34869645094</c:v>
                </c:pt>
                <c:pt idx="247">
                  <c:v>192068.08195662426</c:v>
                </c:pt>
                <c:pt idx="248">
                  <c:v>192224.19160966162</c:v>
                </c:pt>
                <c:pt idx="249">
                  <c:v>192379.682598288</c:v>
                </c:pt>
                <c:pt idx="250">
                  <c:v>192534.55980669611</c:v>
                </c:pt>
                <c:pt idx="251">
                  <c:v>192688.82806146698</c:v>
                </c:pt>
                <c:pt idx="252">
                  <c:v>192842.49213247243</c:v>
                </c:pt>
                <c:pt idx="253">
                  <c:v>192995.55673376002</c:v>
                </c:pt>
                <c:pt idx="254">
                  <c:v>193148.02652442086</c:v>
                </c:pt>
                <c:pt idx="255">
                  <c:v>193299.90610944043</c:v>
                </c:pt>
                <c:pt idx="256">
                  <c:v>193451.20004053318</c:v>
                </c:pt>
                <c:pt idx="257">
                  <c:v>193601.91281696103</c:v>
                </c:pt>
                <c:pt idx="258">
                  <c:v>193752.04888633624</c:v>
                </c:pt>
                <c:pt idx="259">
                  <c:v>193901.61264540887</c:v>
                </c:pt>
                <c:pt idx="260">
                  <c:v>194050.60844083945</c:v>
                </c:pt>
                <c:pt idx="261">
                  <c:v>194199.04056995694</c:v>
                </c:pt>
                <c:pt idx="262">
                  <c:v>194346.91328150238</c:v>
                </c:pt>
                <c:pt idx="263">
                  <c:v>194494.23077635866</c:v>
                </c:pt>
                <c:pt idx="264">
                  <c:v>194640.99720826661</c:v>
                </c:pt>
                <c:pt idx="265">
                  <c:v>194787.2166845277</c:v>
                </c:pt>
                <c:pt idx="266">
                  <c:v>194932.89326669375</c:v>
                </c:pt>
                <c:pt idx="267">
                  <c:v>195078.03097124389</c:v>
                </c:pt>
                <c:pt idx="268">
                  <c:v>195222.633770249</c:v>
                </c:pt>
                <c:pt idx="269">
                  <c:v>195366.70559202399</c:v>
                </c:pt>
                <c:pt idx="270">
                  <c:v>195510.25032176811</c:v>
                </c:pt>
                <c:pt idx="271">
                  <c:v>195653.27180219357</c:v>
                </c:pt>
                <c:pt idx="272">
                  <c:v>195795.77383414292</c:v>
                </c:pt>
                <c:pt idx="273">
                  <c:v>195937.76017719498</c:v>
                </c:pt>
                <c:pt idx="274">
                  <c:v>196079.23455026009</c:v>
                </c:pt>
                <c:pt idx="275">
                  <c:v>196220.20063216449</c:v>
                </c:pt>
                <c:pt idx="276">
                  <c:v>196360.66206222435</c:v>
                </c:pt>
                <c:pt idx="277">
                  <c:v>196500.62244080956</c:v>
                </c:pt>
                <c:pt idx="278">
                  <c:v>196640.08532989744</c:v>
                </c:pt>
                <c:pt idx="279">
                  <c:v>196779.05425361663</c:v>
                </c:pt>
                <c:pt idx="280">
                  <c:v>196917.53269878152</c:v>
                </c:pt>
                <c:pt idx="281">
                  <c:v>197055.52411541712</c:v>
                </c:pt>
                <c:pt idx="282">
                  <c:v>197193.03191727478</c:v>
                </c:pt>
                <c:pt idx="283">
                  <c:v>197330.05948233901</c:v>
                </c:pt>
                <c:pt idx="284">
                  <c:v>197466.61015332528</c:v>
                </c:pt>
                <c:pt idx="285">
                  <c:v>197602.6872381694</c:v>
                </c:pt>
                <c:pt idx="286">
                  <c:v>197738.29401050831</c:v>
                </c:pt>
                <c:pt idx="287">
                  <c:v>197873.43371015257</c:v>
                </c:pt>
                <c:pt idx="288">
                  <c:v>198008.10954355093</c:v>
                </c:pt>
                <c:pt idx="289">
                  <c:v>198142.32468424668</c:v>
                </c:pt>
                <c:pt idx="290">
                  <c:v>198276.08227332641</c:v>
                </c:pt>
                <c:pt idx="291">
                  <c:v>198409.38541986112</c:v>
                </c:pt>
                <c:pt idx="292">
                  <c:v>198542.23720133986</c:v>
                </c:pt>
                <c:pt idx="293">
                  <c:v>198674.64066409596</c:v>
                </c:pt>
                <c:pt idx="294">
                  <c:v>198806.59882372621</c:v>
                </c:pt>
                <c:pt idx="295">
                  <c:v>198938.11466550292</c:v>
                </c:pt>
                <c:pt idx="296">
                  <c:v>199069.19114477927</c:v>
                </c:pt>
                <c:pt idx="297">
                  <c:v>199199.83118738767</c:v>
                </c:pt>
                <c:pt idx="298">
                  <c:v>199330.03769003166</c:v>
                </c:pt>
                <c:pt idx="299">
                  <c:v>199459.81352067131</c:v>
                </c:pt>
                <c:pt idx="300">
                  <c:v>199589.16151890226</c:v>
                </c:pt>
                <c:pt idx="301">
                  <c:v>199718.08449632852</c:v>
                </c:pt>
                <c:pt idx="302">
                  <c:v>199846.58523692912</c:v>
                </c:pt>
                <c:pt idx="303">
                  <c:v>199974.66649741898</c:v>
                </c:pt>
                <c:pt idx="304">
                  <c:v>200102.33100760353</c:v>
                </c:pt>
                <c:pt idx="305">
                  <c:v>200229.58147072804</c:v>
                </c:pt>
                <c:pt idx="306">
                  <c:v>200356.4205638209</c:v>
                </c:pt>
                <c:pt idx="307">
                  <c:v>200482.8509380316</c:v>
                </c:pt>
                <c:pt idx="308">
                  <c:v>200608.87521896325</c:v>
                </c:pt>
                <c:pt idx="309">
                  <c:v>200734.49600699972</c:v>
                </c:pt>
                <c:pt idx="310">
                  <c:v>200859.71587762755</c:v>
                </c:pt>
                <c:pt idx="311">
                  <c:v>200984.53738175286</c:v>
                </c:pt>
                <c:pt idx="312">
                  <c:v>201108.96304601309</c:v>
                </c:pt>
                <c:pt idx="313">
                  <c:v>201232.99537308386</c:v>
                </c:pt>
                <c:pt idx="314">
                  <c:v>201356.63684198109</c:v>
                </c:pt>
                <c:pt idx="315">
                  <c:v>201479.88990835822</c:v>
                </c:pt>
                <c:pt idx="316">
                  <c:v>201602.75700479888</c:v>
                </c:pt>
                <c:pt idx="317">
                  <c:v>201725.24054110498</c:v>
                </c:pt>
                <c:pt idx="318">
                  <c:v>201847.34290458026</c:v>
                </c:pt>
                <c:pt idx="319">
                  <c:v>201969.06646030949</c:v>
                </c:pt>
                <c:pt idx="320">
                  <c:v>202090.41355143336</c:v>
                </c:pt>
                <c:pt idx="321">
                  <c:v>202211.38649941914</c:v>
                </c:pt>
                <c:pt idx="322">
                  <c:v>202331.98760432709</c:v>
                </c:pt>
                <c:pt idx="323">
                  <c:v>202452.21914507292</c:v>
                </c:pt>
                <c:pt idx="324">
                  <c:v>202572.08337968611</c:v>
                </c:pt>
                <c:pt idx="325">
                  <c:v>202691.58254556445</c:v>
                </c:pt>
                <c:pt idx="326">
                  <c:v>202810.71885972453</c:v>
                </c:pt>
                <c:pt idx="327">
                  <c:v>202929.4945190486</c:v>
                </c:pt>
                <c:pt idx="328">
                  <c:v>203047.91170052765</c:v>
                </c:pt>
                <c:pt idx="329">
                  <c:v>203165.97256150073</c:v>
                </c:pt>
                <c:pt idx="330">
                  <c:v>203283.67923989089</c:v>
                </c:pt>
                <c:pt idx="331">
                  <c:v>203401.03385443741</c:v>
                </c:pt>
                <c:pt idx="332">
                  <c:v>203518.03850492465</c:v>
                </c:pt>
                <c:pt idx="333">
                  <c:v>203634.69527240747</c:v>
                </c:pt>
                <c:pt idx="334">
                  <c:v>203751.00621943333</c:v>
                </c:pt>
                <c:pt idx="335">
                  <c:v>203866.97339026109</c:v>
                </c:pt>
                <c:pt idx="336">
                  <c:v>203982.59881107658</c:v>
                </c:pt>
                <c:pt idx="337">
                  <c:v>204097.88449020503</c:v>
                </c:pt>
                <c:pt idx="338">
                  <c:v>204212.83241832044</c:v>
                </c:pt>
                <c:pt idx="339">
                  <c:v>204327.44456865167</c:v>
                </c:pt>
                <c:pt idx="340">
                  <c:v>204441.7228971858</c:v>
                </c:pt>
                <c:pt idx="341">
                  <c:v>204555.66934286844</c:v>
                </c:pt>
                <c:pt idx="342">
                  <c:v>204669.28582780104</c:v>
                </c:pt>
                <c:pt idx="343">
                  <c:v>204782.57425743545</c:v>
                </c:pt>
                <c:pt idx="344">
                  <c:v>204895.53652076575</c:v>
                </c:pt>
                <c:pt idx="345">
                  <c:v>205008.17449051709</c:v>
                </c:pt>
                <c:pt idx="346">
                  <c:v>205120.49002333212</c:v>
                </c:pt>
                <c:pt idx="347">
                  <c:v>205232.48495995454</c:v>
                </c:pt>
                <c:pt idx="348">
                  <c:v>205344.16112541012</c:v>
                </c:pt>
                <c:pt idx="349">
                  <c:v>205455.52032918512</c:v>
                </c:pt>
                <c:pt idx="350">
                  <c:v>205566.56436540227</c:v>
                </c:pt>
                <c:pt idx="351">
                  <c:v>205677.29501299415</c:v>
                </c:pt>
                <c:pt idx="352">
                  <c:v>205787.71403587423</c:v>
                </c:pt>
                <c:pt idx="353">
                  <c:v>205897.82318310544</c:v>
                </c:pt>
                <c:pt idx="354">
                  <c:v>206007.62418906641</c:v>
                </c:pt>
                <c:pt idx="355">
                  <c:v>206117.1187736154</c:v>
                </c:pt>
                <c:pt idx="356">
                  <c:v>206226.30864225191</c:v>
                </c:pt>
                <c:pt idx="357">
                  <c:v>206335.19548627612</c:v>
                </c:pt>
                <c:pt idx="358">
                  <c:v>206443.78098294602</c:v>
                </c:pt>
                <c:pt idx="359">
                  <c:v>206552.06679563248</c:v>
                </c:pt>
              </c:numCache>
            </c:numRef>
          </c:yVal>
        </c:ser>
        <c:ser>
          <c:idx val="5"/>
          <c:order val="5"/>
          <c:tx>
            <c:strRef>
              <c:f>Hyperbolic!$N$2</c:f>
              <c:strCache>
                <c:ptCount val="1"/>
                <c:pt idx="0">
                  <c:v>Hyperbolic 1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3"/>
            <c:spPr>
              <a:solidFill>
                <a:schemeClr val="bg1"/>
              </a:solidFill>
            </c:spPr>
          </c:marker>
          <c:xVal>
            <c:numRef>
              <c:f>Hyperbolic!$H$3:$H$362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Hyperbolic!$N$3:$N$362</c:f>
              <c:numCache>
                <c:formatCode>General</c:formatCode>
                <c:ptCount val="360"/>
                <c:pt idx="0">
                  <c:v>20475.987959462302</c:v>
                </c:pt>
                <c:pt idx="1">
                  <c:v>35003.932618277235</c:v>
                </c:pt>
                <c:pt idx="2">
                  <c:v>46272.681959644833</c:v>
                </c:pt>
                <c:pt idx="3">
                  <c:v>55479.920577739547</c:v>
                </c:pt>
                <c:pt idx="4">
                  <c:v>63264.529909016084</c:v>
                </c:pt>
                <c:pt idx="5">
                  <c:v>70007.865236554469</c:v>
                </c:pt>
                <c:pt idx="6">
                  <c:v>75955.908537201845</c:v>
                </c:pt>
                <c:pt idx="7">
                  <c:v>81276.614577922068</c:v>
                </c:pt>
                <c:pt idx="8">
                  <c:v>86089.778658040479</c:v>
                </c:pt>
                <c:pt idx="9">
                  <c:v>90483.853196016775</c:v>
                </c:pt>
                <c:pt idx="10">
                  <c:v>94526.009933530368</c:v>
                </c:pt>
                <c:pt idx="11">
                  <c:v>98268.462527293319</c:v>
                </c:pt>
                <c:pt idx="12">
                  <c:v>101752.60253738436</c:v>
                </c:pt>
                <c:pt idx="13">
                  <c:v>105011.7978548317</c:v>
                </c:pt>
                <c:pt idx="14">
                  <c:v>108073.34125656167</c:v>
                </c:pt>
                <c:pt idx="15">
                  <c:v>110959.84115547909</c:v>
                </c:pt>
                <c:pt idx="16">
                  <c:v>113690.23582962801</c:v>
                </c:pt>
                <c:pt idx="17">
                  <c:v>116280.54719619932</c:v>
                </c:pt>
                <c:pt idx="18">
                  <c:v>118744.45048675562</c:v>
                </c:pt>
                <c:pt idx="19">
                  <c:v>121093.71127631771</c:v>
                </c:pt>
                <c:pt idx="20">
                  <c:v>123338.52528614481</c:v>
                </c:pt>
                <c:pt idx="21">
                  <c:v>125487.78581429402</c:v>
                </c:pt>
                <c:pt idx="22">
                  <c:v>127549.29653756692</c:v>
                </c:pt>
                <c:pt idx="23">
                  <c:v>129529.9425518076</c:v>
                </c:pt>
                <c:pt idx="24">
                  <c:v>131435.82911494139</c:v>
                </c:pt>
                <c:pt idx="25">
                  <c:v>133272.39514557054</c:v>
                </c:pt>
                <c:pt idx="26">
                  <c:v>135044.5067960397</c:v>
                </c:pt>
                <c:pt idx="27">
                  <c:v>136756.53515566161</c:v>
                </c:pt>
                <c:pt idx="28">
                  <c:v>138412.42120822266</c:v>
                </c:pt>
                <c:pt idx="29">
                  <c:v>140015.73047310894</c:v>
                </c:pt>
                <c:pt idx="30">
                  <c:v>141569.69923578002</c:v>
                </c:pt>
                <c:pt idx="31">
                  <c:v>143077.27387483892</c:v>
                </c:pt>
                <c:pt idx="32">
                  <c:v>144541.14448693817</c:v>
                </c:pt>
                <c:pt idx="33">
                  <c:v>145963.77377375631</c:v>
                </c:pt>
                <c:pt idx="34">
                  <c:v>147347.42197025608</c:v>
                </c:pt>
                <c:pt idx="35">
                  <c:v>148694.16844790522</c:v>
                </c:pt>
                <c:pt idx="36">
                  <c:v>150005.93051126989</c:v>
                </c:pt>
                <c:pt idx="37">
                  <c:v>151284.47981447654</c:v>
                </c:pt>
                <c:pt idx="38">
                  <c:v>152531.45675029032</c:v>
                </c:pt>
                <c:pt idx="39">
                  <c:v>153748.38310503287</c:v>
                </c:pt>
                <c:pt idx="40">
                  <c:v>154936.67322424767</c:v>
                </c:pt>
                <c:pt idx="41">
                  <c:v>156097.64389459495</c:v>
                </c:pt>
                <c:pt idx="42">
                  <c:v>157232.52311512388</c:v>
                </c:pt>
                <c:pt idx="43">
                  <c:v>158342.45790442204</c:v>
                </c:pt>
                <c:pt idx="44">
                  <c:v>159428.52126808072</c:v>
                </c:pt>
                <c:pt idx="45">
                  <c:v>160491.71843257127</c:v>
                </c:pt>
                <c:pt idx="46">
                  <c:v>161532.9924363094</c:v>
                </c:pt>
                <c:pt idx="47">
                  <c:v>162553.22915584414</c:v>
                </c:pt>
                <c:pt idx="48">
                  <c:v>163553.2618343012</c:v>
                </c:pt>
                <c:pt idx="49">
                  <c:v>164533.87517008485</c:v>
                </c:pt>
                <c:pt idx="50">
                  <c:v>165495.8090161049</c:v>
                </c:pt>
                <c:pt idx="51">
                  <c:v>166439.76173321862</c:v>
                </c:pt>
                <c:pt idx="52">
                  <c:v>167366.39323596255</c:v>
                </c:pt>
                <c:pt idx="53">
                  <c:v>168276.3277638478</c:v>
                </c:pt>
                <c:pt idx="54">
                  <c:v>169170.15640736755</c:v>
                </c:pt>
                <c:pt idx="55">
                  <c:v>170048.43941431693</c:v>
                </c:pt>
                <c:pt idx="56">
                  <c:v>170911.7082989616</c:v>
                </c:pt>
                <c:pt idx="57">
                  <c:v>171760.46777393884</c:v>
                </c:pt>
                <c:pt idx="58">
                  <c:v>172595.19752247498</c:v>
                </c:pt>
                <c:pt idx="59">
                  <c:v>173416.35382649989</c:v>
                </c:pt>
                <c:pt idx="60">
                  <c:v>174224.37106449515</c:v>
                </c:pt>
                <c:pt idx="61">
                  <c:v>175019.6630913862</c:v>
                </c:pt>
                <c:pt idx="62">
                  <c:v>175802.62451145245</c:v>
                </c:pt>
                <c:pt idx="63">
                  <c:v>176573.63185405725</c:v>
                </c:pt>
                <c:pt idx="64">
                  <c:v>177333.04466096655</c:v>
                </c:pt>
                <c:pt idx="65">
                  <c:v>178081.20649311616</c:v>
                </c:pt>
                <c:pt idx="66">
                  <c:v>178818.44586388438</c:v>
                </c:pt>
                <c:pt idx="67">
                  <c:v>179545.07710521537</c:v>
                </c:pt>
                <c:pt idx="68">
                  <c:v>180261.40117230918</c:v>
                </c:pt>
                <c:pt idx="69">
                  <c:v>180967.70639203355</c:v>
                </c:pt>
                <c:pt idx="70">
                  <c:v>181664.26915971652</c:v>
                </c:pt>
                <c:pt idx="71">
                  <c:v>182351.35458853332</c:v>
                </c:pt>
                <c:pt idx="72">
                  <c:v>183029.21711530644</c:v>
                </c:pt>
                <c:pt idx="73">
                  <c:v>183698.10106618248</c:v>
                </c:pt>
                <c:pt idx="74">
                  <c:v>184358.24118533381</c:v>
                </c:pt>
                <c:pt idx="75">
                  <c:v>185009.86312954713</c:v>
                </c:pt>
                <c:pt idx="76">
                  <c:v>185653.18393130734</c:v>
                </c:pt>
                <c:pt idx="77">
                  <c:v>186288.41243275377</c:v>
                </c:pt>
                <c:pt idx="78">
                  <c:v>186915.74969268093</c:v>
                </c:pt>
                <c:pt idx="79">
                  <c:v>187535.38936856756</c:v>
                </c:pt>
                <c:pt idx="80">
                  <c:v>188147.51807545093</c:v>
                </c:pt>
                <c:pt idx="81">
                  <c:v>188752.31572331011</c:v>
                </c:pt>
                <c:pt idx="82">
                  <c:v>189349.95583448376</c:v>
                </c:pt>
                <c:pt idx="83">
                  <c:v>189940.60584252491</c:v>
                </c:pt>
                <c:pt idx="84">
                  <c:v>190524.42737377924</c:v>
                </c:pt>
                <c:pt idx="85">
                  <c:v>191101.57651287218</c:v>
                </c:pt>
                <c:pt idx="86">
                  <c:v>191672.20405319583</c:v>
                </c:pt>
                <c:pt idx="87">
                  <c:v>192236.45573340115</c:v>
                </c:pt>
                <c:pt idx="88">
                  <c:v>192794.47246082369</c:v>
                </c:pt>
                <c:pt idx="89">
                  <c:v>193346.39052269931</c:v>
                </c:pt>
                <c:pt idx="90">
                  <c:v>193892.34178596217</c:v>
                </c:pt>
                <c:pt idx="91">
                  <c:v>194432.45388635795</c:v>
                </c:pt>
                <c:pt idx="92">
                  <c:v>194966.85040755005</c:v>
                </c:pt>
                <c:pt idx="93">
                  <c:v>195495.65105084851</c:v>
                </c:pt>
                <c:pt idx="94">
                  <c:v>196018.9717961436</c:v>
                </c:pt>
                <c:pt idx="95">
                  <c:v>196536.92505458664</c:v>
                </c:pt>
                <c:pt idx="96">
                  <c:v>197049.61981351956</c:v>
                </c:pt>
                <c:pt idx="97">
                  <c:v>197557.16177412137</c:v>
                </c:pt>
                <c:pt idx="98">
                  <c:v>198059.65348220637</c:v>
                </c:pt>
                <c:pt idx="99">
                  <c:v>198557.19445257843</c:v>
                </c:pt>
                <c:pt idx="100">
                  <c:v>199049.88128731938</c:v>
                </c:pt>
                <c:pt idx="101">
                  <c:v>199537.80778836209</c:v>
                </c:pt>
                <c:pt idx="102">
                  <c:v>200021.06506467771</c:v>
                </c:pt>
                <c:pt idx="103">
                  <c:v>200499.74163438217</c:v>
                </c:pt>
                <c:pt idx="104">
                  <c:v>200973.92352204901</c:v>
                </c:pt>
                <c:pt idx="105">
                  <c:v>201443.69435149585</c:v>
                </c:pt>
                <c:pt idx="106">
                  <c:v>201909.13543429453</c:v>
                </c:pt>
                <c:pt idx="107">
                  <c:v>202370.32585423978</c:v>
                </c:pt>
                <c:pt idx="108">
                  <c:v>202827.34254799562</c:v>
                </c:pt>
                <c:pt idx="109">
                  <c:v>203280.26038212507</c:v>
                </c:pt>
                <c:pt idx="110">
                  <c:v>203729.15222669597</c:v>
                </c:pt>
                <c:pt idx="111">
                  <c:v>204174.08902564479</c:v>
                </c:pt>
                <c:pt idx="112">
                  <c:v>204615.13986406688</c:v>
                </c:pt>
                <c:pt idx="113">
                  <c:v>205052.37203259417</c:v>
                </c:pt>
                <c:pt idx="114">
                  <c:v>205485.85108900946</c:v>
                </c:pt>
                <c:pt idx="115">
                  <c:v>205915.64091723884</c:v>
                </c:pt>
                <c:pt idx="116">
                  <c:v>206341.80378385499</c:v>
                </c:pt>
                <c:pt idx="117">
                  <c:v>206764.40039221608</c:v>
                </c:pt>
                <c:pt idx="118">
                  <c:v>207183.48993435819</c:v>
                </c:pt>
                <c:pt idx="119">
                  <c:v>207599.13014075221</c:v>
                </c:pt>
                <c:pt idx="120">
                  <c:v>208011.37732802986</c:v>
                </c:pt>
                <c:pt idx="121">
                  <c:v>208420.28644477713</c:v>
                </c:pt>
                <c:pt idx="122">
                  <c:v>208825.911115489</c:v>
                </c:pt>
                <c:pt idx="123">
                  <c:v>209228.30368277238</c:v>
                </c:pt>
                <c:pt idx="124">
                  <c:v>209627.51524788162</c:v>
                </c:pt>
                <c:pt idx="125">
                  <c:v>210023.59570966341</c:v>
                </c:pt>
                <c:pt idx="126">
                  <c:v>210416.59380198718</c:v>
                </c:pt>
                <c:pt idx="127">
                  <c:v>210806.55712972966</c:v>
                </c:pt>
                <c:pt idx="128">
                  <c:v>211193.53220338095</c:v>
                </c:pt>
                <c:pt idx="129">
                  <c:v>211577.56447233446</c:v>
                </c:pt>
                <c:pt idx="130">
                  <c:v>211958.69835692132</c:v>
                </c:pt>
                <c:pt idx="131">
                  <c:v>212336.97727924376</c:v>
                </c:pt>
                <c:pt idx="132">
                  <c:v>212712.44369286345</c:v>
                </c:pt>
                <c:pt idx="133">
                  <c:v>213085.13911139339</c:v>
                </c:pt>
                <c:pt idx="134">
                  <c:v>213455.10413604308</c:v>
                </c:pt>
                <c:pt idx="135">
                  <c:v>213822.37848216161</c:v>
                </c:pt>
                <c:pt idx="136">
                  <c:v>214187.00100482267</c:v>
                </c:pt>
                <c:pt idx="137">
                  <c:v>214549.00972349264</c:v>
                </c:pt>
                <c:pt idx="138">
                  <c:v>214908.44184582026</c:v>
                </c:pt>
                <c:pt idx="139">
                  <c:v>215265.33379058642</c:v>
                </c:pt>
                <c:pt idx="140">
                  <c:v>215619.72120984807</c:v>
                </c:pt>
                <c:pt idx="141">
                  <c:v>215971.63901031078</c:v>
                </c:pt>
                <c:pt idx="142">
                  <c:v>216321.12137396177</c:v>
                </c:pt>
                <c:pt idx="143">
                  <c:v>216668.20177799373</c:v>
                </c:pt>
                <c:pt idx="144">
                  <c:v>217012.91301404891</c:v>
                </c:pt>
                <c:pt idx="145">
                  <c:v>217355.28720681061</c:v>
                </c:pt>
                <c:pt idx="146">
                  <c:v>217695.35583196845</c:v>
                </c:pt>
                <c:pt idx="147">
                  <c:v>218033.14973358368</c:v>
                </c:pt>
                <c:pt idx="148">
                  <c:v>218368.69914087644</c:v>
                </c:pt>
                <c:pt idx="149">
                  <c:v>218702.03368445972</c:v>
                </c:pt>
                <c:pt idx="150">
                  <c:v>219033.18241204074</c:v>
                </c:pt>
                <c:pt idx="151">
                  <c:v>219362.17380361105</c:v>
                </c:pt>
                <c:pt idx="152">
                  <c:v>219689.03578614473</c:v>
                </c:pt>
                <c:pt idx="153">
                  <c:v>220013.79574782439</c:v>
                </c:pt>
                <c:pt idx="154">
                  <c:v>220336.48055181233</c:v>
                </c:pt>
                <c:pt idx="155">
                  <c:v>220657.11654958458</c:v>
                </c:pt>
                <c:pt idx="156">
                  <c:v>220975.72959384444</c:v>
                </c:pt>
                <c:pt idx="157">
                  <c:v>221292.34505103101</c:v>
                </c:pt>
                <c:pt idx="158">
                  <c:v>221606.98781343814</c:v>
                </c:pt>
                <c:pt idx="159">
                  <c:v>221919.68231095819</c:v>
                </c:pt>
                <c:pt idx="160">
                  <c:v>222230.45252246424</c:v>
                </c:pt>
                <c:pt idx="161">
                  <c:v>222539.32198684479</c:v>
                </c:pt>
                <c:pt idx="162">
                  <c:v>222846.31381370206</c:v>
                </c:pt>
                <c:pt idx="163">
                  <c:v>223151.4506937282</c:v>
                </c:pt>
                <c:pt idx="164">
                  <c:v>223454.7549087689</c:v>
                </c:pt>
                <c:pt idx="165">
                  <c:v>223756.24834158731</c:v>
                </c:pt>
                <c:pt idx="166">
                  <c:v>224055.95248533797</c:v>
                </c:pt>
                <c:pt idx="167">
                  <c:v>224353.88845276099</c:v>
                </c:pt>
                <c:pt idx="168">
                  <c:v>224650.07698510709</c:v>
                </c:pt>
                <c:pt idx="169">
                  <c:v>224944.53846080211</c:v>
                </c:pt>
                <c:pt idx="170">
                  <c:v>225237.29290386062</c:v>
                </c:pt>
                <c:pt idx="171">
                  <c:v>225528.35999205647</c:v>
                </c:pt>
                <c:pt idx="172">
                  <c:v>225817.75906486023</c:v>
                </c:pt>
                <c:pt idx="173">
                  <c:v>226105.50913114945</c:v>
                </c:pt>
                <c:pt idx="174">
                  <c:v>226391.62887670111</c:v>
                </c:pt>
                <c:pt idx="175">
                  <c:v>226676.13667147304</c:v>
                </c:pt>
                <c:pt idx="176">
                  <c:v>226959.05057668089</c:v>
                </c:pt>
                <c:pt idx="177">
                  <c:v>227240.38835167838</c:v>
                </c:pt>
                <c:pt idx="178">
                  <c:v>227520.16746064698</c:v>
                </c:pt>
                <c:pt idx="179">
                  <c:v>227798.40507910092</c:v>
                </c:pt>
                <c:pt idx="180">
                  <c:v>228075.11810021455</c:v>
                </c:pt>
                <c:pt idx="181">
                  <c:v>228350.32314097654</c:v>
                </c:pt>
                <c:pt idx="182">
                  <c:v>228624.03654817818</c:v>
                </c:pt>
                <c:pt idx="183">
                  <c:v>228896.27440423943</c:v>
                </c:pt>
                <c:pt idx="184">
                  <c:v>229167.0525328794</c:v>
                </c:pt>
                <c:pt idx="185">
                  <c:v>229436.38650463519</c:v>
                </c:pt>
                <c:pt idx="186">
                  <c:v>229704.29164223472</c:v>
                </c:pt>
                <c:pt idx="187">
                  <c:v>229970.78302582732</c:v>
                </c:pt>
                <c:pt idx="188">
                  <c:v>230235.87549807757</c:v>
                </c:pt>
                <c:pt idx="189">
                  <c:v>230499.58366912571</c:v>
                </c:pt>
                <c:pt idx="190">
                  <c:v>230761.92192141947</c:v>
                </c:pt>
                <c:pt idx="191">
                  <c:v>231022.90441442083</c:v>
                </c:pt>
                <c:pt idx="192">
                  <c:v>231282.54508919196</c:v>
                </c:pt>
                <c:pt idx="193">
                  <c:v>231540.8576728639</c:v>
                </c:pt>
                <c:pt idx="194">
                  <c:v>231797.85568299118</c:v>
                </c:pt>
                <c:pt idx="195">
                  <c:v>232053.55243179679</c:v>
                </c:pt>
                <c:pt idx="196">
                  <c:v>232307.96103030961</c:v>
                </c:pt>
                <c:pt idx="197">
                  <c:v>232561.09439239863</c:v>
                </c:pt>
                <c:pt idx="198">
                  <c:v>232812.96523870609</c:v>
                </c:pt>
                <c:pt idx="199">
                  <c:v>233063.5861004836</c:v>
                </c:pt>
                <c:pt idx="200">
                  <c:v>233312.969323333</c:v>
                </c:pt>
                <c:pt idx="201">
                  <c:v>233561.12707085567</c:v>
                </c:pt>
                <c:pt idx="202">
                  <c:v>233808.07132821239</c:v>
                </c:pt>
                <c:pt idx="203">
                  <c:v>234053.81390559662</c:v>
                </c:pt>
                <c:pt idx="204">
                  <c:v>234298.36644162389</c:v>
                </c:pt>
                <c:pt idx="205">
                  <c:v>234541.74040663932</c:v>
                </c:pt>
                <c:pt idx="206">
                  <c:v>234783.9471059457</c:v>
                </c:pt>
                <c:pt idx="207">
                  <c:v>235024.99768295491</c:v>
                </c:pt>
                <c:pt idx="208">
                  <c:v>235264.90312226414</c:v>
                </c:pt>
                <c:pt idx="209">
                  <c:v>235503.67425265937</c:v>
                </c:pt>
                <c:pt idx="210">
                  <c:v>235741.32175004875</c:v>
                </c:pt>
                <c:pt idx="211">
                  <c:v>235977.85614032624</c:v>
                </c:pt>
                <c:pt idx="212">
                  <c:v>236213.28780216971</c:v>
                </c:pt>
                <c:pt idx="213">
                  <c:v>236447.62696977312</c:v>
                </c:pt>
                <c:pt idx="214">
                  <c:v>236680.88373551596</c:v>
                </c:pt>
                <c:pt idx="215">
                  <c:v>236913.06805257173</c:v>
                </c:pt>
                <c:pt idx="216">
                  <c:v>237144.18973745606</c:v>
                </c:pt>
                <c:pt idx="217">
                  <c:v>237374.25847251705</c:v>
                </c:pt>
                <c:pt idx="218">
                  <c:v>237603.28380836931</c:v>
                </c:pt>
                <c:pt idx="219">
                  <c:v>237831.27516627286</c:v>
                </c:pt>
                <c:pt idx="220">
                  <c:v>238058.24184045877</c:v>
                </c:pt>
                <c:pt idx="221">
                  <c:v>238284.19300040224</c:v>
                </c:pt>
                <c:pt idx="222">
                  <c:v>238509.13769304598</c:v>
                </c:pt>
                <c:pt idx="223">
                  <c:v>238733.0848449732</c:v>
                </c:pt>
                <c:pt idx="224">
                  <c:v>238956.0432645336</c:v>
                </c:pt>
                <c:pt idx="225">
                  <c:v>239178.02164392202</c:v>
                </c:pt>
                <c:pt idx="226">
                  <c:v>239399.02856121189</c:v>
                </c:pt>
                <c:pt idx="227">
                  <c:v>239619.07248234414</c:v>
                </c:pt>
                <c:pt idx="228">
                  <c:v>239838.16176307332</c:v>
                </c:pt>
                <c:pt idx="229">
                  <c:v>240056.3046508714</c:v>
                </c:pt>
                <c:pt idx="230">
                  <c:v>240273.50928679065</c:v>
                </c:pt>
                <c:pt idx="231">
                  <c:v>240489.7837072867</c:v>
                </c:pt>
                <c:pt idx="232">
                  <c:v>240705.13584600278</c:v>
                </c:pt>
                <c:pt idx="233">
                  <c:v>240919.5735355161</c:v>
                </c:pt>
                <c:pt idx="234">
                  <c:v>241133.10450904691</c:v>
                </c:pt>
                <c:pt idx="235">
                  <c:v>241345.73640213226</c:v>
                </c:pt>
                <c:pt idx="236">
                  <c:v>241557.47675426406</c:v>
                </c:pt>
                <c:pt idx="237">
                  <c:v>241768.33301049331</c:v>
                </c:pt>
                <c:pt idx="238">
                  <c:v>241978.31252300082</c:v>
                </c:pt>
                <c:pt idx="239">
                  <c:v>242187.42255263543</c:v>
                </c:pt>
                <c:pt idx="240">
                  <c:v>242395.67027042044</c:v>
                </c:pt>
                <c:pt idx="241">
                  <c:v>242603.06275902948</c:v>
                </c:pt>
                <c:pt idx="242">
                  <c:v>242809.6070142315</c:v>
                </c:pt>
                <c:pt idx="243">
                  <c:v>243015.30994630707</c:v>
                </c:pt>
                <c:pt idx="244">
                  <c:v>243220.17838143563</c:v>
                </c:pt>
                <c:pt idx="245">
                  <c:v>243424.21906305436</c:v>
                </c:pt>
                <c:pt idx="246">
                  <c:v>243627.43865319047</c:v>
                </c:pt>
                <c:pt idx="247">
                  <c:v>243829.84373376623</c:v>
                </c:pt>
                <c:pt idx="248">
                  <c:v>244031.44080787787</c:v>
                </c:pt>
                <c:pt idx="249">
                  <c:v>244232.23630104965</c:v>
                </c:pt>
                <c:pt idx="250">
                  <c:v>244432.23656246252</c:v>
                </c:pt>
                <c:pt idx="251">
                  <c:v>244631.44786615885</c:v>
                </c:pt>
                <c:pt idx="252">
                  <c:v>244829.8764122233</c:v>
                </c:pt>
                <c:pt idx="253">
                  <c:v>245027.52832794064</c:v>
                </c:pt>
                <c:pt idx="254">
                  <c:v>245224.40966893136</c:v>
                </c:pt>
                <c:pt idx="255">
                  <c:v>245420.52642026445</c:v>
                </c:pt>
                <c:pt idx="256">
                  <c:v>245615.88449754944</c:v>
                </c:pt>
                <c:pt idx="257">
                  <c:v>245810.48974800689</c:v>
                </c:pt>
                <c:pt idx="258">
                  <c:v>246004.34795151878</c:v>
                </c:pt>
                <c:pt idx="259">
                  <c:v>246197.46482165813</c:v>
                </c:pt>
                <c:pt idx="260">
                  <c:v>246389.84600669987</c:v>
                </c:pt>
                <c:pt idx="261">
                  <c:v>246581.49709061172</c:v>
                </c:pt>
                <c:pt idx="262">
                  <c:v>246772.42359402697</c:v>
                </c:pt>
                <c:pt idx="263">
                  <c:v>246962.63097519855</c:v>
                </c:pt>
                <c:pt idx="264">
                  <c:v>247152.12463093537</c:v>
                </c:pt>
                <c:pt idx="265">
                  <c:v>247340.90989752102</c:v>
                </c:pt>
                <c:pt idx="266">
                  <c:v>247528.99205161564</c:v>
                </c:pt>
                <c:pt idx="267">
                  <c:v>247716.37631114069</c:v>
                </c:pt>
                <c:pt idx="268">
                  <c:v>247903.06783614765</c:v>
                </c:pt>
                <c:pt idx="269">
                  <c:v>248089.07172967066</c:v>
                </c:pt>
                <c:pt idx="270">
                  <c:v>248274.39303856323</c:v>
                </c:pt>
                <c:pt idx="271">
                  <c:v>248459.03675432032</c:v>
                </c:pt>
                <c:pt idx="272">
                  <c:v>248643.00781388461</c:v>
                </c:pt>
                <c:pt idx="273">
                  <c:v>248826.31110043885</c:v>
                </c:pt>
                <c:pt idx="274">
                  <c:v>249008.95144418336</c:v>
                </c:pt>
                <c:pt idx="275">
                  <c:v>249190.93362309993</c:v>
                </c:pt>
                <c:pt idx="276">
                  <c:v>249372.26236370171</c:v>
                </c:pt>
                <c:pt idx="277">
                  <c:v>249552.94234176984</c:v>
                </c:pt>
                <c:pt idx="278">
                  <c:v>249732.97818307695</c:v>
                </c:pt>
                <c:pt idx="279">
                  <c:v>249912.37446409752</c:v>
                </c:pt>
                <c:pt idx="280">
                  <c:v>250091.13571270625</c:v>
                </c:pt>
                <c:pt idx="281">
                  <c:v>250269.26640886368</c:v>
                </c:pt>
                <c:pt idx="282">
                  <c:v>250446.77098528962</c:v>
                </c:pt>
                <c:pt idx="283">
                  <c:v>250623.6538281253</c:v>
                </c:pt>
                <c:pt idx="284">
                  <c:v>250799.91927758363</c:v>
                </c:pt>
                <c:pt idx="285">
                  <c:v>250975.57162858805</c:v>
                </c:pt>
                <c:pt idx="286">
                  <c:v>251150.61513140058</c:v>
                </c:pt>
                <c:pt idx="287">
                  <c:v>251325.053992239</c:v>
                </c:pt>
                <c:pt idx="288">
                  <c:v>251498.89237388314</c:v>
                </c:pt>
                <c:pt idx="289">
                  <c:v>251672.13439627099</c:v>
                </c:pt>
                <c:pt idx="290">
                  <c:v>251844.78413708467</c:v>
                </c:pt>
                <c:pt idx="291">
                  <c:v>252016.84563232618</c:v>
                </c:pt>
                <c:pt idx="292">
                  <c:v>252188.32287688367</c:v>
                </c:pt>
                <c:pt idx="293">
                  <c:v>252359.21982508778</c:v>
                </c:pt>
                <c:pt idx="294">
                  <c:v>252529.5403912591</c:v>
                </c:pt>
                <c:pt idx="295">
                  <c:v>252699.28845024569</c:v>
                </c:pt>
                <c:pt idx="296">
                  <c:v>252868.46783795246</c:v>
                </c:pt>
                <c:pt idx="297">
                  <c:v>253037.08235186091</c:v>
                </c:pt>
                <c:pt idx="298">
                  <c:v>253205.13575154098</c:v>
                </c:pt>
                <c:pt idx="299">
                  <c:v>253372.63175915368</c:v>
                </c:pt>
                <c:pt idx="300">
                  <c:v>253539.57405994588</c:v>
                </c:pt>
                <c:pt idx="301">
                  <c:v>253705.96630273695</c:v>
                </c:pt>
                <c:pt idx="302">
                  <c:v>253871.81210039704</c:v>
                </c:pt>
                <c:pt idx="303">
                  <c:v>254037.11503031797</c:v>
                </c:pt>
                <c:pt idx="304">
                  <c:v>254201.87863487619</c:v>
                </c:pt>
                <c:pt idx="305">
                  <c:v>254366.10642188828</c:v>
                </c:pt>
                <c:pt idx="306">
                  <c:v>254529.80186505892</c:v>
                </c:pt>
                <c:pt idx="307">
                  <c:v>254692.96840442196</c:v>
                </c:pt>
                <c:pt idx="308">
                  <c:v>254855.60944677406</c:v>
                </c:pt>
                <c:pt idx="309">
                  <c:v>255017.72836610163</c:v>
                </c:pt>
                <c:pt idx="310">
                  <c:v>255179.32850400047</c:v>
                </c:pt>
                <c:pt idx="311">
                  <c:v>255340.41317008954</c:v>
                </c:pt>
                <c:pt idx="312">
                  <c:v>255500.98564241722</c:v>
                </c:pt>
                <c:pt idx="313">
                  <c:v>255661.04916786184</c:v>
                </c:pt>
                <c:pt idx="314">
                  <c:v>255820.6069625254</c:v>
                </c:pt>
                <c:pt idx="315">
                  <c:v>255979.66221212168</c:v>
                </c:pt>
                <c:pt idx="316">
                  <c:v>256138.21807235738</c:v>
                </c:pt>
                <c:pt idx="317">
                  <c:v>256296.27766930824</c:v>
                </c:pt>
                <c:pt idx="318">
                  <c:v>256453.84409978855</c:v>
                </c:pt>
                <c:pt idx="319">
                  <c:v>256610.92043171538</c:v>
                </c:pt>
                <c:pt idx="320">
                  <c:v>256767.50970446691</c:v>
                </c:pt>
                <c:pt idx="321">
                  <c:v>256923.61492923537</c:v>
                </c:pt>
                <c:pt idx="322">
                  <c:v>257079.23908937449</c:v>
                </c:pt>
                <c:pt idx="323">
                  <c:v>257234.38514074151</c:v>
                </c:pt>
                <c:pt idx="324">
                  <c:v>257389.05601203407</c:v>
                </c:pt>
                <c:pt idx="325">
                  <c:v>257543.25460512203</c:v>
                </c:pt>
                <c:pt idx="326">
                  <c:v>257696.98379537405</c:v>
                </c:pt>
                <c:pt idx="327">
                  <c:v>257850.24643197929</c:v>
                </c:pt>
                <c:pt idx="328">
                  <c:v>258003.04533826443</c:v>
                </c:pt>
                <c:pt idx="329">
                  <c:v>258155.38331200546</c:v>
                </c:pt>
                <c:pt idx="330">
                  <c:v>258307.26312573519</c:v>
                </c:pt>
                <c:pt idx="331">
                  <c:v>258458.68752704616</c:v>
                </c:pt>
                <c:pt idx="332">
                  <c:v>258609.65923888859</c:v>
                </c:pt>
                <c:pt idx="333">
                  <c:v>258760.18095986458</c:v>
                </c:pt>
                <c:pt idx="334">
                  <c:v>258910.25536451701</c:v>
                </c:pt>
                <c:pt idx="335">
                  <c:v>259059.8851036152</c:v>
                </c:pt>
                <c:pt idx="336">
                  <c:v>259209.07280443548</c:v>
                </c:pt>
                <c:pt idx="337">
                  <c:v>259357.82107103823</c:v>
                </c:pt>
                <c:pt idx="338">
                  <c:v>259506.13248454037</c:v>
                </c:pt>
                <c:pt idx="339">
                  <c:v>259654.00960338433</c:v>
                </c:pt>
                <c:pt idx="340">
                  <c:v>259801.45496360274</c:v>
                </c:pt>
                <c:pt idx="341">
                  <c:v>259948.47107907938</c:v>
                </c:pt>
                <c:pt idx="342">
                  <c:v>260095.06044180645</c:v>
                </c:pt>
                <c:pt idx="343">
                  <c:v>260241.22552213786</c:v>
                </c:pt>
                <c:pt idx="344">
                  <c:v>260386.96876903914</c:v>
                </c:pt>
                <c:pt idx="345">
                  <c:v>260532.29261033371</c:v>
                </c:pt>
                <c:pt idx="346">
                  <c:v>260677.19945294532</c:v>
                </c:pt>
                <c:pt idx="347">
                  <c:v>260821.69168313747</c:v>
                </c:pt>
                <c:pt idx="348">
                  <c:v>260965.771666749</c:v>
                </c:pt>
                <c:pt idx="349">
                  <c:v>261109.44174942665</c:v>
                </c:pt>
                <c:pt idx="350">
                  <c:v>261252.70425685422</c:v>
                </c:pt>
                <c:pt idx="351">
                  <c:v>261395.56149497835</c:v>
                </c:pt>
                <c:pt idx="352">
                  <c:v>261538.01575023125</c:v>
                </c:pt>
                <c:pt idx="353">
                  <c:v>261680.0692897503</c:v>
                </c:pt>
                <c:pt idx="354">
                  <c:v>261821.7243615945</c:v>
                </c:pt>
                <c:pt idx="355">
                  <c:v>261962.98319495813</c:v>
                </c:pt>
                <c:pt idx="356">
                  <c:v>262103.84800038082</c:v>
                </c:pt>
                <c:pt idx="357">
                  <c:v>262244.32096995565</c:v>
                </c:pt>
                <c:pt idx="358">
                  <c:v>262384.40427753329</c:v>
                </c:pt>
                <c:pt idx="359">
                  <c:v>262524.10007892421</c:v>
                </c:pt>
              </c:numCache>
            </c:numRef>
          </c:yVal>
        </c:ser>
        <c:ser>
          <c:idx val="6"/>
          <c:order val="6"/>
          <c:tx>
            <c:strRef>
              <c:f>Hyperbolic!$O$2</c:f>
              <c:strCache>
                <c:ptCount val="1"/>
                <c:pt idx="0">
                  <c:v>Hyperbolic 2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3"/>
            <c:spPr>
              <a:solidFill>
                <a:schemeClr val="bg1"/>
              </a:solidFill>
            </c:spPr>
          </c:marker>
          <c:xVal>
            <c:numRef>
              <c:f>Hyperbolic!$H$3:$H$362</c:f>
              <c:numCache>
                <c:formatCode>0.0</c:formatCode>
                <c:ptCount val="3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</c:numCache>
            </c:numRef>
          </c:xVal>
          <c:yVal>
            <c:numRef>
              <c:f>Hyperbolic!$O$3:$O$362</c:f>
              <c:numCache>
                <c:formatCode>General</c:formatCode>
                <c:ptCount val="360"/>
                <c:pt idx="0">
                  <c:v>10055.534681082478</c:v>
                </c:pt>
                <c:pt idx="1">
                  <c:v>17190.050077886644</c:v>
                </c:pt>
                <c:pt idx="2">
                  <c:v>22724.010150479047</c:v>
                </c:pt>
                <c:pt idx="3">
                  <c:v>27245.584758969122</c:v>
                </c:pt>
                <c:pt idx="4">
                  <c:v>31068.521618685128</c:v>
                </c:pt>
                <c:pt idx="5">
                  <c:v>34380.100155773289</c:v>
                </c:pt>
                <c:pt idx="6">
                  <c:v>37301.119440051596</c:v>
                </c:pt>
                <c:pt idx="7">
                  <c:v>39914.060228365684</c:v>
                </c:pt>
                <c:pt idx="8">
                  <c:v>42277.752687512948</c:v>
                </c:pt>
                <c:pt idx="9">
                  <c:v>44435.634836855766</c:v>
                </c:pt>
                <c:pt idx="10">
                  <c:v>46420.693987159466</c:v>
                </c:pt>
                <c:pt idx="11">
                  <c:v>48258.571696571766</c:v>
                </c:pt>
                <c:pt idx="12">
                  <c:v>49969.594909448162</c:v>
                </c:pt>
                <c:pt idx="13">
                  <c:v>51570.15023365993</c:v>
                </c:pt>
                <c:pt idx="14">
                  <c:v>53073.640854707512</c:v>
                </c:pt>
                <c:pt idx="15">
                  <c:v>54491.169517938244</c:v>
                </c:pt>
                <c:pt idx="16">
                  <c:v>55832.036605441084</c:v>
                </c:pt>
                <c:pt idx="17">
                  <c:v>57104.11030625234</c:v>
                </c:pt>
                <c:pt idx="18">
                  <c:v>58314.106377654243</c:v>
                </c:pt>
                <c:pt idx="19">
                  <c:v>59467.802765399596</c:v>
                </c:pt>
                <c:pt idx="20">
                  <c:v>60570.206477156265</c:v>
                </c:pt>
                <c:pt idx="21">
                  <c:v>61625.684914742407</c:v>
                </c:pt>
                <c:pt idx="22">
                  <c:v>62638.070378844743</c:v>
                </c:pt>
                <c:pt idx="23">
                  <c:v>63610.744065046114</c:v>
                </c:pt>
                <c:pt idx="24">
                  <c:v>64546.704199020714</c:v>
                </c:pt>
                <c:pt idx="25">
                  <c:v>65448.621774458406</c:v>
                </c:pt>
                <c:pt idx="26">
                  <c:v>66318.886505777919</c:v>
                </c:pt>
                <c:pt idx="27">
                  <c:v>67159.644987334803</c:v>
                </c:pt>
                <c:pt idx="28">
                  <c:v>67972.832593344981</c:v>
                </c:pt>
                <c:pt idx="29">
                  <c:v>68760.200311546578</c:v>
                </c:pt>
                <c:pt idx="30">
                  <c:v>69523.337446482066</c:v>
                </c:pt>
                <c:pt idx="31">
                  <c:v>70263.690932594167</c:v>
                </c:pt>
                <c:pt idx="32">
                  <c:v>70982.581847050824</c:v>
                </c:pt>
                <c:pt idx="33">
                  <c:v>71681.219595824878</c:v>
                </c:pt>
                <c:pt idx="34">
                  <c:v>72360.714155690119</c:v>
                </c:pt>
                <c:pt idx="35">
                  <c:v>73022.086683327725</c:v>
                </c:pt>
                <c:pt idx="36">
                  <c:v>73666.278746128577</c:v>
                </c:pt>
                <c:pt idx="37">
                  <c:v>74294.160384138973</c:v>
                </c:pt>
                <c:pt idx="38">
                  <c:v>74906.537176380196</c:v>
                </c:pt>
                <c:pt idx="39">
                  <c:v>75504.156455540884</c:v>
                </c:pt>
                <c:pt idx="40">
                  <c:v>76087.712791313708</c:v>
                </c:pt>
                <c:pt idx="41">
                  <c:v>76657.852843286237</c:v>
                </c:pt>
                <c:pt idx="42">
                  <c:v>77215.179668417288</c:v>
                </c:pt>
                <c:pt idx="43">
                  <c:v>77760.256555042914</c:v>
                </c:pt>
                <c:pt idx="44">
                  <c:v>78293.610444522812</c:v>
                </c:pt>
                <c:pt idx="45">
                  <c:v>78815.734992629048</c:v>
                </c:pt>
                <c:pt idx="46">
                  <c:v>79327.093315256905</c:v>
                </c:pt>
                <c:pt idx="47">
                  <c:v>79828.120456731369</c:v>
                </c:pt>
                <c:pt idx="48">
                  <c:v>80319.225613676637</c:v>
                </c:pt>
                <c:pt idx="49">
                  <c:v>80800.794142932762</c:v>
                </c:pt>
                <c:pt idx="50">
                  <c:v>81273.189378205978</c:v>
                </c:pt>
                <c:pt idx="51">
                  <c:v>81736.754276907363</c:v>
                </c:pt>
                <c:pt idx="52">
                  <c:v>82191.812915878632</c:v>
                </c:pt>
                <c:pt idx="53">
                  <c:v>82638.671852345055</c:v>
                </c:pt>
                <c:pt idx="54">
                  <c:v>83077.621364410195</c:v>
                </c:pt>
                <c:pt idx="55">
                  <c:v>83508.936583664559</c:v>
                </c:pt>
                <c:pt idx="56">
                  <c:v>83932.878530975198</c:v>
                </c:pt>
                <c:pt idx="57">
                  <c:v>84349.695065221458</c:v>
                </c:pt>
                <c:pt idx="58">
                  <c:v>84759.621753611471</c:v>
                </c:pt>
                <c:pt idx="59">
                  <c:v>85162.882671231622</c:v>
                </c:pt>
                <c:pt idx="60">
                  <c:v>85559.691136623369</c:v>
                </c:pt>
                <c:pt idx="61">
                  <c:v>85950.250389433219</c:v>
                </c:pt>
                <c:pt idx="62">
                  <c:v>86334.754215525158</c:v>
                </c:pt>
                <c:pt idx="63">
                  <c:v>86713.387524368707</c:v>
                </c:pt>
                <c:pt idx="64">
                  <c:v>87086.326883009315</c:v>
                </c:pt>
                <c:pt idx="65">
                  <c:v>87453.741010480808</c:v>
                </c:pt>
                <c:pt idx="66">
                  <c:v>87815.791236125398</c:v>
                </c:pt>
                <c:pt idx="67">
                  <c:v>88172.63192493745</c:v>
                </c:pt>
                <c:pt idx="68">
                  <c:v>88524.410872737979</c:v>
                </c:pt>
                <c:pt idx="69">
                  <c:v>88871.269673711533</c:v>
                </c:pt>
                <c:pt idx="70">
                  <c:v>89213.34406259346</c:v>
                </c:pt>
                <c:pt idx="71">
                  <c:v>89550.76423357676</c:v>
                </c:pt>
                <c:pt idx="72">
                  <c:v>89883.655137813854</c:v>
                </c:pt>
                <c:pt idx="73">
                  <c:v>90212.136761214366</c:v>
                </c:pt>
                <c:pt idx="74">
                  <c:v>90536.324384084714</c:v>
                </c:pt>
                <c:pt idx="75">
                  <c:v>90856.328824015232</c:v>
                </c:pt>
                <c:pt idx="76">
                  <c:v>91172.256663295484</c:v>
                </c:pt>
                <c:pt idx="77">
                  <c:v>91484.210462025614</c:v>
                </c:pt>
                <c:pt idx="78">
                  <c:v>91792.288957989833</c:v>
                </c:pt>
                <c:pt idx="79">
                  <c:v>92096.587254266837</c:v>
                </c:pt>
                <c:pt idx="80">
                  <c:v>92397.196995468985</c:v>
                </c:pt>
                <c:pt idx="81">
                  <c:v>92694.206533427539</c:v>
                </c:pt>
                <c:pt idx="82">
                  <c:v>92987.701083073203</c:v>
                </c:pt>
                <c:pt idx="83">
                  <c:v>93277.762869200349</c:v>
                </c:pt>
                <c:pt idx="84">
                  <c:v>93564.47126474703</c:v>
                </c:pt>
                <c:pt idx="85">
                  <c:v>93847.902921172878</c:v>
                </c:pt>
                <c:pt idx="86">
                  <c:v>94128.131891470432</c:v>
                </c:pt>
                <c:pt idx="87">
                  <c:v>94405.229746303929</c:v>
                </c:pt>
                <c:pt idx="88">
                  <c:v>94679.265683731239</c:v>
                </c:pt>
                <c:pt idx="89">
                  <c:v>94950.306632929554</c:v>
                </c:pt>
                <c:pt idx="90">
                  <c:v>95218.417352314093</c:v>
                </c:pt>
                <c:pt idx="91">
                  <c:v>95483.660522409453</c:v>
                </c:pt>
                <c:pt idx="92">
                  <c:v>95746.096833806761</c:v>
                </c:pt>
                <c:pt idx="93">
                  <c:v>96005.785070515703</c:v>
                </c:pt>
                <c:pt idx="94">
                  <c:v>96262.782188997255</c:v>
                </c:pt>
                <c:pt idx="95">
                  <c:v>96517.143393143531</c:v>
                </c:pt>
                <c:pt idx="96">
                  <c:v>96768.922205451192</c:v>
                </c:pt>
                <c:pt idx="97">
                  <c:v>97018.170534618024</c:v>
                </c:pt>
                <c:pt idx="98">
                  <c:v>97264.938739776597</c:v>
                </c:pt>
                <c:pt idx="99">
                  <c:v>97509.275691563278</c:v>
                </c:pt>
                <c:pt idx="100">
                  <c:v>97751.228830208318</c:v>
                </c:pt>
                <c:pt idx="101">
                  <c:v>97990.844220819403</c:v>
                </c:pt>
                <c:pt idx="102">
                  <c:v>98228.166606019935</c:v>
                </c:pt>
                <c:pt idx="103">
                  <c:v>98463.239456092619</c:v>
                </c:pt>
                <c:pt idx="104">
                  <c:v>98696.105016768634</c:v>
                </c:pt>
                <c:pt idx="105">
                  <c:v>98926.804354794003</c:v>
                </c:pt>
                <c:pt idx="106">
                  <c:v>99155.377401396123</c:v>
                </c:pt>
                <c:pt idx="107">
                  <c:v>99381.862993765288</c:v>
                </c:pt>
                <c:pt idx="108">
                  <c:v>99606.29891465923</c:v>
                </c:pt>
                <c:pt idx="109">
                  <c:v>99828.72193023171</c:v>
                </c:pt>
                <c:pt idx="110">
                  <c:v>100049.1678261794</c:v>
                </c:pt>
                <c:pt idx="111">
                  <c:v>100267.67144229685</c:v>
                </c:pt>
                <c:pt idx="112">
                  <c:v>100484.26670552196</c:v>
                </c:pt>
                <c:pt idx="113">
                  <c:v>100698.9866615512</c:v>
                </c:pt>
                <c:pt idx="114">
                  <c:v>100911.86350509772</c:v>
                </c:pt>
                <c:pt idx="115">
                  <c:v>101122.92860886185</c:v>
                </c:pt>
                <c:pt idx="116">
                  <c:v>101332.21255127928</c:v>
                </c:pt>
                <c:pt idx="117">
                  <c:v>101539.74514310808</c:v>
                </c:pt>
                <c:pt idx="118">
                  <c:v>101745.55545291254</c:v>
                </c:pt>
                <c:pt idx="119">
                  <c:v>101949.67183149813</c:v>
                </c:pt>
                <c:pt idx="120">
                  <c:v>102152.12193534932</c:v>
                </c:pt>
                <c:pt idx="121">
                  <c:v>102352.93274911828</c:v>
                </c:pt>
                <c:pt idx="122">
                  <c:v>102552.13060721043</c:v>
                </c:pt>
                <c:pt idx="123">
                  <c:v>102749.74121451001</c:v>
                </c:pt>
                <c:pt idx="124">
                  <c:v>102945.78966628642</c:v>
                </c:pt>
                <c:pt idx="125">
                  <c:v>103140.30046731986</c:v>
                </c:pt>
                <c:pt idx="126">
                  <c:v>103333.29755028282</c:v>
                </c:pt>
                <c:pt idx="127">
                  <c:v>103524.8042934118</c:v>
                </c:pt>
                <c:pt idx="128">
                  <c:v>103714.84353750193</c:v>
                </c:pt>
                <c:pt idx="129">
                  <c:v>103903.43760225535</c:v>
                </c:pt>
                <c:pt idx="130">
                  <c:v>104090.60830201284</c:v>
                </c:pt>
                <c:pt idx="131">
                  <c:v>104276.37696089596</c:v>
                </c:pt>
                <c:pt idx="132">
                  <c:v>104460.76442738641</c:v>
                </c:pt>
                <c:pt idx="133">
                  <c:v>104643.79108836745</c:v>
                </c:pt>
                <c:pt idx="134">
                  <c:v>104825.47688265085</c:v>
                </c:pt>
                <c:pt idx="135">
                  <c:v>105005.84131401204</c:v>
                </c:pt>
                <c:pt idx="136">
                  <c:v>105184.9034637545</c:v>
                </c:pt>
                <c:pt idx="137">
                  <c:v>105362.68200282411</c:v>
                </c:pt>
                <c:pt idx="138">
                  <c:v>105539.19520349194</c:v>
                </c:pt>
                <c:pt idx="139">
                  <c:v>105714.46095062462</c:v>
                </c:pt>
                <c:pt idx="140">
                  <c:v>105888.49675255905</c:v>
                </c:pt>
                <c:pt idx="141">
                  <c:v>106061.31975159817</c:v>
                </c:pt>
                <c:pt idx="142">
                  <c:v>106232.9467341436</c:v>
                </c:pt>
                <c:pt idx="143">
                  <c:v>106403.3941404801</c:v>
                </c:pt>
                <c:pt idx="144">
                  <c:v>106572.678074226</c:v>
                </c:pt>
                <c:pt idx="145">
                  <c:v>106740.81431146341</c:v>
                </c:pt>
                <c:pt idx="146">
                  <c:v>106907.81830956074</c:v>
                </c:pt>
                <c:pt idx="147">
                  <c:v>107073.70521570049</c:v>
                </c:pt>
                <c:pt idx="148">
                  <c:v>107238.48987512347</c:v>
                </c:pt>
                <c:pt idx="149">
                  <c:v>107402.18683910101</c:v>
                </c:pt>
                <c:pt idx="150">
                  <c:v>107564.81037264575</c:v>
                </c:pt>
                <c:pt idx="151">
                  <c:v>107726.37446197137</c:v>
                </c:pt>
                <c:pt idx="152">
                  <c:v>107886.89282171067</c:v>
                </c:pt>
                <c:pt idx="153">
                  <c:v>108046.37890190187</c:v>
                </c:pt>
                <c:pt idx="154">
                  <c:v>108204.8458947514</c:v>
                </c:pt>
                <c:pt idx="155">
                  <c:v>108362.30674118214</c:v>
                </c:pt>
                <c:pt idx="156">
                  <c:v>108518.77413717509</c:v>
                </c:pt>
                <c:pt idx="157">
                  <c:v>108674.26053991225</c:v>
                </c:pt>
                <c:pt idx="158">
                  <c:v>108828.77817372805</c:v>
                </c:pt>
                <c:pt idx="159">
                  <c:v>108982.33903587649</c:v>
                </c:pt>
                <c:pt idx="160">
                  <c:v>109134.95490212106</c:v>
                </c:pt>
                <c:pt idx="161">
                  <c:v>109286.63733215348</c:v>
                </c:pt>
                <c:pt idx="162">
                  <c:v>109437.39767484774</c:v>
                </c:pt>
                <c:pt idx="163">
                  <c:v>109587.24707335564</c:v>
                </c:pt>
                <c:pt idx="164">
                  <c:v>109736.19647004889</c:v>
                </c:pt>
                <c:pt idx="165">
                  <c:v>109884.25661131417</c:v>
                </c:pt>
                <c:pt idx="166">
                  <c:v>110031.43805220557</c:v>
                </c:pt>
                <c:pt idx="167">
                  <c:v>110177.75116095986</c:v>
                </c:pt>
                <c:pt idx="168">
                  <c:v>110323.20612337934</c:v>
                </c:pt>
                <c:pt idx="169">
                  <c:v>110467.81294708698</c:v>
                </c:pt>
                <c:pt idx="170">
                  <c:v>110611.58146565828</c:v>
                </c:pt>
                <c:pt idx="171">
                  <c:v>110754.52134263367</c:v>
                </c:pt>
                <c:pt idx="172">
                  <c:v>110896.64207541652</c:v>
                </c:pt>
                <c:pt idx="173">
                  <c:v>111037.95299905953</c:v>
                </c:pt>
                <c:pt idx="174">
                  <c:v>111178.46328994431</c:v>
                </c:pt>
                <c:pt idx="175">
                  <c:v>111318.18196935706</c:v>
                </c:pt>
                <c:pt idx="176">
                  <c:v>111457.11790696408</c:v>
                </c:pt>
                <c:pt idx="177">
                  <c:v>111595.27982419057</c:v>
                </c:pt>
                <c:pt idx="178">
                  <c:v>111732.67629750584</c:v>
                </c:pt>
                <c:pt idx="179">
                  <c:v>111869.31576161788</c:v>
                </c:pt>
                <c:pt idx="180">
                  <c:v>112005.2065125806</c:v>
                </c:pt>
                <c:pt idx="181">
                  <c:v>112140.35671081621</c:v>
                </c:pt>
                <c:pt idx="182">
                  <c:v>112274.77438405583</c:v>
                </c:pt>
                <c:pt idx="183">
                  <c:v>112408.46743020076</c:v>
                </c:pt>
                <c:pt idx="184">
                  <c:v>112541.44362010711</c:v>
                </c:pt>
                <c:pt idx="185">
                  <c:v>112673.71060029609</c:v>
                </c:pt>
                <c:pt idx="186">
                  <c:v>112805.27589559249</c:v>
                </c:pt>
                <c:pt idx="187">
                  <c:v>112936.14691169342</c:v>
                </c:pt>
                <c:pt idx="188">
                  <c:v>113066.33093766977</c:v>
                </c:pt>
                <c:pt idx="189">
                  <c:v>113195.83514840233</c:v>
                </c:pt>
                <c:pt idx="190">
                  <c:v>113324.66660695452</c:v>
                </c:pt>
                <c:pt idx="191">
                  <c:v>113452.8322668839</c:v>
                </c:pt>
                <c:pt idx="192">
                  <c:v>113580.33897449427</c:v>
                </c:pt>
                <c:pt idx="193">
                  <c:v>113707.19347103019</c:v>
                </c:pt>
                <c:pt idx="194">
                  <c:v>113833.40239481546</c:v>
                </c:pt>
                <c:pt idx="195">
                  <c:v>113958.97228333783</c:v>
                </c:pt>
                <c:pt idx="196">
                  <c:v>114083.90957528076</c:v>
                </c:pt>
                <c:pt idx="197">
                  <c:v>114208.22061250468</c:v>
                </c:pt>
                <c:pt idx="198">
                  <c:v>114331.91164197843</c:v>
                </c:pt>
                <c:pt idx="199">
                  <c:v>114454.98881766324</c:v>
                </c:pt>
                <c:pt idx="200">
                  <c:v>114577.45820234968</c:v>
                </c:pt>
                <c:pt idx="201">
                  <c:v>114699.32576944992</c:v>
                </c:pt>
                <c:pt idx="202">
                  <c:v>114820.59740474589</c:v>
                </c:pt>
                <c:pt idx="203">
                  <c:v>114941.27890809497</c:v>
                </c:pt>
                <c:pt idx="204">
                  <c:v>115061.3759950945</c:v>
                </c:pt>
                <c:pt idx="205">
                  <c:v>115180.89429870604</c:v>
                </c:pt>
                <c:pt idx="206">
                  <c:v>115299.83937084067</c:v>
                </c:pt>
                <c:pt idx="207">
                  <c:v>115418.21668390658</c:v>
                </c:pt>
                <c:pt idx="208">
                  <c:v>115536.03163231981</c:v>
                </c:pt>
                <c:pt idx="209">
                  <c:v>115653.28953397926</c:v>
                </c:pt>
                <c:pt idx="210">
                  <c:v>115769.9956317071</c:v>
                </c:pt>
                <c:pt idx="211">
                  <c:v>115886.15509465526</c:v>
                </c:pt>
                <c:pt idx="212">
                  <c:v>116001.77301967939</c:v>
                </c:pt>
                <c:pt idx="213">
                  <c:v>116116.85443268066</c:v>
                </c:pt>
                <c:pt idx="214">
                  <c:v>116231.40428991675</c:v>
                </c:pt>
                <c:pt idx="215">
                  <c:v>116345.42747928276</c:v>
                </c:pt>
                <c:pt idx="216">
                  <c:v>116458.92882156257</c:v>
                </c:pt>
                <c:pt idx="217">
                  <c:v>116571.91307165193</c:v>
                </c:pt>
                <c:pt idx="218">
                  <c:v>116684.38491975363</c:v>
                </c:pt>
                <c:pt idx="219">
                  <c:v>116796.34899254589</c:v>
                </c:pt>
                <c:pt idx="220">
                  <c:v>116907.8098543243</c:v>
                </c:pt>
                <c:pt idx="221">
                  <c:v>117018.77200811834</c:v>
                </c:pt>
                <c:pt idx="222">
                  <c:v>117129.23989678298</c:v>
                </c:pt>
                <c:pt idx="223">
                  <c:v>117239.21790406606</c:v>
                </c:pt>
                <c:pt idx="224">
                  <c:v>117348.71035565215</c:v>
                </c:pt>
                <c:pt idx="225">
                  <c:v>117457.72152018349</c:v>
                </c:pt>
                <c:pt idx="226">
                  <c:v>117566.25561025851</c:v>
                </c:pt>
                <c:pt idx="227">
                  <c:v>117674.31678340861</c:v>
                </c:pt>
                <c:pt idx="228">
                  <c:v>117781.90914305382</c:v>
                </c:pt>
                <c:pt idx="229">
                  <c:v>117889.03673943784</c:v>
                </c:pt>
                <c:pt idx="230">
                  <c:v>117995.70357054274</c:v>
                </c:pt>
                <c:pt idx="231">
                  <c:v>118101.91358298436</c:v>
                </c:pt>
                <c:pt idx="232">
                  <c:v>118207.67067288849</c:v>
                </c:pt>
                <c:pt idx="233">
                  <c:v>118312.97868674849</c:v>
                </c:pt>
                <c:pt idx="234">
                  <c:v>118417.84142226461</c:v>
                </c:pt>
                <c:pt idx="235">
                  <c:v>118522.26262916594</c:v>
                </c:pt>
                <c:pt idx="236">
                  <c:v>118626.24601001483</c:v>
                </c:pt>
                <c:pt idx="237">
                  <c:v>118729.79522099474</c:v>
                </c:pt>
                <c:pt idx="238">
                  <c:v>118832.91387268159</c:v>
                </c:pt>
                <c:pt idx="239">
                  <c:v>118935.60553079919</c:v>
                </c:pt>
                <c:pt idx="240">
                  <c:v>119037.87371695894</c:v>
                </c:pt>
                <c:pt idx="241">
                  <c:v>119139.72190938477</c:v>
                </c:pt>
                <c:pt idx="242">
                  <c:v>119241.1535436226</c:v>
                </c:pt>
                <c:pt idx="243">
                  <c:v>119342.17201323595</c:v>
                </c:pt>
                <c:pt idx="244">
                  <c:v>119442.78067048719</c:v>
                </c:pt>
                <c:pt idx="245">
                  <c:v>119542.98282700492</c:v>
                </c:pt>
                <c:pt idx="246">
                  <c:v>119642.7817544381</c:v>
                </c:pt>
                <c:pt idx="247">
                  <c:v>119742.18068509708</c:v>
                </c:pt>
                <c:pt idx="248">
                  <c:v>119841.18281258161</c:v>
                </c:pt>
                <c:pt idx="249">
                  <c:v>119939.79129239665</c:v>
                </c:pt>
                <c:pt idx="250">
                  <c:v>120038.00924255585</c:v>
                </c:pt>
                <c:pt idx="251">
                  <c:v>120135.83974417306</c:v>
                </c:pt>
                <c:pt idx="252">
                  <c:v>120233.28584204233</c:v>
                </c:pt>
                <c:pt idx="253">
                  <c:v>120330.3505452065</c:v>
                </c:pt>
                <c:pt idx="254">
                  <c:v>120427.03682751481</c:v>
                </c:pt>
                <c:pt idx="255">
                  <c:v>120523.34762816946</c:v>
                </c:pt>
                <c:pt idx="256">
                  <c:v>120619.28585226191</c:v>
                </c:pt>
                <c:pt idx="257">
                  <c:v>120714.85437129844</c:v>
                </c:pt>
                <c:pt idx="258">
                  <c:v>120810.05602371616</c:v>
                </c:pt>
                <c:pt idx="259">
                  <c:v>120904.89361538854</c:v>
                </c:pt>
                <c:pt idx="260">
                  <c:v>120999.36992012191</c:v>
                </c:pt>
                <c:pt idx="261">
                  <c:v>121093.48768014199</c:v>
                </c:pt>
                <c:pt idx="262">
                  <c:v>121187.24960657166</c:v>
                </c:pt>
                <c:pt idx="263">
                  <c:v>121280.6583798995</c:v>
                </c:pt>
                <c:pt idx="264">
                  <c:v>121373.71665043954</c:v>
                </c:pt>
                <c:pt idx="265">
                  <c:v>121466.4270387826</c:v>
                </c:pt>
                <c:pt idx="266">
                  <c:v>121558.79213623896</c:v>
                </c:pt>
                <c:pt idx="267">
                  <c:v>121650.81450527305</c:v>
                </c:pt>
                <c:pt idx="268">
                  <c:v>121742.49667992994</c:v>
                </c:pt>
                <c:pt idx="269">
                  <c:v>121833.8411662541</c:v>
                </c:pt>
                <c:pt idx="270">
                  <c:v>121924.85044270035</c:v>
                </c:pt>
                <c:pt idx="271">
                  <c:v>122015.52696053751</c:v>
                </c:pt>
                <c:pt idx="272">
                  <c:v>122105.87314424434</c:v>
                </c:pt>
                <c:pt idx="273">
                  <c:v>122195.89139189868</c:v>
                </c:pt>
                <c:pt idx="274">
                  <c:v>122285.58407555935</c:v>
                </c:pt>
                <c:pt idx="275">
                  <c:v>122374.95354164115</c:v>
                </c:pt>
                <c:pt idx="276">
                  <c:v>122464.00211128322</c:v>
                </c:pt>
                <c:pt idx="277">
                  <c:v>122552.73208071073</c:v>
                </c:pt>
                <c:pt idx="278">
                  <c:v>122641.14572159026</c:v>
                </c:pt>
                <c:pt idx="279">
                  <c:v>122729.24528137858</c:v>
                </c:pt>
                <c:pt idx="280">
                  <c:v>122817.03298366565</c:v>
                </c:pt>
                <c:pt idx="281">
                  <c:v>122904.51102851128</c:v>
                </c:pt>
                <c:pt idx="282">
                  <c:v>122991.68159277589</c:v>
                </c:pt>
                <c:pt idx="283">
                  <c:v>123078.54683044569</c:v>
                </c:pt>
                <c:pt idx="284">
                  <c:v>123165.10887295197</c:v>
                </c:pt>
                <c:pt idx="285">
                  <c:v>123251.36982948481</c:v>
                </c:pt>
                <c:pt idx="286">
                  <c:v>123337.33178730168</c:v>
                </c:pt>
                <c:pt idx="287">
                  <c:v>123422.99681203024</c:v>
                </c:pt>
                <c:pt idx="288">
                  <c:v>123508.36694796638</c:v>
                </c:pt>
                <c:pt idx="289">
                  <c:v>123593.44421836674</c:v>
                </c:pt>
                <c:pt idx="290">
                  <c:v>123678.23062573663</c:v>
                </c:pt>
                <c:pt idx="291">
                  <c:v>123762.72815211266</c:v>
                </c:pt>
                <c:pt idx="292">
                  <c:v>123846.93875934089</c:v>
                </c:pt>
                <c:pt idx="293">
                  <c:v>123930.86438935004</c:v>
                </c:pt>
                <c:pt idx="294">
                  <c:v>124014.5069644203</c:v>
                </c:pt>
                <c:pt idx="295">
                  <c:v>124097.86838744739</c:v>
                </c:pt>
                <c:pt idx="296">
                  <c:v>124180.95054220239</c:v>
                </c:pt>
                <c:pt idx="297">
                  <c:v>124263.75529358714</c:v>
                </c:pt>
                <c:pt idx="298">
                  <c:v>124346.28448788547</c:v>
                </c:pt>
                <c:pt idx="299">
                  <c:v>124428.53995301013</c:v>
                </c:pt>
                <c:pt idx="300">
                  <c:v>124510.52349874569</c:v>
                </c:pt>
                <c:pt idx="301">
                  <c:v>124592.23691698766</c:v>
                </c:pt>
                <c:pt idx="302">
                  <c:v>124673.68198197716</c:v>
                </c:pt>
                <c:pt idx="303">
                  <c:v>124754.86045053239</c:v>
                </c:pt>
                <c:pt idx="304">
                  <c:v>124835.77406227584</c:v>
                </c:pt>
                <c:pt idx="305">
                  <c:v>124916.42453985801</c:v>
                </c:pt>
                <c:pt idx="306">
                  <c:v>124996.81358917746</c:v>
                </c:pt>
                <c:pt idx="307">
                  <c:v>125076.94289959731</c:v>
                </c:pt>
                <c:pt idx="308">
                  <c:v>125156.81414415836</c:v>
                </c:pt>
                <c:pt idx="309">
                  <c:v>125236.42897978851</c:v>
                </c:pt>
                <c:pt idx="310">
                  <c:v>125315.78904750914</c:v>
                </c:pt>
                <c:pt idx="311">
                  <c:v>125394.89597263803</c:v>
                </c:pt>
                <c:pt idx="312">
                  <c:v>125473.75136498906</c:v>
                </c:pt>
                <c:pt idx="313">
                  <c:v>125552.35681906878</c:v>
                </c:pt>
                <c:pt idx="314">
                  <c:v>125630.7139142699</c:v>
                </c:pt>
                <c:pt idx="315">
                  <c:v>125708.82421506174</c:v>
                </c:pt>
                <c:pt idx="316">
                  <c:v>125786.6892711775</c:v>
                </c:pt>
                <c:pt idx="317">
                  <c:v>125864.3106177989</c:v>
                </c:pt>
                <c:pt idx="318">
                  <c:v>125941.68977573774</c:v>
                </c:pt>
                <c:pt idx="319">
                  <c:v>126018.82825161469</c:v>
                </c:pt>
                <c:pt idx="320">
                  <c:v>126095.72753803524</c:v>
                </c:pt>
                <c:pt idx="321">
                  <c:v>126172.38911376311</c:v>
                </c:pt>
                <c:pt idx="322">
                  <c:v>126248.81444389083</c:v>
                </c:pt>
                <c:pt idx="323">
                  <c:v>126325.00498000771</c:v>
                </c:pt>
                <c:pt idx="324">
                  <c:v>126400.96216036523</c:v>
                </c:pt>
                <c:pt idx="325">
                  <c:v>126476.68741004013</c:v>
                </c:pt>
                <c:pt idx="326">
                  <c:v>126552.18214109457</c:v>
                </c:pt>
                <c:pt idx="327">
                  <c:v>126627.44775273438</c:v>
                </c:pt>
                <c:pt idx="328">
                  <c:v>126702.48563146451</c:v>
                </c:pt>
                <c:pt idx="329">
                  <c:v>126777.29715124228</c:v>
                </c:pt>
                <c:pt idx="330">
                  <c:v>126851.88367362837</c:v>
                </c:pt>
                <c:pt idx="331">
                  <c:v>126926.24654793553</c:v>
                </c:pt>
                <c:pt idx="332">
                  <c:v>127000.38711137499</c:v>
                </c:pt>
                <c:pt idx="333">
                  <c:v>127074.30668920082</c:v>
                </c:pt>
                <c:pt idx="334">
                  <c:v>127148.00659485192</c:v>
                </c:pt>
                <c:pt idx="335">
                  <c:v>127221.48813009223</c:v>
                </c:pt>
                <c:pt idx="336">
                  <c:v>127294.75258514851</c:v>
                </c:pt>
                <c:pt idx="337">
                  <c:v>127367.8012388465</c:v>
                </c:pt>
                <c:pt idx="338">
                  <c:v>127440.63535874458</c:v>
                </c:pt>
                <c:pt idx="339">
                  <c:v>127513.25620126598</c:v>
                </c:pt>
                <c:pt idx="340">
                  <c:v>127585.66501182868</c:v>
                </c:pt>
                <c:pt idx="341">
                  <c:v>127657.86302497363</c:v>
                </c:pt>
                <c:pt idx="342">
                  <c:v>127729.85146449109</c:v>
                </c:pt>
                <c:pt idx="343">
                  <c:v>127801.63154354492</c:v>
                </c:pt>
                <c:pt idx="344">
                  <c:v>127873.20446479546</c:v>
                </c:pt>
                <c:pt idx="345">
                  <c:v>127944.57142052033</c:v>
                </c:pt>
                <c:pt idx="346">
                  <c:v>128015.73359273354</c:v>
                </c:pt>
                <c:pt idx="347">
                  <c:v>128086.69215330316</c:v>
                </c:pt>
                <c:pt idx="348">
                  <c:v>128157.44826406684</c:v>
                </c:pt>
                <c:pt idx="349">
                  <c:v>128228.00307694616</c:v>
                </c:pt>
                <c:pt idx="350">
                  <c:v>128298.35773405911</c:v>
                </c:pt>
                <c:pt idx="351">
                  <c:v>128368.51336783095</c:v>
                </c:pt>
                <c:pt idx="352">
                  <c:v>128438.47110110367</c:v>
                </c:pt>
                <c:pt idx="353">
                  <c:v>128508.23204724371</c:v>
                </c:pt>
                <c:pt idx="354">
                  <c:v>128577.7973102484</c:v>
                </c:pt>
                <c:pt idx="355">
                  <c:v>128647.16798485072</c:v>
                </c:pt>
                <c:pt idx="356">
                  <c:v>128716.34515662266</c:v>
                </c:pt>
                <c:pt idx="357">
                  <c:v>128785.32990207722</c:v>
                </c:pt>
                <c:pt idx="358">
                  <c:v>128854.12328876881</c:v>
                </c:pt>
                <c:pt idx="359">
                  <c:v>128922.72637539249</c:v>
                </c:pt>
              </c:numCache>
            </c:numRef>
          </c:yVal>
        </c:ser>
        <c:axId val="226659328"/>
        <c:axId val="233421056"/>
      </c:scatterChart>
      <c:valAx>
        <c:axId val="226659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0.0" sourceLinked="1"/>
        <c:tickLblPos val="nextTo"/>
        <c:crossAx val="233421056"/>
        <c:crosses val="autoZero"/>
        <c:crossBetween val="midCat"/>
      </c:valAx>
      <c:valAx>
        <c:axId val="233421056"/>
        <c:scaling>
          <c:orientation val="minMax"/>
          <c:max val="300000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</a:t>
                </a:r>
                <a:r>
                  <a:rPr lang="en-US" baseline="0"/>
                  <a:t> Production</a:t>
                </a:r>
                <a:endParaRPr lang="en-US"/>
              </a:p>
            </c:rich>
          </c:tx>
          <c:layout/>
        </c:title>
        <c:numFmt formatCode="0.0" sourceLinked="1"/>
        <c:tickLblPos val="nextTo"/>
        <c:crossAx val="2266593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079031053108294"/>
          <c:y val="4.3868596493581394E-2"/>
          <c:w val="0.2729964233060288"/>
          <c:h val="0.20229829634932006"/>
        </c:manualLayout>
      </c:layout>
    </c:legend>
    <c:plotVisOnly val="1"/>
  </c:chart>
  <c:txPr>
    <a:bodyPr/>
    <a:lstStyle/>
    <a:p>
      <a:pPr>
        <a:defRPr sz="1400"/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'NDIC Typical yearly'!$B$2</c:f>
              <c:strCache>
                <c:ptCount val="1"/>
                <c:pt idx="0">
                  <c:v>Typical</c:v>
                </c:pt>
              </c:strCache>
            </c:strRef>
          </c:tx>
          <c:marker>
            <c:symbol val="square"/>
            <c:size val="5"/>
            <c:spPr>
              <a:solidFill>
                <a:sysClr val="window" lastClr="FFFFFF"/>
              </a:solidFill>
            </c:spPr>
          </c:marker>
          <c:xVal>
            <c:numRef>
              <c:f>'NDIC Typical yearly'!$A$3:$A$13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'NDIC Typical yearly'!$B$3:$B$13</c:f>
              <c:numCache>
                <c:formatCode>General</c:formatCode>
                <c:ptCount val="11"/>
                <c:pt idx="1">
                  <c:v>65</c:v>
                </c:pt>
                <c:pt idx="2">
                  <c:v>35</c:v>
                </c:pt>
                <c:pt idx="3">
                  <c:v>14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'NDIC Typical yearly'!$C$2</c:f>
              <c:strCache>
                <c:ptCount val="1"/>
                <c:pt idx="0">
                  <c:v>O-U</c:v>
                </c:pt>
              </c:strCache>
            </c:strRef>
          </c:tx>
          <c:marker>
            <c:spPr>
              <a:solidFill>
                <a:sysClr val="window" lastClr="FFFFFF"/>
              </a:solidFill>
            </c:spPr>
          </c:marker>
          <c:xVal>
            <c:numRef>
              <c:f>'NDIC Typical yearly'!$A$3:$A$13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'NDIC Typical yearly'!$C$3:$C$13</c:f>
              <c:numCache>
                <c:formatCode>General</c:formatCode>
                <c:ptCount val="11"/>
                <c:pt idx="1">
                  <c:v>62.015861594264265</c:v>
                </c:pt>
                <c:pt idx="2">
                  <c:v>26.585396903290793</c:v>
                </c:pt>
                <c:pt idx="3">
                  <c:v>18.610270263018347</c:v>
                </c:pt>
                <c:pt idx="4">
                  <c:v>14.5143048602013</c:v>
                </c:pt>
                <c:pt idx="5">
                  <c:v>11.98301049989594</c:v>
                </c:pt>
                <c:pt idx="6">
                  <c:v>10.252375004821236</c:v>
                </c:pt>
                <c:pt idx="7">
                  <c:v>8.9895908746779547</c:v>
                </c:pt>
                <c:pt idx="8">
                  <c:v>8.0250400515665898</c:v>
                </c:pt>
                <c:pt idx="9">
                  <c:v>7.2627731621350389</c:v>
                </c:pt>
                <c:pt idx="10">
                  <c:v>6.6442739567389992</c:v>
                </c:pt>
              </c:numCache>
            </c:numRef>
          </c:yVal>
          <c:smooth val="1"/>
        </c:ser>
        <c:axId val="234448384"/>
        <c:axId val="234450304"/>
      </c:scatterChart>
      <c:valAx>
        <c:axId val="234448384"/>
        <c:scaling>
          <c:orientation val="minMax"/>
        </c:scaling>
        <c:axPos val="b"/>
        <c:numFmt formatCode="General" sourceLinked="1"/>
        <c:tickLblPos val="nextTo"/>
        <c:crossAx val="234450304"/>
        <c:crosses val="autoZero"/>
        <c:crossBetween val="midCat"/>
      </c:valAx>
      <c:valAx>
        <c:axId val="234450304"/>
        <c:scaling>
          <c:orientation val="minMax"/>
        </c:scaling>
        <c:axPos val="l"/>
        <c:numFmt formatCode="General" sourceLinked="1"/>
        <c:tickLblPos val="nextTo"/>
        <c:crossAx val="2344483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9370822397200361"/>
          <c:y val="0.15239391951006126"/>
          <c:w val="0.16184733158355208"/>
          <c:h val="0.1674343832020998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3276602451999681"/>
          <c:y val="3.1698842783838325E-2"/>
          <c:w val="0.68640194900358931"/>
          <c:h val="0.81112298864140908"/>
        </c:manualLayout>
      </c:layout>
      <c:scatterChart>
        <c:scatterStyle val="lineMarker"/>
        <c:ser>
          <c:idx val="0"/>
          <c:order val="0"/>
          <c:tx>
            <c:strRef>
              <c:f>'NDIC Typical cumulative'!$B$3</c:f>
              <c:strCache>
                <c:ptCount val="1"/>
                <c:pt idx="0">
                  <c:v>NDIC Typical</c:v>
                </c:pt>
              </c:strCache>
            </c:strRef>
          </c:tx>
          <c:marker>
            <c:symbol val="square"/>
            <c:size val="7"/>
            <c:spPr>
              <a:solidFill>
                <a:sysClr val="window" lastClr="FFFFFF"/>
              </a:solidFill>
            </c:spPr>
          </c:marker>
          <c:xVal>
            <c:numRef>
              <c:f>'NDIC Typical cumulative'!$A$4:$A$301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60</c:v>
                </c:pt>
                <c:pt idx="51">
                  <c:v>70</c:v>
                </c:pt>
                <c:pt idx="52">
                  <c:v>80</c:v>
                </c:pt>
                <c:pt idx="53">
                  <c:v>90</c:v>
                </c:pt>
                <c:pt idx="54">
                  <c:v>100</c:v>
                </c:pt>
                <c:pt idx="55">
                  <c:v>110</c:v>
                </c:pt>
                <c:pt idx="56">
                  <c:v>120</c:v>
                </c:pt>
                <c:pt idx="57">
                  <c:v>130</c:v>
                </c:pt>
                <c:pt idx="58">
                  <c:v>140</c:v>
                </c:pt>
                <c:pt idx="59">
                  <c:v>150</c:v>
                </c:pt>
                <c:pt idx="60">
                  <c:v>160</c:v>
                </c:pt>
                <c:pt idx="61">
                  <c:v>170</c:v>
                </c:pt>
                <c:pt idx="62">
                  <c:v>180</c:v>
                </c:pt>
                <c:pt idx="63">
                  <c:v>190</c:v>
                </c:pt>
                <c:pt idx="64">
                  <c:v>200</c:v>
                </c:pt>
                <c:pt idx="65">
                  <c:v>210</c:v>
                </c:pt>
                <c:pt idx="66">
                  <c:v>220</c:v>
                </c:pt>
                <c:pt idx="67">
                  <c:v>230</c:v>
                </c:pt>
                <c:pt idx="68">
                  <c:v>240</c:v>
                </c:pt>
                <c:pt idx="69">
                  <c:v>250</c:v>
                </c:pt>
                <c:pt idx="70">
                  <c:v>260</c:v>
                </c:pt>
                <c:pt idx="71">
                  <c:v>270</c:v>
                </c:pt>
                <c:pt idx="72">
                  <c:v>280</c:v>
                </c:pt>
                <c:pt idx="73">
                  <c:v>290</c:v>
                </c:pt>
                <c:pt idx="74">
                  <c:v>300</c:v>
                </c:pt>
                <c:pt idx="75">
                  <c:v>310</c:v>
                </c:pt>
                <c:pt idx="76">
                  <c:v>320</c:v>
                </c:pt>
                <c:pt idx="77">
                  <c:v>330</c:v>
                </c:pt>
                <c:pt idx="78">
                  <c:v>340</c:v>
                </c:pt>
                <c:pt idx="79">
                  <c:v>350</c:v>
                </c:pt>
                <c:pt idx="80">
                  <c:v>360</c:v>
                </c:pt>
                <c:pt idx="81">
                  <c:v>370</c:v>
                </c:pt>
                <c:pt idx="82">
                  <c:v>380</c:v>
                </c:pt>
                <c:pt idx="83">
                  <c:v>390</c:v>
                </c:pt>
                <c:pt idx="84">
                  <c:v>400</c:v>
                </c:pt>
                <c:pt idx="85">
                  <c:v>410</c:v>
                </c:pt>
                <c:pt idx="86">
                  <c:v>420</c:v>
                </c:pt>
                <c:pt idx="87">
                  <c:v>430</c:v>
                </c:pt>
                <c:pt idx="88">
                  <c:v>440</c:v>
                </c:pt>
                <c:pt idx="89">
                  <c:v>450</c:v>
                </c:pt>
                <c:pt idx="90">
                  <c:v>460</c:v>
                </c:pt>
                <c:pt idx="91">
                  <c:v>470</c:v>
                </c:pt>
                <c:pt idx="92">
                  <c:v>480</c:v>
                </c:pt>
                <c:pt idx="93">
                  <c:v>490</c:v>
                </c:pt>
                <c:pt idx="94">
                  <c:v>500</c:v>
                </c:pt>
                <c:pt idx="95">
                  <c:v>510</c:v>
                </c:pt>
                <c:pt idx="96">
                  <c:v>520</c:v>
                </c:pt>
                <c:pt idx="97">
                  <c:v>530</c:v>
                </c:pt>
                <c:pt idx="98">
                  <c:v>540</c:v>
                </c:pt>
                <c:pt idx="99">
                  <c:v>550</c:v>
                </c:pt>
                <c:pt idx="100">
                  <c:v>560</c:v>
                </c:pt>
                <c:pt idx="101">
                  <c:v>570</c:v>
                </c:pt>
                <c:pt idx="102">
                  <c:v>580</c:v>
                </c:pt>
                <c:pt idx="103">
                  <c:v>590</c:v>
                </c:pt>
                <c:pt idx="104">
                  <c:v>600</c:v>
                </c:pt>
                <c:pt idx="105">
                  <c:v>610</c:v>
                </c:pt>
                <c:pt idx="106">
                  <c:v>620</c:v>
                </c:pt>
                <c:pt idx="107">
                  <c:v>630</c:v>
                </c:pt>
                <c:pt idx="108">
                  <c:v>640</c:v>
                </c:pt>
                <c:pt idx="109">
                  <c:v>650</c:v>
                </c:pt>
                <c:pt idx="110">
                  <c:v>660</c:v>
                </c:pt>
                <c:pt idx="111">
                  <c:v>670</c:v>
                </c:pt>
                <c:pt idx="112">
                  <c:v>680</c:v>
                </c:pt>
                <c:pt idx="113">
                  <c:v>690</c:v>
                </c:pt>
                <c:pt idx="114">
                  <c:v>700</c:v>
                </c:pt>
                <c:pt idx="115">
                  <c:v>710</c:v>
                </c:pt>
                <c:pt idx="116">
                  <c:v>720</c:v>
                </c:pt>
                <c:pt idx="117">
                  <c:v>730</c:v>
                </c:pt>
                <c:pt idx="118">
                  <c:v>740</c:v>
                </c:pt>
                <c:pt idx="119">
                  <c:v>750</c:v>
                </c:pt>
                <c:pt idx="120">
                  <c:v>760</c:v>
                </c:pt>
                <c:pt idx="121">
                  <c:v>770</c:v>
                </c:pt>
                <c:pt idx="122">
                  <c:v>780</c:v>
                </c:pt>
                <c:pt idx="123">
                  <c:v>790</c:v>
                </c:pt>
                <c:pt idx="124">
                  <c:v>800</c:v>
                </c:pt>
                <c:pt idx="125">
                  <c:v>810</c:v>
                </c:pt>
                <c:pt idx="126">
                  <c:v>820</c:v>
                </c:pt>
                <c:pt idx="127">
                  <c:v>830</c:v>
                </c:pt>
                <c:pt idx="128">
                  <c:v>840</c:v>
                </c:pt>
                <c:pt idx="129">
                  <c:v>850</c:v>
                </c:pt>
                <c:pt idx="130">
                  <c:v>860</c:v>
                </c:pt>
                <c:pt idx="131">
                  <c:v>870</c:v>
                </c:pt>
                <c:pt idx="132">
                  <c:v>880</c:v>
                </c:pt>
                <c:pt idx="133">
                  <c:v>890</c:v>
                </c:pt>
                <c:pt idx="134">
                  <c:v>900</c:v>
                </c:pt>
                <c:pt idx="135">
                  <c:v>910</c:v>
                </c:pt>
                <c:pt idx="136">
                  <c:v>920</c:v>
                </c:pt>
                <c:pt idx="137">
                  <c:v>930</c:v>
                </c:pt>
                <c:pt idx="138">
                  <c:v>940</c:v>
                </c:pt>
                <c:pt idx="139">
                  <c:v>950</c:v>
                </c:pt>
                <c:pt idx="140">
                  <c:v>960</c:v>
                </c:pt>
                <c:pt idx="141">
                  <c:v>970</c:v>
                </c:pt>
                <c:pt idx="142">
                  <c:v>980</c:v>
                </c:pt>
                <c:pt idx="143">
                  <c:v>990</c:v>
                </c:pt>
                <c:pt idx="144">
                  <c:v>1000</c:v>
                </c:pt>
                <c:pt idx="145">
                  <c:v>1010</c:v>
                </c:pt>
                <c:pt idx="146">
                  <c:v>1020</c:v>
                </c:pt>
                <c:pt idx="147">
                  <c:v>1030</c:v>
                </c:pt>
                <c:pt idx="148">
                  <c:v>1040</c:v>
                </c:pt>
                <c:pt idx="149">
                  <c:v>1050</c:v>
                </c:pt>
                <c:pt idx="150">
                  <c:v>1060</c:v>
                </c:pt>
                <c:pt idx="151">
                  <c:v>1070</c:v>
                </c:pt>
                <c:pt idx="152">
                  <c:v>1080</c:v>
                </c:pt>
                <c:pt idx="153">
                  <c:v>1090</c:v>
                </c:pt>
                <c:pt idx="154">
                  <c:v>1100</c:v>
                </c:pt>
                <c:pt idx="155">
                  <c:v>1110</c:v>
                </c:pt>
                <c:pt idx="156">
                  <c:v>1120</c:v>
                </c:pt>
                <c:pt idx="157">
                  <c:v>1130</c:v>
                </c:pt>
                <c:pt idx="158">
                  <c:v>1140</c:v>
                </c:pt>
                <c:pt idx="159">
                  <c:v>1150</c:v>
                </c:pt>
                <c:pt idx="160">
                  <c:v>1160</c:v>
                </c:pt>
                <c:pt idx="161">
                  <c:v>1170</c:v>
                </c:pt>
                <c:pt idx="162">
                  <c:v>1180</c:v>
                </c:pt>
                <c:pt idx="163">
                  <c:v>1190</c:v>
                </c:pt>
                <c:pt idx="164">
                  <c:v>1200</c:v>
                </c:pt>
                <c:pt idx="165">
                  <c:v>1210</c:v>
                </c:pt>
                <c:pt idx="166">
                  <c:v>1220</c:v>
                </c:pt>
                <c:pt idx="167">
                  <c:v>1230</c:v>
                </c:pt>
                <c:pt idx="168">
                  <c:v>1240</c:v>
                </c:pt>
                <c:pt idx="169">
                  <c:v>1250</c:v>
                </c:pt>
                <c:pt idx="170">
                  <c:v>1260</c:v>
                </c:pt>
                <c:pt idx="171">
                  <c:v>1270</c:v>
                </c:pt>
                <c:pt idx="172">
                  <c:v>1280</c:v>
                </c:pt>
                <c:pt idx="173">
                  <c:v>1290</c:v>
                </c:pt>
                <c:pt idx="174">
                  <c:v>1300</c:v>
                </c:pt>
                <c:pt idx="175">
                  <c:v>1310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1360</c:v>
                </c:pt>
                <c:pt idx="181">
                  <c:v>1370</c:v>
                </c:pt>
                <c:pt idx="182">
                  <c:v>1380</c:v>
                </c:pt>
                <c:pt idx="183">
                  <c:v>1390</c:v>
                </c:pt>
                <c:pt idx="184">
                  <c:v>1400</c:v>
                </c:pt>
                <c:pt idx="185">
                  <c:v>1410</c:v>
                </c:pt>
                <c:pt idx="186">
                  <c:v>1420</c:v>
                </c:pt>
                <c:pt idx="187">
                  <c:v>1430</c:v>
                </c:pt>
                <c:pt idx="188">
                  <c:v>1440</c:v>
                </c:pt>
                <c:pt idx="189">
                  <c:v>1450</c:v>
                </c:pt>
                <c:pt idx="190">
                  <c:v>1460</c:v>
                </c:pt>
                <c:pt idx="191">
                  <c:v>1470</c:v>
                </c:pt>
                <c:pt idx="192">
                  <c:v>1480</c:v>
                </c:pt>
                <c:pt idx="193">
                  <c:v>1490</c:v>
                </c:pt>
                <c:pt idx="194">
                  <c:v>1500</c:v>
                </c:pt>
                <c:pt idx="195">
                  <c:v>1510</c:v>
                </c:pt>
                <c:pt idx="196">
                  <c:v>1520</c:v>
                </c:pt>
                <c:pt idx="197">
                  <c:v>1530</c:v>
                </c:pt>
                <c:pt idx="198">
                  <c:v>1540</c:v>
                </c:pt>
                <c:pt idx="199">
                  <c:v>1550</c:v>
                </c:pt>
                <c:pt idx="200">
                  <c:v>1560</c:v>
                </c:pt>
                <c:pt idx="201">
                  <c:v>1570</c:v>
                </c:pt>
                <c:pt idx="202">
                  <c:v>1580</c:v>
                </c:pt>
                <c:pt idx="203">
                  <c:v>1590</c:v>
                </c:pt>
                <c:pt idx="204">
                  <c:v>1600</c:v>
                </c:pt>
                <c:pt idx="205">
                  <c:v>1610</c:v>
                </c:pt>
                <c:pt idx="206">
                  <c:v>1620</c:v>
                </c:pt>
                <c:pt idx="207">
                  <c:v>1630</c:v>
                </c:pt>
                <c:pt idx="208">
                  <c:v>1640</c:v>
                </c:pt>
                <c:pt idx="209">
                  <c:v>1650</c:v>
                </c:pt>
                <c:pt idx="210">
                  <c:v>1660</c:v>
                </c:pt>
                <c:pt idx="211">
                  <c:v>1670</c:v>
                </c:pt>
                <c:pt idx="212">
                  <c:v>1680</c:v>
                </c:pt>
                <c:pt idx="213">
                  <c:v>1690</c:v>
                </c:pt>
                <c:pt idx="214">
                  <c:v>1700</c:v>
                </c:pt>
                <c:pt idx="215">
                  <c:v>1710</c:v>
                </c:pt>
                <c:pt idx="216">
                  <c:v>1720</c:v>
                </c:pt>
                <c:pt idx="217">
                  <c:v>1730</c:v>
                </c:pt>
                <c:pt idx="218">
                  <c:v>1740</c:v>
                </c:pt>
                <c:pt idx="219">
                  <c:v>1750</c:v>
                </c:pt>
                <c:pt idx="220">
                  <c:v>1760</c:v>
                </c:pt>
                <c:pt idx="221">
                  <c:v>1770</c:v>
                </c:pt>
                <c:pt idx="222">
                  <c:v>1780</c:v>
                </c:pt>
                <c:pt idx="223">
                  <c:v>1790</c:v>
                </c:pt>
                <c:pt idx="224">
                  <c:v>1800</c:v>
                </c:pt>
                <c:pt idx="225">
                  <c:v>1810</c:v>
                </c:pt>
                <c:pt idx="226">
                  <c:v>1820</c:v>
                </c:pt>
                <c:pt idx="227">
                  <c:v>1830</c:v>
                </c:pt>
                <c:pt idx="228">
                  <c:v>1840</c:v>
                </c:pt>
                <c:pt idx="229">
                  <c:v>1850</c:v>
                </c:pt>
                <c:pt idx="230">
                  <c:v>1860</c:v>
                </c:pt>
                <c:pt idx="231">
                  <c:v>1870</c:v>
                </c:pt>
                <c:pt idx="232">
                  <c:v>1880</c:v>
                </c:pt>
                <c:pt idx="233">
                  <c:v>1890</c:v>
                </c:pt>
                <c:pt idx="234">
                  <c:v>1900</c:v>
                </c:pt>
                <c:pt idx="235">
                  <c:v>1910</c:v>
                </c:pt>
                <c:pt idx="236">
                  <c:v>1920</c:v>
                </c:pt>
                <c:pt idx="237">
                  <c:v>1930</c:v>
                </c:pt>
                <c:pt idx="238">
                  <c:v>1940</c:v>
                </c:pt>
                <c:pt idx="239">
                  <c:v>1950</c:v>
                </c:pt>
                <c:pt idx="240">
                  <c:v>1960</c:v>
                </c:pt>
                <c:pt idx="241">
                  <c:v>1970</c:v>
                </c:pt>
                <c:pt idx="242">
                  <c:v>1980</c:v>
                </c:pt>
                <c:pt idx="243">
                  <c:v>1990</c:v>
                </c:pt>
                <c:pt idx="244">
                  <c:v>2000</c:v>
                </c:pt>
                <c:pt idx="245">
                  <c:v>2010</c:v>
                </c:pt>
                <c:pt idx="246">
                  <c:v>2020</c:v>
                </c:pt>
                <c:pt idx="247">
                  <c:v>2030</c:v>
                </c:pt>
                <c:pt idx="248">
                  <c:v>2040</c:v>
                </c:pt>
                <c:pt idx="249">
                  <c:v>2050</c:v>
                </c:pt>
                <c:pt idx="250">
                  <c:v>2060</c:v>
                </c:pt>
                <c:pt idx="251">
                  <c:v>2070</c:v>
                </c:pt>
                <c:pt idx="252">
                  <c:v>2080</c:v>
                </c:pt>
                <c:pt idx="253">
                  <c:v>2090</c:v>
                </c:pt>
                <c:pt idx="254">
                  <c:v>2100</c:v>
                </c:pt>
                <c:pt idx="255">
                  <c:v>2110</c:v>
                </c:pt>
                <c:pt idx="256">
                  <c:v>2120</c:v>
                </c:pt>
                <c:pt idx="257">
                  <c:v>2130</c:v>
                </c:pt>
                <c:pt idx="258">
                  <c:v>2140</c:v>
                </c:pt>
                <c:pt idx="259">
                  <c:v>2150</c:v>
                </c:pt>
                <c:pt idx="260">
                  <c:v>2160</c:v>
                </c:pt>
                <c:pt idx="261">
                  <c:v>2170</c:v>
                </c:pt>
                <c:pt idx="262">
                  <c:v>2180</c:v>
                </c:pt>
                <c:pt idx="263">
                  <c:v>2190</c:v>
                </c:pt>
                <c:pt idx="264">
                  <c:v>2200</c:v>
                </c:pt>
                <c:pt idx="265">
                  <c:v>2210</c:v>
                </c:pt>
                <c:pt idx="266">
                  <c:v>2220</c:v>
                </c:pt>
                <c:pt idx="267">
                  <c:v>2230</c:v>
                </c:pt>
                <c:pt idx="268">
                  <c:v>2240</c:v>
                </c:pt>
                <c:pt idx="269">
                  <c:v>2250</c:v>
                </c:pt>
                <c:pt idx="270">
                  <c:v>2260</c:v>
                </c:pt>
                <c:pt idx="271">
                  <c:v>2270</c:v>
                </c:pt>
                <c:pt idx="272">
                  <c:v>2280</c:v>
                </c:pt>
                <c:pt idx="273">
                  <c:v>2290</c:v>
                </c:pt>
                <c:pt idx="274">
                  <c:v>2300</c:v>
                </c:pt>
                <c:pt idx="275">
                  <c:v>2310</c:v>
                </c:pt>
                <c:pt idx="276">
                  <c:v>2320</c:v>
                </c:pt>
                <c:pt idx="277">
                  <c:v>2330</c:v>
                </c:pt>
                <c:pt idx="278">
                  <c:v>2340</c:v>
                </c:pt>
                <c:pt idx="279">
                  <c:v>2350</c:v>
                </c:pt>
                <c:pt idx="280">
                  <c:v>2360</c:v>
                </c:pt>
                <c:pt idx="281">
                  <c:v>2370</c:v>
                </c:pt>
                <c:pt idx="282">
                  <c:v>2380</c:v>
                </c:pt>
                <c:pt idx="283">
                  <c:v>2390</c:v>
                </c:pt>
                <c:pt idx="284">
                  <c:v>2400</c:v>
                </c:pt>
                <c:pt idx="285">
                  <c:v>2410</c:v>
                </c:pt>
                <c:pt idx="286">
                  <c:v>2420</c:v>
                </c:pt>
                <c:pt idx="287">
                  <c:v>2430</c:v>
                </c:pt>
                <c:pt idx="288">
                  <c:v>2440</c:v>
                </c:pt>
                <c:pt idx="289">
                  <c:v>2450</c:v>
                </c:pt>
                <c:pt idx="290">
                  <c:v>2460</c:v>
                </c:pt>
                <c:pt idx="291">
                  <c:v>2470</c:v>
                </c:pt>
                <c:pt idx="292">
                  <c:v>2480</c:v>
                </c:pt>
                <c:pt idx="293">
                  <c:v>2490</c:v>
                </c:pt>
                <c:pt idx="294">
                  <c:v>2500</c:v>
                </c:pt>
                <c:pt idx="295">
                  <c:v>2510</c:v>
                </c:pt>
                <c:pt idx="296">
                  <c:v>2520</c:v>
                </c:pt>
                <c:pt idx="297">
                  <c:v>2530</c:v>
                </c:pt>
              </c:numCache>
            </c:numRef>
          </c:xVal>
          <c:yVal>
            <c:numRef>
              <c:f>'NDIC Typical cumulative'!$B$4:$B$301</c:f>
              <c:numCache>
                <c:formatCode>General</c:formatCode>
                <c:ptCount val="298"/>
                <c:pt idx="0">
                  <c:v>336895</c:v>
                </c:pt>
                <c:pt idx="1">
                  <c:v>496035</c:v>
                </c:pt>
                <c:pt idx="2">
                  <c:v>551880</c:v>
                </c:pt>
                <c:pt idx="3">
                  <c:v>588015</c:v>
                </c:pt>
                <c:pt idx="4">
                  <c:v>618675</c:v>
                </c:pt>
                <c:pt idx="5">
                  <c:v>646415</c:v>
                </c:pt>
                <c:pt idx="6">
                  <c:v>671235</c:v>
                </c:pt>
                <c:pt idx="7">
                  <c:v>693865</c:v>
                </c:pt>
                <c:pt idx="8">
                  <c:v>713940</c:v>
                </c:pt>
                <c:pt idx="9">
                  <c:v>732190</c:v>
                </c:pt>
                <c:pt idx="10">
                  <c:v>748615</c:v>
                </c:pt>
                <c:pt idx="11">
                  <c:v>763215</c:v>
                </c:pt>
                <c:pt idx="12">
                  <c:v>776355</c:v>
                </c:pt>
                <c:pt idx="13">
                  <c:v>788400</c:v>
                </c:pt>
                <c:pt idx="14">
                  <c:v>798985</c:v>
                </c:pt>
                <c:pt idx="15">
                  <c:v>808475</c:v>
                </c:pt>
                <c:pt idx="16">
                  <c:v>817235</c:v>
                </c:pt>
                <c:pt idx="17">
                  <c:v>824900</c:v>
                </c:pt>
                <c:pt idx="18">
                  <c:v>831835</c:v>
                </c:pt>
                <c:pt idx="19">
                  <c:v>838040</c:v>
                </c:pt>
                <c:pt idx="20">
                  <c:v>843880</c:v>
                </c:pt>
                <c:pt idx="21">
                  <c:v>848990</c:v>
                </c:pt>
                <c:pt idx="22">
                  <c:v>853735</c:v>
                </c:pt>
                <c:pt idx="23">
                  <c:v>857750</c:v>
                </c:pt>
                <c:pt idx="24">
                  <c:v>861400</c:v>
                </c:pt>
                <c:pt idx="25">
                  <c:v>864685</c:v>
                </c:pt>
                <c:pt idx="26">
                  <c:v>867605</c:v>
                </c:pt>
                <c:pt idx="27">
                  <c:v>870160</c:v>
                </c:pt>
                <c:pt idx="28">
                  <c:v>872715</c:v>
                </c:pt>
              </c:numCache>
            </c:numRef>
          </c:yVal>
        </c:ser>
        <c:ser>
          <c:idx val="1"/>
          <c:order val="1"/>
          <c:tx>
            <c:strRef>
              <c:f>'NDIC Typical cumulative'!$C$3</c:f>
              <c:strCache>
                <c:ptCount val="1"/>
                <c:pt idx="0">
                  <c:v>Ornstein-Uhlenbeck Diffusion Process</c:v>
                </c:pt>
              </c:strCache>
            </c:strRef>
          </c:tx>
          <c:marker>
            <c:symbol val="none"/>
          </c:marker>
          <c:xVal>
            <c:numRef>
              <c:f>'NDIC Typical cumulative'!$A$4:$A$301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60</c:v>
                </c:pt>
                <c:pt idx="51">
                  <c:v>70</c:v>
                </c:pt>
                <c:pt idx="52">
                  <c:v>80</c:v>
                </c:pt>
                <c:pt idx="53">
                  <c:v>90</c:v>
                </c:pt>
                <c:pt idx="54">
                  <c:v>100</c:v>
                </c:pt>
                <c:pt idx="55">
                  <c:v>110</c:v>
                </c:pt>
                <c:pt idx="56">
                  <c:v>120</c:v>
                </c:pt>
                <c:pt idx="57">
                  <c:v>130</c:v>
                </c:pt>
                <c:pt idx="58">
                  <c:v>140</c:v>
                </c:pt>
                <c:pt idx="59">
                  <c:v>150</c:v>
                </c:pt>
                <c:pt idx="60">
                  <c:v>160</c:v>
                </c:pt>
                <c:pt idx="61">
                  <c:v>170</c:v>
                </c:pt>
                <c:pt idx="62">
                  <c:v>180</c:v>
                </c:pt>
                <c:pt idx="63">
                  <c:v>190</c:v>
                </c:pt>
                <c:pt idx="64">
                  <c:v>200</c:v>
                </c:pt>
                <c:pt idx="65">
                  <c:v>210</c:v>
                </c:pt>
                <c:pt idx="66">
                  <c:v>220</c:v>
                </c:pt>
                <c:pt idx="67">
                  <c:v>230</c:v>
                </c:pt>
                <c:pt idx="68">
                  <c:v>240</c:v>
                </c:pt>
                <c:pt idx="69">
                  <c:v>250</c:v>
                </c:pt>
                <c:pt idx="70">
                  <c:v>260</c:v>
                </c:pt>
                <c:pt idx="71">
                  <c:v>270</c:v>
                </c:pt>
                <c:pt idx="72">
                  <c:v>280</c:v>
                </c:pt>
                <c:pt idx="73">
                  <c:v>290</c:v>
                </c:pt>
                <c:pt idx="74">
                  <c:v>300</c:v>
                </c:pt>
                <c:pt idx="75">
                  <c:v>310</c:v>
                </c:pt>
                <c:pt idx="76">
                  <c:v>320</c:v>
                </c:pt>
                <c:pt idx="77">
                  <c:v>330</c:v>
                </c:pt>
                <c:pt idx="78">
                  <c:v>340</c:v>
                </c:pt>
                <c:pt idx="79">
                  <c:v>350</c:v>
                </c:pt>
                <c:pt idx="80">
                  <c:v>360</c:v>
                </c:pt>
                <c:pt idx="81">
                  <c:v>370</c:v>
                </c:pt>
                <c:pt idx="82">
                  <c:v>380</c:v>
                </c:pt>
                <c:pt idx="83">
                  <c:v>390</c:v>
                </c:pt>
                <c:pt idx="84">
                  <c:v>400</c:v>
                </c:pt>
                <c:pt idx="85">
                  <c:v>410</c:v>
                </c:pt>
                <c:pt idx="86">
                  <c:v>420</c:v>
                </c:pt>
                <c:pt idx="87">
                  <c:v>430</c:v>
                </c:pt>
                <c:pt idx="88">
                  <c:v>440</c:v>
                </c:pt>
                <c:pt idx="89">
                  <c:v>450</c:v>
                </c:pt>
                <c:pt idx="90">
                  <c:v>460</c:v>
                </c:pt>
                <c:pt idx="91">
                  <c:v>470</c:v>
                </c:pt>
                <c:pt idx="92">
                  <c:v>480</c:v>
                </c:pt>
                <c:pt idx="93">
                  <c:v>490</c:v>
                </c:pt>
                <c:pt idx="94">
                  <c:v>500</c:v>
                </c:pt>
                <c:pt idx="95">
                  <c:v>510</c:v>
                </c:pt>
                <c:pt idx="96">
                  <c:v>520</c:v>
                </c:pt>
                <c:pt idx="97">
                  <c:v>530</c:v>
                </c:pt>
                <c:pt idx="98">
                  <c:v>540</c:v>
                </c:pt>
                <c:pt idx="99">
                  <c:v>550</c:v>
                </c:pt>
                <c:pt idx="100">
                  <c:v>560</c:v>
                </c:pt>
                <c:pt idx="101">
                  <c:v>570</c:v>
                </c:pt>
                <c:pt idx="102">
                  <c:v>580</c:v>
                </c:pt>
                <c:pt idx="103">
                  <c:v>590</c:v>
                </c:pt>
                <c:pt idx="104">
                  <c:v>600</c:v>
                </c:pt>
                <c:pt idx="105">
                  <c:v>610</c:v>
                </c:pt>
                <c:pt idx="106">
                  <c:v>620</c:v>
                </c:pt>
                <c:pt idx="107">
                  <c:v>630</c:v>
                </c:pt>
                <c:pt idx="108">
                  <c:v>640</c:v>
                </c:pt>
                <c:pt idx="109">
                  <c:v>650</c:v>
                </c:pt>
                <c:pt idx="110">
                  <c:v>660</c:v>
                </c:pt>
                <c:pt idx="111">
                  <c:v>670</c:v>
                </c:pt>
                <c:pt idx="112">
                  <c:v>680</c:v>
                </c:pt>
                <c:pt idx="113">
                  <c:v>690</c:v>
                </c:pt>
                <c:pt idx="114">
                  <c:v>700</c:v>
                </c:pt>
                <c:pt idx="115">
                  <c:v>710</c:v>
                </c:pt>
                <c:pt idx="116">
                  <c:v>720</c:v>
                </c:pt>
                <c:pt idx="117">
                  <c:v>730</c:v>
                </c:pt>
                <c:pt idx="118">
                  <c:v>740</c:v>
                </c:pt>
                <c:pt idx="119">
                  <c:v>750</c:v>
                </c:pt>
                <c:pt idx="120">
                  <c:v>760</c:v>
                </c:pt>
                <c:pt idx="121">
                  <c:v>770</c:v>
                </c:pt>
                <c:pt idx="122">
                  <c:v>780</c:v>
                </c:pt>
                <c:pt idx="123">
                  <c:v>790</c:v>
                </c:pt>
                <c:pt idx="124">
                  <c:v>800</c:v>
                </c:pt>
                <c:pt idx="125">
                  <c:v>810</c:v>
                </c:pt>
                <c:pt idx="126">
                  <c:v>820</c:v>
                </c:pt>
                <c:pt idx="127">
                  <c:v>830</c:v>
                </c:pt>
                <c:pt idx="128">
                  <c:v>840</c:v>
                </c:pt>
                <c:pt idx="129">
                  <c:v>850</c:v>
                </c:pt>
                <c:pt idx="130">
                  <c:v>860</c:v>
                </c:pt>
                <c:pt idx="131">
                  <c:v>870</c:v>
                </c:pt>
                <c:pt idx="132">
                  <c:v>880</c:v>
                </c:pt>
                <c:pt idx="133">
                  <c:v>890</c:v>
                </c:pt>
                <c:pt idx="134">
                  <c:v>900</c:v>
                </c:pt>
                <c:pt idx="135">
                  <c:v>910</c:v>
                </c:pt>
                <c:pt idx="136">
                  <c:v>920</c:v>
                </c:pt>
                <c:pt idx="137">
                  <c:v>930</c:v>
                </c:pt>
                <c:pt idx="138">
                  <c:v>940</c:v>
                </c:pt>
                <c:pt idx="139">
                  <c:v>950</c:v>
                </c:pt>
                <c:pt idx="140">
                  <c:v>960</c:v>
                </c:pt>
                <c:pt idx="141">
                  <c:v>970</c:v>
                </c:pt>
                <c:pt idx="142">
                  <c:v>980</c:v>
                </c:pt>
                <c:pt idx="143">
                  <c:v>990</c:v>
                </c:pt>
                <c:pt idx="144">
                  <c:v>1000</c:v>
                </c:pt>
                <c:pt idx="145">
                  <c:v>1010</c:v>
                </c:pt>
                <c:pt idx="146">
                  <c:v>1020</c:v>
                </c:pt>
                <c:pt idx="147">
                  <c:v>1030</c:v>
                </c:pt>
                <c:pt idx="148">
                  <c:v>1040</c:v>
                </c:pt>
                <c:pt idx="149">
                  <c:v>1050</c:v>
                </c:pt>
                <c:pt idx="150">
                  <c:v>1060</c:v>
                </c:pt>
                <c:pt idx="151">
                  <c:v>1070</c:v>
                </c:pt>
                <c:pt idx="152">
                  <c:v>1080</c:v>
                </c:pt>
                <c:pt idx="153">
                  <c:v>1090</c:v>
                </c:pt>
                <c:pt idx="154">
                  <c:v>1100</c:v>
                </c:pt>
                <c:pt idx="155">
                  <c:v>1110</c:v>
                </c:pt>
                <c:pt idx="156">
                  <c:v>1120</c:v>
                </c:pt>
                <c:pt idx="157">
                  <c:v>1130</c:v>
                </c:pt>
                <c:pt idx="158">
                  <c:v>1140</c:v>
                </c:pt>
                <c:pt idx="159">
                  <c:v>1150</c:v>
                </c:pt>
                <c:pt idx="160">
                  <c:v>1160</c:v>
                </c:pt>
                <c:pt idx="161">
                  <c:v>1170</c:v>
                </c:pt>
                <c:pt idx="162">
                  <c:v>1180</c:v>
                </c:pt>
                <c:pt idx="163">
                  <c:v>1190</c:v>
                </c:pt>
                <c:pt idx="164">
                  <c:v>1200</c:v>
                </c:pt>
                <c:pt idx="165">
                  <c:v>1210</c:v>
                </c:pt>
                <c:pt idx="166">
                  <c:v>1220</c:v>
                </c:pt>
                <c:pt idx="167">
                  <c:v>1230</c:v>
                </c:pt>
                <c:pt idx="168">
                  <c:v>1240</c:v>
                </c:pt>
                <c:pt idx="169">
                  <c:v>1250</c:v>
                </c:pt>
                <c:pt idx="170">
                  <c:v>1260</c:v>
                </c:pt>
                <c:pt idx="171">
                  <c:v>1270</c:v>
                </c:pt>
                <c:pt idx="172">
                  <c:v>1280</c:v>
                </c:pt>
                <c:pt idx="173">
                  <c:v>1290</c:v>
                </c:pt>
                <c:pt idx="174">
                  <c:v>1300</c:v>
                </c:pt>
                <c:pt idx="175">
                  <c:v>1310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1360</c:v>
                </c:pt>
                <c:pt idx="181">
                  <c:v>1370</c:v>
                </c:pt>
                <c:pt idx="182">
                  <c:v>1380</c:v>
                </c:pt>
                <c:pt idx="183">
                  <c:v>1390</c:v>
                </c:pt>
                <c:pt idx="184">
                  <c:v>1400</c:v>
                </c:pt>
                <c:pt idx="185">
                  <c:v>1410</c:v>
                </c:pt>
                <c:pt idx="186">
                  <c:v>1420</c:v>
                </c:pt>
                <c:pt idx="187">
                  <c:v>1430</c:v>
                </c:pt>
                <c:pt idx="188">
                  <c:v>1440</c:v>
                </c:pt>
                <c:pt idx="189">
                  <c:v>1450</c:v>
                </c:pt>
                <c:pt idx="190">
                  <c:v>1460</c:v>
                </c:pt>
                <c:pt idx="191">
                  <c:v>1470</c:v>
                </c:pt>
                <c:pt idx="192">
                  <c:v>1480</c:v>
                </c:pt>
                <c:pt idx="193">
                  <c:v>1490</c:v>
                </c:pt>
                <c:pt idx="194">
                  <c:v>1500</c:v>
                </c:pt>
                <c:pt idx="195">
                  <c:v>1510</c:v>
                </c:pt>
                <c:pt idx="196">
                  <c:v>1520</c:v>
                </c:pt>
                <c:pt idx="197">
                  <c:v>1530</c:v>
                </c:pt>
                <c:pt idx="198">
                  <c:v>1540</c:v>
                </c:pt>
                <c:pt idx="199">
                  <c:v>1550</c:v>
                </c:pt>
                <c:pt idx="200">
                  <c:v>1560</c:v>
                </c:pt>
                <c:pt idx="201">
                  <c:v>1570</c:v>
                </c:pt>
                <c:pt idx="202">
                  <c:v>1580</c:v>
                </c:pt>
                <c:pt idx="203">
                  <c:v>1590</c:v>
                </c:pt>
                <c:pt idx="204">
                  <c:v>1600</c:v>
                </c:pt>
                <c:pt idx="205">
                  <c:v>1610</c:v>
                </c:pt>
                <c:pt idx="206">
                  <c:v>1620</c:v>
                </c:pt>
                <c:pt idx="207">
                  <c:v>1630</c:v>
                </c:pt>
                <c:pt idx="208">
                  <c:v>1640</c:v>
                </c:pt>
                <c:pt idx="209">
                  <c:v>1650</c:v>
                </c:pt>
                <c:pt idx="210">
                  <c:v>1660</c:v>
                </c:pt>
                <c:pt idx="211">
                  <c:v>1670</c:v>
                </c:pt>
                <c:pt idx="212">
                  <c:v>1680</c:v>
                </c:pt>
                <c:pt idx="213">
                  <c:v>1690</c:v>
                </c:pt>
                <c:pt idx="214">
                  <c:v>1700</c:v>
                </c:pt>
                <c:pt idx="215">
                  <c:v>1710</c:v>
                </c:pt>
                <c:pt idx="216">
                  <c:v>1720</c:v>
                </c:pt>
                <c:pt idx="217">
                  <c:v>1730</c:v>
                </c:pt>
                <c:pt idx="218">
                  <c:v>1740</c:v>
                </c:pt>
                <c:pt idx="219">
                  <c:v>1750</c:v>
                </c:pt>
                <c:pt idx="220">
                  <c:v>1760</c:v>
                </c:pt>
                <c:pt idx="221">
                  <c:v>1770</c:v>
                </c:pt>
                <c:pt idx="222">
                  <c:v>1780</c:v>
                </c:pt>
                <c:pt idx="223">
                  <c:v>1790</c:v>
                </c:pt>
                <c:pt idx="224">
                  <c:v>1800</c:v>
                </c:pt>
                <c:pt idx="225">
                  <c:v>1810</c:v>
                </c:pt>
                <c:pt idx="226">
                  <c:v>1820</c:v>
                </c:pt>
                <c:pt idx="227">
                  <c:v>1830</c:v>
                </c:pt>
                <c:pt idx="228">
                  <c:v>1840</c:v>
                </c:pt>
                <c:pt idx="229">
                  <c:v>1850</c:v>
                </c:pt>
                <c:pt idx="230">
                  <c:v>1860</c:v>
                </c:pt>
                <c:pt idx="231">
                  <c:v>1870</c:v>
                </c:pt>
                <c:pt idx="232">
                  <c:v>1880</c:v>
                </c:pt>
                <c:pt idx="233">
                  <c:v>1890</c:v>
                </c:pt>
                <c:pt idx="234">
                  <c:v>1900</c:v>
                </c:pt>
                <c:pt idx="235">
                  <c:v>1910</c:v>
                </c:pt>
                <c:pt idx="236">
                  <c:v>1920</c:v>
                </c:pt>
                <c:pt idx="237">
                  <c:v>1930</c:v>
                </c:pt>
                <c:pt idx="238">
                  <c:v>1940</c:v>
                </c:pt>
                <c:pt idx="239">
                  <c:v>1950</c:v>
                </c:pt>
                <c:pt idx="240">
                  <c:v>1960</c:v>
                </c:pt>
                <c:pt idx="241">
                  <c:v>1970</c:v>
                </c:pt>
                <c:pt idx="242">
                  <c:v>1980</c:v>
                </c:pt>
                <c:pt idx="243">
                  <c:v>1990</c:v>
                </c:pt>
                <c:pt idx="244">
                  <c:v>2000</c:v>
                </c:pt>
                <c:pt idx="245">
                  <c:v>2010</c:v>
                </c:pt>
                <c:pt idx="246">
                  <c:v>2020</c:v>
                </c:pt>
                <c:pt idx="247">
                  <c:v>2030</c:v>
                </c:pt>
                <c:pt idx="248">
                  <c:v>2040</c:v>
                </c:pt>
                <c:pt idx="249">
                  <c:v>2050</c:v>
                </c:pt>
                <c:pt idx="250">
                  <c:v>2060</c:v>
                </c:pt>
                <c:pt idx="251">
                  <c:v>2070</c:v>
                </c:pt>
                <c:pt idx="252">
                  <c:v>2080</c:v>
                </c:pt>
                <c:pt idx="253">
                  <c:v>2090</c:v>
                </c:pt>
                <c:pt idx="254">
                  <c:v>2100</c:v>
                </c:pt>
                <c:pt idx="255">
                  <c:v>2110</c:v>
                </c:pt>
                <c:pt idx="256">
                  <c:v>2120</c:v>
                </c:pt>
                <c:pt idx="257">
                  <c:v>2130</c:v>
                </c:pt>
                <c:pt idx="258">
                  <c:v>2140</c:v>
                </c:pt>
                <c:pt idx="259">
                  <c:v>2150</c:v>
                </c:pt>
                <c:pt idx="260">
                  <c:v>2160</c:v>
                </c:pt>
                <c:pt idx="261">
                  <c:v>2170</c:v>
                </c:pt>
                <c:pt idx="262">
                  <c:v>2180</c:v>
                </c:pt>
                <c:pt idx="263">
                  <c:v>2190</c:v>
                </c:pt>
                <c:pt idx="264">
                  <c:v>2200</c:v>
                </c:pt>
                <c:pt idx="265">
                  <c:v>2210</c:v>
                </c:pt>
                <c:pt idx="266">
                  <c:v>2220</c:v>
                </c:pt>
                <c:pt idx="267">
                  <c:v>2230</c:v>
                </c:pt>
                <c:pt idx="268">
                  <c:v>2240</c:v>
                </c:pt>
                <c:pt idx="269">
                  <c:v>2250</c:v>
                </c:pt>
                <c:pt idx="270">
                  <c:v>2260</c:v>
                </c:pt>
                <c:pt idx="271">
                  <c:v>2270</c:v>
                </c:pt>
                <c:pt idx="272">
                  <c:v>2280</c:v>
                </c:pt>
                <c:pt idx="273">
                  <c:v>2290</c:v>
                </c:pt>
                <c:pt idx="274">
                  <c:v>2300</c:v>
                </c:pt>
                <c:pt idx="275">
                  <c:v>2310</c:v>
                </c:pt>
                <c:pt idx="276">
                  <c:v>2320</c:v>
                </c:pt>
                <c:pt idx="277">
                  <c:v>2330</c:v>
                </c:pt>
                <c:pt idx="278">
                  <c:v>2340</c:v>
                </c:pt>
                <c:pt idx="279">
                  <c:v>2350</c:v>
                </c:pt>
                <c:pt idx="280">
                  <c:v>2360</c:v>
                </c:pt>
                <c:pt idx="281">
                  <c:v>2370</c:v>
                </c:pt>
                <c:pt idx="282">
                  <c:v>2380</c:v>
                </c:pt>
                <c:pt idx="283">
                  <c:v>2390</c:v>
                </c:pt>
                <c:pt idx="284">
                  <c:v>2400</c:v>
                </c:pt>
                <c:pt idx="285">
                  <c:v>2410</c:v>
                </c:pt>
                <c:pt idx="286">
                  <c:v>2420</c:v>
                </c:pt>
                <c:pt idx="287">
                  <c:v>2430</c:v>
                </c:pt>
                <c:pt idx="288">
                  <c:v>2440</c:v>
                </c:pt>
                <c:pt idx="289">
                  <c:v>2450</c:v>
                </c:pt>
                <c:pt idx="290">
                  <c:v>2460</c:v>
                </c:pt>
                <c:pt idx="291">
                  <c:v>2470</c:v>
                </c:pt>
                <c:pt idx="292">
                  <c:v>2480</c:v>
                </c:pt>
                <c:pt idx="293">
                  <c:v>2490</c:v>
                </c:pt>
                <c:pt idx="294">
                  <c:v>2500</c:v>
                </c:pt>
                <c:pt idx="295">
                  <c:v>2510</c:v>
                </c:pt>
                <c:pt idx="296">
                  <c:v>2520</c:v>
                </c:pt>
                <c:pt idx="297">
                  <c:v>2530</c:v>
                </c:pt>
              </c:numCache>
            </c:numRef>
          </c:xVal>
          <c:yVal>
            <c:numRef>
              <c:f>'NDIC Typical cumulative'!$C$4:$C$301</c:f>
              <c:numCache>
                <c:formatCode>General</c:formatCode>
                <c:ptCount val="298"/>
                <c:pt idx="0">
                  <c:v>356249.58342917357</c:v>
                </c:pt>
                <c:pt idx="1">
                  <c:v>461130.62142674043</c:v>
                </c:pt>
                <c:pt idx="2">
                  <c:v>529071.36741494096</c:v>
                </c:pt>
                <c:pt idx="3">
                  <c:v>579147.90045680339</c:v>
                </c:pt>
                <c:pt idx="4">
                  <c:v>618463.5426793379</c:v>
                </c:pt>
                <c:pt idx="5">
                  <c:v>650534.83951448125</c:v>
                </c:pt>
                <c:pt idx="6">
                  <c:v>677383.23533679661</c:v>
                </c:pt>
                <c:pt idx="7">
                  <c:v>700285.56194205116</c:v>
                </c:pt>
                <c:pt idx="8">
                  <c:v>720102.88130553893</c:v>
                </c:pt>
                <c:pt idx="9">
                  <c:v>737444.63423719211</c:v>
                </c:pt>
                <c:pt idx="10">
                  <c:v>752758.55032019177</c:v>
                </c:pt>
                <c:pt idx="11">
                  <c:v>766383.46131047735</c:v>
                </c:pt>
                <c:pt idx="12">
                  <c:v>778582.06964273402</c:v>
                </c:pt>
                <c:pt idx="13">
                  <c:v>789562.1971614178</c:v>
                </c:pt>
                <c:pt idx="14">
                  <c:v>799491.07432536571</c:v>
                </c:pt>
                <c:pt idx="15">
                  <c:v>808505.2472895761</c:v>
                </c:pt>
                <c:pt idx="16">
                  <c:v>816717.62782912434</c:v>
                </c:pt>
                <c:pt idx="17">
                  <c:v>824222.62400696136</c:v>
                </c:pt>
                <c:pt idx="18">
                  <c:v>831099.94791021443</c:v>
                </c:pt>
                <c:pt idx="19">
                  <c:v>837417.49069289537</c:v>
                </c:pt>
                <c:pt idx="20">
                  <c:v>843233.52683465066</c:v>
                </c:pt>
                <c:pt idx="21">
                  <c:v>848598.42736881948</c:v>
                </c:pt>
                <c:pt idx="22">
                  <c:v>853556.00792752404</c:v>
                </c:pt>
                <c:pt idx="23">
                  <c:v>858144.6012979279</c:v>
                </c:pt>
                <c:pt idx="24">
                  <c:v>862397.91945370857</c:v>
                </c:pt>
                <c:pt idx="25">
                  <c:v>866345.7528058982</c:v>
                </c:pt>
                <c:pt idx="26">
                  <c:v>870014.54223142995</c:v>
                </c:pt>
                <c:pt idx="27">
                  <c:v>873427.85068623291</c:v>
                </c:pt>
                <c:pt idx="28">
                  <c:v>876606.75483917666</c:v>
                </c:pt>
                <c:pt idx="29">
                  <c:v>879570.17246783478</c:v>
                </c:pt>
                <c:pt idx="30">
                  <c:v>882335.13785652828</c:v>
                </c:pt>
                <c:pt idx="31">
                  <c:v>884917.0347995027</c:v>
                </c:pt>
                <c:pt idx="32">
                  <c:v>887329.79480502137</c:v>
                </c:pt>
                <c:pt idx="33">
                  <c:v>889586.06655481015</c:v>
                </c:pt>
                <c:pt idx="34">
                  <c:v>891697.36147940182</c:v>
                </c:pt>
                <c:pt idx="35">
                  <c:v>893674.17937777122</c:v>
                </c:pt>
                <c:pt idx="36">
                  <c:v>895526.11727632128</c:v>
                </c:pt>
                <c:pt idx="37">
                  <c:v>897261.96414132148</c:v>
                </c:pt>
                <c:pt idx="38">
                  <c:v>898889.78359555115</c:v>
                </c:pt>
                <c:pt idx="39">
                  <c:v>900416.98641805269</c:v>
                </c:pt>
                <c:pt idx="40">
                  <c:v>901850.39430571441</c:v>
                </c:pt>
                <c:pt idx="41">
                  <c:v>903196.29613168514</c:v>
                </c:pt>
                <c:pt idx="42">
                  <c:v>904460.49773673061</c:v>
                </c:pt>
                <c:pt idx="43">
                  <c:v>905648.36612649099</c:v>
                </c:pt>
                <c:pt idx="44">
                  <c:v>906764.86881313298</c:v>
                </c:pt>
                <c:pt idx="45">
                  <c:v>907814.60892855003</c:v>
                </c:pt>
                <c:pt idx="46">
                  <c:v>908801.85664370365</c:v>
                </c:pt>
                <c:pt idx="47">
                  <c:v>909730.57735138189</c:v>
                </c:pt>
                <c:pt idx="48">
                  <c:v>910604.45700486482</c:v>
                </c:pt>
                <c:pt idx="49">
                  <c:v>911426.92495045601</c:v>
                </c:pt>
                <c:pt idx="50">
                  <c:v>917431.00737484253</c:v>
                </c:pt>
                <c:pt idx="51">
                  <c:v>920760.67693662073</c:v>
                </c:pt>
                <c:pt idx="52">
                  <c:v>922624.11591355863</c:v>
                </c:pt>
                <c:pt idx="53">
                  <c:v>923672.25670286955</c:v>
                </c:pt>
                <c:pt idx="54">
                  <c:v>924263.47546978749</c:v>
                </c:pt>
                <c:pt idx="55">
                  <c:v>924597.48957531992</c:v>
                </c:pt>
                <c:pt idx="56">
                  <c:v>924786.36232837418</c:v>
                </c:pt>
                <c:pt idx="57">
                  <c:v>924893.2168513228</c:v>
                </c:pt>
                <c:pt idx="58">
                  <c:v>924953.68690884172</c:v>
                </c:pt>
                <c:pt idx="59">
                  <c:v>924987.91304935259</c:v>
                </c:pt>
                <c:pt idx="60">
                  <c:v>925007.28686356498</c:v>
                </c:pt>
                <c:pt idx="61">
                  <c:v>925018.25403863925</c:v>
                </c:pt>
                <c:pt idx="62">
                  <c:v>925024.46254494146</c:v>
                </c:pt>
                <c:pt idx="63">
                  <c:v>925027.97723204503</c:v>
                </c:pt>
                <c:pt idx="64">
                  <c:v>925029.96694432595</c:v>
                </c:pt>
                <c:pt idx="65">
                  <c:v>925031.09335354913</c:v>
                </c:pt>
                <c:pt idx="66">
                  <c:v>925031.73103446513</c:v>
                </c:pt>
                <c:pt idx="67">
                  <c:v>925032.09203793865</c:v>
                </c:pt>
                <c:pt idx="68">
                  <c:v>925032.29640916898</c:v>
                </c:pt>
                <c:pt idx="69">
                  <c:v>925032.41210784146</c:v>
                </c:pt>
                <c:pt idx="70">
                  <c:v>925032.47760721168</c:v>
                </c:pt>
                <c:pt idx="71">
                  <c:v>925032.51468774315</c:v>
                </c:pt>
                <c:pt idx="72">
                  <c:v>925032.53567979159</c:v>
                </c:pt>
                <c:pt idx="73">
                  <c:v>925032.54756382084</c:v>
                </c:pt>
                <c:pt idx="74">
                  <c:v>925032.55429161375</c:v>
                </c:pt>
                <c:pt idx="75">
                  <c:v>925032.55810035556</c:v>
                </c:pt>
                <c:pt idx="76">
                  <c:v>925032.56025656243</c:v>
                </c:pt>
                <c:pt idx="77">
                  <c:v>925032.56147723563</c:v>
                </c:pt>
                <c:pt idx="78">
                  <c:v>925032.56216828374</c:v>
                </c:pt>
                <c:pt idx="79">
                  <c:v>925032.56255950034</c:v>
                </c:pt>
                <c:pt idx="80">
                  <c:v>925032.56278097595</c:v>
                </c:pt>
                <c:pt idx="81">
                  <c:v>925032.56290635793</c:v>
                </c:pt>
                <c:pt idx="82">
                  <c:v>925032.56297733926</c:v>
                </c:pt>
                <c:pt idx="83">
                  <c:v>925032.56301752327</c:v>
                </c:pt>
                <c:pt idx="84">
                  <c:v>925032.56304027222</c:v>
                </c:pt>
                <c:pt idx="85">
                  <c:v>925032.56305315089</c:v>
                </c:pt>
                <c:pt idx="86">
                  <c:v>925032.56306044175</c:v>
                </c:pt>
                <c:pt idx="87">
                  <c:v>925032.56306456926</c:v>
                </c:pt>
                <c:pt idx="88">
                  <c:v>925032.56306690595</c:v>
                </c:pt>
                <c:pt idx="89">
                  <c:v>925032.56306822877</c:v>
                </c:pt>
                <c:pt idx="90">
                  <c:v>925032.56306897767</c:v>
                </c:pt>
                <c:pt idx="91">
                  <c:v>925032.56306940166</c:v>
                </c:pt>
                <c:pt idx="92">
                  <c:v>925032.56306964159</c:v>
                </c:pt>
                <c:pt idx="93">
                  <c:v>925032.56306977756</c:v>
                </c:pt>
                <c:pt idx="94">
                  <c:v>925032.56306985451</c:v>
                </c:pt>
                <c:pt idx="95">
                  <c:v>925032.56306989794</c:v>
                </c:pt>
                <c:pt idx="96">
                  <c:v>925032.56306992262</c:v>
                </c:pt>
                <c:pt idx="97">
                  <c:v>925032.56306993659</c:v>
                </c:pt>
                <c:pt idx="98">
                  <c:v>925032.5630699445</c:v>
                </c:pt>
                <c:pt idx="99">
                  <c:v>925032.56306994904</c:v>
                </c:pt>
                <c:pt idx="100">
                  <c:v>925032.56306995149</c:v>
                </c:pt>
                <c:pt idx="101">
                  <c:v>925032.563069953</c:v>
                </c:pt>
                <c:pt idx="102">
                  <c:v>925032.56306995358</c:v>
                </c:pt>
                <c:pt idx="103">
                  <c:v>925032.56306995417</c:v>
                </c:pt>
                <c:pt idx="104">
                  <c:v>925032.5630699544</c:v>
                </c:pt>
                <c:pt idx="105">
                  <c:v>925032.56306995463</c:v>
                </c:pt>
                <c:pt idx="106">
                  <c:v>925032.56306995463</c:v>
                </c:pt>
                <c:pt idx="107">
                  <c:v>925032.56306995463</c:v>
                </c:pt>
                <c:pt idx="108">
                  <c:v>925032.56306995486</c:v>
                </c:pt>
                <c:pt idx="109">
                  <c:v>925032.56306995486</c:v>
                </c:pt>
                <c:pt idx="110">
                  <c:v>925032.56306995486</c:v>
                </c:pt>
                <c:pt idx="111">
                  <c:v>925032.56306995486</c:v>
                </c:pt>
                <c:pt idx="112">
                  <c:v>925032.56306995486</c:v>
                </c:pt>
                <c:pt idx="113">
                  <c:v>925032.56306995486</c:v>
                </c:pt>
                <c:pt idx="114">
                  <c:v>925032.56306995486</c:v>
                </c:pt>
                <c:pt idx="115">
                  <c:v>925032.56306995486</c:v>
                </c:pt>
                <c:pt idx="116">
                  <c:v>925032.56306995486</c:v>
                </c:pt>
                <c:pt idx="117">
                  <c:v>925032.56306995486</c:v>
                </c:pt>
                <c:pt idx="118">
                  <c:v>925032.56306995486</c:v>
                </c:pt>
                <c:pt idx="119">
                  <c:v>925032.56306995486</c:v>
                </c:pt>
                <c:pt idx="120">
                  <c:v>925032.56306995486</c:v>
                </c:pt>
                <c:pt idx="121">
                  <c:v>925032.56306995486</c:v>
                </c:pt>
                <c:pt idx="122">
                  <c:v>925032.56306995486</c:v>
                </c:pt>
                <c:pt idx="123">
                  <c:v>925032.56306995486</c:v>
                </c:pt>
                <c:pt idx="124">
                  <c:v>925032.56306995486</c:v>
                </c:pt>
                <c:pt idx="125">
                  <c:v>925032.56306995486</c:v>
                </c:pt>
                <c:pt idx="126">
                  <c:v>925032.56306995486</c:v>
                </c:pt>
                <c:pt idx="127">
                  <c:v>925032.56306995486</c:v>
                </c:pt>
                <c:pt idx="128">
                  <c:v>925032.56306995486</c:v>
                </c:pt>
                <c:pt idx="129">
                  <c:v>925032.56306995486</c:v>
                </c:pt>
                <c:pt idx="130">
                  <c:v>925032.56306995486</c:v>
                </c:pt>
                <c:pt idx="131">
                  <c:v>925032.56306995486</c:v>
                </c:pt>
                <c:pt idx="132">
                  <c:v>925032.56306995486</c:v>
                </c:pt>
                <c:pt idx="133">
                  <c:v>925032.56306995486</c:v>
                </c:pt>
                <c:pt idx="134">
                  <c:v>925032.56306995486</c:v>
                </c:pt>
                <c:pt idx="135">
                  <c:v>925032.56306995486</c:v>
                </c:pt>
                <c:pt idx="136">
                  <c:v>925032.56306995486</c:v>
                </c:pt>
                <c:pt idx="137">
                  <c:v>925032.56306995486</c:v>
                </c:pt>
                <c:pt idx="138">
                  <c:v>925032.56306995486</c:v>
                </c:pt>
                <c:pt idx="139">
                  <c:v>925032.56306995486</c:v>
                </c:pt>
                <c:pt idx="140">
                  <c:v>925032.56306995486</c:v>
                </c:pt>
                <c:pt idx="141">
                  <c:v>925032.56306995486</c:v>
                </c:pt>
                <c:pt idx="142">
                  <c:v>925032.56306995486</c:v>
                </c:pt>
                <c:pt idx="143">
                  <c:v>925032.56306995486</c:v>
                </c:pt>
                <c:pt idx="144">
                  <c:v>925032.56306995486</c:v>
                </c:pt>
                <c:pt idx="145">
                  <c:v>925032.56306995486</c:v>
                </c:pt>
                <c:pt idx="146">
                  <c:v>925032.56306995486</c:v>
                </c:pt>
                <c:pt idx="147">
                  <c:v>925032.56306995486</c:v>
                </c:pt>
                <c:pt idx="148">
                  <c:v>925032.56306995486</c:v>
                </c:pt>
                <c:pt idx="149">
                  <c:v>925032.56306995486</c:v>
                </c:pt>
                <c:pt idx="150">
                  <c:v>925032.56306995486</c:v>
                </c:pt>
                <c:pt idx="151">
                  <c:v>925032.56306995486</c:v>
                </c:pt>
                <c:pt idx="152">
                  <c:v>925032.56306995486</c:v>
                </c:pt>
                <c:pt idx="153">
                  <c:v>925032.56306995486</c:v>
                </c:pt>
                <c:pt idx="154">
                  <c:v>925032.56306995486</c:v>
                </c:pt>
                <c:pt idx="155">
                  <c:v>925032.56306995486</c:v>
                </c:pt>
                <c:pt idx="156">
                  <c:v>925032.56306995486</c:v>
                </c:pt>
                <c:pt idx="157">
                  <c:v>925032.56306995486</c:v>
                </c:pt>
                <c:pt idx="158">
                  <c:v>925032.56306995486</c:v>
                </c:pt>
                <c:pt idx="159">
                  <c:v>925032.56306995486</c:v>
                </c:pt>
                <c:pt idx="160">
                  <c:v>925032.56306995486</c:v>
                </c:pt>
                <c:pt idx="161">
                  <c:v>925032.56306995486</c:v>
                </c:pt>
                <c:pt idx="162">
                  <c:v>925032.56306995486</c:v>
                </c:pt>
                <c:pt idx="163">
                  <c:v>925032.56306995486</c:v>
                </c:pt>
                <c:pt idx="164">
                  <c:v>925032.56306995486</c:v>
                </c:pt>
                <c:pt idx="165">
                  <c:v>925032.56306995486</c:v>
                </c:pt>
                <c:pt idx="166">
                  <c:v>925032.56306995486</c:v>
                </c:pt>
                <c:pt idx="167">
                  <c:v>925032.56306995486</c:v>
                </c:pt>
                <c:pt idx="168">
                  <c:v>925032.56306995486</c:v>
                </c:pt>
                <c:pt idx="169">
                  <c:v>925032.56306995486</c:v>
                </c:pt>
                <c:pt idx="170">
                  <c:v>925032.56306995486</c:v>
                </c:pt>
                <c:pt idx="171">
                  <c:v>925032.56306995486</c:v>
                </c:pt>
                <c:pt idx="172">
                  <c:v>925032.56306995486</c:v>
                </c:pt>
                <c:pt idx="173">
                  <c:v>925032.56306995486</c:v>
                </c:pt>
                <c:pt idx="174">
                  <c:v>925032.56306995486</c:v>
                </c:pt>
                <c:pt idx="175">
                  <c:v>925032.56306995486</c:v>
                </c:pt>
                <c:pt idx="176">
                  <c:v>925032.56306995486</c:v>
                </c:pt>
                <c:pt idx="177">
                  <c:v>925032.56306995486</c:v>
                </c:pt>
                <c:pt idx="178">
                  <c:v>925032.56306995486</c:v>
                </c:pt>
                <c:pt idx="179">
                  <c:v>925032.56306995486</c:v>
                </c:pt>
                <c:pt idx="180">
                  <c:v>925032.56306995486</c:v>
                </c:pt>
                <c:pt idx="181">
                  <c:v>925032.56306995486</c:v>
                </c:pt>
                <c:pt idx="182">
                  <c:v>925032.56306995486</c:v>
                </c:pt>
                <c:pt idx="183">
                  <c:v>925032.56306995486</c:v>
                </c:pt>
                <c:pt idx="184">
                  <c:v>925032.56306995486</c:v>
                </c:pt>
                <c:pt idx="185">
                  <c:v>925032.56306995486</c:v>
                </c:pt>
                <c:pt idx="186">
                  <c:v>925032.56306995486</c:v>
                </c:pt>
                <c:pt idx="187">
                  <c:v>925032.56306995486</c:v>
                </c:pt>
                <c:pt idx="188">
                  <c:v>925032.56306995486</c:v>
                </c:pt>
                <c:pt idx="189">
                  <c:v>925032.56306995486</c:v>
                </c:pt>
                <c:pt idx="190">
                  <c:v>925032.56306995486</c:v>
                </c:pt>
                <c:pt idx="191">
                  <c:v>925032.56306995486</c:v>
                </c:pt>
                <c:pt idx="192">
                  <c:v>925032.56306995486</c:v>
                </c:pt>
                <c:pt idx="193">
                  <c:v>925032.56306995486</c:v>
                </c:pt>
                <c:pt idx="194">
                  <c:v>925032.56306995486</c:v>
                </c:pt>
                <c:pt idx="195">
                  <c:v>925032.56306995486</c:v>
                </c:pt>
                <c:pt idx="196">
                  <c:v>925032.56306995486</c:v>
                </c:pt>
                <c:pt idx="197">
                  <c:v>925032.56306995486</c:v>
                </c:pt>
                <c:pt idx="198">
                  <c:v>925032.56306995486</c:v>
                </c:pt>
                <c:pt idx="199">
                  <c:v>925032.56306995486</c:v>
                </c:pt>
                <c:pt idx="200">
                  <c:v>925032.56306995486</c:v>
                </c:pt>
                <c:pt idx="201">
                  <c:v>925032.56306995486</c:v>
                </c:pt>
                <c:pt idx="202">
                  <c:v>925032.56306995486</c:v>
                </c:pt>
                <c:pt idx="203">
                  <c:v>925032.56306995486</c:v>
                </c:pt>
                <c:pt idx="204">
                  <c:v>925032.56306995486</c:v>
                </c:pt>
                <c:pt idx="205">
                  <c:v>925032.56306995486</c:v>
                </c:pt>
                <c:pt idx="206">
                  <c:v>925032.56306995486</c:v>
                </c:pt>
                <c:pt idx="207">
                  <c:v>925032.56306995486</c:v>
                </c:pt>
                <c:pt idx="208">
                  <c:v>925032.56306995486</c:v>
                </c:pt>
                <c:pt idx="209">
                  <c:v>925032.56306995486</c:v>
                </c:pt>
                <c:pt idx="210">
                  <c:v>925032.56306995486</c:v>
                </c:pt>
                <c:pt idx="211">
                  <c:v>925032.56306995486</c:v>
                </c:pt>
                <c:pt idx="212">
                  <c:v>925032.56306995486</c:v>
                </c:pt>
                <c:pt idx="213">
                  <c:v>925032.56306995486</c:v>
                </c:pt>
                <c:pt idx="214">
                  <c:v>925032.56306995486</c:v>
                </c:pt>
                <c:pt idx="215">
                  <c:v>925032.56306995486</c:v>
                </c:pt>
                <c:pt idx="216">
                  <c:v>925032.56306995486</c:v>
                </c:pt>
                <c:pt idx="217">
                  <c:v>925032.56306995486</c:v>
                </c:pt>
                <c:pt idx="218">
                  <c:v>925032.56306995486</c:v>
                </c:pt>
                <c:pt idx="219">
                  <c:v>925032.56306995486</c:v>
                </c:pt>
                <c:pt idx="220">
                  <c:v>925032.56306995486</c:v>
                </c:pt>
                <c:pt idx="221">
                  <c:v>925032.56306995486</c:v>
                </c:pt>
                <c:pt idx="222">
                  <c:v>925032.56306995486</c:v>
                </c:pt>
                <c:pt idx="223">
                  <c:v>925032.56306995486</c:v>
                </c:pt>
                <c:pt idx="224">
                  <c:v>925032.56306995486</c:v>
                </c:pt>
                <c:pt idx="225">
                  <c:v>925032.56306995486</c:v>
                </c:pt>
                <c:pt idx="226">
                  <c:v>925032.56306995486</c:v>
                </c:pt>
                <c:pt idx="227">
                  <c:v>925032.56306995486</c:v>
                </c:pt>
                <c:pt idx="228">
                  <c:v>925032.56306995486</c:v>
                </c:pt>
                <c:pt idx="229">
                  <c:v>925032.56306995486</c:v>
                </c:pt>
                <c:pt idx="230">
                  <c:v>925032.56306995486</c:v>
                </c:pt>
                <c:pt idx="231">
                  <c:v>925032.56306995486</c:v>
                </c:pt>
                <c:pt idx="232">
                  <c:v>925032.56306995486</c:v>
                </c:pt>
                <c:pt idx="233">
                  <c:v>925032.56306995486</c:v>
                </c:pt>
                <c:pt idx="234">
                  <c:v>925032.56306995486</c:v>
                </c:pt>
                <c:pt idx="235">
                  <c:v>925032.56306995486</c:v>
                </c:pt>
                <c:pt idx="236">
                  <c:v>925032.56306995486</c:v>
                </c:pt>
                <c:pt idx="237">
                  <c:v>925032.56306995486</c:v>
                </c:pt>
                <c:pt idx="238">
                  <c:v>925032.56306995486</c:v>
                </c:pt>
                <c:pt idx="239">
                  <c:v>925032.56306995486</c:v>
                </c:pt>
                <c:pt idx="240">
                  <c:v>925032.56306995486</c:v>
                </c:pt>
                <c:pt idx="241">
                  <c:v>925032.56306995486</c:v>
                </c:pt>
                <c:pt idx="242">
                  <c:v>925032.56306995486</c:v>
                </c:pt>
                <c:pt idx="243">
                  <c:v>925032.56306995486</c:v>
                </c:pt>
                <c:pt idx="244">
                  <c:v>925032.56306995486</c:v>
                </c:pt>
                <c:pt idx="245">
                  <c:v>925032.56306995486</c:v>
                </c:pt>
                <c:pt idx="246">
                  <c:v>925032.56306995486</c:v>
                </c:pt>
                <c:pt idx="247">
                  <c:v>925032.56306995486</c:v>
                </c:pt>
                <c:pt idx="248">
                  <c:v>925032.56306995486</c:v>
                </c:pt>
                <c:pt idx="249">
                  <c:v>925032.56306995486</c:v>
                </c:pt>
                <c:pt idx="250">
                  <c:v>925032.56306995486</c:v>
                </c:pt>
                <c:pt idx="251">
                  <c:v>925032.56306995486</c:v>
                </c:pt>
                <c:pt idx="252">
                  <c:v>925032.56306995486</c:v>
                </c:pt>
                <c:pt idx="253">
                  <c:v>925032.56306995486</c:v>
                </c:pt>
                <c:pt idx="254">
                  <c:v>925032.56306995486</c:v>
                </c:pt>
                <c:pt idx="255">
                  <c:v>925032.56306995486</c:v>
                </c:pt>
                <c:pt idx="256">
                  <c:v>925032.56306995486</c:v>
                </c:pt>
                <c:pt idx="257">
                  <c:v>925032.56306995486</c:v>
                </c:pt>
                <c:pt idx="258">
                  <c:v>925032.56306995486</c:v>
                </c:pt>
                <c:pt idx="259">
                  <c:v>925032.56306995486</c:v>
                </c:pt>
                <c:pt idx="260">
                  <c:v>925032.56306995486</c:v>
                </c:pt>
                <c:pt idx="261">
                  <c:v>925032.56306995486</c:v>
                </c:pt>
                <c:pt idx="262">
                  <c:v>925032.56306995486</c:v>
                </c:pt>
                <c:pt idx="263">
                  <c:v>925032.56306995486</c:v>
                </c:pt>
                <c:pt idx="264">
                  <c:v>925032.56306995486</c:v>
                </c:pt>
                <c:pt idx="265">
                  <c:v>925032.56306995486</c:v>
                </c:pt>
                <c:pt idx="266">
                  <c:v>925032.56306995486</c:v>
                </c:pt>
                <c:pt idx="267">
                  <c:v>925032.56306995486</c:v>
                </c:pt>
                <c:pt idx="268">
                  <c:v>925032.56306995486</c:v>
                </c:pt>
                <c:pt idx="269">
                  <c:v>925032.56306995486</c:v>
                </c:pt>
                <c:pt idx="270">
                  <c:v>925032.56306995486</c:v>
                </c:pt>
                <c:pt idx="271">
                  <c:v>925032.56306995486</c:v>
                </c:pt>
                <c:pt idx="272">
                  <c:v>925032.56306995486</c:v>
                </c:pt>
                <c:pt idx="273">
                  <c:v>925032.56306995486</c:v>
                </c:pt>
                <c:pt idx="274">
                  <c:v>925032.56306995486</c:v>
                </c:pt>
                <c:pt idx="275">
                  <c:v>925032.56306995486</c:v>
                </c:pt>
                <c:pt idx="276">
                  <c:v>925032.56306995486</c:v>
                </c:pt>
                <c:pt idx="277">
                  <c:v>925032.56306995486</c:v>
                </c:pt>
                <c:pt idx="278">
                  <c:v>925032.56306995486</c:v>
                </c:pt>
                <c:pt idx="279">
                  <c:v>925032.56306995486</c:v>
                </c:pt>
                <c:pt idx="280">
                  <c:v>925032.56306995486</c:v>
                </c:pt>
                <c:pt idx="281">
                  <c:v>925032.56306995486</c:v>
                </c:pt>
                <c:pt idx="282">
                  <c:v>925032.56306995486</c:v>
                </c:pt>
                <c:pt idx="283">
                  <c:v>925032.56306995486</c:v>
                </c:pt>
                <c:pt idx="284">
                  <c:v>925032.56306995486</c:v>
                </c:pt>
                <c:pt idx="285">
                  <c:v>925032.56306995486</c:v>
                </c:pt>
                <c:pt idx="286">
                  <c:v>925032.56306995486</c:v>
                </c:pt>
                <c:pt idx="287">
                  <c:v>925032.56306995486</c:v>
                </c:pt>
                <c:pt idx="288">
                  <c:v>925032.56306995486</c:v>
                </c:pt>
                <c:pt idx="289">
                  <c:v>925032.56306995486</c:v>
                </c:pt>
                <c:pt idx="290">
                  <c:v>925032.56306995486</c:v>
                </c:pt>
                <c:pt idx="291">
                  <c:v>925032.56306995486</c:v>
                </c:pt>
                <c:pt idx="292">
                  <c:v>925032.56306995486</c:v>
                </c:pt>
                <c:pt idx="293">
                  <c:v>925032.56306995486</c:v>
                </c:pt>
                <c:pt idx="294">
                  <c:v>925032.56306995486</c:v>
                </c:pt>
                <c:pt idx="295">
                  <c:v>925032.56306995486</c:v>
                </c:pt>
                <c:pt idx="296">
                  <c:v>925032.56306995486</c:v>
                </c:pt>
                <c:pt idx="297">
                  <c:v>925032.56306995486</c:v>
                </c:pt>
              </c:numCache>
            </c:numRef>
          </c:yVal>
        </c:ser>
        <c:ser>
          <c:idx val="2"/>
          <c:order val="2"/>
          <c:tx>
            <c:strRef>
              <c:f>'NDIC Typical cumulative'!$D$3</c:f>
              <c:strCache>
                <c:ptCount val="1"/>
                <c:pt idx="0">
                  <c:v>Dispersive Diffusion Process</c:v>
                </c:pt>
              </c:strCache>
            </c:strRef>
          </c:tx>
          <c:spPr>
            <a:ln>
              <a:solidFill>
                <a:srgbClr val="00B050"/>
              </a:solidFill>
              <a:prstDash val="sysDot"/>
            </a:ln>
          </c:spPr>
          <c:marker>
            <c:symbol val="none"/>
          </c:marker>
          <c:xVal>
            <c:numRef>
              <c:f>'NDIC Typical cumulative'!$A$4:$A$301</c:f>
              <c:numCache>
                <c:formatCode>General</c:formatCode>
                <c:ptCount val="2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60</c:v>
                </c:pt>
                <c:pt idx="51">
                  <c:v>70</c:v>
                </c:pt>
                <c:pt idx="52">
                  <c:v>80</c:v>
                </c:pt>
                <c:pt idx="53">
                  <c:v>90</c:v>
                </c:pt>
                <c:pt idx="54">
                  <c:v>100</c:v>
                </c:pt>
                <c:pt idx="55">
                  <c:v>110</c:v>
                </c:pt>
                <c:pt idx="56">
                  <c:v>120</c:v>
                </c:pt>
                <c:pt idx="57">
                  <c:v>130</c:v>
                </c:pt>
                <c:pt idx="58">
                  <c:v>140</c:v>
                </c:pt>
                <c:pt idx="59">
                  <c:v>150</c:v>
                </c:pt>
                <c:pt idx="60">
                  <c:v>160</c:v>
                </c:pt>
                <c:pt idx="61">
                  <c:v>170</c:v>
                </c:pt>
                <c:pt idx="62">
                  <c:v>180</c:v>
                </c:pt>
                <c:pt idx="63">
                  <c:v>190</c:v>
                </c:pt>
                <c:pt idx="64">
                  <c:v>200</c:v>
                </c:pt>
                <c:pt idx="65">
                  <c:v>210</c:v>
                </c:pt>
                <c:pt idx="66">
                  <c:v>220</c:v>
                </c:pt>
                <c:pt idx="67">
                  <c:v>230</c:v>
                </c:pt>
                <c:pt idx="68">
                  <c:v>240</c:v>
                </c:pt>
                <c:pt idx="69">
                  <c:v>250</c:v>
                </c:pt>
                <c:pt idx="70">
                  <c:v>260</c:v>
                </c:pt>
                <c:pt idx="71">
                  <c:v>270</c:v>
                </c:pt>
                <c:pt idx="72">
                  <c:v>280</c:v>
                </c:pt>
                <c:pt idx="73">
                  <c:v>290</c:v>
                </c:pt>
                <c:pt idx="74">
                  <c:v>300</c:v>
                </c:pt>
                <c:pt idx="75">
                  <c:v>310</c:v>
                </c:pt>
                <c:pt idx="76">
                  <c:v>320</c:v>
                </c:pt>
                <c:pt idx="77">
                  <c:v>330</c:v>
                </c:pt>
                <c:pt idx="78">
                  <c:v>340</c:v>
                </c:pt>
                <c:pt idx="79">
                  <c:v>350</c:v>
                </c:pt>
                <c:pt idx="80">
                  <c:v>360</c:v>
                </c:pt>
                <c:pt idx="81">
                  <c:v>370</c:v>
                </c:pt>
                <c:pt idx="82">
                  <c:v>380</c:v>
                </c:pt>
                <c:pt idx="83">
                  <c:v>390</c:v>
                </c:pt>
                <c:pt idx="84">
                  <c:v>400</c:v>
                </c:pt>
                <c:pt idx="85">
                  <c:v>410</c:v>
                </c:pt>
                <c:pt idx="86">
                  <c:v>420</c:v>
                </c:pt>
                <c:pt idx="87">
                  <c:v>430</c:v>
                </c:pt>
                <c:pt idx="88">
                  <c:v>440</c:v>
                </c:pt>
                <c:pt idx="89">
                  <c:v>450</c:v>
                </c:pt>
                <c:pt idx="90">
                  <c:v>460</c:v>
                </c:pt>
                <c:pt idx="91">
                  <c:v>470</c:v>
                </c:pt>
                <c:pt idx="92">
                  <c:v>480</c:v>
                </c:pt>
                <c:pt idx="93">
                  <c:v>490</c:v>
                </c:pt>
                <c:pt idx="94">
                  <c:v>500</c:v>
                </c:pt>
                <c:pt idx="95">
                  <c:v>510</c:v>
                </c:pt>
                <c:pt idx="96">
                  <c:v>520</c:v>
                </c:pt>
                <c:pt idx="97">
                  <c:v>530</c:v>
                </c:pt>
                <c:pt idx="98">
                  <c:v>540</c:v>
                </c:pt>
                <c:pt idx="99">
                  <c:v>550</c:v>
                </c:pt>
                <c:pt idx="100">
                  <c:v>560</c:v>
                </c:pt>
                <c:pt idx="101">
                  <c:v>570</c:v>
                </c:pt>
                <c:pt idx="102">
                  <c:v>580</c:v>
                </c:pt>
                <c:pt idx="103">
                  <c:v>590</c:v>
                </c:pt>
                <c:pt idx="104">
                  <c:v>600</c:v>
                </c:pt>
                <c:pt idx="105">
                  <c:v>610</c:v>
                </c:pt>
                <c:pt idx="106">
                  <c:v>620</c:v>
                </c:pt>
                <c:pt idx="107">
                  <c:v>630</c:v>
                </c:pt>
                <c:pt idx="108">
                  <c:v>640</c:v>
                </c:pt>
                <c:pt idx="109">
                  <c:v>650</c:v>
                </c:pt>
                <c:pt idx="110">
                  <c:v>660</c:v>
                </c:pt>
                <c:pt idx="111">
                  <c:v>670</c:v>
                </c:pt>
                <c:pt idx="112">
                  <c:v>680</c:v>
                </c:pt>
                <c:pt idx="113">
                  <c:v>690</c:v>
                </c:pt>
                <c:pt idx="114">
                  <c:v>700</c:v>
                </c:pt>
                <c:pt idx="115">
                  <c:v>710</c:v>
                </c:pt>
                <c:pt idx="116">
                  <c:v>720</c:v>
                </c:pt>
                <c:pt idx="117">
                  <c:v>730</c:v>
                </c:pt>
                <c:pt idx="118">
                  <c:v>740</c:v>
                </c:pt>
                <c:pt idx="119">
                  <c:v>750</c:v>
                </c:pt>
                <c:pt idx="120">
                  <c:v>760</c:v>
                </c:pt>
                <c:pt idx="121">
                  <c:v>770</c:v>
                </c:pt>
                <c:pt idx="122">
                  <c:v>780</c:v>
                </c:pt>
                <c:pt idx="123">
                  <c:v>790</c:v>
                </c:pt>
                <c:pt idx="124">
                  <c:v>800</c:v>
                </c:pt>
                <c:pt idx="125">
                  <c:v>810</c:v>
                </c:pt>
                <c:pt idx="126">
                  <c:v>820</c:v>
                </c:pt>
                <c:pt idx="127">
                  <c:v>830</c:v>
                </c:pt>
                <c:pt idx="128">
                  <c:v>840</c:v>
                </c:pt>
                <c:pt idx="129">
                  <c:v>850</c:v>
                </c:pt>
                <c:pt idx="130">
                  <c:v>860</c:v>
                </c:pt>
                <c:pt idx="131">
                  <c:v>870</c:v>
                </c:pt>
                <c:pt idx="132">
                  <c:v>880</c:v>
                </c:pt>
                <c:pt idx="133">
                  <c:v>890</c:v>
                </c:pt>
                <c:pt idx="134">
                  <c:v>900</c:v>
                </c:pt>
                <c:pt idx="135">
                  <c:v>910</c:v>
                </c:pt>
                <c:pt idx="136">
                  <c:v>920</c:v>
                </c:pt>
                <c:pt idx="137">
                  <c:v>930</c:v>
                </c:pt>
                <c:pt idx="138">
                  <c:v>940</c:v>
                </c:pt>
                <c:pt idx="139">
                  <c:v>950</c:v>
                </c:pt>
                <c:pt idx="140">
                  <c:v>960</c:v>
                </c:pt>
                <c:pt idx="141">
                  <c:v>970</c:v>
                </c:pt>
                <c:pt idx="142">
                  <c:v>980</c:v>
                </c:pt>
                <c:pt idx="143">
                  <c:v>990</c:v>
                </c:pt>
                <c:pt idx="144">
                  <c:v>1000</c:v>
                </c:pt>
                <c:pt idx="145">
                  <c:v>1010</c:v>
                </c:pt>
                <c:pt idx="146">
                  <c:v>1020</c:v>
                </c:pt>
                <c:pt idx="147">
                  <c:v>1030</c:v>
                </c:pt>
                <c:pt idx="148">
                  <c:v>1040</c:v>
                </c:pt>
                <c:pt idx="149">
                  <c:v>1050</c:v>
                </c:pt>
                <c:pt idx="150">
                  <c:v>1060</c:v>
                </c:pt>
                <c:pt idx="151">
                  <c:v>1070</c:v>
                </c:pt>
                <c:pt idx="152">
                  <c:v>1080</c:v>
                </c:pt>
                <c:pt idx="153">
                  <c:v>1090</c:v>
                </c:pt>
                <c:pt idx="154">
                  <c:v>1100</c:v>
                </c:pt>
                <c:pt idx="155">
                  <c:v>1110</c:v>
                </c:pt>
                <c:pt idx="156">
                  <c:v>1120</c:v>
                </c:pt>
                <c:pt idx="157">
                  <c:v>1130</c:v>
                </c:pt>
                <c:pt idx="158">
                  <c:v>1140</c:v>
                </c:pt>
                <c:pt idx="159">
                  <c:v>1150</c:v>
                </c:pt>
                <c:pt idx="160">
                  <c:v>1160</c:v>
                </c:pt>
                <c:pt idx="161">
                  <c:v>1170</c:v>
                </c:pt>
                <c:pt idx="162">
                  <c:v>1180</c:v>
                </c:pt>
                <c:pt idx="163">
                  <c:v>1190</c:v>
                </c:pt>
                <c:pt idx="164">
                  <c:v>1200</c:v>
                </c:pt>
                <c:pt idx="165">
                  <c:v>1210</c:v>
                </c:pt>
                <c:pt idx="166">
                  <c:v>1220</c:v>
                </c:pt>
                <c:pt idx="167">
                  <c:v>1230</c:v>
                </c:pt>
                <c:pt idx="168">
                  <c:v>1240</c:v>
                </c:pt>
                <c:pt idx="169">
                  <c:v>1250</c:v>
                </c:pt>
                <c:pt idx="170">
                  <c:v>1260</c:v>
                </c:pt>
                <c:pt idx="171">
                  <c:v>1270</c:v>
                </c:pt>
                <c:pt idx="172">
                  <c:v>1280</c:v>
                </c:pt>
                <c:pt idx="173">
                  <c:v>1290</c:v>
                </c:pt>
                <c:pt idx="174">
                  <c:v>1300</c:v>
                </c:pt>
                <c:pt idx="175">
                  <c:v>1310</c:v>
                </c:pt>
                <c:pt idx="176">
                  <c:v>1320</c:v>
                </c:pt>
                <c:pt idx="177">
                  <c:v>1330</c:v>
                </c:pt>
                <c:pt idx="178">
                  <c:v>1340</c:v>
                </c:pt>
                <c:pt idx="179">
                  <c:v>1350</c:v>
                </c:pt>
                <c:pt idx="180">
                  <c:v>1360</c:v>
                </c:pt>
                <c:pt idx="181">
                  <c:v>1370</c:v>
                </c:pt>
                <c:pt idx="182">
                  <c:v>1380</c:v>
                </c:pt>
                <c:pt idx="183">
                  <c:v>1390</c:v>
                </c:pt>
                <c:pt idx="184">
                  <c:v>1400</c:v>
                </c:pt>
                <c:pt idx="185">
                  <c:v>1410</c:v>
                </c:pt>
                <c:pt idx="186">
                  <c:v>1420</c:v>
                </c:pt>
                <c:pt idx="187">
                  <c:v>1430</c:v>
                </c:pt>
                <c:pt idx="188">
                  <c:v>1440</c:v>
                </c:pt>
                <c:pt idx="189">
                  <c:v>1450</c:v>
                </c:pt>
                <c:pt idx="190">
                  <c:v>1460</c:v>
                </c:pt>
                <c:pt idx="191">
                  <c:v>1470</c:v>
                </c:pt>
                <c:pt idx="192">
                  <c:v>1480</c:v>
                </c:pt>
                <c:pt idx="193">
                  <c:v>1490</c:v>
                </c:pt>
                <c:pt idx="194">
                  <c:v>1500</c:v>
                </c:pt>
                <c:pt idx="195">
                  <c:v>1510</c:v>
                </c:pt>
                <c:pt idx="196">
                  <c:v>1520</c:v>
                </c:pt>
                <c:pt idx="197">
                  <c:v>1530</c:v>
                </c:pt>
                <c:pt idx="198">
                  <c:v>1540</c:v>
                </c:pt>
                <c:pt idx="199">
                  <c:v>1550</c:v>
                </c:pt>
                <c:pt idx="200">
                  <c:v>1560</c:v>
                </c:pt>
                <c:pt idx="201">
                  <c:v>1570</c:v>
                </c:pt>
                <c:pt idx="202">
                  <c:v>1580</c:v>
                </c:pt>
                <c:pt idx="203">
                  <c:v>1590</c:v>
                </c:pt>
                <c:pt idx="204">
                  <c:v>1600</c:v>
                </c:pt>
                <c:pt idx="205">
                  <c:v>1610</c:v>
                </c:pt>
                <c:pt idx="206">
                  <c:v>1620</c:v>
                </c:pt>
                <c:pt idx="207">
                  <c:v>1630</c:v>
                </c:pt>
                <c:pt idx="208">
                  <c:v>1640</c:v>
                </c:pt>
                <c:pt idx="209">
                  <c:v>1650</c:v>
                </c:pt>
                <c:pt idx="210">
                  <c:v>1660</c:v>
                </c:pt>
                <c:pt idx="211">
                  <c:v>1670</c:v>
                </c:pt>
                <c:pt idx="212">
                  <c:v>1680</c:v>
                </c:pt>
                <c:pt idx="213">
                  <c:v>1690</c:v>
                </c:pt>
                <c:pt idx="214">
                  <c:v>1700</c:v>
                </c:pt>
                <c:pt idx="215">
                  <c:v>1710</c:v>
                </c:pt>
                <c:pt idx="216">
                  <c:v>1720</c:v>
                </c:pt>
                <c:pt idx="217">
                  <c:v>1730</c:v>
                </c:pt>
                <c:pt idx="218">
                  <c:v>1740</c:v>
                </c:pt>
                <c:pt idx="219">
                  <c:v>1750</c:v>
                </c:pt>
                <c:pt idx="220">
                  <c:v>1760</c:v>
                </c:pt>
                <c:pt idx="221">
                  <c:v>1770</c:v>
                </c:pt>
                <c:pt idx="222">
                  <c:v>1780</c:v>
                </c:pt>
                <c:pt idx="223">
                  <c:v>1790</c:v>
                </c:pt>
                <c:pt idx="224">
                  <c:v>1800</c:v>
                </c:pt>
                <c:pt idx="225">
                  <c:v>1810</c:v>
                </c:pt>
                <c:pt idx="226">
                  <c:v>1820</c:v>
                </c:pt>
                <c:pt idx="227">
                  <c:v>1830</c:v>
                </c:pt>
                <c:pt idx="228">
                  <c:v>1840</c:v>
                </c:pt>
                <c:pt idx="229">
                  <c:v>1850</c:v>
                </c:pt>
                <c:pt idx="230">
                  <c:v>1860</c:v>
                </c:pt>
                <c:pt idx="231">
                  <c:v>1870</c:v>
                </c:pt>
                <c:pt idx="232">
                  <c:v>1880</c:v>
                </c:pt>
                <c:pt idx="233">
                  <c:v>1890</c:v>
                </c:pt>
                <c:pt idx="234">
                  <c:v>1900</c:v>
                </c:pt>
                <c:pt idx="235">
                  <c:v>1910</c:v>
                </c:pt>
                <c:pt idx="236">
                  <c:v>1920</c:v>
                </c:pt>
                <c:pt idx="237">
                  <c:v>1930</c:v>
                </c:pt>
                <c:pt idx="238">
                  <c:v>1940</c:v>
                </c:pt>
                <c:pt idx="239">
                  <c:v>1950</c:v>
                </c:pt>
                <c:pt idx="240">
                  <c:v>1960</c:v>
                </c:pt>
                <c:pt idx="241">
                  <c:v>1970</c:v>
                </c:pt>
                <c:pt idx="242">
                  <c:v>1980</c:v>
                </c:pt>
                <c:pt idx="243">
                  <c:v>1990</c:v>
                </c:pt>
                <c:pt idx="244">
                  <c:v>2000</c:v>
                </c:pt>
                <c:pt idx="245">
                  <c:v>2010</c:v>
                </c:pt>
                <c:pt idx="246">
                  <c:v>2020</c:v>
                </c:pt>
                <c:pt idx="247">
                  <c:v>2030</c:v>
                </c:pt>
                <c:pt idx="248">
                  <c:v>2040</c:v>
                </c:pt>
                <c:pt idx="249">
                  <c:v>2050</c:v>
                </c:pt>
                <c:pt idx="250">
                  <c:v>2060</c:v>
                </c:pt>
                <c:pt idx="251">
                  <c:v>2070</c:v>
                </c:pt>
                <c:pt idx="252">
                  <c:v>2080</c:v>
                </c:pt>
                <c:pt idx="253">
                  <c:v>2090</c:v>
                </c:pt>
                <c:pt idx="254">
                  <c:v>2100</c:v>
                </c:pt>
                <c:pt idx="255">
                  <c:v>2110</c:v>
                </c:pt>
                <c:pt idx="256">
                  <c:v>2120</c:v>
                </c:pt>
                <c:pt idx="257">
                  <c:v>2130</c:v>
                </c:pt>
                <c:pt idx="258">
                  <c:v>2140</c:v>
                </c:pt>
                <c:pt idx="259">
                  <c:v>2150</c:v>
                </c:pt>
                <c:pt idx="260">
                  <c:v>2160</c:v>
                </c:pt>
                <c:pt idx="261">
                  <c:v>2170</c:v>
                </c:pt>
                <c:pt idx="262">
                  <c:v>2180</c:v>
                </c:pt>
                <c:pt idx="263">
                  <c:v>2190</c:v>
                </c:pt>
                <c:pt idx="264">
                  <c:v>2200</c:v>
                </c:pt>
                <c:pt idx="265">
                  <c:v>2210</c:v>
                </c:pt>
                <c:pt idx="266">
                  <c:v>2220</c:v>
                </c:pt>
                <c:pt idx="267">
                  <c:v>2230</c:v>
                </c:pt>
                <c:pt idx="268">
                  <c:v>2240</c:v>
                </c:pt>
                <c:pt idx="269">
                  <c:v>2250</c:v>
                </c:pt>
                <c:pt idx="270">
                  <c:v>2260</c:v>
                </c:pt>
                <c:pt idx="271">
                  <c:v>2270</c:v>
                </c:pt>
                <c:pt idx="272">
                  <c:v>2280</c:v>
                </c:pt>
                <c:pt idx="273">
                  <c:v>2290</c:v>
                </c:pt>
                <c:pt idx="274">
                  <c:v>2300</c:v>
                </c:pt>
                <c:pt idx="275">
                  <c:v>2310</c:v>
                </c:pt>
                <c:pt idx="276">
                  <c:v>2320</c:v>
                </c:pt>
                <c:pt idx="277">
                  <c:v>2330</c:v>
                </c:pt>
                <c:pt idx="278">
                  <c:v>2340</c:v>
                </c:pt>
                <c:pt idx="279">
                  <c:v>2350</c:v>
                </c:pt>
                <c:pt idx="280">
                  <c:v>2360</c:v>
                </c:pt>
                <c:pt idx="281">
                  <c:v>2370</c:v>
                </c:pt>
                <c:pt idx="282">
                  <c:v>2380</c:v>
                </c:pt>
                <c:pt idx="283">
                  <c:v>2390</c:v>
                </c:pt>
                <c:pt idx="284">
                  <c:v>2400</c:v>
                </c:pt>
                <c:pt idx="285">
                  <c:v>2410</c:v>
                </c:pt>
                <c:pt idx="286">
                  <c:v>2420</c:v>
                </c:pt>
                <c:pt idx="287">
                  <c:v>2430</c:v>
                </c:pt>
                <c:pt idx="288">
                  <c:v>2440</c:v>
                </c:pt>
                <c:pt idx="289">
                  <c:v>2450</c:v>
                </c:pt>
                <c:pt idx="290">
                  <c:v>2460</c:v>
                </c:pt>
                <c:pt idx="291">
                  <c:v>2470</c:v>
                </c:pt>
                <c:pt idx="292">
                  <c:v>2480</c:v>
                </c:pt>
                <c:pt idx="293">
                  <c:v>2490</c:v>
                </c:pt>
                <c:pt idx="294">
                  <c:v>2500</c:v>
                </c:pt>
                <c:pt idx="295">
                  <c:v>2510</c:v>
                </c:pt>
                <c:pt idx="296">
                  <c:v>2520</c:v>
                </c:pt>
                <c:pt idx="297">
                  <c:v>2530</c:v>
                </c:pt>
              </c:numCache>
            </c:numRef>
          </c:xVal>
          <c:yVal>
            <c:numRef>
              <c:f>'NDIC Typical cumulative'!$D$4:$D$301</c:f>
              <c:numCache>
                <c:formatCode>General</c:formatCode>
                <c:ptCount val="298"/>
                <c:pt idx="0">
                  <c:v>360321.46591140737</c:v>
                </c:pt>
                <c:pt idx="1">
                  <c:v>470893.87887172535</c:v>
                </c:pt>
                <c:pt idx="2">
                  <c:v>544983.98905909981</c:v>
                </c:pt>
                <c:pt idx="3">
                  <c:v>601390.09707531496</c:v>
                </c:pt>
                <c:pt idx="4">
                  <c:v>647095.89419140946</c:v>
                </c:pt>
                <c:pt idx="5">
                  <c:v>685556.32608005311</c:v>
                </c:pt>
                <c:pt idx="6">
                  <c:v>718758.06118894182</c:v>
                </c:pt>
                <c:pt idx="7">
                  <c:v>747957.25312895281</c:v>
                </c:pt>
                <c:pt idx="8">
                  <c:v>774002.33453125716</c:v>
                </c:pt>
                <c:pt idx="9">
                  <c:v>797494.98421782942</c:v>
                </c:pt>
                <c:pt idx="10">
                  <c:v>818878.2382779771</c:v>
                </c:pt>
                <c:pt idx="11">
                  <c:v>838488.22965944698</c:v>
                </c:pt>
                <c:pt idx="12">
                  <c:v>856586.28816486057</c:v>
                </c:pt>
                <c:pt idx="13">
                  <c:v>873379.75891462585</c:v>
                </c:pt>
                <c:pt idx="14">
                  <c:v>889036.0071244702</c:v>
                </c:pt>
                <c:pt idx="15">
                  <c:v>903692.13306491415</c:v>
                </c:pt>
                <c:pt idx="16">
                  <c:v>917461.88992973813</c:v>
                </c:pt>
                <c:pt idx="17">
                  <c:v>930440.72246114572</c:v>
                </c:pt>
                <c:pt idx="18">
                  <c:v>942709.50983051106</c:v>
                </c:pt>
                <c:pt idx="19">
                  <c:v>954337.39461146132</c:v>
                </c:pt>
                <c:pt idx="20">
                  <c:v>965383.95413665019</c:v>
                </c:pt>
                <c:pt idx="21">
                  <c:v>975900.89016561082</c:v>
                </c:pt>
                <c:pt idx="22">
                  <c:v>985933.36006442632</c:v>
                </c:pt>
                <c:pt idx="23">
                  <c:v>995521.03733428963</c:v>
                </c:pt>
                <c:pt idx="24">
                  <c:v>1004698.9651340604</c:v>
                </c:pt>
                <c:pt idx="25">
                  <c:v>1013498.2495941077</c:v>
                </c:pt>
                <c:pt idx="26">
                  <c:v>1021946.6277936123</c:v>
                </c:pt>
                <c:pt idx="27">
                  <c:v>1030068.9367068709</c:v>
                </c:pt>
                <c:pt idx="28">
                  <c:v>1037887.5031861175</c:v>
                </c:pt>
                <c:pt idx="29">
                  <c:v>1045422.4704489524</c:v>
                </c:pt>
                <c:pt idx="30">
                  <c:v>1052692.0731079855</c:v>
                </c:pt>
                <c:pt idx="31">
                  <c:v>1059712.870194217</c:v>
                </c:pt>
                <c:pt idx="32">
                  <c:v>1066499.9436567989</c:v>
                </c:pt>
                <c:pt idx="33">
                  <c:v>1073067.0683089206</c:v>
                </c:pt>
                <c:pt idx="34">
                  <c:v>1079426.8580170344</c:v>
                </c:pt>
                <c:pt idx="35">
                  <c:v>1085590.8920145237</c:v>
                </c:pt>
                <c:pt idx="36">
                  <c:v>1091569.8244997566</c:v>
                </c:pt>
                <c:pt idx="37">
                  <c:v>1097373.4801066865</c:v>
                </c:pt>
                <c:pt idx="38">
                  <c:v>1103010.9373798396</c:v>
                </c:pt>
                <c:pt idx="39">
                  <c:v>1108490.6020189859</c:v>
                </c:pt>
                <c:pt idx="40">
                  <c:v>1113820.2713626514</c:v>
                </c:pt>
                <c:pt idx="41">
                  <c:v>1119007.191339005</c:v>
                </c:pt>
                <c:pt idx="42">
                  <c:v>1124058.1069160867</c:v>
                </c:pt>
                <c:pt idx="43">
                  <c:v>1128979.3069219517</c:v>
                </c:pt>
                <c:pt idx="44">
                  <c:v>1133776.6639721624</c:v>
                </c:pt>
                <c:pt idx="45">
                  <c:v>1138455.6701317187</c:v>
                </c:pt>
                <c:pt idx="46">
                  <c:v>1143021.4688466468</c:v>
                </c:pt>
                <c:pt idx="47">
                  <c:v>1147478.8836037004</c:v>
                </c:pt>
                <c:pt idx="48">
                  <c:v>1151832.4437121786</c:v>
                </c:pt>
                <c:pt idx="49">
                  <c:v>1156086.407547595</c:v>
                </c:pt>
                <c:pt idx="50">
                  <c:v>1193928.1258185678</c:v>
                </c:pt>
                <c:pt idx="51">
                  <c:v>1225094.2350503784</c:v>
                </c:pt>
                <c:pt idx="52">
                  <c:v>1251426.3732596443</c:v>
                </c:pt>
                <c:pt idx="53">
                  <c:v>1274110.3406500884</c:v>
                </c:pt>
                <c:pt idx="54">
                  <c:v>1293952.4170935606</c:v>
                </c:pt>
                <c:pt idx="55">
                  <c:v>1311524.417003416</c:v>
                </c:pt>
                <c:pt idx="56">
                  <c:v>1327245.7301972574</c:v>
                </c:pt>
                <c:pt idx="57">
                  <c:v>1341432.5177726892</c:v>
                </c:pt>
                <c:pt idx="58">
                  <c:v>1354328.639196676</c:v>
                </c:pt>
                <c:pt idx="59">
                  <c:v>1366125.8679764471</c:v>
                </c:pt>
                <c:pt idx="60">
                  <c:v>1376977.5462421556</c:v>
                </c:pt>
                <c:pt idx="61">
                  <c:v>1387008.0693591256</c:v>
                </c:pt>
                <c:pt idx="62">
                  <c:v>1396319.6351989189</c:v>
                </c:pt>
                <c:pt idx="63">
                  <c:v>1404997.1493383639</c:v>
                </c:pt>
                <c:pt idx="64">
                  <c:v>1413111.8569054338</c:v>
                </c:pt>
                <c:pt idx="65">
                  <c:v>1420724.0763626341</c:v>
                </c:pt>
                <c:pt idx="66">
                  <c:v>1427885.2878769923</c:v>
                </c:pt>
                <c:pt idx="67">
                  <c:v>1434639.7499627331</c:v>
                </c:pt>
                <c:pt idx="68">
                  <c:v>1441025.7660644634</c:v>
                </c:pt>
                <c:pt idx="69">
                  <c:v>1447076.6877680812</c:v>
                </c:pt>
                <c:pt idx="70">
                  <c:v>1452821.7173614118</c:v>
                </c:pt>
                <c:pt idx="71">
                  <c:v>1458286.5557680556</c:v>
                </c:pt>
                <c:pt idx="72">
                  <c:v>1463493.9300617434</c:v>
                </c:pt>
                <c:pt idx="73">
                  <c:v>1468464.026287995</c:v>
                </c:pt>
                <c:pt idx="74">
                  <c:v>1473214.8471536841</c:v>
                </c:pt>
                <c:pt idx="75">
                  <c:v>1477762.5096074485</c:v>
                </c:pt>
                <c:pt idx="76">
                  <c:v>1482121.493957262</c:v>
                </c:pt>
                <c:pt idx="77">
                  <c:v>1486304.8536327358</c:v>
                </c:pt>
                <c:pt idx="78">
                  <c:v>1490324.3927724469</c:v>
                </c:pt>
                <c:pt idx="79">
                  <c:v>1494190.8173403041</c:v>
                </c:pt>
                <c:pt idx="80">
                  <c:v>1497913.8643345858</c:v>
                </c:pt>
                <c:pt idx="81">
                  <c:v>1501502.4127653779</c:v>
                </c:pt>
                <c:pt idx="82">
                  <c:v>1504964.5793796922</c:v>
                </c:pt>
                <c:pt idx="83">
                  <c:v>1508307.8015634029</c:v>
                </c:pt>
                <c:pt idx="84">
                  <c:v>1511538.9094117368</c:v>
                </c:pt>
                <c:pt idx="85">
                  <c:v>1514664.1886100699</c:v>
                </c:pt>
                <c:pt idx="86">
                  <c:v>1517689.4354851285</c:v>
                </c:pt>
                <c:pt idx="87">
                  <c:v>1520620.0053587237</c:v>
                </c:pt>
                <c:pt idx="88">
                  <c:v>1523460.8551506873</c:v>
                </c:pt>
                <c:pt idx="89">
                  <c:v>1526216.5810259911</c:v>
                </c:pt>
                <c:pt idx="90">
                  <c:v>1528891.4517564103</c:v>
                </c:pt>
                <c:pt idx="91">
                  <c:v>1531489.4383642257</c:v>
                </c:pt>
                <c:pt idx="92">
                  <c:v>1534014.2405301516</c:v>
                </c:pt>
                <c:pt idx="93">
                  <c:v>1536469.3101766938</c:v>
                </c:pt>
                <c:pt idx="94">
                  <c:v>1538857.8725787764</c:v>
                </c:pt>
                <c:pt idx="95">
                  <c:v>1541182.9453036836</c:v>
                </c:pt>
                <c:pt idx="96">
                  <c:v>1543447.3552404325</c:v>
                </c:pt>
                <c:pt idx="97">
                  <c:v>1545653.7539432487</c:v>
                </c:pt>
                <c:pt idx="98">
                  <c:v>1547804.6314837669</c:v>
                </c:pt>
                <c:pt idx="99">
                  <c:v>1549902.3289810319</c:v>
                </c:pt>
                <c:pt idx="100">
                  <c:v>1551949.0499565366</c:v>
                </c:pt>
                <c:pt idx="101">
                  <c:v>1553946.8706428981</c:v>
                </c:pt>
                <c:pt idx="102">
                  <c:v>1555897.7493587241</c:v>
                </c:pt>
                <c:pt idx="103">
                  <c:v>1557803.5350484487</c:v>
                </c:pt>
                <c:pt idx="104">
                  <c:v>1559665.9750739995</c:v>
                </c:pt>
                <c:pt idx="105">
                  <c:v>1561486.7223348764</c:v>
                </c:pt>
                <c:pt idx="106">
                  <c:v>1563267.3417842789</c:v>
                </c:pt>
                <c:pt idx="107">
                  <c:v>1565009.3164011564</c:v>
                </c:pt>
                <c:pt idx="108">
                  <c:v>1566714.0526712858</c:v>
                </c:pt>
                <c:pt idx="109">
                  <c:v>1568382.8856245736</c:v>
                </c:pt>
                <c:pt idx="110">
                  <c:v>1570017.083470603</c:v>
                </c:pt>
                <c:pt idx="111">
                  <c:v>1571617.8518698979</c:v>
                </c:pt>
                <c:pt idx="112">
                  <c:v>1573186.3378744051</c:v>
                </c:pt>
                <c:pt idx="113">
                  <c:v>1574723.6335671621</c:v>
                </c:pt>
                <c:pt idx="114">
                  <c:v>1576230.7794280262</c:v>
                </c:pt>
                <c:pt idx="115">
                  <c:v>1577708.7674496034</c:v>
                </c:pt>
                <c:pt idx="116">
                  <c:v>1579158.5440250763</c:v>
                </c:pt>
                <c:pt idx="117">
                  <c:v>1580581.012627485</c:v>
                </c:pt>
                <c:pt idx="118">
                  <c:v>1581977.0362980978</c:v>
                </c:pt>
                <c:pt idx="119">
                  <c:v>1583347.4399598055</c:v>
                </c:pt>
                <c:pt idx="120">
                  <c:v>1584693.01256995</c:v>
                </c:pt>
                <c:pt idx="121">
                  <c:v>1586014.5091256443</c:v>
                </c:pt>
                <c:pt idx="122">
                  <c:v>1587312.6525334297</c:v>
                </c:pt>
                <c:pt idx="123">
                  <c:v>1588588.1353540218</c:v>
                </c:pt>
                <c:pt idx="124">
                  <c:v>1589841.6214319293</c:v>
                </c:pt>
                <c:pt idx="125">
                  <c:v>1591073.7474188479</c:v>
                </c:pt>
                <c:pt idx="126">
                  <c:v>1592285.1241989513</c:v>
                </c:pt>
                <c:pt idx="127">
                  <c:v>1593476.3382234799</c:v>
                </c:pt>
                <c:pt idx="128">
                  <c:v>1594647.9527614033</c:v>
                </c:pt>
                <c:pt idx="129">
                  <c:v>1595800.5090723408</c:v>
                </c:pt>
                <c:pt idx="130">
                  <c:v>1596934.5275074088</c:v>
                </c:pt>
                <c:pt idx="131">
                  <c:v>1598050.5085431933</c:v>
                </c:pt>
                <c:pt idx="132">
                  <c:v>1599148.9337536099</c:v>
                </c:pt>
                <c:pt idx="133">
                  <c:v>1600230.2667240296</c:v>
                </c:pt>
                <c:pt idx="134">
                  <c:v>1601294.9539116968</c:v>
                </c:pt>
                <c:pt idx="135">
                  <c:v>1602343.4254561423</c:v>
                </c:pt>
                <c:pt idx="136">
                  <c:v>1603376.0959429985</c:v>
                </c:pt>
                <c:pt idx="137">
                  <c:v>1604393.3651243674</c:v>
                </c:pt>
                <c:pt idx="138">
                  <c:v>1605395.6185986353</c:v>
                </c:pt>
                <c:pt idx="139">
                  <c:v>1606383.228452422</c:v>
                </c:pt>
                <c:pt idx="140">
                  <c:v>1607356.5538671373</c:v>
                </c:pt>
                <c:pt idx="141">
                  <c:v>1608315.9416924298</c:v>
                </c:pt>
                <c:pt idx="142">
                  <c:v>1609261.7269886646</c:v>
                </c:pt>
                <c:pt idx="143">
                  <c:v>1610194.2335403771</c:v>
                </c:pt>
                <c:pt idx="144">
                  <c:v>1611113.7743425416</c:v>
                </c:pt>
                <c:pt idx="145">
                  <c:v>1612020.6520613357</c:v>
                </c:pt>
                <c:pt idx="146">
                  <c:v>1612915.1594709745</c:v>
                </c:pt>
                <c:pt idx="147">
                  <c:v>1613797.5798680761</c:v>
                </c:pt>
                <c:pt idx="148">
                  <c:v>1614668.1874649164</c:v>
                </c:pt>
                <c:pt idx="149">
                  <c:v>1615527.2477628316</c:v>
                </c:pt>
                <c:pt idx="150">
                  <c:v>1616375.0179069529</c:v>
                </c:pt>
                <c:pt idx="151">
                  <c:v>1617211.7470233666</c:v>
                </c:pt>
                <c:pt idx="152">
                  <c:v>1618037.6765397221</c:v>
                </c:pt>
                <c:pt idx="153">
                  <c:v>1618853.040490245</c:v>
                </c:pt>
                <c:pt idx="154">
                  <c:v>1619658.065806044</c:v>
                </c:pt>
                <c:pt idx="155">
                  <c:v>1620452.9725915499</c:v>
                </c:pt>
                <c:pt idx="156">
                  <c:v>1621237.9743878581</c:v>
                </c:pt>
                <c:pt idx="157">
                  <c:v>1622013.2784237117</c:v>
                </c:pt>
                <c:pt idx="158">
                  <c:v>1622779.0858548025</c:v>
                </c:pt>
                <c:pt idx="159">
                  <c:v>1623535.5919920283</c:v>
                </c:pt>
                <c:pt idx="160">
                  <c:v>1624282.9865193097</c:v>
                </c:pt>
                <c:pt idx="161">
                  <c:v>1625021.4537015271</c:v>
                </c:pt>
                <c:pt idx="162">
                  <c:v>1625751.1725830999</c:v>
                </c:pt>
                <c:pt idx="163">
                  <c:v>1626472.3171777094</c:v>
                </c:pt>
                <c:pt idx="164">
                  <c:v>1627185.0566496281</c:v>
                </c:pt>
                <c:pt idx="165">
                  <c:v>1627889.5554870882</c:v>
                </c:pt>
                <c:pt idx="166">
                  <c:v>1628585.9736681061</c:v>
                </c:pt>
                <c:pt idx="167">
                  <c:v>1629274.4668191485</c:v>
                </c:pt>
                <c:pt idx="168">
                  <c:v>1629955.1863669942</c:v>
                </c:pt>
                <c:pt idx="169">
                  <c:v>1630628.2796841513</c:v>
                </c:pt>
                <c:pt idx="170">
                  <c:v>1631293.8902281355</c:v>
                </c:pt>
                <c:pt idx="171">
                  <c:v>1631952.1576749249</c:v>
                </c:pt>
                <c:pt idx="172">
                  <c:v>1632603.2180468736</c:v>
                </c:pt>
                <c:pt idx="173">
                  <c:v>1633247.203835354</c:v>
                </c:pt>
                <c:pt idx="174">
                  <c:v>1633884.2441183866</c:v>
                </c:pt>
                <c:pt idx="175">
                  <c:v>1634514.4646734959</c:v>
                </c:pt>
                <c:pt idx="176">
                  <c:v>1635137.9880860201</c:v>
                </c:pt>
                <c:pt idx="177">
                  <c:v>1635754.9338530924</c:v>
                </c:pt>
                <c:pt idx="178">
                  <c:v>1636365.4184834959</c:v>
                </c:pt>
                <c:pt idx="179">
                  <c:v>1636969.5555935842</c:v>
                </c:pt>
                <c:pt idx="180">
                  <c:v>1637567.4559994512</c:v>
                </c:pt>
                <c:pt idx="181">
                  <c:v>1638159.2278055234</c:v>
                </c:pt>
                <c:pt idx="182">
                  <c:v>1638744.9764897358</c:v>
                </c:pt>
                <c:pt idx="183">
                  <c:v>1639324.8049854499</c:v>
                </c:pt>
                <c:pt idx="184">
                  <c:v>1639898.813760255</c:v>
                </c:pt>
                <c:pt idx="185">
                  <c:v>1640467.1008918004</c:v>
                </c:pt>
                <c:pt idx="186">
                  <c:v>1641029.7621407823</c:v>
                </c:pt>
                <c:pt idx="187">
                  <c:v>1641586.8910212156</c:v>
                </c:pt>
                <c:pt idx="188">
                  <c:v>1642138.5788681076</c:v>
                </c:pt>
                <c:pt idx="189">
                  <c:v>1642684.9149026496</c:v>
                </c:pt>
                <c:pt idx="190">
                  <c:v>1643225.9862950279</c:v>
                </c:pt>
                <c:pt idx="191">
                  <c:v>1643761.878224964</c:v>
                </c:pt>
                <c:pt idx="192">
                  <c:v>1644292.6739400737</c:v>
                </c:pt>
                <c:pt idx="193">
                  <c:v>1644818.4548121428</c:v>
                </c:pt>
                <c:pt idx="194">
                  <c:v>1645339.3003914016</c:v>
                </c:pt>
                <c:pt idx="195">
                  <c:v>1645855.2884588903</c:v>
                </c:pt>
                <c:pt idx="196">
                  <c:v>1646366.4950769856</c:v>
                </c:pt>
                <c:pt idx="197">
                  <c:v>1646872.9946381685</c:v>
                </c:pt>
                <c:pt idx="198">
                  <c:v>1647374.8599121056</c:v>
                </c:pt>
                <c:pt idx="199">
                  <c:v>1647872.1620911153</c:v>
                </c:pt>
                <c:pt idx="200">
                  <c:v>1648364.9708340743</c:v>
                </c:pt>
                <c:pt idx="201">
                  <c:v>1648853.3543088413</c:v>
                </c:pt>
                <c:pt idx="202">
                  <c:v>1649337.3792332443</c:v>
                </c:pt>
                <c:pt idx="203">
                  <c:v>1649817.1109146981</c:v>
                </c:pt>
                <c:pt idx="204">
                  <c:v>1650292.6132884985</c:v>
                </c:pt>
                <c:pt idx="205">
                  <c:v>1650763.9489548525</c:v>
                </c:pt>
                <c:pt idx="206">
                  <c:v>1651231.1792146864</c:v>
                </c:pt>
                <c:pt idx="207">
                  <c:v>1651694.3641042854</c:v>
                </c:pt>
                <c:pt idx="208">
                  <c:v>1652153.5624288067</c:v>
                </c:pt>
                <c:pt idx="209">
                  <c:v>1652608.8317947078</c:v>
                </c:pt>
                <c:pt idx="210">
                  <c:v>1653060.2286411349</c:v>
                </c:pt>
                <c:pt idx="211">
                  <c:v>1653507.8082703098</c:v>
                </c:pt>
                <c:pt idx="212">
                  <c:v>1653951.6248769492</c:v>
                </c:pt>
                <c:pt idx="213">
                  <c:v>1654391.7315767594</c:v>
                </c:pt>
                <c:pt idx="214">
                  <c:v>1654828.1804340321</c:v>
                </c:pt>
                <c:pt idx="215">
                  <c:v>1655261.0224883852</c:v>
                </c:pt>
                <c:pt idx="216">
                  <c:v>1655690.3077806691</c:v>
                </c:pt>
                <c:pt idx="217">
                  <c:v>1656116.0853780778</c:v>
                </c:pt>
                <c:pt idx="218">
                  <c:v>1656538.403398487</c:v>
                </c:pt>
                <c:pt idx="219">
                  <c:v>1656957.3090340521</c:v>
                </c:pt>
                <c:pt idx="220">
                  <c:v>1657372.8485740912</c:v>
                </c:pt>
                <c:pt idx="221">
                  <c:v>1657785.0674272752</c:v>
                </c:pt>
                <c:pt idx="222">
                  <c:v>1658194.0101431562</c:v>
                </c:pt>
                <c:pt idx="223">
                  <c:v>1658599.7204330517</c:v>
                </c:pt>
                <c:pt idx="224">
                  <c:v>1659002.2411903108</c:v>
                </c:pt>
                <c:pt idx="225">
                  <c:v>1659401.6145099807</c:v>
                </c:pt>
                <c:pt idx="226">
                  <c:v>1659797.881707899</c:v>
                </c:pt>
                <c:pt idx="227">
                  <c:v>1660191.0833392269</c:v>
                </c:pt>
                <c:pt idx="228">
                  <c:v>1660581.2592164471</c:v>
                </c:pt>
                <c:pt idx="229">
                  <c:v>1660968.448426838</c:v>
                </c:pt>
                <c:pt idx="230">
                  <c:v>1661352.6893494506</c:v>
                </c:pt>
                <c:pt idx="231">
                  <c:v>1661734.0196715987</c:v>
                </c:pt>
                <c:pt idx="232">
                  <c:v>1662112.4764048811</c:v>
                </c:pt>
                <c:pt idx="233">
                  <c:v>1662488.0959007491</c:v>
                </c:pt>
                <c:pt idx="234">
                  <c:v>1662860.9138656401</c:v>
                </c:pt>
                <c:pt idx="235">
                  <c:v>1663230.9653756842</c:v>
                </c:pt>
                <c:pt idx="236">
                  <c:v>1663598.2848910056</c:v>
                </c:pt>
                <c:pt idx="237">
                  <c:v>1663962.9062696223</c:v>
                </c:pt>
                <c:pt idx="238">
                  <c:v>1664324.8627809703</c:v>
                </c:pt>
                <c:pt idx="239">
                  <c:v>1664684.1871190516</c:v>
                </c:pt>
                <c:pt idx="240">
                  <c:v>1665040.9114152247</c:v>
                </c:pt>
                <c:pt idx="241">
                  <c:v>1665395.0672506525</c:v>
                </c:pt>
                <c:pt idx="242">
                  <c:v>1665746.6856684075</c:v>
                </c:pt>
                <c:pt idx="243">
                  <c:v>1666095.7971852571</c:v>
                </c:pt>
                <c:pt idx="244">
                  <c:v>1666442.4318031315</c:v>
                </c:pt>
                <c:pt idx="245">
                  <c:v>1666786.6190202883</c:v>
                </c:pt>
                <c:pt idx="246">
                  <c:v>1667128.3878421797</c:v>
                </c:pt>
                <c:pt idx="247">
                  <c:v>1667467.7667920345</c:v>
                </c:pt>
                <c:pt idx="248">
                  <c:v>1667804.7839211642</c:v>
                </c:pt>
                <c:pt idx="249">
                  <c:v>1668139.4668189974</c:v>
                </c:pt>
                <c:pt idx="250">
                  <c:v>1668471.8426228564</c:v>
                </c:pt>
                <c:pt idx="251">
                  <c:v>1668801.9380274795</c:v>
                </c:pt>
                <c:pt idx="252">
                  <c:v>1669129.7792943001</c:v>
                </c:pt>
                <c:pt idx="253">
                  <c:v>1669455.392260487</c:v>
                </c:pt>
                <c:pt idx="254">
                  <c:v>1669778.8023477551</c:v>
                </c:pt>
                <c:pt idx="255">
                  <c:v>1670100.0345709529</c:v>
                </c:pt>
                <c:pt idx="256">
                  <c:v>1670419.1135464329</c:v>
                </c:pt>
                <c:pt idx="257">
                  <c:v>1670736.0635002127</c:v>
                </c:pt>
                <c:pt idx="258">
                  <c:v>1671050.9082759309</c:v>
                </c:pt>
                <c:pt idx="259">
                  <c:v>1671363.6713426055</c:v>
                </c:pt>
                <c:pt idx="260">
                  <c:v>1671674.3758022019</c:v>
                </c:pt>
                <c:pt idx="261">
                  <c:v>1671983.0443970107</c:v>
                </c:pt>
                <c:pt idx="262">
                  <c:v>1672289.6995168475</c:v>
                </c:pt>
                <c:pt idx="263">
                  <c:v>1672594.3632060762</c:v>
                </c:pt>
                <c:pt idx="264">
                  <c:v>1672897.0571704612</c:v>
                </c:pt>
                <c:pt idx="265">
                  <c:v>1673197.8027838515</c:v>
                </c:pt>
                <c:pt idx="266">
                  <c:v>1673496.6210947093</c:v>
                </c:pt>
                <c:pt idx="267">
                  <c:v>1673793.5328324751</c:v>
                </c:pt>
                <c:pt idx="268">
                  <c:v>1674088.5584137866</c:v>
                </c:pt>
                <c:pt idx="269">
                  <c:v>1674381.7179485448</c:v>
                </c:pt>
                <c:pt idx="270">
                  <c:v>1674673.0312458419</c:v>
                </c:pt>
                <c:pt idx="271">
                  <c:v>1674962.5178197422</c:v>
                </c:pt>
                <c:pt idx="272">
                  <c:v>1675250.1968949358</c:v>
                </c:pt>
                <c:pt idx="273">
                  <c:v>1675536.0874122514</c:v>
                </c:pt>
                <c:pt idx="274">
                  <c:v>1675820.2080340488</c:v>
                </c:pt>
                <c:pt idx="275">
                  <c:v>1676102.577149481</c:v>
                </c:pt>
                <c:pt idx="276">
                  <c:v>1676383.2128796356</c:v>
                </c:pt>
                <c:pt idx="277">
                  <c:v>1676662.1330825621</c:v>
                </c:pt>
                <c:pt idx="278">
                  <c:v>1676939.3553581785</c:v>
                </c:pt>
                <c:pt idx="279">
                  <c:v>1677214.8970530683</c:v>
                </c:pt>
                <c:pt idx="280">
                  <c:v>1677488.7752651721</c:v>
                </c:pt>
                <c:pt idx="281">
                  <c:v>1677761.0068483676</c:v>
                </c:pt>
                <c:pt idx="282">
                  <c:v>1678031.6084169503</c:v>
                </c:pt>
                <c:pt idx="283">
                  <c:v>1678300.5963500119</c:v>
                </c:pt>
                <c:pt idx="284">
                  <c:v>1678567.9867957216</c:v>
                </c:pt>
                <c:pt idx="285">
                  <c:v>1678833.7956755136</c:v>
                </c:pt>
                <c:pt idx="286">
                  <c:v>1679098.0386881798</c:v>
                </c:pt>
                <c:pt idx="287">
                  <c:v>1679360.7313138731</c:v>
                </c:pt>
                <c:pt idx="288">
                  <c:v>1679621.8888180228</c:v>
                </c:pt>
                <c:pt idx="289">
                  <c:v>1679881.5262551645</c:v>
                </c:pt>
                <c:pt idx="290">
                  <c:v>1680139.6584726872</c:v>
                </c:pt>
                <c:pt idx="291">
                  <c:v>1680396.3001144985</c:v>
                </c:pt>
                <c:pt idx="292">
                  <c:v>1680651.4656246081</c:v>
                </c:pt>
                <c:pt idx="293">
                  <c:v>1680905.1692506406</c:v>
                </c:pt>
                <c:pt idx="294">
                  <c:v>1681157.4250472658</c:v>
                </c:pt>
                <c:pt idx="295">
                  <c:v>1681408.2468795616</c:v>
                </c:pt>
                <c:pt idx="296">
                  <c:v>1681657.6484263004</c:v>
                </c:pt>
                <c:pt idx="297">
                  <c:v>1681905.6431831699</c:v>
                </c:pt>
              </c:numCache>
            </c:numRef>
          </c:yVal>
        </c:ser>
        <c:axId val="230073472"/>
        <c:axId val="230075392"/>
      </c:scatterChart>
      <c:valAx>
        <c:axId val="230073472"/>
        <c:scaling>
          <c:logBase val="10"/>
          <c:orientation val="minMax"/>
          <c:max val="1000"/>
          <c:min val="1"/>
        </c:scaling>
        <c:axPos val="b"/>
        <c:majorGridlines>
          <c:spPr>
            <a:ln>
              <a:solidFill>
                <a:schemeClr val="bg1">
                  <a:lumMod val="75000"/>
                </a:schemeClr>
              </a:solidFill>
              <a:prstDash val="sysDot"/>
            </a:ln>
          </c:spPr>
        </c:majorGridlines>
        <c:min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230075392"/>
        <c:crosses val="autoZero"/>
        <c:crossBetween val="midCat"/>
      </c:valAx>
      <c:valAx>
        <c:axId val="230075392"/>
        <c:scaling>
          <c:orientation val="minMax"/>
          <c:max val="2000000"/>
          <c:min val="0"/>
        </c:scaling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Production</a:t>
                </a:r>
              </a:p>
            </c:rich>
          </c:tx>
          <c:layout>
            <c:manualLayout>
              <c:xMode val="edge"/>
              <c:yMode val="edge"/>
              <c:x val="1.2408202536669122E-2"/>
              <c:y val="0.2673388524507242"/>
            </c:manualLayout>
          </c:layout>
        </c:title>
        <c:numFmt formatCode="General" sourceLinked="1"/>
        <c:tickLblPos val="nextTo"/>
        <c:crossAx val="2300734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2303001840283523"/>
          <c:y val="4.4346052032575155E-2"/>
          <c:w val="0.59585381044790664"/>
          <c:h val="0.19991794387585921"/>
        </c:manualLayout>
      </c:layout>
    </c:legend>
    <c:plotVisOnly val="1"/>
  </c:chart>
  <c:txPr>
    <a:bodyPr/>
    <a:lstStyle/>
    <a:p>
      <a:pPr>
        <a:defRPr sz="1400"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Diffusion Linearization</a:t>
            </a:r>
          </a:p>
        </c:rich>
      </c:tx>
      <c:layout>
        <c:manualLayout>
          <c:xMode val="edge"/>
          <c:yMode val="edge"/>
          <c:x val="0.41194540682414699"/>
          <c:y val="4.9808429118773943E-2"/>
        </c:manualLayout>
      </c:layout>
      <c:overlay val="1"/>
    </c:title>
    <c:plotArea>
      <c:layout>
        <c:manualLayout>
          <c:layoutTarget val="inner"/>
          <c:xMode val="edge"/>
          <c:yMode val="edge"/>
          <c:x val="0.23380520162252447"/>
          <c:y val="5.1400554097404488E-2"/>
          <c:w val="0.68387516105941304"/>
          <c:h val="0.7215084321356382"/>
        </c:manualLayout>
      </c:layout>
      <c:scatterChart>
        <c:scatterStyle val="lineMarker"/>
        <c:ser>
          <c:idx val="0"/>
          <c:order val="0"/>
          <c:tx>
            <c:strRef>
              <c:f>'Diffusion Linearization'!$F$3</c:f>
              <c:strCache>
                <c:ptCount val="1"/>
                <c:pt idx="0">
                  <c:v>Model</c:v>
                </c:pt>
              </c:strCache>
            </c:strRef>
          </c:tx>
          <c:spPr>
            <a:ln w="38100">
              <a:prstDash val="dash"/>
            </a:ln>
          </c:spPr>
          <c:marker>
            <c:symbol val="none"/>
          </c:marker>
          <c:xVal>
            <c:numRef>
              <c:f>'Diffusion Linearization'!$B$5:$B$50</c:f>
              <c:numCache>
                <c:formatCode>General</c:formatCode>
                <c:ptCount val="46"/>
                <c:pt idx="0">
                  <c:v>1</c:v>
                </c:pt>
                <c:pt idx="1">
                  <c:v>0.70710678118654746</c:v>
                </c:pt>
                <c:pt idx="2">
                  <c:v>0.57735026918962584</c:v>
                </c:pt>
                <c:pt idx="3">
                  <c:v>0.5</c:v>
                </c:pt>
                <c:pt idx="4">
                  <c:v>0.44721359549995793</c:v>
                </c:pt>
                <c:pt idx="5">
                  <c:v>0.40824829046386307</c:v>
                </c:pt>
                <c:pt idx="6">
                  <c:v>0.3779644730092272</c:v>
                </c:pt>
                <c:pt idx="7">
                  <c:v>0.35355339059327373</c:v>
                </c:pt>
                <c:pt idx="8">
                  <c:v>0.33333333333333331</c:v>
                </c:pt>
                <c:pt idx="9">
                  <c:v>0.31622776601683794</c:v>
                </c:pt>
                <c:pt idx="10">
                  <c:v>0.30151134457776363</c:v>
                </c:pt>
                <c:pt idx="11">
                  <c:v>0.28867513459481292</c:v>
                </c:pt>
                <c:pt idx="12">
                  <c:v>0.27735009811261457</c:v>
                </c:pt>
                <c:pt idx="13">
                  <c:v>0.2672612419124244</c:v>
                </c:pt>
                <c:pt idx="14">
                  <c:v>0.2581988897471611</c:v>
                </c:pt>
                <c:pt idx="15">
                  <c:v>0.25</c:v>
                </c:pt>
                <c:pt idx="16">
                  <c:v>0.24253562503633297</c:v>
                </c:pt>
                <c:pt idx="17">
                  <c:v>0.23570226039551587</c:v>
                </c:pt>
                <c:pt idx="18">
                  <c:v>0.22941573387056174</c:v>
                </c:pt>
                <c:pt idx="19">
                  <c:v>0.22360679774997896</c:v>
                </c:pt>
                <c:pt idx="20">
                  <c:v>0.21821789023599239</c:v>
                </c:pt>
                <c:pt idx="21">
                  <c:v>0.21320071635561041</c:v>
                </c:pt>
                <c:pt idx="22">
                  <c:v>0.20851441405707477</c:v>
                </c:pt>
                <c:pt idx="23">
                  <c:v>0.20412414523193154</c:v>
                </c:pt>
                <c:pt idx="24">
                  <c:v>0.2</c:v>
                </c:pt>
                <c:pt idx="25">
                  <c:v>0.19611613513818404</c:v>
                </c:pt>
                <c:pt idx="26">
                  <c:v>0.19245008972987526</c:v>
                </c:pt>
                <c:pt idx="27">
                  <c:v>0.1889822365046136</c:v>
                </c:pt>
                <c:pt idx="28">
                  <c:v>0.18569533817705186</c:v>
                </c:pt>
                <c:pt idx="29">
                  <c:v>0.18257418583505536</c:v>
                </c:pt>
                <c:pt idx="30">
                  <c:v>0.17960530202677491</c:v>
                </c:pt>
                <c:pt idx="31">
                  <c:v>0.17677669529663687</c:v>
                </c:pt>
                <c:pt idx="32">
                  <c:v>0.17407765595569785</c:v>
                </c:pt>
                <c:pt idx="33">
                  <c:v>0.17149858514250882</c:v>
                </c:pt>
                <c:pt idx="34">
                  <c:v>0.1690308509457033</c:v>
                </c:pt>
                <c:pt idx="35">
                  <c:v>0.16666666666666666</c:v>
                </c:pt>
                <c:pt idx="36">
                  <c:v>0.16439898730535729</c:v>
                </c:pt>
                <c:pt idx="37">
                  <c:v>0.16222142113076254</c:v>
                </c:pt>
                <c:pt idx="38">
                  <c:v>0.16012815380508713</c:v>
                </c:pt>
                <c:pt idx="39">
                  <c:v>0.15811388300841897</c:v>
                </c:pt>
                <c:pt idx="40">
                  <c:v>0.15617376188860607</c:v>
                </c:pt>
                <c:pt idx="41">
                  <c:v>0.15430334996209191</c:v>
                </c:pt>
                <c:pt idx="42">
                  <c:v>0.15249857033260467</c:v>
                </c:pt>
                <c:pt idx="43">
                  <c:v>0.15075567228888181</c:v>
                </c:pt>
                <c:pt idx="44">
                  <c:v>0.14907119849998599</c:v>
                </c:pt>
                <c:pt idx="45">
                  <c:v>0.14744195615489714</c:v>
                </c:pt>
              </c:numCache>
            </c:numRef>
          </c:xVal>
          <c:yVal>
            <c:numRef>
              <c:f>'Diffusion Linearization'!$C$5:$C$50</c:f>
              <c:numCache>
                <c:formatCode>General</c:formatCode>
                <c:ptCount val="46"/>
                <c:pt idx="0">
                  <c:v>2.8502147100174544E-6</c:v>
                </c:pt>
                <c:pt idx="1">
                  <c:v>2.2305091049970082E-6</c:v>
                </c:pt>
                <c:pt idx="2">
                  <c:v>1.9559693321127135E-6</c:v>
                </c:pt>
                <c:pt idx="3">
                  <c:v>1.7923110693477384E-6</c:v>
                </c:pt>
                <c:pt idx="4">
                  <c:v>1.680625210350821E-6</c:v>
                </c:pt>
                <c:pt idx="5">
                  <c:v>1.5981821342358394E-6</c:v>
                </c:pt>
                <c:pt idx="6">
                  <c:v>1.5341074127585668E-6</c:v>
                </c:pt>
                <c:pt idx="7">
                  <c:v>1.4824582668375155E-6</c:v>
                </c:pt>
                <c:pt idx="8">
                  <c:v>1.4396765224578333E-6</c:v>
                </c:pt>
                <c:pt idx="9">
                  <c:v>1.4034844385781502E-6</c:v>
                </c:pt>
                <c:pt idx="10">
                  <c:v>1.3723473269420973E-6</c:v>
                </c:pt>
                <c:pt idx="11">
                  <c:v>1.3451883803953681E-6</c:v>
                </c:pt>
                <c:pt idx="12">
                  <c:v>1.3212267857448984E-6</c:v>
                </c:pt>
                <c:pt idx="13">
                  <c:v>1.2998807103361494E-6</c:v>
                </c:pt>
                <c:pt idx="14">
                  <c:v>1.2807065196388233E-6</c:v>
                </c:pt>
                <c:pt idx="15">
                  <c:v>1.2633592490128803E-6</c:v>
                </c:pt>
                <c:pt idx="16">
                  <c:v>1.247566070114106E-6</c:v>
                </c:pt>
                <c:pt idx="17">
                  <c:v>1.2331079874510179E-6</c:v>
                </c:pt>
                <c:pt idx="18">
                  <c:v>1.2198069088551863E-6</c:v>
                </c:pt>
                <c:pt idx="19">
                  <c:v>1.2075163195144216E-6</c:v>
                </c:pt>
                <c:pt idx="20">
                  <c:v>1.1961144297578641E-6</c:v>
                </c:pt>
                <c:pt idx="21">
                  <c:v>1.1854990567300059E-6</c:v>
                </c:pt>
                <c:pt idx="22">
                  <c:v>1.1755837442042064E-6</c:v>
                </c:pt>
                <c:pt idx="23">
                  <c:v>1.1662947814569308E-6</c:v>
                </c:pt>
                <c:pt idx="24">
                  <c:v>1.1575688849459089E-6</c:v>
                </c:pt>
                <c:pt idx="25">
                  <c:v>1.1493513753915404E-6</c:v>
                </c:pt>
                <c:pt idx="26">
                  <c:v>1.1415947298229197E-6</c:v>
                </c:pt>
                <c:pt idx="27">
                  <c:v>1.1342574207182945E-6</c:v>
                </c:pt>
                <c:pt idx="28">
                  <c:v>1.127302977303817E-6</c:v>
                </c:pt>
                <c:pt idx="29">
                  <c:v>1.1206992204524512E-6</c:v>
                </c:pt>
                <c:pt idx="30">
                  <c:v>1.1144176344734407E-6</c:v>
                </c:pt>
                <c:pt idx="31">
                  <c:v>1.1084328477577689E-6</c:v>
                </c:pt>
                <c:pt idx="32">
                  <c:v>1.1027222006675885E-6</c:v>
                </c:pt>
                <c:pt idx="33">
                  <c:v>1.0972653838619532E-6</c:v>
                </c:pt>
                <c:pt idx="34">
                  <c:v>1.0920441338799419E-6</c:v>
                </c:pt>
                <c:pt idx="35">
                  <c:v>1.0870419755679278E-6</c:v>
                </c:pt>
                <c:pt idx="36">
                  <c:v>1.0822440030635263E-6</c:v>
                </c:pt>
                <c:pt idx="37">
                  <c:v>1.0776366926957202E-6</c:v>
                </c:pt>
                <c:pt idx="38">
                  <c:v>1.0732077424462664E-6</c:v>
                </c:pt>
                <c:pt idx="39">
                  <c:v>1.0689459336280865E-6</c:v>
                </c:pt>
                <c:pt idx="40">
                  <c:v>1.0648410112361059E-6</c:v>
                </c:pt>
                <c:pt idx="41">
                  <c:v>1.0608835800628831E-6</c:v>
                </c:pt>
                <c:pt idx="42">
                  <c:v>1.0570650141816008E-6</c:v>
                </c:pt>
                <c:pt idx="43">
                  <c:v>1.0533773778100599E-6</c:v>
                </c:pt>
                <c:pt idx="44">
                  <c:v>1.0498133559022887E-6</c:v>
                </c:pt>
                <c:pt idx="45">
                  <c:v>1.0463661930854831E-6</c:v>
                </c:pt>
              </c:numCache>
            </c:numRef>
          </c:yVal>
        </c:ser>
        <c:ser>
          <c:idx val="1"/>
          <c:order val="1"/>
          <c:tx>
            <c:strRef>
              <c:f>'Diffusion Linearization'!$E$3</c:f>
              <c:strCache>
                <c:ptCount val="1"/>
                <c:pt idx="0">
                  <c:v>Data</c:v>
                </c:pt>
              </c:strCache>
            </c:strRef>
          </c:tx>
          <c:spPr>
            <a:ln>
              <a:noFill/>
            </a:ln>
            <a:effectLst/>
          </c:spPr>
          <c:marker>
            <c:symbol val="circle"/>
            <c:size val="6"/>
            <c:spPr>
              <a:solidFill>
                <a:sysClr val="window" lastClr="FFFFFF"/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trendline>
            <c:spPr>
              <a:ln w="19050">
                <a:prstDash val="sysDot"/>
              </a:ln>
            </c:spPr>
            <c:trendlineType val="linear"/>
            <c:backward val="1"/>
            <c:dispRSqr val="1"/>
            <c:dispEq val="1"/>
            <c:trendlineLbl>
              <c:layout>
                <c:manualLayout>
                  <c:x val="-0.32660157480314961"/>
                  <c:y val="4.7010890880019307E-2"/>
                </c:manualLayout>
              </c:layout>
              <c:numFmt formatCode="General" sourceLinked="0"/>
            </c:trendlineLbl>
          </c:trendline>
          <c:xVal>
            <c:numRef>
              <c:f>'Diffusion Linearization'!$B$5:$B$50</c:f>
              <c:numCache>
                <c:formatCode>General</c:formatCode>
                <c:ptCount val="46"/>
                <c:pt idx="0">
                  <c:v>1</c:v>
                </c:pt>
                <c:pt idx="1">
                  <c:v>0.70710678118654746</c:v>
                </c:pt>
                <c:pt idx="2">
                  <c:v>0.57735026918962584</c:v>
                </c:pt>
                <c:pt idx="3">
                  <c:v>0.5</c:v>
                </c:pt>
                <c:pt idx="4">
                  <c:v>0.44721359549995793</c:v>
                </c:pt>
                <c:pt idx="5">
                  <c:v>0.40824829046386307</c:v>
                </c:pt>
                <c:pt idx="6">
                  <c:v>0.3779644730092272</c:v>
                </c:pt>
                <c:pt idx="7">
                  <c:v>0.35355339059327373</c:v>
                </c:pt>
                <c:pt idx="8">
                  <c:v>0.33333333333333331</c:v>
                </c:pt>
                <c:pt idx="9">
                  <c:v>0.31622776601683794</c:v>
                </c:pt>
                <c:pt idx="10">
                  <c:v>0.30151134457776363</c:v>
                </c:pt>
                <c:pt idx="11">
                  <c:v>0.28867513459481292</c:v>
                </c:pt>
                <c:pt idx="12">
                  <c:v>0.27735009811261457</c:v>
                </c:pt>
                <c:pt idx="13">
                  <c:v>0.2672612419124244</c:v>
                </c:pt>
                <c:pt idx="14">
                  <c:v>0.2581988897471611</c:v>
                </c:pt>
                <c:pt idx="15">
                  <c:v>0.25</c:v>
                </c:pt>
                <c:pt idx="16">
                  <c:v>0.24253562503633297</c:v>
                </c:pt>
                <c:pt idx="17">
                  <c:v>0.23570226039551587</c:v>
                </c:pt>
                <c:pt idx="18">
                  <c:v>0.22941573387056174</c:v>
                </c:pt>
                <c:pt idx="19">
                  <c:v>0.22360679774997896</c:v>
                </c:pt>
                <c:pt idx="20">
                  <c:v>0.21821789023599239</c:v>
                </c:pt>
                <c:pt idx="21">
                  <c:v>0.21320071635561041</c:v>
                </c:pt>
                <c:pt idx="22">
                  <c:v>0.20851441405707477</c:v>
                </c:pt>
                <c:pt idx="23">
                  <c:v>0.20412414523193154</c:v>
                </c:pt>
                <c:pt idx="24">
                  <c:v>0.2</c:v>
                </c:pt>
                <c:pt idx="25">
                  <c:v>0.19611613513818404</c:v>
                </c:pt>
                <c:pt idx="26">
                  <c:v>0.19245008972987526</c:v>
                </c:pt>
                <c:pt idx="27">
                  <c:v>0.1889822365046136</c:v>
                </c:pt>
                <c:pt idx="28">
                  <c:v>0.18569533817705186</c:v>
                </c:pt>
                <c:pt idx="29">
                  <c:v>0.18257418583505536</c:v>
                </c:pt>
                <c:pt idx="30">
                  <c:v>0.17960530202677491</c:v>
                </c:pt>
                <c:pt idx="31">
                  <c:v>0.17677669529663687</c:v>
                </c:pt>
                <c:pt idx="32">
                  <c:v>0.17407765595569785</c:v>
                </c:pt>
                <c:pt idx="33">
                  <c:v>0.17149858514250882</c:v>
                </c:pt>
                <c:pt idx="34">
                  <c:v>0.1690308509457033</c:v>
                </c:pt>
                <c:pt idx="35">
                  <c:v>0.16666666666666666</c:v>
                </c:pt>
                <c:pt idx="36">
                  <c:v>0.16439898730535729</c:v>
                </c:pt>
                <c:pt idx="37">
                  <c:v>0.16222142113076254</c:v>
                </c:pt>
                <c:pt idx="38">
                  <c:v>0.16012815380508713</c:v>
                </c:pt>
                <c:pt idx="39">
                  <c:v>0.15811388300841897</c:v>
                </c:pt>
                <c:pt idx="40">
                  <c:v>0.15617376188860607</c:v>
                </c:pt>
                <c:pt idx="41">
                  <c:v>0.15430334996209191</c:v>
                </c:pt>
                <c:pt idx="42">
                  <c:v>0.15249857033260467</c:v>
                </c:pt>
                <c:pt idx="43">
                  <c:v>0.15075567228888181</c:v>
                </c:pt>
                <c:pt idx="44">
                  <c:v>0.14907119849998599</c:v>
                </c:pt>
                <c:pt idx="45">
                  <c:v>0.14744195615489714</c:v>
                </c:pt>
              </c:numCache>
            </c:numRef>
          </c:xVal>
          <c:yVal>
            <c:numRef>
              <c:f>'Diffusion Linearization'!$D$5:$D$50</c:f>
              <c:numCache>
                <c:formatCode>General</c:formatCode>
                <c:ptCount val="46"/>
                <c:pt idx="0">
                  <c:v>3.0306703842890049E-6</c:v>
                </c:pt>
                <c:pt idx="1">
                  <c:v>2.0583967147988433E-6</c:v>
                </c:pt>
                <c:pt idx="2">
                  <c:v>1.8511662347278786E-6</c:v>
                </c:pt>
                <c:pt idx="3">
                  <c:v>1.7285337712285554E-6</c:v>
                </c:pt>
                <c:pt idx="4">
                  <c:v>1.6435069150553451E-6</c:v>
                </c:pt>
                <c:pt idx="5">
                  <c:v>1.5818279603910279E-6</c:v>
                </c:pt>
                <c:pt idx="6">
                  <c:v>1.5331427125894014E-6</c:v>
                </c:pt>
                <c:pt idx="7">
                  <c:v>1.4914131885668264E-6</c:v>
                </c:pt>
                <c:pt idx="8">
                  <c:v>1.4557524056308504E-6</c:v>
                </c:pt>
                <c:pt idx="9">
                  <c:v>1.4232342999466288E-6</c:v>
                </c:pt>
                <c:pt idx="10">
                  <c:v>1.3935534218704274E-6</c:v>
                </c:pt>
                <c:pt idx="11">
                  <c:v>1.3664468964574863E-6</c:v>
                </c:pt>
                <c:pt idx="12">
                  <c:v>1.3416875746313714E-6</c:v>
                </c:pt>
                <c:pt idx="13">
                  <c:v>1.3190784917656526E-6</c:v>
                </c:pt>
                <c:pt idx="14">
                  <c:v>1.298448354216711E-6</c:v>
                </c:pt>
                <c:pt idx="15">
                  <c:v>1.2796478409141803E-6</c:v>
                </c:pt>
                <c:pt idx="16">
                  <c:v>1.2619650057103917E-6</c:v>
                </c:pt>
                <c:pt idx="17">
                  <c:v>1.2458963289664667E-6</c:v>
                </c:pt>
                <c:pt idx="18">
                  <c:v>1.2307843788846632E-6</c:v>
                </c:pt>
                <c:pt idx="19">
                  <c:v>1.216574612520986E-6</c:v>
                </c:pt>
                <c:pt idx="20">
                  <c:v>1.203746057731661E-6</c:v>
                </c:pt>
                <c:pt idx="21">
                  <c:v>1.1917033611993303E-6</c:v>
                </c:pt>
                <c:pt idx="22">
                  <c:v>1.1804075947424646E-6</c:v>
                </c:pt>
                <c:pt idx="23">
                  <c:v>1.1698232397084801E-6</c:v>
                </c:pt>
                <c:pt idx="24">
                  <c:v>1.1599178778142507E-6</c:v>
                </c:pt>
                <c:pt idx="25">
                  <c:v>1.150661918268484E-6</c:v>
                </c:pt>
                <c:pt idx="26">
                  <c:v>1.1420283565640934E-6</c:v>
                </c:pt>
                <c:pt idx="27">
                  <c:v>1.1339925610087997E-6</c:v>
                </c:pt>
                <c:pt idx="28">
                  <c:v>1.126532083633742E-6</c:v>
                </c:pt>
                <c:pt idx="29">
                  <c:v>1.1196264926020679E-6</c:v>
                </c:pt>
                <c:pt idx="30">
                  <c:v>1.1128050476836964E-6</c:v>
                </c:pt>
                <c:pt idx="31">
                  <c:v>1.1065129351362117E-6</c:v>
                </c:pt>
                <c:pt idx="32">
                  <c:v>1.1007336389703738E-6</c:v>
                </c:pt>
                <c:pt idx="33">
                  <c:v>1.0954522300668773E-6</c:v>
                </c:pt>
                <c:pt idx="34">
                  <c:v>1.0902212604047992E-6</c:v>
                </c:pt>
                <c:pt idx="35">
                  <c:v>1.0854698999196751E-6</c:v>
                </c:pt>
                <c:pt idx="36">
                  <c:v>1.0807597741212071E-6</c:v>
                </c:pt>
                <c:pt idx="37">
                  <c:v>1.0765131738299648E-6</c:v>
                </c:pt>
                <c:pt idx="38">
                  <c:v>1.072299815028282E-6</c:v>
                </c:pt>
                <c:pt idx="39">
                  <c:v>1.0685358921206164E-6</c:v>
                </c:pt>
                <c:pt idx="40">
                  <c:v>1.0647983005819122E-6</c:v>
                </c:pt>
                <c:pt idx="41">
                  <c:v>1.0614978796579853E-6</c:v>
                </c:pt>
                <c:pt idx="42">
                  <c:v>1.0582178553098726E-6</c:v>
                </c:pt>
                <c:pt idx="43">
                  <c:v>1.0553644173333052E-6</c:v>
                </c:pt>
                <c:pt idx="44">
                  <c:v>1.052526326314737E-6</c:v>
                </c:pt>
                <c:pt idx="45">
                  <c:v>1.0497034587728967E-6</c:v>
                </c:pt>
              </c:numCache>
            </c:numRef>
          </c:yVal>
        </c:ser>
        <c:axId val="150698624"/>
        <c:axId val="150697088"/>
      </c:scatterChart>
      <c:valAx>
        <c:axId val="150698624"/>
        <c:scaling>
          <c:orientation val="minMax"/>
          <c:max val="1"/>
          <c:min val="0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1/sqrt(Time)</a:t>
                </a:r>
              </a:p>
            </c:rich>
          </c:tx>
          <c:layout>
            <c:manualLayout>
              <c:xMode val="edge"/>
              <c:yMode val="edge"/>
              <c:x val="0.52338515867334767"/>
              <c:y val="0.88201466196035838"/>
            </c:manualLayout>
          </c:layout>
        </c:title>
        <c:numFmt formatCode="General" sourceLinked="1"/>
        <c:tickLblPos val="nextTo"/>
        <c:crossAx val="150697088"/>
        <c:crosses val="autoZero"/>
        <c:crossBetween val="midCat"/>
      </c:valAx>
      <c:valAx>
        <c:axId val="150697088"/>
        <c:scaling>
          <c:orientation val="minMax"/>
          <c:max val="3.5000000000000012E-6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1/Production</a:t>
                </a:r>
              </a:p>
            </c:rich>
          </c:tx>
          <c:layout>
            <c:manualLayout>
              <c:xMode val="edge"/>
              <c:yMode val="edge"/>
              <c:x val="1.061531853972799E-2"/>
              <c:y val="0.29583280538208584"/>
            </c:manualLayout>
          </c:layout>
        </c:title>
        <c:numFmt formatCode="0.0E+00" sourceLinked="0"/>
        <c:tickLblPos val="nextTo"/>
        <c:crossAx val="1506986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48900214745884"/>
          <c:y val="0.45794943735481342"/>
          <c:w val="0.2680607015032212"/>
          <c:h val="0.263436510091411"/>
        </c:manualLayout>
      </c:layout>
    </c:legend>
    <c:plotVisOnly val="1"/>
  </c:chart>
  <c:spPr>
    <a:solidFill>
      <a:schemeClr val="accent5">
        <a:lumMod val="20000"/>
        <a:lumOff val="80000"/>
      </a:schemeClr>
    </a:solidFill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22</xdr:row>
      <xdr:rowOff>142874</xdr:rowOff>
    </xdr:from>
    <xdr:to>
      <xdr:col>33</xdr:col>
      <xdr:colOff>206374</xdr:colOff>
      <xdr:row>75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269875</xdr:colOff>
      <xdr:row>13</xdr:row>
      <xdr:rowOff>79376</xdr:rowOff>
    </xdr:from>
    <xdr:to>
      <xdr:col>24</xdr:col>
      <xdr:colOff>333375</xdr:colOff>
      <xdr:row>59</xdr:row>
      <xdr:rowOff>47626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20</xdr:row>
      <xdr:rowOff>0</xdr:rowOff>
    </xdr:from>
    <xdr:to>
      <xdr:col>12</xdr:col>
      <xdr:colOff>66675</xdr:colOff>
      <xdr:row>34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60021</xdr:colOff>
      <xdr:row>1</xdr:row>
      <xdr:rowOff>158598</xdr:rowOff>
    </xdr:from>
    <xdr:to>
      <xdr:col>18</xdr:col>
      <xdr:colOff>416680</xdr:colOff>
      <xdr:row>25</xdr:row>
      <xdr:rowOff>34773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520187</xdr:colOff>
      <xdr:row>25</xdr:row>
      <xdr:rowOff>21170</xdr:rowOff>
    </xdr:from>
    <xdr:to>
      <xdr:col>17</xdr:col>
      <xdr:colOff>93160</xdr:colOff>
      <xdr:row>48</xdr:row>
      <xdr:rowOff>61991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17020" y="4783670"/>
          <a:ext cx="5711307" cy="44223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14</xdr:row>
      <xdr:rowOff>152400</xdr:rowOff>
    </xdr:from>
    <xdr:to>
      <xdr:col>15</xdr:col>
      <xdr:colOff>66675</xdr:colOff>
      <xdr:row>32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0.24947</cdr:x>
      <cdr:y>0.61342</cdr:y>
    </cdr:from>
    <cdr:to>
      <cdr:x>0.28918</cdr:x>
      <cdr:y>0.62847</cdr:y>
    </cdr:to>
    <cdr:sp macro="" textlink="">
      <cdr:nvSpPr>
        <cdr:cNvPr id="8" name="Right Arrow 7"/>
        <cdr:cNvSpPr/>
      </cdr:nvSpPr>
      <cdr:spPr>
        <a:xfrm xmlns:a="http://schemas.openxmlformats.org/drawingml/2006/main" flipH="1">
          <a:off x="1309428" y="2033309"/>
          <a:ext cx="208407" cy="49866"/>
        </a:xfrm>
        <a:prstGeom xmlns:a="http://schemas.openxmlformats.org/drawingml/2006/main" prst="rightArrow">
          <a:avLst/>
        </a:prstGeom>
        <a:ln xmlns:a="http://schemas.openxmlformats.org/drawingml/2006/main" w="31750">
          <a:solidFill>
            <a:srgbClr val="FF0000"/>
          </a:solidFill>
          <a:tailEnd type="stealth" w="lg" len="lg"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0.28597</cdr:x>
      <cdr:y>0.57776</cdr:y>
    </cdr:from>
    <cdr:to>
      <cdr:x>0.52509</cdr:x>
      <cdr:y>0.66227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1501028" y="1915085"/>
          <a:ext cx="1255059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 i="1"/>
            <a:t>Intercept = 1 / EUR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31750">
          <a:solidFill>
            <a:srgbClr val="FF0000"/>
          </a:solidFill>
          <a:tailEnd type="stealth" w="lg" len="lg"/>
        </a:ln>
      </a:spPr>
      <a:bodyPr vertOverflow="clip"/>
      <a:lstStyle>
        <a:defPPr>
          <a:defRPr/>
        </a:defPPr>
      </a:lstStyle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68"/>
  <sheetViews>
    <sheetView topLeftCell="H22" zoomScale="60" zoomScaleNormal="60" workbookViewId="0">
      <selection activeCell="Q4" sqref="Q4"/>
    </sheetView>
  </sheetViews>
  <sheetFormatPr defaultRowHeight="15"/>
  <cols>
    <col min="1" max="1" width="0" hidden="1" customWidth="1"/>
    <col min="2" max="2" width="14.28515625" hidden="1" customWidth="1"/>
    <col min="3" max="3" width="13.7109375" hidden="1" customWidth="1"/>
    <col min="4" max="7" width="0" hidden="1" customWidth="1"/>
    <col min="9" max="9" width="16.28515625" style="3" customWidth="1"/>
    <col min="10" max="10" width="13" style="5" customWidth="1"/>
    <col min="11" max="11" width="13" customWidth="1"/>
    <col min="12" max="12" width="11.140625" customWidth="1"/>
    <col min="14" max="14" width="13.7109375" style="3" customWidth="1"/>
    <col min="15" max="15" width="13.7109375" style="5" customWidth="1"/>
    <col min="16" max="16" width="9.140625" style="3" customWidth="1"/>
    <col min="17" max="17" width="9.140625" style="3"/>
    <col min="18" max="19" width="9.140625" style="5"/>
  </cols>
  <sheetData>
    <row r="1" spans="1:23">
      <c r="Q1" s="3">
        <v>1</v>
      </c>
    </row>
    <row r="2" spans="1:23">
      <c r="B2" t="s">
        <v>8</v>
      </c>
      <c r="I2" s="3" t="s">
        <v>9</v>
      </c>
      <c r="P2" s="3">
        <v>3.5937000000004072E-3</v>
      </c>
      <c r="Q2" s="3">
        <v>552641.15410307853</v>
      </c>
      <c r="R2" s="5">
        <v>2.3912593777706999E-3</v>
      </c>
      <c r="S2" s="5">
        <v>260687.52066541466</v>
      </c>
    </row>
    <row r="3" spans="1:23">
      <c r="A3" t="s">
        <v>0</v>
      </c>
      <c r="B3" t="s">
        <v>1</v>
      </c>
      <c r="C3" t="s">
        <v>2</v>
      </c>
      <c r="D3" s="1">
        <v>45627</v>
      </c>
      <c r="E3" s="1">
        <v>43435</v>
      </c>
      <c r="F3" s="1">
        <v>41974</v>
      </c>
      <c r="G3" s="1">
        <v>42705</v>
      </c>
      <c r="H3" s="1" t="s">
        <v>16</v>
      </c>
      <c r="I3" s="3" t="s">
        <v>3</v>
      </c>
      <c r="J3" s="5" t="s">
        <v>4</v>
      </c>
      <c r="K3" t="s">
        <v>5</v>
      </c>
      <c r="L3" t="s">
        <v>6</v>
      </c>
      <c r="M3" t="s">
        <v>7</v>
      </c>
      <c r="N3" s="3" t="s">
        <v>10</v>
      </c>
      <c r="O3" s="5" t="s">
        <v>11</v>
      </c>
      <c r="P3" s="7" t="s">
        <v>15</v>
      </c>
      <c r="Q3" s="3">
        <v>3.8112589591900062E-3</v>
      </c>
      <c r="R3" s="8" t="s">
        <v>14</v>
      </c>
      <c r="S3" s="5">
        <v>3.9796019999999536E-3</v>
      </c>
    </row>
    <row r="4" spans="1:23">
      <c r="A4">
        <v>1</v>
      </c>
      <c r="B4" s="2">
        <v>14897.615546421317</v>
      </c>
      <c r="C4" s="2">
        <v>7448.8077732106585</v>
      </c>
      <c r="D4" s="2">
        <v>7311.2936701189419</v>
      </c>
      <c r="E4" s="2">
        <v>10436.514851444223</v>
      </c>
      <c r="F4" s="2">
        <v>13275.400122948058</v>
      </c>
      <c r="G4" s="2">
        <v>11770.68012232139</v>
      </c>
      <c r="H4" s="2">
        <f>+$A4</f>
        <v>1</v>
      </c>
      <c r="I4" s="4">
        <v>14897.615546421317</v>
      </c>
      <c r="J4" s="6">
        <v>7311.2936701189419</v>
      </c>
      <c r="K4" s="2">
        <v>10436.514851444223</v>
      </c>
      <c r="L4" s="2">
        <v>13275.400122948058</v>
      </c>
      <c r="M4" s="2">
        <v>11770.68012232139</v>
      </c>
      <c r="N4" s="3">
        <f>+$Q4</f>
        <v>32077.735282020123</v>
      </c>
      <c r="O4" s="5">
        <f>+$S4</f>
        <v>15460.668477296776</v>
      </c>
      <c r="P4" s="3">
        <f>+(1-EXP(-$P$2*$H4))/$P$2</f>
        <v>0.99820530051420564</v>
      </c>
      <c r="Q4" s="3">
        <f>+$Q$2*SQRT($P4/$Q$1)/(1+1/SQRT($Q$3*$P4))</f>
        <v>32077.735282020123</v>
      </c>
      <c r="R4" s="5">
        <f>+(1-EXP(-$R$2*$H4))/$R$2</f>
        <v>0.99880532276190537</v>
      </c>
      <c r="S4" s="5">
        <f>+$S$2/(1+1/SQRT($S$3*$R4))</f>
        <v>15460.668477296776</v>
      </c>
    </row>
    <row r="5" spans="1:23">
      <c r="A5">
        <v>2</v>
      </c>
      <c r="B5" s="2">
        <v>13258.000343176094</v>
      </c>
      <c r="C5" s="2">
        <v>6629.0001715880471</v>
      </c>
      <c r="D5" s="2">
        <v>6506.6207196347868</v>
      </c>
      <c r="E5" s="2">
        <v>9287.8834905394178</v>
      </c>
      <c r="F5" s="2">
        <v>11814.324167341338</v>
      </c>
      <c r="G5" s="2">
        <v>10475.211997173636</v>
      </c>
      <c r="H5" s="2">
        <f t="shared" ref="H5:H68" si="0">+$A5</f>
        <v>2</v>
      </c>
      <c r="I5" s="4">
        <v>28155.615889597411</v>
      </c>
      <c r="J5" s="6">
        <v>13817.914389753729</v>
      </c>
      <c r="K5" s="2">
        <v>19724.39834198364</v>
      </c>
      <c r="L5" s="2">
        <v>25089.724290289396</v>
      </c>
      <c r="M5" s="2">
        <v>22245.892119495024</v>
      </c>
      <c r="N5" s="3">
        <f t="shared" ref="N5:N68" si="1">+$Q5</f>
        <v>44301.958853157194</v>
      </c>
      <c r="O5" s="5">
        <f t="shared" ref="O5:O68" si="2">+$S5</f>
        <v>21328.736991506757</v>
      </c>
      <c r="P5" s="3">
        <f t="shared" ref="P5:P68" si="3">+(1-EXP(-$P$2*$H5))/$P$2</f>
        <v>1.9928297886763404</v>
      </c>
      <c r="Q5" s="3">
        <f t="shared" ref="Q5:Q68" si="4">+$Q$2/(1+1/SQRT($Q$3*$P5))</f>
        <v>44301.958853157194</v>
      </c>
      <c r="R5" s="5">
        <f t="shared" ref="R5:R68" si="5">+(1-EXP(-$R$2*$H5))/$R$2</f>
        <v>1.9952250962993914</v>
      </c>
      <c r="S5" s="5">
        <f t="shared" ref="S5:S68" si="6">+$S$2/(1+1/SQRT($S$3*$R5))</f>
        <v>21328.736991506757</v>
      </c>
      <c r="W5" t="s">
        <v>17</v>
      </c>
    </row>
    <row r="6" spans="1:23">
      <c r="A6">
        <v>3</v>
      </c>
      <c r="B6" s="2">
        <v>11798.839388218857</v>
      </c>
      <c r="C6" s="2">
        <v>5899.4196941094287</v>
      </c>
      <c r="D6" s="2">
        <v>5790.5091902144795</v>
      </c>
      <c r="E6" s="2">
        <v>8265.6692355396044</v>
      </c>
      <c r="F6" s="2">
        <v>10514.052626538045</v>
      </c>
      <c r="G6" s="2">
        <v>9322.3216709154549</v>
      </c>
      <c r="H6" s="2">
        <f t="shared" si="0"/>
        <v>3</v>
      </c>
      <c r="I6" s="4">
        <v>39954.455277816269</v>
      </c>
      <c r="J6" s="6">
        <v>19608.423579968206</v>
      </c>
      <c r="K6" s="2">
        <v>27990.067577523245</v>
      </c>
      <c r="L6" s="2">
        <v>35603.776916827439</v>
      </c>
      <c r="M6" s="2">
        <v>31568.213790410478</v>
      </c>
      <c r="N6" s="3">
        <f t="shared" si="1"/>
        <v>53255.163227319004</v>
      </c>
      <c r="O6" s="5">
        <f t="shared" si="2"/>
        <v>25636.789454848597</v>
      </c>
      <c r="P6" s="3">
        <f t="shared" si="3"/>
        <v>2.9838863097569748</v>
      </c>
      <c r="Q6" s="3">
        <f t="shared" si="4"/>
        <v>53255.163227319004</v>
      </c>
      <c r="R6" s="5">
        <f t="shared" si="5"/>
        <v>2.989265018264426</v>
      </c>
      <c r="S6" s="5">
        <f t="shared" si="6"/>
        <v>25636.789454848597</v>
      </c>
    </row>
    <row r="7" spans="1:23">
      <c r="A7">
        <v>4</v>
      </c>
      <c r="B7" s="2">
        <v>10500.272085197043</v>
      </c>
      <c r="C7" s="2">
        <v>5250.1360425985213</v>
      </c>
      <c r="D7" s="2">
        <v>5153.2121091331064</v>
      </c>
      <c r="E7" s="2">
        <v>7355.9587586275766</v>
      </c>
      <c r="F7" s="2">
        <v>9356.8875432752247</v>
      </c>
      <c r="G7" s="2">
        <v>8296.3171876109373</v>
      </c>
      <c r="H7" s="2">
        <f t="shared" si="0"/>
        <v>4</v>
      </c>
      <c r="I7" s="4">
        <v>50454.727363013313</v>
      </c>
      <c r="J7" s="6">
        <v>24761.635689101313</v>
      </c>
      <c r="K7" s="2">
        <v>35346.026336150819</v>
      </c>
      <c r="L7" s="2">
        <v>44960.664460102664</v>
      </c>
      <c r="M7" s="2">
        <v>39864.530978021416</v>
      </c>
      <c r="N7" s="3">
        <f t="shared" si="1"/>
        <v>60542.152070248922</v>
      </c>
      <c r="O7" s="5">
        <f t="shared" si="2"/>
        <v>29143.738173033384</v>
      </c>
      <c r="P7" s="3">
        <f t="shared" si="3"/>
        <v>3.9713876629473734</v>
      </c>
      <c r="Q7" s="3">
        <f t="shared" si="4"/>
        <v>60542.152070248922</v>
      </c>
      <c r="R7" s="5">
        <f t="shared" si="5"/>
        <v>3.9809307727006793</v>
      </c>
      <c r="S7" s="5">
        <f t="shared" si="6"/>
        <v>29143.738173033384</v>
      </c>
    </row>
    <row r="8" spans="1:23">
      <c r="A8">
        <v>5</v>
      </c>
      <c r="B8" s="2">
        <v>9344.6236731774297</v>
      </c>
      <c r="C8" s="2">
        <v>4672.3118365887149</v>
      </c>
      <c r="D8" s="2">
        <v>4586.0552447776008</v>
      </c>
      <c r="E8" s="2">
        <v>6546.3700175630393</v>
      </c>
      <c r="F8" s="2">
        <v>8327.0787780265273</v>
      </c>
      <c r="G8" s="2">
        <v>7383.23363075816</v>
      </c>
      <c r="H8" s="2">
        <f t="shared" si="0"/>
        <v>5</v>
      </c>
      <c r="I8" s="4">
        <v>59799.351036190739</v>
      </c>
      <c r="J8" s="6">
        <v>29347.690933878912</v>
      </c>
      <c r="K8" s="2">
        <v>41892.396353713855</v>
      </c>
      <c r="L8" s="2">
        <v>53287.743238129187</v>
      </c>
      <c r="M8" s="2">
        <v>47247.764608779573</v>
      </c>
      <c r="N8" s="3">
        <f t="shared" si="1"/>
        <v>66771.485137387135</v>
      </c>
      <c r="O8" s="5">
        <f t="shared" si="2"/>
        <v>32142.505742089597</v>
      </c>
      <c r="P8" s="3">
        <f t="shared" si="3"/>
        <v>4.9553466015249601</v>
      </c>
      <c r="Q8" s="3">
        <f t="shared" si="4"/>
        <v>66771.485137387135</v>
      </c>
      <c r="R8" s="5">
        <f t="shared" si="5"/>
        <v>4.9702280300760231</v>
      </c>
      <c r="S8" s="5">
        <f t="shared" si="6"/>
        <v>32142.505742089597</v>
      </c>
    </row>
    <row r="9" spans="1:23">
      <c r="A9">
        <v>6</v>
      </c>
      <c r="B9" s="2">
        <v>8316.1646560008539</v>
      </c>
      <c r="C9" s="2">
        <v>4158.082328000427</v>
      </c>
      <c r="D9" s="2">
        <v>4081.3190419383368</v>
      </c>
      <c r="E9" s="2">
        <v>5825.8837240740431</v>
      </c>
      <c r="F9" s="2">
        <v>7410.6096343216659</v>
      </c>
      <c r="G9" s="2">
        <v>6570.6430472261163</v>
      </c>
      <c r="H9" s="2">
        <f t="shared" si="0"/>
        <v>6</v>
      </c>
      <c r="I9" s="4">
        <v>68115.515692191591</v>
      </c>
      <c r="J9" s="6">
        <v>33429.009975817251</v>
      </c>
      <c r="K9" s="2">
        <v>47718.280077787902</v>
      </c>
      <c r="L9" s="2">
        <v>60698.352872450851</v>
      </c>
      <c r="M9" s="2">
        <v>53818.407656005686</v>
      </c>
      <c r="N9" s="3">
        <f t="shared" si="1"/>
        <v>72254.356569016687</v>
      </c>
      <c r="O9" s="5">
        <f t="shared" si="2"/>
        <v>34782.821414767197</v>
      </c>
      <c r="P9" s="3">
        <f t="shared" si="3"/>
        <v>5.9357758330178862</v>
      </c>
      <c r="Q9" s="3">
        <f t="shared" si="4"/>
        <v>72254.356569016687</v>
      </c>
      <c r="R9" s="5">
        <f t="shared" si="5"/>
        <v>5.9571624473150315</v>
      </c>
      <c r="S9" s="5">
        <f t="shared" si="6"/>
        <v>34782.821414767197</v>
      </c>
    </row>
    <row r="10" spans="1:23">
      <c r="A10">
        <v>7</v>
      </c>
      <c r="B10" s="2">
        <v>7400.8967085778831</v>
      </c>
      <c r="C10" s="2">
        <v>3700.4483542889416</v>
      </c>
      <c r="D10" s="2">
        <v>3632.133551172752</v>
      </c>
      <c r="E10" s="2">
        <v>5184.6933606520761</v>
      </c>
      <c r="F10" s="2">
        <v>6595.0060779076939</v>
      </c>
      <c r="G10" s="2">
        <v>5847.48529075432</v>
      </c>
      <c r="H10" s="2">
        <f t="shared" si="0"/>
        <v>7</v>
      </c>
      <c r="I10" s="4">
        <v>75516.412400769477</v>
      </c>
      <c r="J10" s="6">
        <v>37061.143526990003</v>
      </c>
      <c r="K10" s="2">
        <v>52902.973438439978</v>
      </c>
      <c r="L10" s="2">
        <v>67293.358950358539</v>
      </c>
      <c r="M10" s="2">
        <v>59665.892946760003</v>
      </c>
      <c r="N10" s="3">
        <f t="shared" si="1"/>
        <v>77175.103460443366</v>
      </c>
      <c r="O10" s="5">
        <f t="shared" si="2"/>
        <v>37153.344415086678</v>
      </c>
      <c r="P10" s="3">
        <f t="shared" si="3"/>
        <v>6.9126880193692672</v>
      </c>
      <c r="Q10" s="3">
        <f t="shared" si="4"/>
        <v>77175.103460443366</v>
      </c>
      <c r="R10" s="5">
        <f t="shared" si="5"/>
        <v>6.9417396678312011</v>
      </c>
      <c r="S10" s="5">
        <f t="shared" si="6"/>
        <v>37153.344415086678</v>
      </c>
    </row>
    <row r="11" spans="1:23">
      <c r="A11">
        <v>8</v>
      </c>
      <c r="B11" s="2">
        <v>6586.3621461024277</v>
      </c>
      <c r="C11" s="2">
        <v>3293.1810730512138</v>
      </c>
      <c r="D11" s="2">
        <v>3232.3849221278506</v>
      </c>
      <c r="E11" s="2">
        <v>4614.0717043339419</v>
      </c>
      <c r="F11" s="2">
        <v>5869.1669530398422</v>
      </c>
      <c r="G11" s="2">
        <v>5203.9174826310409</v>
      </c>
      <c r="H11" s="2">
        <f t="shared" si="0"/>
        <v>8</v>
      </c>
      <c r="I11" s="4">
        <v>82102.774546871908</v>
      </c>
      <c r="J11" s="6">
        <v>40293.528449117854</v>
      </c>
      <c r="K11" s="2">
        <v>57517.045142773917</v>
      </c>
      <c r="L11" s="2">
        <v>73162.525903398375</v>
      </c>
      <c r="M11" s="2">
        <v>64869.810429391044</v>
      </c>
      <c r="N11" s="3">
        <f t="shared" si="1"/>
        <v>81653.495338352353</v>
      </c>
      <c r="O11" s="5">
        <f t="shared" si="2"/>
        <v>39311.65869167776</v>
      </c>
      <c r="P11" s="3">
        <f t="shared" si="3"/>
        <v>7.886095777100695</v>
      </c>
      <c r="Q11" s="3">
        <f t="shared" si="4"/>
        <v>81653.495338352353</v>
      </c>
      <c r="R11" s="5">
        <f t="shared" si="5"/>
        <v>7.9239653215592201</v>
      </c>
      <c r="S11" s="5">
        <f t="shared" si="6"/>
        <v>39311.65869167776</v>
      </c>
    </row>
    <row r="12" spans="1:23">
      <c r="A12">
        <v>9</v>
      </c>
      <c r="B12" s="2">
        <v>5861.4743628744254</v>
      </c>
      <c r="C12" s="2">
        <v>2930.7371814372127</v>
      </c>
      <c r="D12" s="2">
        <v>2876.6321881049507</v>
      </c>
      <c r="E12" s="2">
        <v>4106.2520407296633</v>
      </c>
      <c r="F12" s="2">
        <v>5223.2128849809296</v>
      </c>
      <c r="G12" s="2">
        <v>4631.1800405640051</v>
      </c>
      <c r="H12" s="2">
        <f t="shared" si="0"/>
        <v>9</v>
      </c>
      <c r="I12" s="4">
        <v>87964.248909746326</v>
      </c>
      <c r="J12" s="6">
        <v>43170.160637222805</v>
      </c>
      <c r="K12" s="2">
        <v>61623.297183503579</v>
      </c>
      <c r="L12" s="2">
        <v>78385.738788379298</v>
      </c>
      <c r="M12" s="2">
        <v>69500.990469955053</v>
      </c>
      <c r="N12" s="3">
        <f t="shared" si="1"/>
        <v>85772.494474393039</v>
      </c>
      <c r="O12" s="5">
        <f t="shared" si="2"/>
        <v>41297.6379339083</v>
      </c>
      <c r="P12" s="3">
        <f t="shared" si="3"/>
        <v>8.8560116774750508</v>
      </c>
      <c r="Q12" s="3">
        <f t="shared" si="4"/>
        <v>85772.494474393039</v>
      </c>
      <c r="R12" s="5">
        <f t="shared" si="5"/>
        <v>8.9038450249874206</v>
      </c>
      <c r="S12" s="5">
        <f t="shared" si="6"/>
        <v>41297.6379339083</v>
      </c>
    </row>
    <row r="13" spans="1:23">
      <c r="A13">
        <v>10</v>
      </c>
      <c r="B13" s="2">
        <v>5216.3669328394462</v>
      </c>
      <c r="C13" s="2">
        <v>2608.1834664197231</v>
      </c>
      <c r="D13" s="2">
        <v>2560.0332092237682</v>
      </c>
      <c r="E13" s="2">
        <v>3654.3224515039333</v>
      </c>
      <c r="F13" s="2">
        <v>4648.3518121256639</v>
      </c>
      <c r="G13" s="2">
        <v>4121.4774522663356</v>
      </c>
      <c r="H13" s="2">
        <f t="shared" si="0"/>
        <v>10</v>
      </c>
      <c r="I13" s="4">
        <v>93180.615842585772</v>
      </c>
      <c r="J13" s="6">
        <v>45730.193846446571</v>
      </c>
      <c r="K13" s="2">
        <v>65277.619635007512</v>
      </c>
      <c r="L13" s="2">
        <v>83034.090600504962</v>
      </c>
      <c r="M13" s="2">
        <v>73622.467922221389</v>
      </c>
      <c r="N13" s="3">
        <f t="shared" si="1"/>
        <v>89592.340046632788</v>
      </c>
      <c r="O13" s="5">
        <f t="shared" si="2"/>
        <v>43140.225003814994</v>
      </c>
      <c r="P13" s="3">
        <f t="shared" si="3"/>
        <v>9.8224482466590377</v>
      </c>
      <c r="Q13" s="3">
        <f t="shared" si="4"/>
        <v>89592.340046632788</v>
      </c>
      <c r="R13" s="5">
        <f t="shared" si="5"/>
        <v>9.8813843811895357</v>
      </c>
      <c r="S13" s="5">
        <f t="shared" si="6"/>
        <v>43140.225003814994</v>
      </c>
    </row>
    <row r="14" spans="1:23">
      <c r="A14">
        <v>11</v>
      </c>
      <c r="B14" s="2">
        <v>4642.2593179571595</v>
      </c>
      <c r="C14" s="2">
        <v>2321.1296589785798</v>
      </c>
      <c r="D14" s="2">
        <v>2278.2787662005517</v>
      </c>
      <c r="E14" s="2">
        <v>3252.1317364612501</v>
      </c>
      <c r="F14" s="2">
        <v>4136.7593175116826</v>
      </c>
      <c r="G14" s="2">
        <v>3667.8721709707279</v>
      </c>
      <c r="H14" s="2">
        <f t="shared" si="0"/>
        <v>11</v>
      </c>
      <c r="I14" s="4">
        <v>97822.875160542928</v>
      </c>
      <c r="J14" s="6">
        <v>48008.472612647121</v>
      </c>
      <c r="K14" s="2">
        <v>68529.751371468767</v>
      </c>
      <c r="L14" s="2">
        <v>87170.84991801664</v>
      </c>
      <c r="M14" s="2">
        <v>77290.340093192121</v>
      </c>
      <c r="N14" s="3">
        <f t="shared" si="1"/>
        <v>93158.384614328563</v>
      </c>
      <c r="O14" s="5">
        <f t="shared" si="2"/>
        <v>44861.203333215766</v>
      </c>
      <c r="P14" s="3">
        <f t="shared" si="3"/>
        <v>10.785417965884783</v>
      </c>
      <c r="Q14" s="3">
        <f t="shared" si="4"/>
        <v>93158.384614328563</v>
      </c>
      <c r="R14" s="5">
        <f t="shared" si="5"/>
        <v>10.856588979856923</v>
      </c>
      <c r="S14" s="5">
        <f t="shared" si="6"/>
        <v>44861.203333215766</v>
      </c>
    </row>
    <row r="15" spans="1:23" s="9" customFormat="1">
      <c r="A15" s="9">
        <v>12</v>
      </c>
      <c r="B15" s="10">
        <v>4131.3373565592638</v>
      </c>
      <c r="C15" s="10">
        <v>2065.6686782796319</v>
      </c>
      <c r="D15" s="10">
        <v>2027.533907692605</v>
      </c>
      <c r="E15" s="10">
        <v>2894.2056897430493</v>
      </c>
      <c r="F15" s="10">
        <v>3681.4721309130296</v>
      </c>
      <c r="G15" s="10">
        <v>3264.1901886867677</v>
      </c>
      <c r="H15" s="10">
        <f t="shared" si="0"/>
        <v>12</v>
      </c>
      <c r="I15" s="11">
        <v>101954.21251710219</v>
      </c>
      <c r="J15" s="12">
        <v>50036.006520339724</v>
      </c>
      <c r="K15" s="10">
        <v>71423.957061211811</v>
      </c>
      <c r="L15" s="10">
        <v>90852.322048929665</v>
      </c>
      <c r="M15" s="10">
        <v>80554.530281878891</v>
      </c>
      <c r="N15" s="13">
        <f t="shared" si="1"/>
        <v>96505.768006326602</v>
      </c>
      <c r="O15" s="14">
        <f t="shared" si="2"/>
        <v>46477.445878610488</v>
      </c>
      <c r="P15" s="13">
        <f t="shared" si="3"/>
        <v>11.744933271611194</v>
      </c>
      <c r="Q15" s="13">
        <f t="shared" si="4"/>
        <v>96505.768006326602</v>
      </c>
      <c r="R15" s="14">
        <f t="shared" si="5"/>
        <v>11.829464397330595</v>
      </c>
      <c r="S15" s="14">
        <f t="shared" si="6"/>
        <v>46477.445878610488</v>
      </c>
    </row>
    <row r="16" spans="1:23">
      <c r="A16">
        <v>13</v>
      </c>
      <c r="B16" s="2">
        <v>3676.6469050274627</v>
      </c>
      <c r="C16" s="2">
        <v>1838.3234525137314</v>
      </c>
      <c r="D16" s="2">
        <v>1804.3857528896324</v>
      </c>
      <c r="E16" s="2">
        <v>2575.6725905746089</v>
      </c>
      <c r="F16" s="2">
        <v>3276.2933519762491</v>
      </c>
      <c r="G16" s="2">
        <v>2904.9370019618386</v>
      </c>
      <c r="H16" s="2">
        <f t="shared" si="0"/>
        <v>13</v>
      </c>
      <c r="I16" s="4">
        <v>105630.85942212965</v>
      </c>
      <c r="J16" s="6">
        <v>51840.392273229358</v>
      </c>
      <c r="K16" s="2">
        <v>73999.629651786425</v>
      </c>
      <c r="L16" s="2">
        <v>94128.61540090591</v>
      </c>
      <c r="M16" s="2">
        <v>83459.467283840728</v>
      </c>
      <c r="N16" s="3">
        <f t="shared" si="1"/>
        <v>99662.360656254459</v>
      </c>
      <c r="O16" s="5">
        <f t="shared" si="2"/>
        <v>48002.331125147131</v>
      </c>
      <c r="P16" s="3">
        <f t="shared" si="3"/>
        <v>12.701006555684359</v>
      </c>
      <c r="Q16" s="3">
        <f t="shared" si="4"/>
        <v>99662.360656254459</v>
      </c>
      <c r="R16" s="5">
        <f t="shared" si="5"/>
        <v>12.800016196632935</v>
      </c>
      <c r="S16" s="5">
        <f t="shared" si="6"/>
        <v>48002.331125147131</v>
      </c>
    </row>
    <row r="17" spans="1:19">
      <c r="A17">
        <v>14</v>
      </c>
      <c r="B17" s="2">
        <v>3271.9991851515369</v>
      </c>
      <c r="C17" s="2">
        <v>1635.9995925757685</v>
      </c>
      <c r="D17" s="2">
        <v>1605.797038894553</v>
      </c>
      <c r="E17" s="2">
        <v>2292.1968944184819</v>
      </c>
      <c r="F17" s="2">
        <v>2915.7081043939988</v>
      </c>
      <c r="G17" s="2">
        <v>2585.2228263580532</v>
      </c>
      <c r="H17" s="2">
        <f t="shared" si="0"/>
        <v>14</v>
      </c>
      <c r="I17" s="4">
        <v>108902.85860728119</v>
      </c>
      <c r="J17" s="6">
        <v>53446.189312123912</v>
      </c>
      <c r="K17" s="2">
        <v>76291.826546204902</v>
      </c>
      <c r="L17" s="2">
        <v>97044.323505299908</v>
      </c>
      <c r="M17" s="2">
        <v>86044.690110198775</v>
      </c>
      <c r="N17" s="3">
        <f t="shared" si="1"/>
        <v>102650.70007277849</v>
      </c>
      <c r="O17" s="5">
        <f t="shared" si="2"/>
        <v>49446.674535941223</v>
      </c>
      <c r="P17" s="3">
        <f t="shared" si="3"/>
        <v>13.653650165497888</v>
      </c>
      <c r="Q17" s="3">
        <f t="shared" si="4"/>
        <v>102650.70007277849</v>
      </c>
      <c r="R17" s="5">
        <f t="shared" si="5"/>
        <v>13.768249927499593</v>
      </c>
      <c r="S17" s="5">
        <f t="shared" si="6"/>
        <v>49446.674535941223</v>
      </c>
    </row>
    <row r="18" spans="1:19">
      <c r="A18">
        <v>15</v>
      </c>
      <c r="B18" s="2">
        <v>2911.8865488532288</v>
      </c>
      <c r="C18" s="2">
        <v>1455.9432744266144</v>
      </c>
      <c r="D18" s="2">
        <v>1429.0647806285549</v>
      </c>
      <c r="E18" s="2">
        <v>2039.9202220067782</v>
      </c>
      <c r="F18" s="2">
        <v>2594.8084730876917</v>
      </c>
      <c r="G18" s="2">
        <v>2300.6960417417408</v>
      </c>
      <c r="H18" s="2">
        <f t="shared" si="0"/>
        <v>15</v>
      </c>
      <c r="I18" s="4">
        <v>111814.74515613442</v>
      </c>
      <c r="J18" s="6">
        <v>54875.254092752468</v>
      </c>
      <c r="K18" s="2">
        <v>78331.746768211684</v>
      </c>
      <c r="L18" s="2">
        <v>99639.131978387595</v>
      </c>
      <c r="M18" s="2">
        <v>88345.386151940518</v>
      </c>
      <c r="N18" s="3">
        <f t="shared" si="1"/>
        <v>105489.31164878103</v>
      </c>
      <c r="O18" s="5">
        <f t="shared" si="2"/>
        <v>50819.363756251478</v>
      </c>
      <c r="P18" s="3">
        <f t="shared" si="3"/>
        <v>14.602876404152012</v>
      </c>
      <c r="Q18" s="3">
        <f t="shared" si="4"/>
        <v>105489.31164878103</v>
      </c>
      <c r="R18" s="5">
        <f t="shared" si="5"/>
        <v>14.734171126411237</v>
      </c>
      <c r="S18" s="5">
        <f t="shared" si="6"/>
        <v>50819.363756251478</v>
      </c>
    </row>
    <row r="19" spans="1:19">
      <c r="A19">
        <v>16</v>
      </c>
      <c r="B19" s="2">
        <v>2708.6545454545458</v>
      </c>
      <c r="C19" s="2">
        <v>1354.3272727272729</v>
      </c>
      <c r="D19" s="2">
        <v>1329.3247346202313</v>
      </c>
      <c r="E19" s="2">
        <v>1897.5461746198039</v>
      </c>
      <c r="F19" s="2">
        <v>2413.7065944347714</v>
      </c>
      <c r="G19" s="2">
        <v>2140.1214252757468</v>
      </c>
      <c r="H19" s="2">
        <f t="shared" si="0"/>
        <v>16</v>
      </c>
      <c r="I19" s="4">
        <v>114523.39970158896</v>
      </c>
      <c r="J19" s="6">
        <v>56204.578827372701</v>
      </c>
      <c r="K19" s="2">
        <v>80229.292942831482</v>
      </c>
      <c r="L19" s="2">
        <v>102052.83857282237</v>
      </c>
      <c r="M19" s="2">
        <v>90485.507577216267</v>
      </c>
      <c r="N19" s="3">
        <f t="shared" si="1"/>
        <v>108193.63720420828</v>
      </c>
      <c r="O19" s="5">
        <f t="shared" si="2"/>
        <v>52127.805092671733</v>
      </c>
      <c r="P19" s="3">
        <f t="shared" si="3"/>
        <v>15.548697530612804</v>
      </c>
      <c r="Q19" s="3">
        <f t="shared" si="4"/>
        <v>108193.63720420828</v>
      </c>
      <c r="R19" s="5">
        <f t="shared" si="5"/>
        <v>15.697785316625179</v>
      </c>
      <c r="S19" s="5">
        <f t="shared" si="6"/>
        <v>52127.805092671733</v>
      </c>
    </row>
    <row r="20" spans="1:19">
      <c r="A20">
        <v>17</v>
      </c>
      <c r="B20" s="2">
        <v>2568.5517241379312</v>
      </c>
      <c r="C20" s="2">
        <v>1284.2758620689656</v>
      </c>
      <c r="D20" s="2">
        <v>1260.5665586915984</v>
      </c>
      <c r="E20" s="2">
        <v>1799.3972345532609</v>
      </c>
      <c r="F20" s="2">
        <v>2288.8597016191793</v>
      </c>
      <c r="G20" s="2">
        <v>2029.4254894856208</v>
      </c>
      <c r="H20" s="2">
        <f t="shared" si="0"/>
        <v>17</v>
      </c>
      <c r="I20" s="4">
        <v>117091.95142572689</v>
      </c>
      <c r="J20" s="6">
        <v>57465.145386064301</v>
      </c>
      <c r="K20" s="2">
        <v>82028.690177384749</v>
      </c>
      <c r="L20" s="2">
        <v>104341.69827444154</v>
      </c>
      <c r="M20" s="2">
        <v>92514.933066701895</v>
      </c>
      <c r="N20" s="3">
        <f t="shared" si="1"/>
        <v>110776.70478313589</v>
      </c>
      <c r="O20" s="5">
        <f t="shared" si="2"/>
        <v>53378.24552331632</v>
      </c>
      <c r="P20" s="3">
        <f t="shared" si="3"/>
        <v>16.491125759870272</v>
      </c>
      <c r="Q20" s="3">
        <f t="shared" si="4"/>
        <v>110776.70478313589</v>
      </c>
      <c r="R20" s="5">
        <f t="shared" si="5"/>
        <v>16.659098008207032</v>
      </c>
      <c r="S20" s="5">
        <f t="shared" si="6"/>
        <v>53378.24552331632</v>
      </c>
    </row>
    <row r="21" spans="1:19">
      <c r="A21">
        <v>18</v>
      </c>
      <c r="B21" s="2">
        <v>2442.2295081967218</v>
      </c>
      <c r="C21" s="2">
        <v>1221.1147540983609</v>
      </c>
      <c r="D21" s="2">
        <v>1198.5714820346345</v>
      </c>
      <c r="E21" s="2">
        <v>1710.9022885916256</v>
      </c>
      <c r="F21" s="2">
        <v>2176.2928310477446</v>
      </c>
      <c r="G21" s="2">
        <v>1929.6176785273124</v>
      </c>
      <c r="H21" s="2">
        <f t="shared" si="0"/>
        <v>18</v>
      </c>
      <c r="I21" s="4">
        <v>119534.18093392361</v>
      </c>
      <c r="J21" s="6">
        <v>58663.716868098934</v>
      </c>
      <c r="K21" s="2">
        <v>83739.59246597637</v>
      </c>
      <c r="L21" s="2">
        <v>106517.99110548929</v>
      </c>
      <c r="M21" s="2">
        <v>94444.550745229208</v>
      </c>
      <c r="N21" s="3">
        <f t="shared" si="1"/>
        <v>113249.62264661578</v>
      </c>
      <c r="O21" s="5">
        <f t="shared" si="2"/>
        <v>54576.01014945245</v>
      </c>
      <c r="P21" s="3">
        <f t="shared" si="3"/>
        <v>17.43017326309625</v>
      </c>
      <c r="Q21" s="3">
        <f t="shared" si="4"/>
        <v>113249.62264661578</v>
      </c>
      <c r="R21" s="5">
        <f t="shared" si="5"/>
        <v>17.618114698062101</v>
      </c>
      <c r="S21" s="5">
        <f t="shared" si="6"/>
        <v>54576.01014945245</v>
      </c>
    </row>
    <row r="22" spans="1:19">
      <c r="A22">
        <v>19</v>
      </c>
      <c r="B22" s="2">
        <v>2327.7500000000005</v>
      </c>
      <c r="C22" s="2">
        <v>1163.8750000000002</v>
      </c>
      <c r="D22" s="2">
        <v>1142.3884438142618</v>
      </c>
      <c r="E22" s="2">
        <v>1630.7037438138925</v>
      </c>
      <c r="F22" s="2">
        <v>2074.2791045923814</v>
      </c>
      <c r="G22" s="2">
        <v>1839.1668498463443</v>
      </c>
      <c r="H22" s="2">
        <f t="shared" si="0"/>
        <v>19</v>
      </c>
      <c r="I22" s="4">
        <v>121861.93093392361</v>
      </c>
      <c r="J22" s="6">
        <v>59806.105311913198</v>
      </c>
      <c r="K22" s="2">
        <v>85370.296209790264</v>
      </c>
      <c r="L22" s="2">
        <v>108592.27021008167</v>
      </c>
      <c r="M22" s="2">
        <v>96283.717595075548</v>
      </c>
      <c r="N22" s="3">
        <f t="shared" si="1"/>
        <v>115621.95071608375</v>
      </c>
      <c r="O22" s="5">
        <f t="shared" si="2"/>
        <v>55725.680711146357</v>
      </c>
      <c r="P22" s="3">
        <f t="shared" si="3"/>
        <v>18.365852167801517</v>
      </c>
      <c r="Q22" s="3">
        <f t="shared" si="4"/>
        <v>115621.95071608375</v>
      </c>
      <c r="R22" s="5">
        <f t="shared" si="5"/>
        <v>18.574840869966764</v>
      </c>
      <c r="S22" s="5">
        <f t="shared" si="6"/>
        <v>55725.680711146357</v>
      </c>
    </row>
    <row r="23" spans="1:19">
      <c r="A23">
        <v>20</v>
      </c>
      <c r="B23" s="2">
        <v>2223.5223880597018</v>
      </c>
      <c r="C23" s="2">
        <v>1111.7611940298509</v>
      </c>
      <c r="D23" s="2">
        <v>1091.2367224494442</v>
      </c>
      <c r="E23" s="2">
        <v>1557.6871582699878</v>
      </c>
      <c r="F23" s="2">
        <v>1981.4009357300361</v>
      </c>
      <c r="G23" s="2">
        <v>1756.816095375613</v>
      </c>
      <c r="H23" s="2">
        <f t="shared" si="0"/>
        <v>20</v>
      </c>
      <c r="I23" s="4">
        <v>124085.45332198331</v>
      </c>
      <c r="J23" s="6">
        <v>60897.342034362642</v>
      </c>
      <c r="K23" s="2">
        <v>86927.983368060246</v>
      </c>
      <c r="L23" s="2">
        <v>110573.67114581171</v>
      </c>
      <c r="M23" s="2">
        <v>98040.533690451164</v>
      </c>
      <c r="N23" s="3">
        <f t="shared" si="1"/>
        <v>117901.98465618498</v>
      </c>
      <c r="O23" s="5">
        <f t="shared" si="2"/>
        <v>56831.232095454383</v>
      </c>
      <c r="P23" s="3">
        <f t="shared" si="3"/>
        <v>19.298174557992407</v>
      </c>
      <c r="Q23" s="3">
        <f t="shared" si="4"/>
        <v>117901.98465618498</v>
      </c>
      <c r="R23" s="5">
        <f t="shared" si="5"/>
        <v>19.529281994600186</v>
      </c>
      <c r="S23" s="5">
        <f t="shared" si="6"/>
        <v>56831.232095454383</v>
      </c>
    </row>
    <row r="24" spans="1:19">
      <c r="A24">
        <v>21</v>
      </c>
      <c r="B24" s="2">
        <v>2128.2285714285713</v>
      </c>
      <c r="C24" s="2">
        <v>1064.1142857142856</v>
      </c>
      <c r="D24" s="2">
        <v>1044.469434344468</v>
      </c>
      <c r="E24" s="2">
        <v>1490.9291372012742</v>
      </c>
      <c r="F24" s="2">
        <v>1896.4837527701775</v>
      </c>
      <c r="G24" s="2">
        <v>1681.5239770023725</v>
      </c>
      <c r="H24" s="2">
        <f t="shared" si="0"/>
        <v>21</v>
      </c>
      <c r="I24" s="4">
        <v>126213.68189341188</v>
      </c>
      <c r="J24" s="6">
        <v>61941.811468707107</v>
      </c>
      <c r="K24" s="2">
        <v>88418.912505261527</v>
      </c>
      <c r="L24" s="2">
        <v>112470.15489858188</v>
      </c>
      <c r="M24" s="2">
        <v>99722.05766745354</v>
      </c>
      <c r="N24" s="3">
        <f t="shared" si="1"/>
        <v>120096.97644049664</v>
      </c>
      <c r="O24" s="5">
        <f t="shared" si="2"/>
        <v>57896.138306387402</v>
      </c>
      <c r="P24" s="3">
        <f t="shared" si="3"/>
        <v>20.227152474326882</v>
      </c>
      <c r="Q24" s="3">
        <f t="shared" si="4"/>
        <v>120096.97644049664</v>
      </c>
      <c r="R24" s="5">
        <f t="shared" si="5"/>
        <v>20.481443529575053</v>
      </c>
      <c r="S24" s="5">
        <f t="shared" si="6"/>
        <v>57896.138306387402</v>
      </c>
    </row>
    <row r="25" spans="1:19">
      <c r="A25">
        <v>22</v>
      </c>
      <c r="B25" s="2">
        <v>2040.7671232876714</v>
      </c>
      <c r="C25" s="2">
        <v>1020.3835616438357</v>
      </c>
      <c r="D25" s="2">
        <v>1001.5460329330507</v>
      </c>
      <c r="E25" s="2">
        <v>1429.6580767683442</v>
      </c>
      <c r="F25" s="2">
        <v>1818.5460643001702</v>
      </c>
      <c r="G25" s="2">
        <v>1612.4202519200828</v>
      </c>
      <c r="H25" s="2">
        <f t="shared" si="0"/>
        <v>22</v>
      </c>
      <c r="I25" s="4">
        <v>128254.44901669955</v>
      </c>
      <c r="J25" s="6">
        <v>62943.357501640159</v>
      </c>
      <c r="K25" s="2">
        <v>89848.570582029875</v>
      </c>
      <c r="L25" s="2">
        <v>114288.70096288205</v>
      </c>
      <c r="M25" s="2">
        <v>101334.47791937362</v>
      </c>
      <c r="N25" s="3">
        <f t="shared" si="1"/>
        <v>122213.30791912247</v>
      </c>
      <c r="O25" s="5">
        <f t="shared" si="2"/>
        <v>58923.455841739014</v>
      </c>
      <c r="P25" s="3">
        <f t="shared" si="3"/>
        <v>21.152797914270167</v>
      </c>
      <c r="Q25" s="3">
        <f t="shared" si="4"/>
        <v>122213.30791912247</v>
      </c>
      <c r="R25" s="5">
        <f t="shared" si="5"/>
        <v>21.431330919469328</v>
      </c>
      <c r="S25" s="5">
        <f t="shared" si="6"/>
        <v>58923.455841739014</v>
      </c>
    </row>
    <row r="26" spans="1:19">
      <c r="A26">
        <v>23</v>
      </c>
      <c r="B26" s="2">
        <v>1960.2105263157898</v>
      </c>
      <c r="C26" s="2">
        <v>980.10526315789491</v>
      </c>
      <c r="D26" s="2">
        <v>962.0113211067461</v>
      </c>
      <c r="E26" s="2">
        <v>1373.2242053169621</v>
      </c>
      <c r="F26" s="2">
        <v>1746.7613512356895</v>
      </c>
      <c r="G26" s="2">
        <v>1548.7720840811317</v>
      </c>
      <c r="H26" s="2">
        <f t="shared" si="0"/>
        <v>23</v>
      </c>
      <c r="I26" s="4">
        <v>130214.65954301534</v>
      </c>
      <c r="J26" s="6">
        <v>63905.368822746903</v>
      </c>
      <c r="K26" s="2">
        <v>91221.794787346837</v>
      </c>
      <c r="L26" s="2">
        <v>116035.46231411774</v>
      </c>
      <c r="M26" s="2">
        <v>102883.25000345476</v>
      </c>
      <c r="N26" s="3">
        <f t="shared" si="1"/>
        <v>124256.6290613142</v>
      </c>
      <c r="O26" s="5">
        <f t="shared" si="2"/>
        <v>59915.890090554727</v>
      </c>
      <c r="P26" s="3">
        <f t="shared" si="3"/>
        <v>22.075122832249402</v>
      </c>
      <c r="Q26" s="3">
        <f t="shared" si="4"/>
        <v>124256.6290613142</v>
      </c>
      <c r="R26" s="5">
        <f t="shared" si="5"/>
        <v>22.378949595856945</v>
      </c>
      <c r="S26" s="5">
        <f t="shared" si="6"/>
        <v>59915.890090554727</v>
      </c>
    </row>
    <row r="27" spans="1:19" s="9" customFormat="1">
      <c r="A27" s="9">
        <v>24</v>
      </c>
      <c r="B27" s="10">
        <v>1885.7721518987344</v>
      </c>
      <c r="C27" s="10">
        <v>942.88607594936718</v>
      </c>
      <c r="D27" s="10">
        <v>925.47924562168009</v>
      </c>
      <c r="E27" s="10">
        <v>1321.0764506846735</v>
      </c>
      <c r="F27" s="10">
        <v>1680.4286416950943</v>
      </c>
      <c r="G27" s="10">
        <v>1489.9579543058999</v>
      </c>
      <c r="H27" s="10">
        <f t="shared" si="0"/>
        <v>24</v>
      </c>
      <c r="I27" s="11">
        <v>132100.43169491406</v>
      </c>
      <c r="J27" s="12">
        <v>64830.848068368585</v>
      </c>
      <c r="K27" s="10">
        <v>92542.871238031512</v>
      </c>
      <c r="L27" s="10">
        <v>117715.89095581284</v>
      </c>
      <c r="M27" s="10">
        <v>104373.20795776065</v>
      </c>
      <c r="N27" s="13">
        <f t="shared" si="1"/>
        <v>126231.96926955189</v>
      </c>
      <c r="O27" s="14">
        <f t="shared" si="2"/>
        <v>60875.848788753246</v>
      </c>
      <c r="P27" s="13">
        <f t="shared" si="3"/>
        <v>22.994139139808347</v>
      </c>
      <c r="Q27" s="13">
        <f t="shared" si="4"/>
        <v>126231.96926955189</v>
      </c>
      <c r="R27" s="14">
        <f t="shared" si="5"/>
        <v>23.324304977339185</v>
      </c>
      <c r="S27" s="14">
        <f t="shared" si="6"/>
        <v>60875.848788753246</v>
      </c>
    </row>
    <row r="28" spans="1:19">
      <c r="A28">
        <v>25</v>
      </c>
      <c r="B28" s="2">
        <v>1816.7804878048782</v>
      </c>
      <c r="C28" s="2">
        <v>908.39024390243912</v>
      </c>
      <c r="D28" s="2">
        <v>891.62024883064328</v>
      </c>
      <c r="E28" s="2">
        <v>1272.7443854157214</v>
      </c>
      <c r="F28" s="2">
        <v>1618.9495450477123</v>
      </c>
      <c r="G28" s="2">
        <v>1435.4472974410492</v>
      </c>
      <c r="H28" s="2">
        <f t="shared" si="0"/>
        <v>25</v>
      </c>
      <c r="I28" s="4">
        <v>133917.21218271894</v>
      </c>
      <c r="J28" s="6">
        <v>65722.468317199222</v>
      </c>
      <c r="K28" s="2">
        <v>93815.615623447229</v>
      </c>
      <c r="L28" s="2">
        <v>119334.84050086055</v>
      </c>
      <c r="M28" s="2">
        <v>105808.65525520169</v>
      </c>
      <c r="N28" s="3">
        <f t="shared" si="1"/>
        <v>128143.82790191418</v>
      </c>
      <c r="O28" s="5">
        <f t="shared" si="2"/>
        <v>61805.48548353395</v>
      </c>
      <c r="P28" s="3">
        <f t="shared" si="3"/>
        <v>23.909858705760982</v>
      </c>
      <c r="Q28" s="3">
        <f t="shared" si="4"/>
        <v>128143.82790191418</v>
      </c>
      <c r="R28" s="5">
        <f t="shared" si="5"/>
        <v>24.267402469575472</v>
      </c>
      <c r="S28" s="5">
        <f t="shared" si="6"/>
        <v>61805.48548353395</v>
      </c>
    </row>
    <row r="29" spans="1:19">
      <c r="A29">
        <v>26</v>
      </c>
      <c r="B29" s="2">
        <v>1752.6588235294121</v>
      </c>
      <c r="C29" s="2">
        <v>876.32941176470604</v>
      </c>
      <c r="D29" s="2">
        <v>860.15129887191506</v>
      </c>
      <c r="E29" s="2">
        <v>1227.8239953422262</v>
      </c>
      <c r="F29" s="2">
        <v>1561.8101493401464</v>
      </c>
      <c r="G29" s="2">
        <v>1384.7844516490127</v>
      </c>
      <c r="H29" s="2">
        <f t="shared" si="0"/>
        <v>26</v>
      </c>
      <c r="I29" s="4">
        <v>135669.87100624834</v>
      </c>
      <c r="J29" s="6">
        <v>66582.619616071141</v>
      </c>
      <c r="K29" s="2">
        <v>95043.43961878946</v>
      </c>
      <c r="L29" s="2">
        <v>120896.6506502007</v>
      </c>
      <c r="M29" s="2">
        <v>107193.43970685071</v>
      </c>
      <c r="N29" s="3">
        <f t="shared" si="1"/>
        <v>129996.24855353859</v>
      </c>
      <c r="O29" s="5">
        <f t="shared" si="2"/>
        <v>62706.735194389432</v>
      </c>
      <c r="P29" s="3">
        <f t="shared" si="3"/>
        <v>24.822293356344961</v>
      </c>
      <c r="Q29" s="3">
        <f t="shared" si="4"/>
        <v>129996.24855353859</v>
      </c>
      <c r="R29" s="5">
        <f t="shared" si="5"/>
        <v>25.208247465314283</v>
      </c>
      <c r="S29" s="5">
        <f t="shared" si="6"/>
        <v>62706.735194389432</v>
      </c>
    </row>
    <row r="30" spans="1:19">
      <c r="A30">
        <v>27</v>
      </c>
      <c r="B30" s="2">
        <v>1692.909090909091</v>
      </c>
      <c r="C30" s="2">
        <v>846.4545454545455</v>
      </c>
      <c r="D30" s="2">
        <v>830.8279591376438</v>
      </c>
      <c r="E30" s="2">
        <v>1185.9663591373762</v>
      </c>
      <c r="F30" s="2">
        <v>1508.5666215217318</v>
      </c>
      <c r="G30" s="2">
        <v>1337.5758907973411</v>
      </c>
      <c r="H30" s="2">
        <f t="shared" si="0"/>
        <v>27</v>
      </c>
      <c r="I30" s="4">
        <v>137362.78009715743</v>
      </c>
      <c r="J30" s="6">
        <v>67413.447575208789</v>
      </c>
      <c r="K30" s="2">
        <v>96229.405977926843</v>
      </c>
      <c r="L30" s="2">
        <v>122405.21727172243</v>
      </c>
      <c r="M30" s="2">
        <v>108531.01559764805</v>
      </c>
      <c r="N30" s="3">
        <f t="shared" si="1"/>
        <v>131792.88051666322</v>
      </c>
      <c r="O30" s="5">
        <f t="shared" si="2"/>
        <v>63581.343914484169</v>
      </c>
      <c r="P30" s="3">
        <f t="shared" si="3"/>
        <v>25.731454875374194</v>
      </c>
      <c r="Q30" s="3">
        <f t="shared" si="4"/>
        <v>131792.88051666322</v>
      </c>
      <c r="R30" s="5">
        <f t="shared" si="5"/>
        <v>26.146845344424161</v>
      </c>
      <c r="S30" s="5">
        <f t="shared" si="6"/>
        <v>63581.343914484169</v>
      </c>
    </row>
    <row r="31" spans="1:19">
      <c r="A31">
        <v>28</v>
      </c>
      <c r="B31" s="2">
        <v>1637.0989010989013</v>
      </c>
      <c r="C31" s="2">
        <v>818.54945054945063</v>
      </c>
      <c r="D31" s="2">
        <v>803.43802641882132</v>
      </c>
      <c r="E31" s="2">
        <v>1146.868567077903</v>
      </c>
      <c r="F31" s="2">
        <v>1458.8336559770598</v>
      </c>
      <c r="G31" s="2">
        <v>1293.4799823095173</v>
      </c>
      <c r="H31" s="2">
        <f t="shared" si="0"/>
        <v>28</v>
      </c>
      <c r="I31" s="4">
        <v>138999.87899825635</v>
      </c>
      <c r="J31" s="6">
        <v>68216.885601627611</v>
      </c>
      <c r="K31" s="2">
        <v>97376.274545004751</v>
      </c>
      <c r="L31" s="2">
        <v>123864.05092769949</v>
      </c>
      <c r="M31" s="2">
        <v>109824.49557995757</v>
      </c>
      <c r="N31" s="3">
        <f t="shared" si="1"/>
        <v>133537.03001987693</v>
      </c>
      <c r="O31" s="5">
        <f t="shared" si="2"/>
        <v>64430.893202392734</v>
      </c>
      <c r="P31" s="3">
        <f t="shared" si="3"/>
        <v>26.637355004391083</v>
      </c>
      <c r="Q31" s="3">
        <f t="shared" si="4"/>
        <v>133537.03001987693</v>
      </c>
      <c r="R31" s="5">
        <f t="shared" si="5"/>
        <v>27.083201473924277</v>
      </c>
      <c r="S31" s="5">
        <f t="shared" si="6"/>
        <v>64430.893202392734</v>
      </c>
    </row>
    <row r="32" spans="1:19">
      <c r="A32">
        <v>29</v>
      </c>
      <c r="B32" s="2">
        <v>1584.8510638297873</v>
      </c>
      <c r="C32" s="2">
        <v>792.42553191489367</v>
      </c>
      <c r="D32" s="2">
        <v>777.79638727779434</v>
      </c>
      <c r="E32" s="2">
        <v>1110.2663787669051</v>
      </c>
      <c r="F32" s="2">
        <v>1412.2751350416211</v>
      </c>
      <c r="G32" s="2">
        <v>1252.1987062783614</v>
      </c>
      <c r="H32" s="2">
        <f t="shared" si="0"/>
        <v>29</v>
      </c>
      <c r="I32" s="4">
        <v>140584.73006208614</v>
      </c>
      <c r="J32" s="6">
        <v>68994.681988905402</v>
      </c>
      <c r="K32" s="2">
        <v>98486.540923771652</v>
      </c>
      <c r="L32" s="2">
        <v>125276.32606274111</v>
      </c>
      <c r="M32" s="2">
        <v>111076.69428623593</v>
      </c>
      <c r="N32" s="3">
        <f t="shared" si="1"/>
        <v>135231.70324646987</v>
      </c>
      <c r="O32" s="5">
        <f t="shared" si="2"/>
        <v>65256.820825347306</v>
      </c>
      <c r="P32" s="3">
        <f t="shared" si="3"/>
        <v>27.540005442818288</v>
      </c>
      <c r="Q32" s="3">
        <f t="shared" si="4"/>
        <v>135231.70324646987</v>
      </c>
      <c r="R32" s="5">
        <f t="shared" si="5"/>
        <v>28.017321208015154</v>
      </c>
      <c r="S32" s="5">
        <f t="shared" si="6"/>
        <v>65256.820825347306</v>
      </c>
    </row>
    <row r="33" spans="1:19">
      <c r="A33">
        <v>30</v>
      </c>
      <c r="B33" s="2">
        <v>1535.8350515463919</v>
      </c>
      <c r="C33" s="2">
        <v>767.91752577319596</v>
      </c>
      <c r="D33" s="2">
        <v>753.74082890837747</v>
      </c>
      <c r="E33" s="2">
        <v>1075.9282433411242</v>
      </c>
      <c r="F33" s="2">
        <v>1368.5965226176531</v>
      </c>
      <c r="G33" s="2">
        <v>1213.4709112388243</v>
      </c>
      <c r="H33" s="2">
        <f t="shared" si="0"/>
        <v>30</v>
      </c>
      <c r="I33" s="4">
        <v>142120.56511363253</v>
      </c>
      <c r="J33" s="6">
        <v>69748.422817813786</v>
      </c>
      <c r="K33" s="2">
        <v>99562.46916711278</v>
      </c>
      <c r="L33" s="2">
        <v>126644.92258535876</v>
      </c>
      <c r="M33" s="2">
        <v>112290.16519747475</v>
      </c>
      <c r="N33" s="3">
        <f t="shared" si="1"/>
        <v>136879.64268559503</v>
      </c>
      <c r="O33" s="5">
        <f t="shared" si="2"/>
        <v>66060.438200629505</v>
      </c>
      <c r="P33" s="3">
        <f t="shared" si="3"/>
        <v>28.439417848109589</v>
      </c>
      <c r="Q33" s="3">
        <f t="shared" si="4"/>
        <v>136879.64268559503</v>
      </c>
      <c r="R33" s="5">
        <f t="shared" si="5"/>
        <v>28.949209888109497</v>
      </c>
      <c r="S33" s="5">
        <f t="shared" si="6"/>
        <v>66060.438200629505</v>
      </c>
    </row>
    <row r="34" spans="1:19">
      <c r="A34">
        <v>31</v>
      </c>
      <c r="B34" s="2">
        <v>1489.7600000000002</v>
      </c>
      <c r="C34" s="2">
        <v>744.88000000000011</v>
      </c>
      <c r="D34" s="2">
        <v>731.12860404112632</v>
      </c>
      <c r="E34" s="2">
        <v>1043.6503960408907</v>
      </c>
      <c r="F34" s="2">
        <v>1327.5386269391242</v>
      </c>
      <c r="G34" s="2">
        <v>1177.0667839016605</v>
      </c>
      <c r="H34" s="2">
        <f t="shared" si="0"/>
        <v>31</v>
      </c>
      <c r="I34" s="4">
        <v>143610.32511363254</v>
      </c>
      <c r="J34" s="6">
        <v>70479.551421854907</v>
      </c>
      <c r="K34" s="2">
        <v>100606.11956315367</v>
      </c>
      <c r="L34" s="2">
        <v>127972.46121229789</v>
      </c>
      <c r="M34" s="2">
        <v>113467.23198137642</v>
      </c>
      <c r="N34" s="3">
        <f t="shared" si="1"/>
        <v>138483.35803476532</v>
      </c>
      <c r="O34" s="5">
        <f t="shared" si="2"/>
        <v>66842.945220605077</v>
      </c>
      <c r="P34" s="3">
        <f t="shared" si="3"/>
        <v>29.33560383590061</v>
      </c>
      <c r="Q34" s="3">
        <f t="shared" si="4"/>
        <v>138483.35803476532</v>
      </c>
      <c r="R34" s="5">
        <f t="shared" si="5"/>
        <v>29.878872842862378</v>
      </c>
      <c r="S34" s="5">
        <f t="shared" si="6"/>
        <v>66842.945220605077</v>
      </c>
    </row>
    <row r="35" spans="1:19">
      <c r="A35">
        <v>32</v>
      </c>
      <c r="B35" s="2">
        <v>1446.3689320388353</v>
      </c>
      <c r="C35" s="2">
        <v>723.18446601941764</v>
      </c>
      <c r="D35" s="2">
        <v>709.83359615643394</v>
      </c>
      <c r="E35" s="2">
        <v>1013.2528116901855</v>
      </c>
      <c r="F35" s="2">
        <v>1288.8724533389552</v>
      </c>
      <c r="G35" s="2">
        <v>1142.7832853414175</v>
      </c>
      <c r="H35" s="2">
        <f t="shared" si="0"/>
        <v>32</v>
      </c>
      <c r="I35" s="4">
        <v>145056.69404567138</v>
      </c>
      <c r="J35" s="6">
        <v>71189.385018011337</v>
      </c>
      <c r="K35" s="2">
        <v>101619.37237484385</v>
      </c>
      <c r="L35" s="2">
        <v>129261.33366563685</v>
      </c>
      <c r="M35" s="2">
        <v>114610.01526671783</v>
      </c>
      <c r="N35" s="3">
        <f t="shared" si="1"/>
        <v>140045.15261773477</v>
      </c>
      <c r="O35" s="5">
        <f t="shared" si="2"/>
        <v>67605.442924579751</v>
      </c>
      <c r="P35" s="3">
        <f t="shared" si="3"/>
        <v>30.228574980158811</v>
      </c>
      <c r="Q35" s="3">
        <f t="shared" si="4"/>
        <v>140045.15261773477</v>
      </c>
      <c r="R35" s="5">
        <f t="shared" si="5"/>
        <v>30.806315388202016</v>
      </c>
      <c r="S35" s="5">
        <f t="shared" si="6"/>
        <v>67605.442924579751</v>
      </c>
    </row>
    <row r="36" spans="1:19">
      <c r="A36">
        <v>33</v>
      </c>
      <c r="B36" s="2">
        <v>1405.433962264151</v>
      </c>
      <c r="C36" s="2">
        <v>702.71698113207549</v>
      </c>
      <c r="D36" s="2">
        <v>689.74396607653421</v>
      </c>
      <c r="E36" s="2">
        <v>984.57584532159524</v>
      </c>
      <c r="F36" s="2">
        <v>1252.3949310746455</v>
      </c>
      <c r="G36" s="2">
        <v>1110.4403621713777</v>
      </c>
      <c r="H36" s="2">
        <f t="shared" si="0"/>
        <v>33</v>
      </c>
      <c r="I36" s="4">
        <v>146462.12800793553</v>
      </c>
      <c r="J36" s="6">
        <v>71879.128984087874</v>
      </c>
      <c r="K36" s="2">
        <v>102603.94822016545</v>
      </c>
      <c r="L36" s="2">
        <v>130513.72859671149</v>
      </c>
      <c r="M36" s="2">
        <v>115720.45562888921</v>
      </c>
      <c r="N36" s="3">
        <f t="shared" si="1"/>
        <v>141567.14608671647</v>
      </c>
      <c r="O36" s="5">
        <f t="shared" si="2"/>
        <v>68348.94438687971</v>
      </c>
      <c r="P36" s="3">
        <f t="shared" si="3"/>
        <v>31.118342813332887</v>
      </c>
      <c r="Q36" s="3">
        <f t="shared" si="4"/>
        <v>141567.14608671647</v>
      </c>
      <c r="R36" s="5">
        <f t="shared" si="5"/>
        <v>31.731542827359995</v>
      </c>
      <c r="S36" s="5">
        <f t="shared" si="6"/>
        <v>68348.94438687971</v>
      </c>
    </row>
    <row r="37" spans="1:19">
      <c r="A37">
        <v>34</v>
      </c>
      <c r="B37" s="2">
        <v>1366.7522935779816</v>
      </c>
      <c r="C37" s="2">
        <v>683.37614678899081</v>
      </c>
      <c r="D37" s="2">
        <v>670.76018719369438</v>
      </c>
      <c r="E37" s="2">
        <v>957.47742756045079</v>
      </c>
      <c r="F37" s="2">
        <v>1217.9253458157098</v>
      </c>
      <c r="G37" s="2">
        <v>1079.8777833960185</v>
      </c>
      <c r="H37" s="2">
        <f t="shared" si="0"/>
        <v>34</v>
      </c>
      <c r="I37" s="4">
        <v>147828.88030151351</v>
      </c>
      <c r="J37" s="6">
        <v>72549.889171281568</v>
      </c>
      <c r="K37" s="2">
        <v>103561.4256477259</v>
      </c>
      <c r="L37" s="2">
        <v>131731.65394252719</v>
      </c>
      <c r="M37" s="2">
        <v>116800.33341228522</v>
      </c>
      <c r="N37" s="3">
        <f t="shared" si="1"/>
        <v>143051.29402694991</v>
      </c>
      <c r="O37" s="5">
        <f t="shared" si="2"/>
        <v>69074.384118019516</v>
      </c>
      <c r="P37" s="3">
        <f t="shared" si="3"/>
        <v>32.004918826501779</v>
      </c>
      <c r="Q37" s="3">
        <f t="shared" si="4"/>
        <v>143051.29402694991</v>
      </c>
      <c r="R37" s="5">
        <f t="shared" si="5"/>
        <v>32.654560450901677</v>
      </c>
      <c r="S37" s="5">
        <f t="shared" si="6"/>
        <v>69074.384118019516</v>
      </c>
    </row>
    <row r="38" spans="1:19">
      <c r="A38">
        <v>35</v>
      </c>
      <c r="B38" s="2">
        <v>1330.1428571428573</v>
      </c>
      <c r="C38" s="2">
        <v>665.07142857142867</v>
      </c>
      <c r="D38" s="2">
        <v>652.79339646529138</v>
      </c>
      <c r="E38" s="2">
        <v>931.83071075079533</v>
      </c>
      <c r="F38" s="2">
        <v>1185.3023454813606</v>
      </c>
      <c r="G38" s="2">
        <v>1050.952485626482</v>
      </c>
      <c r="H38" s="2">
        <f t="shared" si="0"/>
        <v>35</v>
      </c>
      <c r="I38" s="4">
        <v>149159.02315865638</v>
      </c>
      <c r="J38" s="6">
        <v>73202.682567746859</v>
      </c>
      <c r="K38" s="2">
        <v>104493.2563584767</v>
      </c>
      <c r="L38" s="2">
        <v>132916.95628800854</v>
      </c>
      <c r="M38" s="2">
        <v>117851.2858979117</v>
      </c>
      <c r="N38" s="3">
        <f t="shared" si="1"/>
        <v>144499.4049638501</v>
      </c>
      <c r="O38" s="5">
        <f t="shared" si="2"/>
        <v>69782.626219220198</v>
      </c>
      <c r="P38" s="3">
        <f t="shared" si="3"/>
        <v>32.888314469523024</v>
      </c>
      <c r="Q38" s="3">
        <f t="shared" si="4"/>
        <v>144499.4049638501</v>
      </c>
      <c r="R38" s="5">
        <f t="shared" si="5"/>
        <v>33.575373536756395</v>
      </c>
      <c r="S38" s="5">
        <f t="shared" si="6"/>
        <v>69782.626219220198</v>
      </c>
    </row>
    <row r="39" spans="1:19">
      <c r="A39">
        <v>36</v>
      </c>
      <c r="B39" s="2">
        <v>1295.4434782608696</v>
      </c>
      <c r="C39" s="2">
        <v>647.7217391304348</v>
      </c>
      <c r="D39" s="2">
        <v>635.76400351402367</v>
      </c>
      <c r="E39" s="2">
        <v>907.52208351381853</v>
      </c>
      <c r="F39" s="2">
        <v>1154.3814147296732</v>
      </c>
      <c r="G39" s="2">
        <v>1023.5363338275308</v>
      </c>
      <c r="H39" s="2">
        <f t="shared" si="0"/>
        <v>36</v>
      </c>
      <c r="I39" s="4">
        <v>150454.46663691723</v>
      </c>
      <c r="J39" s="6">
        <v>73838.44657126088</v>
      </c>
      <c r="K39" s="2">
        <v>105400.77844199052</v>
      </c>
      <c r="L39" s="2">
        <v>134071.33770273821</v>
      </c>
      <c r="M39" s="2">
        <v>118874.82223173924</v>
      </c>
      <c r="N39" s="3">
        <f t="shared" si="1"/>
        <v>145913.15518033956</v>
      </c>
      <c r="O39" s="5">
        <f t="shared" si="2"/>
        <v>70474.471486029361</v>
      </c>
      <c r="P39" s="3">
        <f t="shared" si="3"/>
        <v>33.768541151180692</v>
      </c>
      <c r="Q39" s="3">
        <f t="shared" si="4"/>
        <v>145913.15518033956</v>
      </c>
      <c r="R39" s="5">
        <f t="shared" si="5"/>
        <v>34.493987350247693</v>
      </c>
      <c r="S39" s="5">
        <f t="shared" si="6"/>
        <v>70474.471486029361</v>
      </c>
    </row>
    <row r="40" spans="1:19">
      <c r="A40">
        <v>37</v>
      </c>
      <c r="B40" s="2">
        <v>1262.5084745762715</v>
      </c>
      <c r="C40" s="2">
        <v>631.25423728813576</v>
      </c>
      <c r="D40" s="2">
        <v>619.60051189926025</v>
      </c>
      <c r="E40" s="2">
        <v>884.44948817024704</v>
      </c>
      <c r="F40" s="2">
        <v>1125.0327346941731</v>
      </c>
      <c r="G40" s="2">
        <v>997.51422364547523</v>
      </c>
      <c r="H40" s="2">
        <f t="shared" si="0"/>
        <v>37</v>
      </c>
      <c r="I40" s="4">
        <v>151716.97511149349</v>
      </c>
      <c r="J40" s="6">
        <v>74458.047083160141</v>
      </c>
      <c r="K40" s="2">
        <v>106285.22793016076</v>
      </c>
      <c r="L40" s="2">
        <v>135196.37043743237</v>
      </c>
      <c r="M40" s="2">
        <v>119872.33645538471</v>
      </c>
      <c r="N40" s="3">
        <f t="shared" si="1"/>
        <v>147294.10167856177</v>
      </c>
      <c r="O40" s="5">
        <f t="shared" si="2"/>
        <v>71150.66362152659</v>
      </c>
      <c r="P40" s="3">
        <f t="shared" si="3"/>
        <v>34.64561023933264</v>
      </c>
      <c r="Q40" s="3">
        <f t="shared" si="4"/>
        <v>147294.10167856177</v>
      </c>
      <c r="R40" s="5">
        <f t="shared" si="5"/>
        <v>35.410407144123404</v>
      </c>
      <c r="S40" s="5">
        <f t="shared" si="6"/>
        <v>71150.66362152659</v>
      </c>
    </row>
    <row r="41" spans="1:19">
      <c r="A41">
        <v>38</v>
      </c>
      <c r="B41" s="2">
        <v>1231.2066115702482</v>
      </c>
      <c r="C41" s="2">
        <v>615.60330578512412</v>
      </c>
      <c r="D41" s="2">
        <v>604.2385157364688</v>
      </c>
      <c r="E41" s="2">
        <v>862.5209884635467</v>
      </c>
      <c r="F41" s="2">
        <v>1097.139361106714</v>
      </c>
      <c r="G41" s="2">
        <v>972.78246603442994</v>
      </c>
      <c r="H41" s="2">
        <f t="shared" si="0"/>
        <v>38</v>
      </c>
      <c r="I41" s="4">
        <v>152948.18172306375</v>
      </c>
      <c r="J41" s="6">
        <v>75062.285598896604</v>
      </c>
      <c r="K41" s="2">
        <v>107147.7489186243</v>
      </c>
      <c r="L41" s="2">
        <v>136293.50979853907</v>
      </c>
      <c r="M41" s="2">
        <v>120845.11892141914</v>
      </c>
      <c r="N41" s="3">
        <f t="shared" si="1"/>
        <v>148643.69356160151</v>
      </c>
      <c r="O41" s="5">
        <f t="shared" si="2"/>
        <v>71811.894691458874</v>
      </c>
      <c r="P41" s="3">
        <f t="shared" si="3"/>
        <v>35.519533061057402</v>
      </c>
      <c r="Q41" s="3">
        <f t="shared" si="4"/>
        <v>148643.69356160151</v>
      </c>
      <c r="R41" s="5">
        <f t="shared" si="5"/>
        <v>36.324638158585664</v>
      </c>
      <c r="S41" s="5">
        <f t="shared" si="6"/>
        <v>71811.894691458874</v>
      </c>
    </row>
    <row r="42" spans="1:19">
      <c r="A42">
        <v>39</v>
      </c>
      <c r="B42" s="2">
        <v>1201.4193548387098</v>
      </c>
      <c r="C42" s="2">
        <v>600.70967741935488</v>
      </c>
      <c r="D42" s="2">
        <v>589.61984196865046</v>
      </c>
      <c r="E42" s="2">
        <v>841.65354519426739</v>
      </c>
      <c r="F42" s="2">
        <v>1070.5956668863903</v>
      </c>
      <c r="G42" s="2">
        <v>949.24740637230673</v>
      </c>
      <c r="H42" s="2">
        <f t="shared" si="0"/>
        <v>39</v>
      </c>
      <c r="I42" s="4">
        <v>154149.60107790245</v>
      </c>
      <c r="J42" s="6">
        <v>75651.905440865259</v>
      </c>
      <c r="K42" s="2">
        <v>107989.40246381857</v>
      </c>
      <c r="L42" s="2">
        <v>137364.10546542547</v>
      </c>
      <c r="M42" s="2">
        <v>121794.36632779145</v>
      </c>
      <c r="N42" s="3">
        <f t="shared" si="1"/>
        <v>149963.28206379243</v>
      </c>
      <c r="O42" s="5">
        <f t="shared" si="2"/>
        <v>72458.809931048556</v>
      </c>
      <c r="P42" s="3">
        <f t="shared" si="3"/>
        <v>36.390320902800482</v>
      </c>
      <c r="Q42" s="3">
        <f t="shared" si="4"/>
        <v>149963.28206379243</v>
      </c>
      <c r="R42" s="5">
        <f t="shared" si="5"/>
        <v>37.236685621320895</v>
      </c>
      <c r="S42" s="5">
        <f t="shared" si="6"/>
        <v>72458.809931048556</v>
      </c>
    </row>
    <row r="43" spans="1:19">
      <c r="A43">
        <v>40</v>
      </c>
      <c r="B43" s="2">
        <v>1173.0393700787404</v>
      </c>
      <c r="C43" s="2">
        <v>586.51968503937019</v>
      </c>
      <c r="D43" s="2">
        <v>575.69181420561176</v>
      </c>
      <c r="E43" s="2">
        <v>821.77196538652868</v>
      </c>
      <c r="F43" s="2">
        <v>1045.3060054638772</v>
      </c>
      <c r="G43" s="2">
        <v>926.8242392926461</v>
      </c>
      <c r="H43" s="2">
        <f t="shared" si="0"/>
        <v>40</v>
      </c>
      <c r="I43" s="4">
        <v>155322.64044798119</v>
      </c>
      <c r="J43" s="6">
        <v>76227.597255070868</v>
      </c>
      <c r="K43" s="2">
        <v>108811.1744292051</v>
      </c>
      <c r="L43" s="2">
        <v>138409.41147088935</v>
      </c>
      <c r="M43" s="2">
        <v>122721.19056708409</v>
      </c>
      <c r="N43" s="3">
        <f t="shared" si="1"/>
        <v>151254.12942016419</v>
      </c>
      <c r="O43" s="5">
        <f t="shared" si="2"/>
        <v>73092.011994952321</v>
      </c>
      <c r="P43" s="3">
        <f t="shared" si="3"/>
        <v>37.257985010519981</v>
      </c>
      <c r="Q43" s="3">
        <f t="shared" si="4"/>
        <v>151254.12942016419</v>
      </c>
      <c r="R43" s="5">
        <f t="shared" si="5"/>
        <v>38.146554747529741</v>
      </c>
      <c r="S43" s="5">
        <f t="shared" si="6"/>
        <v>73092.011994952321</v>
      </c>
    </row>
    <row r="44" spans="1:19">
      <c r="A44">
        <v>41</v>
      </c>
      <c r="B44" s="2">
        <v>1145.969230769231</v>
      </c>
      <c r="C44" s="2">
        <v>572.98461538461549</v>
      </c>
      <c r="D44" s="2">
        <v>562.40661849317428</v>
      </c>
      <c r="E44" s="2">
        <v>802.80799695453175</v>
      </c>
      <c r="F44" s="2">
        <v>1021.1835591839416</v>
      </c>
      <c r="G44" s="2">
        <v>905.43598761666169</v>
      </c>
      <c r="H44" s="2">
        <f t="shared" si="0"/>
        <v>41</v>
      </c>
      <c r="I44" s="4">
        <v>156468.60967875042</v>
      </c>
      <c r="J44" s="6">
        <v>76790.003873564041</v>
      </c>
      <c r="K44" s="2">
        <v>109613.98242615964</v>
      </c>
      <c r="L44" s="2">
        <v>139430.59503007328</v>
      </c>
      <c r="M44" s="2">
        <v>123626.62655470075</v>
      </c>
      <c r="N44" s="3">
        <f t="shared" si="1"/>
        <v>152517.41673466965</v>
      </c>
      <c r="O44" s="5">
        <f t="shared" si="2"/>
        <v>73712.064726999946</v>
      </c>
      <c r="P44" s="3">
        <f t="shared" si="3"/>
        <v>38.122536589832016</v>
      </c>
      <c r="Q44" s="3">
        <f t="shared" si="4"/>
        <v>152517.41673466965</v>
      </c>
      <c r="R44" s="5">
        <f t="shared" si="5"/>
        <v>39.05425073995675</v>
      </c>
      <c r="S44" s="5">
        <f t="shared" si="6"/>
        <v>73712.064726999946</v>
      </c>
    </row>
    <row r="45" spans="1:19">
      <c r="A45">
        <v>42</v>
      </c>
      <c r="B45" s="2">
        <v>1120.1203007518798</v>
      </c>
      <c r="C45" s="2">
        <v>560.06015037593988</v>
      </c>
      <c r="D45" s="2">
        <v>549.72075491814041</v>
      </c>
      <c r="E45" s="2">
        <v>784.69954589540714</v>
      </c>
      <c r="F45" s="2">
        <v>998.14934356325102</v>
      </c>
      <c r="G45" s="2">
        <v>885.01261947493242</v>
      </c>
      <c r="H45" s="2">
        <f t="shared" si="0"/>
        <v>42</v>
      </c>
      <c r="I45" s="4">
        <v>157588.7299795023</v>
      </c>
      <c r="J45" s="6">
        <v>77339.724628482189</v>
      </c>
      <c r="K45" s="2">
        <v>110398.68197205504</v>
      </c>
      <c r="L45" s="2">
        <v>140428.74437363652</v>
      </c>
      <c r="M45" s="2">
        <v>124511.63917417568</v>
      </c>
      <c r="N45" s="3">
        <f t="shared" si="1"/>
        <v>153754.25098155695</v>
      </c>
      <c r="O45" s="5">
        <f t="shared" si="2"/>
        <v>74319.496514205326</v>
      </c>
      <c r="P45" s="3">
        <f t="shared" si="3"/>
        <v>38.983986806155293</v>
      </c>
      <c r="Q45" s="3">
        <f t="shared" si="4"/>
        <v>153754.25098155695</v>
      </c>
      <c r="R45" s="5">
        <f t="shared" si="5"/>
        <v>39.959778788920339</v>
      </c>
      <c r="S45" s="5">
        <f t="shared" si="6"/>
        <v>74319.496514205326</v>
      </c>
    </row>
    <row r="46" spans="1:19">
      <c r="A46">
        <v>43</v>
      </c>
      <c r="B46" s="2">
        <v>1095.4117647058824</v>
      </c>
      <c r="C46" s="2">
        <v>547.70588235294122</v>
      </c>
      <c r="D46" s="2">
        <v>537.59456179494578</v>
      </c>
      <c r="E46" s="2">
        <v>767.38999708889048</v>
      </c>
      <c r="F46" s="2">
        <v>976.13134333759115</v>
      </c>
      <c r="G46" s="2">
        <v>865.49028228063253</v>
      </c>
      <c r="H46" s="2">
        <f t="shared" si="0"/>
        <v>43</v>
      </c>
      <c r="I46" s="4">
        <v>158684.14174420817</v>
      </c>
      <c r="J46" s="6">
        <v>77877.319190277136</v>
      </c>
      <c r="K46" s="2">
        <v>111166.07196914393</v>
      </c>
      <c r="L46" s="2">
        <v>141404.87571697411</v>
      </c>
      <c r="M46" s="2">
        <v>125377.12945645631</v>
      </c>
      <c r="N46" s="3">
        <f t="shared" si="1"/>
        <v>154965.67125348226</v>
      </c>
      <c r="O46" s="5">
        <f t="shared" si="2"/>
        <v>74914.803279565909</v>
      </c>
      <c r="P46" s="3">
        <f t="shared" si="3"/>
        <v>39.842346784855465</v>
      </c>
      <c r="Q46" s="3">
        <f t="shared" si="4"/>
        <v>154965.67125348226</v>
      </c>
      <c r="R46" s="5">
        <f t="shared" si="5"/>
        <v>40.863144072342251</v>
      </c>
      <c r="S46" s="5">
        <f t="shared" si="6"/>
        <v>74914.803279565909</v>
      </c>
    </row>
    <row r="47" spans="1:19">
      <c r="A47">
        <v>44</v>
      </c>
      <c r="B47" s="2">
        <v>1071.769784172662</v>
      </c>
      <c r="C47" s="2">
        <v>535.88489208633098</v>
      </c>
      <c r="D47" s="2">
        <v>525.99180146843707</v>
      </c>
      <c r="E47" s="2">
        <v>750.82762305100152</v>
      </c>
      <c r="F47" s="2">
        <v>955.06376038785936</v>
      </c>
      <c r="G47" s="2">
        <v>846.81063590047563</v>
      </c>
      <c r="H47" s="2">
        <f t="shared" si="0"/>
        <v>44</v>
      </c>
      <c r="I47" s="4">
        <v>159755.91152838082</v>
      </c>
      <c r="J47" s="6">
        <v>78403.310991745573</v>
      </c>
      <c r="K47" s="2">
        <v>111916.89959219492</v>
      </c>
      <c r="L47" s="2">
        <v>142359.93947736197</v>
      </c>
      <c r="M47" s="2">
        <v>126223.94009235679</v>
      </c>
      <c r="N47" s="3">
        <f t="shared" si="1"/>
        <v>156152.65435280322</v>
      </c>
      <c r="O47" s="5">
        <f t="shared" si="2"/>
        <v>75498.451159931326</v>
      </c>
      <c r="P47" s="3">
        <f t="shared" si="3"/>
        <v>40.697627611388576</v>
      </c>
      <c r="Q47" s="3">
        <f t="shared" si="4"/>
        <v>156152.65435280322</v>
      </c>
      <c r="R47" s="5">
        <f t="shared" si="5"/>
        <v>41.764351755777355</v>
      </c>
      <c r="S47" s="5">
        <f t="shared" si="6"/>
        <v>75498.451159931326</v>
      </c>
    </row>
    <row r="48" spans="1:19">
      <c r="A48">
        <v>45</v>
      </c>
      <c r="B48" s="2">
        <v>1049.1267605633805</v>
      </c>
      <c r="C48" s="2">
        <v>524.56338028169023</v>
      </c>
      <c r="D48" s="2">
        <v>514.87929862051158</v>
      </c>
      <c r="E48" s="2">
        <v>734.9650676344304</v>
      </c>
      <c r="F48" s="2">
        <v>934.88635699938322</v>
      </c>
      <c r="G48" s="2">
        <v>828.92027035328169</v>
      </c>
      <c r="H48" s="2">
        <f t="shared" si="0"/>
        <v>45</v>
      </c>
      <c r="I48" s="4">
        <v>160805.0382889442</v>
      </c>
      <c r="J48" s="6">
        <v>78918.190290366081</v>
      </c>
      <c r="K48" s="2">
        <v>112651.86465982936</v>
      </c>
      <c r="L48" s="2">
        <v>143294.82583436134</v>
      </c>
      <c r="M48" s="2">
        <v>127052.86036271007</v>
      </c>
      <c r="N48" s="3">
        <f t="shared" si="1"/>
        <v>157316.11980825756</v>
      </c>
      <c r="O48" s="5">
        <f t="shared" si="2"/>
        <v>76070.878908384373</v>
      </c>
      <c r="P48" s="3">
        <f t="shared" si="3"/>
        <v>41.549840331444507</v>
      </c>
      <c r="Q48" s="3">
        <f t="shared" si="4"/>
        <v>157316.11980825756</v>
      </c>
      <c r="R48" s="5">
        <f t="shared" si="5"/>
        <v>42.663406992443051</v>
      </c>
      <c r="S48" s="5">
        <f t="shared" si="6"/>
        <v>76070.878908384373</v>
      </c>
    </row>
    <row r="49" spans="1:19">
      <c r="A49">
        <v>46</v>
      </c>
      <c r="B49" s="2">
        <v>1027.4206896551725</v>
      </c>
      <c r="C49" s="2">
        <v>513.71034482758625</v>
      </c>
      <c r="D49" s="2">
        <v>504.22662347663947</v>
      </c>
      <c r="E49" s="2">
        <v>719.75889382130458</v>
      </c>
      <c r="F49" s="2">
        <v>915.54388064767193</v>
      </c>
      <c r="G49" s="2">
        <v>811.77019579424871</v>
      </c>
      <c r="H49" s="2">
        <f t="shared" si="0"/>
        <v>46</v>
      </c>
      <c r="I49" s="4">
        <v>161832.45897859937</v>
      </c>
      <c r="J49" s="6">
        <v>79422.416913842724</v>
      </c>
      <c r="K49" s="2">
        <v>113371.62355365066</v>
      </c>
      <c r="L49" s="2">
        <v>144210.369715009</v>
      </c>
      <c r="M49" s="2">
        <v>127864.63055850432</v>
      </c>
      <c r="N49" s="3">
        <f t="shared" si="1"/>
        <v>158456.93438736125</v>
      </c>
      <c r="O49" s="5">
        <f t="shared" si="2"/>
        <v>76632.500054881326</v>
      </c>
      <c r="P49" s="3">
        <f t="shared" si="3"/>
        <v>42.39899595108934</v>
      </c>
      <c r="Q49" s="3">
        <f t="shared" si="4"/>
        <v>158456.93438736125</v>
      </c>
      <c r="R49" s="5">
        <f t="shared" si="5"/>
        <v>43.560314923248811</v>
      </c>
      <c r="S49" s="5">
        <f t="shared" si="6"/>
        <v>76632.500054881326</v>
      </c>
    </row>
    <row r="50" spans="1:19">
      <c r="A50">
        <v>47</v>
      </c>
      <c r="B50" s="2">
        <v>1006.5945945945947</v>
      </c>
      <c r="C50" s="2">
        <v>503.29729729729735</v>
      </c>
      <c r="D50" s="2">
        <v>494.00581354130213</v>
      </c>
      <c r="E50" s="2">
        <v>705.16918651411584</v>
      </c>
      <c r="F50" s="2">
        <v>896.98555874265151</v>
      </c>
      <c r="G50" s="2">
        <v>795.31539452814923</v>
      </c>
      <c r="H50" s="2">
        <f t="shared" si="0"/>
        <v>47</v>
      </c>
      <c r="I50" s="4">
        <v>162839.05357319396</v>
      </c>
      <c r="J50" s="6">
        <v>79916.422727384022</v>
      </c>
      <c r="K50" s="2">
        <v>114076.79274016478</v>
      </c>
      <c r="L50" s="2">
        <v>145107.35527375166</v>
      </c>
      <c r="M50" s="2">
        <v>128659.94595303247</v>
      </c>
      <c r="N50" s="3">
        <f t="shared" si="1"/>
        <v>159575.91616492867</v>
      </c>
      <c r="O50" s="5">
        <f t="shared" si="2"/>
        <v>77183.704854128082</v>
      </c>
      <c r="P50" s="3">
        <f t="shared" si="3"/>
        <v>43.245105436907757</v>
      </c>
      <c r="Q50" s="3">
        <f t="shared" si="4"/>
        <v>159575.91616492867</v>
      </c>
      <c r="R50" s="5">
        <f t="shared" si="5"/>
        <v>44.455080676825453</v>
      </c>
      <c r="S50" s="5">
        <f t="shared" si="6"/>
        <v>77183.704854128082</v>
      </c>
    </row>
    <row r="51" spans="1:19">
      <c r="A51">
        <v>48</v>
      </c>
      <c r="B51" s="2">
        <v>986.59602649006638</v>
      </c>
      <c r="C51" s="2">
        <v>493.29801324503319</v>
      </c>
      <c r="D51" s="2">
        <v>484.1911285040573</v>
      </c>
      <c r="E51" s="2">
        <v>691.15920267608692</v>
      </c>
      <c r="F51" s="2">
        <v>879.16465360206905</v>
      </c>
      <c r="G51" s="2">
        <v>779.51442642494067</v>
      </c>
      <c r="H51" s="2">
        <f t="shared" si="0"/>
        <v>48</v>
      </c>
      <c r="I51" s="4">
        <v>163825.64959968402</v>
      </c>
      <c r="J51" s="6">
        <v>80400.613855888078</v>
      </c>
      <c r="K51" s="2">
        <v>114767.95194284087</v>
      </c>
      <c r="L51" s="2">
        <v>145986.51992735371</v>
      </c>
      <c r="M51" s="2">
        <v>129439.46037945741</v>
      </c>
      <c r="N51" s="3">
        <f t="shared" si="1"/>
        <v>160673.83819976024</v>
      </c>
      <c r="O51" s="5">
        <f t="shared" si="2"/>
        <v>77724.862045659582</v>
      </c>
      <c r="P51" s="3">
        <f t="shared" si="3"/>
        <v>44.088179716144488</v>
      </c>
      <c r="Q51" s="3">
        <f t="shared" si="4"/>
        <v>160673.83819976024</v>
      </c>
      <c r="R51" s="5">
        <f t="shared" si="5"/>
        <v>45.347709369554714</v>
      </c>
      <c r="S51" s="5">
        <f t="shared" si="6"/>
        <v>77724.862045659582</v>
      </c>
    </row>
    <row r="52" spans="1:19">
      <c r="A52">
        <v>49</v>
      </c>
      <c r="B52" s="2">
        <v>967.37662337662357</v>
      </c>
      <c r="C52" s="2">
        <v>483.68831168831179</v>
      </c>
      <c r="D52" s="2">
        <v>474.75883379294004</v>
      </c>
      <c r="E52" s="2">
        <v>677.69506236421557</v>
      </c>
      <c r="F52" s="2">
        <v>862.03806944098994</v>
      </c>
      <c r="G52" s="2">
        <v>764.32908045562397</v>
      </c>
      <c r="H52" s="2">
        <f t="shared" si="0"/>
        <v>49</v>
      </c>
      <c r="I52" s="4">
        <v>164793.02622306065</v>
      </c>
      <c r="J52" s="6">
        <v>80875.372689681011</v>
      </c>
      <c r="K52" s="2">
        <v>115445.64700520509</v>
      </c>
      <c r="L52" s="2">
        <v>146848.5579967947</v>
      </c>
      <c r="M52" s="2">
        <v>130203.78945991304</v>
      </c>
      <c r="N52" s="3">
        <f t="shared" si="1"/>
        <v>161751.43186449824</v>
      </c>
      <c r="O52" s="5">
        <f t="shared" si="2"/>
        <v>78256.320447706079</v>
      </c>
      <c r="P52" s="3">
        <f t="shared" si="3"/>
        <v>44.928229676845525</v>
      </c>
      <c r="Q52" s="3">
        <f t="shared" si="4"/>
        <v>161751.43186449824</v>
      </c>
      <c r="R52" s="5">
        <f t="shared" si="5"/>
        <v>46.238206105598223</v>
      </c>
      <c r="S52" s="5">
        <f t="shared" si="6"/>
        <v>78256.320447706079</v>
      </c>
    </row>
    <row r="53" spans="1:19">
      <c r="A53">
        <v>50</v>
      </c>
      <c r="B53" s="2">
        <v>948.8917197452231</v>
      </c>
      <c r="C53" s="2">
        <v>474.44585987261155</v>
      </c>
      <c r="D53" s="2">
        <v>465.68700894339287</v>
      </c>
      <c r="E53" s="2">
        <v>664.74547518528095</v>
      </c>
      <c r="F53" s="2">
        <v>845.56600441982414</v>
      </c>
      <c r="G53" s="2">
        <v>749.72406617940135</v>
      </c>
      <c r="H53" s="2">
        <f t="shared" si="0"/>
        <v>50</v>
      </c>
      <c r="I53" s="4">
        <v>165741.91794280586</v>
      </c>
      <c r="J53" s="6">
        <v>81341.059698624405</v>
      </c>
      <c r="K53" s="2">
        <v>116110.39248039036</v>
      </c>
      <c r="L53" s="2">
        <v>147694.12400121451</v>
      </c>
      <c r="M53" s="2">
        <v>130953.51352609244</v>
      </c>
      <c r="N53" s="3">
        <f t="shared" si="1"/>
        <v>162809.38986767773</v>
      </c>
      <c r="O53" s="5">
        <f t="shared" si="2"/>
        <v>78778.410403565213</v>
      </c>
      <c r="P53" s="3">
        <f t="shared" si="3"/>
        <v>45.765266167998682</v>
      </c>
      <c r="Q53" s="3">
        <f t="shared" si="4"/>
        <v>162809.38986767773</v>
      </c>
      <c r="R53" s="5">
        <f t="shared" si="5"/>
        <v>47.126575976926837</v>
      </c>
      <c r="S53" s="5">
        <f t="shared" si="6"/>
        <v>78778.410403565213</v>
      </c>
    </row>
    <row r="54" spans="1:19">
      <c r="A54">
        <v>51</v>
      </c>
      <c r="B54" s="2">
        <v>931.1</v>
      </c>
      <c r="C54" s="2">
        <v>465.55</v>
      </c>
      <c r="D54" s="2">
        <v>456.95537752570453</v>
      </c>
      <c r="E54" s="2">
        <v>652.28149752555714</v>
      </c>
      <c r="F54" s="2">
        <v>829.71164183695248</v>
      </c>
      <c r="G54" s="2">
        <v>735.66673993853772</v>
      </c>
      <c r="H54" s="2">
        <f t="shared" si="0"/>
        <v>51</v>
      </c>
      <c r="I54" s="4">
        <v>166673.01794280586</v>
      </c>
      <c r="J54" s="6">
        <v>81798.015076150114</v>
      </c>
      <c r="K54" s="2">
        <v>116762.67397791593</v>
      </c>
      <c r="L54" s="2">
        <v>148523.83564305145</v>
      </c>
      <c r="M54" s="2">
        <v>131689.18026603098</v>
      </c>
      <c r="N54" s="3">
        <f t="shared" si="1"/>
        <v>163848.36900192461</v>
      </c>
      <c r="O54" s="5">
        <f t="shared" si="2"/>
        <v>79291.445096761454</v>
      </c>
      <c r="P54" s="3">
        <f t="shared" si="3"/>
        <v>46.599299999673839</v>
      </c>
      <c r="Q54" s="3">
        <f t="shared" si="4"/>
        <v>163848.36900192461</v>
      </c>
      <c r="R54" s="5">
        <f t="shared" si="5"/>
        <v>48.01282406334979</v>
      </c>
      <c r="S54" s="5">
        <f t="shared" si="6"/>
        <v>79291.445096761454</v>
      </c>
    </row>
    <row r="55" spans="1:19">
      <c r="A55">
        <v>52</v>
      </c>
      <c r="B55" s="2">
        <v>913.96319018404927</v>
      </c>
      <c r="C55" s="2">
        <v>456.98159509202463</v>
      </c>
      <c r="D55" s="2">
        <v>448.54515585345246</v>
      </c>
      <c r="E55" s="2">
        <v>640.27631658950395</v>
      </c>
      <c r="F55" s="2">
        <v>814.44087542277555</v>
      </c>
      <c r="G55" s="2">
        <v>722.12686128936207</v>
      </c>
      <c r="H55" s="2">
        <f t="shared" si="0"/>
        <v>52</v>
      </c>
      <c r="I55" s="4">
        <v>167586.98113298992</v>
      </c>
      <c r="J55" s="6">
        <v>82246.560232003569</v>
      </c>
      <c r="K55" s="2">
        <v>117402.95029450543</v>
      </c>
      <c r="L55" s="2">
        <v>149338.27651847422</v>
      </c>
      <c r="M55" s="2">
        <v>132411.30712732035</v>
      </c>
      <c r="N55" s="3">
        <f t="shared" si="1"/>
        <v>164868.99264792204</v>
      </c>
      <c r="O55" s="5">
        <f t="shared" si="2"/>
        <v>79795.721749197619</v>
      </c>
      <c r="P55" s="3">
        <f t="shared" si="3"/>
        <v>47.430341943162311</v>
      </c>
      <c r="Q55" s="3">
        <f t="shared" si="4"/>
        <v>164868.99264792204</v>
      </c>
      <c r="R55" s="5">
        <f t="shared" si="5"/>
        <v>48.896955432543685</v>
      </c>
      <c r="S55" s="5">
        <f t="shared" si="6"/>
        <v>79795.721749197619</v>
      </c>
    </row>
    <row r="56" spans="1:19">
      <c r="A56">
        <v>53</v>
      </c>
      <c r="B56" s="2">
        <v>897.4457831325301</v>
      </c>
      <c r="C56" s="2">
        <v>448.72289156626505</v>
      </c>
      <c r="D56" s="2">
        <v>440.4389180970644</v>
      </c>
      <c r="E56" s="2">
        <v>628.70505785595856</v>
      </c>
      <c r="F56" s="2">
        <v>799.72206442115885</v>
      </c>
      <c r="G56" s="2">
        <v>709.07637584437339</v>
      </c>
      <c r="H56" s="2">
        <f t="shared" si="0"/>
        <v>53</v>
      </c>
      <c r="I56" s="4">
        <v>168484.42691612247</v>
      </c>
      <c r="J56" s="6">
        <v>82686.99915010063</v>
      </c>
      <c r="K56" s="2">
        <v>118031.65535236138</v>
      </c>
      <c r="L56" s="2">
        <v>150137.99858289538</v>
      </c>
      <c r="M56" s="2">
        <v>133120.38350316472</v>
      </c>
      <c r="N56" s="3">
        <f t="shared" si="1"/>
        <v>165871.85306006164</v>
      </c>
      <c r="O56" s="5">
        <f t="shared" si="2"/>
        <v>80291.522714724328</v>
      </c>
      <c r="P56" s="3">
        <f t="shared" si="3"/>
        <v>48.258402731116192</v>
      </c>
      <c r="Q56" s="3">
        <f t="shared" si="4"/>
        <v>165871.85306006164</v>
      </c>
      <c r="R56" s="5">
        <f t="shared" si="5"/>
        <v>49.778975140081407</v>
      </c>
      <c r="S56" s="5">
        <f t="shared" si="6"/>
        <v>80291.522714724328</v>
      </c>
    </row>
    <row r="57" spans="1:19">
      <c r="A57">
        <v>54</v>
      </c>
      <c r="B57" s="2">
        <v>881.51479289940835</v>
      </c>
      <c r="C57" s="2">
        <v>440.75739644970417</v>
      </c>
      <c r="D57" s="2">
        <v>432.62047576398055</v>
      </c>
      <c r="E57" s="2">
        <v>617.54461304194785</v>
      </c>
      <c r="F57" s="2">
        <v>785.52581475687828</v>
      </c>
      <c r="G57" s="2">
        <v>696.48922124358614</v>
      </c>
      <c r="H57" s="2">
        <f t="shared" si="0"/>
        <v>54</v>
      </c>
      <c r="I57" s="4">
        <v>169365.94170902186</v>
      </c>
      <c r="J57" s="6">
        <v>83119.619625864609</v>
      </c>
      <c r="K57" s="2">
        <v>118649.19996540333</v>
      </c>
      <c r="L57" s="2">
        <v>150923.52439765225</v>
      </c>
      <c r="M57" s="2">
        <v>133816.87272440831</v>
      </c>
      <c r="N57" s="3">
        <f t="shared" si="1"/>
        <v>166857.51345651195</v>
      </c>
      <c r="O57" s="5">
        <f t="shared" si="2"/>
        <v>80779.116479027114</v>
      </c>
      <c r="P57" s="3">
        <f t="shared" si="3"/>
        <v>49.083493057686802</v>
      </c>
      <c r="Q57" s="3">
        <f t="shared" si="4"/>
        <v>166857.51345651195</v>
      </c>
      <c r="R57" s="5">
        <f t="shared" si="5"/>
        <v>50.658888229461091</v>
      </c>
      <c r="S57" s="5">
        <f t="shared" si="6"/>
        <v>80779.116479027114</v>
      </c>
    </row>
    <row r="58" spans="1:19">
      <c r="A58">
        <v>55</v>
      </c>
      <c r="B58" s="2">
        <v>866.13953488372101</v>
      </c>
      <c r="C58" s="2">
        <v>433.06976744186051</v>
      </c>
      <c r="D58" s="2">
        <v>425.07476979135271</v>
      </c>
      <c r="E58" s="2">
        <v>606.77348607028557</v>
      </c>
      <c r="F58" s="2">
        <v>771.82478310414183</v>
      </c>
      <c r="G58" s="2">
        <v>684.34115343119777</v>
      </c>
      <c r="H58" s="2">
        <f t="shared" si="0"/>
        <v>55</v>
      </c>
      <c r="I58" s="4">
        <v>170232.08124390559</v>
      </c>
      <c r="J58" s="6">
        <v>83544.694395655955</v>
      </c>
      <c r="K58" s="2">
        <v>119255.97345147362</v>
      </c>
      <c r="L58" s="2">
        <v>151695.3491807564</v>
      </c>
      <c r="M58" s="2">
        <v>134501.2138778395</v>
      </c>
      <c r="N58" s="3">
        <f t="shared" si="1"/>
        <v>167826.50993369956</v>
      </c>
      <c r="O58" s="5">
        <f t="shared" si="2"/>
        <v>81258.758575416301</v>
      </c>
      <c r="P58" s="3">
        <f t="shared" si="3"/>
        <v>49.905623578662933</v>
      </c>
      <c r="Q58" s="3">
        <f t="shared" si="4"/>
        <v>167826.50993369956</v>
      </c>
      <c r="R58" s="5">
        <f t="shared" si="5"/>
        <v>51.536699732135119</v>
      </c>
      <c r="S58" s="5">
        <f t="shared" si="6"/>
        <v>81258.758575416301</v>
      </c>
    </row>
    <row r="59" spans="1:19">
      <c r="A59">
        <v>56</v>
      </c>
      <c r="B59" s="2">
        <v>851.29142857142858</v>
      </c>
      <c r="C59" s="2">
        <v>425.64571428571429</v>
      </c>
      <c r="D59" s="2">
        <v>417.78777373778706</v>
      </c>
      <c r="E59" s="2">
        <v>596.37165488050948</v>
      </c>
      <c r="F59" s="2">
        <v>758.59350110807077</v>
      </c>
      <c r="G59" s="2">
        <v>672.60959080094869</v>
      </c>
      <c r="H59" s="2">
        <f t="shared" si="0"/>
        <v>56</v>
      </c>
      <c r="I59" s="4">
        <v>171083.37267247701</v>
      </c>
      <c r="J59" s="6">
        <v>83962.482169393741</v>
      </c>
      <c r="K59" s="2">
        <v>119852.34510635413</v>
      </c>
      <c r="L59" s="2">
        <v>152453.94268186446</v>
      </c>
      <c r="M59" s="2">
        <v>135173.82346864045</v>
      </c>
      <c r="N59" s="3">
        <f t="shared" si="1"/>
        <v>168779.35322282955</v>
      </c>
      <c r="O59" s="5">
        <f t="shared" si="2"/>
        <v>81730.692424969122</v>
      </c>
      <c r="P59" s="3">
        <f t="shared" si="3"/>
        <v>50.724804911608317</v>
      </c>
      <c r="Q59" s="3">
        <f t="shared" si="4"/>
        <v>168779.35322282955</v>
      </c>
      <c r="R59" s="5">
        <f t="shared" si="5"/>
        <v>52.412414667538513</v>
      </c>
      <c r="S59" s="5">
        <f t="shared" si="6"/>
        <v>81730.692424969122</v>
      </c>
    </row>
    <row r="60" spans="1:19">
      <c r="A60">
        <v>57</v>
      </c>
      <c r="B60" s="2">
        <v>836.94382022471916</v>
      </c>
      <c r="C60" s="2">
        <v>418.47191011235958</v>
      </c>
      <c r="D60" s="2">
        <v>410.74640676467789</v>
      </c>
      <c r="E60" s="2">
        <v>586.3204472139837</v>
      </c>
      <c r="F60" s="2">
        <v>745.80821738153031</v>
      </c>
      <c r="G60" s="2">
        <v>661.27347410205641</v>
      </c>
      <c r="H60" s="2">
        <f t="shared" si="0"/>
        <v>57</v>
      </c>
      <c r="I60" s="4">
        <v>171920.31649270174</v>
      </c>
      <c r="J60" s="6">
        <v>84373.228576158421</v>
      </c>
      <c r="K60" s="2">
        <v>120438.66555356811</v>
      </c>
      <c r="L60" s="2">
        <v>153199.75089924599</v>
      </c>
      <c r="M60" s="2">
        <v>135835.0969427425</v>
      </c>
      <c r="N60" s="3">
        <f t="shared" si="1"/>
        <v>169716.53030402385</v>
      </c>
      <c r="O60" s="5">
        <f t="shared" si="2"/>
        <v>82195.150108492046</v>
      </c>
      <c r="P60" s="3">
        <f t="shared" si="3"/>
        <v>51.541047635998886</v>
      </c>
      <c r="Q60" s="3">
        <f t="shared" si="4"/>
        <v>169716.53030402385</v>
      </c>
      <c r="R60" s="5">
        <f t="shared" si="5"/>
        <v>53.286038043118104</v>
      </c>
      <c r="S60" s="5">
        <f t="shared" si="6"/>
        <v>82195.150108492046</v>
      </c>
    </row>
    <row r="61" spans="1:19">
      <c r="A61">
        <v>58</v>
      </c>
      <c r="B61" s="2">
        <v>823.07182320442007</v>
      </c>
      <c r="C61" s="2">
        <v>411.53591160221004</v>
      </c>
      <c r="D61" s="2">
        <v>403.93845527134096</v>
      </c>
      <c r="E61" s="2">
        <v>576.60242875187362</v>
      </c>
      <c r="F61" s="2">
        <v>733.44675521498584</v>
      </c>
      <c r="G61" s="2">
        <v>650.31314027716041</v>
      </c>
      <c r="H61" s="2">
        <f t="shared" si="0"/>
        <v>58</v>
      </c>
      <c r="I61" s="4">
        <v>172743.38831590617</v>
      </c>
      <c r="J61" s="6">
        <v>84777.167031429766</v>
      </c>
      <c r="K61" s="2">
        <v>121015.26798231997</v>
      </c>
      <c r="L61" s="2">
        <v>153933.19765446096</v>
      </c>
      <c r="M61" s="2">
        <v>136485.41008301967</v>
      </c>
      <c r="N61" s="3">
        <f t="shared" si="1"/>
        <v>170638.5058918763</v>
      </c>
      <c r="O61" s="5">
        <f t="shared" si="2"/>
        <v>82652.353076915169</v>
      </c>
      <c r="P61" s="3">
        <f t="shared" si="3"/>
        <v>52.354362293359287</v>
      </c>
      <c r="Q61" s="3">
        <f t="shared" si="4"/>
        <v>170638.5058918763</v>
      </c>
      <c r="R61" s="5">
        <f t="shared" si="5"/>
        <v>54.157574854360703</v>
      </c>
      <c r="S61" s="5">
        <f t="shared" si="6"/>
        <v>82652.353076915169</v>
      </c>
    </row>
    <row r="62" spans="1:19">
      <c r="A62">
        <v>59</v>
      </c>
      <c r="B62" s="2">
        <v>809.6521739130435</v>
      </c>
      <c r="C62" s="2">
        <v>404.82608695652175</v>
      </c>
      <c r="D62" s="2">
        <v>397.35250219626448</v>
      </c>
      <c r="E62" s="2">
        <v>567.20130219613657</v>
      </c>
      <c r="F62" s="2">
        <v>721.48838420604568</v>
      </c>
      <c r="G62" s="2">
        <v>639.71020864220668</v>
      </c>
      <c r="H62" s="2">
        <f t="shared" si="0"/>
        <v>59</v>
      </c>
      <c r="I62" s="4">
        <v>173553.04048981922</v>
      </c>
      <c r="J62" s="6">
        <v>85174.519533626037</v>
      </c>
      <c r="K62" s="2">
        <v>121582.4692845161</v>
      </c>
      <c r="L62" s="2">
        <v>154654.68603866702</v>
      </c>
      <c r="M62" s="2">
        <v>137125.12029166188</v>
      </c>
      <c r="N62" s="3">
        <f t="shared" si="1"/>
        <v>171545.72380467333</v>
      </c>
      <c r="O62" s="5">
        <f t="shared" si="2"/>
        <v>83102.512805990511</v>
      </c>
      <c r="P62" s="3">
        <f t="shared" si="3"/>
        <v>53.164759387399151</v>
      </c>
      <c r="Q62" s="3">
        <f t="shared" si="4"/>
        <v>171545.72380467333</v>
      </c>
      <c r="R62" s="5">
        <f t="shared" si="5"/>
        <v>55.027030084822002</v>
      </c>
      <c r="S62" s="5">
        <f t="shared" si="6"/>
        <v>83102.512805990511</v>
      </c>
    </row>
    <row r="63" spans="1:19">
      <c r="A63">
        <v>60</v>
      </c>
      <c r="B63" s="2">
        <v>796.66310160427815</v>
      </c>
      <c r="C63" s="2">
        <v>398.33155080213908</v>
      </c>
      <c r="D63" s="2">
        <v>390.97786312359739</v>
      </c>
      <c r="E63" s="2">
        <v>558.10181606464778</v>
      </c>
      <c r="F63" s="2">
        <v>709.91370424552088</v>
      </c>
      <c r="G63" s="2">
        <v>629.44747802227823</v>
      </c>
      <c r="H63" s="2">
        <f t="shared" si="0"/>
        <v>60</v>
      </c>
      <c r="I63" s="4">
        <v>174349.70359142349</v>
      </c>
      <c r="J63" s="6">
        <v>85565.497396749633</v>
      </c>
      <c r="K63" s="2">
        <v>122140.57110058075</v>
      </c>
      <c r="L63" s="2">
        <v>155364.59974291254</v>
      </c>
      <c r="M63" s="2">
        <v>137754.56776968416</v>
      </c>
      <c r="N63" s="3">
        <f t="shared" si="1"/>
        <v>172438.60822817721</v>
      </c>
      <c r="O63" s="5">
        <f t="shared" si="2"/>
        <v>83545.831400514668</v>
      </c>
      <c r="P63" s="3">
        <f t="shared" si="3"/>
        <v>53.972249384148597</v>
      </c>
      <c r="Q63" s="3">
        <f t="shared" si="4"/>
        <v>172438.60822817721</v>
      </c>
      <c r="R63" s="5">
        <f t="shared" si="5"/>
        <v>55.894408706155005</v>
      </c>
      <c r="S63" s="5">
        <f t="shared" si="6"/>
        <v>83545.831400514668</v>
      </c>
    </row>
    <row r="64" spans="1:19">
      <c r="A64">
        <v>61</v>
      </c>
      <c r="B64" s="2">
        <v>784.08421052631581</v>
      </c>
      <c r="C64" s="2">
        <v>392.04210526315791</v>
      </c>
      <c r="D64" s="2">
        <v>384.80452844269826</v>
      </c>
      <c r="E64" s="2">
        <v>549.28968212678501</v>
      </c>
      <c r="F64" s="2">
        <v>698.70454049427565</v>
      </c>
      <c r="G64" s="2">
        <v>619.50883363245271</v>
      </c>
      <c r="H64" s="2">
        <f t="shared" si="0"/>
        <v>61</v>
      </c>
      <c r="I64" s="4">
        <v>175133.7878019498</v>
      </c>
      <c r="J64" s="6">
        <v>85950.301925192325</v>
      </c>
      <c r="K64" s="2">
        <v>122689.86078270753</v>
      </c>
      <c r="L64" s="2">
        <v>156063.30428340682</v>
      </c>
      <c r="M64" s="2">
        <v>138374.07660331661</v>
      </c>
      <c r="N64" s="3">
        <f t="shared" si="1"/>
        <v>173317.5648836857</v>
      </c>
      <c r="O64" s="5">
        <f t="shared" si="2"/>
        <v>83982.502152730565</v>
      </c>
      <c r="P64" s="3">
        <f t="shared" si="3"/>
        <v>54.776842712093519</v>
      </c>
      <c r="Q64" s="3">
        <f t="shared" si="4"/>
        <v>173317.5648836857</v>
      </c>
      <c r="R64" s="5">
        <f t="shared" si="5"/>
        <v>56.759715678138257</v>
      </c>
      <c r="S64" s="5">
        <f t="shared" si="6"/>
        <v>83982.502152730565</v>
      </c>
    </row>
    <row r="65" spans="1:19">
      <c r="A65">
        <v>62</v>
      </c>
      <c r="B65" s="2">
        <v>771.89637305699489</v>
      </c>
      <c r="C65" s="2">
        <v>385.94818652849744</v>
      </c>
      <c r="D65" s="2">
        <v>378.82311090213847</v>
      </c>
      <c r="E65" s="2">
        <v>540.75150053932202</v>
      </c>
      <c r="F65" s="2">
        <v>687.84384815498629</v>
      </c>
      <c r="G65" s="2">
        <v>609.87916264334717</v>
      </c>
      <c r="H65" s="2">
        <f t="shared" si="0"/>
        <v>62</v>
      </c>
      <c r="I65" s="4">
        <v>175905.68417500678</v>
      </c>
      <c r="J65" s="6">
        <v>86329.125036094469</v>
      </c>
      <c r="K65" s="2">
        <v>123230.61228324685</v>
      </c>
      <c r="L65" s="2">
        <v>156751.14813156181</v>
      </c>
      <c r="M65" s="2">
        <v>138983.95576595995</v>
      </c>
      <c r="N65" s="3">
        <f t="shared" si="1"/>
        <v>174182.98210904351</v>
      </c>
      <c r="O65" s="5">
        <f t="shared" si="2"/>
        <v>84412.710059065517</v>
      </c>
      <c r="P65" s="3">
        <f t="shared" si="3"/>
        <v>55.578549762310253</v>
      </c>
      <c r="Q65" s="3">
        <f t="shared" si="4"/>
        <v>174182.98210904351</v>
      </c>
      <c r="R65" s="5">
        <f t="shared" si="5"/>
        <v>57.622955948704508</v>
      </c>
      <c r="S65" s="5">
        <f t="shared" si="6"/>
        <v>84412.710059065517</v>
      </c>
    </row>
    <row r="66" spans="1:19">
      <c r="A66">
        <v>63</v>
      </c>
      <c r="B66" s="2">
        <v>760.08163265306132</v>
      </c>
      <c r="C66" s="2">
        <v>380.04081632653066</v>
      </c>
      <c r="D66" s="2">
        <v>373.02479798016674</v>
      </c>
      <c r="E66" s="2">
        <v>532.47469185759769</v>
      </c>
      <c r="F66" s="2">
        <v>677.31562598934909</v>
      </c>
      <c r="G66" s="2">
        <v>600.54427750084722</v>
      </c>
      <c r="H66" s="2">
        <f t="shared" si="0"/>
        <v>63</v>
      </c>
      <c r="I66" s="4">
        <v>176665.76580765983</v>
      </c>
      <c r="J66" s="6">
        <v>86702.149834074633</v>
      </c>
      <c r="K66" s="2">
        <v>123763.08697510445</v>
      </c>
      <c r="L66" s="2">
        <v>157428.46375755116</v>
      </c>
      <c r="M66" s="2">
        <v>139584.50004346081</v>
      </c>
      <c r="N66" s="3">
        <f t="shared" si="1"/>
        <v>175035.23186037026</v>
      </c>
      <c r="O66" s="5">
        <f t="shared" si="2"/>
        <v>84836.632298924276</v>
      </c>
      <c r="P66" s="3">
        <f t="shared" si="3"/>
        <v>56.377380888599646</v>
      </c>
      <c r="Q66" s="3">
        <f t="shared" si="4"/>
        <v>175035.23186037026</v>
      </c>
      <c r="R66" s="5">
        <f t="shared" si="5"/>
        <v>58.484134453968743</v>
      </c>
      <c r="S66" s="5">
        <f t="shared" si="6"/>
        <v>84836.632298924276</v>
      </c>
    </row>
    <row r="67" spans="1:19">
      <c r="A67">
        <v>64</v>
      </c>
      <c r="B67" s="2">
        <v>748.62311557788962</v>
      </c>
      <c r="C67" s="2">
        <v>374.31155778894481</v>
      </c>
      <c r="D67" s="2">
        <v>367.40130856338004</v>
      </c>
      <c r="E67" s="2">
        <v>524.44743519642759</v>
      </c>
      <c r="F67" s="2">
        <v>667.10483765785148</v>
      </c>
      <c r="G67" s="2">
        <v>591.49084618173913</v>
      </c>
      <c r="H67" s="2">
        <f t="shared" si="0"/>
        <v>64</v>
      </c>
      <c r="I67" s="4">
        <v>177414.38892323771</v>
      </c>
      <c r="J67" s="6">
        <v>87069.551142638011</v>
      </c>
      <c r="K67" s="2">
        <v>124287.53441030088</v>
      </c>
      <c r="L67" s="2">
        <v>158095.56859520901</v>
      </c>
      <c r="M67" s="2">
        <v>140175.99088964253</v>
      </c>
      <c r="N67" s="3">
        <f t="shared" si="1"/>
        <v>175874.6706414654</v>
      </c>
      <c r="O67" s="5">
        <f t="shared" si="2"/>
        <v>85254.438678872364</v>
      </c>
      <c r="P67" s="3">
        <f t="shared" si="3"/>
        <v>57.173346407620947</v>
      </c>
      <c r="Q67" s="3">
        <f t="shared" si="4"/>
        <v>175874.6706414654</v>
      </c>
      <c r="R67" s="5">
        <f t="shared" si="5"/>
        <v>59.343256118256583</v>
      </c>
      <c r="S67" s="5">
        <f t="shared" si="6"/>
        <v>85254.438678872364</v>
      </c>
    </row>
    <row r="68" spans="1:19">
      <c r="A68">
        <v>65</v>
      </c>
      <c r="B68" s="2">
        <v>737.50495049504957</v>
      </c>
      <c r="C68" s="2">
        <v>368.75247524752479</v>
      </c>
      <c r="D68" s="2">
        <v>361.94485348570618</v>
      </c>
      <c r="E68" s="2">
        <v>516.65861190143107</v>
      </c>
      <c r="F68" s="2">
        <v>657.19734006887313</v>
      </c>
      <c r="G68" s="2">
        <v>582.70632866418794</v>
      </c>
      <c r="H68" s="2">
        <f t="shared" si="0"/>
        <v>65</v>
      </c>
      <c r="I68" s="4">
        <v>178151.89387373277</v>
      </c>
      <c r="J68" s="6">
        <v>87431.495996123718</v>
      </c>
      <c r="K68" s="2">
        <v>124804.19302220231</v>
      </c>
      <c r="L68" s="2">
        <v>158752.76593527789</v>
      </c>
      <c r="M68" s="2">
        <v>140758.69721830671</v>
      </c>
      <c r="N68" s="3">
        <f t="shared" si="1"/>
        <v>176701.64036714134</v>
      </c>
      <c r="O68" s="5">
        <f t="shared" si="2"/>
        <v>85666.292045203489</v>
      </c>
      <c r="P68" s="3">
        <f t="shared" si="3"/>
        <v>57.96645659902493</v>
      </c>
      <c r="Q68" s="3">
        <f t="shared" si="4"/>
        <v>176701.64036714134</v>
      </c>
      <c r="R68" s="5">
        <f t="shared" si="5"/>
        <v>60.200325854132309</v>
      </c>
      <c r="S68" s="5">
        <f t="shared" si="6"/>
        <v>85666.292045203489</v>
      </c>
    </row>
    <row r="69" spans="1:19">
      <c r="A69">
        <v>66</v>
      </c>
      <c r="B69" s="2">
        <v>726.71219512195125</v>
      </c>
      <c r="C69" s="2">
        <v>363.35609756097563</v>
      </c>
      <c r="D69" s="2">
        <v>356.64809953225699</v>
      </c>
      <c r="E69" s="2">
        <v>509.09775416628821</v>
      </c>
      <c r="F69" s="2">
        <v>647.57981801908477</v>
      </c>
      <c r="G69" s="2">
        <v>574.17891897641948</v>
      </c>
      <c r="H69" s="2">
        <f t="shared" ref="H69:H132" si="7">+$A69</f>
        <v>66</v>
      </c>
      <c r="I69" s="4">
        <v>178878.60606885471</v>
      </c>
      <c r="J69" s="6">
        <v>87788.144095655982</v>
      </c>
      <c r="K69" s="2">
        <v>125313.29077636859</v>
      </c>
      <c r="L69" s="2">
        <v>159400.34575329698</v>
      </c>
      <c r="M69" s="2">
        <v>141332.87613728314</v>
      </c>
      <c r="N69" s="3">
        <f t="shared" ref="N69:N132" si="8">+$Q69</f>
        <v>177516.46916611042</v>
      </c>
      <c r="O69" s="5">
        <f t="shared" ref="O69:O132" si="9">+$S69</f>
        <v>86072.34866758564</v>
      </c>
      <c r="P69" s="3">
        <f t="shared" ref="P69:P132" si="10">+(1-EXP(-$P$2*$H69))/$P$2</f>
        <v>58.756721705586742</v>
      </c>
      <c r="Q69" s="3">
        <f t="shared" ref="Q69:Q132" si="11">+$Q$2/(1+1/SQRT($Q$3*$P69))</f>
        <v>177516.46916611042</v>
      </c>
      <c r="R69" s="5">
        <f t="shared" ref="R69:R132" si="12">+(1-EXP(-$R$2*$H69))/$R$2</f>
        <v>61.055348562427113</v>
      </c>
      <c r="S69" s="5">
        <f t="shared" ref="S69:S132" si="13">+$S$2/(1+1/SQRT($S$3*$R69))</f>
        <v>86072.34866758564</v>
      </c>
    </row>
    <row r="70" spans="1:19">
      <c r="A70">
        <v>67</v>
      </c>
      <c r="B70" s="2">
        <v>716.23076923076928</v>
      </c>
      <c r="C70" s="2">
        <v>358.11538461538464</v>
      </c>
      <c r="D70" s="2">
        <v>351.50413655823394</v>
      </c>
      <c r="E70" s="2">
        <v>501.75499809658214</v>
      </c>
      <c r="F70" s="2">
        <v>638.23972448996335</v>
      </c>
      <c r="G70" s="2">
        <v>565.89749226041329</v>
      </c>
      <c r="H70" s="2">
        <f t="shared" si="7"/>
        <v>67</v>
      </c>
      <c r="I70" s="4">
        <v>179594.8368380855</v>
      </c>
      <c r="J70" s="6">
        <v>88139.648232214211</v>
      </c>
      <c r="K70" s="2">
        <v>125815.04577446518</v>
      </c>
      <c r="L70" s="2">
        <v>160038.58547778695</v>
      </c>
      <c r="M70" s="2">
        <v>141898.77362954355</v>
      </c>
      <c r="N70" s="3">
        <f t="shared" si="8"/>
        <v>178319.47212849298</v>
      </c>
      <c r="O70" s="5">
        <f t="shared" si="9"/>
        <v>86472.758596212705</v>
      </c>
      <c r="P70" s="3">
        <f t="shared" si="10"/>
        <v>59.544151933338021</v>
      </c>
      <c r="Q70" s="3">
        <f t="shared" si="11"/>
        <v>178319.47212849298</v>
      </c>
      <c r="R70" s="5">
        <f t="shared" si="12"/>
        <v>61.908329132266978</v>
      </c>
      <c r="S70" s="5">
        <f t="shared" si="13"/>
        <v>86472.758596212705</v>
      </c>
    </row>
    <row r="71" spans="1:19">
      <c r="A71">
        <v>68</v>
      </c>
      <c r="B71" s="2">
        <v>706.04739336492901</v>
      </c>
      <c r="C71" s="2">
        <v>353.0236966824645</v>
      </c>
      <c r="D71" s="2">
        <v>346.50644741285635</v>
      </c>
      <c r="E71" s="2">
        <v>494.62104077767407</v>
      </c>
      <c r="F71" s="2">
        <v>629.16522603749991</v>
      </c>
      <c r="G71" s="2">
        <v>557.85155635149829</v>
      </c>
      <c r="H71" s="2">
        <f t="shared" si="7"/>
        <v>68</v>
      </c>
      <c r="I71" s="4">
        <v>180300.88423145041</v>
      </c>
      <c r="J71" s="6">
        <v>88486.15467962707</v>
      </c>
      <c r="K71" s="2">
        <v>126309.66681524285</v>
      </c>
      <c r="L71" s="2">
        <v>160667.75070382445</v>
      </c>
      <c r="M71" s="2">
        <v>142456.62518589504</v>
      </c>
      <c r="N71" s="3">
        <f t="shared" si="8"/>
        <v>179110.95200252376</v>
      </c>
      <c r="O71" s="5">
        <f t="shared" si="9"/>
        <v>86867.665994653275</v>
      </c>
      <c r="P71" s="3">
        <f t="shared" si="10"/>
        <v>60.328757451698927</v>
      </c>
      <c r="Q71" s="3">
        <f t="shared" si="11"/>
        <v>179110.95200252376</v>
      </c>
      <c r="R71" s="5">
        <f t="shared" si="12"/>
        <v>62.759272441100649</v>
      </c>
      <c r="S71" s="5">
        <f t="shared" si="13"/>
        <v>86867.665994653275</v>
      </c>
    </row>
    <row r="72" spans="1:19">
      <c r="A72">
        <v>69</v>
      </c>
      <c r="B72" s="2">
        <v>696.14953271028048</v>
      </c>
      <c r="C72" s="2">
        <v>348.07476635514024</v>
      </c>
      <c r="D72" s="2">
        <v>341.64888039305021</v>
      </c>
      <c r="E72" s="2">
        <v>487.68710095368778</v>
      </c>
      <c r="F72" s="2">
        <v>620.34515277529158</v>
      </c>
      <c r="G72" s="2">
        <v>550.03120743068234</v>
      </c>
      <c r="H72" s="2">
        <f t="shared" si="7"/>
        <v>69</v>
      </c>
      <c r="I72" s="4">
        <v>180997.0337641607</v>
      </c>
      <c r="J72" s="6">
        <v>88827.803560020126</v>
      </c>
      <c r="K72" s="2">
        <v>126797.35391619653</v>
      </c>
      <c r="L72" s="2">
        <v>161288.09585659974</v>
      </c>
      <c r="M72" s="2">
        <v>143006.65639332571</v>
      </c>
      <c r="N72" s="3">
        <f t="shared" si="8"/>
        <v>179891.199844591</v>
      </c>
      <c r="O72" s="5">
        <f t="shared" si="9"/>
        <v>87257.209450376977</v>
      </c>
      <c r="P72" s="3">
        <f t="shared" si="10"/>
        <v>61.110548393609299</v>
      </c>
      <c r="Q72" s="3">
        <f t="shared" si="11"/>
        <v>179891.199844591</v>
      </c>
      <c r="R72" s="5">
        <f t="shared" si="12"/>
        <v>63.608183354727657</v>
      </c>
      <c r="S72" s="5">
        <f t="shared" si="13"/>
        <v>87257.209450376977</v>
      </c>
    </row>
    <row r="73" spans="1:19">
      <c r="A73">
        <v>70</v>
      </c>
      <c r="B73" s="2">
        <v>686.52534562211986</v>
      </c>
      <c r="C73" s="2">
        <v>343.26267281105993</v>
      </c>
      <c r="D73" s="2">
        <v>336.92562398208611</v>
      </c>
      <c r="E73" s="2">
        <v>480.94488296815246</v>
      </c>
      <c r="F73" s="2">
        <v>611.76895250650864</v>
      </c>
      <c r="G73" s="2">
        <v>542.42708935560358</v>
      </c>
      <c r="H73" s="2">
        <f t="shared" si="7"/>
        <v>70</v>
      </c>
      <c r="I73" s="4">
        <v>181683.55910978283</v>
      </c>
      <c r="J73" s="6">
        <v>89164.729184002208</v>
      </c>
      <c r="K73" s="2">
        <v>127278.29879916468</v>
      </c>
      <c r="L73" s="2">
        <v>161899.86480910625</v>
      </c>
      <c r="M73" s="2">
        <v>143549.08348268131</v>
      </c>
      <c r="N73" s="3">
        <f t="shared" si="8"/>
        <v>180660.49562635555</v>
      </c>
      <c r="O73" s="5">
        <f t="shared" si="9"/>
        <v>87641.522264751693</v>
      </c>
      <c r="P73" s="3">
        <f t="shared" si="10"/>
        <v>61.889534855659626</v>
      </c>
      <c r="Q73" s="3">
        <f t="shared" si="11"/>
        <v>180660.49562635555</v>
      </c>
      <c r="R73" s="5">
        <f t="shared" si="12"/>
        <v>64.455066727325956</v>
      </c>
      <c r="S73" s="5">
        <f t="shared" si="13"/>
        <v>87641.522264751693</v>
      </c>
    </row>
    <row r="74" spans="1:19">
      <c r="A74">
        <v>71</v>
      </c>
      <c r="B74" s="2">
        <v>677.16363636363644</v>
      </c>
      <c r="C74" s="2">
        <v>338.58181818181822</v>
      </c>
      <c r="D74" s="2">
        <v>332.33118365505783</v>
      </c>
      <c r="E74" s="2">
        <v>474.38654365495097</v>
      </c>
      <c r="F74" s="2">
        <v>603.42664860869286</v>
      </c>
      <c r="G74" s="2">
        <v>535.0303563189367</v>
      </c>
      <c r="H74" s="2">
        <f t="shared" si="7"/>
        <v>71</v>
      </c>
      <c r="I74" s="4">
        <v>182360.72274614646</v>
      </c>
      <c r="J74" s="6">
        <v>89497.060367657265</v>
      </c>
      <c r="K74" s="2">
        <v>127752.68534281963</v>
      </c>
      <c r="L74" s="2">
        <v>162503.29145771495</v>
      </c>
      <c r="M74" s="2">
        <v>144084.11383900023</v>
      </c>
      <c r="N74" s="3">
        <f t="shared" si="8"/>
        <v>181419.10880234448</v>
      </c>
      <c r="O74" s="5">
        <f t="shared" si="9"/>
        <v>88020.732724137677</v>
      </c>
      <c r="P74" s="3">
        <f t="shared" si="10"/>
        <v>62.665726898221372</v>
      </c>
      <c r="Q74" s="3">
        <f t="shared" si="11"/>
        <v>181419.10880234448</v>
      </c>
      <c r="R74" s="5">
        <f t="shared" si="12"/>
        <v>65.299927401479806</v>
      </c>
      <c r="S74" s="5">
        <f t="shared" si="13"/>
        <v>88020.732724137677</v>
      </c>
    </row>
    <row r="75" spans="1:19">
      <c r="A75">
        <v>72</v>
      </c>
      <c r="B75" s="2">
        <v>668.05381165919289</v>
      </c>
      <c r="C75" s="2">
        <v>334.02690582959644</v>
      </c>
      <c r="D75" s="2">
        <v>327.86036055655893</v>
      </c>
      <c r="E75" s="2">
        <v>468.00466190174456</v>
      </c>
      <c r="F75" s="2">
        <v>595.30880131799267</v>
      </c>
      <c r="G75" s="2">
        <v>527.83263852092352</v>
      </c>
      <c r="H75" s="2">
        <f t="shared" si="7"/>
        <v>72</v>
      </c>
      <c r="I75" s="4">
        <v>183028.77655780566</v>
      </c>
      <c r="J75" s="6">
        <v>89824.920728213823</v>
      </c>
      <c r="K75" s="2">
        <v>128220.69000472137</v>
      </c>
      <c r="L75" s="2">
        <v>163098.60025903294</v>
      </c>
      <c r="M75" s="2">
        <v>144611.94647752115</v>
      </c>
      <c r="N75" s="3">
        <f t="shared" si="8"/>
        <v>182167.29884110441</v>
      </c>
      <c r="O75" s="5">
        <f t="shared" si="9"/>
        <v>88394.964353554897</v>
      </c>
      <c r="P75" s="3">
        <f t="shared" si="10"/>
        <v>63.439134545576891</v>
      </c>
      <c r="Q75" s="3">
        <f t="shared" si="11"/>
        <v>182167.29884110441</v>
      </c>
      <c r="R75" s="5">
        <f t="shared" si="12"/>
        <v>66.142770208207395</v>
      </c>
      <c r="S75" s="5">
        <f t="shared" si="13"/>
        <v>88394.964353554897</v>
      </c>
    </row>
    <row r="76" spans="1:19">
      <c r="A76">
        <v>73</v>
      </c>
      <c r="B76" s="2">
        <v>659.18584070796476</v>
      </c>
      <c r="C76" s="2">
        <v>329.59292035398238</v>
      </c>
      <c r="D76" s="2">
        <v>323.50823187660478</v>
      </c>
      <c r="E76" s="2">
        <v>461.79221063756256</v>
      </c>
      <c r="F76" s="2">
        <v>587.40647209695749</v>
      </c>
      <c r="G76" s="2">
        <v>520.82601057595593</v>
      </c>
      <c r="H76" s="2">
        <f t="shared" si="7"/>
        <v>73</v>
      </c>
      <c r="I76" s="4">
        <v>183687.96239851363</v>
      </c>
      <c r="J76" s="6">
        <v>90148.42896009043</v>
      </c>
      <c r="K76" s="2">
        <v>128682.48221535893</v>
      </c>
      <c r="L76" s="2">
        <v>163686.00673112989</v>
      </c>
      <c r="M76" s="2">
        <v>145132.77248809711</v>
      </c>
      <c r="N76" s="3">
        <f t="shared" si="8"/>
        <v>182905.31572271837</v>
      </c>
      <c r="O76" s="5">
        <f t="shared" si="9"/>
        <v>88764.336154266188</v>
      </c>
      <c r="P76" s="3">
        <f t="shared" si="10"/>
        <v>64.209767786048999</v>
      </c>
      <c r="Q76" s="3">
        <f t="shared" si="11"/>
        <v>182905.31572271837</v>
      </c>
      <c r="R76" s="5">
        <f t="shared" si="12"/>
        <v>66.983599966988521</v>
      </c>
      <c r="S76" s="5">
        <f t="shared" si="13"/>
        <v>88764.336154266188</v>
      </c>
    </row>
    <row r="77" spans="1:19">
      <c r="A77">
        <v>74</v>
      </c>
      <c r="B77" s="2">
        <v>650.55021834061142</v>
      </c>
      <c r="C77" s="2">
        <v>325.27510917030571</v>
      </c>
      <c r="D77" s="2">
        <v>319.27013276905132</v>
      </c>
      <c r="E77" s="2">
        <v>455.74253102222355</v>
      </c>
      <c r="F77" s="2">
        <v>579.71119080311121</v>
      </c>
      <c r="G77" s="2">
        <v>514.00296240247201</v>
      </c>
      <c r="H77" s="2">
        <f t="shared" si="7"/>
        <v>74</v>
      </c>
      <c r="I77" s="4">
        <v>184338.51261685425</v>
      </c>
      <c r="J77" s="6">
        <v>90467.699092859475</v>
      </c>
      <c r="K77" s="2">
        <v>129138.22474638115</v>
      </c>
      <c r="L77" s="2">
        <v>164265.71792193301</v>
      </c>
      <c r="M77" s="2">
        <v>145646.77545049958</v>
      </c>
      <c r="N77" s="3">
        <f t="shared" si="8"/>
        <v>183633.40040523969</v>
      </c>
      <c r="O77" s="5">
        <f t="shared" si="9"/>
        <v>89128.962826498377</v>
      </c>
      <c r="P77" s="3">
        <f t="shared" si="10"/>
        <v>64.977636572129896</v>
      </c>
      <c r="Q77" s="3">
        <f t="shared" si="11"/>
        <v>183633.40040523969</v>
      </c>
      <c r="R77" s="5">
        <f t="shared" si="12"/>
        <v>67.822421485792177</v>
      </c>
      <c r="S77" s="5">
        <f t="shared" si="13"/>
        <v>89128.962826498377</v>
      </c>
    </row>
    <row r="78" spans="1:19">
      <c r="A78">
        <v>75</v>
      </c>
      <c r="B78" s="2">
        <v>642.13793103448279</v>
      </c>
      <c r="C78" s="2">
        <v>321.06896551724139</v>
      </c>
      <c r="D78" s="2">
        <v>315.1416396728996</v>
      </c>
      <c r="E78" s="2">
        <v>449.84930863831522</v>
      </c>
      <c r="F78" s="2">
        <v>572.21492540479483</v>
      </c>
      <c r="G78" s="2">
        <v>507.3563723714052</v>
      </c>
      <c r="H78" s="2">
        <f t="shared" si="7"/>
        <v>75</v>
      </c>
      <c r="I78" s="4">
        <v>184980.65054788874</v>
      </c>
      <c r="J78" s="6">
        <v>90782.840732532379</v>
      </c>
      <c r="K78" s="2">
        <v>129588.07405501946</v>
      </c>
      <c r="L78" s="2">
        <v>164837.9328473378</v>
      </c>
      <c r="M78" s="2">
        <v>146154.13182287099</v>
      </c>
      <c r="N78" s="3">
        <f t="shared" si="8"/>
        <v>184351.7852623715</v>
      </c>
      <c r="O78" s="5">
        <f t="shared" si="9"/>
        <v>89488.954978415655</v>
      </c>
      <c r="P78" s="3">
        <f t="shared" si="10"/>
        <v>65.742750820609587</v>
      </c>
      <c r="Q78" s="3">
        <f t="shared" si="11"/>
        <v>184351.7852623715</v>
      </c>
      <c r="R78" s="5">
        <f t="shared" si="12"/>
        <v>68.659239561103874</v>
      </c>
      <c r="S78" s="5">
        <f t="shared" si="13"/>
        <v>89488.954978415655</v>
      </c>
    </row>
    <row r="79" spans="1:19">
      <c r="A79">
        <v>76</v>
      </c>
      <c r="B79" s="2">
        <v>633.94042553191503</v>
      </c>
      <c r="C79" s="2">
        <v>316.97021276595751</v>
      </c>
      <c r="D79" s="2">
        <v>311.11855491111783</v>
      </c>
      <c r="E79" s="2">
        <v>444.10655150676234</v>
      </c>
      <c r="F79" s="2">
        <v>564.91005401664859</v>
      </c>
      <c r="G79" s="2">
        <v>500.87948251134492</v>
      </c>
      <c r="H79" s="2">
        <f t="shared" si="7"/>
        <v>76</v>
      </c>
      <c r="I79" s="4">
        <v>185614.59097342065</v>
      </c>
      <c r="J79" s="6">
        <v>91093.959287443489</v>
      </c>
      <c r="K79" s="2">
        <v>130032.18060652622</v>
      </c>
      <c r="L79" s="2">
        <v>165402.84290135445</v>
      </c>
      <c r="M79" s="2">
        <v>146655.01130538233</v>
      </c>
      <c r="N79" s="3">
        <f t="shared" si="8"/>
        <v>185060.69449451781</v>
      </c>
      <c r="O79" s="5">
        <f t="shared" si="9"/>
        <v>89844.41932236297</v>
      </c>
      <c r="P79" s="3">
        <f t="shared" si="10"/>
        <v>66.50512041270423</v>
      </c>
      <c r="Q79" s="3">
        <f t="shared" si="11"/>
        <v>185060.69449451781</v>
      </c>
      <c r="R79" s="5">
        <f t="shared" si="12"/>
        <v>69.494058977953301</v>
      </c>
      <c r="S79" s="5">
        <f t="shared" si="13"/>
        <v>89844.41932236297</v>
      </c>
    </row>
    <row r="80" spans="1:19">
      <c r="A80">
        <v>77</v>
      </c>
      <c r="B80" s="2">
        <v>625.94957983193274</v>
      </c>
      <c r="C80" s="2">
        <v>312.97478991596637</v>
      </c>
      <c r="D80" s="2">
        <v>307.19689245425513</v>
      </c>
      <c r="E80" s="2">
        <v>438.50856976508038</v>
      </c>
      <c r="F80" s="2">
        <v>557.78933905005204</v>
      </c>
      <c r="G80" s="2">
        <v>494.5658755889329</v>
      </c>
      <c r="H80" s="2">
        <f t="shared" si="7"/>
        <v>77</v>
      </c>
      <c r="I80" s="4">
        <v>186240.54055325259</v>
      </c>
      <c r="J80" s="6">
        <v>91401.156179897749</v>
      </c>
      <c r="K80" s="2">
        <v>130470.6891762913</v>
      </c>
      <c r="L80" s="2">
        <v>165960.63224040449</v>
      </c>
      <c r="M80" s="2">
        <v>147149.57718097128</v>
      </c>
      <c r="N80" s="3">
        <f t="shared" si="8"/>
        <v>185760.34451514762</v>
      </c>
      <c r="O80" s="5">
        <f t="shared" si="9"/>
        <v>90195.458859308361</v>
      </c>
      <c r="P80" s="3">
        <f t="shared" si="10"/>
        <v>67.264755194183493</v>
      </c>
      <c r="Q80" s="3">
        <f t="shared" si="11"/>
        <v>185760.34451514762</v>
      </c>
      <c r="R80" s="5">
        <f t="shared" si="12"/>
        <v>70.326884509941422</v>
      </c>
      <c r="S80" s="5">
        <f t="shared" si="13"/>
        <v>90195.458859308361</v>
      </c>
    </row>
    <row r="81" spans="1:19">
      <c r="A81">
        <v>78</v>
      </c>
      <c r="B81" s="2">
        <v>618.15767634854774</v>
      </c>
      <c r="C81" s="2">
        <v>309.07883817427387</v>
      </c>
      <c r="D81" s="2">
        <v>303.37286474735555</v>
      </c>
      <c r="E81" s="2">
        <v>433.04995686344034</v>
      </c>
      <c r="F81" s="2">
        <v>550.84590329424248</v>
      </c>
      <c r="G81" s="2">
        <v>488.40945390110392</v>
      </c>
      <c r="H81" s="2">
        <f t="shared" si="7"/>
        <v>78</v>
      </c>
      <c r="I81" s="4">
        <v>186858.69822960114</v>
      </c>
      <c r="J81" s="6">
        <v>91704.529044645111</v>
      </c>
      <c r="K81" s="2">
        <v>130903.73913315474</v>
      </c>
      <c r="L81" s="2">
        <v>166511.47814369874</v>
      </c>
      <c r="M81" s="2">
        <v>147637.98663487239</v>
      </c>
      <c r="N81" s="3">
        <f t="shared" si="8"/>
        <v>186450.94431425235</v>
      </c>
      <c r="O81" s="5">
        <f t="shared" si="9"/>
        <v>90542.173052336017</v>
      </c>
      <c r="P81" s="3">
        <f t="shared" si="10"/>
        <v>68.021664975497799</v>
      </c>
      <c r="Q81" s="3">
        <f t="shared" si="11"/>
        <v>186450.94431425235</v>
      </c>
      <c r="R81" s="5">
        <f t="shared" si="12"/>
        <v>71.157720919268129</v>
      </c>
      <c r="S81" s="5">
        <f t="shared" si="13"/>
        <v>90542.173052336017</v>
      </c>
    </row>
    <row r="82" spans="1:19">
      <c r="A82">
        <v>79</v>
      </c>
      <c r="B82" s="2">
        <v>610.55737704918045</v>
      </c>
      <c r="C82" s="2">
        <v>305.27868852459022</v>
      </c>
      <c r="D82" s="2">
        <v>299.64287050865863</v>
      </c>
      <c r="E82" s="2">
        <v>427.72557214790641</v>
      </c>
      <c r="F82" s="2">
        <v>544.07320776193615</v>
      </c>
      <c r="G82" s="2">
        <v>482.40441963182809</v>
      </c>
      <c r="H82" s="2">
        <f t="shared" si="7"/>
        <v>79</v>
      </c>
      <c r="I82" s="4">
        <v>187469.25560665032</v>
      </c>
      <c r="J82" s="6">
        <v>92004.171915153769</v>
      </c>
      <c r="K82" s="2">
        <v>131331.46470530264</v>
      </c>
      <c r="L82" s="2">
        <v>167055.55135146069</v>
      </c>
      <c r="M82" s="2">
        <v>148120.3910545042</v>
      </c>
      <c r="N82" s="3">
        <f t="shared" si="8"/>
        <v>187132.69580052348</v>
      </c>
      <c r="O82" s="5">
        <f t="shared" si="9"/>
        <v>90884.657989968808</v>
      </c>
      <c r="P82" s="3">
        <f t="shared" si="10"/>
        <v>68.77585953190507</v>
      </c>
      <c r="Q82" s="3">
        <f t="shared" si="11"/>
        <v>187132.69580052348</v>
      </c>
      <c r="R82" s="5">
        <f t="shared" si="12"/>
        <v>71.986572956759062</v>
      </c>
      <c r="S82" s="5">
        <f t="shared" si="13"/>
        <v>90884.657989968808</v>
      </c>
    </row>
    <row r="83" spans="1:19">
      <c r="A83">
        <v>80</v>
      </c>
      <c r="B83" s="2">
        <v>603.1417004048584</v>
      </c>
      <c r="C83" s="2">
        <v>301.5708502024292</v>
      </c>
      <c r="D83" s="2">
        <v>296.00348341746042</v>
      </c>
      <c r="E83" s="2">
        <v>422.53052471291181</v>
      </c>
      <c r="F83" s="2">
        <v>537.46503114944323</v>
      </c>
      <c r="G83" s="2">
        <v>476.54525664034861</v>
      </c>
      <c r="H83" s="2">
        <f t="shared" si="7"/>
        <v>80</v>
      </c>
      <c r="I83" s="4">
        <v>188072.39730705519</v>
      </c>
      <c r="J83" s="6">
        <v>92300.175398571228</v>
      </c>
      <c r="K83" s="2">
        <v>131753.99523001554</v>
      </c>
      <c r="L83" s="2">
        <v>167593.01638261013</v>
      </c>
      <c r="M83" s="2">
        <v>148596.93631114456</v>
      </c>
      <c r="N83" s="3">
        <f t="shared" si="8"/>
        <v>187805.79412374634</v>
      </c>
      <c r="O83" s="5">
        <f t="shared" si="9"/>
        <v>91223.006540035727</v>
      </c>
      <c r="P83" s="3">
        <f t="shared" si="10"/>
        <v>69.527348603596863</v>
      </c>
      <c r="Q83" s="3">
        <f t="shared" si="11"/>
        <v>187805.79412374634</v>
      </c>
      <c r="R83" s="5">
        <f t="shared" si="12"/>
        <v>72.81344536189313</v>
      </c>
      <c r="S83" s="5">
        <f t="shared" si="13"/>
        <v>91223.006540035727</v>
      </c>
    </row>
    <row r="84" spans="1:19">
      <c r="A84">
        <v>81</v>
      </c>
      <c r="B84" s="2">
        <v>595.904</v>
      </c>
      <c r="C84" s="2">
        <v>297.952</v>
      </c>
      <c r="D84" s="2">
        <v>292.45144161645101</v>
      </c>
      <c r="E84" s="2">
        <v>417.46015841635676</v>
      </c>
      <c r="F84" s="2">
        <v>531.01545077564981</v>
      </c>
      <c r="G84" s="2">
        <v>470.8267135606643</v>
      </c>
      <c r="H84" s="2">
        <f t="shared" si="7"/>
        <v>81</v>
      </c>
      <c r="I84" s="4">
        <v>188668.3013070552</v>
      </c>
      <c r="J84" s="6">
        <v>92592.626840187673</v>
      </c>
      <c r="K84" s="2">
        <v>132171.4553884319</v>
      </c>
      <c r="L84" s="2">
        <v>168124.03183338579</v>
      </c>
      <c r="M84" s="2">
        <v>149067.76302470523</v>
      </c>
      <c r="N84" s="3">
        <f t="shared" si="8"/>
        <v>188470.42797878207</v>
      </c>
      <c r="O84" s="5">
        <f t="shared" si="9"/>
        <v>91557.308494740486</v>
      </c>
      <c r="P84" s="3">
        <f t="shared" si="10"/>
        <v>70.276141895824338</v>
      </c>
      <c r="Q84" s="3">
        <f t="shared" si="11"/>
        <v>188470.42797878207</v>
      </c>
      <c r="R84" s="5">
        <f t="shared" si="12"/>
        <v>73.638342862829319</v>
      </c>
      <c r="S84" s="5">
        <f t="shared" si="13"/>
        <v>91557.308494740486</v>
      </c>
    </row>
    <row r="85" spans="1:19">
      <c r="A85">
        <v>82</v>
      </c>
      <c r="B85" s="2">
        <v>588.83794466403162</v>
      </c>
      <c r="C85" s="2">
        <v>294.41897233201581</v>
      </c>
      <c r="D85" s="2">
        <v>288.98363796091985</v>
      </c>
      <c r="E85" s="2">
        <v>412.51003796082671</v>
      </c>
      <c r="F85" s="2">
        <v>524.71882487712412</v>
      </c>
      <c r="G85" s="2">
        <v>465.24378810342313</v>
      </c>
      <c r="H85" s="2">
        <f t="shared" si="7"/>
        <v>82</v>
      </c>
      <c r="I85" s="4">
        <v>189257.13925171923</v>
      </c>
      <c r="J85" s="6">
        <v>92881.610478148592</v>
      </c>
      <c r="K85" s="2">
        <v>132583.96542639274</v>
      </c>
      <c r="L85" s="2">
        <v>168648.7506582629</v>
      </c>
      <c r="M85" s="2">
        <v>149533.00681280866</v>
      </c>
      <c r="N85" s="3">
        <f t="shared" si="8"/>
        <v>189126.77989239866</v>
      </c>
      <c r="O85" s="5">
        <f t="shared" si="9"/>
        <v>91887.650707535257</v>
      </c>
      <c r="P85" s="3">
        <f t="shared" si="10"/>
        <v>71.02224907902341</v>
      </c>
      <c r="Q85" s="3">
        <f t="shared" si="11"/>
        <v>189126.77989239866</v>
      </c>
      <c r="R85" s="5">
        <f t="shared" si="12"/>
        <v>74.461270176434013</v>
      </c>
      <c r="S85" s="5">
        <f t="shared" si="13"/>
        <v>91887.650707535257</v>
      </c>
    </row>
    <row r="86" spans="1:19">
      <c r="A86">
        <v>83</v>
      </c>
      <c r="B86" s="2">
        <v>581.93750000000011</v>
      </c>
      <c r="C86" s="2">
        <v>290.96875000000006</v>
      </c>
      <c r="D86" s="2">
        <v>285.59711095356545</v>
      </c>
      <c r="E86" s="2">
        <v>407.67593595347313</v>
      </c>
      <c r="F86" s="2">
        <v>518.56977614809534</v>
      </c>
      <c r="G86" s="2">
        <v>459.79171246158609</v>
      </c>
      <c r="H86" s="2">
        <f t="shared" si="7"/>
        <v>83</v>
      </c>
      <c r="I86" s="4">
        <v>189839.07675171923</v>
      </c>
      <c r="J86" s="6">
        <v>93167.207589102152</v>
      </c>
      <c r="K86" s="2">
        <v>132991.64136234621</v>
      </c>
      <c r="L86" s="2">
        <v>169167.320434411</v>
      </c>
      <c r="M86" s="2">
        <v>149992.79852527025</v>
      </c>
      <c r="N86" s="3">
        <f t="shared" si="8"/>
        <v>189775.02649411326</v>
      </c>
      <c r="O86" s="5">
        <f t="shared" si="9"/>
        <v>92214.117222354165</v>
      </c>
      <c r="P86" s="3">
        <f t="shared" si="10"/>
        <v>71.765679788939678</v>
      </c>
      <c r="Q86" s="3">
        <f t="shared" si="11"/>
        <v>189775.02649411326</v>
      </c>
      <c r="R86" s="5">
        <f t="shared" si="12"/>
        <v>75.282232008307687</v>
      </c>
      <c r="S86" s="5">
        <f t="shared" si="13"/>
        <v>92214.117222354165</v>
      </c>
    </row>
    <row r="87" spans="1:19">
      <c r="A87">
        <v>84</v>
      </c>
      <c r="B87" s="2">
        <v>575.19691119691129</v>
      </c>
      <c r="C87" s="2">
        <v>287.59845559845564</v>
      </c>
      <c r="D87" s="2">
        <v>282.28903630931524</v>
      </c>
      <c r="E87" s="2">
        <v>402.95382086520908</v>
      </c>
      <c r="F87" s="2">
        <v>512.56317642437227</v>
      </c>
      <c r="G87" s="2">
        <v>454.46593973037085</v>
      </c>
      <c r="H87" s="2">
        <f t="shared" si="7"/>
        <v>84</v>
      </c>
      <c r="I87" s="4">
        <v>190414.27366291615</v>
      </c>
      <c r="J87" s="6">
        <v>93449.49662541147</v>
      </c>
      <c r="K87" s="2">
        <v>133394.59518321144</v>
      </c>
      <c r="L87" s="2">
        <v>169679.88361083536</v>
      </c>
      <c r="M87" s="2">
        <v>150447.26446500063</v>
      </c>
      <c r="N87" s="3">
        <f t="shared" si="8"/>
        <v>190415.33877211422</v>
      </c>
      <c r="O87" s="5">
        <f t="shared" si="9"/>
        <v>92536.789395718966</v>
      </c>
      <c r="P87" s="3">
        <f t="shared" si="10"/>
        <v>72.506443626753025</v>
      </c>
      <c r="Q87" s="3">
        <f t="shared" si="11"/>
        <v>190415.33877211422</v>
      </c>
      <c r="R87" s="5">
        <f t="shared" si="12"/>
        <v>76.10123305281202</v>
      </c>
      <c r="S87" s="5">
        <f t="shared" si="13"/>
        <v>92536.789395718966</v>
      </c>
    </row>
    <row r="88" spans="1:19">
      <c r="A88">
        <v>85</v>
      </c>
      <c r="B88" s="2">
        <v>568.61068702290083</v>
      </c>
      <c r="C88" s="2">
        <v>284.30534351145042</v>
      </c>
      <c r="D88" s="2">
        <v>279.05671909966657</v>
      </c>
      <c r="E88" s="2">
        <v>398.33984581713406</v>
      </c>
      <c r="F88" s="2">
        <v>506.69413241951293</v>
      </c>
      <c r="G88" s="2">
        <v>449.26213126017564</v>
      </c>
      <c r="H88" s="2">
        <f t="shared" si="7"/>
        <v>85</v>
      </c>
      <c r="I88" s="4">
        <v>190982.88434993906</v>
      </c>
      <c r="J88" s="6">
        <v>93728.553344511136</v>
      </c>
      <c r="K88" s="2">
        <v>133792.93502902857</v>
      </c>
      <c r="L88" s="2">
        <v>170186.57774325486</v>
      </c>
      <c r="M88" s="2">
        <v>150896.52659626081</v>
      </c>
      <c r="N88" s="3">
        <f t="shared" si="8"/>
        <v>191047.88231524988</v>
      </c>
      <c r="O88" s="5">
        <f t="shared" si="9"/>
        <v>92855.746012187927</v>
      </c>
      <c r="P88" s="3">
        <f t="shared" si="10"/>
        <v>73.24455015920141</v>
      </c>
      <c r="Q88" s="3">
        <f t="shared" si="11"/>
        <v>191047.88231524988</v>
      </c>
      <c r="R88" s="5">
        <f t="shared" si="12"/>
        <v>76.91827799309668</v>
      </c>
      <c r="S88" s="5">
        <f t="shared" si="13"/>
        <v>92855.746012187927</v>
      </c>
    </row>
    <row r="89" spans="1:19">
      <c r="A89">
        <v>86</v>
      </c>
      <c r="B89" s="2">
        <v>562.17358490566039</v>
      </c>
      <c r="C89" s="2">
        <v>281.0867924528302</v>
      </c>
      <c r="D89" s="2">
        <v>275.89758643061367</v>
      </c>
      <c r="E89" s="2">
        <v>393.83033812863795</v>
      </c>
      <c r="F89" s="2">
        <v>500.95797242985782</v>
      </c>
      <c r="G89" s="2">
        <v>444.17614486855075</v>
      </c>
      <c r="H89" s="2">
        <f t="shared" si="7"/>
        <v>86</v>
      </c>
      <c r="I89" s="4">
        <v>191545.05793484472</v>
      </c>
      <c r="J89" s="6">
        <v>94004.450930941748</v>
      </c>
      <c r="K89" s="2">
        <v>134186.7653671572</v>
      </c>
      <c r="L89" s="2">
        <v>170687.53571568473</v>
      </c>
      <c r="M89" s="2">
        <v>151340.70274112935</v>
      </c>
      <c r="N89" s="3">
        <f t="shared" si="8"/>
        <v>191672.81754199474</v>
      </c>
      <c r="O89" s="5">
        <f t="shared" si="9"/>
        <v>93171.06339358387</v>
      </c>
      <c r="P89" s="3">
        <f t="shared" si="10"/>
        <v>73.98000891870457</v>
      </c>
      <c r="Q89" s="3">
        <f t="shared" si="11"/>
        <v>191672.81754199474</v>
      </c>
      <c r="R89" s="5">
        <f t="shared" si="12"/>
        <v>77.733371501126015</v>
      </c>
      <c r="S89" s="5">
        <f t="shared" si="13"/>
        <v>93171.06339358387</v>
      </c>
    </row>
    <row r="90" spans="1:19">
      <c r="A90">
        <v>87</v>
      </c>
      <c r="B90" s="2">
        <v>555.88059701492546</v>
      </c>
      <c r="C90" s="2">
        <v>277.94029850746273</v>
      </c>
      <c r="D90" s="2">
        <v>272.80918061236105</v>
      </c>
      <c r="E90" s="2">
        <v>389.42178956749694</v>
      </c>
      <c r="F90" s="2">
        <v>495.35023393250901</v>
      </c>
      <c r="G90" s="2">
        <v>439.20402384390326</v>
      </c>
      <c r="H90" s="2">
        <f t="shared" si="7"/>
        <v>87</v>
      </c>
      <c r="I90" s="4">
        <v>192100.93853185963</v>
      </c>
      <c r="J90" s="6">
        <v>94277.260111554104</v>
      </c>
      <c r="K90" s="2">
        <v>134576.18715672471</v>
      </c>
      <c r="L90" s="2">
        <v>171182.88594961725</v>
      </c>
      <c r="M90" s="2">
        <v>151779.90676497325</v>
      </c>
      <c r="N90" s="3">
        <f t="shared" si="8"/>
        <v>192290.29991723297</v>
      </c>
      <c r="O90" s="5">
        <f t="shared" si="9"/>
        <v>93482.815502403188</v>
      </c>
      <c r="P90" s="3">
        <f t="shared" si="10"/>
        <v>74.712829403486978</v>
      </c>
      <c r="Q90" s="3">
        <f t="shared" si="11"/>
        <v>192290.29991723297</v>
      </c>
      <c r="R90" s="5">
        <f t="shared" si="12"/>
        <v>78.546518237705911</v>
      </c>
      <c r="S90" s="5">
        <f t="shared" si="13"/>
        <v>93482.815502403188</v>
      </c>
    </row>
    <row r="91" spans="1:19">
      <c r="A91">
        <v>88</v>
      </c>
      <c r="B91" s="2">
        <v>549.7269372693728</v>
      </c>
      <c r="C91" s="2">
        <v>274.8634686346864</v>
      </c>
      <c r="D91" s="2">
        <v>269.78915278270364</v>
      </c>
      <c r="E91" s="2">
        <v>385.11084724756137</v>
      </c>
      <c r="F91" s="2">
        <v>489.86665200705693</v>
      </c>
      <c r="G91" s="2">
        <v>434.34198667957946</v>
      </c>
      <c r="H91" s="2">
        <f t="shared" si="7"/>
        <v>88</v>
      </c>
      <c r="I91" s="4">
        <v>192650.66546912902</v>
      </c>
      <c r="J91" s="6">
        <v>94547.049264336805</v>
      </c>
      <c r="K91" s="2">
        <v>134961.29800397228</v>
      </c>
      <c r="L91" s="2">
        <v>171672.75260162432</v>
      </c>
      <c r="M91" s="2">
        <v>152214.24875165283</v>
      </c>
      <c r="N91" s="3">
        <f t="shared" si="8"/>
        <v>192900.48015763907</v>
      </c>
      <c r="O91" s="5">
        <f t="shared" si="9"/>
        <v>93791.074039778308</v>
      </c>
      <c r="P91" s="3">
        <f t="shared" si="10"/>
        <v>75.443021077700706</v>
      </c>
      <c r="Q91" s="3">
        <f t="shared" si="11"/>
        <v>192900.48015763907</v>
      </c>
      <c r="R91" s="5">
        <f t="shared" si="12"/>
        <v>79.357722852510364</v>
      </c>
      <c r="S91" s="5">
        <f t="shared" si="13"/>
        <v>93791.074039778308</v>
      </c>
    </row>
    <row r="92" spans="1:19">
      <c r="A92">
        <v>89</v>
      </c>
      <c r="B92" s="2">
        <v>543.70802919708035</v>
      </c>
      <c r="C92" s="2">
        <v>271.85401459854018</v>
      </c>
      <c r="D92" s="2">
        <v>266.83525694931632</v>
      </c>
      <c r="E92" s="2">
        <v>380.89430512441265</v>
      </c>
      <c r="F92" s="2">
        <v>484.50314851792842</v>
      </c>
      <c r="G92" s="2">
        <v>429.5864174823576</v>
      </c>
      <c r="H92" s="2">
        <f t="shared" si="7"/>
        <v>89</v>
      </c>
      <c r="I92" s="4">
        <v>193194.37349832611</v>
      </c>
      <c r="J92" s="6">
        <v>94813.88452128612</v>
      </c>
      <c r="K92" s="2">
        <v>135342.19230909669</v>
      </c>
      <c r="L92" s="2">
        <v>172157.25575014224</v>
      </c>
      <c r="M92" s="2">
        <v>152643.83516913519</v>
      </c>
      <c r="N92" s="3">
        <f t="shared" si="8"/>
        <v>193503.50442637427</v>
      </c>
      <c r="O92" s="5">
        <f t="shared" si="9"/>
        <v>94095.908538337346</v>
      </c>
      <c r="P92" s="3">
        <f t="shared" si="10"/>
        <v>76.17059337154744</v>
      </c>
      <c r="Q92" s="3">
        <f t="shared" si="11"/>
        <v>193503.50442637427</v>
      </c>
      <c r="R92" s="5">
        <f t="shared" si="12"/>
        <v>80.166989984108085</v>
      </c>
      <c r="S92" s="5">
        <f t="shared" si="13"/>
        <v>94095.908538337346</v>
      </c>
    </row>
    <row r="93" spans="1:19">
      <c r="A93">
        <v>90</v>
      </c>
      <c r="B93" s="2">
        <v>537.81949458483757</v>
      </c>
      <c r="C93" s="2">
        <v>268.90974729241879</v>
      </c>
      <c r="D93" s="2">
        <v>263.94534441917938</v>
      </c>
      <c r="E93" s="2">
        <v>376.76909604364306</v>
      </c>
      <c r="F93" s="2">
        <v>479.25582199968392</v>
      </c>
      <c r="G93" s="2">
        <v>424.93385700420959</v>
      </c>
      <c r="H93" s="2">
        <f t="shared" si="7"/>
        <v>90</v>
      </c>
      <c r="I93" s="4">
        <v>193732.19299291095</v>
      </c>
      <c r="J93" s="6">
        <v>95077.829865705295</v>
      </c>
      <c r="K93" s="2">
        <v>135718.96140514032</v>
      </c>
      <c r="L93" s="2">
        <v>172636.51157214193</v>
      </c>
      <c r="M93" s="2">
        <v>153068.7690261394</v>
      </c>
      <c r="N93" s="3">
        <f t="shared" si="8"/>
        <v>194099.51451776669</v>
      </c>
      <c r="O93" s="5">
        <f t="shared" si="9"/>
        <v>94397.386450280566</v>
      </c>
      <c r="P93" s="3">
        <f t="shared" si="10"/>
        <v>76.895555681400481</v>
      </c>
      <c r="Q93" s="3">
        <f t="shared" si="11"/>
        <v>194099.51451776669</v>
      </c>
      <c r="R93" s="5">
        <f t="shared" si="12"/>
        <v>80.974324259988904</v>
      </c>
      <c r="S93" s="5">
        <f t="shared" si="13"/>
        <v>94397.386450280566</v>
      </c>
    </row>
    <row r="94" spans="1:19">
      <c r="A94">
        <v>91</v>
      </c>
      <c r="B94" s="2">
        <v>532.05714285714282</v>
      </c>
      <c r="C94" s="2">
        <v>266.02857142857141</v>
      </c>
      <c r="D94" s="2">
        <v>261.11735858611701</v>
      </c>
      <c r="E94" s="2">
        <v>372.73228430031855</v>
      </c>
      <c r="F94" s="2">
        <v>474.12093819254437</v>
      </c>
      <c r="G94" s="2">
        <v>420.38099425059312</v>
      </c>
      <c r="H94" s="2">
        <f t="shared" si="7"/>
        <v>91</v>
      </c>
      <c r="I94" s="4">
        <v>194264.25013576809</v>
      </c>
      <c r="J94" s="6">
        <v>95338.947224291405</v>
      </c>
      <c r="K94" s="2">
        <v>136091.69368944064</v>
      </c>
      <c r="L94" s="2">
        <v>173110.63251033449</v>
      </c>
      <c r="M94" s="2">
        <v>153489.15002038999</v>
      </c>
      <c r="N94" s="3">
        <f t="shared" si="8"/>
        <v>194688.64803259325</v>
      </c>
      <c r="O94" s="5">
        <f t="shared" si="9"/>
        <v>94695.573230968832</v>
      </c>
      <c r="P94" s="3">
        <f t="shared" si="10"/>
        <v>77.617917369925863</v>
      </c>
      <c r="Q94" s="3">
        <f t="shared" si="11"/>
        <v>194688.64803259325</v>
      </c>
      <c r="R94" s="5">
        <f t="shared" si="12"/>
        <v>81.779730296590529</v>
      </c>
      <c r="S94" s="5">
        <f t="shared" si="13"/>
        <v>94695.573230968832</v>
      </c>
    </row>
    <row r="95" spans="1:19">
      <c r="A95">
        <v>92</v>
      </c>
      <c r="B95" s="2">
        <v>526.41696113074204</v>
      </c>
      <c r="C95" s="2">
        <v>263.20848056537102</v>
      </c>
      <c r="D95" s="2">
        <v>258.34933004986812</v>
      </c>
      <c r="E95" s="2">
        <v>368.78105867169319</v>
      </c>
      <c r="F95" s="2">
        <v>469.0949211799026</v>
      </c>
      <c r="G95" s="2">
        <v>415.92465862249492</v>
      </c>
      <c r="H95" s="2">
        <f t="shared" si="7"/>
        <v>92</v>
      </c>
      <c r="I95" s="4">
        <v>194790.66709689883</v>
      </c>
      <c r="J95" s="6">
        <v>95597.296554341272</v>
      </c>
      <c r="K95" s="2">
        <v>136460.47474811232</v>
      </c>
      <c r="L95" s="2">
        <v>173579.72743151439</v>
      </c>
      <c r="M95" s="2">
        <v>153905.0746790125</v>
      </c>
      <c r="N95" s="3">
        <f t="shared" si="8"/>
        <v>195271.03854453858</v>
      </c>
      <c r="O95" s="5">
        <f t="shared" si="9"/>
        <v>94990.532418299044</v>
      </c>
      <c r="P95" s="3">
        <f t="shared" si="10"/>
        <v>78.337687766203445</v>
      </c>
      <c r="Q95" s="3">
        <f t="shared" si="11"/>
        <v>195271.03854453858</v>
      </c>
      <c r="R95" s="5">
        <f t="shared" si="12"/>
        <v>82.583212699324548</v>
      </c>
      <c r="S95" s="5">
        <f t="shared" si="13"/>
        <v>94990.532418299044</v>
      </c>
    </row>
    <row r="96" spans="1:19">
      <c r="A96">
        <v>93</v>
      </c>
      <c r="B96" s="2">
        <v>520.89510489510496</v>
      </c>
      <c r="C96" s="2">
        <v>260.44755244755248</v>
      </c>
      <c r="D96" s="2">
        <v>255.63937204235219</v>
      </c>
      <c r="E96" s="2">
        <v>364.91272588842361</v>
      </c>
      <c r="F96" s="2">
        <v>464.17434508360981</v>
      </c>
      <c r="G96" s="2">
        <v>411.56181255302806</v>
      </c>
      <c r="H96" s="2">
        <f t="shared" si="7"/>
        <v>93</v>
      </c>
      <c r="I96" s="4">
        <v>195311.56220179395</v>
      </c>
      <c r="J96" s="6">
        <v>95852.935926383623</v>
      </c>
      <c r="K96" s="2">
        <v>136825.38747400074</v>
      </c>
      <c r="L96" s="2">
        <v>174043.90177659801</v>
      </c>
      <c r="M96" s="2">
        <v>154316.63649156553</v>
      </c>
      <c r="N96" s="3">
        <f t="shared" si="8"/>
        <v>195846.81575836317</v>
      </c>
      <c r="O96" s="5">
        <f t="shared" si="9"/>
        <v>95282.325708121178</v>
      </c>
      <c r="P96" s="3">
        <f t="shared" si="10"/>
        <v>79.054876165847389</v>
      </c>
      <c r="Q96" s="3">
        <f t="shared" si="11"/>
        <v>195846.81575836317</v>
      </c>
      <c r="R96" s="5">
        <f t="shared" si="12"/>
        <v>83.38477606260318</v>
      </c>
      <c r="S96" s="5">
        <f t="shared" si="13"/>
        <v>95282.325708121178</v>
      </c>
    </row>
    <row r="97" spans="1:19">
      <c r="A97">
        <v>94</v>
      </c>
      <c r="B97" s="2">
        <v>515.48788927335647</v>
      </c>
      <c r="C97" s="2">
        <v>257.74394463667824</v>
      </c>
      <c r="D97" s="2">
        <v>252.98567613879814</v>
      </c>
      <c r="E97" s="2">
        <v>361.1247045124191</v>
      </c>
      <c r="F97" s="2">
        <v>459.35592627651351</v>
      </c>
      <c r="G97" s="2">
        <v>407.28954460265066</v>
      </c>
      <c r="H97" s="2">
        <f t="shared" si="7"/>
        <v>94</v>
      </c>
      <c r="I97" s="4">
        <v>195827.0500910673</v>
      </c>
      <c r="J97" s="6">
        <v>96105.921602522416</v>
      </c>
      <c r="K97" s="2">
        <v>137186.51217851316</v>
      </c>
      <c r="L97" s="2">
        <v>174503.25770287451</v>
      </c>
      <c r="M97" s="2">
        <v>154723.92603616818</v>
      </c>
      <c r="N97" s="3">
        <f t="shared" si="8"/>
        <v>196416.10566027727</v>
      </c>
      <c r="O97" s="5">
        <f t="shared" si="9"/>
        <v>95571.013025933862</v>
      </c>
      <c r="P97" s="3">
        <f t="shared" si="10"/>
        <v>79.769491831126146</v>
      </c>
      <c r="Q97" s="3">
        <f t="shared" si="11"/>
        <v>196416.10566027727</v>
      </c>
      <c r="R97" s="5">
        <f t="shared" si="12"/>
        <v>84.184424969865219</v>
      </c>
      <c r="S97" s="5">
        <f t="shared" si="13"/>
        <v>95571.013025933862</v>
      </c>
    </row>
    <row r="98" spans="1:19">
      <c r="A98">
        <v>95</v>
      </c>
      <c r="B98" s="2">
        <v>510.19178082191786</v>
      </c>
      <c r="C98" s="2">
        <v>255.09589041095893</v>
      </c>
      <c r="D98" s="2">
        <v>250.38650823326267</v>
      </c>
      <c r="E98" s="2">
        <v>357.41451919208606</v>
      </c>
      <c r="F98" s="2">
        <v>454.63651607504255</v>
      </c>
      <c r="G98" s="2">
        <v>403.1050629800207</v>
      </c>
      <c r="H98" s="2">
        <f t="shared" si="7"/>
        <v>95</v>
      </c>
      <c r="I98" s="4">
        <v>196337.24187188921</v>
      </c>
      <c r="J98" s="6">
        <v>96356.308110755679</v>
      </c>
      <c r="K98" s="2">
        <v>137543.92669770526</v>
      </c>
      <c r="L98" s="2">
        <v>174957.89421894954</v>
      </c>
      <c r="M98" s="2">
        <v>155127.03109914821</v>
      </c>
      <c r="N98" s="3">
        <f t="shared" si="8"/>
        <v>196979.03066098096</v>
      </c>
      <c r="O98" s="5">
        <f t="shared" si="9"/>
        <v>95856.652595079184</v>
      </c>
      <c r="P98" s="3">
        <f t="shared" si="10"/>
        <v>80.48154399108202</v>
      </c>
      <c r="Q98" s="3">
        <f t="shared" si="11"/>
        <v>196979.03066098096</v>
      </c>
      <c r="R98" s="5">
        <f t="shared" si="12"/>
        <v>84.982163993602356</v>
      </c>
      <c r="S98" s="5">
        <f t="shared" si="13"/>
        <v>95856.652595079184</v>
      </c>
    </row>
    <row r="99" spans="1:19">
      <c r="A99">
        <v>96</v>
      </c>
      <c r="B99" s="2">
        <v>505.00338983050852</v>
      </c>
      <c r="C99" s="2">
        <v>252.50169491525426</v>
      </c>
      <c r="D99" s="2">
        <v>247.84020475970371</v>
      </c>
      <c r="E99" s="2">
        <v>353.77979526809855</v>
      </c>
      <c r="F99" s="2">
        <v>450.01309387766918</v>
      </c>
      <c r="G99" s="2">
        <v>399.00568945818986</v>
      </c>
      <c r="H99" s="2">
        <f t="shared" si="7"/>
        <v>96</v>
      </c>
      <c r="I99" s="4">
        <v>196842.24526171971</v>
      </c>
      <c r="J99" s="6">
        <v>96604.148315515384</v>
      </c>
      <c r="K99" s="2">
        <v>137897.70649297335</v>
      </c>
      <c r="L99" s="2">
        <v>175407.90731282721</v>
      </c>
      <c r="M99" s="2">
        <v>155526.03678860641</v>
      </c>
      <c r="N99" s="3">
        <f t="shared" si="8"/>
        <v>197535.70973180144</v>
      </c>
      <c r="O99" s="5">
        <f t="shared" si="9"/>
        <v>96139.301001641987</v>
      </c>
      <c r="P99" s="3">
        <f t="shared" si="10"/>
        <v>81.191041841650474</v>
      </c>
      <c r="Q99" s="3">
        <f t="shared" si="11"/>
        <v>197535.70973180144</v>
      </c>
      <c r="R99" s="5">
        <f t="shared" si="12"/>
        <v>85.777997695385352</v>
      </c>
      <c r="S99" s="5">
        <f t="shared" si="13"/>
        <v>96139.301001641987</v>
      </c>
    </row>
    <row r="100" spans="1:19">
      <c r="A100">
        <v>97</v>
      </c>
      <c r="B100" s="2">
        <v>499.9194630872484</v>
      </c>
      <c r="C100" s="2">
        <v>249.9597315436242</v>
      </c>
      <c r="D100" s="2">
        <v>245.3451691413178</v>
      </c>
      <c r="E100" s="2">
        <v>350.21825370499704</v>
      </c>
      <c r="F100" s="2">
        <v>445.48276071782681</v>
      </c>
      <c r="G100" s="2">
        <v>394.98885365827522</v>
      </c>
      <c r="H100" s="2">
        <f t="shared" si="7"/>
        <v>97</v>
      </c>
      <c r="I100" s="4">
        <v>197342.16472480696</v>
      </c>
      <c r="J100" s="6">
        <v>96849.493484656705</v>
      </c>
      <c r="K100" s="2">
        <v>138247.92474667836</v>
      </c>
      <c r="L100" s="2">
        <v>175853.39007354504</v>
      </c>
      <c r="M100" s="2">
        <v>155921.02564226469</v>
      </c>
      <c r="N100" s="3">
        <f t="shared" si="8"/>
        <v>198086.25853432558</v>
      </c>
      <c r="O100" s="5">
        <f t="shared" si="9"/>
        <v>96419.013256244478</v>
      </c>
      <c r="P100" s="3">
        <f t="shared" si="10"/>
        <v>81.897994545778886</v>
      </c>
      <c r="Q100" s="3">
        <f t="shared" si="11"/>
        <v>198086.25853432558</v>
      </c>
      <c r="R100" s="5">
        <f t="shared" si="12"/>
        <v>86.571930625890147</v>
      </c>
      <c r="S100" s="5">
        <f t="shared" si="13"/>
        <v>96419.013256244478</v>
      </c>
    </row>
    <row r="101" spans="1:19">
      <c r="A101">
        <v>98</v>
      </c>
      <c r="B101" s="2">
        <v>494.93687707641203</v>
      </c>
      <c r="C101" s="2">
        <v>247.46843853820602</v>
      </c>
      <c r="D101" s="2">
        <v>242.8998684522017</v>
      </c>
      <c r="E101" s="2">
        <v>346.72770632587748</v>
      </c>
      <c r="F101" s="2">
        <v>441.04273320236683</v>
      </c>
      <c r="G101" s="2">
        <v>391.05208767497027</v>
      </c>
      <c r="H101" s="2">
        <f t="shared" si="7"/>
        <v>98</v>
      </c>
      <c r="I101" s="4">
        <v>197837.10160188336</v>
      </c>
      <c r="J101" s="6">
        <v>97092.393353108913</v>
      </c>
      <c r="K101" s="2">
        <v>138594.65245300424</v>
      </c>
      <c r="L101" s="2">
        <v>176294.43280674741</v>
      </c>
      <c r="M101" s="2">
        <v>156312.07772993966</v>
      </c>
      <c r="N101" s="3">
        <f t="shared" si="8"/>
        <v>198630.78954390273</v>
      </c>
      <c r="O101" s="5">
        <f t="shared" si="9"/>
        <v>96695.842852915026</v>
      </c>
      <c r="P101" s="3">
        <f t="shared" si="10"/>
        <v>82.602411233544771</v>
      </c>
      <c r="Q101" s="3">
        <f t="shared" si="11"/>
        <v>198630.78954390273</v>
      </c>
      <c r="R101" s="5">
        <f t="shared" si="12"/>
        <v>87.363967324923763</v>
      </c>
      <c r="S101" s="5">
        <f t="shared" si="13"/>
        <v>96695.842852915026</v>
      </c>
    </row>
    <row r="102" spans="1:19">
      <c r="A102">
        <v>99</v>
      </c>
      <c r="B102" s="2">
        <v>490.05263157894746</v>
      </c>
      <c r="C102" s="2">
        <v>245.02631578947373</v>
      </c>
      <c r="D102" s="2">
        <v>240.50283027668652</v>
      </c>
      <c r="E102" s="2">
        <v>343.30605132924052</v>
      </c>
      <c r="F102" s="2">
        <v>436.69033780892238</v>
      </c>
      <c r="G102" s="2">
        <v>387.19302102028291</v>
      </c>
      <c r="H102" s="2">
        <f t="shared" si="7"/>
        <v>99</v>
      </c>
      <c r="I102" s="4">
        <v>198327.15423346232</v>
      </c>
      <c r="J102" s="6">
        <v>97332.896183385601</v>
      </c>
      <c r="K102" s="2">
        <v>138937.95850433348</v>
      </c>
      <c r="L102" s="2">
        <v>176731.12314455633</v>
      </c>
      <c r="M102" s="2">
        <v>156699.27075095993</v>
      </c>
      <c r="N102" s="3">
        <f t="shared" si="8"/>
        <v>199169.4121673652</v>
      </c>
      <c r="O102" s="5">
        <f t="shared" si="9"/>
        <v>96969.841825197014</v>
      </c>
      <c r="P102" s="3">
        <f t="shared" si="10"/>
        <v>83.304301002273817</v>
      </c>
      <c r="Q102" s="3">
        <f t="shared" si="11"/>
        <v>199169.4121673652</v>
      </c>
      <c r="R102" s="5">
        <f t="shared" si="12"/>
        <v>88.15411232145037</v>
      </c>
      <c r="S102" s="5">
        <f t="shared" si="13"/>
        <v>96969.841825197014</v>
      </c>
    </row>
    <row r="103" spans="1:19">
      <c r="A103">
        <v>100</v>
      </c>
      <c r="B103" s="2">
        <v>485.26384364820854</v>
      </c>
      <c r="C103" s="2">
        <v>242.63192182410427</v>
      </c>
      <c r="D103" s="2">
        <v>238.15263975281013</v>
      </c>
      <c r="E103" s="2">
        <v>339.95126906869444</v>
      </c>
      <c r="F103" s="2">
        <v>432.42300551763003</v>
      </c>
      <c r="G103" s="2">
        <v>383.40937586373309</v>
      </c>
      <c r="H103" s="2">
        <f t="shared" si="7"/>
        <v>100</v>
      </c>
      <c r="I103" s="4">
        <v>198812.41807711055</v>
      </c>
      <c r="J103" s="6">
        <v>97571.048823138408</v>
      </c>
      <c r="K103" s="2">
        <v>139277.90977340218</v>
      </c>
      <c r="L103" s="2">
        <v>177163.54615007396</v>
      </c>
      <c r="M103" s="2">
        <v>157082.68012682366</v>
      </c>
      <c r="N103" s="3">
        <f t="shared" si="8"/>
        <v>199702.23285529122</v>
      </c>
      <c r="O103" s="5">
        <f t="shared" si="9"/>
        <v>97241.060799653525</v>
      </c>
      <c r="P103" s="3">
        <f t="shared" si="10"/>
        <v>84.003672916657379</v>
      </c>
      <c r="Q103" s="3">
        <f t="shared" si="11"/>
        <v>199702.23285529122</v>
      </c>
      <c r="R103" s="5">
        <f t="shared" si="12"/>
        <v>88.942370133617132</v>
      </c>
      <c r="S103" s="5">
        <f t="shared" si="13"/>
        <v>97241.060799653525</v>
      </c>
    </row>
    <row r="104" spans="1:19">
      <c r="A104">
        <v>101</v>
      </c>
      <c r="B104" s="2">
        <v>480.56774193548392</v>
      </c>
      <c r="C104" s="2">
        <v>240.28387096774196</v>
      </c>
      <c r="D104" s="2">
        <v>235.84793678746018</v>
      </c>
      <c r="E104" s="2">
        <v>336.66141807770674</v>
      </c>
      <c r="F104" s="2">
        <v>428.23826675455604</v>
      </c>
      <c r="G104" s="2">
        <v>379.69896254892257</v>
      </c>
      <c r="H104" s="2">
        <f t="shared" si="7"/>
        <v>101</v>
      </c>
      <c r="I104" s="4">
        <v>199292.98581904604</v>
      </c>
      <c r="J104" s="6">
        <v>97806.896759925861</v>
      </c>
      <c r="K104" s="2">
        <v>139614.57119147989</v>
      </c>
      <c r="L104" s="2">
        <v>177591.78441682851</v>
      </c>
      <c r="M104" s="2">
        <v>157462.37908937258</v>
      </c>
      <c r="N104" s="3">
        <f t="shared" si="8"/>
        <v>200229.35520911502</v>
      </c>
      <c r="O104" s="5">
        <f t="shared" si="9"/>
        <v>97509.549046912813</v>
      </c>
      <c r="P104" s="3">
        <f t="shared" si="10"/>
        <v>84.700536008869364</v>
      </c>
      <c r="Q104" s="3">
        <f t="shared" si="11"/>
        <v>200229.35520911502</v>
      </c>
      <c r="R104" s="5">
        <f t="shared" si="12"/>
        <v>89.728745268780088</v>
      </c>
      <c r="S104" s="5">
        <f t="shared" si="13"/>
        <v>97509.549046912813</v>
      </c>
    </row>
    <row r="105" spans="1:19">
      <c r="A105">
        <v>102</v>
      </c>
      <c r="B105" s="2">
        <v>475.96166134185307</v>
      </c>
      <c r="C105" s="2">
        <v>237.98083067092654</v>
      </c>
      <c r="D105" s="2">
        <v>233.58741343166994</v>
      </c>
      <c r="E105" s="2">
        <v>333.43463132296853</v>
      </c>
      <c r="F105" s="2">
        <v>424.13374662591821</v>
      </c>
      <c r="G105" s="2">
        <v>376.05967536794259</v>
      </c>
      <c r="H105" s="2">
        <f t="shared" si="7"/>
        <v>102</v>
      </c>
      <c r="I105" s="4">
        <v>199768.9474803879</v>
      </c>
      <c r="J105" s="6">
        <v>98040.48417335753</v>
      </c>
      <c r="K105" s="2">
        <v>139948.00582280286</v>
      </c>
      <c r="L105" s="2">
        <v>178015.91816345442</v>
      </c>
      <c r="M105" s="2">
        <v>157838.43876474054</v>
      </c>
      <c r="N105" s="3">
        <f t="shared" si="8"/>
        <v>200750.88008336764</v>
      </c>
      <c r="O105" s="5">
        <f t="shared" si="9"/>
        <v>97775.354530390134</v>
      </c>
      <c r="P105" s="3">
        <f t="shared" si="10"/>
        <v>85.394899278683127</v>
      </c>
      <c r="Q105" s="3">
        <f t="shared" si="11"/>
        <v>200750.88008336764</v>
      </c>
      <c r="R105" s="5">
        <f t="shared" si="12"/>
        <v>90.513242223529872</v>
      </c>
      <c r="S105" s="5">
        <f t="shared" si="13"/>
        <v>97775.354530390134</v>
      </c>
    </row>
    <row r="106" spans="1:19">
      <c r="A106">
        <v>103</v>
      </c>
      <c r="B106" s="2">
        <v>471.44303797468359</v>
      </c>
      <c r="C106" s="2">
        <v>235.7215189873418</v>
      </c>
      <c r="D106" s="2">
        <v>231.36981140542002</v>
      </c>
      <c r="E106" s="2">
        <v>330.26911267116839</v>
      </c>
      <c r="F106" s="2">
        <v>420.10716042377356</v>
      </c>
      <c r="G106" s="2">
        <v>372.48948857647497</v>
      </c>
      <c r="H106" s="2">
        <f t="shared" si="7"/>
        <v>103</v>
      </c>
      <c r="I106" s="4">
        <v>200240.39051836258</v>
      </c>
      <c r="J106" s="6">
        <v>98271.853984762944</v>
      </c>
      <c r="K106" s="2">
        <v>140278.27493547404</v>
      </c>
      <c r="L106" s="2">
        <v>178436.02532387819</v>
      </c>
      <c r="M106" s="2">
        <v>158210.92825331702</v>
      </c>
      <c r="N106" s="3">
        <f t="shared" si="8"/>
        <v>201266.90568331463</v>
      </c>
      <c r="O106" s="5">
        <f t="shared" si="9"/>
        <v>98038.523952813615</v>
      </c>
      <c r="P106" s="3">
        <f t="shared" si="10"/>
        <v>86.086771693587494</v>
      </c>
      <c r="Q106" s="3">
        <f t="shared" si="11"/>
        <v>201266.90568331463</v>
      </c>
      <c r="R106" s="5">
        <f t="shared" si="12"/>
        <v>91.295865483717463</v>
      </c>
      <c r="S106" s="5">
        <f t="shared" si="13"/>
        <v>98038.523952813615</v>
      </c>
    </row>
    <row r="107" spans="1:19">
      <c r="A107">
        <v>104</v>
      </c>
      <c r="B107" s="2">
        <v>467.00940438871476</v>
      </c>
      <c r="C107" s="2">
        <v>233.50470219435738</v>
      </c>
      <c r="D107" s="2">
        <v>229.19391976210886</v>
      </c>
      <c r="E107" s="2">
        <v>327.16313355513842</v>
      </c>
      <c r="F107" s="2">
        <v>416.15630938530541</v>
      </c>
      <c r="G107" s="2">
        <v>368.98645263374937</v>
      </c>
      <c r="H107" s="2">
        <f t="shared" si="7"/>
        <v>104</v>
      </c>
      <c r="I107" s="4">
        <v>200707.3999227513</v>
      </c>
      <c r="J107" s="6">
        <v>98501.047904525054</v>
      </c>
      <c r="K107" s="2">
        <v>140605.43806902919</v>
      </c>
      <c r="L107" s="2">
        <v>178852.18163326351</v>
      </c>
      <c r="M107" s="2">
        <v>158579.91470595077</v>
      </c>
      <c r="N107" s="3">
        <f t="shared" si="8"/>
        <v>201777.52765823953</v>
      </c>
      <c r="O107" s="5">
        <f t="shared" si="9"/>
        <v>98299.102800672088</v>
      </c>
      <c r="P107" s="3">
        <f t="shared" si="10"/>
        <v>86.776162188902745</v>
      </c>
      <c r="Q107" s="3">
        <f t="shared" si="11"/>
        <v>201777.52765823953</v>
      </c>
      <c r="R107" s="5">
        <f t="shared" si="12"/>
        <v>92.076619524479824</v>
      </c>
      <c r="S107" s="5">
        <f t="shared" si="13"/>
        <v>98299.102800672088</v>
      </c>
    </row>
    <row r="108" spans="1:19">
      <c r="A108">
        <v>105</v>
      </c>
      <c r="B108" s="2">
        <v>462.65838509316768</v>
      </c>
      <c r="C108" s="2">
        <v>231.32919254658384</v>
      </c>
      <c r="D108" s="2">
        <v>227.05857268357977</v>
      </c>
      <c r="E108" s="2">
        <v>324.1150298263637</v>
      </c>
      <c r="F108" s="2">
        <v>412.27907668916896</v>
      </c>
      <c r="G108" s="2">
        <v>365.54869065268952</v>
      </c>
      <c r="H108" s="2">
        <f t="shared" si="7"/>
        <v>105</v>
      </c>
      <c r="I108" s="4">
        <v>201170.05830784448</v>
      </c>
      <c r="J108" s="6">
        <v>98728.106477208639</v>
      </c>
      <c r="K108" s="2">
        <v>140929.55309885554</v>
      </c>
      <c r="L108" s="2">
        <v>179264.46070995266</v>
      </c>
      <c r="M108" s="2">
        <v>158945.46339660345</v>
      </c>
      <c r="N108" s="3">
        <f t="shared" si="8"/>
        <v>202282.83919060623</v>
      </c>
      <c r="O108" s="5">
        <f t="shared" si="9"/>
        <v>98557.135386697264</v>
      </c>
      <c r="P108" s="3">
        <f t="shared" si="10"/>
        <v>87.463079667895883</v>
      </c>
      <c r="Q108" s="3">
        <f t="shared" si="11"/>
        <v>202282.83919060623</v>
      </c>
      <c r="R108" s="5">
        <f t="shared" si="12"/>
        <v>92.855508810265476</v>
      </c>
      <c r="S108" s="5">
        <f t="shared" si="13"/>
        <v>98557.135386697264</v>
      </c>
    </row>
    <row r="109" spans="1:19">
      <c r="A109">
        <v>106</v>
      </c>
      <c r="B109" s="2">
        <v>458.3876923076923</v>
      </c>
      <c r="C109" s="2">
        <v>229.19384615384615</v>
      </c>
      <c r="D109" s="2">
        <v>224.96264739726982</v>
      </c>
      <c r="E109" s="2">
        <v>321.12319878181262</v>
      </c>
      <c r="F109" s="2">
        <v>408.47342367357658</v>
      </c>
      <c r="G109" s="2">
        <v>362.17439504666464</v>
      </c>
      <c r="H109" s="2">
        <f t="shared" si="7"/>
        <v>106</v>
      </c>
      <c r="I109" s="4">
        <v>201628.44600015218</v>
      </c>
      <c r="J109" s="6">
        <v>98953.069124605914</v>
      </c>
      <c r="K109" s="2">
        <v>141250.67629763734</v>
      </c>
      <c r="L109" s="2">
        <v>179672.93413362623</v>
      </c>
      <c r="M109" s="2">
        <v>159307.63779165011</v>
      </c>
      <c r="N109" s="3">
        <f t="shared" si="8"/>
        <v>202782.93108131908</v>
      </c>
      <c r="O109" s="5">
        <f t="shared" si="9"/>
        <v>98812.664890484084</v>
      </c>
      <c r="P109" s="3">
        <f t="shared" si="10"/>
        <v>88.147533001895667</v>
      </c>
      <c r="Q109" s="3">
        <f t="shared" si="11"/>
        <v>202782.93108131908</v>
      </c>
      <c r="R109" s="5">
        <f t="shared" si="12"/>
        <v>93.632537794859999</v>
      </c>
      <c r="S109" s="5">
        <f t="shared" si="13"/>
        <v>98812.664890484084</v>
      </c>
    </row>
    <row r="110" spans="1:19">
      <c r="A110">
        <v>107</v>
      </c>
      <c r="B110" s="2">
        <v>454.19512195121956</v>
      </c>
      <c r="C110" s="2">
        <v>227.09756097560978</v>
      </c>
      <c r="D110" s="2">
        <v>222.90506220766082</v>
      </c>
      <c r="E110" s="2">
        <v>318.18609635393034</v>
      </c>
      <c r="F110" s="2">
        <v>404.73738626192807</v>
      </c>
      <c r="G110" s="2">
        <v>358.86182436026229</v>
      </c>
      <c r="H110" s="2">
        <f t="shared" si="7"/>
        <v>107</v>
      </c>
      <c r="I110" s="4">
        <v>202082.64112210341</v>
      </c>
      <c r="J110" s="6">
        <v>99175.974186813575</v>
      </c>
      <c r="K110" s="2">
        <v>141568.86239399126</v>
      </c>
      <c r="L110" s="2">
        <v>180077.67151988816</v>
      </c>
      <c r="M110" s="2">
        <v>159666.49961601038</v>
      </c>
      <c r="N110" s="3">
        <f t="shared" si="8"/>
        <v>203277.89183128614</v>
      </c>
      <c r="O110" s="5">
        <f t="shared" si="9"/>
        <v>99065.733397347518</v>
      </c>
      <c r="P110" s="3">
        <f t="shared" si="10"/>
        <v>88.829531030407153</v>
      </c>
      <c r="Q110" s="3">
        <f t="shared" si="11"/>
        <v>203277.89183128614</v>
      </c>
      <c r="R110" s="5">
        <f t="shared" si="12"/>
        <v>94.407710921411606</v>
      </c>
      <c r="S110" s="5">
        <f t="shared" si="13"/>
        <v>99065.733397347518</v>
      </c>
    </row>
    <row r="111" spans="1:19">
      <c r="A111">
        <v>108</v>
      </c>
      <c r="B111" s="2">
        <v>450.0785498489426</v>
      </c>
      <c r="C111" s="2">
        <v>225.0392749244713</v>
      </c>
      <c r="D111" s="2">
        <v>220.88477463478156</v>
      </c>
      <c r="E111" s="2">
        <v>315.30223445344149</v>
      </c>
      <c r="F111" s="2">
        <v>401.06907158281695</v>
      </c>
      <c r="G111" s="2">
        <v>355.60930027240482</v>
      </c>
      <c r="H111" s="2">
        <f t="shared" si="7"/>
        <v>108</v>
      </c>
      <c r="I111" s="4">
        <v>202532.71967195236</v>
      </c>
      <c r="J111" s="6">
        <v>99396.85896144835</v>
      </c>
      <c r="K111" s="2">
        <v>141884.16462844471</v>
      </c>
      <c r="L111" s="2">
        <v>180478.74059147097</v>
      </c>
      <c r="M111" s="2">
        <v>160022.10891628277</v>
      </c>
      <c r="N111" s="3">
        <f t="shared" si="8"/>
        <v>203767.80771947769</v>
      </c>
      <c r="O111" s="5">
        <f t="shared" si="9"/>
        <v>99316.38193550783</v>
      </c>
      <c r="P111" s="3">
        <f t="shared" si="10"/>
        <v>89.509082561225966</v>
      </c>
      <c r="Q111" s="3">
        <f t="shared" si="11"/>
        <v>203767.80771947769</v>
      </c>
      <c r="R111" s="5">
        <f t="shared" si="12"/>
        <v>95.18103262245657</v>
      </c>
      <c r="S111" s="5">
        <f t="shared" si="13"/>
        <v>99316.38193550783</v>
      </c>
    </row>
    <row r="112" spans="1:19">
      <c r="A112">
        <v>109</v>
      </c>
      <c r="B112" s="2">
        <v>446.03592814371262</v>
      </c>
      <c r="C112" s="2">
        <v>223.01796407185631</v>
      </c>
      <c r="D112" s="2">
        <v>218.90077965303203</v>
      </c>
      <c r="E112" s="2">
        <v>312.47017845535674</v>
      </c>
      <c r="F112" s="2">
        <v>397.46665477219278</v>
      </c>
      <c r="G112" s="2">
        <v>352.41520476097617</v>
      </c>
      <c r="H112" s="2">
        <f t="shared" si="7"/>
        <v>109</v>
      </c>
      <c r="I112" s="4">
        <v>202978.75560009608</v>
      </c>
      <c r="J112" s="6">
        <v>99615.759741101385</v>
      </c>
      <c r="K112" s="2">
        <v>142196.63480690005</v>
      </c>
      <c r="L112" s="2">
        <v>180876.20724624317</v>
      </c>
      <c r="M112" s="2">
        <v>160374.52412104374</v>
      </c>
      <c r="N112" s="3">
        <f t="shared" si="8"/>
        <v>204252.76287766144</v>
      </c>
      <c r="O112" s="5">
        <f t="shared" si="9"/>
        <v>99564.650511690284</v>
      </c>
      <c r="P112" s="3">
        <f t="shared" si="10"/>
        <v>90.186196370551855</v>
      </c>
      <c r="Q112" s="3">
        <f t="shared" si="11"/>
        <v>204252.76287766144</v>
      </c>
      <c r="R112" s="5">
        <f t="shared" si="12"/>
        <v>95.952507319944203</v>
      </c>
      <c r="S112" s="5">
        <f t="shared" si="13"/>
        <v>99564.650511690284</v>
      </c>
    </row>
    <row r="113" spans="1:19">
      <c r="A113">
        <v>110</v>
      </c>
      <c r="B113" s="2">
        <v>442.06528189910989</v>
      </c>
      <c r="C113" s="2">
        <v>221.03264094955495</v>
      </c>
      <c r="D113" s="2">
        <v>216.95210802407354</v>
      </c>
      <c r="E113" s="2">
        <v>309.6885448192557</v>
      </c>
      <c r="F113" s="2">
        <v>393.92837594632772</v>
      </c>
      <c r="G113" s="2">
        <v>349.27797741889043</v>
      </c>
      <c r="H113" s="2">
        <f t="shared" si="7"/>
        <v>110</v>
      </c>
      <c r="I113" s="4">
        <v>203420.8208819952</v>
      </c>
      <c r="J113" s="6">
        <v>99832.711849125451</v>
      </c>
      <c r="K113" s="2">
        <v>142506.3233517193</v>
      </c>
      <c r="L113" s="2">
        <v>181270.1356221895</v>
      </c>
      <c r="M113" s="2">
        <v>160723.80209846262</v>
      </c>
      <c r="N113" s="3">
        <f t="shared" si="8"/>
        <v>204732.83936198382</v>
      </c>
      <c r="O113" s="5">
        <f t="shared" si="9"/>
        <v>99810.578145221152</v>
      </c>
      <c r="P113" s="3">
        <f t="shared" si="10"/>
        <v>90.860881203102238</v>
      </c>
      <c r="Q113" s="3">
        <f t="shared" si="11"/>
        <v>204732.83936198382</v>
      </c>
      <c r="R113" s="5">
        <f t="shared" si="12"/>
        <v>96.722139425262668</v>
      </c>
      <c r="S113" s="5">
        <f t="shared" si="13"/>
        <v>99810.578145221152</v>
      </c>
    </row>
    <row r="114" spans="1:19">
      <c r="A114">
        <v>111</v>
      </c>
      <c r="B114" s="2">
        <v>438.16470588235302</v>
      </c>
      <c r="C114" s="2">
        <v>219.08235294117651</v>
      </c>
      <c r="D114" s="2">
        <v>215.03782471797876</v>
      </c>
      <c r="E114" s="2">
        <v>306.95599883555656</v>
      </c>
      <c r="F114" s="2">
        <v>390.4525373350366</v>
      </c>
      <c r="G114" s="2">
        <v>346.19611291225317</v>
      </c>
      <c r="H114" s="2">
        <f t="shared" si="7"/>
        <v>111</v>
      </c>
      <c r="I114" s="4">
        <v>203858.98558787754</v>
      </c>
      <c r="J114" s="6">
        <v>100047.74967384343</v>
      </c>
      <c r="K114" s="2">
        <v>142813.27935055486</v>
      </c>
      <c r="L114" s="2">
        <v>181660.58815952454</v>
      </c>
      <c r="M114" s="2">
        <v>161069.99821137488</v>
      </c>
      <c r="N114" s="3">
        <f t="shared" si="8"/>
        <v>205208.11722155818</v>
      </c>
      <c r="O114" s="5">
        <f t="shared" si="9"/>
        <v>100054.20290069572</v>
      </c>
      <c r="P114" s="3">
        <f t="shared" si="10"/>
        <v>91.533145772224927</v>
      </c>
      <c r="Q114" s="3">
        <f t="shared" si="11"/>
        <v>205208.11722155818</v>
      </c>
      <c r="R114" s="5">
        <f t="shared" si="12"/>
        <v>97.489933339263899</v>
      </c>
      <c r="S114" s="5">
        <f t="shared" si="13"/>
        <v>100054.20290069572</v>
      </c>
    </row>
    <row r="115" spans="1:19">
      <c r="A115">
        <v>112</v>
      </c>
      <c r="B115" s="2">
        <v>434.33236151603506</v>
      </c>
      <c r="C115" s="2">
        <v>217.16618075801753</v>
      </c>
      <c r="D115" s="2">
        <v>213.15702741723834</v>
      </c>
      <c r="E115" s="2">
        <v>304.27125249005587</v>
      </c>
      <c r="F115" s="2">
        <v>387.03750056534221</v>
      </c>
      <c r="G115" s="2">
        <v>343.16815857191273</v>
      </c>
      <c r="H115" s="2">
        <f t="shared" si="7"/>
        <v>112</v>
      </c>
      <c r="I115" s="4">
        <v>204293.31794939359</v>
      </c>
      <c r="J115" s="6">
        <v>100260.90670126067</v>
      </c>
      <c r="K115" s="2">
        <v>143117.55060304492</v>
      </c>
      <c r="L115" s="2">
        <v>182047.62566008989</v>
      </c>
      <c r="M115" s="2">
        <v>161413.16636994679</v>
      </c>
      <c r="N115" s="3">
        <f t="shared" si="8"/>
        <v>205678.67456420901</v>
      </c>
      <c r="O115" s="5">
        <f t="shared" si="9"/>
        <v>100295.5619192906</v>
      </c>
      <c r="P115" s="3">
        <f t="shared" si="10"/>
        <v>92.202998760010885</v>
      </c>
      <c r="Q115" s="3">
        <f t="shared" si="11"/>
        <v>205678.67456420901</v>
      </c>
      <c r="R115" s="5">
        <f t="shared" si="12"/>
        <v>98.255893452288802</v>
      </c>
      <c r="S115" s="5">
        <f t="shared" si="13"/>
        <v>100295.5619192906</v>
      </c>
    </row>
    <row r="116" spans="1:19">
      <c r="A116">
        <v>113</v>
      </c>
      <c r="B116" s="2">
        <v>430.56647398843927</v>
      </c>
      <c r="C116" s="2">
        <v>215.28323699421964</v>
      </c>
      <c r="D116" s="2">
        <v>211.30884509859141</v>
      </c>
      <c r="E116" s="2">
        <v>301.63306243956367</v>
      </c>
      <c r="F116" s="2">
        <v>383.68168408645198</v>
      </c>
      <c r="G116" s="2">
        <v>340.19271211030633</v>
      </c>
      <c r="H116" s="2">
        <f t="shared" si="7"/>
        <v>113</v>
      </c>
      <c r="I116" s="4">
        <v>204723.88442338203</v>
      </c>
      <c r="J116" s="6">
        <v>100472.21554635926</v>
      </c>
      <c r="K116" s="2">
        <v>143419.18366548448</v>
      </c>
      <c r="L116" s="2">
        <v>182431.30734417634</v>
      </c>
      <c r="M116" s="2">
        <v>161753.35908205708</v>
      </c>
      <c r="N116" s="3">
        <f t="shared" si="8"/>
        <v>206144.58761951546</v>
      </c>
      <c r="O116" s="5">
        <f t="shared" si="9"/>
        <v>100534.69144878758</v>
      </c>
      <c r="P116" s="3">
        <f t="shared" si="10"/>
        <v>92.870448817406213</v>
      </c>
      <c r="Q116" s="3">
        <f t="shared" si="11"/>
        <v>206144.58761951546</v>
      </c>
      <c r="R116" s="5">
        <f t="shared" si="12"/>
        <v>99.020024144192377</v>
      </c>
      <c r="S116" s="5">
        <f t="shared" si="13"/>
        <v>100534.69144878758</v>
      </c>
    </row>
    <row r="117" spans="1:19">
      <c r="A117">
        <v>114</v>
      </c>
      <c r="B117" s="2">
        <v>426.86532951289405</v>
      </c>
      <c r="C117" s="2">
        <v>213.43266475644702</v>
      </c>
      <c r="D117" s="2">
        <v>209.49243668800207</v>
      </c>
      <c r="E117" s="2">
        <v>299.04022809194606</v>
      </c>
      <c r="F117" s="2">
        <v>380.38356072754272</v>
      </c>
      <c r="G117" s="2">
        <v>337.26841945606316</v>
      </c>
      <c r="H117" s="2">
        <f t="shared" si="7"/>
        <v>114</v>
      </c>
      <c r="I117" s="4">
        <v>205150.74975289492</v>
      </c>
      <c r="J117" s="6">
        <v>100681.70798304726</v>
      </c>
      <c r="K117" s="2">
        <v>143718.22389357642</v>
      </c>
      <c r="L117" s="2">
        <v>182811.69090490389</v>
      </c>
      <c r="M117" s="2">
        <v>162090.62750151314</v>
      </c>
      <c r="N117" s="3">
        <f t="shared" si="8"/>
        <v>206605.93079928582</v>
      </c>
      <c r="O117" s="5">
        <f t="shared" si="9"/>
        <v>100771.62687237292</v>
      </c>
      <c r="P117" s="3">
        <f t="shared" si="10"/>
        <v>93.535504564323887</v>
      </c>
      <c r="Q117" s="3">
        <f t="shared" si="11"/>
        <v>206605.93079928582</v>
      </c>
      <c r="R117" s="5">
        <f t="shared" si="12"/>
        <v>99.782329784368784</v>
      </c>
      <c r="S117" s="5">
        <f t="shared" si="13"/>
        <v>100771.62687237292</v>
      </c>
    </row>
    <row r="118" spans="1:19">
      <c r="A118">
        <v>115</v>
      </c>
      <c r="B118" s="2">
        <v>423.2272727272728</v>
      </c>
      <c r="C118" s="2">
        <v>211.6136363636364</v>
      </c>
      <c r="D118" s="2">
        <v>207.70698978441098</v>
      </c>
      <c r="E118" s="2">
        <v>296.49158978434411</v>
      </c>
      <c r="F118" s="2">
        <v>377.14165538043301</v>
      </c>
      <c r="G118" s="2">
        <v>334.39397269933534</v>
      </c>
      <c r="H118" s="2">
        <f t="shared" si="7"/>
        <v>115</v>
      </c>
      <c r="I118" s="4">
        <v>205573.97702562218</v>
      </c>
      <c r="J118" s="6">
        <v>100889.41497283167</v>
      </c>
      <c r="K118" s="2">
        <v>144014.71548336075</v>
      </c>
      <c r="L118" s="2">
        <v>183188.83256028433</v>
      </c>
      <c r="M118" s="2">
        <v>162425.02147421247</v>
      </c>
      <c r="N118" s="3">
        <f t="shared" si="8"/>
        <v>207062.77675559008</v>
      </c>
      <c r="O118" s="5">
        <f t="shared" si="9"/>
        <v>101006.4027362721</v>
      </c>
      <c r="P118" s="3">
        <f t="shared" si="10"/>
        <v>94.198174589755055</v>
      </c>
      <c r="Q118" s="3">
        <f t="shared" si="11"/>
        <v>207062.77675559008</v>
      </c>
      <c r="R118" s="5">
        <f t="shared" si="12"/>
        <v>100.54281473177632</v>
      </c>
      <c r="S118" s="5">
        <f t="shared" si="13"/>
        <v>101006.4027362721</v>
      </c>
    </row>
    <row r="119" spans="1:19">
      <c r="A119">
        <v>116</v>
      </c>
      <c r="B119" s="2">
        <v>419.65070422535211</v>
      </c>
      <c r="C119" s="2">
        <v>209.82535211267606</v>
      </c>
      <c r="D119" s="2">
        <v>205.9517194482045</v>
      </c>
      <c r="E119" s="2">
        <v>293.98602705377192</v>
      </c>
      <c r="F119" s="2">
        <v>373.95454279975309</v>
      </c>
      <c r="G119" s="2">
        <v>331.56810814131256</v>
      </c>
      <c r="H119" s="2">
        <f t="shared" si="7"/>
        <v>116</v>
      </c>
      <c r="I119" s="4">
        <v>205993.62772984753</v>
      </c>
      <c r="J119" s="6">
        <v>101095.36669227987</v>
      </c>
      <c r="K119" s="2">
        <v>144308.70151041451</v>
      </c>
      <c r="L119" s="2">
        <v>183562.78710308409</v>
      </c>
      <c r="M119" s="2">
        <v>162756.58958235377</v>
      </c>
      <c r="N119" s="3">
        <f t="shared" si="8"/>
        <v>207515.1964364681</v>
      </c>
      <c r="O119" s="5">
        <f t="shared" si="9"/>
        <v>101239.05277627663</v>
      </c>
      <c r="P119" s="3">
        <f t="shared" si="10"/>
        <v>94.858467451880088</v>
      </c>
      <c r="Q119" s="3">
        <f t="shared" si="11"/>
        <v>207515.1964364681</v>
      </c>
      <c r="R119" s="5">
        <f t="shared" si="12"/>
        <v>101.30148333496224</v>
      </c>
      <c r="S119" s="5">
        <f t="shared" si="13"/>
        <v>101239.05277627663</v>
      </c>
    </row>
    <row r="120" spans="1:19">
      <c r="A120">
        <v>117</v>
      </c>
      <c r="B120" s="2">
        <v>416.1340782122906</v>
      </c>
      <c r="C120" s="2">
        <v>208.0670391061453</v>
      </c>
      <c r="D120" s="2">
        <v>204.22586705059405</v>
      </c>
      <c r="E120" s="2">
        <v>291.52245699466232</v>
      </c>
      <c r="F120" s="2">
        <v>370.82084551372179</v>
      </c>
      <c r="G120" s="2">
        <v>328.78960444180456</v>
      </c>
      <c r="H120" s="2">
        <f t="shared" si="7"/>
        <v>117</v>
      </c>
      <c r="I120" s="4">
        <v>206409.76180805982</v>
      </c>
      <c r="J120" s="6">
        <v>101299.59255933047</v>
      </c>
      <c r="K120" s="2">
        <v>144600.22396740917</v>
      </c>
      <c r="L120" s="2">
        <v>183933.60794859781</v>
      </c>
      <c r="M120" s="2">
        <v>163085.37918679559</v>
      </c>
      <c r="N120" s="3">
        <f t="shared" si="8"/>
        <v>207963.25913942623</v>
      </c>
      <c r="O120" s="5">
        <f t="shared" si="9"/>
        <v>101469.60994321585</v>
      </c>
      <c r="P120" s="3">
        <f t="shared" si="10"/>
        <v>95.516391678178991</v>
      </c>
      <c r="Q120" s="3">
        <f t="shared" si="11"/>
        <v>207963.25913942623</v>
      </c>
      <c r="R120" s="5">
        <f t="shared" si="12"/>
        <v>102.0583399320879</v>
      </c>
      <c r="S120" s="5">
        <f t="shared" si="13"/>
        <v>101469.60994321585</v>
      </c>
    </row>
    <row r="121" spans="1:19">
      <c r="A121">
        <v>118</v>
      </c>
      <c r="B121" s="2">
        <v>412.67590027700828</v>
      </c>
      <c r="C121" s="2">
        <v>206.33795013850414</v>
      </c>
      <c r="D121" s="2">
        <v>202.52869918036734</v>
      </c>
      <c r="E121" s="2">
        <v>289.09983269830758</v>
      </c>
      <c r="F121" s="2">
        <v>367.73923183909238</v>
      </c>
      <c r="G121" s="2">
        <v>326.05728085918554</v>
      </c>
      <c r="H121" s="2">
        <f t="shared" si="7"/>
        <v>118</v>
      </c>
      <c r="I121" s="4">
        <v>206822.43770833683</v>
      </c>
      <c r="J121" s="6">
        <v>101502.12125851084</v>
      </c>
      <c r="K121" s="2">
        <v>144889.32380010746</v>
      </c>
      <c r="L121" s="2">
        <v>184301.34718043692</v>
      </c>
      <c r="M121" s="2">
        <v>163411.43646765477</v>
      </c>
      <c r="N121" s="3">
        <f t="shared" si="8"/>
        <v>208407.03256282661</v>
      </c>
      <c r="O121" s="5">
        <f t="shared" si="9"/>
        <v>101698.10642742504</v>
      </c>
      <c r="P121" s="3">
        <f t="shared" si="10"/>
        <v>96.171955765541483</v>
      </c>
      <c r="Q121" s="3">
        <f t="shared" si="11"/>
        <v>208407.03256282661</v>
      </c>
      <c r="R121" s="5">
        <f t="shared" si="12"/>
        <v>102.8133888509532</v>
      </c>
      <c r="S121" s="5">
        <f t="shared" si="13"/>
        <v>101698.10642742504</v>
      </c>
    </row>
    <row r="122" spans="1:19">
      <c r="A122">
        <v>119</v>
      </c>
      <c r="B122" s="2">
        <v>409.27472527472531</v>
      </c>
      <c r="C122" s="2">
        <v>204.63736263736266</v>
      </c>
      <c r="D122" s="2">
        <v>200.85950660470533</v>
      </c>
      <c r="E122" s="2">
        <v>286.71714176947575</v>
      </c>
      <c r="F122" s="2">
        <v>364.70841399426496</v>
      </c>
      <c r="G122" s="2">
        <v>323.36999557737931</v>
      </c>
      <c r="H122" s="2">
        <f t="shared" si="7"/>
        <v>119</v>
      </c>
      <c r="I122" s="4">
        <v>207231.71243361157</v>
      </c>
      <c r="J122" s="6">
        <v>101702.98076511554</v>
      </c>
      <c r="K122" s="2">
        <v>145176.04094187694</v>
      </c>
      <c r="L122" s="2">
        <v>184666.05559443118</v>
      </c>
      <c r="M122" s="2">
        <v>163734.80646323215</v>
      </c>
      <c r="N122" s="3">
        <f t="shared" si="8"/>
        <v>208846.58285527048</v>
      </c>
      <c r="O122" s="5">
        <f t="shared" si="9"/>
        <v>101924.57368225635</v>
      </c>
      <c r="P122" s="3">
        <f t="shared" si="10"/>
        <v>96.825168180376949</v>
      </c>
      <c r="Q122" s="3">
        <f t="shared" si="11"/>
        <v>208846.58285527048</v>
      </c>
      <c r="R122" s="5">
        <f t="shared" si="12"/>
        <v>103.56663440902162</v>
      </c>
      <c r="S122" s="5">
        <f t="shared" si="13"/>
        <v>101924.57368225635</v>
      </c>
    </row>
    <row r="123" spans="1:19">
      <c r="A123">
        <v>120</v>
      </c>
      <c r="B123" s="2">
        <v>405.9291553133516</v>
      </c>
      <c r="C123" s="2">
        <v>202.9645776566758</v>
      </c>
      <c r="D123" s="2">
        <v>199.21760328096113</v>
      </c>
      <c r="E123" s="2">
        <v>284.37340491577442</v>
      </c>
      <c r="F123" s="2">
        <v>361.72714630493857</v>
      </c>
      <c r="G123" s="2">
        <v>320.72664411489393</v>
      </c>
      <c r="H123" s="2">
        <f t="shared" si="7"/>
        <v>120</v>
      </c>
      <c r="I123" s="4">
        <v>207637.64158892492</v>
      </c>
      <c r="J123" s="6">
        <v>101902.19836839651</v>
      </c>
      <c r="K123" s="2">
        <v>145460.41434679271</v>
      </c>
      <c r="L123" s="2">
        <v>185027.78274073612</v>
      </c>
      <c r="M123" s="2">
        <v>164055.53310734703</v>
      </c>
      <c r="N123" s="3">
        <f t="shared" si="8"/>
        <v>209281.97466306793</v>
      </c>
      <c r="O123" s="5">
        <f t="shared" si="9"/>
        <v>102149.04244667824</v>
      </c>
      <c r="P123" s="3">
        <f t="shared" si="10"/>
        <v>97.476037358723559</v>
      </c>
      <c r="Q123" s="3">
        <f t="shared" si="11"/>
        <v>209281.97466306793</v>
      </c>
      <c r="R123" s="5">
        <f t="shared" si="12"/>
        <v>104.31808091344479</v>
      </c>
      <c r="S123" s="5">
        <f t="shared" si="13"/>
        <v>102149.04244667824</v>
      </c>
    </row>
    <row r="124" spans="1:19">
      <c r="A124">
        <v>121</v>
      </c>
      <c r="B124" s="2">
        <v>402.63783783783788</v>
      </c>
      <c r="C124" s="2">
        <v>201.31891891891894</v>
      </c>
      <c r="D124" s="2">
        <v>197.60232541652078</v>
      </c>
      <c r="E124" s="2">
        <v>282.06767460564623</v>
      </c>
      <c r="F124" s="2">
        <v>358.79422349706067</v>
      </c>
      <c r="G124" s="2">
        <v>318.12615781125953</v>
      </c>
      <c r="H124" s="2">
        <f t="shared" si="7"/>
        <v>121</v>
      </c>
      <c r="I124" s="4">
        <v>208040.27942676275</v>
      </c>
      <c r="J124" s="6">
        <v>102099.80069381303</v>
      </c>
      <c r="K124" s="2">
        <v>145742.48202139835</v>
      </c>
      <c r="L124" s="2">
        <v>185386.57696423319</v>
      </c>
      <c r="M124" s="2">
        <v>164373.65926515829</v>
      </c>
      <c r="N124" s="3">
        <f t="shared" si="8"/>
        <v>209713.27117588447</v>
      </c>
      <c r="O124" s="5">
        <f t="shared" si="9"/>
        <v>102371.54276700571</v>
      </c>
      <c r="P124" s="3">
        <f t="shared" si="10"/>
        <v>98.124571706357287</v>
      </c>
      <c r="Q124" s="3">
        <f t="shared" si="11"/>
        <v>209713.27117588447</v>
      </c>
      <c r="R124" s="5">
        <f t="shared" si="12"/>
        <v>105.06773266108709</v>
      </c>
      <c r="S124" s="5">
        <f t="shared" si="13"/>
        <v>102371.54276700571</v>
      </c>
    </row>
    <row r="125" spans="1:19">
      <c r="A125">
        <v>122</v>
      </c>
      <c r="B125" s="2">
        <v>399.39946380697057</v>
      </c>
      <c r="C125" s="2">
        <v>199.69973190348529</v>
      </c>
      <c r="D125" s="2">
        <v>196.01303057402876</v>
      </c>
      <c r="E125" s="2">
        <v>279.7990337911238</v>
      </c>
      <c r="F125" s="2">
        <v>355.90847907215124</v>
      </c>
      <c r="G125" s="2">
        <v>315.5675023865042</v>
      </c>
      <c r="H125" s="2">
        <f t="shared" si="7"/>
        <v>122</v>
      </c>
      <c r="I125" s="4">
        <v>208439.67889056972</v>
      </c>
      <c r="J125" s="6">
        <v>102295.81372438706</v>
      </c>
      <c r="K125" s="2">
        <v>146022.28105518947</v>
      </c>
      <c r="L125" s="2">
        <v>185742.48544330534</v>
      </c>
      <c r="M125" s="2">
        <v>164689.22676754481</v>
      </c>
      <c r="N125" s="3">
        <f t="shared" si="8"/>
        <v>210140.53417064832</v>
      </c>
      <c r="O125" s="5">
        <f t="shared" si="9"/>
        <v>102592.10401780123</v>
      </c>
      <c r="P125" s="3">
        <f t="shared" si="10"/>
        <v>98.77077959890056</v>
      </c>
      <c r="Q125" s="3">
        <f t="shared" si="11"/>
        <v>210140.53417064832</v>
      </c>
      <c r="R125" s="5">
        <f t="shared" si="12"/>
        <v>105.81559393855022</v>
      </c>
      <c r="S125" s="5">
        <f t="shared" si="13"/>
        <v>102592.10401780123</v>
      </c>
    </row>
    <row r="126" spans="1:19">
      <c r="A126">
        <v>123</v>
      </c>
      <c r="B126" s="2">
        <v>396.21276595744683</v>
      </c>
      <c r="C126" s="2">
        <v>198.10638297872342</v>
      </c>
      <c r="D126" s="2">
        <v>194.44909681944858</v>
      </c>
      <c r="E126" s="2">
        <v>277.56659469172627</v>
      </c>
      <c r="F126" s="2">
        <v>353.06878376040527</v>
      </c>
      <c r="G126" s="2">
        <v>313.04967656959036</v>
      </c>
      <c r="H126" s="2">
        <f t="shared" si="7"/>
        <v>123</v>
      </c>
      <c r="I126" s="4">
        <v>208835.89165652715</v>
      </c>
      <c r="J126" s="6">
        <v>102490.2628212065</v>
      </c>
      <c r="K126" s="2">
        <v>146299.84764988118</v>
      </c>
      <c r="L126" s="2">
        <v>186095.55422706573</v>
      </c>
      <c r="M126" s="2">
        <v>165002.2764441144</v>
      </c>
      <c r="N126" s="3">
        <f t="shared" si="8"/>
        <v>210563.82405379717</v>
      </c>
      <c r="O126" s="5">
        <f t="shared" si="9"/>
        <v>102810.75492198483</v>
      </c>
      <c r="P126" s="3">
        <f t="shared" si="10"/>
        <v>99.414669381930267</v>
      </c>
      <c r="Q126" s="3">
        <f t="shared" si="11"/>
        <v>210563.82405379717</v>
      </c>
      <c r="R126" s="5">
        <f t="shared" si="12"/>
        <v>106.56166902219785</v>
      </c>
      <c r="S126" s="5">
        <f t="shared" si="13"/>
        <v>102810.75492198483</v>
      </c>
    </row>
    <row r="127" spans="1:19">
      <c r="A127">
        <v>124</v>
      </c>
      <c r="B127" s="2">
        <v>393.07651715039583</v>
      </c>
      <c r="C127" s="2">
        <v>196.53825857519791</v>
      </c>
      <c r="D127" s="2">
        <v>192.90992191058754</v>
      </c>
      <c r="E127" s="2">
        <v>275.36949763611915</v>
      </c>
      <c r="F127" s="2">
        <v>350.27404404726235</v>
      </c>
      <c r="G127" s="2">
        <v>310.57171079199486</v>
      </c>
      <c r="H127" s="2">
        <f t="shared" si="7"/>
        <v>124</v>
      </c>
      <c r="I127" s="4">
        <v>209228.96817367754</v>
      </c>
      <c r="J127" s="6">
        <v>102683.17274311709</v>
      </c>
      <c r="K127" s="2">
        <v>146575.21714751731</v>
      </c>
      <c r="L127" s="2">
        <v>186445.82827111299</v>
      </c>
      <c r="M127" s="2">
        <v>165312.84815490639</v>
      </c>
      <c r="N127" s="3">
        <f t="shared" si="8"/>
        <v>210983.19990194123</v>
      </c>
      <c r="O127" s="5">
        <f t="shared" si="9"/>
        <v>103027.52357018901</v>
      </c>
      <c r="P127" s="3">
        <f t="shared" si="10"/>
        <v>100.05624937108568</v>
      </c>
      <c r="Q127" s="3">
        <f t="shared" si="11"/>
        <v>210983.19990194123</v>
      </c>
      <c r="R127" s="5">
        <f t="shared" si="12"/>
        <v>107.30596217817988</v>
      </c>
      <c r="S127" s="5">
        <f t="shared" si="13"/>
        <v>103027.52357018901</v>
      </c>
    </row>
    <row r="128" spans="1:19">
      <c r="A128">
        <v>125</v>
      </c>
      <c r="B128" s="2">
        <v>389.98952879581157</v>
      </c>
      <c r="C128" s="2">
        <v>194.99476439790578</v>
      </c>
      <c r="D128" s="2">
        <v>191.3949225238554</v>
      </c>
      <c r="E128" s="2">
        <v>273.2069099583486</v>
      </c>
      <c r="F128" s="2">
        <v>347.52320076940413</v>
      </c>
      <c r="G128" s="2">
        <v>308.132665942843</v>
      </c>
      <c r="H128" s="2">
        <f t="shared" si="7"/>
        <v>125</v>
      </c>
      <c r="I128" s="4">
        <v>209618.95770247336</v>
      </c>
      <c r="J128" s="6">
        <v>102874.56766564095</v>
      </c>
      <c r="K128" s="2">
        <v>146848.42405747567</v>
      </c>
      <c r="L128" s="2">
        <v>186793.3514718824</v>
      </c>
      <c r="M128" s="2">
        <v>165620.98082084922</v>
      </c>
      <c r="N128" s="3">
        <f t="shared" si="8"/>
        <v>211398.71950101302</v>
      </c>
      <c r="O128" s="5">
        <f t="shared" si="9"/>
        <v>103242.43743939258</v>
      </c>
      <c r="P128" s="3">
        <f t="shared" si="10"/>
        <v>100.69552785217579</v>
      </c>
      <c r="Q128" s="3">
        <f t="shared" si="11"/>
        <v>211398.71950101302</v>
      </c>
      <c r="R128" s="5">
        <f t="shared" si="12"/>
        <v>108.04847766245702</v>
      </c>
      <c r="S128" s="5">
        <f t="shared" si="13"/>
        <v>103242.43743939258</v>
      </c>
    </row>
    <row r="129" spans="1:19">
      <c r="A129">
        <v>126</v>
      </c>
      <c r="B129" s="2">
        <v>386.95064935064937</v>
      </c>
      <c r="C129" s="2">
        <v>193.47532467532469</v>
      </c>
      <c r="D129" s="2">
        <v>189.9035335171759</v>
      </c>
      <c r="E129" s="2">
        <v>271.07802494568608</v>
      </c>
      <c r="F129" s="2">
        <v>344.81522777639572</v>
      </c>
      <c r="G129" s="2">
        <v>305.73163218224931</v>
      </c>
      <c r="H129" s="2">
        <f t="shared" si="7"/>
        <v>126</v>
      </c>
      <c r="I129" s="4">
        <v>210005.90835182401</v>
      </c>
      <c r="J129" s="6">
        <v>103064.47119915813</v>
      </c>
      <c r="K129" s="2">
        <v>147119.50208242136</v>
      </c>
      <c r="L129" s="2">
        <v>187138.16669965879</v>
      </c>
      <c r="M129" s="2">
        <v>165926.71245303148</v>
      </c>
      <c r="N129" s="3">
        <f t="shared" si="8"/>
        <v>211810.43938397171</v>
      </c>
      <c r="O129" s="5">
        <f t="shared" si="9"/>
        <v>103455.52341086594</v>
      </c>
      <c r="P129" s="3">
        <f t="shared" si="10"/>
        <v>101.33251308128622</v>
      </c>
      <c r="Q129" s="3">
        <f t="shared" si="11"/>
        <v>211810.43938397171</v>
      </c>
      <c r="R129" s="5">
        <f t="shared" si="12"/>
        <v>108.78921972082499</v>
      </c>
      <c r="S129" s="5">
        <f t="shared" si="13"/>
        <v>103455.52341086594</v>
      </c>
    </row>
    <row r="130" spans="1:19">
      <c r="A130">
        <v>127</v>
      </c>
      <c r="B130" s="2">
        <v>383.95876288659798</v>
      </c>
      <c r="C130" s="2">
        <v>191.97938144329899</v>
      </c>
      <c r="D130" s="2">
        <v>188.43520722709437</v>
      </c>
      <c r="E130" s="2">
        <v>268.98206083528106</v>
      </c>
      <c r="F130" s="2">
        <v>342.14913065441328</v>
      </c>
      <c r="G130" s="2">
        <v>303.36772780970608</v>
      </c>
      <c r="H130" s="2">
        <f t="shared" si="7"/>
        <v>127</v>
      </c>
      <c r="I130" s="4">
        <v>210389.86711471059</v>
      </c>
      <c r="J130" s="6">
        <v>103252.90640638523</v>
      </c>
      <c r="K130" s="2">
        <v>147388.48414325665</v>
      </c>
      <c r="L130" s="2">
        <v>187480.31583031319</v>
      </c>
      <c r="M130" s="2">
        <v>166230.08018084118</v>
      </c>
      <c r="N130" s="3">
        <f t="shared" si="8"/>
        <v>212218.4148671263</v>
      </c>
      <c r="O130" s="5">
        <f t="shared" si="9"/>
        <v>103666.80778745787</v>
      </c>
      <c r="P130" s="3">
        <f t="shared" si="10"/>
        <v>101.96721328488611</v>
      </c>
      <c r="Q130" s="3">
        <f t="shared" si="11"/>
        <v>212218.4148671263</v>
      </c>
      <c r="R130" s="5">
        <f t="shared" si="12"/>
        <v>109.52819258893881</v>
      </c>
      <c r="S130" s="5">
        <f t="shared" si="13"/>
        <v>103666.80778745787</v>
      </c>
    </row>
    <row r="131" spans="1:19">
      <c r="A131">
        <v>128</v>
      </c>
      <c r="B131" s="2">
        <v>381.01278772378515</v>
      </c>
      <c r="C131" s="2">
        <v>190.50639386189258</v>
      </c>
      <c r="D131" s="2">
        <v>186.98941279824217</v>
      </c>
      <c r="E131" s="2">
        <v>266.91825985700541</v>
      </c>
      <c r="F131" s="2">
        <v>339.52394550872731</v>
      </c>
      <c r="G131" s="2">
        <v>301.04009818456785</v>
      </c>
      <c r="H131" s="2">
        <f t="shared" si="7"/>
        <v>128</v>
      </c>
      <c r="I131" s="4">
        <v>210770.87990243439</v>
      </c>
      <c r="J131" s="6">
        <v>103439.89581918347</v>
      </c>
      <c r="K131" s="2">
        <v>147655.40240311367</v>
      </c>
      <c r="L131" s="2">
        <v>187819.83977582192</v>
      </c>
      <c r="M131" s="2">
        <v>166531.12027902575</v>
      </c>
      <c r="N131" s="3">
        <f t="shared" si="8"/>
        <v>212622.70008513876</v>
      </c>
      <c r="O131" s="5">
        <f t="shared" si="9"/>
        <v>103876.31631025365</v>
      </c>
      <c r="P131" s="3">
        <f t="shared" si="10"/>
        <v>102.59963665993411</v>
      </c>
      <c r="Q131" s="3">
        <f t="shared" si="11"/>
        <v>212622.70008513876</v>
      </c>
      <c r="R131" s="5">
        <f t="shared" si="12"/>
        <v>110.26540049233706</v>
      </c>
      <c r="S131" s="5">
        <f t="shared" si="13"/>
        <v>103876.31631025365</v>
      </c>
    </row>
    <row r="132" spans="1:19">
      <c r="A132">
        <v>129</v>
      </c>
      <c r="B132" s="2">
        <v>378.11167512690361</v>
      </c>
      <c r="C132" s="2">
        <v>189.0558375634518</v>
      </c>
      <c r="D132" s="2">
        <v>185.56563554343339</v>
      </c>
      <c r="E132" s="2">
        <v>264.8858873200233</v>
      </c>
      <c r="F132" s="2">
        <v>336.9387378018082</v>
      </c>
      <c r="G132" s="2">
        <v>298.7479146958529</v>
      </c>
      <c r="H132" s="2">
        <f t="shared" si="7"/>
        <v>129</v>
      </c>
      <c r="I132" s="4">
        <v>211148.9915775613</v>
      </c>
      <c r="J132" s="6">
        <v>103625.4614547269</v>
      </c>
      <c r="K132" s="2">
        <v>147920.2882904337</v>
      </c>
      <c r="L132" s="2">
        <v>188156.77851362372</v>
      </c>
      <c r="M132" s="2">
        <v>166829.8681937216</v>
      </c>
      <c r="N132" s="3">
        <f t="shared" si="8"/>
        <v>213023.34802476372</v>
      </c>
      <c r="O132" s="5">
        <f t="shared" si="9"/>
        <v>104084.07417463111</v>
      </c>
      <c r="P132" s="3">
        <f t="shared" si="10"/>
        <v>103.22979137398428</v>
      </c>
      <c r="Q132" s="3">
        <f t="shared" si="11"/>
        <v>213023.34802476372</v>
      </c>
      <c r="R132" s="5">
        <f t="shared" si="12"/>
        <v>111.00084764646603</v>
      </c>
      <c r="S132" s="5">
        <f t="shared" si="13"/>
        <v>104084.07417463111</v>
      </c>
    </row>
    <row r="133" spans="1:19">
      <c r="A133">
        <v>130</v>
      </c>
      <c r="B133" s="2">
        <v>375.25440806045344</v>
      </c>
      <c r="C133" s="2">
        <v>187.62720403022672</v>
      </c>
      <c r="D133" s="2">
        <v>184.16337633277752</v>
      </c>
      <c r="E133" s="2">
        <v>262.88423074077855</v>
      </c>
      <c r="F133" s="2">
        <v>334.39260124411175</v>
      </c>
      <c r="G133" s="2">
        <v>296.49037377875555</v>
      </c>
      <c r="H133" s="2">
        <f t="shared" ref="H133:H196" si="14">+$A133</f>
        <v>130</v>
      </c>
      <c r="I133" s="4">
        <v>211524.24598562176</v>
      </c>
      <c r="J133" s="6">
        <v>103809.62483105969</v>
      </c>
      <c r="K133" s="2">
        <v>148183.17252117448</v>
      </c>
      <c r="L133" s="2">
        <v>188491.17111486784</v>
      </c>
      <c r="M133" s="2">
        <v>167126.35856750037</v>
      </c>
      <c r="N133" s="3">
        <f t="shared" ref="N133:N196" si="15">+$Q133</f>
        <v>213420.41055738096</v>
      </c>
      <c r="O133" s="5">
        <f t="shared" ref="O133:O196" si="16">+$S133</f>
        <v>104290.10604574141</v>
      </c>
      <c r="P133" s="3">
        <f t="shared" ref="P133:P196" si="17">+(1-EXP(-$P$2*$H133))/$P$2</f>
        <v>103.85768556529166</v>
      </c>
      <c r="Q133" s="3">
        <f t="shared" ref="Q133:Q196" si="18">+$Q$2/(1+1/SQRT($Q$3*$P133))</f>
        <v>213420.41055738096</v>
      </c>
      <c r="R133" s="5">
        <f t="shared" ref="R133:R196" si="19">+(1-EXP(-$R$2*$H133))/$R$2</f>
        <v>111.73453825670394</v>
      </c>
      <c r="S133" s="5">
        <f t="shared" ref="S133:S196" si="20">+$S$2/(1+1/SQRT($S$3*$R133))</f>
        <v>104290.10604574141</v>
      </c>
    </row>
    <row r="134" spans="1:19">
      <c r="A134">
        <v>131</v>
      </c>
      <c r="B134" s="2">
        <v>372.44000000000005</v>
      </c>
      <c r="C134" s="2">
        <v>186.22000000000003</v>
      </c>
      <c r="D134" s="2">
        <v>182.78215101028158</v>
      </c>
      <c r="E134" s="2">
        <v>260.91259901022266</v>
      </c>
      <c r="F134" s="2">
        <v>331.88465673478106</v>
      </c>
      <c r="G134" s="2">
        <v>294.26669597541513</v>
      </c>
      <c r="H134" s="2">
        <f t="shared" si="14"/>
        <v>131</v>
      </c>
      <c r="I134" s="4">
        <v>211896.68598562176</v>
      </c>
      <c r="J134" s="6">
        <v>103992.40698206997</v>
      </c>
      <c r="K134" s="2">
        <v>148444.0851201847</v>
      </c>
      <c r="L134" s="2">
        <v>188823.05577160264</v>
      </c>
      <c r="M134" s="2">
        <v>167420.62526347578</v>
      </c>
      <c r="N134" s="3">
        <f t="shared" si="15"/>
        <v>213813.93847037142</v>
      </c>
      <c r="O134" s="5">
        <f t="shared" si="16"/>
        <v>104494.43607343908</v>
      </c>
      <c r="P134" s="3">
        <f t="shared" si="17"/>
        <v>104.48332734291738</v>
      </c>
      <c r="Q134" s="3">
        <f t="shared" si="18"/>
        <v>213813.93847037142</v>
      </c>
      <c r="R134" s="5">
        <f t="shared" si="19"/>
        <v>112.46647651838467</v>
      </c>
      <c r="S134" s="5">
        <f t="shared" si="20"/>
        <v>104494.43607343908</v>
      </c>
    </row>
    <row r="135" spans="1:19">
      <c r="A135">
        <v>132</v>
      </c>
      <c r="B135" s="2">
        <v>369.66749379652606</v>
      </c>
      <c r="C135" s="2">
        <v>184.83374689826303</v>
      </c>
      <c r="D135" s="2">
        <v>181.4214898365079</v>
      </c>
      <c r="E135" s="2">
        <v>258.97032159823601</v>
      </c>
      <c r="F135" s="2">
        <v>329.41405134965851</v>
      </c>
      <c r="G135" s="2">
        <v>292.07612503763283</v>
      </c>
      <c r="H135" s="2">
        <f t="shared" si="14"/>
        <v>132</v>
      </c>
      <c r="I135" s="4">
        <v>212266.35347941829</v>
      </c>
      <c r="J135" s="6">
        <v>104173.82847190647</v>
      </c>
      <c r="K135" s="2">
        <v>148703.05544178293</v>
      </c>
      <c r="L135" s="2">
        <v>189152.46982295229</v>
      </c>
      <c r="M135" s="2">
        <v>167712.70138851341</v>
      </c>
      <c r="N135" s="3">
        <f t="shared" si="15"/>
        <v>214203.98149738667</v>
      </c>
      <c r="O135" s="5">
        <f t="shared" si="16"/>
        <v>104697.08790668477</v>
      </c>
      <c r="P135" s="3">
        <f t="shared" si="17"/>
        <v>105.1067247868333</v>
      </c>
      <c r="Q135" s="3">
        <f t="shared" si="18"/>
        <v>214203.98149738667</v>
      </c>
      <c r="R135" s="5">
        <f t="shared" si="19"/>
        <v>113.19666661682209</v>
      </c>
      <c r="S135" s="5">
        <f t="shared" si="20"/>
        <v>104697.08790668477</v>
      </c>
    </row>
    <row r="136" spans="1:19">
      <c r="A136">
        <v>133</v>
      </c>
      <c r="B136" s="2">
        <v>366.93596059113298</v>
      </c>
      <c r="C136" s="2">
        <v>183.46798029556649</v>
      </c>
      <c r="D136" s="2">
        <v>180.08093695594258</v>
      </c>
      <c r="E136" s="2">
        <v>257.05674779332304</v>
      </c>
      <c r="F136" s="2">
        <v>326.97995737416846</v>
      </c>
      <c r="G136" s="2">
        <v>289.9179270693744</v>
      </c>
      <c r="H136" s="2">
        <f t="shared" si="14"/>
        <v>133</v>
      </c>
      <c r="I136" s="4">
        <v>212633.28944000942</v>
      </c>
      <c r="J136" s="6">
        <v>104353.90940886241</v>
      </c>
      <c r="K136" s="2">
        <v>148960.11218957626</v>
      </c>
      <c r="L136" s="2">
        <v>189479.44978032645</v>
      </c>
      <c r="M136" s="2">
        <v>168002.61931558279</v>
      </c>
      <c r="N136" s="3">
        <f t="shared" si="15"/>
        <v>214590.58834755869</v>
      </c>
      <c r="O136" s="5">
        <f t="shared" si="16"/>
        <v>104898.08470744333</v>
      </c>
      <c r="P136" s="3">
        <f t="shared" si="17"/>
        <v>105.72788594802634</v>
      </c>
      <c r="Q136" s="3">
        <f t="shared" si="18"/>
        <v>214590.58834755869</v>
      </c>
      <c r="R136" s="5">
        <f t="shared" si="19"/>
        <v>113.92511272733381</v>
      </c>
      <c r="S136" s="5">
        <f t="shared" si="20"/>
        <v>104898.08470744333</v>
      </c>
    </row>
    <row r="137" spans="1:19">
      <c r="A137">
        <v>134</v>
      </c>
      <c r="B137" s="2">
        <v>364.24449877750612</v>
      </c>
      <c r="C137" s="2">
        <v>182.12224938875306</v>
      </c>
      <c r="D137" s="2">
        <v>178.76004988780591</v>
      </c>
      <c r="E137" s="2">
        <v>255.1712459757677</v>
      </c>
      <c r="F137" s="2">
        <v>324.58157137875884</v>
      </c>
      <c r="G137" s="2">
        <v>287.79138970700723</v>
      </c>
      <c r="H137" s="2">
        <f t="shared" si="14"/>
        <v>134</v>
      </c>
      <c r="I137" s="4">
        <v>212997.53393878692</v>
      </c>
      <c r="J137" s="6">
        <v>104532.66945875021</v>
      </c>
      <c r="K137" s="2">
        <v>149215.28343555203</v>
      </c>
      <c r="L137" s="2">
        <v>189804.0313517052</v>
      </c>
      <c r="M137" s="2">
        <v>168290.4107052898</v>
      </c>
      <c r="N137" s="3">
        <f t="shared" si="15"/>
        <v>214973.80673369474</v>
      </c>
      <c r="O137" s="5">
        <f t="shared" si="16"/>
        <v>105097.44916409825</v>
      </c>
      <c r="P137" s="3">
        <f t="shared" si="17"/>
        <v>106.34681884860261</v>
      </c>
      <c r="Q137" s="3">
        <f t="shared" si="18"/>
        <v>214973.80673369474</v>
      </c>
      <c r="R137" s="5">
        <f t="shared" si="19"/>
        <v>114.65181901526519</v>
      </c>
      <c r="S137" s="5">
        <f t="shared" si="20"/>
        <v>105097.44916409825</v>
      </c>
    </row>
    <row r="138" spans="1:19">
      <c r="A138">
        <v>135</v>
      </c>
      <c r="B138" s="2">
        <v>361.59223300970882</v>
      </c>
      <c r="C138" s="2">
        <v>180.79611650485441</v>
      </c>
      <c r="D138" s="2">
        <v>177.45839903910849</v>
      </c>
      <c r="E138" s="2">
        <v>253.31320292254637</v>
      </c>
      <c r="F138" s="2">
        <v>322.2181133347388</v>
      </c>
      <c r="G138" s="2">
        <v>285.69582133535437</v>
      </c>
      <c r="H138" s="2">
        <f t="shared" si="14"/>
        <v>135</v>
      </c>
      <c r="I138" s="4">
        <v>213359.12617179661</v>
      </c>
      <c r="J138" s="6">
        <v>104710.12785778932</v>
      </c>
      <c r="K138" s="2">
        <v>149468.59663847458</v>
      </c>
      <c r="L138" s="2">
        <v>190126.24946503993</v>
      </c>
      <c r="M138" s="2">
        <v>168576.10652662517</v>
      </c>
      <c r="N138" s="3">
        <f t="shared" si="15"/>
        <v>215353.68339949904</v>
      </c>
      <c r="O138" s="5">
        <f t="shared" si="16"/>
        <v>105295.20350440274</v>
      </c>
      <c r="P138" s="3">
        <f t="shared" si="17"/>
        <v>106.96353148189085</v>
      </c>
      <c r="Q138" s="3">
        <f t="shared" si="18"/>
        <v>215353.68339949904</v>
      </c>
      <c r="R138" s="5">
        <f t="shared" si="19"/>
        <v>115.37678963601292</v>
      </c>
      <c r="S138" s="5">
        <f t="shared" si="20"/>
        <v>105295.20350440274</v>
      </c>
    </row>
    <row r="139" spans="1:19">
      <c r="A139">
        <v>136</v>
      </c>
      <c r="B139" s="2">
        <v>358.97831325301206</v>
      </c>
      <c r="C139" s="2">
        <v>179.48915662650603</v>
      </c>
      <c r="D139" s="2">
        <v>176.17556723882578</v>
      </c>
      <c r="E139" s="2">
        <v>251.48202314238338</v>
      </c>
      <c r="F139" s="2">
        <v>319.88882576846362</v>
      </c>
      <c r="G139" s="2">
        <v>283.63055033774941</v>
      </c>
      <c r="H139" s="2">
        <f t="shared" si="14"/>
        <v>136</v>
      </c>
      <c r="I139" s="4">
        <v>213718.10448504961</v>
      </c>
      <c r="J139" s="6">
        <v>104886.30342502815</v>
      </c>
      <c r="K139" s="2">
        <v>149720.07866161698</v>
      </c>
      <c r="L139" s="2">
        <v>190446.13829080839</v>
      </c>
      <c r="M139" s="2">
        <v>168859.73707696292</v>
      </c>
      <c r="N139" s="3">
        <f t="shared" si="15"/>
        <v>215730.26414586251</v>
      </c>
      <c r="O139" s="5">
        <f t="shared" si="16"/>
        <v>105491.36950798695</v>
      </c>
      <c r="P139" s="3">
        <f t="shared" si="17"/>
        <v>107.57803181254576</v>
      </c>
      <c r="Q139" s="3">
        <f t="shared" si="18"/>
        <v>215730.26414586251</v>
      </c>
      <c r="R139" s="5">
        <f t="shared" si="19"/>
        <v>116.10002873504907</v>
      </c>
      <c r="S139" s="5">
        <f t="shared" si="20"/>
        <v>105491.36950798695</v>
      </c>
    </row>
    <row r="140" spans="1:19">
      <c r="A140">
        <v>137</v>
      </c>
      <c r="B140" s="2">
        <v>356.40191387559815</v>
      </c>
      <c r="C140" s="2">
        <v>178.20095693779908</v>
      </c>
      <c r="D140" s="2">
        <v>174.91114929213575</v>
      </c>
      <c r="E140" s="2">
        <v>249.67712823944788</v>
      </c>
      <c r="F140" s="2">
        <v>317.59297295194364</v>
      </c>
      <c r="G140" s="2">
        <v>281.59492437838776</v>
      </c>
      <c r="H140" s="2">
        <f t="shared" si="14"/>
        <v>137</v>
      </c>
      <c r="I140" s="4">
        <v>214074.50639892521</v>
      </c>
      <c r="J140" s="6">
        <v>105061.21457432029</v>
      </c>
      <c r="K140" s="2">
        <v>149969.75578985643</v>
      </c>
      <c r="L140" s="2">
        <v>190763.73126376033</v>
      </c>
      <c r="M140" s="2">
        <v>169141.3320013413</v>
      </c>
      <c r="N140" s="3">
        <f t="shared" si="15"/>
        <v>216103.59385625817</v>
      </c>
      <c r="O140" s="5">
        <f t="shared" si="16"/>
        <v>105685.96851843901</v>
      </c>
      <c r="P140" s="3">
        <f t="shared" si="17"/>
        <v>108.19032777665082</v>
      </c>
      <c r="Q140" s="3">
        <f t="shared" si="18"/>
        <v>216103.59385625817</v>
      </c>
      <c r="R140" s="5">
        <f t="shared" si="19"/>
        <v>116.82154044794449</v>
      </c>
      <c r="S140" s="5">
        <f t="shared" si="20"/>
        <v>105685.96851843901</v>
      </c>
    </row>
    <row r="141" spans="1:19">
      <c r="A141">
        <v>138</v>
      </c>
      <c r="B141" s="2">
        <v>353.86223277909744</v>
      </c>
      <c r="C141" s="2">
        <v>176.93111638954872</v>
      </c>
      <c r="D141" s="2">
        <v>173.66475155371185</v>
      </c>
      <c r="E141" s="2">
        <v>247.89795630424976</v>
      </c>
      <c r="F141" s="2">
        <v>315.32984012805798</v>
      </c>
      <c r="G141" s="2">
        <v>279.58830971535872</v>
      </c>
      <c r="H141" s="2">
        <f t="shared" si="14"/>
        <v>138</v>
      </c>
      <c r="I141" s="4">
        <v>214428.3686317043</v>
      </c>
      <c r="J141" s="6">
        <v>105234.879325874</v>
      </c>
      <c r="K141" s="2">
        <v>150217.65374616068</v>
      </c>
      <c r="L141" s="2">
        <v>191079.06110388838</v>
      </c>
      <c r="M141" s="2">
        <v>169420.92031105666</v>
      </c>
      <c r="N141" s="3">
        <f t="shared" si="15"/>
        <v>216473.71652127913</v>
      </c>
      <c r="O141" s="5">
        <f t="shared" si="16"/>
        <v>105879.02145497806</v>
      </c>
      <c r="P141" s="3">
        <f t="shared" si="17"/>
        <v>108.8004272818208</v>
      </c>
      <c r="Q141" s="3">
        <f t="shared" si="18"/>
        <v>216473.71652127913</v>
      </c>
      <c r="R141" s="5">
        <f t="shared" si="19"/>
        <v>117.54132890039284</v>
      </c>
      <c r="S141" s="5">
        <f t="shared" si="20"/>
        <v>105879.02145497806</v>
      </c>
    </row>
    <row r="142" spans="1:19">
      <c r="A142">
        <v>139</v>
      </c>
      <c r="B142" s="2">
        <v>351.35849056603774</v>
      </c>
      <c r="C142" s="2">
        <v>175.67924528301887</v>
      </c>
      <c r="D142" s="2">
        <v>172.43599151913355</v>
      </c>
      <c r="E142" s="2">
        <v>246.14396133039881</v>
      </c>
      <c r="F142" s="2">
        <v>313.09873276866136</v>
      </c>
      <c r="G142" s="2">
        <v>277.61009054284443</v>
      </c>
      <c r="H142" s="2">
        <f t="shared" si="14"/>
        <v>139</v>
      </c>
      <c r="I142" s="4">
        <v>214779.72712227033</v>
      </c>
      <c r="J142" s="6">
        <v>105407.31531739314</v>
      </c>
      <c r="K142" s="2">
        <v>150463.79770749109</v>
      </c>
      <c r="L142" s="2">
        <v>191392.15983665705</v>
      </c>
      <c r="M142" s="2">
        <v>169698.53040159951</v>
      </c>
      <c r="N142" s="3">
        <f t="shared" si="15"/>
        <v>216840.67526235429</v>
      </c>
      <c r="O142" s="5">
        <f t="shared" si="16"/>
        <v>106070.54882373528</v>
      </c>
      <c r="P142" s="3">
        <f t="shared" si="17"/>
        <v>109.40833820730384</v>
      </c>
      <c r="Q142" s="3">
        <f t="shared" si="18"/>
        <v>216840.67526235429</v>
      </c>
      <c r="R142" s="5">
        <f t="shared" si="19"/>
        <v>118.25939820823373</v>
      </c>
      <c r="S142" s="5">
        <f t="shared" si="20"/>
        <v>106070.54882373528</v>
      </c>
    </row>
    <row r="143" spans="1:19">
      <c r="A143">
        <v>140</v>
      </c>
      <c r="B143" s="2">
        <v>348.88992974238886</v>
      </c>
      <c r="C143" s="2">
        <v>174.44496487119443</v>
      </c>
      <c r="D143" s="2">
        <v>171.22449743351913</v>
      </c>
      <c r="E143" s="2">
        <v>244.41461265594646</v>
      </c>
      <c r="F143" s="2">
        <v>310.89897586396347</v>
      </c>
      <c r="G143" s="2">
        <v>275.65966836104457</v>
      </c>
      <c r="H143" s="2">
        <f t="shared" si="14"/>
        <v>140</v>
      </c>
      <c r="I143" s="4">
        <v>215128.61705201271</v>
      </c>
      <c r="J143" s="6">
        <v>105578.53981482665</v>
      </c>
      <c r="K143" s="2">
        <v>150708.21232014702</v>
      </c>
      <c r="L143" s="2">
        <v>191703.05881252102</v>
      </c>
      <c r="M143" s="2">
        <v>169974.19006996055</v>
      </c>
      <c r="N143" s="3">
        <f t="shared" si="15"/>
        <v>217204.51235467364</v>
      </c>
      <c r="O143" s="5">
        <f t="shared" si="16"/>
        <v>106260.57072865905</v>
      </c>
      <c r="P143" s="3">
        <f t="shared" si="17"/>
        <v>110.01406840408333</v>
      </c>
      <c r="Q143" s="3">
        <f t="shared" si="18"/>
        <v>217204.51235467364</v>
      </c>
      <c r="R143" s="5">
        <f t="shared" si="19"/>
        <v>118.97575247747668</v>
      </c>
      <c r="S143" s="5">
        <f t="shared" si="20"/>
        <v>106260.57072865905</v>
      </c>
    </row>
    <row r="144" spans="1:19">
      <c r="A144">
        <v>141</v>
      </c>
      <c r="B144" s="2">
        <v>346.45581395348836</v>
      </c>
      <c r="C144" s="2">
        <v>173.22790697674418</v>
      </c>
      <c r="D144" s="2">
        <v>170.02990791654108</v>
      </c>
      <c r="E144" s="2">
        <v>242.70939442811419</v>
      </c>
      <c r="F144" s="2">
        <v>308.72991324165667</v>
      </c>
      <c r="G144" s="2">
        <v>273.73646137247908</v>
      </c>
      <c r="H144" s="2">
        <f t="shared" si="14"/>
        <v>141</v>
      </c>
      <c r="I144" s="4">
        <v>215475.07286596618</v>
      </c>
      <c r="J144" s="6">
        <v>105748.5697227432</v>
      </c>
      <c r="K144" s="2">
        <v>150950.92171457515</v>
      </c>
      <c r="L144" s="2">
        <v>192011.78872576269</v>
      </c>
      <c r="M144" s="2">
        <v>170247.92653133304</v>
      </c>
      <c r="N144" s="3">
        <f t="shared" si="15"/>
        <v>217565.26924935664</v>
      </c>
      <c r="O144" s="5">
        <f t="shared" si="16"/>
        <v>106449.10688205918</v>
      </c>
      <c r="P144" s="3">
        <f t="shared" si="17"/>
        <v>110.61762569497911</v>
      </c>
      <c r="Q144" s="3">
        <f t="shared" si="18"/>
        <v>217565.26924935664</v>
      </c>
      <c r="R144" s="5">
        <f t="shared" si="19"/>
        <v>119.69039580432434</v>
      </c>
      <c r="S144" s="5">
        <f t="shared" si="20"/>
        <v>106449.10688205918</v>
      </c>
    </row>
    <row r="145" spans="1:19">
      <c r="A145">
        <v>142</v>
      </c>
      <c r="B145" s="2">
        <v>344.05542725173217</v>
      </c>
      <c r="C145" s="2">
        <v>172.02771362586608</v>
      </c>
      <c r="D145" s="2">
        <v>168.8518716030319</v>
      </c>
      <c r="E145" s="2">
        <v>241.02780509027539</v>
      </c>
      <c r="F145" s="2">
        <v>306.59090691434744</v>
      </c>
      <c r="G145" s="2">
        <v>271.8399039033859</v>
      </c>
      <c r="H145" s="2">
        <f t="shared" si="14"/>
        <v>142</v>
      </c>
      <c r="I145" s="4">
        <v>215819.12829321792</v>
      </c>
      <c r="J145" s="6">
        <v>105917.42159434623</v>
      </c>
      <c r="K145" s="2">
        <v>151191.94951966542</v>
      </c>
      <c r="L145" s="2">
        <v>192318.37963267704</v>
      </c>
      <c r="M145" s="2">
        <v>170519.76643523644</v>
      </c>
      <c r="N145" s="3">
        <f t="shared" si="15"/>
        <v>217922.98659489202</v>
      </c>
      <c r="O145" s="5">
        <f t="shared" si="16"/>
        <v>106636.17661480437</v>
      </c>
      <c r="P145" s="3">
        <f t="shared" si="17"/>
        <v>111.21901787474866</v>
      </c>
      <c r="Q145" s="3">
        <f t="shared" si="18"/>
        <v>217922.98659489202</v>
      </c>
      <c r="R145" s="5">
        <f t="shared" si="19"/>
        <v>120.40333227519584</v>
      </c>
      <c r="S145" s="5">
        <f t="shared" si="20"/>
        <v>106636.17661480437</v>
      </c>
    </row>
    <row r="146" spans="1:19">
      <c r="A146">
        <v>143</v>
      </c>
      <c r="B146" s="2">
        <v>341.6880733944954</v>
      </c>
      <c r="C146" s="2">
        <v>170.8440366972477</v>
      </c>
      <c r="D146" s="2">
        <v>167.69004679842359</v>
      </c>
      <c r="E146" s="2">
        <v>239.3693568901127</v>
      </c>
      <c r="F146" s="2">
        <v>304.48133645392744</v>
      </c>
      <c r="G146" s="2">
        <v>269.96944584900461</v>
      </c>
      <c r="H146" s="2">
        <f t="shared" si="14"/>
        <v>143</v>
      </c>
      <c r="I146" s="4">
        <v>216160.81636661242</v>
      </c>
      <c r="J146" s="6">
        <v>106085.11164114466</v>
      </c>
      <c r="K146" s="2">
        <v>151431.31887655554</v>
      </c>
      <c r="L146" s="2">
        <v>192622.86096913097</v>
      </c>
      <c r="M146" s="2">
        <v>170789.73588108545</v>
      </c>
      <c r="N146" s="3">
        <f t="shared" si="15"/>
        <v>218277.70425787877</v>
      </c>
      <c r="O146" s="5">
        <f t="shared" si="16"/>
        <v>106821.79888618726</v>
      </c>
      <c r="P146" s="3">
        <f t="shared" si="17"/>
        <v>111.81825271018769</v>
      </c>
      <c r="Q146" s="3">
        <f t="shared" si="18"/>
        <v>218277.70425787877</v>
      </c>
      <c r="R146" s="5">
        <f t="shared" si="19"/>
        <v>121.11456596675059</v>
      </c>
      <c r="S146" s="5">
        <f t="shared" si="20"/>
        <v>106821.79888618726</v>
      </c>
    </row>
    <row r="147" spans="1:19">
      <c r="A147">
        <v>144</v>
      </c>
      <c r="B147" s="2">
        <v>339.35307517084289</v>
      </c>
      <c r="C147" s="2">
        <v>169.67653758542144</v>
      </c>
      <c r="D147" s="2">
        <v>166.54410114832058</v>
      </c>
      <c r="E147" s="2">
        <v>237.73357540794797</v>
      </c>
      <c r="F147" s="2">
        <v>302.40059839160017</v>
      </c>
      <c r="G147" s="2">
        <v>268.12455214160832</v>
      </c>
      <c r="H147" s="2">
        <f t="shared" si="14"/>
        <v>144</v>
      </c>
      <c r="I147" s="4">
        <v>216500.16944178325</v>
      </c>
      <c r="J147" s="6">
        <v>106251.65574229298</v>
      </c>
      <c r="K147" s="2">
        <v>151669.05245196348</v>
      </c>
      <c r="L147" s="2">
        <v>192925.26156752257</v>
      </c>
      <c r="M147" s="2">
        <v>171057.86043322706</v>
      </c>
      <c r="N147" s="3">
        <f t="shared" si="15"/>
        <v>218629.46134309564</v>
      </c>
      <c r="O147" s="5">
        <f t="shared" si="16"/>
        <v>107005.99229346913</v>
      </c>
      <c r="P147" s="3">
        <f t="shared" si="17"/>
        <v>112.41533794023054</v>
      </c>
      <c r="Q147" s="3">
        <f t="shared" si="18"/>
        <v>218629.46134309564</v>
      </c>
      <c r="R147" s="5">
        <f t="shared" si="19"/>
        <v>121.82410094591103</v>
      </c>
      <c r="S147" s="5">
        <f t="shared" si="20"/>
        <v>107005.99229346913</v>
      </c>
    </row>
    <row r="148" spans="1:19">
      <c r="A148">
        <v>145</v>
      </c>
      <c r="B148" s="2">
        <v>337.04977375565613</v>
      </c>
      <c r="C148" s="2">
        <v>168.52488687782807</v>
      </c>
      <c r="D148" s="2">
        <v>165.41371132152184</v>
      </c>
      <c r="E148" s="2">
        <v>236.11999910427394</v>
      </c>
      <c r="F148" s="2">
        <v>300.34810564233567</v>
      </c>
      <c r="G148" s="2">
        <v>266.30470224019462</v>
      </c>
      <c r="H148" s="2">
        <f t="shared" si="14"/>
        <v>145</v>
      </c>
      <c r="I148" s="4">
        <v>216837.21921553891</v>
      </c>
      <c r="J148" s="6">
        <v>106417.0694536145</v>
      </c>
      <c r="K148" s="2">
        <v>151905.17245106774</v>
      </c>
      <c r="L148" s="2">
        <v>193225.6096731649</v>
      </c>
      <c r="M148" s="2">
        <v>171324.16513546725</v>
      </c>
      <c r="N148" s="3">
        <f t="shared" si="15"/>
        <v>218978.29621292438</v>
      </c>
      <c r="O148" s="5">
        <f t="shared" si="16"/>
        <v>107188.77508111759</v>
      </c>
      <c r="P148" s="3">
        <f t="shared" si="17"/>
        <v>113.01028127604998</v>
      </c>
      <c r="Q148" s="3">
        <f t="shared" si="18"/>
        <v>218978.29621292438</v>
      </c>
      <c r="R148" s="5">
        <f t="shared" si="19"/>
        <v>122.53194126988623</v>
      </c>
      <c r="S148" s="5">
        <f t="shared" si="20"/>
        <v>107188.77508111759</v>
      </c>
    </row>
    <row r="149" spans="1:19">
      <c r="A149">
        <v>146</v>
      </c>
      <c r="B149" s="2">
        <v>334.77752808988765</v>
      </c>
      <c r="C149" s="2">
        <v>167.38876404494383</v>
      </c>
      <c r="D149" s="2">
        <v>164.29856270587126</v>
      </c>
      <c r="E149" s="2">
        <v>234.52817888559355</v>
      </c>
      <c r="F149" s="2">
        <v>298.32328695261202</v>
      </c>
      <c r="G149" s="2">
        <v>264.50938964082246</v>
      </c>
      <c r="H149" s="2">
        <f t="shared" si="14"/>
        <v>146</v>
      </c>
      <c r="I149" s="4">
        <v>217171.99674362878</v>
      </c>
      <c r="J149" s="6">
        <v>106581.36801632037</v>
      </c>
      <c r="K149" s="2">
        <v>152139.70062995332</v>
      </c>
      <c r="L149" s="2">
        <v>193523.93296011753</v>
      </c>
      <c r="M149" s="2">
        <v>171588.67452510807</v>
      </c>
      <c r="N149" s="3">
        <f t="shared" si="15"/>
        <v>219324.24650615323</v>
      </c>
      <c r="O149" s="5">
        <f t="shared" si="16"/>
        <v>107370.16514974873</v>
      </c>
      <c r="P149" s="3">
        <f t="shared" si="17"/>
        <v>113.60309040115689</v>
      </c>
      <c r="Q149" s="3">
        <f t="shared" si="18"/>
        <v>219324.24650615323</v>
      </c>
      <c r="R149" s="5">
        <f t="shared" si="19"/>
        <v>123.23809098619512</v>
      </c>
      <c r="S149" s="5">
        <f t="shared" si="20"/>
        <v>107370.16514974873</v>
      </c>
    </row>
    <row r="150" spans="1:19">
      <c r="A150">
        <v>147</v>
      </c>
      <c r="B150" s="2">
        <v>332.53571428571433</v>
      </c>
      <c r="C150" s="2">
        <v>166.26785714285717</v>
      </c>
      <c r="D150" s="2">
        <v>163.19834911632285</v>
      </c>
      <c r="E150" s="2">
        <v>232.95767768769883</v>
      </c>
      <c r="F150" s="2">
        <v>296.32558637034015</v>
      </c>
      <c r="G150" s="2">
        <v>262.73812140662051</v>
      </c>
      <c r="H150" s="2">
        <f t="shared" si="14"/>
        <v>147</v>
      </c>
      <c r="I150" s="4">
        <v>217504.53245791449</v>
      </c>
      <c r="J150" s="6">
        <v>106744.56636543669</v>
      </c>
      <c r="K150" s="2">
        <v>152372.65830764102</v>
      </c>
      <c r="L150" s="2">
        <v>193820.25854648786</v>
      </c>
      <c r="M150" s="2">
        <v>171851.41264651468</v>
      </c>
      <c r="N150" s="3">
        <f t="shared" si="15"/>
        <v>219667.34915618302</v>
      </c>
      <c r="O150" s="5">
        <f t="shared" si="16"/>
        <v>107550.18006478515</v>
      </c>
      <c r="P150" s="3">
        <f t="shared" si="17"/>
        <v>114.19377297149947</v>
      </c>
      <c r="Q150" s="3">
        <f t="shared" si="18"/>
        <v>219667.34915618302</v>
      </c>
      <c r="R150" s="5">
        <f t="shared" si="19"/>
        <v>123.94255413268935</v>
      </c>
      <c r="S150" s="5">
        <f t="shared" si="20"/>
        <v>107550.18006478515</v>
      </c>
    </row>
    <row r="151" spans="1:19">
      <c r="A151">
        <v>148</v>
      </c>
      <c r="B151" s="2">
        <v>330.32372505543236</v>
      </c>
      <c r="C151" s="2">
        <v>165.16186252771618</v>
      </c>
      <c r="D151" s="2">
        <v>162.11277251466225</v>
      </c>
      <c r="E151" s="2">
        <v>231.40807007558561</v>
      </c>
      <c r="F151" s="2">
        <v>294.35446273594772</v>
      </c>
      <c r="G151" s="2">
        <v>260.99041771655425</v>
      </c>
      <c r="H151" s="2">
        <f t="shared" si="14"/>
        <v>148</v>
      </c>
      <c r="I151" s="4">
        <v>217834.85618296993</v>
      </c>
      <c r="J151" s="6">
        <v>106906.67913795136</v>
      </c>
      <c r="K151" s="2">
        <v>152604.0663777166</v>
      </c>
      <c r="L151" s="2">
        <v>194114.6130092238</v>
      </c>
      <c r="M151" s="2">
        <v>172112.40306423124</v>
      </c>
      <c r="N151" s="3">
        <f t="shared" si="15"/>
        <v>220007.64040865944</v>
      </c>
      <c r="O151" s="5">
        <f t="shared" si="16"/>
        <v>107728.83706484066</v>
      </c>
      <c r="P151" s="3">
        <f t="shared" si="17"/>
        <v>114.78233661556213</v>
      </c>
      <c r="Q151" s="3">
        <f t="shared" si="18"/>
        <v>220007.64040865944</v>
      </c>
      <c r="R151" s="5">
        <f t="shared" si="19"/>
        <v>124.64533473757668</v>
      </c>
      <c r="S151" s="5">
        <f t="shared" si="20"/>
        <v>107728.83706484066</v>
      </c>
    </row>
    <row r="152" spans="1:19">
      <c r="A152">
        <v>149</v>
      </c>
      <c r="B152" s="2">
        <v>328.14096916299559</v>
      </c>
      <c r="C152" s="2">
        <v>164.07048458149779</v>
      </c>
      <c r="D152" s="2">
        <v>161.04154274033641</v>
      </c>
      <c r="E152" s="2">
        <v>229.87894185922724</v>
      </c>
      <c r="F152" s="2">
        <v>292.4093891936397</v>
      </c>
      <c r="G152" s="2">
        <v>259.26581143208386</v>
      </c>
      <c r="H152" s="2">
        <f t="shared" si="14"/>
        <v>149</v>
      </c>
      <c r="I152" s="4">
        <v>218162.99715213291</v>
      </c>
      <c r="J152" s="6">
        <v>107067.72068069169</v>
      </c>
      <c r="K152" s="2">
        <v>152833.94531957584</v>
      </c>
      <c r="L152" s="2">
        <v>194407.02239841744</v>
      </c>
      <c r="M152" s="2">
        <v>172371.66887566334</v>
      </c>
      <c r="N152" s="3">
        <f t="shared" si="15"/>
        <v>220345.1558385533</v>
      </c>
      <c r="O152" s="5">
        <f t="shared" si="16"/>
        <v>107906.15306984229</v>
      </c>
      <c r="P152" s="3">
        <f t="shared" si="17"/>
        <v>115.36878893446402</v>
      </c>
      <c r="Q152" s="3">
        <f t="shared" si="18"/>
        <v>220345.1558385533</v>
      </c>
      <c r="R152" s="5">
        <f t="shared" si="19"/>
        <v>125.34643681944387</v>
      </c>
      <c r="S152" s="5">
        <f t="shared" si="20"/>
        <v>107906.15306984229</v>
      </c>
    </row>
    <row r="153" spans="1:19">
      <c r="A153">
        <v>150</v>
      </c>
      <c r="B153" s="2">
        <v>325.98687089715543</v>
      </c>
      <c r="C153" s="2">
        <v>162.99343544857771</v>
      </c>
      <c r="D153" s="2">
        <v>159.98437725188782</v>
      </c>
      <c r="E153" s="2">
        <v>228.36988972448395</v>
      </c>
      <c r="F153" s="2">
        <v>290.48985272190907</v>
      </c>
      <c r="G153" s="2">
        <v>257.56384768088856</v>
      </c>
      <c r="H153" s="2">
        <f t="shared" si="14"/>
        <v>150</v>
      </c>
      <c r="I153" s="4">
        <v>218488.98402303006</v>
      </c>
      <c r="J153" s="6">
        <v>107227.70505794359</v>
      </c>
      <c r="K153" s="2">
        <v>153062.31520930032</v>
      </c>
      <c r="L153" s="2">
        <v>194697.51225113936</v>
      </c>
      <c r="M153" s="2">
        <v>172629.23272334423</v>
      </c>
      <c r="N153" s="3">
        <f t="shared" si="15"/>
        <v>220679.93036670869</v>
      </c>
      <c r="O153" s="5">
        <f t="shared" si="16"/>
        <v>108082.14468889906</v>
      </c>
      <c r="P153" s="3">
        <f t="shared" si="17"/>
        <v>115.95313750205709</v>
      </c>
      <c r="Q153" s="3">
        <f t="shared" si="18"/>
        <v>220679.93036670869</v>
      </c>
      <c r="R153" s="5">
        <f t="shared" si="19"/>
        <v>126.04586438727962</v>
      </c>
      <c r="S153" s="5">
        <f t="shared" si="20"/>
        <v>108082.14468889906</v>
      </c>
    </row>
    <row r="154" spans="1:19">
      <c r="A154">
        <v>151</v>
      </c>
      <c r="B154" s="2">
        <v>323.8608695652174</v>
      </c>
      <c r="C154" s="2">
        <v>161.9304347826087</v>
      </c>
      <c r="D154" s="2">
        <v>158.94100087850592</v>
      </c>
      <c r="E154" s="2">
        <v>226.88052087845463</v>
      </c>
      <c r="F154" s="2">
        <v>288.59535368241831</v>
      </c>
      <c r="G154" s="2">
        <v>255.88408345688271</v>
      </c>
      <c r="H154" s="2">
        <f t="shared" si="14"/>
        <v>151</v>
      </c>
      <c r="I154" s="4">
        <v>218812.84489259528</v>
      </c>
      <c r="J154" s="6">
        <v>107386.64605882209</v>
      </c>
      <c r="K154" s="2">
        <v>153289.19573017876</v>
      </c>
      <c r="L154" s="2">
        <v>194986.10760482177</v>
      </c>
      <c r="M154" s="2">
        <v>172885.11680680112</v>
      </c>
      <c r="N154" s="3">
        <f t="shared" si="15"/>
        <v>221011.99827588035</v>
      </c>
      <c r="O154" s="5">
        <f t="shared" si="16"/>
        <v>108256.82822792749</v>
      </c>
      <c r="P154" s="3">
        <f t="shared" si="17"/>
        <v>116.53538986502407</v>
      </c>
      <c r="Q154" s="3">
        <f t="shared" si="18"/>
        <v>221011.99827588035</v>
      </c>
      <c r="R154" s="5">
        <f t="shared" si="19"/>
        <v>126.74362144049761</v>
      </c>
      <c r="S154" s="5">
        <f t="shared" si="20"/>
        <v>108256.82822792749</v>
      </c>
    </row>
    <row r="155" spans="1:19">
      <c r="A155">
        <v>152</v>
      </c>
      <c r="B155" s="2">
        <v>321.76241900647955</v>
      </c>
      <c r="C155" s="2">
        <v>160.88120950323977</v>
      </c>
      <c r="D155" s="2">
        <v>157.91114558123698</v>
      </c>
      <c r="E155" s="2">
        <v>225.41045270861585</v>
      </c>
      <c r="F155" s="2">
        <v>286.72540538641999</v>
      </c>
      <c r="G155" s="2">
        <v>254.22608723577983</v>
      </c>
      <c r="H155" s="2">
        <f t="shared" si="14"/>
        <v>152</v>
      </c>
      <c r="I155" s="4">
        <v>219134.60731160175</v>
      </c>
      <c r="J155" s="6">
        <v>107544.55720440333</v>
      </c>
      <c r="K155" s="2">
        <v>153514.60618288736</v>
      </c>
      <c r="L155" s="2">
        <v>195272.83301020818</v>
      </c>
      <c r="M155" s="2">
        <v>173139.3428940369</v>
      </c>
      <c r="N155" s="3">
        <f t="shared" si="15"/>
        <v>221341.39322627772</v>
      </c>
      <c r="O155" s="5">
        <f t="shared" si="16"/>
        <v>108430.21969704244</v>
      </c>
      <c r="P155" s="3">
        <f t="shared" si="17"/>
        <v>117.11555354297582</v>
      </c>
      <c r="Q155" s="3">
        <f t="shared" si="18"/>
        <v>221341.39322627772</v>
      </c>
      <c r="R155" s="5">
        <f t="shared" si="19"/>
        <v>127.43971196895927</v>
      </c>
      <c r="S155" s="5">
        <f t="shared" si="20"/>
        <v>108430.21969704244</v>
      </c>
    </row>
    <row r="156" spans="1:19">
      <c r="A156">
        <v>153</v>
      </c>
      <c r="B156" s="2">
        <v>319.69098712446356</v>
      </c>
      <c r="C156" s="2">
        <v>159.84549356223178</v>
      </c>
      <c r="D156" s="2">
        <v>156.89455022341778</v>
      </c>
      <c r="E156" s="2">
        <v>223.95931245512679</v>
      </c>
      <c r="F156" s="2">
        <v>284.87953367792358</v>
      </c>
      <c r="G156" s="2">
        <v>252.58943860550642</v>
      </c>
      <c r="H156" s="2">
        <f t="shared" si="14"/>
        <v>153</v>
      </c>
      <c r="I156" s="4">
        <v>219454.29829872621</v>
      </c>
      <c r="J156" s="6">
        <v>107701.45175462675</v>
      </c>
      <c r="K156" s="2">
        <v>153738.56549534248</v>
      </c>
      <c r="L156" s="2">
        <v>195557.7125438861</v>
      </c>
      <c r="M156" s="2">
        <v>173391.93233264241</v>
      </c>
      <c r="N156" s="3">
        <f t="shared" si="15"/>
        <v>221668.14827063499</v>
      </c>
      <c r="O156" s="5">
        <f t="shared" si="16"/>
        <v>108602.33481772232</v>
      </c>
      <c r="P156" s="3">
        <f t="shared" si="17"/>
        <v>117.69363602854845</v>
      </c>
      <c r="Q156" s="3">
        <f t="shared" si="18"/>
        <v>221668.14827063499</v>
      </c>
      <c r="R156" s="5">
        <f t="shared" si="19"/>
        <v>128.13413995299666</v>
      </c>
      <c r="S156" s="5">
        <f t="shared" si="20"/>
        <v>108602.33481772232</v>
      </c>
    </row>
    <row r="157" spans="1:19">
      <c r="A157">
        <v>154</v>
      </c>
      <c r="B157" s="2">
        <v>317.64605543710024</v>
      </c>
      <c r="C157" s="2">
        <v>158.82302771855012</v>
      </c>
      <c r="D157" s="2">
        <v>155.89096034992048</v>
      </c>
      <c r="E157" s="2">
        <v>222.52673689571253</v>
      </c>
      <c r="F157" s="2">
        <v>283.05727653286226</v>
      </c>
      <c r="G157" s="2">
        <v>250.97372791080187</v>
      </c>
      <c r="H157" s="2">
        <f t="shared" si="14"/>
        <v>154</v>
      </c>
      <c r="I157" s="4">
        <v>219771.94435416331</v>
      </c>
      <c r="J157" s="6">
        <v>107857.34271497666</v>
      </c>
      <c r="K157" s="2">
        <v>153961.09223223818</v>
      </c>
      <c r="L157" s="2">
        <v>195840.76982041897</v>
      </c>
      <c r="M157" s="2">
        <v>173642.90606055321</v>
      </c>
      <c r="N157" s="3">
        <f t="shared" si="15"/>
        <v>221992.29586882406</v>
      </c>
      <c r="O157" s="5">
        <f t="shared" si="16"/>
        <v>108773.18902975667</v>
      </c>
      <c r="P157" s="3">
        <f t="shared" si="17"/>
        <v>118.26964478750018</v>
      </c>
      <c r="Q157" s="3">
        <f t="shared" si="18"/>
        <v>221992.29586882406</v>
      </c>
      <c r="R157" s="5">
        <f t="shared" si="19"/>
        <v>128.82690936343519</v>
      </c>
      <c r="S157" s="5">
        <f t="shared" si="20"/>
        <v>108773.18902975667</v>
      </c>
    </row>
    <row r="158" spans="1:19">
      <c r="A158">
        <v>155</v>
      </c>
      <c r="B158" s="2">
        <v>315.62711864406788</v>
      </c>
      <c r="C158" s="2">
        <v>157.81355932203394</v>
      </c>
      <c r="D158" s="2">
        <v>154.90012797481506</v>
      </c>
      <c r="E158" s="2">
        <v>221.11237204256176</v>
      </c>
      <c r="F158" s="2">
        <v>281.25818367354327</v>
      </c>
      <c r="G158" s="2">
        <v>249.37855591136881</v>
      </c>
      <c r="H158" s="2">
        <f t="shared" si="14"/>
        <v>155</v>
      </c>
      <c r="I158" s="4">
        <v>220087.57147280738</v>
      </c>
      <c r="J158" s="6">
        <v>108012.24284295148</v>
      </c>
      <c r="K158" s="2">
        <v>154182.20460428073</v>
      </c>
      <c r="L158" s="2">
        <v>196122.02800409251</v>
      </c>
      <c r="M158" s="2">
        <v>173892.28461646457</v>
      </c>
      <c r="N158" s="3">
        <f t="shared" si="15"/>
        <v>222313.86790202706</v>
      </c>
      <c r="O158" s="5">
        <f t="shared" si="16"/>
        <v>108942.79749798433</v>
      </c>
      <c r="P158" s="3">
        <f t="shared" si="17"/>
        <v>118.8435872588076</v>
      </c>
      <c r="Q158" s="3">
        <f t="shared" si="18"/>
        <v>222313.86790202706</v>
      </c>
      <c r="R158" s="5">
        <f t="shared" si="19"/>
        <v>129.51802416161638</v>
      </c>
      <c r="S158" s="5">
        <f t="shared" si="20"/>
        <v>108942.79749798433</v>
      </c>
    </row>
    <row r="159" spans="1:19">
      <c r="A159">
        <v>156</v>
      </c>
      <c r="B159" s="2">
        <v>313.63368421052633</v>
      </c>
      <c r="C159" s="2">
        <v>156.81684210526316</v>
      </c>
      <c r="D159" s="2">
        <v>153.92181137707934</v>
      </c>
      <c r="E159" s="2">
        <v>219.71587285071402</v>
      </c>
      <c r="F159" s="2">
        <v>279.48181619771032</v>
      </c>
      <c r="G159" s="2">
        <v>247.80353345298118</v>
      </c>
      <c r="H159" s="2">
        <f t="shared" si="14"/>
        <v>156</v>
      </c>
      <c r="I159" s="4">
        <v>220401.20515701792</v>
      </c>
      <c r="J159" s="6">
        <v>108166.16465432856</v>
      </c>
      <c r="K159" s="2">
        <v>154401.92047713144</v>
      </c>
      <c r="L159" s="2">
        <v>196401.50982029023</v>
      </c>
      <c r="M159" s="2">
        <v>174140.08814991754</v>
      </c>
      <c r="N159" s="3">
        <f t="shared" si="15"/>
        <v>222632.89568648461</v>
      </c>
      <c r="O159" s="5">
        <f t="shared" si="16"/>
        <v>109111.17511882931</v>
      </c>
      <c r="P159" s="3">
        <f t="shared" si="17"/>
        <v>119.41547085476186</v>
      </c>
      <c r="Q159" s="3">
        <f t="shared" si="18"/>
        <v>222632.89568648461</v>
      </c>
      <c r="R159" s="5">
        <f t="shared" si="19"/>
        <v>130.20748829942039</v>
      </c>
      <c r="S159" s="5">
        <f t="shared" si="20"/>
        <v>109111.17511882931</v>
      </c>
    </row>
    <row r="160" spans="1:19">
      <c r="A160">
        <v>157</v>
      </c>
      <c r="B160" s="2">
        <v>311.66527196652726</v>
      </c>
      <c r="C160" s="2">
        <v>155.83263598326363</v>
      </c>
      <c r="D160" s="2">
        <v>152.95577490400143</v>
      </c>
      <c r="E160" s="2">
        <v>218.33690293742495</v>
      </c>
      <c r="F160" s="2">
        <v>277.72774622157402</v>
      </c>
      <c r="G160" s="2">
        <v>246.24828115097492</v>
      </c>
      <c r="H160" s="2">
        <f t="shared" si="14"/>
        <v>157</v>
      </c>
      <c r="I160" s="4">
        <v>220712.87042898443</v>
      </c>
      <c r="J160" s="6">
        <v>108319.12042923256</v>
      </c>
      <c r="K160" s="2">
        <v>154620.25738006886</v>
      </c>
      <c r="L160" s="2">
        <v>196679.23756651182</v>
      </c>
      <c r="M160" s="2">
        <v>174386.33643106851</v>
      </c>
      <c r="N160" s="3">
        <f t="shared" si="15"/>
        <v>222949.40998683465</v>
      </c>
      <c r="O160" s="5">
        <f t="shared" si="16"/>
        <v>109278.33652664251</v>
      </c>
      <c r="P160" s="3">
        <f t="shared" si="17"/>
        <v>119.98530296106436</v>
      </c>
      <c r="Q160" s="3">
        <f t="shared" si="18"/>
        <v>222949.40998683465</v>
      </c>
      <c r="R160" s="5">
        <f t="shared" si="19"/>
        <v>130.89530571928876</v>
      </c>
      <c r="S160" s="5">
        <f t="shared" si="20"/>
        <v>109278.33652664251</v>
      </c>
    </row>
    <row r="161" spans="1:19">
      <c r="A161">
        <v>158</v>
      </c>
      <c r="B161" s="2">
        <v>309.72141372141374</v>
      </c>
      <c r="C161" s="2">
        <v>154.86070686070687</v>
      </c>
      <c r="D161" s="2">
        <v>152.00178878193921</v>
      </c>
      <c r="E161" s="2">
        <v>216.97513431203578</v>
      </c>
      <c r="F161" s="2">
        <v>275.99555653620047</v>
      </c>
      <c r="G161" s="2">
        <v>244.7124290855844</v>
      </c>
      <c r="H161" s="2">
        <f t="shared" si="14"/>
        <v>158</v>
      </c>
      <c r="I161" s="4">
        <v>221022.59184270585</v>
      </c>
      <c r="J161" s="6">
        <v>108471.1222180145</v>
      </c>
      <c r="K161" s="2">
        <v>154837.23251438088</v>
      </c>
      <c r="L161" s="2">
        <v>196955.233123048</v>
      </c>
      <c r="M161" s="2">
        <v>174631.04886015409</v>
      </c>
      <c r="N161" s="3">
        <f t="shared" si="15"/>
        <v>223263.44102905734</v>
      </c>
      <c r="O161" s="5">
        <f t="shared" si="16"/>
        <v>109444.29609985513</v>
      </c>
      <c r="P161" s="3">
        <f t="shared" si="17"/>
        <v>120.5530909369222</v>
      </c>
      <c r="Q161" s="3">
        <f t="shared" si="18"/>
        <v>223263.44102905734</v>
      </c>
      <c r="R161" s="5">
        <f t="shared" si="19"/>
        <v>131.58148035424691</v>
      </c>
      <c r="S161" s="5">
        <f t="shared" si="20"/>
        <v>109444.29609985513</v>
      </c>
    </row>
    <row r="162" spans="1:19">
      <c r="A162">
        <v>159</v>
      </c>
      <c r="B162" s="2">
        <v>307.80165289256206</v>
      </c>
      <c r="C162" s="2">
        <v>153.90082644628103</v>
      </c>
      <c r="D162" s="2">
        <v>151.0596289341172</v>
      </c>
      <c r="E162" s="2">
        <v>215.63024711588668</v>
      </c>
      <c r="F162" s="2">
        <v>274.28484027667849</v>
      </c>
      <c r="G162" s="2">
        <v>243.19561650860749</v>
      </c>
      <c r="H162" s="2">
        <f t="shared" si="14"/>
        <v>159</v>
      </c>
      <c r="I162" s="4">
        <v>221330.3934955984</v>
      </c>
      <c r="J162" s="6">
        <v>108622.18184694862</v>
      </c>
      <c r="K162" s="2">
        <v>155052.86276149677</v>
      </c>
      <c r="L162" s="2">
        <v>197229.51796332467</v>
      </c>
      <c r="M162" s="2">
        <v>174874.24447666269</v>
      </c>
      <c r="N162" s="3">
        <f t="shared" si="15"/>
        <v>223575.0185130387</v>
      </c>
      <c r="O162" s="5">
        <f t="shared" si="16"/>
        <v>109609.06796695142</v>
      </c>
      <c r="P162" s="3">
        <f t="shared" si="17"/>
        <v>121.11884211514307</v>
      </c>
      <c r="Q162" s="3">
        <f t="shared" si="18"/>
        <v>223575.0185130387</v>
      </c>
      <c r="R162" s="5">
        <f t="shared" si="19"/>
        <v>132.26601612792658</v>
      </c>
      <c r="S162" s="5">
        <f t="shared" si="20"/>
        <v>109609.06796695142</v>
      </c>
    </row>
    <row r="163" spans="1:19">
      <c r="A163">
        <v>160</v>
      </c>
      <c r="B163" s="2">
        <v>305.90554414784395</v>
      </c>
      <c r="C163" s="2">
        <v>152.95277207392198</v>
      </c>
      <c r="D163" s="2">
        <v>150.12907680515946</v>
      </c>
      <c r="E163" s="2">
        <v>214.30192937184609</v>
      </c>
      <c r="F163" s="2">
        <v>272.5952006035161</v>
      </c>
      <c r="G163" s="2">
        <v>241.69749156091567</v>
      </c>
      <c r="H163" s="2">
        <f t="shared" si="14"/>
        <v>160</v>
      </c>
      <c r="I163" s="4">
        <v>221636.29903974626</v>
      </c>
      <c r="J163" s="6">
        <v>108772.31092375377</v>
      </c>
      <c r="K163" s="2">
        <v>155267.16469086861</v>
      </c>
      <c r="L163" s="2">
        <v>197502.11316392818</v>
      </c>
      <c r="M163" s="2">
        <v>175115.9419682236</v>
      </c>
      <c r="N163" s="3">
        <f t="shared" si="15"/>
        <v>223884.17162476791</v>
      </c>
      <c r="O163" s="5">
        <f t="shared" si="16"/>
        <v>109772.66601226662</v>
      </c>
      <c r="P163" s="3">
        <f t="shared" si="17"/>
        <v>121.68256380223009</v>
      </c>
      <c r="Q163" s="3">
        <f t="shared" si="18"/>
        <v>223884.17162476791</v>
      </c>
      <c r="R163" s="5">
        <f t="shared" si="19"/>
        <v>132.94891695458824</v>
      </c>
      <c r="S163" s="5">
        <f t="shared" si="20"/>
        <v>109772.66601226662</v>
      </c>
    </row>
    <row r="164" spans="1:19">
      <c r="A164">
        <v>161</v>
      </c>
      <c r="B164" s="2">
        <v>304.03265306122449</v>
      </c>
      <c r="C164" s="2">
        <v>152.01632653061225</v>
      </c>
      <c r="D164" s="2">
        <v>149.20991919206682</v>
      </c>
      <c r="E164" s="2">
        <v>212.98987674303922</v>
      </c>
      <c r="F164" s="2">
        <v>270.92625039573971</v>
      </c>
      <c r="G164" s="2">
        <v>240.21771100033902</v>
      </c>
      <c r="H164" s="2">
        <f t="shared" si="14"/>
        <v>161</v>
      </c>
      <c r="I164" s="4">
        <v>221940.33169280749</v>
      </c>
      <c r="J164" s="6">
        <v>108921.52084294584</v>
      </c>
      <c r="K164" s="2">
        <v>155480.15456761164</v>
      </c>
      <c r="L164" s="2">
        <v>197773.03941432392</v>
      </c>
      <c r="M164" s="2">
        <v>175356.15967922393</v>
      </c>
      <c r="N164" s="3">
        <f t="shared" si="15"/>
        <v>224190.92904818011</v>
      </c>
      <c r="O164" s="5">
        <f t="shared" si="16"/>
        <v>109935.10388161654</v>
      </c>
      <c r="P164" s="3">
        <f t="shared" si="17"/>
        <v>122.24426327847617</v>
      </c>
      <c r="Q164" s="3">
        <f t="shared" si="18"/>
        <v>224190.92904818011</v>
      </c>
      <c r="R164" s="5">
        <f t="shared" si="19"/>
        <v>133.63018673914365</v>
      </c>
      <c r="S164" s="5">
        <f t="shared" si="20"/>
        <v>109935.10388161654</v>
      </c>
    </row>
    <row r="165" spans="1:19">
      <c r="A165">
        <v>162</v>
      </c>
      <c r="B165" s="2">
        <v>302.18255578093311</v>
      </c>
      <c r="C165" s="2">
        <v>151.09127789046656</v>
      </c>
      <c r="D165" s="2">
        <v>148.30194808136469</v>
      </c>
      <c r="E165" s="2">
        <v>211.69379230038382</v>
      </c>
      <c r="F165" s="2">
        <v>269.2776119551977</v>
      </c>
      <c r="G165" s="2">
        <v>238.75593993948496</v>
      </c>
      <c r="H165" s="2">
        <f t="shared" si="14"/>
        <v>162</v>
      </c>
      <c r="I165" s="4">
        <v>222242.51424858841</v>
      </c>
      <c r="J165" s="6">
        <v>109069.82279102721</v>
      </c>
      <c r="K165" s="2">
        <v>155691.84835991202</v>
      </c>
      <c r="L165" s="2">
        <v>198042.31702627911</v>
      </c>
      <c r="M165" s="2">
        <v>175594.91561916342</v>
      </c>
      <c r="N165" s="3">
        <f t="shared" si="15"/>
        <v>224495.31897665726</v>
      </c>
      <c r="O165" s="5">
        <f t="shared" si="16"/>
        <v>110096.39498776424</v>
      </c>
      <c r="P165" s="3">
        <f t="shared" si="17"/>
        <v>122.80394779805785</v>
      </c>
      <c r="Q165" s="3">
        <f t="shared" si="18"/>
        <v>224495.31897665726</v>
      </c>
      <c r="R165" s="5">
        <f t="shared" si="19"/>
        <v>134.309829377178</v>
      </c>
      <c r="S165" s="5">
        <f t="shared" si="20"/>
        <v>110096.39498776424</v>
      </c>
    </row>
    <row r="166" spans="1:19">
      <c r="A166">
        <v>163</v>
      </c>
      <c r="B166" s="2">
        <v>300.35483870967744</v>
      </c>
      <c r="C166" s="2">
        <v>150.17741935483872</v>
      </c>
      <c r="D166" s="2">
        <v>147.40496049216262</v>
      </c>
      <c r="E166" s="2">
        <v>210.41338629856685</v>
      </c>
      <c r="F166" s="2">
        <v>267.64891672159757</v>
      </c>
      <c r="G166" s="2">
        <v>237.31185159307668</v>
      </c>
      <c r="H166" s="2">
        <f t="shared" si="14"/>
        <v>163</v>
      </c>
      <c r="I166" s="4">
        <v>222542.86908729808</v>
      </c>
      <c r="J166" s="6">
        <v>109217.22775151937</v>
      </c>
      <c r="K166" s="2">
        <v>155902.2617462106</v>
      </c>
      <c r="L166" s="2">
        <v>198309.96594300072</v>
      </c>
      <c r="M166" s="2">
        <v>175832.22747075651</v>
      </c>
      <c r="N166" s="3">
        <f t="shared" si="15"/>
        <v>224797.36912419944</v>
      </c>
      <c r="O166" s="5">
        <f t="shared" si="16"/>
        <v>110256.55251573006</v>
      </c>
      <c r="P166" s="3">
        <f t="shared" si="17"/>
        <v>123.36162458912924</v>
      </c>
      <c r="Q166" s="3">
        <f t="shared" si="18"/>
        <v>224797.36912419944</v>
      </c>
      <c r="R166" s="5">
        <f t="shared" si="19"/>
        <v>134.98784875497228</v>
      </c>
      <c r="S166" s="5">
        <f t="shared" si="20"/>
        <v>110256.55251573006</v>
      </c>
    </row>
    <row r="167" spans="1:19">
      <c r="A167">
        <v>164</v>
      </c>
      <c r="B167" s="2">
        <v>298.54909819639278</v>
      </c>
      <c r="C167" s="2">
        <v>149.27454909819639</v>
      </c>
      <c r="D167" s="2">
        <v>146.51875832487508</v>
      </c>
      <c r="E167" s="2">
        <v>209.14837596009841</v>
      </c>
      <c r="F167" s="2">
        <v>266.03980499782045</v>
      </c>
      <c r="G167" s="2">
        <v>235.88512703440085</v>
      </c>
      <c r="H167" s="2">
        <f t="shared" si="14"/>
        <v>164</v>
      </c>
      <c r="I167" s="4">
        <v>222841.41818549446</v>
      </c>
      <c r="J167" s="6">
        <v>109363.74650984425</v>
      </c>
      <c r="K167" s="2">
        <v>156111.4101221707</v>
      </c>
      <c r="L167" s="2">
        <v>198576.00574799854</v>
      </c>
      <c r="M167" s="2">
        <v>176068.1125977909</v>
      </c>
      <c r="N167" s="3">
        <f t="shared" si="15"/>
        <v>225097.10673627735</v>
      </c>
      <c r="O167" s="5">
        <f t="shared" si="16"/>
        <v>110415.58942794979</v>
      </c>
      <c r="P167" s="3">
        <f t="shared" si="17"/>
        <v>123.91730085391524</v>
      </c>
      <c r="Q167" s="3">
        <f t="shared" si="18"/>
        <v>225097.10673627735</v>
      </c>
      <c r="R167" s="5">
        <f t="shared" si="19"/>
        <v>135.6642487495254</v>
      </c>
      <c r="S167" s="5">
        <f t="shared" si="20"/>
        <v>110415.58942794979</v>
      </c>
    </row>
    <row r="168" spans="1:19">
      <c r="A168">
        <v>165</v>
      </c>
      <c r="B168" s="2">
        <v>296.76494023904382</v>
      </c>
      <c r="C168" s="2">
        <v>148.38247011952191</v>
      </c>
      <c r="D168" s="2">
        <v>145.64314821536377</v>
      </c>
      <c r="E168" s="2">
        <v>207.89848526710969</v>
      </c>
      <c r="F168" s="2">
        <v>264.44992568508445</v>
      </c>
      <c r="G168" s="2">
        <v>234.47545496049</v>
      </c>
      <c r="H168" s="2">
        <f t="shared" si="14"/>
        <v>165</v>
      </c>
      <c r="I168" s="4">
        <v>223138.18312573351</v>
      </c>
      <c r="J168" s="6">
        <v>109509.3896580596</v>
      </c>
      <c r="K168" s="2">
        <v>156319.30860743779</v>
      </c>
      <c r="L168" s="2">
        <v>198840.45567368364</v>
      </c>
      <c r="M168" s="2">
        <v>176302.58805275138</v>
      </c>
      <c r="N168" s="3">
        <f t="shared" si="15"/>
        <v>225394.55860037715</v>
      </c>
      <c r="O168" s="5">
        <f t="shared" si="16"/>
        <v>110573.51846928681</v>
      </c>
      <c r="P168" s="3">
        <f t="shared" si="17"/>
        <v>124.47098376880452</v>
      </c>
      <c r="Q168" s="3">
        <f t="shared" si="18"/>
        <v>225394.55860037715</v>
      </c>
      <c r="R168" s="5">
        <f t="shared" si="19"/>
        <v>136.33903322857654</v>
      </c>
      <c r="S168" s="5">
        <f t="shared" si="20"/>
        <v>110573.51846928681</v>
      </c>
    </row>
    <row r="169" spans="1:19">
      <c r="A169">
        <v>166</v>
      </c>
      <c r="B169" s="2">
        <v>295.00198019801979</v>
      </c>
      <c r="C169" s="2">
        <v>147.5009900990099</v>
      </c>
      <c r="D169" s="2">
        <v>144.77794139428249</v>
      </c>
      <c r="E169" s="2">
        <v>206.66344476057245</v>
      </c>
      <c r="F169" s="2">
        <v>262.87893602754929</v>
      </c>
      <c r="G169" s="2">
        <v>233.08253146567523</v>
      </c>
      <c r="H169" s="2">
        <f t="shared" si="14"/>
        <v>166</v>
      </c>
      <c r="I169" s="4">
        <v>223433.18510593154</v>
      </c>
      <c r="J169" s="6">
        <v>109654.16759945388</v>
      </c>
      <c r="K169" s="2">
        <v>156525.97205219837</v>
      </c>
      <c r="L169" s="2">
        <v>199103.33460971119</v>
      </c>
      <c r="M169" s="2">
        <v>176535.67058421706</v>
      </c>
      <c r="N169" s="3">
        <f t="shared" si="15"/>
        <v>225689.75105624809</v>
      </c>
      <c r="O169" s="5">
        <f t="shared" si="16"/>
        <v>110730.35217190241</v>
      </c>
      <c r="P169" s="3">
        <f t="shared" si="17"/>
        <v>125.02268048444229</v>
      </c>
      <c r="Q169" s="3">
        <f t="shared" si="18"/>
        <v>225689.75105624809</v>
      </c>
      <c r="R169" s="5">
        <f t="shared" si="19"/>
        <v>137.01220605062707</v>
      </c>
      <c r="S169" s="5">
        <f t="shared" si="20"/>
        <v>110730.35217190241</v>
      </c>
    </row>
    <row r="170" spans="1:19">
      <c r="A170">
        <v>167</v>
      </c>
      <c r="B170" s="2">
        <v>293.25984251968509</v>
      </c>
      <c r="C170" s="2">
        <v>146.62992125984255</v>
      </c>
      <c r="D170" s="2">
        <v>143.92295355140294</v>
      </c>
      <c r="E170" s="2">
        <v>205.44299134663217</v>
      </c>
      <c r="F170" s="2">
        <v>261.32650136596931</v>
      </c>
      <c r="G170" s="2">
        <v>231.70605982316152</v>
      </c>
      <c r="H170" s="2">
        <f t="shared" si="14"/>
        <v>167</v>
      </c>
      <c r="I170" s="4">
        <v>223726.44494845122</v>
      </c>
      <c r="J170" s="6">
        <v>109798.09055300528</v>
      </c>
      <c r="K170" s="2">
        <v>156731.41504354501</v>
      </c>
      <c r="L170" s="2">
        <v>199364.66111107718</v>
      </c>
      <c r="M170" s="2">
        <v>176767.37664404023</v>
      </c>
      <c r="N170" s="3">
        <f t="shared" si="15"/>
        <v>225982.71000586322</v>
      </c>
      <c r="O170" s="5">
        <f t="shared" si="16"/>
        <v>110886.10285999016</v>
      </c>
      <c r="P170" s="3">
        <f t="shared" si="17"/>
        <v>125.57239812582257</v>
      </c>
      <c r="Q170" s="3">
        <f t="shared" si="18"/>
        <v>225982.71000586322</v>
      </c>
      <c r="R170" s="5">
        <f t="shared" si="19"/>
        <v>137.6837710649628</v>
      </c>
      <c r="S170" s="5">
        <f t="shared" si="20"/>
        <v>110886.10285999016</v>
      </c>
    </row>
    <row r="171" spans="1:19">
      <c r="A171">
        <v>168</v>
      </c>
      <c r="B171" s="2">
        <v>291.53816046966733</v>
      </c>
      <c r="C171" s="2">
        <v>145.76908023483367</v>
      </c>
      <c r="D171" s="2">
        <v>143.07800470472154</v>
      </c>
      <c r="E171" s="2">
        <v>204.23686810976352</v>
      </c>
      <c r="F171" s="2">
        <v>259.79229490002427</v>
      </c>
      <c r="G171" s="2">
        <v>230.3457502742975</v>
      </c>
      <c r="H171" s="2">
        <f t="shared" si="14"/>
        <v>168</v>
      </c>
      <c r="I171" s="4">
        <v>224017.98310892089</v>
      </c>
      <c r="J171" s="6">
        <v>109941.16855771</v>
      </c>
      <c r="K171" s="2">
        <v>156935.65191165477</v>
      </c>
      <c r="L171" s="2">
        <v>199624.4534059772</v>
      </c>
      <c r="M171" s="2">
        <v>176997.72239431454</v>
      </c>
      <c r="N171" s="3">
        <f t="shared" si="15"/>
        <v>226273.4609231026</v>
      </c>
      <c r="O171" s="5">
        <f t="shared" si="16"/>
        <v>111040.78265437753</v>
      </c>
      <c r="P171" s="3">
        <f t="shared" si="17"/>
        <v>126.12014379238029</v>
      </c>
      <c r="Q171" s="3">
        <f t="shared" si="18"/>
        <v>226273.4609231026</v>
      </c>
      <c r="R171" s="5">
        <f t="shared" si="19"/>
        <v>138.35373211167584</v>
      </c>
      <c r="S171" s="5">
        <f t="shared" si="20"/>
        <v>111040.78265437753</v>
      </c>
    </row>
    <row r="172" spans="1:19">
      <c r="A172">
        <v>169</v>
      </c>
      <c r="B172" s="2">
        <v>289.8365758754864</v>
      </c>
      <c r="C172" s="2">
        <v>144.9182879377432</v>
      </c>
      <c r="D172" s="2">
        <v>142.24291907414914</v>
      </c>
      <c r="E172" s="2">
        <v>203.04482413246902</v>
      </c>
      <c r="F172" s="2">
        <v>258.27599745897345</v>
      </c>
      <c r="G172" s="2">
        <v>229.00131982522566</v>
      </c>
      <c r="H172" s="2">
        <f t="shared" si="14"/>
        <v>169</v>
      </c>
      <c r="I172" s="4">
        <v>224307.81968479638</v>
      </c>
      <c r="J172" s="6">
        <v>110083.41147678415</v>
      </c>
      <c r="K172" s="2">
        <v>157138.69673578723</v>
      </c>
      <c r="L172" s="2">
        <v>199882.72940343618</v>
      </c>
      <c r="M172" s="2">
        <v>177226.72371413975</v>
      </c>
      <c r="N172" s="3">
        <f t="shared" si="15"/>
        <v>226562.02886316794</v>
      </c>
      <c r="O172" s="5">
        <f t="shared" si="16"/>
        <v>111194.40347700068</v>
      </c>
      <c r="P172" s="3">
        <f t="shared" si="17"/>
        <v>126.66592455808285</v>
      </c>
      <c r="Q172" s="3">
        <f t="shared" si="18"/>
        <v>226562.02886316794</v>
      </c>
      <c r="R172" s="5">
        <f t="shared" si="19"/>
        <v>139.02209302168663</v>
      </c>
      <c r="S172" s="5">
        <f t="shared" si="20"/>
        <v>111194.40347700068</v>
      </c>
    </row>
    <row r="173" spans="1:19">
      <c r="A173">
        <v>170</v>
      </c>
      <c r="B173" s="2">
        <v>288.15473887814318</v>
      </c>
      <c r="C173" s="2">
        <v>144.07736943907159</v>
      </c>
      <c r="D173" s="2">
        <v>141.41752495959904</v>
      </c>
      <c r="E173" s="2">
        <v>201.86661432125561</v>
      </c>
      <c r="F173" s="2">
        <v>256.77729728029482</v>
      </c>
      <c r="G173" s="2">
        <v>227.67249205061128</v>
      </c>
      <c r="H173" s="2">
        <f t="shared" si="14"/>
        <v>170</v>
      </c>
      <c r="I173" s="4">
        <v>224595.97442367452</v>
      </c>
      <c r="J173" s="6">
        <v>110224.82900174375</v>
      </c>
      <c r="K173" s="2">
        <v>157340.56335010848</v>
      </c>
      <c r="L173" s="2">
        <v>200139.50670071648</v>
      </c>
      <c r="M173" s="2">
        <v>177454.39620619037</v>
      </c>
      <c r="N173" s="3">
        <f t="shared" si="15"/>
        <v>226848.43847173869</v>
      </c>
      <c r="O173" s="5">
        <f t="shared" si="16"/>
        <v>111346.97705525543</v>
      </c>
      <c r="P173" s="3">
        <f t="shared" si="17"/>
        <v>127.20974747152161</v>
      </c>
      <c r="Q173" s="3">
        <f t="shared" si="18"/>
        <v>226848.43847173869</v>
      </c>
      <c r="R173" s="5">
        <f t="shared" si="19"/>
        <v>139.6888576167658</v>
      </c>
      <c r="S173" s="5">
        <f t="shared" si="20"/>
        <v>111346.97705525543</v>
      </c>
    </row>
    <row r="174" spans="1:19">
      <c r="A174">
        <v>171</v>
      </c>
      <c r="B174" s="2">
        <v>286.49230769230775</v>
      </c>
      <c r="C174" s="2">
        <v>143.24615384615387</v>
      </c>
      <c r="D174" s="2">
        <v>140.60165462329357</v>
      </c>
      <c r="E174" s="2">
        <v>200.70199923863294</v>
      </c>
      <c r="F174" s="2">
        <v>255.2958897959854</v>
      </c>
      <c r="G174" s="2">
        <v>226.35899690416542</v>
      </c>
      <c r="H174" s="2">
        <f t="shared" si="14"/>
        <v>171</v>
      </c>
      <c r="I174" s="4">
        <v>224882.46673136682</v>
      </c>
      <c r="J174" s="6">
        <v>110365.43065636705</v>
      </c>
      <c r="K174" s="2">
        <v>157541.26534934712</v>
      </c>
      <c r="L174" s="2">
        <v>200394.80259051247</v>
      </c>
      <c r="M174" s="2">
        <v>177680.75520309454</v>
      </c>
      <c r="N174" s="3">
        <f t="shared" si="15"/>
        <v>227132.71399387697</v>
      </c>
      <c r="O174" s="5">
        <f t="shared" si="16"/>
        <v>111498.51492622927</v>
      </c>
      <c r="P174" s="3">
        <f t="shared" si="17"/>
        <v>127.75161955600292</v>
      </c>
      <c r="Q174" s="3">
        <f t="shared" si="18"/>
        <v>227132.71399387697</v>
      </c>
      <c r="R174" s="5">
        <f t="shared" si="19"/>
        <v>140.35402970955604</v>
      </c>
      <c r="S174" s="5">
        <f t="shared" si="20"/>
        <v>111498.51492622927</v>
      </c>
    </row>
    <row r="175" spans="1:19">
      <c r="A175">
        <v>172</v>
      </c>
      <c r="B175" s="2">
        <v>284.84894837476099</v>
      </c>
      <c r="C175" s="2">
        <v>142.4244741873805</v>
      </c>
      <c r="D175" s="2">
        <v>139.79514417612376</v>
      </c>
      <c r="E175" s="2">
        <v>199.550744940897</v>
      </c>
      <c r="F175" s="2">
        <v>253.83147742621878</v>
      </c>
      <c r="G175" s="2">
        <v>225.06057053569032</v>
      </c>
      <c r="H175" s="2">
        <f t="shared" si="14"/>
        <v>172</v>
      </c>
      <c r="I175" s="4">
        <v>225167.31567974159</v>
      </c>
      <c r="J175" s="6">
        <v>110505.22580054318</v>
      </c>
      <c r="K175" s="2">
        <v>157740.81609428802</v>
      </c>
      <c r="L175" s="2">
        <v>200648.63406793869</v>
      </c>
      <c r="M175" s="2">
        <v>177905.81577363022</v>
      </c>
      <c r="N175" s="3">
        <f t="shared" si="15"/>
        <v>227414.87928269032</v>
      </c>
      <c r="O175" s="5">
        <f t="shared" si="16"/>
        <v>111649.02844081803</v>
      </c>
      <c r="P175" s="3">
        <f t="shared" si="17"/>
        <v>128.29154780963867</v>
      </c>
      <c r="Q175" s="3">
        <f t="shared" si="18"/>
        <v>227414.87928269032</v>
      </c>
      <c r="R175" s="5">
        <f t="shared" si="19"/>
        <v>141.01761310359404</v>
      </c>
      <c r="S175" s="5">
        <f t="shared" si="20"/>
        <v>111649.02844081803</v>
      </c>
    </row>
    <row r="176" spans="1:19">
      <c r="A176">
        <v>173</v>
      </c>
      <c r="B176" s="2">
        <v>283.22433460076047</v>
      </c>
      <c r="C176" s="2">
        <v>141.61216730038024</v>
      </c>
      <c r="D176" s="2">
        <v>138.99783346789482</v>
      </c>
      <c r="E176" s="2">
        <v>198.41262282146218</v>
      </c>
      <c r="F176" s="2">
        <v>252.38376938006147</v>
      </c>
      <c r="G176" s="2">
        <v>223.77695511438398</v>
      </c>
      <c r="H176" s="2">
        <f t="shared" si="14"/>
        <v>173</v>
      </c>
      <c r="I176" s="4">
        <v>225450.54001434235</v>
      </c>
      <c r="J176" s="6">
        <v>110644.22363401107</v>
      </c>
      <c r="K176" s="2">
        <v>157939.22871710948</v>
      </c>
      <c r="L176" s="2">
        <v>200901.01783731877</v>
      </c>
      <c r="M176" s="2">
        <v>178129.59272874461</v>
      </c>
      <c r="N176" s="3">
        <f t="shared" si="15"/>
        <v>227694.9578077597</v>
      </c>
      <c r="O176" s="5">
        <f t="shared" si="16"/>
        <v>111798.52876773097</v>
      </c>
      <c r="P176" s="3">
        <f t="shared" si="17"/>
        <v>128.82953920543682</v>
      </c>
      <c r="Q176" s="3">
        <f t="shared" si="18"/>
        <v>227694.9578077597</v>
      </c>
      <c r="R176" s="5">
        <f t="shared" si="19"/>
        <v>141.67961159333191</v>
      </c>
      <c r="S176" s="5">
        <f t="shared" si="20"/>
        <v>111798.52876773097</v>
      </c>
    </row>
    <row r="177" spans="1:19">
      <c r="A177">
        <v>174</v>
      </c>
      <c r="B177" s="2">
        <v>281.61814744801512</v>
      </c>
      <c r="C177" s="2">
        <v>140.80907372400756</v>
      </c>
      <c r="D177" s="2">
        <v>138.20956598130951</v>
      </c>
      <c r="E177" s="2">
        <v>197.28740945952578</v>
      </c>
      <c r="F177" s="2">
        <v>250.95248146297243</v>
      </c>
      <c r="G177" s="2">
        <v>222.50789865815889</v>
      </c>
      <c r="H177" s="2">
        <f t="shared" si="14"/>
        <v>174</v>
      </c>
      <c r="I177" s="4">
        <v>225732.15816179037</v>
      </c>
      <c r="J177" s="6">
        <v>110782.43319999237</v>
      </c>
      <c r="K177" s="2">
        <v>158136.51612656901</v>
      </c>
      <c r="L177" s="2">
        <v>201151.97031878174</v>
      </c>
      <c r="M177" s="2">
        <v>178352.10062740277</v>
      </c>
      <c r="N177" s="3">
        <f t="shared" si="15"/>
        <v>227972.97266334103</v>
      </c>
      <c r="O177" s="5">
        <f t="shared" si="16"/>
        <v>111947.02689738802</v>
      </c>
      <c r="P177" s="3">
        <f t="shared" si="17"/>
        <v>129.36560069139145</v>
      </c>
      <c r="Q177" s="3">
        <f t="shared" si="18"/>
        <v>227972.97266334103</v>
      </c>
      <c r="R177" s="5">
        <f t="shared" si="19"/>
        <v>142.3400289641593</v>
      </c>
      <c r="S177" s="5">
        <f t="shared" si="20"/>
        <v>111947.02689738802</v>
      </c>
    </row>
    <row r="178" spans="1:19">
      <c r="A178">
        <v>175</v>
      </c>
      <c r="B178" s="2">
        <v>280.03007518796994</v>
      </c>
      <c r="C178" s="2">
        <v>140.01503759398497</v>
      </c>
      <c r="D178" s="2">
        <v>137.4301887295351</v>
      </c>
      <c r="E178" s="2">
        <v>196.17488647385179</v>
      </c>
      <c r="F178" s="2">
        <v>249.53733589081276</v>
      </c>
      <c r="G178" s="2">
        <v>221.25315486873311</v>
      </c>
      <c r="H178" s="2">
        <f t="shared" si="14"/>
        <v>175</v>
      </c>
      <c r="I178" s="4">
        <v>226012.18823697834</v>
      </c>
      <c r="J178" s="6">
        <v>110919.8633887219</v>
      </c>
      <c r="K178" s="2">
        <v>158332.69101304287</v>
      </c>
      <c r="L178" s="2">
        <v>201401.50765467255</v>
      </c>
      <c r="M178" s="2">
        <v>178573.3537822715</v>
      </c>
      <c r="N178" s="3">
        <f t="shared" si="15"/>
        <v>228248.94657634679</v>
      </c>
      <c r="O178" s="5">
        <f t="shared" si="16"/>
        <v>112094.53364571257</v>
      </c>
      <c r="P178" s="3">
        <f t="shared" si="17"/>
        <v>129.89973919057229</v>
      </c>
      <c r="Q178" s="3">
        <f t="shared" si="18"/>
        <v>228248.94657634679</v>
      </c>
      <c r="R178" s="5">
        <f t="shared" si="19"/>
        <v>142.99886899242472</v>
      </c>
      <c r="S178" s="5">
        <f t="shared" si="20"/>
        <v>112094.53364571257</v>
      </c>
    </row>
    <row r="179" spans="1:19">
      <c r="A179">
        <v>176</v>
      </c>
      <c r="B179" s="2">
        <v>278.45981308411217</v>
      </c>
      <c r="C179" s="2">
        <v>139.22990654205609</v>
      </c>
      <c r="D179" s="2">
        <v>136.65955215722005</v>
      </c>
      <c r="E179" s="2">
        <v>195.07484038147513</v>
      </c>
      <c r="F179" s="2">
        <v>248.13806111011672</v>
      </c>
      <c r="G179" s="2">
        <v>220.01248297227303</v>
      </c>
      <c r="H179" s="2">
        <f t="shared" si="14"/>
        <v>176</v>
      </c>
      <c r="I179" s="4">
        <v>226290.64805006245</v>
      </c>
      <c r="J179" s="6">
        <v>111056.52294087912</v>
      </c>
      <c r="K179" s="2">
        <v>158527.76585342435</v>
      </c>
      <c r="L179" s="2">
        <v>201649.64571578265</v>
      </c>
      <c r="M179" s="2">
        <v>178793.36626524376</v>
      </c>
      <c r="N179" s="3">
        <f t="shared" si="15"/>
        <v>228522.90191411553</v>
      </c>
      <c r="O179" s="5">
        <f t="shared" si="16"/>
        <v>112241.05965782327</v>
      </c>
      <c r="P179" s="3">
        <f t="shared" si="17"/>
        <v>130.43196160121445</v>
      </c>
      <c r="Q179" s="3">
        <f t="shared" si="18"/>
        <v>228522.90191411553</v>
      </c>
      <c r="R179" s="5">
        <f t="shared" si="19"/>
        <v>143.6561354454571</v>
      </c>
      <c r="S179" s="5">
        <f t="shared" si="20"/>
        <v>112241.05965782327</v>
      </c>
    </row>
    <row r="180" spans="1:19">
      <c r="A180">
        <v>177</v>
      </c>
      <c r="B180" s="2">
        <v>276.90706319702605</v>
      </c>
      <c r="C180" s="2">
        <v>138.45353159851302</v>
      </c>
      <c r="D180" s="2">
        <v>135.89751004481911</v>
      </c>
      <c r="E180" s="2">
        <v>193.98706246113224</v>
      </c>
      <c r="F180" s="2">
        <v>246.75439162437246</v>
      </c>
      <c r="G180" s="2">
        <v>218.78564756536434</v>
      </c>
      <c r="H180" s="2">
        <f t="shared" si="14"/>
        <v>177</v>
      </c>
      <c r="I180" s="4">
        <v>226567.55511325947</v>
      </c>
      <c r="J180" s="6">
        <v>111192.42045092394</v>
      </c>
      <c r="K180" s="2">
        <v>158721.75291588547</v>
      </c>
      <c r="L180" s="2">
        <v>201896.40010740701</v>
      </c>
      <c r="M180" s="2">
        <v>179012.15191280912</v>
      </c>
      <c r="N180" s="3">
        <f t="shared" si="15"/>
        <v>228794.86069197539</v>
      </c>
      <c r="O180" s="5">
        <f t="shared" si="16"/>
        <v>112386.61541162813</v>
      </c>
      <c r="P180" s="3">
        <f t="shared" si="17"/>
        <v>130.96227479680735</v>
      </c>
      <c r="Q180" s="3">
        <f t="shared" si="18"/>
        <v>228794.86069197539</v>
      </c>
      <c r="R180" s="5">
        <f t="shared" si="19"/>
        <v>144.31183208158774</v>
      </c>
      <c r="S180" s="5">
        <f t="shared" si="20"/>
        <v>112386.61541162813</v>
      </c>
    </row>
    <row r="181" spans="1:19">
      <c r="A181">
        <v>178</v>
      </c>
      <c r="B181" s="2">
        <v>275.37153419593346</v>
      </c>
      <c r="C181" s="2">
        <v>137.68576709796673</v>
      </c>
      <c r="D181" s="2">
        <v>135.14391941610461</v>
      </c>
      <c r="E181" s="2">
        <v>192.91134862123673</v>
      </c>
      <c r="F181" s="2">
        <v>245.38606782608568</v>
      </c>
      <c r="G181" s="2">
        <v>217.57241846611086</v>
      </c>
      <c r="H181" s="2">
        <f t="shared" si="14"/>
        <v>178</v>
      </c>
      <c r="I181" s="4">
        <v>226842.9266474554</v>
      </c>
      <c r="J181" s="6">
        <v>111327.56437034004</v>
      </c>
      <c r="K181" s="2">
        <v>158914.66426450672</v>
      </c>
      <c r="L181" s="2">
        <v>202141.78617523311</v>
      </c>
      <c r="M181" s="2">
        <v>179229.72433127524</v>
      </c>
      <c r="N181" s="3">
        <f t="shared" si="15"/>
        <v>229064.84458060868</v>
      </c>
      <c r="O181" s="5">
        <f t="shared" si="16"/>
        <v>112531.21122132363</v>
      </c>
      <c r="P181" s="3">
        <f t="shared" si="17"/>
        <v>131.49068562618331</v>
      </c>
      <c r="Q181" s="3">
        <f t="shared" si="18"/>
        <v>229064.84458060868</v>
      </c>
      <c r="R181" s="5">
        <f t="shared" si="19"/>
        <v>144.96596265017138</v>
      </c>
      <c r="S181" s="5">
        <f t="shared" si="20"/>
        <v>112531.21122132363</v>
      </c>
    </row>
    <row r="182" spans="1:19">
      <c r="A182">
        <v>179</v>
      </c>
      <c r="B182" s="2">
        <v>273.85294117647061</v>
      </c>
      <c r="C182" s="2">
        <v>136.9264705882353</v>
      </c>
      <c r="D182" s="2">
        <v>134.39864044873644</v>
      </c>
      <c r="E182" s="2">
        <v>191.84749927222262</v>
      </c>
      <c r="F182" s="2">
        <v>244.03283583439779</v>
      </c>
      <c r="G182" s="2">
        <v>216.37257057015813</v>
      </c>
      <c r="H182" s="2">
        <f t="shared" si="14"/>
        <v>179</v>
      </c>
      <c r="I182" s="4">
        <v>227116.77958863188</v>
      </c>
      <c r="J182" s="6">
        <v>111461.96301078878</v>
      </c>
      <c r="K182" s="2">
        <v>159106.51176377895</v>
      </c>
      <c r="L182" s="2">
        <v>202385.81901106751</v>
      </c>
      <c r="M182" s="2">
        <v>179446.09690184539</v>
      </c>
      <c r="N182" s="3">
        <f t="shared" si="15"/>
        <v>229332.8749132235</v>
      </c>
      <c r="O182" s="5">
        <f t="shared" si="16"/>
        <v>112674.85724080239</v>
      </c>
      <c r="P182" s="3">
        <f t="shared" si="17"/>
        <v>132.0172009136063</v>
      </c>
      <c r="Q182" s="3">
        <f t="shared" si="18"/>
        <v>229332.8749132235</v>
      </c>
      <c r="R182" s="5">
        <f t="shared" si="19"/>
        <v>145.61853089160778</v>
      </c>
      <c r="S182" s="5">
        <f t="shared" si="20"/>
        <v>112674.85724080239</v>
      </c>
    </row>
    <row r="183" spans="1:19">
      <c r="A183">
        <v>180</v>
      </c>
      <c r="B183" s="2">
        <v>272.3510054844607</v>
      </c>
      <c r="C183" s="2">
        <v>136.17550274223035</v>
      </c>
      <c r="D183" s="2">
        <v>133.6615363877745</v>
      </c>
      <c r="E183" s="2">
        <v>190.79531920308796</v>
      </c>
      <c r="F183" s="2">
        <v>242.69444733804818</v>
      </c>
      <c r="G183" s="2">
        <v>215.18588371145518</v>
      </c>
      <c r="H183" s="2">
        <f t="shared" si="14"/>
        <v>180</v>
      </c>
      <c r="I183" s="4">
        <v>227389.13059411634</v>
      </c>
      <c r="J183" s="6">
        <v>111595.62454717656</v>
      </c>
      <c r="K183" s="2">
        <v>159297.30708298204</v>
      </c>
      <c r="L183" s="2">
        <v>202628.51345840556</v>
      </c>
      <c r="M183" s="2">
        <v>179661.28278555683</v>
      </c>
      <c r="N183" s="3">
        <f t="shared" si="15"/>
        <v>229598.97269253901</v>
      </c>
      <c r="O183" s="5">
        <f t="shared" si="16"/>
        <v>112817.56346697203</v>
      </c>
      <c r="P183" s="3">
        <f t="shared" si="17"/>
        <v>132.54182745886001</v>
      </c>
      <c r="Q183" s="3">
        <f t="shared" si="18"/>
        <v>229598.97269253901</v>
      </c>
      <c r="R183" s="5">
        <f t="shared" si="19"/>
        <v>146.26954053736316</v>
      </c>
      <c r="S183" s="5">
        <f t="shared" si="20"/>
        <v>112817.56346697203</v>
      </c>
    </row>
    <row r="184" spans="1:19">
      <c r="A184">
        <v>181</v>
      </c>
      <c r="B184" s="2">
        <v>270.86545454545455</v>
      </c>
      <c r="C184" s="2">
        <v>135.43272727272728</v>
      </c>
      <c r="D184" s="2">
        <v>132.9324734620229</v>
      </c>
      <c r="E184" s="2">
        <v>189.75461746198016</v>
      </c>
      <c r="F184" s="2">
        <v>241.370659443477</v>
      </c>
      <c r="G184" s="2">
        <v>214.0121425275745</v>
      </c>
      <c r="H184" s="2">
        <f t="shared" si="14"/>
        <v>181</v>
      </c>
      <c r="I184" s="4">
        <v>227659.99604866179</v>
      </c>
      <c r="J184" s="6">
        <v>111728.55702063857</v>
      </c>
      <c r="K184" s="2">
        <v>159487.06170044403</v>
      </c>
      <c r="L184" s="2">
        <v>202869.88411784903</v>
      </c>
      <c r="M184" s="2">
        <v>179875.29492808442</v>
      </c>
      <c r="N184" s="3">
        <f t="shared" si="15"/>
        <v>229863.15859758898</v>
      </c>
      <c r="O184" s="5">
        <f t="shared" si="16"/>
        <v>112959.33974298788</v>
      </c>
      <c r="P184" s="3">
        <f t="shared" si="17"/>
        <v>133.06457203733544</v>
      </c>
      <c r="Q184" s="3">
        <f t="shared" si="18"/>
        <v>229863.15859758898</v>
      </c>
      <c r="R184" s="5">
        <f t="shared" si="19"/>
        <v>146.91899530999149</v>
      </c>
      <c r="S184" s="5">
        <f t="shared" si="20"/>
        <v>112959.33974298788</v>
      </c>
    </row>
    <row r="185" spans="1:19">
      <c r="A185">
        <v>182</v>
      </c>
      <c r="B185" s="2">
        <v>269.39602169981919</v>
      </c>
      <c r="C185" s="2">
        <v>134.69801084990959</v>
      </c>
      <c r="D185" s="2">
        <v>132.2113208030971</v>
      </c>
      <c r="E185" s="2">
        <v>188.72520724066746</v>
      </c>
      <c r="F185" s="2">
        <v>240.0612345278704</v>
      </c>
      <c r="G185" s="2">
        <v>212.85113632941409</v>
      </c>
      <c r="H185" s="2">
        <f t="shared" si="14"/>
        <v>182</v>
      </c>
      <c r="I185" s="4">
        <v>227929.39207036162</v>
      </c>
      <c r="J185" s="6">
        <v>111860.76834144167</v>
      </c>
      <c r="K185" s="2">
        <v>159675.7869076847</v>
      </c>
      <c r="L185" s="2">
        <v>203109.9453523769</v>
      </c>
      <c r="M185" s="2">
        <v>180088.14606441383</v>
      </c>
      <c r="N185" s="3">
        <f t="shared" si="15"/>
        <v>230125.45299035069</v>
      </c>
      <c r="O185" s="5">
        <f t="shared" si="16"/>
        <v>113100.19576140237</v>
      </c>
      <c r="P185" s="3">
        <f t="shared" si="17"/>
        <v>133.58544140011867</v>
      </c>
      <c r="Q185" s="3">
        <f t="shared" si="18"/>
        <v>230125.45299035069</v>
      </c>
      <c r="R185" s="5">
        <f t="shared" si="19"/>
        <v>147.56689892315578</v>
      </c>
      <c r="S185" s="5">
        <f t="shared" si="20"/>
        <v>113100.19576140237</v>
      </c>
    </row>
    <row r="186" spans="1:19">
      <c r="A186">
        <v>183</v>
      </c>
      <c r="B186" s="2">
        <v>267.94244604316549</v>
      </c>
      <c r="C186" s="2">
        <v>133.97122302158274</v>
      </c>
      <c r="D186" s="2">
        <v>131.49795036710927</v>
      </c>
      <c r="E186" s="2">
        <v>187.70690576275038</v>
      </c>
      <c r="F186" s="2">
        <v>238.76594009696484</v>
      </c>
      <c r="G186" s="2">
        <v>211.70265897511891</v>
      </c>
      <c r="H186" s="2">
        <f t="shared" si="14"/>
        <v>183</v>
      </c>
      <c r="I186" s="4">
        <v>228197.33451640478</v>
      </c>
      <c r="J186" s="6">
        <v>111992.26629180877</v>
      </c>
      <c r="K186" s="2">
        <v>159863.49381344745</v>
      </c>
      <c r="L186" s="2">
        <v>203348.71129247386</v>
      </c>
      <c r="M186" s="2">
        <v>180299.84872338895</v>
      </c>
      <c r="N186" s="3">
        <f t="shared" si="15"/>
        <v>230385.87592220405</v>
      </c>
      <c r="O186" s="5">
        <f t="shared" si="16"/>
        <v>113240.14106723371</v>
      </c>
      <c r="P186" s="3">
        <f t="shared" si="17"/>
        <v>134.10444227407791</v>
      </c>
      <c r="Q186" s="3">
        <f t="shared" si="18"/>
        <v>230385.87592220405</v>
      </c>
      <c r="R186" s="5">
        <f t="shared" si="19"/>
        <v>148.21325508164935</v>
      </c>
      <c r="S186" s="5">
        <f t="shared" si="20"/>
        <v>113240.14106723371</v>
      </c>
    </row>
    <row r="187" spans="1:19">
      <c r="A187">
        <v>184</v>
      </c>
      <c r="B187" s="2">
        <v>266.50447227191415</v>
      </c>
      <c r="C187" s="2">
        <v>133.25223613595708</v>
      </c>
      <c r="D187" s="2">
        <v>130.79223685887786</v>
      </c>
      <c r="E187" s="2">
        <v>186.69953417547254</v>
      </c>
      <c r="F187" s="2">
        <v>237.48454864742831</v>
      </c>
      <c r="G187" s="2">
        <v>210.56650874806095</v>
      </c>
      <c r="H187" s="2">
        <f t="shared" si="14"/>
        <v>184</v>
      </c>
      <c r="I187" s="4">
        <v>228463.8389886767</v>
      </c>
      <c r="J187" s="6">
        <v>112123.05852866765</v>
      </c>
      <c r="K187" s="2">
        <v>160050.19334762293</v>
      </c>
      <c r="L187" s="2">
        <v>203586.19584112128</v>
      </c>
      <c r="M187" s="2">
        <v>180510.41523213702</v>
      </c>
      <c r="N187" s="3">
        <f t="shared" si="15"/>
        <v>230644.44714022538</v>
      </c>
      <c r="O187" s="5">
        <f t="shared" si="16"/>
        <v>113379.1850609563</v>
      </c>
      <c r="P187" s="3">
        <f t="shared" si="17"/>
        <v>134.62158136195043</v>
      </c>
      <c r="Q187" s="3">
        <f t="shared" si="18"/>
        <v>230644.44714022538</v>
      </c>
      <c r="R187" s="5">
        <f t="shared" si="19"/>
        <v>148.8580674814169</v>
      </c>
      <c r="S187" s="5">
        <f t="shared" si="20"/>
        <v>113379.1850609563</v>
      </c>
    </row>
    <row r="188" spans="1:19">
      <c r="A188">
        <v>185</v>
      </c>
      <c r="B188" s="2">
        <v>265.08185053380788</v>
      </c>
      <c r="C188" s="2">
        <v>132.54092526690394</v>
      </c>
      <c r="D188" s="2">
        <v>130.0940576585634</v>
      </c>
      <c r="E188" s="2">
        <v>185.70291744499849</v>
      </c>
      <c r="F188" s="2">
        <v>236.21683753365198</v>
      </c>
      <c r="G188" s="2">
        <v>209.44248823872962</v>
      </c>
      <c r="H188" s="2">
        <f t="shared" si="14"/>
        <v>185</v>
      </c>
      <c r="I188" s="4">
        <v>228728.92083921051</v>
      </c>
      <c r="J188" s="6">
        <v>112253.15258632621</v>
      </c>
      <c r="K188" s="2">
        <v>160235.89626506792</v>
      </c>
      <c r="L188" s="2">
        <v>203822.41267865495</v>
      </c>
      <c r="M188" s="2">
        <v>180719.85772037576</v>
      </c>
      <c r="N188" s="3">
        <f t="shared" si="15"/>
        <v>230901.18609332235</v>
      </c>
      <c r="O188" s="5">
        <f t="shared" si="16"/>
        <v>113517.33700141519</v>
      </c>
      <c r="P188" s="3">
        <f t="shared" si="17"/>
        <v>135.1368653424291</v>
      </c>
      <c r="Q188" s="3">
        <f t="shared" si="18"/>
        <v>230901.18609332235</v>
      </c>
      <c r="R188" s="5">
        <f t="shared" si="19"/>
        <v>149.50133980957582</v>
      </c>
      <c r="S188" s="5">
        <f t="shared" si="20"/>
        <v>113517.33700141519</v>
      </c>
    </row>
    <row r="189" spans="1:19">
      <c r="A189">
        <v>186</v>
      </c>
      <c r="B189" s="2">
        <v>263.67433628318588</v>
      </c>
      <c r="C189" s="2">
        <v>131.83716814159294</v>
      </c>
      <c r="D189" s="2">
        <v>129.40329275064198</v>
      </c>
      <c r="E189" s="2">
        <v>184.71688425502506</v>
      </c>
      <c r="F189" s="2">
        <v>234.96258883878303</v>
      </c>
      <c r="G189" s="2">
        <v>208.33040423038238</v>
      </c>
      <c r="H189" s="2">
        <f t="shared" si="14"/>
        <v>186</v>
      </c>
      <c r="I189" s="4">
        <v>228992.59517549368</v>
      </c>
      <c r="J189" s="6">
        <v>112382.55587907686</v>
      </c>
      <c r="K189" s="2">
        <v>160420.61314932295</v>
      </c>
      <c r="L189" s="2">
        <v>204057.37526749374</v>
      </c>
      <c r="M189" s="2">
        <v>180928.18812460615</v>
      </c>
      <c r="N189" s="3">
        <f t="shared" si="15"/>
        <v>231156.11193821378</v>
      </c>
      <c r="O189" s="5">
        <f t="shared" si="16"/>
        <v>113654.60600866703</v>
      </c>
      <c r="P189" s="3">
        <f t="shared" si="17"/>
        <v>135.65030087024866</v>
      </c>
      <c r="Q189" s="3">
        <f t="shared" si="18"/>
        <v>231156.11193821378</v>
      </c>
      <c r="R189" s="5">
        <f t="shared" si="19"/>
        <v>150.14307574443708</v>
      </c>
      <c r="S189" s="5">
        <f t="shared" si="20"/>
        <v>113654.60600866703</v>
      </c>
    </row>
    <row r="190" spans="1:19">
      <c r="A190">
        <v>187</v>
      </c>
      <c r="B190" s="2">
        <v>262.28169014084511</v>
      </c>
      <c r="C190" s="2">
        <v>131.14084507042256</v>
      </c>
      <c r="D190" s="2">
        <v>128.71982465512789</v>
      </c>
      <c r="E190" s="2">
        <v>183.7412669086076</v>
      </c>
      <c r="F190" s="2">
        <v>233.72158924984581</v>
      </c>
      <c r="G190" s="2">
        <v>207.23006758832042</v>
      </c>
      <c r="H190" s="2">
        <f t="shared" si="14"/>
        <v>187</v>
      </c>
      <c r="I190" s="4">
        <v>229254.87686563452</v>
      </c>
      <c r="J190" s="6">
        <v>112511.27570373198</v>
      </c>
      <c r="K190" s="2">
        <v>160604.35441623157</v>
      </c>
      <c r="L190" s="2">
        <v>204291.09685674359</v>
      </c>
      <c r="M190" s="2">
        <v>181135.41819219448</v>
      </c>
      <c r="N190" s="3">
        <f t="shared" si="15"/>
        <v>231409.24354525952</v>
      </c>
      <c r="O190" s="5">
        <f t="shared" si="16"/>
        <v>113791.00106674976</v>
      </c>
      <c r="P190" s="3">
        <f t="shared" si="17"/>
        <v>136.16189457627155</v>
      </c>
      <c r="Q190" s="3">
        <f t="shared" si="18"/>
        <v>231409.24354525952</v>
      </c>
      <c r="R190" s="5">
        <f t="shared" si="19"/>
        <v>150.7832789555265</v>
      </c>
      <c r="S190" s="5">
        <f t="shared" si="20"/>
        <v>113791.00106674976</v>
      </c>
    </row>
    <row r="191" spans="1:19">
      <c r="A191">
        <v>188</v>
      </c>
      <c r="B191" s="2">
        <v>260.90367775831874</v>
      </c>
      <c r="C191" s="2">
        <v>130.45183887915937</v>
      </c>
      <c r="D191" s="2">
        <v>128.04353836096794</v>
      </c>
      <c r="E191" s="2">
        <v>182.77590123308087</v>
      </c>
      <c r="F191" s="2">
        <v>232.49362993679924</v>
      </c>
      <c r="G191" s="2">
        <v>206.14129315265501</v>
      </c>
      <c r="H191" s="2">
        <f t="shared" si="14"/>
        <v>188</v>
      </c>
      <c r="I191" s="4">
        <v>229515.78054339284</v>
      </c>
      <c r="J191" s="6">
        <v>112639.31924209296</v>
      </c>
      <c r="K191" s="2">
        <v>160787.13031746465</v>
      </c>
      <c r="L191" s="2">
        <v>204523.59048668039</v>
      </c>
      <c r="M191" s="2">
        <v>181341.55948534713</v>
      </c>
      <c r="N191" s="3">
        <f t="shared" si="15"/>
        <v>231660.59950414451</v>
      </c>
      <c r="O191" s="5">
        <f t="shared" si="16"/>
        <v>113926.5310263828</v>
      </c>
      <c r="P191" s="3">
        <f t="shared" si="17"/>
        <v>136.6716530675738</v>
      </c>
      <c r="Q191" s="3">
        <f t="shared" si="18"/>
        <v>231660.59950414451</v>
      </c>
      <c r="R191" s="5">
        <f t="shared" si="19"/>
        <v>151.42195310360543</v>
      </c>
      <c r="S191" s="5">
        <f t="shared" si="20"/>
        <v>113926.5310263828</v>
      </c>
    </row>
    <row r="192" spans="1:19">
      <c r="A192">
        <v>189</v>
      </c>
      <c r="B192" s="2">
        <v>259.54006968641119</v>
      </c>
      <c r="C192" s="2">
        <v>129.77003484320559</v>
      </c>
      <c r="D192" s="2">
        <v>127.37432126152044</v>
      </c>
      <c r="E192" s="2">
        <v>181.82062648796014</v>
      </c>
      <c r="F192" s="2">
        <v>231.27850643538747</v>
      </c>
      <c r="G192" s="2">
        <v>205.06389963443553</v>
      </c>
      <c r="H192" s="2">
        <f t="shared" si="14"/>
        <v>189</v>
      </c>
      <c r="I192" s="4">
        <v>229775.32061307927</v>
      </c>
      <c r="J192" s="6">
        <v>112766.69356335448</v>
      </c>
      <c r="K192" s="2">
        <v>160968.9509439526</v>
      </c>
      <c r="L192" s="2">
        <v>204754.86899311579</v>
      </c>
      <c r="M192" s="2">
        <v>181546.62338498156</v>
      </c>
      <c r="N192" s="3">
        <f t="shared" si="15"/>
        <v>231910.19812942238</v>
      </c>
      <c r="O192" s="5">
        <f t="shared" si="16"/>
        <v>114061.20460760067</v>
      </c>
      <c r="P192" s="3">
        <f t="shared" si="17"/>
        <v>137.17958292753011</v>
      </c>
      <c r="Q192" s="3">
        <f t="shared" si="18"/>
        <v>231910.19812942238</v>
      </c>
      <c r="R192" s="5">
        <f t="shared" si="19"/>
        <v>152.05910184069199</v>
      </c>
      <c r="S192" s="5">
        <f t="shared" si="20"/>
        <v>114061.20460760067</v>
      </c>
    </row>
    <row r="193" spans="1:19">
      <c r="A193">
        <v>190</v>
      </c>
      <c r="B193" s="2">
        <v>258.19064124783364</v>
      </c>
      <c r="C193" s="2">
        <v>129.09532062391682</v>
      </c>
      <c r="D193" s="2">
        <v>126.71206309204962</v>
      </c>
      <c r="E193" s="2">
        <v>180.87528527571772</v>
      </c>
      <c r="F193" s="2">
        <v>230.07601853364366</v>
      </c>
      <c r="G193" s="2">
        <v>203.99770951501907</v>
      </c>
      <c r="H193" s="2">
        <f t="shared" si="14"/>
        <v>190</v>
      </c>
      <c r="I193" s="4">
        <v>230033.51125432711</v>
      </c>
      <c r="J193" s="6">
        <v>112893.40562644653</v>
      </c>
      <c r="K193" s="2">
        <v>161149.82622922832</v>
      </c>
      <c r="L193" s="2">
        <v>204984.94501164943</v>
      </c>
      <c r="M193" s="2">
        <v>181750.62109449657</v>
      </c>
      <c r="N193" s="3">
        <f t="shared" si="15"/>
        <v>232158.05746592145</v>
      </c>
      <c r="O193" s="5">
        <f t="shared" si="16"/>
        <v>114195.030402321</v>
      </c>
      <c r="P193" s="3">
        <f t="shared" si="17"/>
        <v>137.685690715899</v>
      </c>
      <c r="Q193" s="3">
        <f t="shared" si="18"/>
        <v>232158.05746592145</v>
      </c>
      <c r="R193" s="5">
        <f t="shared" si="19"/>
        <v>152.69472881008176</v>
      </c>
      <c r="S193" s="5">
        <f t="shared" si="20"/>
        <v>114195.030402321</v>
      </c>
    </row>
    <row r="194" spans="1:19">
      <c r="A194">
        <v>191</v>
      </c>
      <c r="B194" s="2">
        <v>256.85517241379313</v>
      </c>
      <c r="C194" s="2">
        <v>128.42758620689656</v>
      </c>
      <c r="D194" s="2">
        <v>126.05665586915987</v>
      </c>
      <c r="E194" s="2">
        <v>179.93972345532615</v>
      </c>
      <c r="F194" s="2">
        <v>228.88597016191798</v>
      </c>
      <c r="G194" s="2">
        <v>202.94254894856218</v>
      </c>
      <c r="H194" s="2">
        <f t="shared" si="14"/>
        <v>191</v>
      </c>
      <c r="I194" s="4">
        <v>230290.36642674089</v>
      </c>
      <c r="J194" s="6">
        <v>113019.4622823157</v>
      </c>
      <c r="K194" s="2">
        <v>161329.76595268364</v>
      </c>
      <c r="L194" s="2">
        <v>205213.83098181133</v>
      </c>
      <c r="M194" s="2">
        <v>181953.56364344514</v>
      </c>
      <c r="N194" s="3">
        <f t="shared" si="15"/>
        <v>232404.19529401779</v>
      </c>
      <c r="O194" s="5">
        <f t="shared" si="16"/>
        <v>114328.01687684964</v>
      </c>
      <c r="P194" s="3">
        <f t="shared" si="17"/>
        <v>138.1899829689074</v>
      </c>
      <c r="Q194" s="3">
        <f t="shared" si="18"/>
        <v>232404.19529401779</v>
      </c>
      <c r="R194" s="5">
        <f t="shared" si="19"/>
        <v>153.32883764636861</v>
      </c>
      <c r="S194" s="5">
        <f t="shared" si="20"/>
        <v>114328.01687684964</v>
      </c>
    </row>
    <row r="195" spans="1:19">
      <c r="A195">
        <v>192</v>
      </c>
      <c r="B195" s="2">
        <v>255.53344768439112</v>
      </c>
      <c r="C195" s="2">
        <v>127.76672384219556</v>
      </c>
      <c r="D195" s="2">
        <v>125.40799383209732</v>
      </c>
      <c r="E195" s="2">
        <v>179.01379005847193</v>
      </c>
      <c r="F195" s="2">
        <v>227.70816928629918</v>
      </c>
      <c r="G195" s="2">
        <v>201.89824766752315</v>
      </c>
      <c r="H195" s="2">
        <f t="shared" si="14"/>
        <v>192</v>
      </c>
      <c r="I195" s="4">
        <v>230545.89987442529</v>
      </c>
      <c r="J195" s="6">
        <v>113144.87027614779</v>
      </c>
      <c r="K195" s="2">
        <v>161508.7797427421</v>
      </c>
      <c r="L195" s="2">
        <v>205441.53915109762</v>
      </c>
      <c r="M195" s="2">
        <v>182155.46189111267</v>
      </c>
      <c r="N195" s="3">
        <f t="shared" si="15"/>
        <v>232648.62913478012</v>
      </c>
      <c r="O195" s="5">
        <f t="shared" si="16"/>
        <v>114460.17237432439</v>
      </c>
      <c r="P195" s="3">
        <f t="shared" si="17"/>
        <v>138.69246619933534</v>
      </c>
      <c r="Q195" s="3">
        <f t="shared" si="18"/>
        <v>232648.62913478012</v>
      </c>
      <c r="R195" s="5">
        <f t="shared" si="19"/>
        <v>153.96143197546559</v>
      </c>
      <c r="S195" s="5">
        <f t="shared" si="20"/>
        <v>114460.17237432439</v>
      </c>
    </row>
    <row r="196" spans="1:19">
      <c r="A196">
        <v>193</v>
      </c>
      <c r="B196" s="2">
        <v>254.22525597269629</v>
      </c>
      <c r="C196" s="2">
        <v>127.11262798634814</v>
      </c>
      <c r="D196" s="2">
        <v>124.76597338585788</v>
      </c>
      <c r="E196" s="2">
        <v>178.0973372083433</v>
      </c>
      <c r="F196" s="2">
        <v>226.54242780531126</v>
      </c>
      <c r="G196" s="2">
        <v>200.86463889106832</v>
      </c>
      <c r="H196" s="2">
        <f t="shared" si="14"/>
        <v>193</v>
      </c>
      <c r="I196" s="4">
        <v>230800.125130398</v>
      </c>
      <c r="J196" s="6">
        <v>113269.63624953365</v>
      </c>
      <c r="K196" s="2">
        <v>161686.87707995044</v>
      </c>
      <c r="L196" s="2">
        <v>205668.08157890293</v>
      </c>
      <c r="M196" s="2">
        <v>182356.32653000375</v>
      </c>
      <c r="N196" s="3">
        <f t="shared" si="15"/>
        <v>232891.37625498851</v>
      </c>
      <c r="O196" s="5">
        <f t="shared" si="16"/>
        <v>114591.50511709938</v>
      </c>
      <c r="P196" s="3">
        <f t="shared" si="17"/>
        <v>139.19314689659973</v>
      </c>
      <c r="Q196" s="3">
        <f t="shared" si="18"/>
        <v>232891.37625498851</v>
      </c>
      <c r="R196" s="5">
        <f t="shared" si="19"/>
        <v>154.59251541462561</v>
      </c>
      <c r="S196" s="5">
        <f t="shared" si="20"/>
        <v>114591.50511709938</v>
      </c>
    </row>
    <row r="197" spans="1:19">
      <c r="A197">
        <v>194</v>
      </c>
      <c r="B197" s="2">
        <v>252.93039049235995</v>
      </c>
      <c r="C197" s="2">
        <v>126.46519524617997</v>
      </c>
      <c r="D197" s="2">
        <v>124.13049304603172</v>
      </c>
      <c r="E197" s="2">
        <v>177.19022004089837</v>
      </c>
      <c r="F197" s="2">
        <v>225.3885614497664</v>
      </c>
      <c r="G197" s="2">
        <v>199.84155923627512</v>
      </c>
      <c r="H197" s="2">
        <f t="shared" ref="H197:H260" si="21">+$A197</f>
        <v>194</v>
      </c>
      <c r="I197" s="4">
        <v>231053.05552089037</v>
      </c>
      <c r="J197" s="6">
        <v>113393.76674257968</v>
      </c>
      <c r="K197" s="2">
        <v>161864.06729999135</v>
      </c>
      <c r="L197" s="2">
        <v>205893.4701403527</v>
      </c>
      <c r="M197" s="2">
        <v>182556.16808924003</v>
      </c>
      <c r="N197" s="3">
        <f t="shared" ref="N197:N260" si="22">+$Q197</f>
        <v>233132.45367203234</v>
      </c>
      <c r="O197" s="5">
        <f t="shared" ref="O197:O260" si="23">+$S197</f>
        <v>114722.02320907135</v>
      </c>
      <c r="P197" s="3">
        <f t="shared" ref="P197:P260" si="24">+(1-EXP(-$P$2*$H197))/$P$2</f>
        <v>139.69203152683838</v>
      </c>
      <c r="Q197" s="3">
        <f t="shared" ref="Q197:Q260" si="25">+$Q$2/(1+1/SQRT($Q$3*$P197))</f>
        <v>233132.45367203234</v>
      </c>
      <c r="R197" s="5">
        <f t="shared" ref="R197:R260" si="26">+(1-EXP(-$R$2*$H197))/$R$2</f>
        <v>155.22209157246212</v>
      </c>
      <c r="S197" s="5">
        <f t="shared" ref="S197:S260" si="27">+$S$2/(1+1/SQRT($S$3*$R197))</f>
        <v>114722.02320907135</v>
      </c>
    </row>
    <row r="198" spans="1:19">
      <c r="A198">
        <v>195</v>
      </c>
      <c r="B198" s="2">
        <v>251.64864864864867</v>
      </c>
      <c r="C198" s="2">
        <v>125.82432432432434</v>
      </c>
      <c r="D198" s="2">
        <v>123.50145338532553</v>
      </c>
      <c r="E198" s="2">
        <v>176.29229662852896</v>
      </c>
      <c r="F198" s="2">
        <v>224.24638968566288</v>
      </c>
      <c r="G198" s="2">
        <v>198.82884863203731</v>
      </c>
      <c r="H198" s="2">
        <f t="shared" si="21"/>
        <v>195</v>
      </c>
      <c r="I198" s="4">
        <v>231304.70416953901</v>
      </c>
      <c r="J198" s="6">
        <v>113517.26819596501</v>
      </c>
      <c r="K198" s="2">
        <v>162040.35959661988</v>
      </c>
      <c r="L198" s="2">
        <v>206117.71653003836</v>
      </c>
      <c r="M198" s="2">
        <v>182754.99693787206</v>
      </c>
      <c r="N198" s="3">
        <f t="shared" si="22"/>
        <v>233371.87815868988</v>
      </c>
      <c r="O198" s="5">
        <f t="shared" si="23"/>
        <v>114851.73463795026</v>
      </c>
      <c r="P198" s="3">
        <f t="shared" si="24"/>
        <v>140.18912653299341</v>
      </c>
      <c r="Q198" s="3">
        <f t="shared" si="25"/>
        <v>233371.87815868988</v>
      </c>
      <c r="R198" s="5">
        <f t="shared" si="26"/>
        <v>155.85016404896976</v>
      </c>
      <c r="S198" s="5">
        <f t="shared" si="27"/>
        <v>114851.73463795026</v>
      </c>
    </row>
    <row r="199" spans="1:19">
      <c r="A199">
        <v>196</v>
      </c>
      <c r="B199" s="2">
        <v>250.3798319327731</v>
      </c>
      <c r="C199" s="2">
        <v>125.18991596638655</v>
      </c>
      <c r="D199" s="2">
        <v>122.87875698170193</v>
      </c>
      <c r="E199" s="2">
        <v>175.40342790603205</v>
      </c>
      <c r="F199" s="2">
        <v>223.11573562002076</v>
      </c>
      <c r="G199" s="2">
        <v>197.82635023557305</v>
      </c>
      <c r="H199" s="2">
        <f t="shared" si="21"/>
        <v>196</v>
      </c>
      <c r="I199" s="4">
        <v>231555.08400147178</v>
      </c>
      <c r="J199" s="6">
        <v>113640.14695294671</v>
      </c>
      <c r="K199" s="2">
        <v>162215.76302452592</v>
      </c>
      <c r="L199" s="2">
        <v>206340.83226565839</v>
      </c>
      <c r="M199" s="2">
        <v>182952.82328810764</v>
      </c>
      <c r="N199" s="3">
        <f t="shared" si="22"/>
        <v>233609.6662477935</v>
      </c>
      <c r="O199" s="5">
        <f t="shared" si="23"/>
        <v>114980.64727747503</v>
      </c>
      <c r="P199" s="3">
        <f t="shared" si="24"/>
        <v>140.68443833489451</v>
      </c>
      <c r="Q199" s="3">
        <f t="shared" si="25"/>
        <v>233609.6662477935</v>
      </c>
      <c r="R199" s="5">
        <f t="shared" si="26"/>
        <v>156.47673643554484</v>
      </c>
      <c r="S199" s="5">
        <f t="shared" si="27"/>
        <v>114980.64727747503</v>
      </c>
    </row>
    <row r="200" spans="1:19">
      <c r="A200">
        <v>197</v>
      </c>
      <c r="B200" s="2">
        <v>249.12374581939804</v>
      </c>
      <c r="C200" s="2">
        <v>124.56187290969902</v>
      </c>
      <c r="D200" s="2">
        <v>122.26230836808136</v>
      </c>
      <c r="E200" s="2">
        <v>174.52347759881124</v>
      </c>
      <c r="F200" s="2">
        <v>221.99642590955253</v>
      </c>
      <c r="G200" s="2">
        <v>196.8339103514482</v>
      </c>
      <c r="H200" s="2">
        <f t="shared" si="21"/>
        <v>197</v>
      </c>
      <c r="I200" s="4">
        <v>231804.20774729119</v>
      </c>
      <c r="J200" s="6">
        <v>113762.4092613148</v>
      </c>
      <c r="K200" s="2">
        <v>162390.28650212474</v>
      </c>
      <c r="L200" s="2">
        <v>206562.82869156793</v>
      </c>
      <c r="M200" s="2">
        <v>183149.65719845908</v>
      </c>
      <c r="N200" s="3">
        <f t="shared" si="22"/>
        <v>233845.83423678332</v>
      </c>
      <c r="O200" s="5">
        <f t="shared" si="23"/>
        <v>115108.76888957692</v>
      </c>
      <c r="P200" s="3">
        <f t="shared" si="24"/>
        <v>141.1779733293418</v>
      </c>
      <c r="Q200" s="3">
        <f t="shared" si="25"/>
        <v>233845.83423678332</v>
      </c>
      <c r="R200" s="5">
        <f t="shared" si="26"/>
        <v>157.10181231500619</v>
      </c>
      <c r="S200" s="5">
        <f t="shared" si="27"/>
        <v>115108.76888957692</v>
      </c>
    </row>
    <row r="201" spans="1:19">
      <c r="A201">
        <v>198</v>
      </c>
      <c r="B201" s="2">
        <v>247.88019966722132</v>
      </c>
      <c r="C201" s="2">
        <v>123.94009983361066</v>
      </c>
      <c r="D201" s="2">
        <v>121.65201398354866</v>
      </c>
      <c r="E201" s="2">
        <v>173.65231215322649</v>
      </c>
      <c r="F201" s="2">
        <v>220.88829067206726</v>
      </c>
      <c r="G201" s="2">
        <v>195.85137835302169</v>
      </c>
      <c r="H201" s="2">
        <f t="shared" si="21"/>
        <v>198</v>
      </c>
      <c r="I201" s="4">
        <v>232052.0879469584</v>
      </c>
      <c r="J201" s="6">
        <v>113884.06127529834</v>
      </c>
      <c r="K201" s="2">
        <v>162563.93881427796</v>
      </c>
      <c r="L201" s="2">
        <v>206783.71698224</v>
      </c>
      <c r="M201" s="2">
        <v>183345.50857681211</v>
      </c>
      <c r="N201" s="3">
        <f t="shared" si="22"/>
        <v>234080.39819215334</v>
      </c>
      <c r="O201" s="5">
        <f t="shared" si="23"/>
        <v>115236.10712649097</v>
      </c>
      <c r="P201" s="3">
        <f t="shared" si="24"/>
        <v>141.66973789018854</v>
      </c>
      <c r="Q201" s="3">
        <f t="shared" si="25"/>
        <v>234080.39819215334</v>
      </c>
      <c r="R201" s="5">
        <f t="shared" si="26"/>
        <v>157.72539526161512</v>
      </c>
      <c r="S201" s="5">
        <f t="shared" si="27"/>
        <v>115236.10712649097</v>
      </c>
    </row>
    <row r="202" spans="1:19">
      <c r="A202">
        <v>199</v>
      </c>
      <c r="B202" s="2">
        <v>246.64900662251659</v>
      </c>
      <c r="C202" s="2">
        <v>123.3245033112583</v>
      </c>
      <c r="D202" s="2">
        <v>121.04778212601433</v>
      </c>
      <c r="E202" s="2">
        <v>172.78980066902173</v>
      </c>
      <c r="F202" s="2">
        <v>219.79116340051726</v>
      </c>
      <c r="G202" s="2">
        <v>194.87860660623517</v>
      </c>
      <c r="H202" s="2">
        <f t="shared" si="21"/>
        <v>199</v>
      </c>
      <c r="I202" s="4">
        <v>232298.73695358093</v>
      </c>
      <c r="J202" s="6">
        <v>114005.10905742436</v>
      </c>
      <c r="K202" s="2">
        <v>162736.72861494697</v>
      </c>
      <c r="L202" s="2">
        <v>207003.50814564052</v>
      </c>
      <c r="M202" s="2">
        <v>183540.38718341835</v>
      </c>
      <c r="N202" s="3">
        <f t="shared" si="22"/>
        <v>234313.37395379174</v>
      </c>
      <c r="O202" s="5">
        <f t="shared" si="23"/>
        <v>115362.66953281788</v>
      </c>
      <c r="P202" s="3">
        <f t="shared" si="24"/>
        <v>142.1597383684234</v>
      </c>
      <c r="Q202" s="3">
        <f t="shared" si="25"/>
        <v>234313.37395379174</v>
      </c>
      <c r="R202" s="5">
        <f t="shared" si="26"/>
        <v>158.34748884109646</v>
      </c>
      <c r="S202" s="5">
        <f t="shared" si="27"/>
        <v>115362.66953281788</v>
      </c>
    </row>
    <row r="203" spans="1:19">
      <c r="A203">
        <v>200</v>
      </c>
      <c r="B203" s="2">
        <v>245.42998352553548</v>
      </c>
      <c r="C203" s="2">
        <v>122.71499176276774</v>
      </c>
      <c r="D203" s="2">
        <v>120.44952290628117</v>
      </c>
      <c r="E203" s="2">
        <v>171.93581483375473</v>
      </c>
      <c r="F203" s="2">
        <v>218.7048808795922</v>
      </c>
      <c r="G203" s="2">
        <v>193.91545039566068</v>
      </c>
      <c r="H203" s="2">
        <f t="shared" si="21"/>
        <v>200</v>
      </c>
      <c r="I203" s="4">
        <v>232544.16693710646</v>
      </c>
      <c r="J203" s="6">
        <v>114125.55858033063</v>
      </c>
      <c r="K203" s="2">
        <v>162908.66442978074</v>
      </c>
      <c r="L203" s="2">
        <v>207222.2130265201</v>
      </c>
      <c r="M203" s="2">
        <v>183734.30263381402</v>
      </c>
      <c r="N203" s="3">
        <f t="shared" si="22"/>
        <v>234544.77713921995</v>
      </c>
      <c r="O203" s="5">
        <f t="shared" si="23"/>
        <v>115488.46354753744</v>
      </c>
      <c r="P203" s="3">
        <f t="shared" si="24"/>
        <v>142.64798109225234</v>
      </c>
      <c r="Q203" s="3">
        <f t="shared" si="25"/>
        <v>234544.77713921995</v>
      </c>
      <c r="R203" s="5">
        <f t="shared" si="26"/>
        <v>158.96809661065842</v>
      </c>
      <c r="S203" s="5">
        <f t="shared" si="27"/>
        <v>115488.46354753744</v>
      </c>
    </row>
    <row r="204" spans="1:19">
      <c r="A204">
        <v>201</v>
      </c>
      <c r="B204" s="2">
        <v>244.22295081967215</v>
      </c>
      <c r="C204" s="2">
        <v>122.11147540983607</v>
      </c>
      <c r="D204" s="2">
        <v>119.85714820346331</v>
      </c>
      <c r="E204" s="2">
        <v>171.09022885916241</v>
      </c>
      <c r="F204" s="2">
        <v>217.6292831047744</v>
      </c>
      <c r="G204" s="2">
        <v>192.96176785273116</v>
      </c>
      <c r="H204" s="2">
        <f t="shared" si="21"/>
        <v>201</v>
      </c>
      <c r="I204" s="4">
        <v>232788.38988792614</v>
      </c>
      <c r="J204" s="6">
        <v>114245.41572853409</v>
      </c>
      <c r="K204" s="2">
        <v>163079.7546586399</v>
      </c>
      <c r="L204" s="2">
        <v>207439.84230962486</v>
      </c>
      <c r="M204" s="2">
        <v>183927.26440166676</v>
      </c>
      <c r="N204" s="3">
        <f t="shared" si="22"/>
        <v>234774.62314773226</v>
      </c>
      <c r="O204" s="5">
        <f t="shared" si="23"/>
        <v>115613.49650597463</v>
      </c>
      <c r="P204" s="3">
        <f t="shared" si="24"/>
        <v>143.13447236718054</v>
      </c>
      <c r="Q204" s="3">
        <f t="shared" si="25"/>
        <v>234774.62314773226</v>
      </c>
      <c r="R204" s="5">
        <f t="shared" si="26"/>
        <v>159.5872221190134</v>
      </c>
      <c r="S204" s="5">
        <f t="shared" si="27"/>
        <v>115613.49650597463</v>
      </c>
    </row>
    <row r="205" spans="1:19">
      <c r="A205">
        <v>202</v>
      </c>
      <c r="B205" s="2">
        <v>243.02773246329531</v>
      </c>
      <c r="C205" s="2">
        <v>121.51386623164765</v>
      </c>
      <c r="D205" s="2">
        <v>119.27057162171731</v>
      </c>
      <c r="E205" s="2">
        <v>170.25291941939503</v>
      </c>
      <c r="F205" s="2">
        <v>216.56421320377228</v>
      </c>
      <c r="G205" s="2">
        <v>192.01741988607839</v>
      </c>
      <c r="H205" s="2">
        <f t="shared" si="21"/>
        <v>202</v>
      </c>
      <c r="I205" s="4">
        <v>233031.41762038943</v>
      </c>
      <c r="J205" s="6">
        <v>114364.68630015581</v>
      </c>
      <c r="K205" s="2">
        <v>163250.0075780593</v>
      </c>
      <c r="L205" s="2">
        <v>207656.40652282862</v>
      </c>
      <c r="M205" s="2">
        <v>184119.28182155284</v>
      </c>
      <c r="N205" s="3">
        <f t="shared" si="22"/>
        <v>235002.927164439</v>
      </c>
      <c r="O205" s="5">
        <f t="shared" si="23"/>
        <v>115737.77564171994</v>
      </c>
      <c r="P205" s="3">
        <f t="shared" si="24"/>
        <v>143.61921847609381</v>
      </c>
      <c r="Q205" s="3">
        <f t="shared" si="25"/>
        <v>235002.927164439</v>
      </c>
      <c r="R205" s="5">
        <f t="shared" si="26"/>
        <v>160.20486890639776</v>
      </c>
      <c r="S205" s="5">
        <f t="shared" si="27"/>
        <v>115737.77564171994</v>
      </c>
    </row>
    <row r="206" spans="1:19">
      <c r="A206">
        <v>203</v>
      </c>
      <c r="B206" s="2">
        <v>241.84415584415589</v>
      </c>
      <c r="C206" s="2">
        <v>120.92207792207795</v>
      </c>
      <c r="D206" s="2">
        <v>118.68970844823501</v>
      </c>
      <c r="E206" s="2">
        <v>169.42376559105389</v>
      </c>
      <c r="F206" s="2">
        <v>215.50951736024749</v>
      </c>
      <c r="G206" s="2">
        <v>191.08227011390599</v>
      </c>
      <c r="H206" s="2">
        <f t="shared" si="21"/>
        <v>203</v>
      </c>
      <c r="I206" s="4">
        <v>233273.26177623359</v>
      </c>
      <c r="J206" s="6">
        <v>114483.37600860404</v>
      </c>
      <c r="K206" s="2">
        <v>163419.43134365036</v>
      </c>
      <c r="L206" s="2">
        <v>207871.91604018887</v>
      </c>
      <c r="M206" s="2">
        <v>184310.36409166674</v>
      </c>
      <c r="N206" s="3">
        <f t="shared" si="22"/>
        <v>235229.70416421583</v>
      </c>
      <c r="O206" s="5">
        <f t="shared" si="23"/>
        <v>115861.30808850551</v>
      </c>
      <c r="P206" s="3">
        <f t="shared" si="24"/>
        <v>144.10222567933957</v>
      </c>
      <c r="Q206" s="3">
        <f t="shared" si="25"/>
        <v>235229.70416421583</v>
      </c>
      <c r="R206" s="5">
        <f t="shared" si="26"/>
        <v>160.82104050459259</v>
      </c>
      <c r="S206" s="5">
        <f t="shared" si="27"/>
        <v>115861.30808850551</v>
      </c>
    </row>
    <row r="207" spans="1:19">
      <c r="A207">
        <v>204</v>
      </c>
      <c r="B207" s="2">
        <v>240.67205169628434</v>
      </c>
      <c r="C207" s="2">
        <v>120.33602584814217</v>
      </c>
      <c r="D207" s="2">
        <v>118.11447561245997</v>
      </c>
      <c r="E207" s="2">
        <v>168.60264879497439</v>
      </c>
      <c r="F207" s="2">
        <v>214.46504473976157</v>
      </c>
      <c r="G207" s="2">
        <v>190.15618479832966</v>
      </c>
      <c r="H207" s="2">
        <f t="shared" si="21"/>
        <v>204</v>
      </c>
      <c r="I207" s="4">
        <v>233513.93382792987</v>
      </c>
      <c r="J207" s="6">
        <v>114601.4904842165</v>
      </c>
      <c r="K207" s="2">
        <v>163588.03399244533</v>
      </c>
      <c r="L207" s="2">
        <v>208086.38108492864</v>
      </c>
      <c r="M207" s="2">
        <v>184500.52027646507</v>
      </c>
      <c r="N207" s="3">
        <f t="shared" si="22"/>
        <v>235454.96891556273</v>
      </c>
      <c r="O207" s="5">
        <f t="shared" si="23"/>
        <v>115984.10088203756</v>
      </c>
      <c r="P207" s="3">
        <f t="shared" si="24"/>
        <v>144.58350021480783</v>
      </c>
      <c r="Q207" s="3">
        <f t="shared" si="25"/>
        <v>235454.96891556273</v>
      </c>
      <c r="R207" s="5">
        <f t="shared" si="26"/>
        <v>161.43574043694355</v>
      </c>
      <c r="S207" s="5">
        <f t="shared" si="27"/>
        <v>115984.10088203756</v>
      </c>
    </row>
    <row r="208" spans="1:19">
      <c r="A208">
        <v>205</v>
      </c>
      <c r="B208" s="2">
        <v>239.51125401929264</v>
      </c>
      <c r="C208" s="2">
        <v>119.75562700964632</v>
      </c>
      <c r="D208" s="2">
        <v>117.54479164648343</v>
      </c>
      <c r="E208" s="2">
        <v>167.78945273969316</v>
      </c>
      <c r="F208" s="2">
        <v>213.4306474178656</v>
      </c>
      <c r="G208" s="2">
        <v>189.23903278161742</v>
      </c>
      <c r="H208" s="2">
        <f t="shared" si="21"/>
        <v>205</v>
      </c>
      <c r="I208" s="4">
        <v>233753.44508194915</v>
      </c>
      <c r="J208" s="6">
        <v>114719.03527586297</v>
      </c>
      <c r="K208" s="2">
        <v>163755.82344518503</v>
      </c>
      <c r="L208" s="2">
        <v>208299.81173234651</v>
      </c>
      <c r="M208" s="2">
        <v>184689.7593092467</v>
      </c>
      <c r="N208" s="3">
        <f t="shared" si="22"/>
        <v>235678.73598437387</v>
      </c>
      <c r="O208" s="5">
        <f t="shared" si="23"/>
        <v>116106.16096178695</v>
      </c>
      <c r="P208" s="3">
        <f t="shared" si="24"/>
        <v>145.06304829801181</v>
      </c>
      <c r="Q208" s="3">
        <f t="shared" si="25"/>
        <v>235678.73598437387</v>
      </c>
      <c r="R208" s="5">
        <f t="shared" si="26"/>
        <v>162.04897221838118</v>
      </c>
      <c r="S208" s="5">
        <f t="shared" si="27"/>
        <v>116106.16096178695</v>
      </c>
    </row>
    <row r="209" spans="1:19">
      <c r="A209">
        <v>206</v>
      </c>
      <c r="B209" s="2">
        <v>238.36160000000001</v>
      </c>
      <c r="C209" s="2">
        <v>119.1808</v>
      </c>
      <c r="D209" s="2">
        <v>116.98057664658029</v>
      </c>
      <c r="E209" s="2">
        <v>166.98406336654261</v>
      </c>
      <c r="F209" s="2">
        <v>212.40618031025986</v>
      </c>
      <c r="G209" s="2">
        <v>188.33068542426565</v>
      </c>
      <c r="H209" s="2">
        <f t="shared" si="21"/>
        <v>206</v>
      </c>
      <c r="I209" s="4">
        <v>233991.80668194915</v>
      </c>
      <c r="J209" s="6">
        <v>114836.01585250956</v>
      </c>
      <c r="K209" s="2">
        <v>163922.80750855157</v>
      </c>
      <c r="L209" s="2">
        <v>208512.21791265678</v>
      </c>
      <c r="M209" s="2">
        <v>184878.08999467097</v>
      </c>
      <c r="N209" s="3">
        <f t="shared" si="22"/>
        <v>235901.01973762104</v>
      </c>
      <c r="O209" s="5">
        <f t="shared" si="23"/>
        <v>116227.49517273904</v>
      </c>
      <c r="P209" s="3">
        <f t="shared" si="24"/>
        <v>145.54087612216802</v>
      </c>
      <c r="Q209" s="3">
        <f t="shared" si="25"/>
        <v>235901.01973762104</v>
      </c>
      <c r="R209" s="5">
        <f t="shared" si="26"/>
        <v>162.66073935544094</v>
      </c>
      <c r="S209" s="5">
        <f t="shared" si="27"/>
        <v>116227.49517273904</v>
      </c>
    </row>
    <row r="210" spans="1:19">
      <c r="A210">
        <v>207</v>
      </c>
      <c r="B210" s="2">
        <v>237.22292993630577</v>
      </c>
      <c r="C210" s="2">
        <v>118.61146496815289</v>
      </c>
      <c r="D210" s="2">
        <v>116.42175223584822</v>
      </c>
      <c r="E210" s="2">
        <v>166.18636879632024</v>
      </c>
      <c r="F210" s="2">
        <v>211.39150110495603</v>
      </c>
      <c r="G210" s="2">
        <v>187.43101654485034</v>
      </c>
      <c r="H210" s="2">
        <f t="shared" si="21"/>
        <v>207</v>
      </c>
      <c r="I210" s="4">
        <v>234229.02961188546</v>
      </c>
      <c r="J210" s="6">
        <v>114952.43760474541</v>
      </c>
      <c r="K210" s="2">
        <v>164088.99387734791</v>
      </c>
      <c r="L210" s="2">
        <v>208723.60941376173</v>
      </c>
      <c r="M210" s="2">
        <v>185065.52101121581</v>
      </c>
      <c r="N210" s="3">
        <f t="shared" si="22"/>
        <v>236121.83434695445</v>
      </c>
      <c r="O210" s="5">
        <f t="shared" si="23"/>
        <v>116348.11026710317</v>
      </c>
      <c r="P210" s="3">
        <f t="shared" si="24"/>
        <v>146.01698985827642</v>
      </c>
      <c r="Q210" s="3">
        <f t="shared" si="25"/>
        <v>236121.83434695445</v>
      </c>
      <c r="R210" s="5">
        <f t="shared" si="26"/>
        <v>163.27104534628319</v>
      </c>
      <c r="S210" s="5">
        <f t="shared" si="27"/>
        <v>116348.11026710317</v>
      </c>
    </row>
    <row r="211" spans="1:19">
      <c r="A211">
        <v>208</v>
      </c>
      <c r="B211" s="2">
        <v>236.09508716323299</v>
      </c>
      <c r="C211" s="2">
        <v>118.04754358161649</v>
      </c>
      <c r="D211" s="2">
        <v>115.86824152791229</v>
      </c>
      <c r="E211" s="2">
        <v>165.39625927747886</v>
      </c>
      <c r="F211" s="2">
        <v>210.38647019637469</v>
      </c>
      <c r="G211" s="2">
        <v>186.53990236159441</v>
      </c>
      <c r="H211" s="2">
        <f t="shared" si="21"/>
        <v>208</v>
      </c>
      <c r="I211" s="4">
        <v>234465.1246990487</v>
      </c>
      <c r="J211" s="6">
        <v>115068.30584627333</v>
      </c>
      <c r="K211" s="2">
        <v>164254.39013662538</v>
      </c>
      <c r="L211" s="2">
        <v>208933.99588395809</v>
      </c>
      <c r="M211" s="2">
        <v>185252.06091357741</v>
      </c>
      <c r="N211" s="3">
        <f t="shared" si="22"/>
        <v>236341.1937922209</v>
      </c>
      <c r="O211" s="5">
        <f t="shared" si="23"/>
        <v>116468.0129059842</v>
      </c>
      <c r="P211" s="3">
        <f t="shared" si="24"/>
        <v>146.49139565519999</v>
      </c>
      <c r="Q211" s="3">
        <f t="shared" si="25"/>
        <v>236341.1937922209</v>
      </c>
      <c r="R211" s="5">
        <f t="shared" si="26"/>
        <v>163.87989368071345</v>
      </c>
      <c r="S211" s="5">
        <f t="shared" si="27"/>
        <v>116468.0129059842</v>
      </c>
    </row>
    <row r="212" spans="1:19">
      <c r="A212">
        <v>209</v>
      </c>
      <c r="B212" s="2">
        <v>234.97791798107255</v>
      </c>
      <c r="C212" s="2">
        <v>117.48895899053628</v>
      </c>
      <c r="D212" s="2">
        <v>115.31996909166033</v>
      </c>
      <c r="E212" s="2">
        <v>164.6136271357872</v>
      </c>
      <c r="F212" s="2">
        <v>209.39095062131287</v>
      </c>
      <c r="G212" s="2">
        <v>185.65722143559307</v>
      </c>
      <c r="H212" s="2">
        <f t="shared" si="21"/>
        <v>209</v>
      </c>
      <c r="I212" s="4">
        <v>234700.10261702977</v>
      </c>
      <c r="J212" s="6">
        <v>115183.625815365</v>
      </c>
      <c r="K212" s="2">
        <v>164419.00376376117</v>
      </c>
      <c r="L212" s="2">
        <v>209143.3868345794</v>
      </c>
      <c r="M212" s="2">
        <v>185437.71813501301</v>
      </c>
      <c r="N212" s="3">
        <f t="shared" si="22"/>
        <v>236559.11186490356</v>
      </c>
      <c r="O212" s="5">
        <f t="shared" si="23"/>
        <v>116587.20966101572</v>
      </c>
      <c r="P212" s="3">
        <f t="shared" si="24"/>
        <v>146.96409963974429</v>
      </c>
      <c r="Q212" s="3">
        <f t="shared" si="25"/>
        <v>236559.11186490356</v>
      </c>
      <c r="R212" s="5">
        <f t="shared" si="26"/>
        <v>164.48728784020196</v>
      </c>
      <c r="S212" s="5">
        <f t="shared" si="27"/>
        <v>116587.20966101572</v>
      </c>
    </row>
    <row r="213" spans="1:19">
      <c r="A213">
        <v>210</v>
      </c>
      <c r="B213" s="2">
        <v>233.87127158555734</v>
      </c>
      <c r="C213" s="2">
        <v>116.93563579277867</v>
      </c>
      <c r="D213" s="2">
        <v>114.77686091697446</v>
      </c>
      <c r="E213" s="2">
        <v>163.83836672541466</v>
      </c>
      <c r="F213" s="2">
        <v>208.40480799672281</v>
      </c>
      <c r="G213" s="2">
        <v>184.78285461564528</v>
      </c>
      <c r="H213" s="2">
        <f t="shared" si="21"/>
        <v>210</v>
      </c>
      <c r="I213" s="4">
        <v>234933.97388861532</v>
      </c>
      <c r="J213" s="6">
        <v>115298.40267628197</v>
      </c>
      <c r="K213" s="2">
        <v>164582.84213048659</v>
      </c>
      <c r="L213" s="2">
        <v>209351.79164257614</v>
      </c>
      <c r="M213" s="2">
        <v>185622.50098962866</v>
      </c>
      <c r="N213" s="3">
        <f t="shared" si="22"/>
        <v>236775.60217148421</v>
      </c>
      <c r="O213" s="5">
        <f t="shared" si="23"/>
        <v>116705.70701595706</v>
      </c>
      <c r="P213" s="3">
        <f t="shared" si="24"/>
        <v>147.43510791673637</v>
      </c>
      <c r="Q213" s="3">
        <f t="shared" si="25"/>
        <v>236775.60217148421</v>
      </c>
      <c r="R213" s="5">
        <f t="shared" si="26"/>
        <v>165.09323129790408</v>
      </c>
      <c r="S213" s="5">
        <f t="shared" si="27"/>
        <v>116705.70701595706</v>
      </c>
    </row>
    <row r="214" spans="1:19">
      <c r="A214">
        <v>211</v>
      </c>
      <c r="B214" s="2">
        <v>232.77500000000001</v>
      </c>
      <c r="C214" s="2">
        <v>116.3875</v>
      </c>
      <c r="D214" s="2">
        <v>114.23884438142613</v>
      </c>
      <c r="E214" s="2">
        <v>163.07037438138929</v>
      </c>
      <c r="F214" s="2">
        <v>207.42791045923812</v>
      </c>
      <c r="G214" s="2">
        <v>183.91668498463443</v>
      </c>
      <c r="H214" s="2">
        <f t="shared" si="21"/>
        <v>211</v>
      </c>
      <c r="I214" s="4">
        <v>235166.74888861532</v>
      </c>
      <c r="J214" s="6">
        <v>115412.6415206634</v>
      </c>
      <c r="K214" s="2">
        <v>164745.91250486797</v>
      </c>
      <c r="L214" s="2">
        <v>209559.21955303536</v>
      </c>
      <c r="M214" s="2">
        <v>185806.4176746133</v>
      </c>
      <c r="N214" s="3">
        <f t="shared" si="22"/>
        <v>236990.67813673051</v>
      </c>
      <c r="O214" s="5">
        <f t="shared" si="23"/>
        <v>116823.51136825452</v>
      </c>
      <c r="P214" s="3">
        <f t="shared" si="24"/>
        <v>147.90442656910386</v>
      </c>
      <c r="Q214" s="3">
        <f t="shared" si="25"/>
        <v>236990.67813673051</v>
      </c>
      <c r="R214" s="5">
        <f t="shared" si="26"/>
        <v>165.69772751867956</v>
      </c>
      <c r="S214" s="5">
        <f t="shared" si="27"/>
        <v>116823.51136825452</v>
      </c>
    </row>
    <row r="215" spans="1:19">
      <c r="A215">
        <v>212</v>
      </c>
      <c r="B215" s="2">
        <v>231.68895800933129</v>
      </c>
      <c r="C215" s="2">
        <v>115.84447900466564</v>
      </c>
      <c r="D215" s="2">
        <v>113.70584821790463</v>
      </c>
      <c r="E215" s="2">
        <v>162.30954837338891</v>
      </c>
      <c r="F215" s="2">
        <v>206.46012860639559</v>
      </c>
      <c r="G215" s="2">
        <v>183.05859780741207</v>
      </c>
      <c r="H215" s="2">
        <f t="shared" si="21"/>
        <v>212</v>
      </c>
      <c r="I215" s="4">
        <v>235398.43784662464</v>
      </c>
      <c r="J215" s="6">
        <v>115526.3473688813</v>
      </c>
      <c r="K215" s="2">
        <v>164908.22205324136</v>
      </c>
      <c r="L215" s="2">
        <v>209765.67968164175</v>
      </c>
      <c r="M215" s="2">
        <v>185989.47627242072</v>
      </c>
      <c r="N215" s="3">
        <f t="shared" si="22"/>
        <v>237204.35300691039</v>
      </c>
      <c r="O215" s="5">
        <f t="shared" si="23"/>
        <v>116940.62903056775</v>
      </c>
      <c r="P215" s="3">
        <f t="shared" si="24"/>
        <v>148.37206165795337</v>
      </c>
      <c r="Q215" s="3">
        <f t="shared" si="25"/>
        <v>237204.35300691039</v>
      </c>
      <c r="R215" s="5">
        <f t="shared" si="26"/>
        <v>166.30077995911293</v>
      </c>
      <c r="S215" s="5">
        <f t="shared" si="27"/>
        <v>116940.62903056775</v>
      </c>
    </row>
    <row r="216" spans="1:19">
      <c r="A216">
        <v>213</v>
      </c>
      <c r="B216" s="2">
        <v>230.61300309597527</v>
      </c>
      <c r="C216" s="2">
        <v>115.30650154798764</v>
      </c>
      <c r="D216" s="2">
        <v>113.17780248314655</v>
      </c>
      <c r="E216" s="2">
        <v>161.55578886081904</v>
      </c>
      <c r="F216" s="2">
        <v>205.50133543949283</v>
      </c>
      <c r="G216" s="2">
        <v>182.20848048013309</v>
      </c>
      <c r="H216" s="2">
        <f t="shared" si="21"/>
        <v>213</v>
      </c>
      <c r="I216" s="4">
        <v>235629.0508497206</v>
      </c>
      <c r="J216" s="6">
        <v>115639.52517136444</v>
      </c>
      <c r="K216" s="2">
        <v>165069.77784210219</v>
      </c>
      <c r="L216" s="2">
        <v>209971.18101708125</v>
      </c>
      <c r="M216" s="2">
        <v>186171.68475290085</v>
      </c>
      <c r="N216" s="3">
        <f t="shared" si="22"/>
        <v>237416.63985293533</v>
      </c>
      <c r="O216" s="5">
        <f t="shared" si="23"/>
        <v>117057.06623226275</v>
      </c>
      <c r="P216" s="3">
        <f t="shared" si="24"/>
        <v>148.83801922264868</v>
      </c>
      <c r="Q216" s="3">
        <f t="shared" si="25"/>
        <v>237416.63985293533</v>
      </c>
      <c r="R216" s="5">
        <f t="shared" si="26"/>
        <v>166.90239206753287</v>
      </c>
      <c r="S216" s="5">
        <f t="shared" si="27"/>
        <v>117057.06623226275</v>
      </c>
    </row>
    <row r="217" spans="1:19">
      <c r="A217">
        <v>214</v>
      </c>
      <c r="B217" s="2">
        <v>229.54699537750386</v>
      </c>
      <c r="C217" s="2">
        <v>114.77349768875193</v>
      </c>
      <c r="D217" s="2">
        <v>112.65463852713827</v>
      </c>
      <c r="E217" s="2">
        <v>160.80899784913586</v>
      </c>
      <c r="F217" s="2">
        <v>204.55140630803143</v>
      </c>
      <c r="G217" s="2">
        <v>181.36622248099545</v>
      </c>
      <c r="H217" s="2">
        <f t="shared" si="21"/>
        <v>214</v>
      </c>
      <c r="I217" s="4">
        <v>235858.59784509812</v>
      </c>
      <c r="J217" s="6">
        <v>115752.17980989158</v>
      </c>
      <c r="K217" s="2">
        <v>165230.58683995134</v>
      </c>
      <c r="L217" s="2">
        <v>210175.73242338927</v>
      </c>
      <c r="M217" s="2">
        <v>186353.05097538183</v>
      </c>
      <c r="N217" s="3">
        <f t="shared" si="22"/>
        <v>237627.55157343438</v>
      </c>
      <c r="O217" s="5">
        <f t="shared" si="23"/>
        <v>117172.82912087161</v>
      </c>
      <c r="P217" s="3">
        <f t="shared" si="24"/>
        <v>149.30230528088907</v>
      </c>
      <c r="Q217" s="3">
        <f t="shared" si="25"/>
        <v>237627.55157343438</v>
      </c>
      <c r="R217" s="5">
        <f t="shared" si="26"/>
        <v>167.50256728403212</v>
      </c>
      <c r="S217" s="5">
        <f t="shared" si="27"/>
        <v>117172.82912087161</v>
      </c>
    </row>
    <row r="218" spans="1:19">
      <c r="A218">
        <v>215</v>
      </c>
      <c r="B218" s="2">
        <v>228.49079754601226</v>
      </c>
      <c r="C218" s="2">
        <v>114.24539877300613</v>
      </c>
      <c r="D218" s="2">
        <v>112.13628896336306</v>
      </c>
      <c r="E218" s="2">
        <v>160.06907914737593</v>
      </c>
      <c r="F218" s="2">
        <v>203.61021885569383</v>
      </c>
      <c r="G218" s="2">
        <v>180.53171532234046</v>
      </c>
      <c r="H218" s="2">
        <f t="shared" si="21"/>
        <v>215</v>
      </c>
      <c r="I218" s="4">
        <v>236087.08864264414</v>
      </c>
      <c r="J218" s="6">
        <v>115864.31609885494</v>
      </c>
      <c r="K218" s="2">
        <v>165390.65591909873</v>
      </c>
      <c r="L218" s="2">
        <v>210379.34264224497</v>
      </c>
      <c r="M218" s="2">
        <v>186533.58269070418</v>
      </c>
      <c r="N218" s="3">
        <f t="shared" si="22"/>
        <v>237837.10089776097</v>
      </c>
      <c r="O218" s="5">
        <f t="shared" si="23"/>
        <v>117287.92376352038</v>
      </c>
      <c r="P218" s="3">
        <f t="shared" si="24"/>
        <v>149.76492582878672</v>
      </c>
      <c r="Q218" s="3">
        <f t="shared" si="25"/>
        <v>237837.10089776097</v>
      </c>
      <c r="R218" s="5">
        <f t="shared" si="26"/>
        <v>168.10130904048702</v>
      </c>
      <c r="S218" s="5">
        <f t="shared" si="27"/>
        <v>117287.92376352038</v>
      </c>
    </row>
    <row r="219" spans="1:19">
      <c r="A219">
        <v>216</v>
      </c>
      <c r="B219" s="2">
        <v>227.44427480916031</v>
      </c>
      <c r="C219" s="2">
        <v>113.72213740458015</v>
      </c>
      <c r="D219" s="2">
        <v>111.62268763986668</v>
      </c>
      <c r="E219" s="2">
        <v>159.33593832685366</v>
      </c>
      <c r="F219" s="2">
        <v>202.67765296780519</v>
      </c>
      <c r="G219" s="2">
        <v>179.70485250407029</v>
      </c>
      <c r="H219" s="2">
        <f t="shared" si="21"/>
        <v>216</v>
      </c>
      <c r="I219" s="4">
        <v>236314.5329174533</v>
      </c>
      <c r="J219" s="6">
        <v>115975.93878649481</v>
      </c>
      <c r="K219" s="2">
        <v>165549.99185742557</v>
      </c>
      <c r="L219" s="2">
        <v>210582.02029521277</v>
      </c>
      <c r="M219" s="2">
        <v>186713.28754320825</v>
      </c>
      <c r="N219" s="3">
        <f t="shared" si="22"/>
        <v>238045.30038893395</v>
      </c>
      <c r="O219" s="5">
        <f t="shared" si="23"/>
        <v>117402.35614832606</v>
      </c>
      <c r="P219" s="3">
        <f t="shared" si="24"/>
        <v>150.22588684094416</v>
      </c>
      <c r="Q219" s="3">
        <f t="shared" si="25"/>
        <v>238045.30038893395</v>
      </c>
      <c r="R219" s="5">
        <f t="shared" si="26"/>
        <v>168.69862076057731</v>
      </c>
      <c r="S219" s="5">
        <f t="shared" si="27"/>
        <v>117402.35614832606</v>
      </c>
    </row>
    <row r="220" spans="1:19">
      <c r="A220">
        <v>217</v>
      </c>
      <c r="B220" s="2">
        <v>226.40729483282678</v>
      </c>
      <c r="C220" s="2">
        <v>113.20364741641339</v>
      </c>
      <c r="D220" s="2">
        <v>111.1137696111136</v>
      </c>
      <c r="E220" s="2">
        <v>158.60948268098659</v>
      </c>
      <c r="F220" s="2">
        <v>201.75359072023164</v>
      </c>
      <c r="G220" s="2">
        <v>178.88552946833747</v>
      </c>
      <c r="H220" s="2">
        <f t="shared" si="21"/>
        <v>217</v>
      </c>
      <c r="I220" s="4">
        <v>236540.94021228614</v>
      </c>
      <c r="J220" s="6">
        <v>116087.05255610592</v>
      </c>
      <c r="K220" s="2">
        <v>165708.60134010657</v>
      </c>
      <c r="L220" s="2">
        <v>210783.77388593301</v>
      </c>
      <c r="M220" s="2">
        <v>186892.17307267658</v>
      </c>
      <c r="N220" s="3">
        <f t="shared" si="22"/>
        <v>238252.16244651491</v>
      </c>
      <c r="O220" s="5">
        <f t="shared" si="23"/>
        <v>117516.13218576269</v>
      </c>
      <c r="P220" s="3">
        <f t="shared" si="24"/>
        <v>150.6851942705317</v>
      </c>
      <c r="Q220" s="3">
        <f t="shared" si="25"/>
        <v>238252.16244651491</v>
      </c>
      <c r="R220" s="5">
        <f t="shared" si="26"/>
        <v>169.29450585980555</v>
      </c>
      <c r="S220" s="5">
        <f t="shared" si="27"/>
        <v>117516.13218576269</v>
      </c>
    </row>
    <row r="221" spans="1:19">
      <c r="A221">
        <v>218</v>
      </c>
      <c r="B221" s="2">
        <v>225.37972768532529</v>
      </c>
      <c r="C221" s="2">
        <v>112.68986384266265</v>
      </c>
      <c r="D221" s="2">
        <v>110.60947111060918</v>
      </c>
      <c r="E221" s="2">
        <v>157.88962118621649</v>
      </c>
      <c r="F221" s="2">
        <v>200.83791632967078</v>
      </c>
      <c r="G221" s="2">
        <v>178.07364355547048</v>
      </c>
      <c r="H221" s="2">
        <f t="shared" si="21"/>
        <v>218</v>
      </c>
      <c r="I221" s="4">
        <v>236766.31993997146</v>
      </c>
      <c r="J221" s="6">
        <v>116197.66202721653</v>
      </c>
      <c r="K221" s="2">
        <v>165866.49096129279</v>
      </c>
      <c r="L221" s="2">
        <v>210984.61180226269</v>
      </c>
      <c r="M221" s="2">
        <v>187070.24671623204</v>
      </c>
      <c r="N221" s="3">
        <f t="shared" si="22"/>
        <v>238457.69930942354</v>
      </c>
      <c r="O221" s="5">
        <f t="shared" si="23"/>
        <v>117629.25770999849</v>
      </c>
      <c r="P221" s="3">
        <f t="shared" si="24"/>
        <v>151.14285404936399</v>
      </c>
      <c r="Q221" s="3">
        <f t="shared" si="25"/>
        <v>238457.69930942354</v>
      </c>
      <c r="R221" s="5">
        <f t="shared" si="26"/>
        <v>169.88896774551671</v>
      </c>
      <c r="S221" s="5">
        <f t="shared" si="27"/>
        <v>117629.25770999849</v>
      </c>
    </row>
    <row r="222" spans="1:19">
      <c r="A222">
        <v>219</v>
      </c>
      <c r="B222" s="2">
        <v>224.36144578313258</v>
      </c>
      <c r="C222" s="2">
        <v>112.18072289156629</v>
      </c>
      <c r="D222" s="2">
        <v>110.10972952426613</v>
      </c>
      <c r="E222" s="2">
        <v>157.17626446398967</v>
      </c>
      <c r="F222" s="2">
        <v>199.93051610528977</v>
      </c>
      <c r="G222" s="2">
        <v>177.2690939610934</v>
      </c>
      <c r="H222" s="2">
        <f t="shared" si="21"/>
        <v>219</v>
      </c>
      <c r="I222" s="4">
        <v>236990.68138575461</v>
      </c>
      <c r="J222" s="6">
        <v>116307.7717567408</v>
      </c>
      <c r="K222" s="2">
        <v>166023.66722575677</v>
      </c>
      <c r="L222" s="2">
        <v>211184.54231836798</v>
      </c>
      <c r="M222" s="2">
        <v>187247.51581019314</v>
      </c>
      <c r="N222" s="3">
        <f t="shared" si="22"/>
        <v>238661.92305869164</v>
      </c>
      <c r="O222" s="5">
        <f t="shared" si="23"/>
        <v>117741.73848020373</v>
      </c>
      <c r="P222" s="3">
        <f t="shared" si="24"/>
        <v>151.59887208797693</v>
      </c>
      <c r="Q222" s="3">
        <f t="shared" si="25"/>
        <v>238661.92305869164</v>
      </c>
      <c r="R222" s="5">
        <f t="shared" si="26"/>
        <v>170.48200981691758</v>
      </c>
      <c r="S222" s="5">
        <f t="shared" si="27"/>
        <v>117741.73848020373</v>
      </c>
    </row>
    <row r="223" spans="1:19">
      <c r="A223">
        <v>220</v>
      </c>
      <c r="B223" s="2">
        <v>223.35232383808093</v>
      </c>
      <c r="C223" s="2">
        <v>111.67616191904047</v>
      </c>
      <c r="D223" s="2">
        <v>109.61448336448683</v>
      </c>
      <c r="E223" s="2">
        <v>156.46932474376177</v>
      </c>
      <c r="F223" s="2">
        <v>199.03127840166775</v>
      </c>
      <c r="G223" s="2">
        <v>176.47178169440181</v>
      </c>
      <c r="H223" s="2">
        <f t="shared" si="21"/>
        <v>220</v>
      </c>
      <c r="I223" s="4">
        <v>237214.03370959268</v>
      </c>
      <c r="J223" s="6">
        <v>116417.38624010529</v>
      </c>
      <c r="K223" s="2">
        <v>166180.13655050052</v>
      </c>
      <c r="L223" s="2">
        <v>211383.57359676965</v>
      </c>
      <c r="M223" s="2">
        <v>187423.98759188753</v>
      </c>
      <c r="N223" s="3">
        <f t="shared" si="22"/>
        <v>238864.84562015897</v>
      </c>
      <c r="O223" s="5">
        <f t="shared" si="23"/>
        <v>117853.58018183093</v>
      </c>
      <c r="P223" s="3">
        <f t="shared" si="24"/>
        <v>152.05325427570367</v>
      </c>
      <c r="Q223" s="3">
        <f t="shared" si="25"/>
        <v>238864.84562015897</v>
      </c>
      <c r="R223" s="5">
        <f t="shared" si="26"/>
        <v>171.07363546509646</v>
      </c>
      <c r="S223" s="5">
        <f t="shared" si="27"/>
        <v>117853.58018183093</v>
      </c>
    </row>
    <row r="224" spans="1:19">
      <c r="A224">
        <v>221</v>
      </c>
      <c r="B224" s="2">
        <v>222.35223880597016</v>
      </c>
      <c r="C224" s="2">
        <v>111.17611940298508</v>
      </c>
      <c r="D224" s="2">
        <v>109.12367224494432</v>
      </c>
      <c r="E224" s="2">
        <v>155.76871582699877</v>
      </c>
      <c r="F224" s="2">
        <v>198.14009357300358</v>
      </c>
      <c r="G224" s="2">
        <v>175.68160953756126</v>
      </c>
      <c r="H224" s="2">
        <f t="shared" si="21"/>
        <v>221</v>
      </c>
      <c r="I224" s="4">
        <v>237436.38594839865</v>
      </c>
      <c r="J224" s="6">
        <v>116526.50991235023</v>
      </c>
      <c r="K224" s="2">
        <v>166335.90526632752</v>
      </c>
      <c r="L224" s="2">
        <v>211581.71369034264</v>
      </c>
      <c r="M224" s="2">
        <v>187599.6692014251</v>
      </c>
      <c r="N224" s="3">
        <f t="shared" si="22"/>
        <v>239066.47876711126</v>
      </c>
      <c r="O224" s="5">
        <f t="shared" si="23"/>
        <v>117964.78842786749</v>
      </c>
      <c r="P224" s="3">
        <f t="shared" si="24"/>
        <v>152.50600648075101</v>
      </c>
      <c r="Q224" s="3">
        <f t="shared" si="25"/>
        <v>239066.47876711126</v>
      </c>
      <c r="R224" s="5">
        <f t="shared" si="26"/>
        <v>171.66384807304212</v>
      </c>
      <c r="S224" s="5">
        <f t="shared" si="27"/>
        <v>117964.78842786749</v>
      </c>
    </row>
    <row r="225" spans="1:19">
      <c r="A225">
        <v>222</v>
      </c>
      <c r="B225" s="2">
        <v>221.36106983655279</v>
      </c>
      <c r="C225" s="2">
        <v>110.68053491827639</v>
      </c>
      <c r="D225" s="2">
        <v>108.63723685603675</v>
      </c>
      <c r="E225" s="2">
        <v>155.07435305213846</v>
      </c>
      <c r="F225" s="2">
        <v>197.25685392854743</v>
      </c>
      <c r="G225" s="2">
        <v>174.89848200619028</v>
      </c>
      <c r="H225" s="2">
        <f t="shared" si="21"/>
        <v>222</v>
      </c>
      <c r="I225" s="4">
        <v>237657.74701823521</v>
      </c>
      <c r="J225" s="6">
        <v>116635.14714920627</v>
      </c>
      <c r="K225" s="2">
        <v>166490.97961937965</v>
      </c>
      <c r="L225" s="2">
        <v>211778.9705442712</v>
      </c>
      <c r="M225" s="2">
        <v>187774.56768343129</v>
      </c>
      <c r="N225" s="3">
        <f t="shared" si="22"/>
        <v>239266.83412286185</v>
      </c>
      <c r="O225" s="5">
        <f t="shared" si="23"/>
        <v>118075.36876006192</v>
      </c>
      <c r="P225" s="3">
        <f t="shared" si="24"/>
        <v>152.9571345502749</v>
      </c>
      <c r="Q225" s="3">
        <f t="shared" si="25"/>
        <v>239266.83412286185</v>
      </c>
      <c r="R225" s="5">
        <f t="shared" si="26"/>
        <v>172.25265101566364</v>
      </c>
      <c r="S225" s="5">
        <f t="shared" si="27"/>
        <v>118075.36876006192</v>
      </c>
    </row>
    <row r="226" spans="1:19">
      <c r="A226">
        <v>223</v>
      </c>
      <c r="B226" s="2">
        <v>220.37869822485209</v>
      </c>
      <c r="C226" s="2">
        <v>110.18934911242604</v>
      </c>
      <c r="D226" s="2">
        <v>108.15511894099514</v>
      </c>
      <c r="E226" s="2">
        <v>154.38615326048696</v>
      </c>
      <c r="F226" s="2">
        <v>196.38145368921957</v>
      </c>
      <c r="G226" s="2">
        <v>174.12230531089654</v>
      </c>
      <c r="H226" s="2">
        <f t="shared" si="21"/>
        <v>223</v>
      </c>
      <c r="I226" s="4">
        <v>237878.12571646005</v>
      </c>
      <c r="J226" s="6">
        <v>116743.30226814726</v>
      </c>
      <c r="K226" s="2">
        <v>166645.36577264013</v>
      </c>
      <c r="L226" s="2">
        <v>211975.35199796042</v>
      </c>
      <c r="M226" s="2">
        <v>187948.68998874218</v>
      </c>
      <c r="N226" s="3">
        <f t="shared" si="22"/>
        <v>239465.92316327966</v>
      </c>
      <c r="O226" s="5">
        <f t="shared" si="23"/>
        <v>118185.32665012384</v>
      </c>
      <c r="P226" s="3">
        <f t="shared" si="24"/>
        <v>153.40664431045619</v>
      </c>
      <c r="Q226" s="3">
        <f t="shared" si="25"/>
        <v>239465.92316327966</v>
      </c>
      <c r="R226" s="5">
        <f t="shared" si="26"/>
        <v>172.84004765980924</v>
      </c>
      <c r="S226" s="5">
        <f t="shared" si="27"/>
        <v>118185.32665012384</v>
      </c>
    </row>
    <row r="227" spans="1:19">
      <c r="A227">
        <v>224</v>
      </c>
      <c r="B227" s="2">
        <v>219.40500736377027</v>
      </c>
      <c r="C227" s="2">
        <v>109.70250368188513</v>
      </c>
      <c r="D227" s="2">
        <v>107.67726127262547</v>
      </c>
      <c r="E227" s="2">
        <v>153.70403476301786</v>
      </c>
      <c r="F227" s="2">
        <v>195.51378894537908</v>
      </c>
      <c r="G227" s="2">
        <v>173.35298731983212</v>
      </c>
      <c r="H227" s="2">
        <f t="shared" si="21"/>
        <v>224</v>
      </c>
      <c r="I227" s="4">
        <v>238097.53072382382</v>
      </c>
      <c r="J227" s="6">
        <v>116850.97952941988</v>
      </c>
      <c r="K227" s="2">
        <v>166799.06980740314</v>
      </c>
      <c r="L227" s="2">
        <v>212170.86578690581</v>
      </c>
      <c r="M227" s="2">
        <v>188122.04297606202</v>
      </c>
      <c r="N227" s="3">
        <f t="shared" si="22"/>
        <v>239663.75721926254</v>
      </c>
      <c r="O227" s="5">
        <f t="shared" si="23"/>
        <v>118294.66750089922</v>
      </c>
      <c r="P227" s="3">
        <f t="shared" si="24"/>
        <v>153.85454156657562</v>
      </c>
      <c r="Q227" s="3">
        <f t="shared" si="25"/>
        <v>239663.75721926254</v>
      </c>
      <c r="R227" s="5">
        <f t="shared" si="26"/>
        <v>173.42604136428594</v>
      </c>
      <c r="S227" s="5">
        <f t="shared" si="27"/>
        <v>118294.66750089922</v>
      </c>
    </row>
    <row r="228" spans="1:19">
      <c r="A228">
        <v>225</v>
      </c>
      <c r="B228" s="2">
        <v>218.43988269794724</v>
      </c>
      <c r="C228" s="2">
        <v>109.21994134897362</v>
      </c>
      <c r="D228" s="2">
        <v>107.20360763066378</v>
      </c>
      <c r="E228" s="2">
        <v>153.02791730804856</v>
      </c>
      <c r="F228" s="2">
        <v>194.65375761570732</v>
      </c>
      <c r="G228" s="2">
        <v>172.59043752223761</v>
      </c>
      <c r="H228" s="2">
        <f t="shared" si="21"/>
        <v>225</v>
      </c>
      <c r="I228" s="4">
        <v>238315.97060652176</v>
      </c>
      <c r="J228" s="6">
        <v>116958.18313705055</v>
      </c>
      <c r="K228" s="2">
        <v>166952.09772471117</v>
      </c>
      <c r="L228" s="2">
        <v>212365.51954452152</v>
      </c>
      <c r="M228" s="2">
        <v>188294.63341358426</v>
      </c>
      <c r="N228" s="3">
        <f t="shared" si="22"/>
        <v>239860.34747916035</v>
      </c>
      <c r="O228" s="5">
        <f t="shared" si="23"/>
        <v>118403.39664752016</v>
      </c>
      <c r="P228" s="3">
        <f t="shared" si="24"/>
        <v>154.30083210308905</v>
      </c>
      <c r="Q228" s="3">
        <f t="shared" si="25"/>
        <v>239860.34747916035</v>
      </c>
      <c r="R228" s="5">
        <f t="shared" si="26"/>
        <v>174.01063547987843</v>
      </c>
      <c r="S228" s="5">
        <f t="shared" si="27"/>
        <v>118403.39664752016</v>
      </c>
    </row>
    <row r="229" spans="1:19">
      <c r="A229">
        <v>226</v>
      </c>
      <c r="B229" s="2">
        <v>217.48321167883211</v>
      </c>
      <c r="C229" s="2">
        <v>108.74160583941605</v>
      </c>
      <c r="D229" s="2">
        <v>106.73410277972653</v>
      </c>
      <c r="E229" s="2">
        <v>152.35772204976516</v>
      </c>
      <c r="F229" s="2">
        <v>193.80125940717139</v>
      </c>
      <c r="G229" s="2">
        <v>171.83456699294311</v>
      </c>
      <c r="H229" s="2">
        <f t="shared" si="21"/>
        <v>226</v>
      </c>
      <c r="I229" s="4">
        <v>238533.45381820059</v>
      </c>
      <c r="J229" s="6">
        <v>117064.91723983028</v>
      </c>
      <c r="K229" s="2">
        <v>167104.45544676093</v>
      </c>
      <c r="L229" s="2">
        <v>212559.32080392868</v>
      </c>
      <c r="M229" s="2">
        <v>188466.4679805772</v>
      </c>
      <c r="N229" s="3">
        <f t="shared" si="22"/>
        <v>240055.70499114611</v>
      </c>
      <c r="O229" s="5">
        <f t="shared" si="23"/>
        <v>118511.51935853157</v>
      </c>
      <c r="P229" s="3">
        <f t="shared" si="24"/>
        <v>154.74552168370198</v>
      </c>
      <c r="Q229" s="3">
        <f t="shared" si="25"/>
        <v>240055.70499114611</v>
      </c>
      <c r="R229" s="5">
        <f t="shared" si="26"/>
        <v>174.59383334936837</v>
      </c>
      <c r="S229" s="5">
        <f t="shared" si="27"/>
        <v>118511.51935853157</v>
      </c>
    </row>
    <row r="230" spans="1:19">
      <c r="A230">
        <v>227</v>
      </c>
      <c r="B230" s="2">
        <v>216.53488372093025</v>
      </c>
      <c r="C230" s="2">
        <v>108.26744186046513</v>
      </c>
      <c r="D230" s="2">
        <v>106.26869244783818</v>
      </c>
      <c r="E230" s="2">
        <v>151.69337151757139</v>
      </c>
      <c r="F230" s="2">
        <v>192.95619577603546</v>
      </c>
      <c r="G230" s="2">
        <v>171.08528835779944</v>
      </c>
      <c r="H230" s="2">
        <f t="shared" si="21"/>
        <v>227</v>
      </c>
      <c r="I230" s="4">
        <v>238749.98870192151</v>
      </c>
      <c r="J230" s="6">
        <v>117171.18593227811</v>
      </c>
      <c r="K230" s="2">
        <v>167256.14881827851</v>
      </c>
      <c r="L230" s="2">
        <v>212752.27699970471</v>
      </c>
      <c r="M230" s="2">
        <v>188637.55326893501</v>
      </c>
      <c r="N230" s="3">
        <f t="shared" si="22"/>
        <v>240249.84066553885</v>
      </c>
      <c r="O230" s="5">
        <f t="shared" si="23"/>
        <v>118619.04083699384</v>
      </c>
      <c r="P230" s="3">
        <f t="shared" si="24"/>
        <v>155.18861605144414</v>
      </c>
      <c r="Q230" s="3">
        <f t="shared" si="25"/>
        <v>240249.84066553885</v>
      </c>
      <c r="R230" s="5">
        <f t="shared" si="26"/>
        <v>175.1756383075537</v>
      </c>
      <c r="S230" s="5">
        <f t="shared" si="27"/>
        <v>118619.04083699384</v>
      </c>
    </row>
    <row r="231" spans="1:19">
      <c r="A231">
        <v>228</v>
      </c>
      <c r="B231" s="2">
        <v>215.59479015918961</v>
      </c>
      <c r="C231" s="2">
        <v>107.79739507959481</v>
      </c>
      <c r="D231" s="2">
        <v>105.80732330551764</v>
      </c>
      <c r="E231" s="2">
        <v>151.03478958623609</v>
      </c>
      <c r="F231" s="2">
        <v>192.11846988988771</v>
      </c>
      <c r="G231" s="2">
        <v>170.34251576000872</v>
      </c>
      <c r="H231" s="2">
        <f t="shared" si="21"/>
        <v>228</v>
      </c>
      <c r="I231" s="4">
        <v>238965.58349208071</v>
      </c>
      <c r="J231" s="6">
        <v>117276.99325558363</v>
      </c>
      <c r="K231" s="2">
        <v>167407.18360786475</v>
      </c>
      <c r="L231" s="2">
        <v>212944.3954695946</v>
      </c>
      <c r="M231" s="2">
        <v>188807.89578469502</v>
      </c>
      <c r="N231" s="3">
        <f t="shared" si="22"/>
        <v>240442.76527707765</v>
      </c>
      <c r="O231" s="5">
        <f t="shared" si="23"/>
        <v>118725.96622156285</v>
      </c>
      <c r="P231" s="3">
        <f t="shared" si="24"/>
        <v>155.63012092874351</v>
      </c>
      <c r="Q231" s="3">
        <f t="shared" si="25"/>
        <v>240442.76527707765</v>
      </c>
      <c r="R231" s="5">
        <f t="shared" si="26"/>
        <v>175.75605368126733</v>
      </c>
      <c r="S231" s="5">
        <f t="shared" si="27"/>
        <v>118725.96622156285</v>
      </c>
    </row>
    <row r="232" spans="1:19">
      <c r="A232">
        <v>229</v>
      </c>
      <c r="B232" s="2">
        <v>214.6628242074928</v>
      </c>
      <c r="C232" s="2">
        <v>107.3314121037464</v>
      </c>
      <c r="D232" s="2">
        <v>105.34994294540725</v>
      </c>
      <c r="E232" s="2">
        <v>150.3819014468142</v>
      </c>
      <c r="F232" s="2">
        <v>191.28798659065185</v>
      </c>
      <c r="G232" s="2">
        <v>169.60616482732851</v>
      </c>
      <c r="H232" s="2">
        <f t="shared" si="21"/>
        <v>229</v>
      </c>
      <c r="I232" s="4">
        <v>239180.24631628819</v>
      </c>
      <c r="J232" s="6">
        <v>117382.34319852904</v>
      </c>
      <c r="K232" s="2">
        <v>167557.56550931156</v>
      </c>
      <c r="L232" s="2">
        <v>213135.68345618524</v>
      </c>
      <c r="M232" s="2">
        <v>188977.50194952235</v>
      </c>
      <c r="N232" s="3">
        <f t="shared" si="22"/>
        <v>240634.48946714931</v>
      </c>
      <c r="O232" s="5">
        <f t="shared" si="23"/>
        <v>118832.30058754762</v>
      </c>
      <c r="P232" s="3">
        <f t="shared" si="24"/>
        <v>156.07004201750024</v>
      </c>
      <c r="Q232" s="3">
        <f t="shared" si="25"/>
        <v>240634.48946714931</v>
      </c>
      <c r="R232" s="5">
        <f t="shared" si="26"/>
        <v>176.33508278939641</v>
      </c>
      <c r="S232" s="5">
        <f t="shared" si="27"/>
        <v>118832.30058754762</v>
      </c>
    </row>
    <row r="233" spans="1:19">
      <c r="A233">
        <v>230</v>
      </c>
      <c r="B233" s="2">
        <v>213.73888091822096</v>
      </c>
      <c r="C233" s="2">
        <v>106.86944045911048</v>
      </c>
      <c r="D233" s="2">
        <v>104.89649986242854</v>
      </c>
      <c r="E233" s="2">
        <v>149.73463357832017</v>
      </c>
      <c r="F233" s="2">
        <v>190.46465235855439</v>
      </c>
      <c r="G233" s="2">
        <v>168.87615264012348</v>
      </c>
      <c r="H233" s="2">
        <f t="shared" si="21"/>
        <v>230</v>
      </c>
      <c r="I233" s="4">
        <v>239393.98519720641</v>
      </c>
      <c r="J233" s="6">
        <v>117487.23969839147</v>
      </c>
      <c r="K233" s="2">
        <v>167707.30014288987</v>
      </c>
      <c r="L233" s="2">
        <v>213326.1481085438</v>
      </c>
      <c r="M233" s="2">
        <v>189146.37810216247</v>
      </c>
      <c r="N233" s="3">
        <f t="shared" si="22"/>
        <v>240825.02374597013</v>
      </c>
      <c r="O233" s="5">
        <f t="shared" si="23"/>
        <v>118938.04894794658</v>
      </c>
      <c r="P233" s="3">
        <f t="shared" si="24"/>
        <v>156.50838499916046</v>
      </c>
      <c r="Q233" s="3">
        <f t="shared" si="25"/>
        <v>240825.02374597013</v>
      </c>
      <c r="R233" s="5">
        <f t="shared" si="26"/>
        <v>176.91272894290131</v>
      </c>
      <c r="S233" s="5">
        <f t="shared" si="27"/>
        <v>118938.04894794658</v>
      </c>
    </row>
    <row r="234" spans="1:19">
      <c r="A234">
        <v>231</v>
      </c>
      <c r="B234" s="2">
        <v>212.82285714285715</v>
      </c>
      <c r="C234" s="2">
        <v>106.41142857142857</v>
      </c>
      <c r="D234" s="2">
        <v>104.44694343444677</v>
      </c>
      <c r="E234" s="2">
        <v>149.09291372012737</v>
      </c>
      <c r="F234" s="2">
        <v>189.64837527701769</v>
      </c>
      <c r="G234" s="2">
        <v>168.15239770023717</v>
      </c>
      <c r="H234" s="2">
        <f t="shared" si="21"/>
        <v>231</v>
      </c>
      <c r="I234" s="4">
        <v>239606.80805434927</v>
      </c>
      <c r="J234" s="6">
        <v>117591.68664182592</v>
      </c>
      <c r="K234" s="2">
        <v>167856.39305660999</v>
      </c>
      <c r="L234" s="2">
        <v>213515.79648382083</v>
      </c>
      <c r="M234" s="2">
        <v>189314.53049986271</v>
      </c>
      <c r="N234" s="3">
        <f t="shared" si="22"/>
        <v>241014.37849472294</v>
      </c>
      <c r="O234" s="5">
        <f t="shared" si="23"/>
        <v>119043.21625446218</v>
      </c>
      <c r="P234" s="3">
        <f t="shared" si="24"/>
        <v>156.94515553478942</v>
      </c>
      <c r="Q234" s="3">
        <f t="shared" si="25"/>
        <v>241014.37849472294</v>
      </c>
      <c r="R234" s="5">
        <f t="shared" si="26"/>
        <v>177.48899544483436</v>
      </c>
      <c r="S234" s="5">
        <f t="shared" si="27"/>
        <v>119043.21625446218</v>
      </c>
    </row>
    <row r="235" spans="1:19">
      <c r="A235">
        <v>232</v>
      </c>
      <c r="B235" s="2">
        <v>211.91465149359888</v>
      </c>
      <c r="C235" s="2">
        <v>105.95732574679944</v>
      </c>
      <c r="D235" s="2">
        <v>104.00122390343196</v>
      </c>
      <c r="E235" s="2">
        <v>148.45667084507699</v>
      </c>
      <c r="F235" s="2">
        <v>188.83906499845295</v>
      </c>
      <c r="G235" s="2">
        <v>167.43481990066286</v>
      </c>
      <c r="H235" s="2">
        <f t="shared" si="21"/>
        <v>232</v>
      </c>
      <c r="I235" s="4">
        <v>239818.72270584287</v>
      </c>
      <c r="J235" s="6">
        <v>117695.68786572934</v>
      </c>
      <c r="K235" s="2">
        <v>168004.84972745506</v>
      </c>
      <c r="L235" s="2">
        <v>213704.63554881929</v>
      </c>
      <c r="M235" s="2">
        <v>189481.96531976337</v>
      </c>
      <c r="N235" s="3">
        <f t="shared" si="22"/>
        <v>241202.56396765122</v>
      </c>
      <c r="O235" s="5">
        <f t="shared" si="23"/>
        <v>119147.80739849529</v>
      </c>
      <c r="P235" s="3">
        <f t="shared" si="24"/>
        <v>157.38035926514482</v>
      </c>
      <c r="Q235" s="3">
        <f t="shared" si="25"/>
        <v>241202.56396765122</v>
      </c>
      <c r="R235" s="5">
        <f t="shared" si="26"/>
        <v>178.06388559035901</v>
      </c>
      <c r="S235" s="5">
        <f t="shared" si="27"/>
        <v>119147.80739849529</v>
      </c>
    </row>
    <row r="236" spans="1:19">
      <c r="A236">
        <v>233</v>
      </c>
      <c r="B236" s="2">
        <v>211.01416430594907</v>
      </c>
      <c r="C236" s="2">
        <v>105.50708215297453</v>
      </c>
      <c r="D236" s="2">
        <v>103.55929235710011</v>
      </c>
      <c r="E236" s="2">
        <v>147.82583513327077</v>
      </c>
      <c r="F236" s="2">
        <v>188.03663271092412</v>
      </c>
      <c r="G236" s="2">
        <v>166.72334049598595</v>
      </c>
      <c r="H236" s="2">
        <f t="shared" si="21"/>
        <v>233</v>
      </c>
      <c r="I236" s="4">
        <v>240029.73687014883</v>
      </c>
      <c r="J236" s="6">
        <v>117799.24715808644</v>
      </c>
      <c r="K236" s="2">
        <v>168152.67556258832</v>
      </c>
      <c r="L236" s="2">
        <v>213892.67218153022</v>
      </c>
      <c r="M236" s="2">
        <v>189648.68866025936</v>
      </c>
      <c r="N236" s="3">
        <f t="shared" si="22"/>
        <v>241389.59029410983</v>
      </c>
      <c r="O236" s="5">
        <f t="shared" si="23"/>
        <v>119251.82721211904</v>
      </c>
      <c r="P236" s="3">
        <f t="shared" si="24"/>
        <v>157.8140018107494</v>
      </c>
      <c r="Q236" s="3">
        <f t="shared" si="25"/>
        <v>241389.59029410983</v>
      </c>
      <c r="R236" s="5">
        <f t="shared" si="26"/>
        <v>178.63740266676851</v>
      </c>
      <c r="S236" s="5">
        <f t="shared" si="27"/>
        <v>119251.82721211904</v>
      </c>
    </row>
    <row r="237" spans="1:19">
      <c r="A237">
        <v>234</v>
      </c>
      <c r="B237" s="2">
        <v>210.12129760225673</v>
      </c>
      <c r="C237" s="2">
        <v>105.06064880112837</v>
      </c>
      <c r="D237" s="2">
        <v>103.12110071101932</v>
      </c>
      <c r="E237" s="2">
        <v>147.20033794652912</v>
      </c>
      <c r="F237" s="2">
        <v>187.24099110565925</v>
      </c>
      <c r="G237" s="2">
        <v>166.01788207357694</v>
      </c>
      <c r="H237" s="2">
        <f t="shared" si="21"/>
        <v>234</v>
      </c>
      <c r="I237" s="4">
        <v>240239.85816775108</v>
      </c>
      <c r="J237" s="6">
        <v>117902.36825879746</v>
      </c>
      <c r="K237" s="2">
        <v>168299.87590053485</v>
      </c>
      <c r="L237" s="2">
        <v>214079.91317263586</v>
      </c>
      <c r="M237" s="2">
        <v>189814.70654233295</v>
      </c>
      <c r="N237" s="3">
        <f t="shared" si="22"/>
        <v>241575.46748057523</v>
      </c>
      <c r="O237" s="5">
        <f t="shared" si="23"/>
        <v>119355.28046903337</v>
      </c>
      <c r="P237" s="3">
        <f t="shared" si="24"/>
        <v>158.24608877196383</v>
      </c>
      <c r="Q237" s="3">
        <f t="shared" si="25"/>
        <v>241575.46748057523</v>
      </c>
      <c r="R237" s="5">
        <f t="shared" si="26"/>
        <v>179.20954995350462</v>
      </c>
      <c r="S237" s="5">
        <f t="shared" si="27"/>
        <v>119355.28046903337</v>
      </c>
    </row>
    <row r="238" spans="1:19">
      <c r="A238">
        <v>235</v>
      </c>
      <c r="B238" s="2">
        <v>209.23595505617979</v>
      </c>
      <c r="C238" s="2">
        <v>104.6179775280899</v>
      </c>
      <c r="D238" s="2">
        <v>102.68660169116947</v>
      </c>
      <c r="E238" s="2">
        <v>146.58011180349592</v>
      </c>
      <c r="F238" s="2">
        <v>186.45205434538258</v>
      </c>
      <c r="G238" s="2">
        <v>165.3183685255141</v>
      </c>
      <c r="H238" s="2">
        <f t="shared" si="21"/>
        <v>235</v>
      </c>
      <c r="I238" s="4">
        <v>240449.09412280726</v>
      </c>
      <c r="J238" s="6">
        <v>118005.05486048863</v>
      </c>
      <c r="K238" s="2">
        <v>168446.45601233834</v>
      </c>
      <c r="L238" s="2">
        <v>214266.36522698123</v>
      </c>
      <c r="M238" s="2">
        <v>189980.02491085845</v>
      </c>
      <c r="N238" s="3">
        <f t="shared" si="22"/>
        <v>241760.205412615</v>
      </c>
      <c r="O238" s="5">
        <f t="shared" si="23"/>
        <v>119458.17188550018</v>
      </c>
      <c r="P238" s="3">
        <f t="shared" si="24"/>
        <v>158.67662572905883</v>
      </c>
      <c r="Q238" s="3">
        <f t="shared" si="25"/>
        <v>241760.205412615</v>
      </c>
      <c r="R238" s="5">
        <f t="shared" si="26"/>
        <v>179.78033072217656</v>
      </c>
      <c r="S238" s="5">
        <f t="shared" si="27"/>
        <v>119458.17188550018</v>
      </c>
    </row>
    <row r="239" spans="1:19">
      <c r="A239">
        <v>236</v>
      </c>
      <c r="B239" s="2">
        <v>208.35804195804195</v>
      </c>
      <c r="C239" s="2">
        <v>104.17902097902098</v>
      </c>
      <c r="D239" s="2">
        <v>102.25574881694079</v>
      </c>
      <c r="E239" s="2">
        <v>145.9650903553694</v>
      </c>
      <c r="F239" s="2">
        <v>185.66973803344388</v>
      </c>
      <c r="G239" s="2">
        <v>164.62472502121119</v>
      </c>
      <c r="H239" s="2">
        <f t="shared" si="21"/>
        <v>236</v>
      </c>
      <c r="I239" s="4">
        <v>240657.4521647653</v>
      </c>
      <c r="J239" s="6">
        <v>118107.31060930557</v>
      </c>
      <c r="K239" s="2">
        <v>168592.42110269371</v>
      </c>
      <c r="L239" s="2">
        <v>214452.03496501467</v>
      </c>
      <c r="M239" s="2">
        <v>190144.64963587967</v>
      </c>
      <c r="N239" s="3">
        <f t="shared" si="22"/>
        <v>241943.81385681761</v>
      </c>
      <c r="O239" s="5">
        <f t="shared" si="23"/>
        <v>119560.50612125978</v>
      </c>
      <c r="P239" s="3">
        <f t="shared" si="24"/>
        <v>159.10561824228719</v>
      </c>
      <c r="Q239" s="3">
        <f t="shared" si="25"/>
        <v>241943.81385681761</v>
      </c>
      <c r="R239" s="5">
        <f t="shared" si="26"/>
        <v>180.34974823657964</v>
      </c>
      <c r="S239" s="5">
        <f t="shared" si="27"/>
        <v>119560.50612125978</v>
      </c>
    </row>
    <row r="240" spans="1:19">
      <c r="A240">
        <v>237</v>
      </c>
      <c r="B240" s="2">
        <v>207.4874651810585</v>
      </c>
      <c r="C240" s="2">
        <v>103.74373259052925</v>
      </c>
      <c r="D240" s="2">
        <v>101.82849638455804</v>
      </c>
      <c r="E240" s="2">
        <v>145.35520836224106</v>
      </c>
      <c r="F240" s="2">
        <v>184.89395918372193</v>
      </c>
      <c r="G240" s="2">
        <v>163.93687798073253</v>
      </c>
      <c r="H240" s="2">
        <f t="shared" si="21"/>
        <v>237</v>
      </c>
      <c r="I240" s="4">
        <v>240864.93962994637</v>
      </c>
      <c r="J240" s="6">
        <v>118209.13910569012</v>
      </c>
      <c r="K240" s="2">
        <v>168737.77631105596</v>
      </c>
      <c r="L240" s="2">
        <v>214636.92892419838</v>
      </c>
      <c r="M240" s="2">
        <v>190308.58651386041</v>
      </c>
      <c r="N240" s="3">
        <f t="shared" si="22"/>
        <v>242126.30246268428</v>
      </c>
      <c r="O240" s="5">
        <f t="shared" si="23"/>
        <v>119662.28778042911</v>
      </c>
      <c r="P240" s="3">
        <f t="shared" si="24"/>
        <v>159.53307185195584</v>
      </c>
      <c r="Q240" s="3">
        <f t="shared" si="25"/>
        <v>242126.30246268428</v>
      </c>
      <c r="R240" s="5">
        <f t="shared" si="26"/>
        <v>180.91780575271395</v>
      </c>
      <c r="S240" s="5">
        <f t="shared" si="27"/>
        <v>119662.28778042911</v>
      </c>
    </row>
    <row r="241" spans="1:19">
      <c r="A241">
        <v>238</v>
      </c>
      <c r="B241" s="2">
        <v>206.62413314840501</v>
      </c>
      <c r="C241" s="2">
        <v>103.3120665742025</v>
      </c>
      <c r="D241" s="2">
        <v>101.40479945091911</v>
      </c>
      <c r="E241" s="2">
        <v>144.75040167002649</v>
      </c>
      <c r="F241" s="2">
        <v>184.12463619127925</v>
      </c>
      <c r="G241" s="2">
        <v>163.25475504877389</v>
      </c>
      <c r="H241" s="2">
        <f t="shared" si="21"/>
        <v>238</v>
      </c>
      <c r="I241" s="4">
        <v>241071.56376309477</v>
      </c>
      <c r="J241" s="6">
        <v>118310.54390514104</v>
      </c>
      <c r="K241" s="2">
        <v>168882.52671272599</v>
      </c>
      <c r="L241" s="2">
        <v>214821.05356038967</v>
      </c>
      <c r="M241" s="2">
        <v>190471.84126890919</v>
      </c>
      <c r="N241" s="3">
        <f t="shared" si="22"/>
        <v>242307.680764483</v>
      </c>
      <c r="O241" s="5">
        <f t="shared" si="23"/>
        <v>119763.52141238212</v>
      </c>
      <c r="P241" s="3">
        <f t="shared" si="24"/>
        <v>159.95899207849718</v>
      </c>
      <c r="Q241" s="3">
        <f t="shared" si="25"/>
        <v>242307.680764483</v>
      </c>
      <c r="R241" s="5">
        <f t="shared" si="26"/>
        <v>181.48450651880279</v>
      </c>
      <c r="S241" s="5">
        <f t="shared" si="27"/>
        <v>119763.52141238212</v>
      </c>
    </row>
    <row r="242" spans="1:19">
      <c r="A242">
        <v>239</v>
      </c>
      <c r="B242" s="2">
        <v>205.76795580110502</v>
      </c>
      <c r="C242" s="2">
        <v>102.88397790055251</v>
      </c>
      <c r="D242" s="2">
        <v>100.98461381783524</v>
      </c>
      <c r="E242" s="2">
        <v>144.1506071879684</v>
      </c>
      <c r="F242" s="2">
        <v>183.36168880374646</v>
      </c>
      <c r="G242" s="2">
        <v>162.5782850692901</v>
      </c>
      <c r="H242" s="2">
        <f t="shared" si="21"/>
        <v>239</v>
      </c>
      <c r="I242" s="4">
        <v>241277.33171889588</v>
      </c>
      <c r="J242" s="6">
        <v>118411.52851895888</v>
      </c>
      <c r="K242" s="2">
        <v>169026.67731991396</v>
      </c>
      <c r="L242" s="2">
        <v>215004.41524919341</v>
      </c>
      <c r="M242" s="2">
        <v>190634.41955397849</v>
      </c>
      <c r="N242" s="3">
        <f t="shared" si="22"/>
        <v>242487.95818306558</v>
      </c>
      <c r="O242" s="5">
        <f t="shared" si="23"/>
        <v>119864.21151261275</v>
      </c>
      <c r="P242" s="3">
        <f t="shared" si="24"/>
        <v>160.38338442254039</v>
      </c>
      <c r="Q242" s="3">
        <f t="shared" si="25"/>
        <v>242487.95818306558</v>
      </c>
      <c r="R242" s="5">
        <f t="shared" si="26"/>
        <v>182.04985377531153</v>
      </c>
      <c r="S242" s="5">
        <f t="shared" si="27"/>
        <v>119864.21151261275</v>
      </c>
    </row>
    <row r="243" spans="1:19">
      <c r="A243">
        <v>240</v>
      </c>
      <c r="B243" s="2">
        <v>204.91884456671252</v>
      </c>
      <c r="C243" s="2">
        <v>102.45942228335626</v>
      </c>
      <c r="D243" s="2">
        <v>100.56789601666119</v>
      </c>
      <c r="E243" s="2">
        <v>143.55576286669748</v>
      </c>
      <c r="F243" s="2">
        <v>182.60503809341455</v>
      </c>
      <c r="G243" s="2">
        <v>161.90739806075101</v>
      </c>
      <c r="H243" s="2">
        <f t="shared" si="21"/>
        <v>240</v>
      </c>
      <c r="I243" s="4">
        <v>241482.25056346258</v>
      </c>
      <c r="J243" s="6">
        <v>118512.09641497553</v>
      </c>
      <c r="K243" s="2">
        <v>169170.23308278064</v>
      </c>
      <c r="L243" s="2">
        <v>215187.02028728681</v>
      </c>
      <c r="M243" s="2">
        <v>190796.32695203924</v>
      </c>
      <c r="N243" s="3">
        <f t="shared" si="22"/>
        <v>242667.14402764972</v>
      </c>
      <c r="O243" s="5">
        <f t="shared" si="23"/>
        <v>119964.36252358077</v>
      </c>
      <c r="P243" s="3">
        <f t="shared" si="24"/>
        <v>160.80625436498258</v>
      </c>
      <c r="Q243" s="3">
        <f t="shared" si="25"/>
        <v>242667.14402764972</v>
      </c>
      <c r="R243" s="5">
        <f t="shared" si="26"/>
        <v>182.61385075496599</v>
      </c>
      <c r="S243" s="5">
        <f t="shared" si="27"/>
        <v>119964.36252358077</v>
      </c>
    </row>
    <row r="244" spans="1:19">
      <c r="A244">
        <v>241</v>
      </c>
      <c r="B244" s="2">
        <v>204.07671232876714</v>
      </c>
      <c r="C244" s="2">
        <v>102.03835616438357</v>
      </c>
      <c r="D244" s="2">
        <v>100.15460329330513</v>
      </c>
      <c r="E244" s="2">
        <v>142.96580767683446</v>
      </c>
      <c r="F244" s="2">
        <v>181.85460643001699</v>
      </c>
      <c r="G244" s="2">
        <v>161.24202519200824</v>
      </c>
      <c r="H244" s="2">
        <f t="shared" si="21"/>
        <v>241</v>
      </c>
      <c r="I244" s="4">
        <v>241686.32727579135</v>
      </c>
      <c r="J244" s="6">
        <v>118612.25101826884</v>
      </c>
      <c r="K244" s="2">
        <v>169313.19889045748</v>
      </c>
      <c r="L244" s="2">
        <v>215368.87489371683</v>
      </c>
      <c r="M244" s="2">
        <v>190957.56897723125</v>
      </c>
      <c r="N244" s="3">
        <f t="shared" si="22"/>
        <v>242845.24749756529</v>
      </c>
      <c r="O244" s="5">
        <f t="shared" si="23"/>
        <v>120063.97883554138</v>
      </c>
      <c r="P244" s="3">
        <f t="shared" si="24"/>
        <v>161.22760736705945</v>
      </c>
      <c r="Q244" s="3">
        <f t="shared" si="25"/>
        <v>242845.24749756529</v>
      </c>
      <c r="R244" s="5">
        <f t="shared" si="26"/>
        <v>183.17650068277084</v>
      </c>
      <c r="S244" s="5">
        <f t="shared" si="27"/>
        <v>120063.97883554138</v>
      </c>
    </row>
    <row r="245" spans="1:19">
      <c r="A245">
        <v>242</v>
      </c>
      <c r="B245" s="2">
        <v>203.24147339699866</v>
      </c>
      <c r="C245" s="2">
        <v>101.62073669849933</v>
      </c>
      <c r="D245" s="2">
        <v>99.744693593605191</v>
      </c>
      <c r="E245" s="2">
        <v>142.38068158811603</v>
      </c>
      <c r="F245" s="2">
        <v>181.11031745417785</v>
      </c>
      <c r="G245" s="2">
        <v>160.58209875875298</v>
      </c>
      <c r="H245" s="2">
        <f t="shared" si="21"/>
        <v>242</v>
      </c>
      <c r="I245" s="4">
        <v>241889.56874918836</v>
      </c>
      <c r="J245" s="6">
        <v>118711.99571186244</v>
      </c>
      <c r="K245" s="2">
        <v>169455.57957204559</v>
      </c>
      <c r="L245" s="2">
        <v>215549.98521117101</v>
      </c>
      <c r="M245" s="2">
        <v>191118.15107599</v>
      </c>
      <c r="N245" s="3">
        <f t="shared" si="22"/>
        <v>243022.27768396694</v>
      </c>
      <c r="O245" s="5">
        <f t="shared" si="23"/>
        <v>120163.06478735815</v>
      </c>
      <c r="P245" s="3">
        <f t="shared" si="24"/>
        <v>161.64744887041599</v>
      </c>
      <c r="Q245" s="3">
        <f t="shared" si="25"/>
        <v>243022.27768396694</v>
      </c>
      <c r="R245" s="5">
        <f t="shared" si="26"/>
        <v>183.73780677602832</v>
      </c>
      <c r="S245" s="5">
        <f t="shared" si="27"/>
        <v>120163.06478735815</v>
      </c>
    </row>
    <row r="246" spans="1:19">
      <c r="A246">
        <v>243</v>
      </c>
      <c r="B246" s="2">
        <v>202.41304347826087</v>
      </c>
      <c r="C246" s="2">
        <v>101.20652173913044</v>
      </c>
      <c r="D246" s="2">
        <v>99.33812554906612</v>
      </c>
      <c r="E246" s="2">
        <v>141.80032554903414</v>
      </c>
      <c r="F246" s="2">
        <v>180.37209605151142</v>
      </c>
      <c r="G246" s="2">
        <v>159.92755216055167</v>
      </c>
      <c r="H246" s="2">
        <f t="shared" si="21"/>
        <v>243</v>
      </c>
      <c r="I246" s="4">
        <v>242091.98179266663</v>
      </c>
      <c r="J246" s="6">
        <v>118811.33383741151</v>
      </c>
      <c r="K246" s="2">
        <v>169597.37989759463</v>
      </c>
      <c r="L246" s="2">
        <v>215730.35730722253</v>
      </c>
      <c r="M246" s="2">
        <v>191278.07862815054</v>
      </c>
      <c r="N246" s="3">
        <f t="shared" si="22"/>
        <v>243198.24357151339</v>
      </c>
      <c r="O246" s="5">
        <f t="shared" si="23"/>
        <v>120261.62466730052</v>
      </c>
      <c r="P246" s="3">
        <f t="shared" si="24"/>
        <v>162.06578429717649</v>
      </c>
      <c r="Q246" s="3">
        <f t="shared" si="25"/>
        <v>243198.24357151339</v>
      </c>
      <c r="R246" s="5">
        <f t="shared" si="26"/>
        <v>184.29777224435622</v>
      </c>
      <c r="S246" s="5">
        <f t="shared" si="27"/>
        <v>120261.62466730052</v>
      </c>
    </row>
    <row r="247" spans="1:19">
      <c r="A247">
        <v>244</v>
      </c>
      <c r="B247" s="2">
        <v>201.59133964817323</v>
      </c>
      <c r="C247" s="2">
        <v>100.79566982408662</v>
      </c>
      <c r="D247" s="2">
        <v>98.934858462940042</v>
      </c>
      <c r="E247" s="2">
        <v>141.22468146696764</v>
      </c>
      <c r="F247" s="2">
        <v>179.63986832735097</v>
      </c>
      <c r="G247" s="2">
        <v>159.27831987843842</v>
      </c>
      <c r="H247" s="2">
        <f t="shared" si="21"/>
        <v>244</v>
      </c>
      <c r="I247" s="4">
        <v>242293.57313231481</v>
      </c>
      <c r="J247" s="6">
        <v>118910.26869587445</v>
      </c>
      <c r="K247" s="2">
        <v>169738.60457906159</v>
      </c>
      <c r="L247" s="2">
        <v>215909.99717554988</v>
      </c>
      <c r="M247" s="2">
        <v>191437.35694802899</v>
      </c>
      <c r="N247" s="3">
        <f t="shared" si="22"/>
        <v>243373.15404001402</v>
      </c>
      <c r="O247" s="5">
        <f t="shared" si="23"/>
        <v>120359.66271382553</v>
      </c>
      <c r="P247" s="3">
        <f t="shared" si="24"/>
        <v>162.48261905001482</v>
      </c>
      <c r="Q247" s="3">
        <f t="shared" si="25"/>
        <v>243373.15404001402</v>
      </c>
      <c r="R247" s="5">
        <f t="shared" si="26"/>
        <v>184.85640028970673</v>
      </c>
      <c r="S247" s="5">
        <f t="shared" si="27"/>
        <v>120359.66271382553</v>
      </c>
    </row>
    <row r="248" spans="1:19">
      <c r="A248">
        <v>245</v>
      </c>
      <c r="B248" s="2">
        <v>200.77628032345012</v>
      </c>
      <c r="C248" s="2">
        <v>100.38814016172506</v>
      </c>
      <c r="D248" s="2">
        <v>98.534852296647784</v>
      </c>
      <c r="E248" s="2">
        <v>140.65369218879934</v>
      </c>
      <c r="F248" s="2">
        <v>178.91356158209214</v>
      </c>
      <c r="G248" s="2">
        <v>158.63433745305392</v>
      </c>
      <c r="H248" s="2">
        <f t="shared" si="21"/>
        <v>245</v>
      </c>
      <c r="I248" s="4">
        <v>242494.34941263826</v>
      </c>
      <c r="J248" s="6">
        <v>119008.8035481711</v>
      </c>
      <c r="K248" s="2">
        <v>169879.25827125038</v>
      </c>
      <c r="L248" s="2">
        <v>216088.91073713198</v>
      </c>
      <c r="M248" s="2">
        <v>191595.99128548204</v>
      </c>
      <c r="N248" s="3">
        <f t="shared" si="22"/>
        <v>243547.01786604364</v>
      </c>
      <c r="O248" s="5">
        <f t="shared" si="23"/>
        <v>120457.18311634485</v>
      </c>
      <c r="P248" s="3">
        <f t="shared" si="24"/>
        <v>162.89795851222414</v>
      </c>
      <c r="Q248" s="3">
        <f t="shared" si="25"/>
        <v>243547.01786604364</v>
      </c>
      <c r="R248" s="5">
        <f t="shared" si="26"/>
        <v>185.41369410638427</v>
      </c>
      <c r="S248" s="5">
        <f t="shared" si="27"/>
        <v>120457.18311634485</v>
      </c>
    </row>
    <row r="249" spans="1:19">
      <c r="A249">
        <v>246</v>
      </c>
      <c r="B249" s="2">
        <v>199.96778523489934</v>
      </c>
      <c r="C249" s="2">
        <v>99.983892617449669</v>
      </c>
      <c r="D249" s="2">
        <v>98.138067656527056</v>
      </c>
      <c r="E249" s="2">
        <v>140.08730148199885</v>
      </c>
      <c r="F249" s="2">
        <v>178.19310428713067</v>
      </c>
      <c r="G249" s="2">
        <v>157.99554146331005</v>
      </c>
      <c r="H249" s="2">
        <f t="shared" si="21"/>
        <v>246</v>
      </c>
      <c r="I249" s="4">
        <v>242694.31719787317</v>
      </c>
      <c r="J249" s="6">
        <v>119106.94161582763</v>
      </c>
      <c r="K249" s="2">
        <v>170019.34557273239</v>
      </c>
      <c r="L249" s="2">
        <v>216267.10384141913</v>
      </c>
      <c r="M249" s="2">
        <v>191753.98682694536</v>
      </c>
      <c r="N249" s="3">
        <f t="shared" si="22"/>
        <v>243719.84372452658</v>
      </c>
      <c r="O249" s="5">
        <f t="shared" si="23"/>
        <v>120554.19001597655</v>
      </c>
      <c r="P249" s="3">
        <f t="shared" si="24"/>
        <v>163.31180804778631</v>
      </c>
      <c r="Q249" s="3">
        <f t="shared" si="25"/>
        <v>243719.84372452658</v>
      </c>
      <c r="R249" s="5">
        <f t="shared" si="26"/>
        <v>185.96965688106405</v>
      </c>
      <c r="S249" s="5">
        <f t="shared" si="27"/>
        <v>120554.19001597655</v>
      </c>
    </row>
    <row r="250" spans="1:19">
      <c r="A250">
        <v>247</v>
      </c>
      <c r="B250" s="2">
        <v>199.16577540106954</v>
      </c>
      <c r="C250" s="2">
        <v>99.582887700534769</v>
      </c>
      <c r="D250" s="2">
        <v>97.744465780899347</v>
      </c>
      <c r="E250" s="2">
        <v>139.52545401616194</v>
      </c>
      <c r="F250" s="2">
        <v>177.47842606138022</v>
      </c>
      <c r="G250" s="2">
        <v>157.36186950556956</v>
      </c>
      <c r="H250" s="2">
        <f t="shared" si="21"/>
        <v>247</v>
      </c>
      <c r="I250" s="4">
        <v>242893.48297327425</v>
      </c>
      <c r="J250" s="6">
        <v>119204.68608160852</v>
      </c>
      <c r="K250" s="2">
        <v>170158.87102674856</v>
      </c>
      <c r="L250" s="2">
        <v>216444.58226748049</v>
      </c>
      <c r="M250" s="2">
        <v>191911.34869645094</v>
      </c>
      <c r="N250" s="3">
        <f t="shared" si="22"/>
        <v>243891.64019028991</v>
      </c>
      <c r="O250" s="5">
        <f t="shared" si="23"/>
        <v>120650.68750628296</v>
      </c>
      <c r="P250" s="3">
        <f t="shared" si="24"/>
        <v>163.72417300144124</v>
      </c>
      <c r="Q250" s="3">
        <f t="shared" si="25"/>
        <v>243891.64019028991</v>
      </c>
      <c r="R250" s="5">
        <f t="shared" si="26"/>
        <v>186.52429179281035</v>
      </c>
      <c r="S250" s="5">
        <f t="shared" si="27"/>
        <v>120650.68750628296</v>
      </c>
    </row>
    <row r="251" spans="1:19">
      <c r="A251">
        <v>248</v>
      </c>
      <c r="B251" s="2">
        <v>198.37017310252998</v>
      </c>
      <c r="C251" s="2">
        <v>99.185086551264988</v>
      </c>
      <c r="D251" s="2">
        <v>97.354008527447021</v>
      </c>
      <c r="E251" s="2">
        <v>138.96809534499215</v>
      </c>
      <c r="F251" s="2">
        <v>176.76945764835207</v>
      </c>
      <c r="G251" s="2">
        <v>156.7332601733236</v>
      </c>
      <c r="H251" s="2">
        <f t="shared" si="21"/>
        <v>248</v>
      </c>
      <c r="I251" s="4">
        <v>243091.85314637679</v>
      </c>
      <c r="J251" s="6">
        <v>119302.04009013597</v>
      </c>
      <c r="K251" s="2">
        <v>170297.83912209354</v>
      </c>
      <c r="L251" s="2">
        <v>216621.35172512886</v>
      </c>
      <c r="M251" s="2">
        <v>192068.08195662426</v>
      </c>
      <c r="N251" s="3">
        <f t="shared" si="22"/>
        <v>244062.4157395873</v>
      </c>
      <c r="O251" s="5">
        <f t="shared" si="23"/>
        <v>120746.67963399415</v>
      </c>
      <c r="P251" s="3">
        <f t="shared" si="24"/>
        <v>164.13505869875598</v>
      </c>
      <c r="Q251" s="3">
        <f t="shared" si="25"/>
        <v>244062.4157395873</v>
      </c>
      <c r="R251" s="5">
        <f t="shared" si="26"/>
        <v>187.07760201309432</v>
      </c>
      <c r="S251" s="5">
        <f t="shared" si="27"/>
        <v>120746.67963399415</v>
      </c>
    </row>
    <row r="252" spans="1:19">
      <c r="A252">
        <v>249</v>
      </c>
      <c r="B252" s="2">
        <v>197.58090185676394</v>
      </c>
      <c r="C252" s="2">
        <v>98.790450928381972</v>
      </c>
      <c r="D252" s="2">
        <v>96.966658360892112</v>
      </c>
      <c r="E252" s="2">
        <v>138.41517188871245</v>
      </c>
      <c r="F252" s="2">
        <v>176.06613089378305</v>
      </c>
      <c r="G252" s="2">
        <v>156.10965303735554</v>
      </c>
      <c r="H252" s="2">
        <f t="shared" si="21"/>
        <v>249</v>
      </c>
      <c r="I252" s="4">
        <v>243289.43404823355</v>
      </c>
      <c r="J252" s="6">
        <v>119399.00674849686</v>
      </c>
      <c r="K252" s="2">
        <v>170436.25429398226</v>
      </c>
      <c r="L252" s="2">
        <v>216797.41785602263</v>
      </c>
      <c r="M252" s="2">
        <v>192224.19160966162</v>
      </c>
      <c r="N252" s="3">
        <f t="shared" si="22"/>
        <v>244232.17875159424</v>
      </c>
      <c r="O252" s="5">
        <f t="shared" si="23"/>
        <v>120842.17039971777</v>
      </c>
      <c r="P252" s="3">
        <f t="shared" si="24"/>
        <v>164.54447044619346</v>
      </c>
      <c r="Q252" s="3">
        <f t="shared" si="25"/>
        <v>244232.17875159424</v>
      </c>
      <c r="R252" s="5">
        <f t="shared" si="26"/>
        <v>187.62959070581249</v>
      </c>
      <c r="S252" s="5">
        <f t="shared" si="27"/>
        <v>120842.17039971777</v>
      </c>
    </row>
    <row r="253" spans="1:19">
      <c r="A253">
        <v>250</v>
      </c>
      <c r="B253" s="2">
        <v>196.79788639365918</v>
      </c>
      <c r="C253" s="2">
        <v>98.398943196829592</v>
      </c>
      <c r="D253" s="2">
        <v>96.582378340967864</v>
      </c>
      <c r="E253" s="2">
        <v>137.86663091689439</v>
      </c>
      <c r="F253" s="2">
        <v>175.36837872379439</v>
      </c>
      <c r="G253" s="2">
        <v>155.49098862637516</v>
      </c>
      <c r="H253" s="2">
        <f t="shared" si="21"/>
        <v>250</v>
      </c>
      <c r="I253" s="4">
        <v>243486.23193462723</v>
      </c>
      <c r="J253" s="6">
        <v>119495.58912683783</v>
      </c>
      <c r="K253" s="2">
        <v>170574.12092489915</v>
      </c>
      <c r="L253" s="2">
        <v>216972.78623474643</v>
      </c>
      <c r="M253" s="2">
        <v>192379.682598288</v>
      </c>
      <c r="N253" s="3">
        <f t="shared" si="22"/>
        <v>244400.9375098742</v>
      </c>
      <c r="O253" s="5">
        <f t="shared" si="23"/>
        <v>120937.16375863543</v>
      </c>
      <c r="P253" s="3">
        <f t="shared" si="24"/>
        <v>164.95241353118089</v>
      </c>
      <c r="Q253" s="3">
        <f t="shared" si="25"/>
        <v>244400.9375098742</v>
      </c>
      <c r="R253" s="5">
        <f t="shared" si="26"/>
        <v>188.18026102730485</v>
      </c>
      <c r="S253" s="5">
        <f t="shared" si="27"/>
        <v>120937.16375863543</v>
      </c>
    </row>
    <row r="254" spans="1:19">
      <c r="A254">
        <v>251</v>
      </c>
      <c r="B254" s="2">
        <v>196.02105263157895</v>
      </c>
      <c r="C254" s="2">
        <v>98.010526315789477</v>
      </c>
      <c r="D254" s="2">
        <v>96.201132110674564</v>
      </c>
      <c r="E254" s="2">
        <v>137.32242053169625</v>
      </c>
      <c r="F254" s="2">
        <v>174.67613512356891</v>
      </c>
      <c r="G254" s="2">
        <v>154.87720840811318</v>
      </c>
      <c r="H254" s="2">
        <f t="shared" si="21"/>
        <v>251</v>
      </c>
      <c r="I254" s="4">
        <v>243682.25298725881</v>
      </c>
      <c r="J254" s="6">
        <v>119591.7902589485</v>
      </c>
      <c r="K254" s="2">
        <v>170711.44334543086</v>
      </c>
      <c r="L254" s="2">
        <v>217147.46236986999</v>
      </c>
      <c r="M254" s="2">
        <v>192534.55980669611</v>
      </c>
      <c r="N254" s="3">
        <f t="shared" si="22"/>
        <v>244568.70020381777</v>
      </c>
      <c r="O254" s="5">
        <f t="shared" si="23"/>
        <v>121031.66362118593</v>
      </c>
      <c r="P254" s="3">
        <f t="shared" si="24"/>
        <v>165.35889322217824</v>
      </c>
      <c r="Q254" s="3">
        <f t="shared" si="25"/>
        <v>244568.70020381777</v>
      </c>
      <c r="R254" s="5">
        <f t="shared" si="26"/>
        <v>188.72961612637255</v>
      </c>
      <c r="S254" s="5">
        <f t="shared" si="27"/>
        <v>121031.66362118593</v>
      </c>
    </row>
    <row r="255" spans="1:19">
      <c r="A255">
        <v>252</v>
      </c>
      <c r="B255" s="2">
        <v>195.2503276539974</v>
      </c>
      <c r="C255" s="2">
        <v>97.625163826998701</v>
      </c>
      <c r="D255" s="2">
        <v>95.82288388481355</v>
      </c>
      <c r="E255" s="2">
        <v>136.78248965149299</v>
      </c>
      <c r="F255" s="2">
        <v>173.98933511652999</v>
      </c>
      <c r="G255" s="2">
        <v>154.26825477085981</v>
      </c>
      <c r="H255" s="2">
        <f t="shared" si="21"/>
        <v>252</v>
      </c>
      <c r="I255" s="4">
        <v>243877.50331491281</v>
      </c>
      <c r="J255" s="6">
        <v>119687.61314283332</v>
      </c>
      <c r="K255" s="2">
        <v>170848.22583508235</v>
      </c>
      <c r="L255" s="2">
        <v>217321.45170498651</v>
      </c>
      <c r="M255" s="2">
        <v>192688.82806146698</v>
      </c>
      <c r="N255" s="3">
        <f t="shared" si="22"/>
        <v>244735.47493005457</v>
      </c>
      <c r="O255" s="5">
        <f t="shared" si="23"/>
        <v>121125.67385373577</v>
      </c>
      <c r="P255" s="3">
        <f t="shared" si="24"/>
        <v>165.76391476874613</v>
      </c>
      <c r="Q255" s="3">
        <f t="shared" si="25"/>
        <v>244735.47493005457</v>
      </c>
      <c r="R255" s="5">
        <f t="shared" si="26"/>
        <v>189.27765914429625</v>
      </c>
      <c r="S255" s="5">
        <f t="shared" si="27"/>
        <v>121125.67385373577</v>
      </c>
    </row>
    <row r="256" spans="1:19">
      <c r="A256">
        <v>253</v>
      </c>
      <c r="B256" s="2">
        <v>194.4856396866841</v>
      </c>
      <c r="C256" s="2">
        <v>97.242819843342048</v>
      </c>
      <c r="D256" s="2">
        <v>95.447598438789456</v>
      </c>
      <c r="E256" s="2">
        <v>136.2467879948945</v>
      </c>
      <c r="F256" s="2">
        <v>173.30791474401096</v>
      </c>
      <c r="G256" s="2">
        <v>153.6640710054387</v>
      </c>
      <c r="H256" s="2">
        <f t="shared" si="21"/>
        <v>253</v>
      </c>
      <c r="I256" s="4">
        <v>244071.98895459951</v>
      </c>
      <c r="J256" s="6">
        <v>119783.0607412721</v>
      </c>
      <c r="K256" s="2">
        <v>170984.47262307725</v>
      </c>
      <c r="L256" s="2">
        <v>217494.75961973052</v>
      </c>
      <c r="M256" s="2">
        <v>192842.49213247243</v>
      </c>
      <c r="N256" s="3">
        <f t="shared" si="22"/>
        <v>244901.26969383887</v>
      </c>
      <c r="O256" s="5">
        <f t="shared" si="23"/>
        <v>121219.19827923689</v>
      </c>
      <c r="P256" s="3">
        <f t="shared" si="24"/>
        <v>166.16748340161379</v>
      </c>
      <c r="Q256" s="3">
        <f t="shared" si="25"/>
        <v>244901.26969383887</v>
      </c>
      <c r="R256" s="5">
        <f t="shared" si="26"/>
        <v>189.82439321485398</v>
      </c>
      <c r="S256" s="5">
        <f t="shared" si="27"/>
        <v>121219.19827923689</v>
      </c>
    </row>
    <row r="257" spans="1:19">
      <c r="A257">
        <v>254</v>
      </c>
      <c r="B257" s="2">
        <v>193.72691807542265</v>
      </c>
      <c r="C257" s="2">
        <v>96.863459037711323</v>
      </c>
      <c r="D257" s="2">
        <v>95.075241097675786</v>
      </c>
      <c r="E257" s="2">
        <v>135.71526606513544</v>
      </c>
      <c r="F257" s="2">
        <v>172.63181104539973</v>
      </c>
      <c r="G257" s="2">
        <v>153.06460128760213</v>
      </c>
      <c r="H257" s="2">
        <f t="shared" si="21"/>
        <v>254</v>
      </c>
      <c r="I257" s="4">
        <v>244265.71587267492</v>
      </c>
      <c r="J257" s="6">
        <v>119878.13598236977</v>
      </c>
      <c r="K257" s="2">
        <v>171120.1878891424</v>
      </c>
      <c r="L257" s="2">
        <v>217667.39143077593</v>
      </c>
      <c r="M257" s="2">
        <v>192995.55673376002</v>
      </c>
      <c r="N257" s="3">
        <f t="shared" si="22"/>
        <v>245066.0924104088</v>
      </c>
      <c r="O257" s="5">
        <f t="shared" si="23"/>
        <v>121312.24067787237</v>
      </c>
      <c r="P257" s="3">
        <f t="shared" si="24"/>
        <v>166.56960433274639</v>
      </c>
      <c r="Q257" s="3">
        <f t="shared" si="25"/>
        <v>245066.0924104088</v>
      </c>
      <c r="R257" s="5">
        <f t="shared" si="26"/>
        <v>190.36982146433905</v>
      </c>
      <c r="S257" s="5">
        <f t="shared" si="27"/>
        <v>121312.24067787237</v>
      </c>
    </row>
    <row r="258" spans="1:19">
      <c r="A258">
        <v>255</v>
      </c>
      <c r="B258" s="2">
        <v>192.97409326424872</v>
      </c>
      <c r="C258" s="2">
        <v>96.487046632124361</v>
      </c>
      <c r="D258" s="2">
        <v>94.705777725534617</v>
      </c>
      <c r="E258" s="2">
        <v>135.18787513483051</v>
      </c>
      <c r="F258" s="2">
        <v>171.96096203874657</v>
      </c>
      <c r="G258" s="2">
        <v>152.46979066083679</v>
      </c>
      <c r="H258" s="2">
        <f t="shared" si="21"/>
        <v>255</v>
      </c>
      <c r="I258" s="4">
        <v>244458.68996593918</v>
      </c>
      <c r="J258" s="6">
        <v>119972.84176009531</v>
      </c>
      <c r="K258" s="2">
        <v>171255.37576427724</v>
      </c>
      <c r="L258" s="2">
        <v>217839.35239281468</v>
      </c>
      <c r="M258" s="2">
        <v>193148.02652442086</v>
      </c>
      <c r="N258" s="3">
        <f t="shared" si="22"/>
        <v>245229.95090632149</v>
      </c>
      <c r="O258" s="5">
        <f t="shared" si="23"/>
        <v>121404.80478768999</v>
      </c>
      <c r="P258" s="3">
        <f t="shared" si="24"/>
        <v>166.97028275541265</v>
      </c>
      <c r="Q258" s="3">
        <f t="shared" si="25"/>
        <v>245229.95090632149</v>
      </c>
      <c r="R258" s="5">
        <f t="shared" si="26"/>
        <v>190.91394701157785</v>
      </c>
      <c r="S258" s="5">
        <f t="shared" si="27"/>
        <v>121404.80478768999</v>
      </c>
    </row>
    <row r="259" spans="1:19">
      <c r="A259">
        <v>256</v>
      </c>
      <c r="B259" s="2">
        <v>192.22709677419357</v>
      </c>
      <c r="C259" s="2">
        <v>96.113548387096785</v>
      </c>
      <c r="D259" s="2">
        <v>94.339174714984139</v>
      </c>
      <c r="E259" s="2">
        <v>134.66456723108271</v>
      </c>
      <c r="F259" s="2">
        <v>171.29530670182248</v>
      </c>
      <c r="G259" s="2">
        <v>151.87958501956908</v>
      </c>
      <c r="H259" s="2">
        <f t="shared" si="21"/>
        <v>256</v>
      </c>
      <c r="I259" s="4">
        <v>244650.91706271339</v>
      </c>
      <c r="J259" s="6">
        <v>120067.1809348103</v>
      </c>
      <c r="K259" s="2">
        <v>171390.04033150832</v>
      </c>
      <c r="L259" s="2">
        <v>218010.6476995165</v>
      </c>
      <c r="M259" s="2">
        <v>193299.90610944043</v>
      </c>
      <c r="N259" s="3">
        <f t="shared" si="22"/>
        <v>245392.85292076197</v>
      </c>
      <c r="O259" s="5">
        <f t="shared" si="23"/>
        <v>121496.89430522427</v>
      </c>
      <c r="P259" s="3">
        <f t="shared" si="24"/>
        <v>167.36952384425149</v>
      </c>
      <c r="Q259" s="3">
        <f t="shared" si="25"/>
        <v>245392.85292076197</v>
      </c>
      <c r="R259" s="5">
        <f t="shared" si="26"/>
        <v>191.45677296794784</v>
      </c>
      <c r="S259" s="5">
        <f t="shared" si="27"/>
        <v>121496.89430522427</v>
      </c>
    </row>
    <row r="260" spans="1:19">
      <c r="A260">
        <v>257</v>
      </c>
      <c r="B260" s="2">
        <v>191.4858611825193</v>
      </c>
      <c r="C260" s="2">
        <v>95.74293059125965</v>
      </c>
      <c r="D260" s="2">
        <v>93.975398977008666</v>
      </c>
      <c r="E260" s="2">
        <v>134.14529512093728</v>
      </c>
      <c r="F260" s="2">
        <v>170.63478495361494</v>
      </c>
      <c r="G260" s="2">
        <v>151.29393109275853</v>
      </c>
      <c r="H260" s="2">
        <f t="shared" si="21"/>
        <v>257</v>
      </c>
      <c r="I260" s="4">
        <v>244842.40292389592</v>
      </c>
      <c r="J260" s="6">
        <v>120161.15633378731</v>
      </c>
      <c r="K260" s="2">
        <v>171524.18562662927</v>
      </c>
      <c r="L260" s="2">
        <v>218181.28248447011</v>
      </c>
      <c r="M260" s="2">
        <v>193451.20004053318</v>
      </c>
      <c r="N260" s="3">
        <f t="shared" si="22"/>
        <v>245554.8061068294</v>
      </c>
      <c r="O260" s="5">
        <f t="shared" si="23"/>
        <v>121588.51288610668</v>
      </c>
      <c r="P260" s="3">
        <f t="shared" si="24"/>
        <v>167.76733275533931</v>
      </c>
      <c r="Q260" s="3">
        <f t="shared" si="25"/>
        <v>245554.8061068294</v>
      </c>
      <c r="R260" s="5">
        <f t="shared" si="26"/>
        <v>191.99830243739518</v>
      </c>
      <c r="S260" s="5">
        <f t="shared" si="27"/>
        <v>121588.51288610668</v>
      </c>
    </row>
    <row r="261" spans="1:19">
      <c r="A261">
        <v>258</v>
      </c>
      <c r="B261" s="2">
        <v>190.7503201024328</v>
      </c>
      <c r="C261" s="2">
        <v>95.375160051216398</v>
      </c>
      <c r="D261" s="2">
        <v>93.614417931002123</v>
      </c>
      <c r="E261" s="2">
        <v>133.6300122971692</v>
      </c>
      <c r="F261" s="2">
        <v>169.97933763625144</v>
      </c>
      <c r="G261" s="2">
        <v>150.71277642786944</v>
      </c>
      <c r="H261" s="2">
        <f t="shared" ref="H261:H324" si="28">+$A261</f>
        <v>258</v>
      </c>
      <c r="I261" s="4">
        <v>245033.15324399836</v>
      </c>
      <c r="J261" s="6">
        <v>120254.77075171832</v>
      </c>
      <c r="K261" s="2">
        <v>171657.81563892643</v>
      </c>
      <c r="L261" s="2">
        <v>218351.26182210637</v>
      </c>
      <c r="M261" s="2">
        <v>193601.91281696103</v>
      </c>
      <c r="N261" s="3">
        <f t="shared" ref="N261:N324" si="29">+$Q261</f>
        <v>245715.81803279862</v>
      </c>
      <c r="O261" s="5">
        <f t="shared" ref="O261:O324" si="30">+$S261</f>
        <v>121679.66414566502</v>
      </c>
      <c r="P261" s="3">
        <f t="shared" ref="P261:P324" si="31">+(1-EXP(-$P$2*$H261))/$P$2</f>
        <v>168.16371462625628</v>
      </c>
      <c r="Q261" s="3">
        <f t="shared" ref="Q261:Q324" si="32">+$Q$2/(1+1/SQRT($Q$3*$P261))</f>
        <v>245715.81803279862</v>
      </c>
      <c r="R261" s="5">
        <f t="shared" ref="R261:R324" si="33">+(1-EXP(-$R$2*$H261))/$R$2</f>
        <v>192.53853851645263</v>
      </c>
      <c r="S261" s="5">
        <f t="shared" ref="S261:S324" si="34">+$S$2/(1+1/SQRT($S$3*$R261))</f>
        <v>121679.66414566502</v>
      </c>
    </row>
    <row r="262" spans="1:19">
      <c r="A262">
        <v>259</v>
      </c>
      <c r="B262" s="2">
        <v>190.02040816326533</v>
      </c>
      <c r="C262" s="2">
        <v>95.010204081632665</v>
      </c>
      <c r="D262" s="2">
        <v>93.256199495041685</v>
      </c>
      <c r="E262" s="2">
        <v>133.11867296439942</v>
      </c>
      <c r="F262" s="2">
        <v>169.32890649733727</v>
      </c>
      <c r="G262" s="2">
        <v>150.1360693752118</v>
      </c>
      <c r="H262" s="2">
        <f t="shared" si="28"/>
        <v>259</v>
      </c>
      <c r="I262" s="4">
        <v>245223.17365216161</v>
      </c>
      <c r="J262" s="6">
        <v>120348.02695121335</v>
      </c>
      <c r="K262" s="2">
        <v>171790.93431189083</v>
      </c>
      <c r="L262" s="2">
        <v>218520.59072860371</v>
      </c>
      <c r="M262" s="2">
        <v>193752.04888633624</v>
      </c>
      <c r="N262" s="3">
        <f t="shared" si="29"/>
        <v>245875.89618335955</v>
      </c>
      <c r="O262" s="5">
        <f t="shared" si="30"/>
        <v>121770.35165951174</v>
      </c>
      <c r="P262" s="3">
        <f t="shared" si="31"/>
        <v>168.5586745761529</v>
      </c>
      <c r="Q262" s="3">
        <f t="shared" si="32"/>
        <v>245875.89618335955</v>
      </c>
      <c r="R262" s="5">
        <f t="shared" si="33"/>
        <v>193.07748429425718</v>
      </c>
      <c r="S262" s="5">
        <f t="shared" si="34"/>
        <v>121770.35165951174</v>
      </c>
    </row>
    <row r="263" spans="1:19">
      <c r="A263">
        <v>260</v>
      </c>
      <c r="B263" s="2">
        <v>189.29606099110546</v>
      </c>
      <c r="C263" s="2">
        <v>94.648030495552732</v>
      </c>
      <c r="D263" s="2">
        <v>92.900712076382021</v>
      </c>
      <c r="E263" s="2">
        <v>132.61123202552614</v>
      </c>
      <c r="F263" s="2">
        <v>168.68343417269679</v>
      </c>
      <c r="G263" s="2">
        <v>149.56375907263782</v>
      </c>
      <c r="H263" s="2">
        <f t="shared" si="28"/>
        <v>260</v>
      </c>
      <c r="I263" s="4">
        <v>245412.46971315271</v>
      </c>
      <c r="J263" s="6">
        <v>120440.92766328974</v>
      </c>
      <c r="K263" s="2">
        <v>171923.54554391635</v>
      </c>
      <c r="L263" s="2">
        <v>218689.27416277642</v>
      </c>
      <c r="M263" s="2">
        <v>193901.61264540887</v>
      </c>
      <c r="N263" s="3">
        <f t="shared" si="29"/>
        <v>246035.04796083277</v>
      </c>
      <c r="O263" s="5">
        <f t="shared" si="30"/>
        <v>121860.57896412133</v>
      </c>
      <c r="P263" s="3">
        <f t="shared" si="31"/>
        <v>168.95221770581571</v>
      </c>
      <c r="Q263" s="3">
        <f t="shared" si="32"/>
        <v>246035.04796083277</v>
      </c>
      <c r="R263" s="5">
        <f t="shared" si="33"/>
        <v>193.61514285256766</v>
      </c>
      <c r="S263" s="5">
        <f t="shared" si="34"/>
        <v>121860.57896412133</v>
      </c>
    </row>
    <row r="264" spans="1:19">
      <c r="A264">
        <v>261</v>
      </c>
      <c r="B264" s="2">
        <v>188.57721518987341</v>
      </c>
      <c r="C264" s="2">
        <v>94.288607594936707</v>
      </c>
      <c r="D264" s="2">
        <v>92.54792456216795</v>
      </c>
      <c r="E264" s="2">
        <v>132.10764506846729</v>
      </c>
      <c r="F264" s="2">
        <v>168.04286416950939</v>
      </c>
      <c r="G264" s="2">
        <v>148.99579543058996</v>
      </c>
      <c r="H264" s="2">
        <f t="shared" si="28"/>
        <v>261</v>
      </c>
      <c r="I264" s="4">
        <v>245601.04692834258</v>
      </c>
      <c r="J264" s="6">
        <v>120533.47558785191</v>
      </c>
      <c r="K264" s="2">
        <v>172055.65318898481</v>
      </c>
      <c r="L264" s="2">
        <v>218857.31702694594</v>
      </c>
      <c r="M264" s="2">
        <v>194050.60844083945</v>
      </c>
      <c r="N264" s="3">
        <f t="shared" si="29"/>
        <v>246193.28068636448</v>
      </c>
      <c r="O264" s="5">
        <f t="shared" si="30"/>
        <v>121950.34955739742</v>
      </c>
      <c r="P264" s="3">
        <f t="shared" si="31"/>
        <v>169.3443490977339</v>
      </c>
      <c r="Q264" s="3">
        <f t="shared" si="32"/>
        <v>246193.28068636448</v>
      </c>
      <c r="R264" s="5">
        <f t="shared" si="33"/>
        <v>194.15151726578242</v>
      </c>
      <c r="S264" s="5">
        <f t="shared" si="34"/>
        <v>121950.34955739742</v>
      </c>
    </row>
    <row r="265" spans="1:19">
      <c r="A265">
        <v>262</v>
      </c>
      <c r="B265" s="2">
        <v>187.86380832282475</v>
      </c>
      <c r="C265" s="2">
        <v>93.931904161412376</v>
      </c>
      <c r="D265" s="2">
        <v>92.197806310356583</v>
      </c>
      <c r="E265" s="2">
        <v>131.60786835320204</v>
      </c>
      <c r="F265" s="2">
        <v>167.40714084982645</v>
      </c>
      <c r="G265" s="2">
        <v>148.4321291174856</v>
      </c>
      <c r="H265" s="2">
        <f t="shared" si="28"/>
        <v>262</v>
      </c>
      <c r="I265" s="4">
        <v>245788.91073666539</v>
      </c>
      <c r="J265" s="6">
        <v>120625.67339416227</v>
      </c>
      <c r="K265" s="2">
        <v>172187.26105733801</v>
      </c>
      <c r="L265" s="2">
        <v>219024.72416779576</v>
      </c>
      <c r="M265" s="2">
        <v>194199.04056995694</v>
      </c>
      <c r="N265" s="3">
        <f t="shared" si="29"/>
        <v>246350.60160109858</v>
      </c>
      <c r="O265" s="5">
        <f t="shared" si="30"/>
        <v>122039.66689922972</v>
      </c>
      <c r="P265" s="3">
        <f t="shared" si="31"/>
        <v>169.735073816164</v>
      </c>
      <c r="Q265" s="3">
        <f t="shared" si="32"/>
        <v>246350.60160109858</v>
      </c>
      <c r="R265" s="5">
        <f t="shared" si="33"/>
        <v>194.68661060095695</v>
      </c>
      <c r="S265" s="5">
        <f t="shared" si="34"/>
        <v>122039.66689922972</v>
      </c>
    </row>
    <row r="266" spans="1:19">
      <c r="A266">
        <v>263</v>
      </c>
      <c r="B266" s="2">
        <v>187.15577889447241</v>
      </c>
      <c r="C266" s="2">
        <v>93.577889447236203</v>
      </c>
      <c r="D266" s="2">
        <v>91.85032714084501</v>
      </c>
      <c r="E266" s="2">
        <v>131.1118587991069</v>
      </c>
      <c r="F266" s="2">
        <v>166.77620941446287</v>
      </c>
      <c r="G266" s="2">
        <v>147.87271154543478</v>
      </c>
      <c r="H266" s="2">
        <f t="shared" si="28"/>
        <v>263</v>
      </c>
      <c r="I266" s="4">
        <v>245976.06651555985</v>
      </c>
      <c r="J266" s="6">
        <v>120717.52372130311</v>
      </c>
      <c r="K266" s="2">
        <v>172318.3729161371</v>
      </c>
      <c r="L266" s="2">
        <v>219191.50037721024</v>
      </c>
      <c r="M266" s="2">
        <v>194346.91328150238</v>
      </c>
      <c r="N266" s="3">
        <f t="shared" si="29"/>
        <v>246507.0178673286</v>
      </c>
      <c r="O266" s="5">
        <f t="shared" si="30"/>
        <v>122128.53441204064</v>
      </c>
      <c r="P266" s="3">
        <f t="shared" si="31"/>
        <v>170.12439690719617</v>
      </c>
      <c r="Q266" s="3">
        <f t="shared" si="32"/>
        <v>246507.0178673286</v>
      </c>
      <c r="R266" s="5">
        <f t="shared" si="33"/>
        <v>195.22042591782144</v>
      </c>
      <c r="S266" s="5">
        <f t="shared" si="34"/>
        <v>122128.53441204064</v>
      </c>
    </row>
    <row r="267" spans="1:19">
      <c r="A267">
        <v>264</v>
      </c>
      <c r="B267" s="2">
        <v>186.45306633291617</v>
      </c>
      <c r="C267" s="2">
        <v>93.226533166458083</v>
      </c>
      <c r="D267" s="2">
        <v>91.505457326799345</v>
      </c>
      <c r="E267" s="2">
        <v>130.61957397257714</v>
      </c>
      <c r="F267" s="2">
        <v>166.15001588724957</v>
      </c>
      <c r="G267" s="2">
        <v>147.31749485627788</v>
      </c>
      <c r="H267" s="2">
        <f t="shared" si="28"/>
        <v>264</v>
      </c>
      <c r="I267" s="4">
        <v>246162.51958189276</v>
      </c>
      <c r="J267" s="6">
        <v>120809.02917862991</v>
      </c>
      <c r="K267" s="2">
        <v>172448.99249010967</v>
      </c>
      <c r="L267" s="2">
        <v>219357.65039309749</v>
      </c>
      <c r="M267" s="2">
        <v>194494.23077635866</v>
      </c>
      <c r="N267" s="3">
        <f t="shared" si="29"/>
        <v>246662.53656962808</v>
      </c>
      <c r="O267" s="5">
        <f t="shared" si="30"/>
        <v>122216.95548132225</v>
      </c>
      <c r="P267" s="3">
        <f t="shared" si="31"/>
        <v>170.51232339881878</v>
      </c>
      <c r="Q267" s="3">
        <f t="shared" si="32"/>
        <v>246662.53656962808</v>
      </c>
      <c r="R267" s="5">
        <f t="shared" si="33"/>
        <v>195.75296626879808</v>
      </c>
      <c r="S267" s="5">
        <f t="shared" si="34"/>
        <v>122216.95548132225</v>
      </c>
    </row>
    <row r="268" spans="1:19">
      <c r="A268">
        <v>265</v>
      </c>
      <c r="B268" s="2">
        <v>185.75561097256858</v>
      </c>
      <c r="C268" s="2">
        <v>92.877805486284288</v>
      </c>
      <c r="D268" s="2">
        <v>91.163167586175362</v>
      </c>
      <c r="E268" s="2">
        <v>130.13097207492402</v>
      </c>
      <c r="F268" s="2">
        <v>165.52850709964136</v>
      </c>
      <c r="G268" s="2">
        <v>146.76643190793766</v>
      </c>
      <c r="H268" s="2">
        <f t="shared" si="28"/>
        <v>265</v>
      </c>
      <c r="I268" s="4">
        <v>246348.27519286532</v>
      </c>
      <c r="J268" s="6">
        <v>120900.19234621608</v>
      </c>
      <c r="K268" s="2">
        <v>172579.12346218459</v>
      </c>
      <c r="L268" s="2">
        <v>219523.17890019712</v>
      </c>
      <c r="M268" s="2">
        <v>194640.99720826661</v>
      </c>
      <c r="N268" s="3">
        <f t="shared" si="29"/>
        <v>246817.16471596158</v>
      </c>
      <c r="O268" s="5">
        <f t="shared" si="30"/>
        <v>122304.93345616377</v>
      </c>
      <c r="P268" s="3">
        <f t="shared" si="31"/>
        <v>170.89885830098365</v>
      </c>
      <c r="Q268" s="3">
        <f t="shared" si="32"/>
        <v>246817.16471596158</v>
      </c>
      <c r="R268" s="5">
        <f t="shared" si="33"/>
        <v>196.2842346990187</v>
      </c>
      <c r="S268" s="5">
        <f t="shared" si="34"/>
        <v>122304.93345616377</v>
      </c>
    </row>
    <row r="269" spans="1:19">
      <c r="A269">
        <v>266</v>
      </c>
      <c r="B269" s="2">
        <v>185.06335403726709</v>
      </c>
      <c r="C269" s="2">
        <v>92.531677018633545</v>
      </c>
      <c r="D269" s="2">
        <v>90.823429073431882</v>
      </c>
      <c r="E269" s="2">
        <v>129.64601193054546</v>
      </c>
      <c r="F269" s="2">
        <v>164.91163067566757</v>
      </c>
      <c r="G269" s="2">
        <v>146.21947626107578</v>
      </c>
      <c r="H269" s="2">
        <f t="shared" si="28"/>
        <v>266</v>
      </c>
      <c r="I269" s="4">
        <v>246533.33854690258</v>
      </c>
      <c r="J269" s="6">
        <v>120991.0157752895</v>
      </c>
      <c r="K269" s="2">
        <v>172708.76947411514</v>
      </c>
      <c r="L269" s="2">
        <v>219688.09053087278</v>
      </c>
      <c r="M269" s="2">
        <v>194787.2166845277</v>
      </c>
      <c r="N269" s="3">
        <f t="shared" si="29"/>
        <v>246970.90923877506</v>
      </c>
      <c r="O269" s="5">
        <f t="shared" si="30"/>
        <v>122392.4716497693</v>
      </c>
      <c r="P269" s="3">
        <f t="shared" si="31"/>
        <v>171.28400660567058</v>
      </c>
      <c r="Q269" s="3">
        <f t="shared" si="32"/>
        <v>246970.90923877506</v>
      </c>
      <c r="R269" s="5">
        <f t="shared" si="33"/>
        <v>196.81423424634212</v>
      </c>
      <c r="S269" s="5">
        <f t="shared" si="34"/>
        <v>122392.4716497693</v>
      </c>
    </row>
    <row r="270" spans="1:19">
      <c r="A270">
        <v>267</v>
      </c>
      <c r="B270" s="2">
        <v>184.37623762376239</v>
      </c>
      <c r="C270" s="2">
        <v>92.188118811881196</v>
      </c>
      <c r="D270" s="2">
        <v>90.486213371426544</v>
      </c>
      <c r="E270" s="2">
        <v>129.16465297535777</v>
      </c>
      <c r="F270" s="2">
        <v>164.29933501721828</v>
      </c>
      <c r="G270" s="2">
        <v>145.67658216604698</v>
      </c>
      <c r="H270" s="2">
        <f t="shared" si="28"/>
        <v>267</v>
      </c>
      <c r="I270" s="4">
        <v>246717.71478452635</v>
      </c>
      <c r="J270" s="6">
        <v>121081.50198866092</v>
      </c>
      <c r="K270" s="2">
        <v>172837.9341270905</v>
      </c>
      <c r="L270" s="2">
        <v>219852.38986589</v>
      </c>
      <c r="M270" s="2">
        <v>194932.89326669375</v>
      </c>
      <c r="N270" s="3">
        <f t="shared" si="29"/>
        <v>247123.77699606746</v>
      </c>
      <c r="O270" s="5">
        <f t="shared" si="30"/>
        <v>122479.57333996677</v>
      </c>
      <c r="P270" s="3">
        <f t="shared" si="31"/>
        <v>171.6677732869519</v>
      </c>
      <c r="Q270" s="3">
        <f t="shared" si="32"/>
        <v>247123.77699606746</v>
      </c>
      <c r="R270" s="5">
        <f t="shared" si="33"/>
        <v>197.34296794137154</v>
      </c>
      <c r="S270" s="5">
        <f t="shared" si="34"/>
        <v>122479.57333996677</v>
      </c>
    </row>
    <row r="271" spans="1:19">
      <c r="A271">
        <v>268</v>
      </c>
      <c r="B271" s="2">
        <v>183.69420468557337</v>
      </c>
      <c r="C271" s="2">
        <v>91.847102342786684</v>
      </c>
      <c r="D271" s="2">
        <v>90.151492483492859</v>
      </c>
      <c r="E271" s="2">
        <v>128.68685524548604</v>
      </c>
      <c r="F271" s="2">
        <v>163.69156928965776</v>
      </c>
      <c r="G271" s="2">
        <v>145.13770455014313</v>
      </c>
      <c r="H271" s="2">
        <f t="shared" si="28"/>
        <v>268</v>
      </c>
      <c r="I271" s="4">
        <v>246901.40898921192</v>
      </c>
      <c r="J271" s="6">
        <v>121171.65348114441</v>
      </c>
      <c r="K271" s="2">
        <v>172966.620982336</v>
      </c>
      <c r="L271" s="2">
        <v>220016.08143517966</v>
      </c>
      <c r="M271" s="2">
        <v>195078.03097124389</v>
      </c>
      <c r="N271" s="3">
        <f t="shared" si="29"/>
        <v>247275.77477244326</v>
      </c>
      <c r="O271" s="5">
        <f t="shared" si="30"/>
        <v>122566.24176970753</v>
      </c>
      <c r="P271" s="3">
        <f t="shared" si="31"/>
        <v>172.0501633010567</v>
      </c>
      <c r="Q271" s="3">
        <f t="shared" si="32"/>
        <v>247275.77477244326</v>
      </c>
      <c r="R271" s="5">
        <f t="shared" si="33"/>
        <v>197.87043880747191</v>
      </c>
      <c r="S271" s="5">
        <f t="shared" si="34"/>
        <v>122566.24176970753</v>
      </c>
    </row>
    <row r="272" spans="1:19">
      <c r="A272">
        <v>269</v>
      </c>
      <c r="B272" s="2">
        <v>183.01719901719903</v>
      </c>
      <c r="C272" s="2">
        <v>91.508599508599517</v>
      </c>
      <c r="D272" s="2">
        <v>89.819238825691244</v>
      </c>
      <c r="E272" s="2">
        <v>128.21257936620282</v>
      </c>
      <c r="F272" s="2">
        <v>163.08828340775474</v>
      </c>
      <c r="G272" s="2">
        <v>144.6027990051179</v>
      </c>
      <c r="H272" s="2">
        <f t="shared" si="28"/>
        <v>269</v>
      </c>
      <c r="I272" s="4">
        <v>247084.42618822912</v>
      </c>
      <c r="J272" s="6">
        <v>121261.4727199701</v>
      </c>
      <c r="K272" s="2">
        <v>173094.83356170219</v>
      </c>
      <c r="L272" s="2">
        <v>220179.16971858742</v>
      </c>
      <c r="M272" s="2">
        <v>195222.633770249</v>
      </c>
      <c r="N272" s="3">
        <f t="shared" si="29"/>
        <v>247426.90928014618</v>
      </c>
      <c r="O272" s="5">
        <f t="shared" si="30"/>
        <v>122652.48014755736</v>
      </c>
      <c r="P272" s="3">
        <f t="shared" si="31"/>
        <v>172.43118158643486</v>
      </c>
      <c r="Q272" s="3">
        <f t="shared" si="32"/>
        <v>247426.90928014618</v>
      </c>
      <c r="R272" s="5">
        <f t="shared" si="33"/>
        <v>198.39664986078716</v>
      </c>
      <c r="S272" s="5">
        <f t="shared" si="34"/>
        <v>122652.48014755736</v>
      </c>
    </row>
    <row r="273" spans="1:19">
      <c r="A273">
        <v>270</v>
      </c>
      <c r="B273" s="2">
        <v>182.34516523867808</v>
      </c>
      <c r="C273" s="2">
        <v>91.172582619339039</v>
      </c>
      <c r="D273" s="2">
        <v>89.489425219232132</v>
      </c>
      <c r="E273" s="2">
        <v>127.74178654111272</v>
      </c>
      <c r="F273" s="2">
        <v>162.48942802192454</v>
      </c>
      <c r="G273" s="2">
        <v>144.07182177498899</v>
      </c>
      <c r="H273" s="2">
        <f t="shared" si="28"/>
        <v>270</v>
      </c>
      <c r="I273" s="4">
        <v>247266.7713534678</v>
      </c>
      <c r="J273" s="6">
        <v>121350.96214518933</v>
      </c>
      <c r="K273" s="2">
        <v>173222.57534824332</v>
      </c>
      <c r="L273" s="2">
        <v>220341.65914660934</v>
      </c>
      <c r="M273" s="2">
        <v>195366.70559202399</v>
      </c>
      <c r="N273" s="3">
        <f t="shared" si="29"/>
        <v>247577.18716007491</v>
      </c>
      <c r="O273" s="5">
        <f t="shared" si="30"/>
        <v>122738.29164817874</v>
      </c>
      <c r="P273" s="3">
        <f t="shared" si="31"/>
        <v>172.81083306382078</v>
      </c>
      <c r="Q273" s="3">
        <f t="shared" si="32"/>
        <v>247577.18716007491</v>
      </c>
      <c r="R273" s="5">
        <f t="shared" si="33"/>
        <v>198.92160411025728</v>
      </c>
      <c r="S273" s="5">
        <f t="shared" si="34"/>
        <v>122738.29164817874</v>
      </c>
    </row>
    <row r="274" spans="1:19">
      <c r="A274">
        <v>271</v>
      </c>
      <c r="B274" s="2">
        <v>181.67804878048781</v>
      </c>
      <c r="C274" s="2">
        <v>90.839024390243907</v>
      </c>
      <c r="D274" s="2">
        <v>89.162024883064248</v>
      </c>
      <c r="E274" s="2">
        <v>127.27443854157205</v>
      </c>
      <c r="F274" s="2">
        <v>161.89495450477119</v>
      </c>
      <c r="G274" s="2">
        <v>143.54472974410487</v>
      </c>
      <c r="H274" s="2">
        <f t="shared" si="28"/>
        <v>271</v>
      </c>
      <c r="I274" s="4">
        <v>247448.44940224828</v>
      </c>
      <c r="J274" s="6">
        <v>121440.12417007239</v>
      </c>
      <c r="K274" s="2">
        <v>173349.84978678491</v>
      </c>
      <c r="L274" s="2">
        <v>220503.5541011141</v>
      </c>
      <c r="M274" s="2">
        <v>195510.25032176811</v>
      </c>
      <c r="N274" s="3">
        <f t="shared" si="29"/>
        <v>247726.61498278115</v>
      </c>
      <c r="O274" s="5">
        <f t="shared" si="30"/>
        <v>122823.67941280481</v>
      </c>
      <c r="P274" s="3">
        <f t="shared" si="31"/>
        <v>173.18912263629699</v>
      </c>
      <c r="Q274" s="3">
        <f t="shared" si="32"/>
        <v>247726.61498278115</v>
      </c>
      <c r="R274" s="5">
        <f t="shared" si="33"/>
        <v>199.44530455763595</v>
      </c>
      <c r="S274" s="5">
        <f t="shared" si="34"/>
        <v>122823.67941280481</v>
      </c>
    </row>
    <row r="275" spans="1:19">
      <c r="A275">
        <v>272</v>
      </c>
      <c r="B275" s="2">
        <v>181.01579586877278</v>
      </c>
      <c r="C275" s="2">
        <v>90.507897934386392</v>
      </c>
      <c r="D275" s="2">
        <v>88.837011426625367</v>
      </c>
      <c r="E275" s="2">
        <v>126.81049769634156</v>
      </c>
      <c r="F275" s="2">
        <v>161.30481493792513</v>
      </c>
      <c r="G275" s="2">
        <v>143.02148042547509</v>
      </c>
      <c r="H275" s="2">
        <f t="shared" si="28"/>
        <v>272</v>
      </c>
      <c r="I275" s="4">
        <v>247629.46519811705</v>
      </c>
      <c r="J275" s="6">
        <v>121528.96118149902</v>
      </c>
      <c r="K275" s="2">
        <v>173476.66028448124</v>
      </c>
      <c r="L275" s="2">
        <v>220664.85891605204</v>
      </c>
      <c r="M275" s="2">
        <v>195653.27180219357</v>
      </c>
      <c r="N275" s="3">
        <f t="shared" si="29"/>
        <v>247875.19924945009</v>
      </c>
      <c r="O275" s="5">
        <f t="shared" si="30"/>
        <v>122908.64654970478</v>
      </c>
      <c r="P275" s="3">
        <f t="shared" si="31"/>
        <v>173.5660551893574</v>
      </c>
      <c r="Q275" s="3">
        <f t="shared" si="32"/>
        <v>247875.19924945009</v>
      </c>
      <c r="R275" s="5">
        <f t="shared" si="33"/>
        <v>199.96775419750725</v>
      </c>
      <c r="S275" s="5">
        <f t="shared" si="34"/>
        <v>122908.64654970478</v>
      </c>
    </row>
    <row r="276" spans="1:19">
      <c r="A276">
        <v>273</v>
      </c>
      <c r="B276" s="2">
        <v>180.35835351089591</v>
      </c>
      <c r="C276" s="2">
        <v>90.179176755447955</v>
      </c>
      <c r="D276" s="2">
        <v>88.514358842751435</v>
      </c>
      <c r="E276" s="2">
        <v>126.34992688146382</v>
      </c>
      <c r="F276" s="2">
        <v>160.7189620991675</v>
      </c>
      <c r="G276" s="2">
        <v>142.50203194935352</v>
      </c>
      <c r="H276" s="2">
        <f t="shared" si="28"/>
        <v>273</v>
      </c>
      <c r="I276" s="4">
        <v>247809.82355162795</v>
      </c>
      <c r="J276" s="6">
        <v>121617.47554034177</v>
      </c>
      <c r="K276" s="2">
        <v>173603.01021136271</v>
      </c>
      <c r="L276" s="2">
        <v>220825.57787815121</v>
      </c>
      <c r="M276" s="2">
        <v>195795.77383414292</v>
      </c>
      <c r="N276" s="3">
        <f t="shared" si="29"/>
        <v>248022.94639286361</v>
      </c>
      <c r="O276" s="5">
        <f t="shared" si="30"/>
        <v>122993.19613464158</v>
      </c>
      <c r="P276" s="3">
        <f t="shared" si="31"/>
        <v>173.94163559097038</v>
      </c>
      <c r="Q276" s="3">
        <f t="shared" si="32"/>
        <v>248022.94639286361</v>
      </c>
      <c r="R276" s="5">
        <f t="shared" si="33"/>
        <v>200.48895601730317</v>
      </c>
      <c r="S276" s="5">
        <f t="shared" si="34"/>
        <v>122993.19613464158</v>
      </c>
    </row>
    <row r="277" spans="1:19">
      <c r="A277">
        <v>274</v>
      </c>
      <c r="B277" s="2">
        <v>179.70566948130281</v>
      </c>
      <c r="C277" s="2">
        <v>89.852834740651403</v>
      </c>
      <c r="D277" s="2">
        <v>88.194041500739061</v>
      </c>
      <c r="E277" s="2">
        <v>125.89268951036078</v>
      </c>
      <c r="F277" s="2">
        <v>160.13734944983395</v>
      </c>
      <c r="G277" s="2">
        <v>141.98634305206994</v>
      </c>
      <c r="H277" s="2">
        <f t="shared" si="28"/>
        <v>274</v>
      </c>
      <c r="I277" s="4">
        <v>247989.52922110926</v>
      </c>
      <c r="J277" s="6">
        <v>121705.66958184251</v>
      </c>
      <c r="K277" s="2">
        <v>173728.90290087307</v>
      </c>
      <c r="L277" s="2">
        <v>220985.71522760103</v>
      </c>
      <c r="M277" s="2">
        <v>195937.76017719498</v>
      </c>
      <c r="N277" s="3">
        <f t="shared" si="29"/>
        <v>248169.86277834757</v>
      </c>
      <c r="O277" s="5">
        <f t="shared" si="30"/>
        <v>123077.33121132145</v>
      </c>
      <c r="P277" s="3">
        <f t="shared" si="31"/>
        <v>174.31586869164178</v>
      </c>
      <c r="Q277" s="3">
        <f t="shared" si="32"/>
        <v>248169.86277834757</v>
      </c>
      <c r="R277" s="5">
        <f t="shared" si="33"/>
        <v>201.00891299732032</v>
      </c>
      <c r="S277" s="5">
        <f t="shared" si="34"/>
        <v>123077.33121132145</v>
      </c>
    </row>
    <row r="278" spans="1:19">
      <c r="A278">
        <v>275</v>
      </c>
      <c r="B278" s="2">
        <v>179.05769230769232</v>
      </c>
      <c r="C278" s="2">
        <v>89.52884615384616</v>
      </c>
      <c r="D278" s="2">
        <v>87.876034139558485</v>
      </c>
      <c r="E278" s="2">
        <v>125.43874952414554</v>
      </c>
      <c r="F278" s="2">
        <v>159.55993112249084</v>
      </c>
      <c r="G278" s="2">
        <v>141.47437306510332</v>
      </c>
      <c r="H278" s="2">
        <f t="shared" si="28"/>
        <v>275</v>
      </c>
      <c r="I278" s="4">
        <v>248168.58691341695</v>
      </c>
      <c r="J278" s="6">
        <v>121793.54561598206</v>
      </c>
      <c r="K278" s="2">
        <v>173854.34165039723</v>
      </c>
      <c r="L278" s="2">
        <v>221145.27515872353</v>
      </c>
      <c r="M278" s="2">
        <v>196079.23455026009</v>
      </c>
      <c r="N278" s="3">
        <f t="shared" si="29"/>
        <v>248315.95470470175</v>
      </c>
      <c r="O278" s="5">
        <f t="shared" si="30"/>
        <v>123161.05479183562</v>
      </c>
      <c r="P278" s="3">
        <f t="shared" si="31"/>
        <v>174.68875932447747</v>
      </c>
      <c r="Q278" s="3">
        <f t="shared" si="32"/>
        <v>248315.95470470175</v>
      </c>
      <c r="R278" s="5">
        <f t="shared" si="33"/>
        <v>201.52762811073734</v>
      </c>
      <c r="S278" s="5">
        <f t="shared" si="34"/>
        <v>123161.05479183562</v>
      </c>
    </row>
    <row r="279" spans="1:19">
      <c r="A279">
        <v>276</v>
      </c>
      <c r="B279" s="2">
        <v>178.41437125748504</v>
      </c>
      <c r="C279" s="2">
        <v>89.207185628742522</v>
      </c>
      <c r="D279" s="2">
        <v>87.560311861212867</v>
      </c>
      <c r="E279" s="2">
        <v>124.98807138214272</v>
      </c>
      <c r="F279" s="2">
        <v>158.98666190887712</v>
      </c>
      <c r="G279" s="2">
        <v>140.96608190439048</v>
      </c>
      <c r="H279" s="2">
        <f t="shared" si="28"/>
        <v>276</v>
      </c>
      <c r="I279" s="4">
        <v>248347.00128467442</v>
      </c>
      <c r="J279" s="6">
        <v>121881.10592784328</v>
      </c>
      <c r="K279" s="2">
        <v>173979.32972177936</v>
      </c>
      <c r="L279" s="2">
        <v>221304.26182063241</v>
      </c>
      <c r="M279" s="2">
        <v>196220.20063216449</v>
      </c>
      <c r="N279" s="3">
        <f t="shared" si="29"/>
        <v>248461.22840511473</v>
      </c>
      <c r="O279" s="5">
        <f t="shared" si="30"/>
        <v>123244.36985709472</v>
      </c>
      <c r="P279" s="3">
        <f t="shared" si="31"/>
        <v>175.06031230524565</v>
      </c>
      <c r="Q279" s="3">
        <f t="shared" si="32"/>
        <v>248461.22840511473</v>
      </c>
      <c r="R279" s="5">
        <f t="shared" si="33"/>
        <v>202.04510432363162</v>
      </c>
      <c r="S279" s="5">
        <f t="shared" si="34"/>
        <v>123244.36985709472</v>
      </c>
    </row>
    <row r="280" spans="1:19">
      <c r="A280">
        <v>277</v>
      </c>
      <c r="B280" s="2">
        <v>177.77565632458234</v>
      </c>
      <c r="C280" s="2">
        <v>88.887828162291171</v>
      </c>
      <c r="D280" s="2">
        <v>87.24685012423943</v>
      </c>
      <c r="E280" s="2">
        <v>124.54062005261224</v>
      </c>
      <c r="F280" s="2">
        <v>158.41749724810546</v>
      </c>
      <c r="G280" s="2">
        <v>140.46143005986394</v>
      </c>
      <c r="H280" s="2">
        <f t="shared" si="28"/>
        <v>277</v>
      </c>
      <c r="I280" s="4">
        <v>248524.776940999</v>
      </c>
      <c r="J280" s="6">
        <v>121968.35277796752</v>
      </c>
      <c r="K280" s="2">
        <v>174103.87034183196</v>
      </c>
      <c r="L280" s="2">
        <v>221462.67931788051</v>
      </c>
      <c r="M280" s="2">
        <v>196360.66206222435</v>
      </c>
      <c r="N280" s="3">
        <f t="shared" si="29"/>
        <v>248605.69004806201</v>
      </c>
      <c r="O280" s="5">
        <f t="shared" si="30"/>
        <v>123327.27935725538</v>
      </c>
      <c r="P280" s="3">
        <f t="shared" si="31"/>
        <v>175.43053243243924</v>
      </c>
      <c r="Q280" s="3">
        <f t="shared" si="32"/>
        <v>248605.69004806201</v>
      </c>
      <c r="R280" s="5">
        <f t="shared" si="33"/>
        <v>202.56134459499634</v>
      </c>
      <c r="S280" s="5">
        <f t="shared" si="34"/>
        <v>123327.27935725538</v>
      </c>
    </row>
    <row r="281" spans="1:19">
      <c r="A281">
        <v>278</v>
      </c>
      <c r="B281" s="2">
        <v>177.14149821640908</v>
      </c>
      <c r="C281" s="2">
        <v>88.570749108204538</v>
      </c>
      <c r="D281" s="2">
        <v>86.935624737351631</v>
      </c>
      <c r="E281" s="2">
        <v>124.09636100367318</v>
      </c>
      <c r="F281" s="2">
        <v>157.85239321511582</v>
      </c>
      <c r="G281" s="2">
        <v>139.96037858521527</v>
      </c>
      <c r="H281" s="2">
        <f t="shared" si="28"/>
        <v>278</v>
      </c>
      <c r="I281" s="4">
        <v>248701.9184392154</v>
      </c>
      <c r="J281" s="6">
        <v>122055.28840270487</v>
      </c>
      <c r="K281" s="2">
        <v>174227.96670283563</v>
      </c>
      <c r="L281" s="2">
        <v>221620.53171109562</v>
      </c>
      <c r="M281" s="2">
        <v>196500.62244080956</v>
      </c>
      <c r="N281" s="3">
        <f t="shared" si="29"/>
        <v>248749.34573819014</v>
      </c>
      <c r="O281" s="5">
        <f t="shared" si="30"/>
        <v>123409.78621213982</v>
      </c>
      <c r="P281" s="3">
        <f t="shared" si="31"/>
        <v>175.79942448733772</v>
      </c>
      <c r="Q281" s="3">
        <f t="shared" si="32"/>
        <v>248749.34573819014</v>
      </c>
      <c r="R281" s="5">
        <f t="shared" si="33"/>
        <v>203.07635187675749</v>
      </c>
      <c r="S281" s="5">
        <f t="shared" si="34"/>
        <v>123409.78621213982</v>
      </c>
    </row>
    <row r="282" spans="1:19">
      <c r="A282">
        <v>279</v>
      </c>
      <c r="B282" s="2">
        <v>176.51184834123225</v>
      </c>
      <c r="C282" s="2">
        <v>88.255924170616126</v>
      </c>
      <c r="D282" s="2">
        <v>86.626611853214087</v>
      </c>
      <c r="E282" s="2">
        <v>123.65526019441852</v>
      </c>
      <c r="F282" s="2">
        <v>157.29130650937498</v>
      </c>
      <c r="G282" s="2">
        <v>139.46288908787457</v>
      </c>
      <c r="H282" s="2">
        <f t="shared" si="28"/>
        <v>279</v>
      </c>
      <c r="I282" s="4">
        <v>248878.43028755664</v>
      </c>
      <c r="J282" s="6">
        <v>122141.91501455808</v>
      </c>
      <c r="K282" s="2">
        <v>174351.62196303005</v>
      </c>
      <c r="L282" s="2">
        <v>221777.823017605</v>
      </c>
      <c r="M282" s="2">
        <v>196640.08532989744</v>
      </c>
      <c r="N282" s="3">
        <f t="shared" si="29"/>
        <v>248892.20151718461</v>
      </c>
      <c r="O282" s="5">
        <f t="shared" si="30"/>
        <v>123491.89331164816</v>
      </c>
      <c r="P282" s="3">
        <f t="shared" si="31"/>
        <v>176.16699323406897</v>
      </c>
      <c r="Q282" s="3">
        <f t="shared" si="32"/>
        <v>248892.20151718461</v>
      </c>
      <c r="R282" s="5">
        <f t="shared" si="33"/>
        <v>203.5901291137906</v>
      </c>
      <c r="S282" s="5">
        <f t="shared" si="34"/>
        <v>123491.89331164816</v>
      </c>
    </row>
    <row r="283" spans="1:19">
      <c r="A283">
        <v>280</v>
      </c>
      <c r="B283" s="2">
        <v>175.8866587957497</v>
      </c>
      <c r="C283" s="2">
        <v>87.943329397874848</v>
      </c>
      <c r="D283" s="2">
        <v>86.319787962352578</v>
      </c>
      <c r="E283" s="2">
        <v>123.21728406622088</v>
      </c>
      <c r="F283" s="2">
        <v>156.73419444381628</v>
      </c>
      <c r="G283" s="2">
        <v>138.96892371920424</v>
      </c>
      <c r="H283" s="2">
        <f t="shared" si="28"/>
        <v>280</v>
      </c>
      <c r="I283" s="4">
        <v>249054.3169463524</v>
      </c>
      <c r="J283" s="6">
        <v>122228.23480252043</v>
      </c>
      <c r="K283" s="2">
        <v>174474.83924709627</v>
      </c>
      <c r="L283" s="2">
        <v>221934.55721204882</v>
      </c>
      <c r="M283" s="2">
        <v>196779.05425361663</v>
      </c>
      <c r="N283" s="3">
        <f t="shared" si="29"/>
        <v>249034.26336462348</v>
      </c>
      <c r="O283" s="5">
        <f t="shared" si="30"/>
        <v>123573.60351616387</v>
      </c>
      <c r="P283" s="3">
        <f t="shared" si="31"/>
        <v>176.53324341967073</v>
      </c>
      <c r="Q283" s="3">
        <f t="shared" si="32"/>
        <v>249034.26336462348</v>
      </c>
      <c r="R283" s="5">
        <f t="shared" si="33"/>
        <v>204.10267924393779</v>
      </c>
      <c r="S283" s="5">
        <f t="shared" si="34"/>
        <v>123573.60351616387</v>
      </c>
    </row>
    <row r="284" spans="1:19">
      <c r="A284">
        <v>281</v>
      </c>
      <c r="B284" s="2">
        <v>175.26588235294119</v>
      </c>
      <c r="C284" s="2">
        <v>87.632941176470595</v>
      </c>
      <c r="D284" s="2">
        <v>86.015129887191335</v>
      </c>
      <c r="E284" s="2">
        <v>122.78239953422246</v>
      </c>
      <c r="F284" s="2">
        <v>156.18101493401454</v>
      </c>
      <c r="G284" s="2">
        <v>138.47844516490113</v>
      </c>
      <c r="H284" s="2">
        <f t="shared" si="28"/>
        <v>281</v>
      </c>
      <c r="I284" s="4">
        <v>249229.58282870534</v>
      </c>
      <c r="J284" s="6">
        <v>122314.24993240762</v>
      </c>
      <c r="K284" s="2">
        <v>174597.62164663049</v>
      </c>
      <c r="L284" s="2">
        <v>222090.73822698282</v>
      </c>
      <c r="M284" s="2">
        <v>196917.53269878152</v>
      </c>
      <c r="N284" s="3">
        <f t="shared" si="29"/>
        <v>249175.53719881686</v>
      </c>
      <c r="O284" s="5">
        <f t="shared" si="30"/>
        <v>123654.91965695212</v>
      </c>
      <c r="P284" s="3">
        <f t="shared" si="31"/>
        <v>176.89817977415188</v>
      </c>
      <c r="Q284" s="3">
        <f t="shared" si="32"/>
        <v>249175.53719881686</v>
      </c>
      <c r="R284" s="5">
        <f t="shared" si="33"/>
        <v>204.61400519802422</v>
      </c>
      <c r="S284" s="5">
        <f t="shared" si="34"/>
        <v>123654.91965695212</v>
      </c>
    </row>
    <row r="285" spans="1:19">
      <c r="A285">
        <v>282</v>
      </c>
      <c r="B285" s="2">
        <v>174.64947245017586</v>
      </c>
      <c r="C285" s="2">
        <v>87.324736225087932</v>
      </c>
      <c r="D285" s="2">
        <v>85.712614776216469</v>
      </c>
      <c r="E285" s="2">
        <v>122.35057397900235</v>
      </c>
      <c r="F285" s="2">
        <v>155.63172648758774</v>
      </c>
      <c r="G285" s="2">
        <v>137.99141663559899</v>
      </c>
      <c r="H285" s="2">
        <f t="shared" si="28"/>
        <v>282</v>
      </c>
      <c r="I285" s="4">
        <v>249404.23230115551</v>
      </c>
      <c r="J285" s="6">
        <v>122399.96254718384</v>
      </c>
      <c r="K285" s="2">
        <v>174719.97222060949</v>
      </c>
      <c r="L285" s="2">
        <v>222246.36995347042</v>
      </c>
      <c r="M285" s="2">
        <v>197055.52411541712</v>
      </c>
      <c r="N285" s="3">
        <f t="shared" si="29"/>
        <v>249316.02887763167</v>
      </c>
      <c r="O285" s="5">
        <f t="shared" si="30"/>
        <v>123735.84453655162</v>
      </c>
      <c r="P285" s="3">
        <f t="shared" si="31"/>
        <v>177.2618070105537</v>
      </c>
      <c r="Q285" s="3">
        <f t="shared" si="32"/>
        <v>249316.02887763167</v>
      </c>
      <c r="R285" s="5">
        <f t="shared" si="33"/>
        <v>205.12410989987524</v>
      </c>
      <c r="S285" s="5">
        <f t="shared" si="34"/>
        <v>123735.84453655162</v>
      </c>
    </row>
    <row r="286" spans="1:19">
      <c r="A286">
        <v>283</v>
      </c>
      <c r="B286" s="2">
        <v>174.03738317757012</v>
      </c>
      <c r="C286" s="2">
        <v>87.01869158878506</v>
      </c>
      <c r="D286" s="2">
        <v>85.412220098262551</v>
      </c>
      <c r="E286" s="2">
        <v>121.92177523842194</v>
      </c>
      <c r="F286" s="2">
        <v>155.0862881938229</v>
      </c>
      <c r="G286" s="2">
        <v>137.50780185767059</v>
      </c>
      <c r="H286" s="2">
        <f t="shared" si="28"/>
        <v>283</v>
      </c>
      <c r="I286" s="4">
        <v>249578.26968433309</v>
      </c>
      <c r="J286" s="6">
        <v>122485.3747672821</v>
      </c>
      <c r="K286" s="2">
        <v>174841.8939958479</v>
      </c>
      <c r="L286" s="2">
        <v>222401.45624166424</v>
      </c>
      <c r="M286" s="2">
        <v>197193.03191727478</v>
      </c>
      <c r="N286" s="3">
        <f t="shared" si="29"/>
        <v>249455.74419930295</v>
      </c>
      <c r="O286" s="5">
        <f t="shared" si="30"/>
        <v>123816.38092915996</v>
      </c>
      <c r="P286" s="3">
        <f t="shared" si="31"/>
        <v>177.62412982501047</v>
      </c>
      <c r="Q286" s="3">
        <f t="shared" si="32"/>
        <v>249455.74419930295</v>
      </c>
      <c r="R286" s="5">
        <f t="shared" si="33"/>
        <v>205.63299626633281</v>
      </c>
      <c r="S286" s="5">
        <f t="shared" si="34"/>
        <v>123816.38092915996</v>
      </c>
    </row>
    <row r="287" spans="1:19">
      <c r="A287">
        <v>284</v>
      </c>
      <c r="B287" s="2">
        <v>173.42956926658908</v>
      </c>
      <c r="C287" s="2">
        <v>86.714784633294542</v>
      </c>
      <c r="D287" s="2">
        <v>85.113923636918116</v>
      </c>
      <c r="E287" s="2">
        <v>121.4959715996381</v>
      </c>
      <c r="F287" s="2">
        <v>154.54465971351848</v>
      </c>
      <c r="G287" s="2">
        <v>137.02756506422119</v>
      </c>
      <c r="H287" s="2">
        <f t="shared" si="28"/>
        <v>284</v>
      </c>
      <c r="I287" s="4">
        <v>249751.69925359968</v>
      </c>
      <c r="J287" s="6">
        <v>122570.48869091902</v>
      </c>
      <c r="K287" s="2">
        <v>174963.38996744755</v>
      </c>
      <c r="L287" s="2">
        <v>222556.00090137776</v>
      </c>
      <c r="M287" s="2">
        <v>197330.05948233901</v>
      </c>
      <c r="N287" s="3">
        <f t="shared" si="29"/>
        <v>249594.68890323141</v>
      </c>
      <c r="O287" s="5">
        <f t="shared" si="30"/>
        <v>123896.5315810122</v>
      </c>
      <c r="P287" s="3">
        <f t="shared" si="31"/>
        <v>177.98515289681035</v>
      </c>
      <c r="Q287" s="3">
        <f t="shared" si="32"/>
        <v>249594.68890323141</v>
      </c>
      <c r="R287" s="5">
        <f t="shared" si="33"/>
        <v>206.14066720727234</v>
      </c>
      <c r="S287" s="5">
        <f t="shared" si="34"/>
        <v>123896.5315810122</v>
      </c>
    </row>
    <row r="288" spans="1:19">
      <c r="A288">
        <v>285</v>
      </c>
      <c r="B288" s="2">
        <v>172.82598607888633</v>
      </c>
      <c r="C288" s="2">
        <v>86.412993039443165</v>
      </c>
      <c r="D288" s="2">
        <v>84.81770348504952</v>
      </c>
      <c r="E288" s="2">
        <v>121.07313179128673</v>
      </c>
      <c r="F288" s="2">
        <v>154.00680126903993</v>
      </c>
      <c r="G288" s="2">
        <v>136.55067098627148</v>
      </c>
      <c r="H288" s="2">
        <f t="shared" si="28"/>
        <v>285</v>
      </c>
      <c r="I288" s="4">
        <v>249924.52523967857</v>
      </c>
      <c r="J288" s="6">
        <v>122655.30639440408</v>
      </c>
      <c r="K288" s="2">
        <v>175084.46309923884</v>
      </c>
      <c r="L288" s="2">
        <v>222710.00770264681</v>
      </c>
      <c r="M288" s="2">
        <v>197466.61015332528</v>
      </c>
      <c r="N288" s="3">
        <f t="shared" si="29"/>
        <v>249732.86867076802</v>
      </c>
      <c r="O288" s="5">
        <f t="shared" si="30"/>
        <v>123976.29921075347</v>
      </c>
      <c r="P288" s="3">
        <f t="shared" si="31"/>
        <v>178.34488088845566</v>
      </c>
      <c r="Q288" s="3">
        <f t="shared" si="32"/>
        <v>249732.86867076802</v>
      </c>
      <c r="R288" s="5">
        <f t="shared" si="33"/>
        <v>206.64712562561937</v>
      </c>
      <c r="S288" s="5">
        <f t="shared" si="34"/>
        <v>123976.29921075347</v>
      </c>
    </row>
    <row r="289" spans="1:19">
      <c r="A289">
        <v>286</v>
      </c>
      <c r="B289" s="2">
        <v>172.22658959537574</v>
      </c>
      <c r="C289" s="2">
        <v>86.113294797687871</v>
      </c>
      <c r="D289" s="2">
        <v>84.523538039436644</v>
      </c>
      <c r="E289" s="2">
        <v>120.65322497582559</v>
      </c>
      <c r="F289" s="2">
        <v>153.47267363458084</v>
      </c>
      <c r="G289" s="2">
        <v>136.07708484412257</v>
      </c>
      <c r="H289" s="2">
        <f t="shared" si="28"/>
        <v>286</v>
      </c>
      <c r="I289" s="4">
        <v>250096.75182927394</v>
      </c>
      <c r="J289" s="6">
        <v>122739.82993244351</v>
      </c>
      <c r="K289" s="2">
        <v>175205.11632421467</v>
      </c>
      <c r="L289" s="2">
        <v>222863.4803762814</v>
      </c>
      <c r="M289" s="2">
        <v>197602.6872381694</v>
      </c>
      <c r="N289" s="3">
        <f t="shared" si="29"/>
        <v>249870.28912598477</v>
      </c>
      <c r="O289" s="5">
        <f t="shared" si="30"/>
        <v>124055.68650980511</v>
      </c>
      <c r="P289" s="3">
        <f t="shared" si="31"/>
        <v>178.70331844572317</v>
      </c>
      <c r="Q289" s="3">
        <f t="shared" si="32"/>
        <v>249870.28912598477</v>
      </c>
      <c r="R289" s="5">
        <f t="shared" si="33"/>
        <v>207.15237441736593</v>
      </c>
      <c r="S289" s="5">
        <f t="shared" si="34"/>
        <v>124055.68650980511</v>
      </c>
    </row>
    <row r="290" spans="1:19">
      <c r="A290">
        <v>287</v>
      </c>
      <c r="B290" s="2">
        <v>171.63133640552996</v>
      </c>
      <c r="C290" s="2">
        <v>85.815668202764982</v>
      </c>
      <c r="D290" s="2">
        <v>84.231405995521527</v>
      </c>
      <c r="E290" s="2">
        <v>120.23622074203811</v>
      </c>
      <c r="F290" s="2">
        <v>152.94223812662716</v>
      </c>
      <c r="G290" s="2">
        <v>135.6067723389009</v>
      </c>
      <c r="H290" s="2">
        <f t="shared" si="28"/>
        <v>287</v>
      </c>
      <c r="I290" s="4">
        <v>250268.38316567946</v>
      </c>
      <c r="J290" s="6">
        <v>122824.06133843903</v>
      </c>
      <c r="K290" s="2">
        <v>175325.35254495672</v>
      </c>
      <c r="L290" s="2">
        <v>223016.42261440802</v>
      </c>
      <c r="M290" s="2">
        <v>197738.29401050831</v>
      </c>
      <c r="N290" s="3">
        <f t="shared" si="29"/>
        <v>250006.95583643383</v>
      </c>
      <c r="O290" s="5">
        <f t="shared" si="30"/>
        <v>124134.69614272499</v>
      </c>
      <c r="P290" s="3">
        <f t="shared" si="31"/>
        <v>179.06047019772416</v>
      </c>
      <c r="Q290" s="3">
        <f t="shared" si="32"/>
        <v>250006.95583643383</v>
      </c>
      <c r="R290" s="5">
        <f t="shared" si="33"/>
        <v>207.65641647158731</v>
      </c>
      <c r="S290" s="5">
        <f t="shared" si="34"/>
        <v>124134.69614272499</v>
      </c>
    </row>
    <row r="291" spans="1:19">
      <c r="A291">
        <v>288</v>
      </c>
      <c r="B291" s="2">
        <v>171.04018369690016</v>
      </c>
      <c r="C291" s="2">
        <v>85.520091848450079</v>
      </c>
      <c r="D291" s="2">
        <v>83.94128634226486</v>
      </c>
      <c r="E291" s="2">
        <v>119.8220890976913</v>
      </c>
      <c r="F291" s="2">
        <v>152.41545659461812</v>
      </c>
      <c r="G291" s="2">
        <v>135.13969964427784</v>
      </c>
      <c r="H291" s="2">
        <f t="shared" si="28"/>
        <v>288</v>
      </c>
      <c r="I291" s="4">
        <v>250439.42334937636</v>
      </c>
      <c r="J291" s="6">
        <v>122908.00262478129</v>
      </c>
      <c r="K291" s="2">
        <v>175445.17463405442</v>
      </c>
      <c r="L291" s="2">
        <v>223168.83807100262</v>
      </c>
      <c r="M291" s="2">
        <v>197873.43371015257</v>
      </c>
      <c r="N291" s="3">
        <f t="shared" si="29"/>
        <v>250142.87431389291</v>
      </c>
      <c r="O291" s="5">
        <f t="shared" si="30"/>
        <v>124213.33074756169</v>
      </c>
      <c r="P291" s="3">
        <f t="shared" si="31"/>
        <v>179.41634075696405</v>
      </c>
      <c r="Q291" s="3">
        <f t="shared" si="32"/>
        <v>250142.87431389291</v>
      </c>
      <c r="R291" s="5">
        <f t="shared" si="33"/>
        <v>208.15925467045867</v>
      </c>
      <c r="S291" s="5">
        <f t="shared" si="34"/>
        <v>124213.33074756169</v>
      </c>
    </row>
    <row r="292" spans="1:19">
      <c r="A292">
        <v>289</v>
      </c>
      <c r="B292" s="2">
        <v>170.4530892448513</v>
      </c>
      <c r="C292" s="2">
        <v>85.226544622425649</v>
      </c>
      <c r="D292" s="2">
        <v>83.653158357108325</v>
      </c>
      <c r="E292" s="2">
        <v>119.41080046234453</v>
      </c>
      <c r="F292" s="2">
        <v>151.89229141179911</v>
      </c>
      <c r="G292" s="2">
        <v>134.67583339835929</v>
      </c>
      <c r="H292" s="2">
        <f t="shared" si="28"/>
        <v>289</v>
      </c>
      <c r="I292" s="4">
        <v>250609.8764386212</v>
      </c>
      <c r="J292" s="6">
        <v>122991.6557831384</v>
      </c>
      <c r="K292" s="2">
        <v>175564.58543451678</v>
      </c>
      <c r="L292" s="2">
        <v>223320.73036241441</v>
      </c>
      <c r="M292" s="2">
        <v>198008.10954355093</v>
      </c>
      <c r="N292" s="3">
        <f t="shared" si="29"/>
        <v>250278.05001509938</v>
      </c>
      <c r="O292" s="5">
        <f t="shared" si="30"/>
        <v>124291.5929362029</v>
      </c>
      <c r="P292" s="3">
        <f t="shared" si="31"/>
        <v>179.77093471940208</v>
      </c>
      <c r="Q292" s="3">
        <f t="shared" si="32"/>
        <v>250278.05001509938</v>
      </c>
      <c r="R292" s="5">
        <f t="shared" si="33"/>
        <v>208.66089188927108</v>
      </c>
      <c r="S292" s="5">
        <f t="shared" si="34"/>
        <v>124291.5929362029</v>
      </c>
    </row>
    <row r="293" spans="1:19">
      <c r="A293">
        <v>290</v>
      </c>
      <c r="B293" s="2">
        <v>169.87001140250857</v>
      </c>
      <c r="C293" s="2">
        <v>84.935005701254283</v>
      </c>
      <c r="D293" s="2">
        <v>83.367001601040727</v>
      </c>
      <c r="E293" s="2">
        <v>119.00232566030699</v>
      </c>
      <c r="F293" s="2">
        <v>151.37270546626277</v>
      </c>
      <c r="G293" s="2">
        <v>134.21514069574243</v>
      </c>
      <c r="H293" s="2">
        <f t="shared" si="28"/>
        <v>290</v>
      </c>
      <c r="I293" s="4">
        <v>250779.7464500237</v>
      </c>
      <c r="J293" s="6">
        <v>123075.02278473944</v>
      </c>
      <c r="K293" s="2">
        <v>175683.58776017709</v>
      </c>
      <c r="L293" s="2">
        <v>223472.10306788067</v>
      </c>
      <c r="M293" s="2">
        <v>198142.32468424668</v>
      </c>
      <c r="N293" s="3">
        <f t="shared" si="29"/>
        <v>250412.48834247183</v>
      </c>
      <c r="O293" s="5">
        <f t="shared" si="30"/>
        <v>124369.48529471818</v>
      </c>
      <c r="P293" s="3">
        <f t="shared" si="31"/>
        <v>180.1242566645106</v>
      </c>
      <c r="Q293" s="3">
        <f t="shared" si="32"/>
        <v>250412.48834247183</v>
      </c>
      <c r="R293" s="5">
        <f t="shared" si="33"/>
        <v>209.16133099644858</v>
      </c>
      <c r="S293" s="5">
        <f t="shared" si="34"/>
        <v>124369.48529471818</v>
      </c>
    </row>
    <row r="294" spans="1:19">
      <c r="A294">
        <v>291</v>
      </c>
      <c r="B294" s="2">
        <v>169.29090909090911</v>
      </c>
      <c r="C294" s="2">
        <v>84.645454545454555</v>
      </c>
      <c r="D294" s="2">
        <v>83.082795913764457</v>
      </c>
      <c r="E294" s="2">
        <v>118.59663591373774</v>
      </c>
      <c r="F294" s="2">
        <v>150.85666215217321</v>
      </c>
      <c r="G294" s="2">
        <v>133.75758907973417</v>
      </c>
      <c r="H294" s="2">
        <f t="shared" si="28"/>
        <v>291</v>
      </c>
      <c r="I294" s="4">
        <v>250949.03735911462</v>
      </c>
      <c r="J294" s="6">
        <v>123158.10558065321</v>
      </c>
      <c r="K294" s="2">
        <v>175802.18439609083</v>
      </c>
      <c r="L294" s="2">
        <v>223622.95973003283</v>
      </c>
      <c r="M294" s="2">
        <v>198276.08227332641</v>
      </c>
      <c r="N294" s="3">
        <f t="shared" si="29"/>
        <v>250546.19464481971</v>
      </c>
      <c r="O294" s="5">
        <f t="shared" si="30"/>
        <v>124447.01038369616</v>
      </c>
      <c r="P294" s="3">
        <f t="shared" si="31"/>
        <v>180.47631115533426</v>
      </c>
      <c r="Q294" s="3">
        <f t="shared" si="32"/>
        <v>250546.19464481971</v>
      </c>
      <c r="R294" s="5">
        <f t="shared" si="33"/>
        <v>209.66057485356404</v>
      </c>
      <c r="S294" s="5">
        <f t="shared" si="34"/>
        <v>124447.01038369616</v>
      </c>
    </row>
    <row r="295" spans="1:19">
      <c r="A295">
        <v>292</v>
      </c>
      <c r="B295" s="2">
        <v>168.7157417893545</v>
      </c>
      <c r="C295" s="2">
        <v>84.357870894677248</v>
      </c>
      <c r="D295" s="2">
        <v>82.800521408961188</v>
      </c>
      <c r="E295" s="2">
        <v>118.19370283588808</v>
      </c>
      <c r="F295" s="2">
        <v>150.3441253611692</v>
      </c>
      <c r="G295" s="2">
        <v>133.30314653472939</v>
      </c>
      <c r="H295" s="2">
        <f t="shared" si="28"/>
        <v>292</v>
      </c>
      <c r="I295" s="4">
        <v>251117.75310090397</v>
      </c>
      <c r="J295" s="6">
        <v>123240.90610206217</v>
      </c>
      <c r="K295" s="2">
        <v>175920.37809892671</v>
      </c>
      <c r="L295" s="2">
        <v>223773.30385539401</v>
      </c>
      <c r="M295" s="2">
        <v>198409.38541986112</v>
      </c>
      <c r="N295" s="3">
        <f t="shared" si="29"/>
        <v>250679.17421804208</v>
      </c>
      <c r="O295" s="5">
        <f t="shared" si="30"/>
        <v>124524.17073857597</v>
      </c>
      <c r="P295" s="3">
        <f t="shared" si="31"/>
        <v>180.82710273854897</v>
      </c>
      <c r="Q295" s="3">
        <f t="shared" si="32"/>
        <v>250679.17421804208</v>
      </c>
      <c r="R295" s="5">
        <f t="shared" si="33"/>
        <v>210.15862631535578</v>
      </c>
      <c r="S295" s="5">
        <f t="shared" si="34"/>
        <v>124524.17073857597</v>
      </c>
    </row>
    <row r="296" spans="1:19">
      <c r="A296">
        <v>293</v>
      </c>
      <c r="B296" s="2">
        <v>168.14446952595938</v>
      </c>
      <c r="C296" s="2">
        <v>84.07223476297969</v>
      </c>
      <c r="D296" s="2">
        <v>82.520158469653225</v>
      </c>
      <c r="E296" s="2">
        <v>117.79349842447994</v>
      </c>
      <c r="F296" s="2">
        <v>149.83505947394184</v>
      </c>
      <c r="G296" s="2">
        <v>132.85178147874277</v>
      </c>
      <c r="H296" s="2">
        <f t="shared" si="28"/>
        <v>293</v>
      </c>
      <c r="I296" s="4">
        <v>251285.89757042992</v>
      </c>
      <c r="J296" s="6">
        <v>123323.42626053182</v>
      </c>
      <c r="K296" s="2">
        <v>176038.1715973512</v>
      </c>
      <c r="L296" s="2">
        <v>223923.13891486794</v>
      </c>
      <c r="M296" s="2">
        <v>198542.23720133986</v>
      </c>
      <c r="N296" s="3">
        <f t="shared" si="29"/>
        <v>250811.43230581415</v>
      </c>
      <c r="O296" s="5">
        <f t="shared" si="30"/>
        <v>124600.96886997367</v>
      </c>
      <c r="P296" s="3">
        <f t="shared" si="31"/>
        <v>181.17663594452048</v>
      </c>
      <c r="Q296" s="3">
        <f t="shared" si="32"/>
        <v>250811.43230581415</v>
      </c>
      <c r="R296" s="5">
        <f t="shared" si="33"/>
        <v>210.65548822974398</v>
      </c>
      <c r="S296" s="5">
        <f t="shared" si="34"/>
        <v>124600.96886997367</v>
      </c>
    </row>
    <row r="297" spans="1:19">
      <c r="A297">
        <v>294</v>
      </c>
      <c r="B297" s="2">
        <v>167.57705286839146</v>
      </c>
      <c r="C297" s="2">
        <v>83.788526434195731</v>
      </c>
      <c r="D297" s="2">
        <v>82.241687743658858</v>
      </c>
      <c r="E297" s="2">
        <v>117.39599505521838</v>
      </c>
      <c r="F297" s="2">
        <v>149.3294293519825</v>
      </c>
      <c r="G297" s="2">
        <v>132.4034627560923</v>
      </c>
      <c r="H297" s="2">
        <f t="shared" si="28"/>
        <v>294</v>
      </c>
      <c r="I297" s="4">
        <v>251453.4746232983</v>
      </c>
      <c r="J297" s="6">
        <v>123405.66794827548</v>
      </c>
      <c r="K297" s="2">
        <v>176155.56759240641</v>
      </c>
      <c r="L297" s="2">
        <v>224072.46834421993</v>
      </c>
      <c r="M297" s="2">
        <v>198674.64066409596</v>
      </c>
      <c r="N297" s="3">
        <f t="shared" si="29"/>
        <v>250942.9741002635</v>
      </c>
      <c r="O297" s="5">
        <f t="shared" si="30"/>
        <v>124677.40726400311</v>
      </c>
      <c r="P297" s="3">
        <f t="shared" si="31"/>
        <v>181.52491528736317</v>
      </c>
      <c r="Q297" s="3">
        <f t="shared" si="32"/>
        <v>250942.9741002635</v>
      </c>
      <c r="R297" s="5">
        <f t="shared" si="33"/>
        <v>211.15116343784661</v>
      </c>
      <c r="S297" s="5">
        <f t="shared" si="34"/>
        <v>124677.40726400311</v>
      </c>
    </row>
    <row r="298" spans="1:19">
      <c r="A298">
        <v>295</v>
      </c>
      <c r="B298" s="2">
        <v>167.01345291479822</v>
      </c>
      <c r="C298" s="2">
        <v>83.506726457399111</v>
      </c>
      <c r="D298" s="2">
        <v>81.965090139139733</v>
      </c>
      <c r="E298" s="2">
        <v>117.00116547543614</v>
      </c>
      <c r="F298" s="2">
        <v>148.82720032949817</v>
      </c>
      <c r="G298" s="2">
        <v>131.95815963023088</v>
      </c>
      <c r="H298" s="2">
        <f t="shared" si="28"/>
        <v>295</v>
      </c>
      <c r="I298" s="4">
        <v>251620.48807621311</v>
      </c>
      <c r="J298" s="6">
        <v>123487.63303841463</v>
      </c>
      <c r="K298" s="2">
        <v>176272.56875788185</v>
      </c>
      <c r="L298" s="2">
        <v>224221.29554454942</v>
      </c>
      <c r="M298" s="2">
        <v>198806.59882372621</v>
      </c>
      <c r="N298" s="3">
        <f t="shared" si="29"/>
        <v>251073.80474263462</v>
      </c>
      <c r="O298" s="5">
        <f t="shared" si="30"/>
        <v>124753.48838259168</v>
      </c>
      <c r="P298" s="3">
        <f t="shared" si="31"/>
        <v>181.87194526499789</v>
      </c>
      <c r="Q298" s="3">
        <f t="shared" si="32"/>
        <v>251073.80474263462</v>
      </c>
      <c r="R298" s="5">
        <f t="shared" si="33"/>
        <v>211.6456547739962</v>
      </c>
      <c r="S298" s="5">
        <f t="shared" si="34"/>
        <v>124753.48838259168</v>
      </c>
    </row>
    <row r="299" spans="1:19">
      <c r="A299">
        <v>296</v>
      </c>
      <c r="B299" s="2">
        <v>166.45363128491621</v>
      </c>
      <c r="C299" s="2">
        <v>83.226815642458106</v>
      </c>
      <c r="D299" s="2">
        <v>81.690346820237593</v>
      </c>
      <c r="E299" s="2">
        <v>116.6089827978649</v>
      </c>
      <c r="F299" s="2">
        <v>148.32833820548865</v>
      </c>
      <c r="G299" s="2">
        <v>131.51584177672174</v>
      </c>
      <c r="H299" s="2">
        <f t="shared" si="28"/>
        <v>296</v>
      </c>
      <c r="I299" s="4">
        <v>251786.94170749802</v>
      </c>
      <c r="J299" s="6">
        <v>123569.32338523486</v>
      </c>
      <c r="K299" s="2">
        <v>176389.1777406797</v>
      </c>
      <c r="L299" s="2">
        <v>224369.62388275491</v>
      </c>
      <c r="M299" s="2">
        <v>198938.11466550292</v>
      </c>
      <c r="N299" s="3">
        <f t="shared" si="29"/>
        <v>251203.92932394368</v>
      </c>
      <c r="O299" s="5">
        <f t="shared" si="30"/>
        <v>124829.21466379116</v>
      </c>
      <c r="P299" s="3">
        <f t="shared" si="31"/>
        <v>182.21773035921058</v>
      </c>
      <c r="Q299" s="3">
        <f t="shared" si="32"/>
        <v>251203.92932394368</v>
      </c>
      <c r="R299" s="5">
        <f t="shared" si="33"/>
        <v>212.13896506575551</v>
      </c>
      <c r="S299" s="5">
        <f t="shared" si="34"/>
        <v>124829.21466379116</v>
      </c>
    </row>
    <row r="300" spans="1:19">
      <c r="A300">
        <v>297</v>
      </c>
      <c r="B300" s="2">
        <v>165.89755011135858</v>
      </c>
      <c r="C300" s="2">
        <v>82.948775055679292</v>
      </c>
      <c r="D300" s="2">
        <v>81.417439202798079</v>
      </c>
      <c r="E300" s="2">
        <v>116.21942049453138</v>
      </c>
      <c r="F300" s="2">
        <v>147.83280923598267</v>
      </c>
      <c r="G300" s="2">
        <v>131.07647927635418</v>
      </c>
      <c r="H300" s="2">
        <f t="shared" si="28"/>
        <v>297</v>
      </c>
      <c r="I300" s="4">
        <v>251952.83925760936</v>
      </c>
      <c r="J300" s="6">
        <v>123650.74082443766</v>
      </c>
      <c r="K300" s="2">
        <v>176505.39716117425</v>
      </c>
      <c r="L300" s="2">
        <v>224517.4566919909</v>
      </c>
      <c r="M300" s="2">
        <v>199069.19114477927</v>
      </c>
      <c r="N300" s="3">
        <f t="shared" si="29"/>
        <v>251333.35288562177</v>
      </c>
      <c r="O300" s="5">
        <f t="shared" si="30"/>
        <v>124904.58852208336</v>
      </c>
      <c r="P300" s="3">
        <f t="shared" si="31"/>
        <v>182.56227503570972</v>
      </c>
      <c r="Q300" s="3">
        <f t="shared" si="32"/>
        <v>251333.35288562177</v>
      </c>
      <c r="R300" s="5">
        <f t="shared" si="33"/>
        <v>212.63109713393396</v>
      </c>
      <c r="S300" s="5">
        <f t="shared" si="34"/>
        <v>124904.58852208336</v>
      </c>
    </row>
    <row r="301" spans="1:19">
      <c r="A301">
        <v>298</v>
      </c>
      <c r="B301" s="2">
        <v>165.3451720310766</v>
      </c>
      <c r="C301" s="2">
        <v>82.6725860155383</v>
      </c>
      <c r="D301" s="2">
        <v>81.146348950180538</v>
      </c>
      <c r="E301" s="2">
        <v>115.83245239077594</v>
      </c>
      <c r="F301" s="2">
        <v>147.34058012642885</v>
      </c>
      <c r="G301" s="2">
        <v>130.64004260839738</v>
      </c>
      <c r="H301" s="2">
        <f t="shared" si="28"/>
        <v>298</v>
      </c>
      <c r="I301" s="4">
        <v>252118.18442964045</v>
      </c>
      <c r="J301" s="6">
        <v>123731.88717338783</v>
      </c>
      <c r="K301" s="2">
        <v>176621.22961356502</v>
      </c>
      <c r="L301" s="2">
        <v>224664.79727211731</v>
      </c>
      <c r="M301" s="2">
        <v>199199.83118738767</v>
      </c>
      <c r="N301" s="3">
        <f t="shared" si="29"/>
        <v>251462.08042014868</v>
      </c>
      <c r="O301" s="5">
        <f t="shared" si="30"/>
        <v>124979.61234868095</v>
      </c>
      <c r="P301" s="3">
        <f t="shared" si="31"/>
        <v>182.90558374418421</v>
      </c>
      <c r="Q301" s="3">
        <f t="shared" si="32"/>
        <v>251462.08042014868</v>
      </c>
      <c r="R301" s="5">
        <f t="shared" si="33"/>
        <v>213.12205379260394</v>
      </c>
      <c r="S301" s="5">
        <f t="shared" si="34"/>
        <v>124979.61234868095</v>
      </c>
    </row>
    <row r="302" spans="1:19">
      <c r="A302">
        <v>299</v>
      </c>
      <c r="B302" s="2">
        <v>164.79646017699119</v>
      </c>
      <c r="C302" s="2">
        <v>82.398230088495595</v>
      </c>
      <c r="D302" s="2">
        <v>80.877057969151195</v>
      </c>
      <c r="E302" s="2">
        <v>115.44805265939064</v>
      </c>
      <c r="F302" s="2">
        <v>146.85161802423937</v>
      </c>
      <c r="G302" s="2">
        <v>130.20650264398898</v>
      </c>
      <c r="H302" s="2">
        <f t="shared" si="28"/>
        <v>299</v>
      </c>
      <c r="I302" s="4">
        <v>252282.98088981744</v>
      </c>
      <c r="J302" s="6">
        <v>123812.76423135698</v>
      </c>
      <c r="K302" s="2">
        <v>176736.67766622442</v>
      </c>
      <c r="L302" s="2">
        <v>224811.64889014154</v>
      </c>
      <c r="M302" s="2">
        <v>199330.03769003166</v>
      </c>
      <c r="N302" s="3">
        <f t="shared" si="29"/>
        <v>251590.11687167629</v>
      </c>
      <c r="O302" s="5">
        <f t="shared" si="30"/>
        <v>125054.28851182357</v>
      </c>
      <c r="P302" s="3">
        <f t="shared" si="31"/>
        <v>183.24766091836091</v>
      </c>
      <c r="Q302" s="3">
        <f t="shared" si="32"/>
        <v>251590.11687167629</v>
      </c>
      <c r="R302" s="5">
        <f t="shared" si="33"/>
        <v>213.61183784911648</v>
      </c>
      <c r="S302" s="5">
        <f t="shared" si="34"/>
        <v>125054.28851182357</v>
      </c>
    </row>
    <row r="303" spans="1:19">
      <c r="A303">
        <v>300</v>
      </c>
      <c r="B303" s="2">
        <v>164.25137816979054</v>
      </c>
      <c r="C303" s="2">
        <v>82.125689084895271</v>
      </c>
      <c r="D303" s="2">
        <v>80.609548405857367</v>
      </c>
      <c r="E303" s="2">
        <v>115.06619581487219</v>
      </c>
      <c r="F303" s="2">
        <v>146.36589051148002</v>
      </c>
      <c r="G303" s="2">
        <v>129.77583063965372</v>
      </c>
      <c r="H303" s="2">
        <f t="shared" si="28"/>
        <v>300</v>
      </c>
      <c r="I303" s="4">
        <v>252447.23226798722</v>
      </c>
      <c r="J303" s="6">
        <v>123893.37377976284</v>
      </c>
      <c r="K303" s="2">
        <v>176851.74386203929</v>
      </c>
      <c r="L303" s="2">
        <v>224958.01478065303</v>
      </c>
      <c r="M303" s="2">
        <v>199459.81352067131</v>
      </c>
      <c r="N303" s="3">
        <f t="shared" si="29"/>
        <v>251717.46713664194</v>
      </c>
      <c r="O303" s="5">
        <f t="shared" si="30"/>
        <v>125128.6193570692</v>
      </c>
      <c r="P303" s="3">
        <f t="shared" si="31"/>
        <v>183.58851097606163</v>
      </c>
      <c r="Q303" s="3">
        <f t="shared" si="32"/>
        <v>251717.46713664194</v>
      </c>
      <c r="R303" s="5">
        <f t="shared" si="33"/>
        <v>214.10045210411764</v>
      </c>
      <c r="S303" s="5">
        <f t="shared" si="34"/>
        <v>125128.6193570692</v>
      </c>
    </row>
    <row r="304" spans="1:19">
      <c r="A304">
        <v>301</v>
      </c>
      <c r="B304" s="2">
        <v>163.70989010989013</v>
      </c>
      <c r="C304" s="2">
        <v>81.854945054945063</v>
      </c>
      <c r="D304" s="2">
        <v>80.343802641882135</v>
      </c>
      <c r="E304" s="2">
        <v>114.68685670779031</v>
      </c>
      <c r="F304" s="2">
        <v>145.88336559770593</v>
      </c>
      <c r="G304" s="2">
        <v>129.34799823095173</v>
      </c>
      <c r="H304" s="2">
        <f t="shared" si="28"/>
        <v>301</v>
      </c>
      <c r="I304" s="4">
        <v>252610.94215809711</v>
      </c>
      <c r="J304" s="6">
        <v>123973.71758240473</v>
      </c>
      <c r="K304" s="2">
        <v>176966.43071874708</v>
      </c>
      <c r="L304" s="2">
        <v>225103.89814625072</v>
      </c>
      <c r="M304" s="2">
        <v>199589.16151890226</v>
      </c>
      <c r="N304" s="3">
        <f t="shared" si="29"/>
        <v>251844.13606437237</v>
      </c>
      <c r="O304" s="5">
        <f t="shared" si="30"/>
        <v>125202.60720758088</v>
      </c>
      <c r="P304" s="3">
        <f t="shared" si="31"/>
        <v>183.92813831926051</v>
      </c>
      <c r="Q304" s="3">
        <f t="shared" si="32"/>
        <v>251844.13606437237</v>
      </c>
      <c r="R304" s="5">
        <f t="shared" si="33"/>
        <v>214.58789935156437</v>
      </c>
      <c r="S304" s="5">
        <f t="shared" si="34"/>
        <v>125202.60720758088</v>
      </c>
    </row>
    <row r="305" spans="1:19">
      <c r="A305">
        <v>302</v>
      </c>
      <c r="B305" s="2">
        <v>163.17196056955095</v>
      </c>
      <c r="C305" s="2">
        <v>81.585980284775474</v>
      </c>
      <c r="D305" s="2">
        <v>80.079803290375324</v>
      </c>
      <c r="E305" s="2">
        <v>114.31001051926513</v>
      </c>
      <c r="F305" s="2">
        <v>145.40401171293797</v>
      </c>
      <c r="G305" s="2">
        <v>128.92297742624967</v>
      </c>
      <c r="H305" s="2">
        <f t="shared" si="28"/>
        <v>302</v>
      </c>
      <c r="I305" s="4">
        <v>252774.11411866665</v>
      </c>
      <c r="J305" s="6">
        <v>124053.7973856951</v>
      </c>
      <c r="K305" s="2">
        <v>177080.74072926634</v>
      </c>
      <c r="L305" s="2">
        <v>225249.30215796366</v>
      </c>
      <c r="M305" s="2">
        <v>199718.08449632852</v>
      </c>
      <c r="N305" s="3">
        <f t="shared" si="29"/>
        <v>251970.12845767787</v>
      </c>
      <c r="O305" s="5">
        <f t="shared" si="30"/>
        <v>125276.25436440902</v>
      </c>
      <c r="P305" s="3">
        <f t="shared" si="31"/>
        <v>184.26654733414048</v>
      </c>
      <c r="Q305" s="3">
        <f t="shared" si="32"/>
        <v>251970.12845767787</v>
      </c>
      <c r="R305" s="5">
        <f t="shared" si="33"/>
        <v>215.07418237874057</v>
      </c>
      <c r="S305" s="5">
        <f t="shared" si="34"/>
        <v>125276.25436440902</v>
      </c>
    </row>
    <row r="306" spans="1:19">
      <c r="A306">
        <v>303</v>
      </c>
      <c r="B306" s="2">
        <v>162.63755458515286</v>
      </c>
      <c r="C306" s="2">
        <v>81.318777292576428</v>
      </c>
      <c r="D306" s="2">
        <v>79.817533192262829</v>
      </c>
      <c r="E306" s="2">
        <v>113.93563275555589</v>
      </c>
      <c r="F306" s="2">
        <v>144.9277977007778</v>
      </c>
      <c r="G306" s="2">
        <v>128.500740600618</v>
      </c>
      <c r="H306" s="2">
        <f t="shared" si="28"/>
        <v>303</v>
      </c>
      <c r="I306" s="4">
        <v>252936.7516732518</v>
      </c>
      <c r="J306" s="6">
        <v>124133.61491888737</v>
      </c>
      <c r="K306" s="2">
        <v>177194.67636202188</v>
      </c>
      <c r="L306" s="2">
        <v>225394.22995566443</v>
      </c>
      <c r="M306" s="2">
        <v>199846.58523692912</v>
      </c>
      <c r="N306" s="3">
        <f t="shared" si="29"/>
        <v>252095.44907343737</v>
      </c>
      <c r="O306" s="5">
        <f t="shared" si="30"/>
        <v>125349.56310676906</v>
      </c>
      <c r="P306" s="3">
        <f t="shared" si="31"/>
        <v>184.60374239115043</v>
      </c>
      <c r="Q306" s="3">
        <f t="shared" si="32"/>
        <v>252095.44907343737</v>
      </c>
      <c r="R306" s="5">
        <f t="shared" si="33"/>
        <v>215.55930396627298</v>
      </c>
      <c r="S306" s="5">
        <f t="shared" si="34"/>
        <v>125349.56310676906</v>
      </c>
    </row>
    <row r="307" spans="1:19">
      <c r="A307">
        <v>304</v>
      </c>
      <c r="B307" s="2">
        <v>162.10663764961919</v>
      </c>
      <c r="C307" s="2">
        <v>81.053318824809594</v>
      </c>
      <c r="D307" s="2">
        <v>79.556975412527521</v>
      </c>
      <c r="E307" s="2">
        <v>113.56369924275216</v>
      </c>
      <c r="F307" s="2">
        <v>144.45469281165663</v>
      </c>
      <c r="G307" s="2">
        <v>128.08126048984346</v>
      </c>
      <c r="H307" s="2">
        <f t="shared" si="28"/>
        <v>304</v>
      </c>
      <c r="I307" s="4">
        <v>253098.85831090141</v>
      </c>
      <c r="J307" s="6">
        <v>124213.1718942999</v>
      </c>
      <c r="K307" s="2">
        <v>177308.24006126463</v>
      </c>
      <c r="L307" s="2">
        <v>225538.68464847608</v>
      </c>
      <c r="M307" s="2">
        <v>199974.66649741898</v>
      </c>
      <c r="N307" s="3">
        <f t="shared" si="29"/>
        <v>252220.10262317382</v>
      </c>
      <c r="O307" s="5">
        <f t="shared" si="30"/>
        <v>125422.53569231508</v>
      </c>
      <c r="P307" s="3">
        <f t="shared" si="31"/>
        <v>184.93972784506113</v>
      </c>
      <c r="Q307" s="3">
        <f t="shared" si="32"/>
        <v>252220.10262317382</v>
      </c>
      <c r="R307" s="5">
        <f t="shared" si="33"/>
        <v>216.04326688814697</v>
      </c>
      <c r="S307" s="5">
        <f t="shared" si="34"/>
        <v>125422.53569231508</v>
      </c>
    </row>
    <row r="308" spans="1:19">
      <c r="A308">
        <v>305</v>
      </c>
      <c r="B308" s="2">
        <v>161.57917570498915</v>
      </c>
      <c r="C308" s="2">
        <v>80.789587852494577</v>
      </c>
      <c r="D308" s="2">
        <v>79.298113236564632</v>
      </c>
      <c r="E308" s="2">
        <v>113.19418612157163</v>
      </c>
      <c r="F308" s="2">
        <v>143.98466669621729</v>
      </c>
      <c r="G308" s="2">
        <v>127.66451018456173</v>
      </c>
      <c r="H308" s="2">
        <f t="shared" si="28"/>
        <v>305</v>
      </c>
      <c r="I308" s="4">
        <v>253260.43748660642</v>
      </c>
      <c r="J308" s="6">
        <v>124292.47000753647</v>
      </c>
      <c r="K308" s="2">
        <v>177421.43424738621</v>
      </c>
      <c r="L308" s="2">
        <v>225682.6693151723</v>
      </c>
      <c r="M308" s="2">
        <v>200102.33100760353</v>
      </c>
      <c r="N308" s="3">
        <f t="shared" si="29"/>
        <v>252344.09377362151</v>
      </c>
      <c r="O308" s="5">
        <f t="shared" si="30"/>
        <v>125495.17435740892</v>
      </c>
      <c r="P308" s="3">
        <f t="shared" si="31"/>
        <v>185.27450803502177</v>
      </c>
      <c r="Q308" s="3">
        <f t="shared" si="32"/>
        <v>252344.09377362151</v>
      </c>
      <c r="R308" s="5">
        <f t="shared" si="33"/>
        <v>216.52607391172265</v>
      </c>
      <c r="S308" s="5">
        <f t="shared" si="34"/>
        <v>125495.17435740892</v>
      </c>
    </row>
    <row r="309" spans="1:19">
      <c r="A309">
        <v>306</v>
      </c>
      <c r="B309" s="2">
        <v>161.05513513513515</v>
      </c>
      <c r="C309" s="2">
        <v>80.527567567567573</v>
      </c>
      <c r="D309" s="2">
        <v>79.040930166608334</v>
      </c>
      <c r="E309" s="2">
        <v>112.8270698422586</v>
      </c>
      <c r="F309" s="2">
        <v>143.51768939882427</v>
      </c>
      <c r="G309" s="2">
        <v>127.2504631245039</v>
      </c>
      <c r="H309" s="2">
        <f t="shared" si="28"/>
        <v>306</v>
      </c>
      <c r="I309" s="4">
        <v>253421.49262174155</v>
      </c>
      <c r="J309" s="6">
        <v>124371.51093770307</v>
      </c>
      <c r="K309" s="2">
        <v>177534.26131722846</v>
      </c>
      <c r="L309" s="2">
        <v>225826.18700457111</v>
      </c>
      <c r="M309" s="2">
        <v>200229.58147072804</v>
      </c>
      <c r="N309" s="3">
        <f t="shared" si="29"/>
        <v>252467.42714728354</v>
      </c>
      <c r="O309" s="5">
        <f t="shared" si="30"/>
        <v>125567.48131738511</v>
      </c>
      <c r="P309" s="3">
        <f t="shared" si="31"/>
        <v>185.60808728461589</v>
      </c>
      <c r="Q309" s="3">
        <f t="shared" si="32"/>
        <v>252467.42714728354</v>
      </c>
      <c r="R309" s="5">
        <f t="shared" si="33"/>
        <v>217.00772779775056</v>
      </c>
      <c r="S309" s="5">
        <f t="shared" si="34"/>
        <v>125567.48131738511</v>
      </c>
    </row>
    <row r="310" spans="1:19">
      <c r="A310">
        <v>307</v>
      </c>
      <c r="B310" s="2">
        <v>160.5344827586207</v>
      </c>
      <c r="C310" s="2">
        <v>80.267241379310349</v>
      </c>
      <c r="D310" s="2">
        <v>78.7854099182249</v>
      </c>
      <c r="E310" s="2">
        <v>112.46232715957881</v>
      </c>
      <c r="F310" s="2">
        <v>143.05373135119871</v>
      </c>
      <c r="G310" s="2">
        <v>126.8390930928513</v>
      </c>
      <c r="H310" s="2">
        <f t="shared" si="28"/>
        <v>307</v>
      </c>
      <c r="I310" s="4">
        <v>253582.02710450016</v>
      </c>
      <c r="J310" s="6">
        <v>124450.2963476213</v>
      </c>
      <c r="K310" s="2">
        <v>177646.72364438805</v>
      </c>
      <c r="L310" s="2">
        <v>225969.2407359223</v>
      </c>
      <c r="M310" s="2">
        <v>200356.4205638209</v>
      </c>
      <c r="N310" s="3">
        <f t="shared" si="29"/>
        <v>252590.10732298149</v>
      </c>
      <c r="O310" s="5">
        <f t="shared" si="30"/>
        <v>125639.45876681182</v>
      </c>
      <c r="P310" s="3">
        <f t="shared" si="31"/>
        <v>185.9404699019174</v>
      </c>
      <c r="Q310" s="3">
        <f t="shared" si="32"/>
        <v>252590.10732298149</v>
      </c>
      <c r="R310" s="5">
        <f t="shared" si="33"/>
        <v>217.48823130038735</v>
      </c>
      <c r="S310" s="5">
        <f t="shared" si="34"/>
        <v>125639.45876681182</v>
      </c>
    </row>
    <row r="311" spans="1:19">
      <c r="A311">
        <v>308</v>
      </c>
      <c r="B311" s="2">
        <v>160.01718582169713</v>
      </c>
      <c r="C311" s="2">
        <v>80.008592910848563</v>
      </c>
      <c r="D311" s="2">
        <v>78.531536416877231</v>
      </c>
      <c r="E311" s="2">
        <v>112.09993512791533</v>
      </c>
      <c r="F311" s="2">
        <v>142.59276336617876</v>
      </c>
      <c r="G311" s="2">
        <v>126.43037421070464</v>
      </c>
      <c r="H311" s="2">
        <f t="shared" si="28"/>
        <v>308</v>
      </c>
      <c r="I311" s="4">
        <v>253742.04429032185</v>
      </c>
      <c r="J311" s="6">
        <v>124528.82788403818</v>
      </c>
      <c r="K311" s="2">
        <v>177758.82357951597</v>
      </c>
      <c r="L311" s="2">
        <v>226111.83349928848</v>
      </c>
      <c r="M311" s="2">
        <v>200482.8509380316</v>
      </c>
      <c r="N311" s="3">
        <f t="shared" si="29"/>
        <v>252712.13883639569</v>
      </c>
      <c r="O311" s="5">
        <f t="shared" si="30"/>
        <v>125711.10887974771</v>
      </c>
      <c r="P311" s="3">
        <f t="shared" si="31"/>
        <v>186.27166017954579</v>
      </c>
      <c r="Q311" s="3">
        <f t="shared" si="32"/>
        <v>252712.13883639569</v>
      </c>
      <c r="R311" s="5">
        <f t="shared" si="33"/>
        <v>217.96758716721172</v>
      </c>
      <c r="S311" s="5">
        <f t="shared" si="34"/>
        <v>125711.10887974771</v>
      </c>
    </row>
    <row r="312" spans="1:19">
      <c r="A312">
        <v>309</v>
      </c>
      <c r="B312" s="2">
        <v>159.50321199143471</v>
      </c>
      <c r="C312" s="2">
        <v>79.751605995717355</v>
      </c>
      <c r="D312" s="2">
        <v>78.279293794553212</v>
      </c>
      <c r="E312" s="2">
        <v>111.73987109645519</v>
      </c>
      <c r="F312" s="2">
        <v>142.13475663159787</v>
      </c>
      <c r="G312" s="2">
        <v>126.02428093165528</v>
      </c>
      <c r="H312" s="2">
        <f t="shared" si="28"/>
        <v>309</v>
      </c>
      <c r="I312" s="4">
        <v>253901.54750231327</v>
      </c>
      <c r="J312" s="6">
        <v>124607.10717783273</v>
      </c>
      <c r="K312" s="2">
        <v>177870.56345061242</v>
      </c>
      <c r="L312" s="2">
        <v>226253.96825592007</v>
      </c>
      <c r="M312" s="2">
        <v>200608.87521896325</v>
      </c>
      <c r="N312" s="3">
        <f t="shared" si="29"/>
        <v>252833.52618059813</v>
      </c>
      <c r="O312" s="5">
        <f t="shared" si="30"/>
        <v>125782.43380999473</v>
      </c>
      <c r="P312" s="3">
        <f t="shared" si="31"/>
        <v>186.60166239472213</v>
      </c>
      <c r="Q312" s="3">
        <f t="shared" si="32"/>
        <v>252833.52618059813</v>
      </c>
      <c r="R312" s="5">
        <f t="shared" si="33"/>
        <v>218.44579813924</v>
      </c>
      <c r="S312" s="5">
        <f t="shared" si="34"/>
        <v>125782.43380999473</v>
      </c>
    </row>
    <row r="313" spans="1:19">
      <c r="A313">
        <v>310</v>
      </c>
      <c r="B313" s="2">
        <v>158.99252934898612</v>
      </c>
      <c r="C313" s="2">
        <v>79.496264674493062</v>
      </c>
      <c r="D313" s="2">
        <v>78.028666386459676</v>
      </c>
      <c r="E313" s="2">
        <v>111.38211270447083</v>
      </c>
      <c r="F313" s="2">
        <v>141.67968270428221</v>
      </c>
      <c r="G313" s="2">
        <v>125.62078803646327</v>
      </c>
      <c r="H313" s="2">
        <f t="shared" si="28"/>
        <v>310</v>
      </c>
      <c r="I313" s="4">
        <v>254060.54003166227</v>
      </c>
      <c r="J313" s="6">
        <v>124685.13584421918</v>
      </c>
      <c r="K313" s="2">
        <v>177981.9455633169</v>
      </c>
      <c r="L313" s="2">
        <v>226395.64793862434</v>
      </c>
      <c r="M313" s="2">
        <v>200734.49600699972</v>
      </c>
      <c r="N313" s="3">
        <f t="shared" si="29"/>
        <v>252954.27380657659</v>
      </c>
      <c r="O313" s="5">
        <f t="shared" si="30"/>
        <v>125853.43569134724</v>
      </c>
      <c r="P313" s="3">
        <f t="shared" si="31"/>
        <v>186.93048080932391</v>
      </c>
      <c r="Q313" s="3">
        <f t="shared" si="32"/>
        <v>252954.27380657659</v>
      </c>
      <c r="R313" s="5">
        <f t="shared" si="33"/>
        <v>218.92286695094194</v>
      </c>
      <c r="S313" s="5">
        <f t="shared" si="34"/>
        <v>125853.43569134724</v>
      </c>
    </row>
    <row r="314" spans="1:19">
      <c r="A314">
        <v>311</v>
      </c>
      <c r="B314" s="2">
        <v>158.48510638297876</v>
      </c>
      <c r="C314" s="2">
        <v>79.242553191489378</v>
      </c>
      <c r="D314" s="2">
        <v>77.779638727779457</v>
      </c>
      <c r="E314" s="2">
        <v>111.02663787669059</v>
      </c>
      <c r="F314" s="2">
        <v>141.22751350416215</v>
      </c>
      <c r="G314" s="2">
        <v>125.21987062783623</v>
      </c>
      <c r="H314" s="2">
        <f t="shared" si="28"/>
        <v>311</v>
      </c>
      <c r="I314" s="4">
        <v>254219.02513804525</v>
      </c>
      <c r="J314" s="6">
        <v>124762.91548294696</v>
      </c>
      <c r="K314" s="2">
        <v>178092.9722011936</v>
      </c>
      <c r="L314" s="2">
        <v>226536.8754521285</v>
      </c>
      <c r="M314" s="2">
        <v>200859.71587762755</v>
      </c>
      <c r="N314" s="3">
        <f t="shared" si="29"/>
        <v>253074.38612375068</v>
      </c>
      <c r="O314" s="5">
        <f t="shared" si="30"/>
        <v>125924.11663783711</v>
      </c>
      <c r="P314" s="3">
        <f t="shared" si="31"/>
        <v>187.25811966994019</v>
      </c>
      <c r="Q314" s="3">
        <f t="shared" si="32"/>
        <v>253074.38612375068</v>
      </c>
      <c r="R314" s="5">
        <f t="shared" si="33"/>
        <v>219.39879633025623</v>
      </c>
      <c r="S314" s="5">
        <f t="shared" si="34"/>
        <v>125924.11663783711</v>
      </c>
    </row>
    <row r="315" spans="1:19">
      <c r="A315">
        <v>312</v>
      </c>
      <c r="B315" s="2">
        <v>157.98091198303291</v>
      </c>
      <c r="C315" s="2">
        <v>78.990455991516455</v>
      </c>
      <c r="D315" s="2">
        <v>77.532195550490627</v>
      </c>
      <c r="E315" s="2">
        <v>110.67342481875839</v>
      </c>
      <c r="F315" s="2">
        <v>140.77822130849671</v>
      </c>
      <c r="G315" s="2">
        <v>124.82150412530862</v>
      </c>
      <c r="H315" s="2">
        <f t="shared" si="28"/>
        <v>312</v>
      </c>
      <c r="I315" s="4">
        <v>254377.00605002829</v>
      </c>
      <c r="J315" s="6">
        <v>124840.44767849745</v>
      </c>
      <c r="K315" s="2">
        <v>178203.64562601235</v>
      </c>
      <c r="L315" s="2">
        <v>226677.65367343699</v>
      </c>
      <c r="M315" s="2">
        <v>200984.53738175286</v>
      </c>
      <c r="N315" s="3">
        <f t="shared" si="29"/>
        <v>253193.86750048021</v>
      </c>
      <c r="O315" s="5">
        <f t="shared" si="30"/>
        <v>125994.47874397512</v>
      </c>
      <c r="P315" s="3">
        <f t="shared" si="31"/>
        <v>187.58458320792639</v>
      </c>
      <c r="Q315" s="3">
        <f t="shared" si="32"/>
        <v>253193.86750048021</v>
      </c>
      <c r="R315" s="5">
        <f t="shared" si="33"/>
        <v>219.87358899860604</v>
      </c>
      <c r="S315" s="5">
        <f t="shared" si="34"/>
        <v>125994.47874397512</v>
      </c>
    </row>
    <row r="316" spans="1:19">
      <c r="A316">
        <v>313</v>
      </c>
      <c r="B316" s="2">
        <v>157.47991543340382</v>
      </c>
      <c r="C316" s="2">
        <v>78.739957716701909</v>
      </c>
      <c r="D316" s="2">
        <v>77.286321780246013</v>
      </c>
      <c r="E316" s="2">
        <v>110.32245201277921</v>
      </c>
      <c r="F316" s="2">
        <v>140.33177874620759</v>
      </c>
      <c r="G316" s="2">
        <v>124.42566426021779</v>
      </c>
      <c r="H316" s="2">
        <f t="shared" si="28"/>
        <v>313</v>
      </c>
      <c r="I316" s="4">
        <v>254534.4859654617</v>
      </c>
      <c r="J316" s="6">
        <v>124917.73400027771</v>
      </c>
      <c r="K316" s="2">
        <v>178313.96807802512</v>
      </c>
      <c r="L316" s="2">
        <v>226817.9854521832</v>
      </c>
      <c r="M316" s="2">
        <v>201108.96304601309</v>
      </c>
      <c r="N316" s="3">
        <f t="shared" si="29"/>
        <v>253312.72226456602</v>
      </c>
      <c r="O316" s="5">
        <f t="shared" si="30"/>
        <v>126064.52408498885</v>
      </c>
      <c r="P316" s="3">
        <f t="shared" si="31"/>
        <v>187.90987563945919</v>
      </c>
      <c r="Q316" s="3">
        <f t="shared" si="32"/>
        <v>253312.72226456602</v>
      </c>
      <c r="R316" s="5">
        <f t="shared" si="33"/>
        <v>220.34724767091487</v>
      </c>
      <c r="S316" s="5">
        <f t="shared" si="34"/>
        <v>126064.52408498885</v>
      </c>
    </row>
    <row r="317" spans="1:19">
      <c r="A317">
        <v>314</v>
      </c>
      <c r="B317" s="2">
        <v>156.98208640674397</v>
      </c>
      <c r="C317" s="2">
        <v>78.491043203371987</v>
      </c>
      <c r="D317" s="2">
        <v>77.042002533311631</v>
      </c>
      <c r="E317" s="2">
        <v>109.97369821294963</v>
      </c>
      <c r="F317" s="2">
        <v>139.88815879232078</v>
      </c>
      <c r="G317" s="2">
        <v>124.03232707077564</v>
      </c>
      <c r="H317" s="2">
        <f t="shared" si="28"/>
        <v>314</v>
      </c>
      <c r="I317" s="4">
        <v>254691.46805186843</v>
      </c>
      <c r="J317" s="6">
        <v>124994.77600281102</v>
      </c>
      <c r="K317" s="2">
        <v>178423.94177623806</v>
      </c>
      <c r="L317" s="2">
        <v>226957.87361097551</v>
      </c>
      <c r="M317" s="2">
        <v>201232.99537308386</v>
      </c>
      <c r="N317" s="3">
        <f t="shared" si="29"/>
        <v>253430.95470374258</v>
      </c>
      <c r="O317" s="5">
        <f t="shared" si="30"/>
        <v>126134.25471705668</v>
      </c>
      <c r="P317" s="3">
        <f t="shared" si="31"/>
        <v>188.23400116559057</v>
      </c>
      <c r="Q317" s="3">
        <f t="shared" si="32"/>
        <v>253430.95470374258</v>
      </c>
      <c r="R317" s="5">
        <f t="shared" si="33"/>
        <v>220.81977505562179</v>
      </c>
      <c r="S317" s="5">
        <f t="shared" si="34"/>
        <v>126134.25471705668</v>
      </c>
    </row>
    <row r="318" spans="1:19">
      <c r="A318">
        <v>315</v>
      </c>
      <c r="B318" s="2">
        <v>156.48739495798318</v>
      </c>
      <c r="C318" s="2">
        <v>78.243697478991592</v>
      </c>
      <c r="D318" s="2">
        <v>76.799223113563784</v>
      </c>
      <c r="E318" s="2">
        <v>109.6271424412701</v>
      </c>
      <c r="F318" s="2">
        <v>139.44733476251301</v>
      </c>
      <c r="G318" s="2">
        <v>123.64146889723322</v>
      </c>
      <c r="H318" s="2">
        <f t="shared" si="28"/>
        <v>315</v>
      </c>
      <c r="I318" s="4">
        <v>254847.95544682641</v>
      </c>
      <c r="J318" s="6">
        <v>125071.57522592458</v>
      </c>
      <c r="K318" s="2">
        <v>178533.56891867935</v>
      </c>
      <c r="L318" s="2">
        <v>227097.32094573803</v>
      </c>
      <c r="M318" s="2">
        <v>201356.63684198109</v>
      </c>
      <c r="N318" s="3">
        <f t="shared" si="29"/>
        <v>253548.56906616376</v>
      </c>
      <c r="O318" s="5">
        <f t="shared" si="30"/>
        <v>126203.6726775385</v>
      </c>
      <c r="P318" s="3">
        <f t="shared" si="31"/>
        <v>188.55696397230244</v>
      </c>
      <c r="Q318" s="3">
        <f t="shared" si="32"/>
        <v>253548.56906616376</v>
      </c>
      <c r="R318" s="5">
        <f t="shared" si="33"/>
        <v>221.29117385469709</v>
      </c>
      <c r="S318" s="5">
        <f t="shared" si="34"/>
        <v>126203.6726775385</v>
      </c>
    </row>
    <row r="319" spans="1:19">
      <c r="A319">
        <v>316</v>
      </c>
      <c r="B319" s="2">
        <v>155.99581151832462</v>
      </c>
      <c r="C319" s="2">
        <v>77.997905759162308</v>
      </c>
      <c r="D319" s="2">
        <v>76.557969009542106</v>
      </c>
      <c r="E319" s="2">
        <v>109.28276398333946</v>
      </c>
      <c r="F319" s="2">
        <v>139.00928030776171</v>
      </c>
      <c r="G319" s="2">
        <v>123.25306637713726</v>
      </c>
      <c r="H319" s="2">
        <f t="shared" si="28"/>
        <v>316</v>
      </c>
      <c r="I319" s="4">
        <v>255003.95125834472</v>
      </c>
      <c r="J319" s="6">
        <v>125148.13319493413</v>
      </c>
      <c r="K319" s="2">
        <v>178642.85168266267</v>
      </c>
      <c r="L319" s="2">
        <v>227236.3302260458</v>
      </c>
      <c r="M319" s="2">
        <v>201479.88990835822</v>
      </c>
      <c r="N319" s="3">
        <f t="shared" si="29"/>
        <v>253665.56956088083</v>
      </c>
      <c r="O319" s="5">
        <f t="shared" si="30"/>
        <v>126272.77998520281</v>
      </c>
      <c r="P319" s="3">
        <f t="shared" si="31"/>
        <v>188.8787682305605</v>
      </c>
      <c r="Q319" s="3">
        <f t="shared" si="32"/>
        <v>253665.56956088083</v>
      </c>
      <c r="R319" s="5">
        <f t="shared" si="33"/>
        <v>221.76144676365755</v>
      </c>
      <c r="S319" s="5">
        <f t="shared" si="34"/>
        <v>126272.77998520281</v>
      </c>
    </row>
    <row r="320" spans="1:19">
      <c r="A320">
        <v>317</v>
      </c>
      <c r="B320" s="2">
        <v>155.50730688935283</v>
      </c>
      <c r="C320" s="2">
        <v>77.753653444676416</v>
      </c>
      <c r="D320" s="2">
        <v>76.318225891558185</v>
      </c>
      <c r="E320" s="2">
        <v>108.94054238422669</v>
      </c>
      <c r="F320" s="2">
        <v>138.57396940909442</v>
      </c>
      <c r="G320" s="2">
        <v>122.86709644067436</v>
      </c>
      <c r="H320" s="2">
        <f t="shared" si="28"/>
        <v>317</v>
      </c>
      <c r="I320" s="4">
        <v>255159.45856523406</v>
      </c>
      <c r="J320" s="6">
        <v>125224.45142082569</v>
      </c>
      <c r="K320" s="2">
        <v>178751.7922250469</v>
      </c>
      <c r="L320" s="2">
        <v>227374.9041954549</v>
      </c>
      <c r="M320" s="2">
        <v>201602.75700479888</v>
      </c>
      <c r="N320" s="3">
        <f t="shared" si="29"/>
        <v>253781.96035831366</v>
      </c>
      <c r="O320" s="5">
        <f t="shared" si="30"/>
        <v>126341.57864045045</v>
      </c>
      <c r="P320" s="3">
        <f t="shared" si="31"/>
        <v>189.19941809636813</v>
      </c>
      <c r="Q320" s="3">
        <f t="shared" si="32"/>
        <v>253781.96035831366</v>
      </c>
      <c r="R320" s="5">
        <f t="shared" si="33"/>
        <v>222.23059647158206</v>
      </c>
      <c r="S320" s="5">
        <f t="shared" si="34"/>
        <v>126341.57864045045</v>
      </c>
    </row>
    <row r="321" spans="1:19">
      <c r="A321">
        <v>318</v>
      </c>
      <c r="B321" s="2">
        <v>155.02185223725289</v>
      </c>
      <c r="C321" s="2">
        <v>77.510926118626443</v>
      </c>
      <c r="D321" s="2">
        <v>76.07997960885821</v>
      </c>
      <c r="E321" s="2">
        <v>108.60045744442165</v>
      </c>
      <c r="F321" s="2">
        <v>138.14137637243755</v>
      </c>
      <c r="G321" s="2">
        <v>122.48353630610417</v>
      </c>
      <c r="H321" s="2">
        <f t="shared" si="28"/>
        <v>318</v>
      </c>
      <c r="I321" s="4">
        <v>255314.48041747132</v>
      </c>
      <c r="J321" s="6">
        <v>125300.53140043454</v>
      </c>
      <c r="K321" s="2">
        <v>178860.39268249131</v>
      </c>
      <c r="L321" s="2">
        <v>227513.04557182733</v>
      </c>
      <c r="M321" s="2">
        <v>201725.24054110498</v>
      </c>
      <c r="N321" s="3">
        <f t="shared" si="29"/>
        <v>253897.7455907143</v>
      </c>
      <c r="O321" s="5">
        <f t="shared" si="30"/>
        <v>126410.07062553481</v>
      </c>
      <c r="P321" s="3">
        <f t="shared" si="31"/>
        <v>189.51891771082003</v>
      </c>
      <c r="Q321" s="3">
        <f t="shared" si="32"/>
        <v>253897.7455907143</v>
      </c>
      <c r="R321" s="5">
        <f t="shared" si="33"/>
        <v>222.69862566112695</v>
      </c>
      <c r="S321" s="5">
        <f t="shared" si="34"/>
        <v>126410.07062553481</v>
      </c>
    </row>
    <row r="322" spans="1:19">
      <c r="A322">
        <v>319</v>
      </c>
      <c r="B322" s="2">
        <v>154.53941908713693</v>
      </c>
      <c r="C322" s="2">
        <v>77.269709543568467</v>
      </c>
      <c r="D322" s="2">
        <v>75.843216186838887</v>
      </c>
      <c r="E322" s="2">
        <v>108.26248921586009</v>
      </c>
      <c r="F322" s="2">
        <v>137.71147582356062</v>
      </c>
      <c r="G322" s="2">
        <v>122.10236347527598</v>
      </c>
      <c r="H322" s="2">
        <f t="shared" si="28"/>
        <v>319</v>
      </c>
      <c r="I322" s="4">
        <v>255469.01983655847</v>
      </c>
      <c r="J322" s="6">
        <v>125376.37461662138</v>
      </c>
      <c r="K322" s="2">
        <v>178968.65517170716</v>
      </c>
      <c r="L322" s="2">
        <v>227650.7570476509</v>
      </c>
      <c r="M322" s="2">
        <v>201847.34290458026</v>
      </c>
      <c r="N322" s="3">
        <f t="shared" si="29"/>
        <v>254012.92935262431</v>
      </c>
      <c r="O322" s="5">
        <f t="shared" si="30"/>
        <v>126478.25790477911</v>
      </c>
      <c r="P322" s="3">
        <f t="shared" si="31"/>
        <v>189.83727120015587</v>
      </c>
      <c r="Q322" s="3">
        <f t="shared" si="32"/>
        <v>254012.92935262431</v>
      </c>
      <c r="R322" s="5">
        <f t="shared" si="33"/>
        <v>223.16553700854107</v>
      </c>
      <c r="S322" s="5">
        <f t="shared" si="34"/>
        <v>126478.25790477911</v>
      </c>
    </row>
    <row r="323" spans="1:19">
      <c r="A323">
        <v>320</v>
      </c>
      <c r="B323" s="2">
        <v>154.05997931747675</v>
      </c>
      <c r="C323" s="2">
        <v>77.029989658738373</v>
      </c>
      <c r="D323" s="2">
        <v>75.607921824315071</v>
      </c>
      <c r="E323" s="2">
        <v>107.92661799802393</v>
      </c>
      <c r="F323" s="2">
        <v>137.28424270311518</v>
      </c>
      <c r="G323" s="2">
        <v>121.72355572923065</v>
      </c>
      <c r="H323" s="2">
        <f t="shared" si="28"/>
        <v>320</v>
      </c>
      <c r="I323" s="4">
        <v>255623.07981587594</v>
      </c>
      <c r="J323" s="6">
        <v>125451.98253844569</v>
      </c>
      <c r="K323" s="2">
        <v>179076.58178970517</v>
      </c>
      <c r="L323" s="2">
        <v>227788.04129035401</v>
      </c>
      <c r="M323" s="2">
        <v>201969.06646030949</v>
      </c>
      <c r="N323" s="3">
        <f t="shared" si="29"/>
        <v>254127.51570132471</v>
      </c>
      <c r="O323" s="5">
        <f t="shared" si="30"/>
        <v>126546.1424247901</v>
      </c>
      <c r="P323" s="3">
        <f t="shared" si="31"/>
        <v>190.15448267581345</v>
      </c>
      <c r="Q323" s="3">
        <f t="shared" si="32"/>
        <v>254127.51570132471</v>
      </c>
      <c r="R323" s="5">
        <f t="shared" si="33"/>
        <v>223.63133318368165</v>
      </c>
      <c r="S323" s="5">
        <f t="shared" si="34"/>
        <v>126546.1424247901</v>
      </c>
    </row>
    <row r="324" spans="1:19">
      <c r="A324">
        <v>321</v>
      </c>
      <c r="B324" s="2">
        <v>153.58350515463917</v>
      </c>
      <c r="C324" s="2">
        <v>76.791752577319585</v>
      </c>
      <c r="D324" s="2">
        <v>75.374082890837869</v>
      </c>
      <c r="E324" s="2">
        <v>107.59282433411256</v>
      </c>
      <c r="F324" s="2">
        <v>136.85965226176538</v>
      </c>
      <c r="G324" s="2">
        <v>121.34709112388258</v>
      </c>
      <c r="H324" s="2">
        <f t="shared" si="28"/>
        <v>321</v>
      </c>
      <c r="I324" s="4">
        <v>255776.66332103059</v>
      </c>
      <c r="J324" s="6">
        <v>125527.35662133653</v>
      </c>
      <c r="K324" s="2">
        <v>179184.17461403928</v>
      </c>
      <c r="L324" s="2">
        <v>227924.90094261579</v>
      </c>
      <c r="M324" s="2">
        <v>202090.41355143336</v>
      </c>
      <c r="N324" s="3">
        <f t="shared" si="29"/>
        <v>254241.50865727937</v>
      </c>
      <c r="O324" s="5">
        <f t="shared" si="30"/>
        <v>126613.72611466872</v>
      </c>
      <c r="P324" s="3">
        <f t="shared" si="31"/>
        <v>190.47055623448176</v>
      </c>
      <c r="Q324" s="3">
        <f t="shared" si="32"/>
        <v>254241.50865727937</v>
      </c>
      <c r="R324" s="5">
        <f t="shared" si="33"/>
        <v>224.09601685002895</v>
      </c>
      <c r="S324" s="5">
        <f t="shared" si="34"/>
        <v>126613.72611466872</v>
      </c>
    </row>
    <row r="325" spans="1:19">
      <c r="A325">
        <v>322</v>
      </c>
      <c r="B325" s="2">
        <v>153.10996916752313</v>
      </c>
      <c r="C325" s="2">
        <v>76.554984583761566</v>
      </c>
      <c r="D325" s="2">
        <v>75.141685924062401</v>
      </c>
      <c r="E325" s="2">
        <v>107.26108900728585</v>
      </c>
      <c r="F325" s="2">
        <v>136.43768005540846</v>
      </c>
      <c r="G325" s="2">
        <v>120.97294798578217</v>
      </c>
      <c r="H325" s="2">
        <f t="shared" ref="H325:H363" si="35">+$A325</f>
        <v>322</v>
      </c>
      <c r="I325" s="4">
        <v>255929.77329019812</v>
      </c>
      <c r="J325" s="6">
        <v>125602.49830726058</v>
      </c>
      <c r="K325" s="2">
        <v>179291.43570304656</v>
      </c>
      <c r="L325" s="2">
        <v>228061.3386226712</v>
      </c>
      <c r="M325" s="2">
        <v>202211.38649941914</v>
      </c>
      <c r="N325" s="3">
        <f t="shared" ref="N325:N363" si="36">+$Q325</f>
        <v>254354.91220457203</v>
      </c>
      <c r="O325" s="5">
        <f t="shared" ref="O325:O363" si="37">+$S325</f>
        <v>126681.01088621761</v>
      </c>
      <c r="P325" s="3">
        <f t="shared" ref="P325:P363" si="38">+(1-EXP(-$P$2*$H325))/$P$2</f>
        <v>190.78549595815394</v>
      </c>
      <c r="Q325" s="3">
        <f t="shared" ref="Q325:Q363" si="39">+$Q$2/(1+1/SQRT($Q$3*$P325))</f>
        <v>254354.91220457203</v>
      </c>
      <c r="R325" s="5">
        <f t="shared" ref="R325:R363" si="40">+(1-EXP(-$R$2*$H325))/$R$2</f>
        <v>224.5595906647018</v>
      </c>
      <c r="S325" s="5">
        <f t="shared" ref="S325:S363" si="41">+$S$2/(1+1/SQRT($S$3*$R325))</f>
        <v>126681.01088621761</v>
      </c>
    </row>
    <row r="326" spans="1:19">
      <c r="A326">
        <v>323</v>
      </c>
      <c r="B326" s="2">
        <v>152.63934426229511</v>
      </c>
      <c r="C326" s="2">
        <v>76.319672131147556</v>
      </c>
      <c r="D326" s="2">
        <v>74.910717627164658</v>
      </c>
      <c r="E326" s="2">
        <v>106.9313930369766</v>
      </c>
      <c r="F326" s="2">
        <v>136.01830194048404</v>
      </c>
      <c r="G326" s="2">
        <v>120.60110490795702</v>
      </c>
      <c r="H326" s="2">
        <f t="shared" si="35"/>
        <v>323</v>
      </c>
      <c r="I326" s="4">
        <v>256082.41263446043</v>
      </c>
      <c r="J326" s="6">
        <v>125677.40902488775</v>
      </c>
      <c r="K326" s="2">
        <v>179398.36709608353</v>
      </c>
      <c r="L326" s="2">
        <v>228197.3569246117</v>
      </c>
      <c r="M326" s="2">
        <v>202331.98760432709</v>
      </c>
      <c r="N326" s="3">
        <f t="shared" si="36"/>
        <v>254467.73029133686</v>
      </c>
      <c r="O326" s="5">
        <f t="shared" si="37"/>
        <v>126747.99863414568</v>
      </c>
      <c r="P326" s="3">
        <f t="shared" si="38"/>
        <v>191.09930591418006</v>
      </c>
      <c r="Q326" s="3">
        <f t="shared" si="39"/>
        <v>254467.73029133686</v>
      </c>
      <c r="R326" s="5">
        <f t="shared" si="40"/>
        <v>225.022057278473</v>
      </c>
      <c r="S326" s="5">
        <f t="shared" si="41"/>
        <v>126747.99863414568</v>
      </c>
    </row>
    <row r="327" spans="1:19">
      <c r="A327">
        <v>324</v>
      </c>
      <c r="B327" s="2">
        <v>152.17160367722167</v>
      </c>
      <c r="C327" s="2">
        <v>76.085801838610834</v>
      </c>
      <c r="D327" s="2">
        <v>74.681164866305167</v>
      </c>
      <c r="E327" s="2">
        <v>106.60371767526988</v>
      </c>
      <c r="F327" s="2">
        <v>135.60149406936921</v>
      </c>
      <c r="G327" s="2">
        <v>120.23154074582851</v>
      </c>
      <c r="H327" s="2">
        <f t="shared" si="35"/>
        <v>324</v>
      </c>
      <c r="I327" s="4">
        <v>256234.58423813764</v>
      </c>
      <c r="J327" s="6">
        <v>125752.09018975405</v>
      </c>
      <c r="K327" s="2">
        <v>179504.97081375879</v>
      </c>
      <c r="L327" s="2">
        <v>228332.95841868105</v>
      </c>
      <c r="M327" s="2">
        <v>202452.21914507292</v>
      </c>
      <c r="N327" s="3">
        <f t="shared" si="36"/>
        <v>254579.96683018203</v>
      </c>
      <c r="O327" s="5">
        <f t="shared" si="37"/>
        <v>126814.69123626931</v>
      </c>
      <c r="P327" s="3">
        <f t="shared" si="38"/>
        <v>191.41199015531947</v>
      </c>
      <c r="Q327" s="3">
        <f t="shared" si="39"/>
        <v>254579.96683018203</v>
      </c>
      <c r="R327" s="5">
        <f t="shared" si="40"/>
        <v>225.48341933578382</v>
      </c>
      <c r="S327" s="5">
        <f t="shared" si="41"/>
        <v>126814.69123626931</v>
      </c>
    </row>
    <row r="328" spans="1:19">
      <c r="A328">
        <v>325</v>
      </c>
      <c r="B328" s="2">
        <v>151.70672097759675</v>
      </c>
      <c r="C328" s="2">
        <v>75.853360488798373</v>
      </c>
      <c r="D328" s="2">
        <v>74.453014668139176</v>
      </c>
      <c r="E328" s="2">
        <v>106.27804440334943</v>
      </c>
      <c r="F328" s="2">
        <v>135.18723288585781</v>
      </c>
      <c r="G328" s="2">
        <v>119.86423461320368</v>
      </c>
      <c r="H328" s="2">
        <f t="shared" si="35"/>
        <v>325</v>
      </c>
      <c r="I328" s="4">
        <v>256386.29095911523</v>
      </c>
      <c r="J328" s="6">
        <v>125826.54320442218</v>
      </c>
      <c r="K328" s="2">
        <v>179611.24885816214</v>
      </c>
      <c r="L328" s="2">
        <v>228468.14565156691</v>
      </c>
      <c r="M328" s="2">
        <v>202572.08337968611</v>
      </c>
      <c r="N328" s="3">
        <f t="shared" si="36"/>
        <v>254691.62569860838</v>
      </c>
      <c r="O328" s="5">
        <f t="shared" si="37"/>
        <v>126881.09055371111</v>
      </c>
      <c r="P328" s="3">
        <f t="shared" si="38"/>
        <v>191.72355271979342</v>
      </c>
      <c r="Q328" s="3">
        <f t="shared" si="39"/>
        <v>254691.62569860838</v>
      </c>
      <c r="R328" s="5">
        <f t="shared" si="40"/>
        <v>225.94367947476002</v>
      </c>
      <c r="S328" s="5">
        <f t="shared" si="41"/>
        <v>126881.09055371111</v>
      </c>
    </row>
    <row r="329" spans="1:19">
      <c r="A329">
        <v>326</v>
      </c>
      <c r="B329" s="2">
        <v>151.24467005076141</v>
      </c>
      <c r="C329" s="2">
        <v>75.622335025380707</v>
      </c>
      <c r="D329" s="2">
        <v>74.226254217373281</v>
      </c>
      <c r="E329" s="2">
        <v>105.95435492800929</v>
      </c>
      <c r="F329" s="2">
        <v>134.77549512072324</v>
      </c>
      <c r="G329" s="2">
        <v>119.49916587834117</v>
      </c>
      <c r="H329" s="2">
        <f t="shared" si="35"/>
        <v>326</v>
      </c>
      <c r="I329" s="4">
        <v>256537.535629166</v>
      </c>
      <c r="J329" s="6">
        <v>125900.76945863955</v>
      </c>
      <c r="K329" s="2">
        <v>179717.20321309016</v>
      </c>
      <c r="L329" s="2">
        <v>228602.92114668764</v>
      </c>
      <c r="M329" s="2">
        <v>202691.58254556445</v>
      </c>
      <c r="N329" s="3">
        <f t="shared" si="36"/>
        <v>254802.71073942023</v>
      </c>
      <c r="O329" s="5">
        <f t="shared" si="37"/>
        <v>126947.19843109541</v>
      </c>
      <c r="P329" s="3">
        <f t="shared" si="38"/>
        <v>192.03399763133694</v>
      </c>
      <c r="Q329" s="3">
        <f t="shared" si="39"/>
        <v>254802.71073942023</v>
      </c>
      <c r="R329" s="5">
        <f t="shared" si="40"/>
        <v>226.40284032722602</v>
      </c>
      <c r="S329" s="5">
        <f t="shared" si="41"/>
        <v>126947.19843109541</v>
      </c>
    </row>
    <row r="330" spans="1:19">
      <c r="A330">
        <v>327</v>
      </c>
      <c r="B330" s="2">
        <v>150.7854251012146</v>
      </c>
      <c r="C330" s="2">
        <v>75.3927125506073</v>
      </c>
      <c r="D330" s="2">
        <v>74.000870854365104</v>
      </c>
      <c r="E330" s="2">
        <v>105.63263117822795</v>
      </c>
      <c r="F330" s="2">
        <v>134.36625778736081</v>
      </c>
      <c r="G330" s="2">
        <v>119.13631416008715</v>
      </c>
      <c r="H330" s="2">
        <f t="shared" si="35"/>
        <v>327</v>
      </c>
      <c r="I330" s="4">
        <v>256688.3210542672</v>
      </c>
      <c r="J330" s="6">
        <v>125974.77032949391</v>
      </c>
      <c r="K330" s="2">
        <v>179822.83584426838</v>
      </c>
      <c r="L330" s="2">
        <v>228737.28740447501</v>
      </c>
      <c r="M330" s="2">
        <v>202810.71885972453</v>
      </c>
      <c r="N330" s="3">
        <f t="shared" si="36"/>
        <v>254913.22576113179</v>
      </c>
      <c r="O330" s="5">
        <f t="shared" si="37"/>
        <v>127013.01669674092</v>
      </c>
      <c r="P330" s="3">
        <f t="shared" si="38"/>
        <v>192.34332889925096</v>
      </c>
      <c r="Q330" s="3">
        <f t="shared" si="39"/>
        <v>254913.22576113179</v>
      </c>
      <c r="R330" s="5">
        <f t="shared" si="40"/>
        <v>226.86090451872064</v>
      </c>
      <c r="S330" s="5">
        <f t="shared" si="41"/>
        <v>127013.01669674092</v>
      </c>
    </row>
    <row r="331" spans="1:19">
      <c r="A331">
        <v>328</v>
      </c>
      <c r="B331" s="2">
        <v>150.32896064581232</v>
      </c>
      <c r="C331" s="2">
        <v>75.164480322906158</v>
      </c>
      <c r="D331" s="2">
        <v>73.776852072767554</v>
      </c>
      <c r="E331" s="2">
        <v>105.31285530180533</v>
      </c>
      <c r="F331" s="2">
        <v>133.95949817750997</v>
      </c>
      <c r="G331" s="2">
        <v>118.77565932408271</v>
      </c>
      <c r="H331" s="2">
        <f t="shared" si="35"/>
        <v>328</v>
      </c>
      <c r="I331" s="4">
        <v>256838.650014913</v>
      </c>
      <c r="J331" s="6">
        <v>126048.54718156668</v>
      </c>
      <c r="K331" s="2">
        <v>179928.14869957019</v>
      </c>
      <c r="L331" s="2">
        <v>228871.24690265252</v>
      </c>
      <c r="M331" s="2">
        <v>202929.4945190486</v>
      </c>
      <c r="N331" s="3">
        <f t="shared" si="36"/>
        <v>255023.17453836664</v>
      </c>
      <c r="O331" s="5">
        <f t="shared" si="37"/>
        <v>127078.54716285066</v>
      </c>
      <c r="P331" s="3">
        <f t="shared" si="38"/>
        <v>192.65155051845394</v>
      </c>
      <c r="Q331" s="3">
        <f t="shared" si="39"/>
        <v>255023.17453836664</v>
      </c>
      <c r="R331" s="5">
        <f t="shared" si="40"/>
        <v>227.31787466851179</v>
      </c>
      <c r="S331" s="5">
        <f t="shared" si="41"/>
        <v>127078.54716285066</v>
      </c>
    </row>
    <row r="332" spans="1:19">
      <c r="A332">
        <v>329</v>
      </c>
      <c r="B332" s="2">
        <v>149.87525150905432</v>
      </c>
      <c r="C332" s="2">
        <v>74.937625754527161</v>
      </c>
      <c r="D332" s="2">
        <v>73.554185517215998</v>
      </c>
      <c r="E332" s="2">
        <v>104.99500966206149</v>
      </c>
      <c r="F332" s="2">
        <v>133.55519385705472</v>
      </c>
      <c r="G332" s="2">
        <v>118.41718147904027</v>
      </c>
      <c r="H332" s="2">
        <f t="shared" si="35"/>
        <v>329</v>
      </c>
      <c r="I332" s="4">
        <v>256988.52526642205</v>
      </c>
      <c r="J332" s="6">
        <v>126122.1013670839</v>
      </c>
      <c r="K332" s="2">
        <v>180033.14370923224</v>
      </c>
      <c r="L332" s="2">
        <v>229004.80209650958</v>
      </c>
      <c r="M332" s="2">
        <v>203047.91170052765</v>
      </c>
      <c r="N332" s="3">
        <f t="shared" si="36"/>
        <v>255132.56081225173</v>
      </c>
      <c r="O332" s="5">
        <f t="shared" si="37"/>
        <v>127143.79162569929</v>
      </c>
      <c r="P332" s="3">
        <f t="shared" si="38"/>
        <v>192.95866646953374</v>
      </c>
      <c r="Q332" s="3">
        <f t="shared" si="39"/>
        <v>255132.56081225173</v>
      </c>
      <c r="R332" s="5">
        <f t="shared" si="40"/>
        <v>227.77375338961153</v>
      </c>
      <c r="S332" s="5">
        <f t="shared" si="41"/>
        <v>127143.79162569929</v>
      </c>
    </row>
    <row r="333" spans="1:19">
      <c r="A333">
        <v>330</v>
      </c>
      <c r="B333" s="2">
        <v>149.42427281845536</v>
      </c>
      <c r="C333" s="2">
        <v>74.712136409227682</v>
      </c>
      <c r="D333" s="2">
        <v>73.332858981055892</v>
      </c>
      <c r="E333" s="2">
        <v>104.67907683459289</v>
      </c>
      <c r="F333" s="2">
        <v>133.1533226618981</v>
      </c>
      <c r="G333" s="2">
        <v>118.06086097308524</v>
      </c>
      <c r="H333" s="2">
        <f t="shared" si="35"/>
        <v>330</v>
      </c>
      <c r="I333" s="4">
        <v>257137.94953924051</v>
      </c>
      <c r="J333" s="6">
        <v>126195.43422606496</v>
      </c>
      <c r="K333" s="2">
        <v>180137.82278606683</v>
      </c>
      <c r="L333" s="2">
        <v>229137.95541917149</v>
      </c>
      <c r="M333" s="2">
        <v>203165.97256150073</v>
      </c>
      <c r="N333" s="3">
        <f t="shared" si="36"/>
        <v>255241.38829080589</v>
      </c>
      <c r="O333" s="5">
        <f t="shared" si="37"/>
        <v>127208.75186581732</v>
      </c>
      <c r="P333" s="3">
        <f t="shared" si="38"/>
        <v>193.26468071879867</v>
      </c>
      <c r="Q333" s="3">
        <f t="shared" si="39"/>
        <v>255241.38829080589</v>
      </c>
      <c r="R333" s="5">
        <f t="shared" si="40"/>
        <v>228.22854328879097</v>
      </c>
      <c r="S333" s="5">
        <f t="shared" si="41"/>
        <v>127208.75186581732</v>
      </c>
    </row>
    <row r="334" spans="1:19">
      <c r="A334">
        <v>331</v>
      </c>
      <c r="B334" s="2">
        <v>148.976</v>
      </c>
      <c r="C334" s="2">
        <v>74.488</v>
      </c>
      <c r="D334" s="2">
        <v>73.112860404112752</v>
      </c>
      <c r="E334" s="2">
        <v>104.36503960408919</v>
      </c>
      <c r="F334" s="2">
        <v>132.75386269391245</v>
      </c>
      <c r="G334" s="2">
        <v>117.70667839016608</v>
      </c>
      <c r="H334" s="2">
        <f t="shared" si="35"/>
        <v>331</v>
      </c>
      <c r="I334" s="4">
        <v>257286.9255392405</v>
      </c>
      <c r="J334" s="6">
        <v>126268.54708646907</v>
      </c>
      <c r="K334" s="2">
        <v>180242.1878256709</v>
      </c>
      <c r="L334" s="2">
        <v>229270.70928186539</v>
      </c>
      <c r="M334" s="2">
        <v>203283.67923989089</v>
      </c>
      <c r="N334" s="3">
        <f t="shared" si="36"/>
        <v>255349.66064932238</v>
      </c>
      <c r="O334" s="5">
        <f t="shared" si="37"/>
        <v>127273.42964817313</v>
      </c>
      <c r="P334" s="3">
        <f t="shared" si="38"/>
        <v>193.56959721832911</v>
      </c>
      <c r="Q334" s="3">
        <f t="shared" si="39"/>
        <v>255349.66064932238</v>
      </c>
      <c r="R334" s="5">
        <f t="shared" si="40"/>
        <v>228.68224696659516</v>
      </c>
      <c r="S334" s="5">
        <f t="shared" si="41"/>
        <v>127273.42964817313</v>
      </c>
    </row>
    <row r="335" spans="1:19">
      <c r="A335">
        <v>332</v>
      </c>
      <c r="B335" s="2">
        <v>148.53040877367897</v>
      </c>
      <c r="C335" s="2">
        <v>74.265204386839486</v>
      </c>
      <c r="D335" s="2">
        <v>72.894177870501224</v>
      </c>
      <c r="E335" s="2">
        <v>104.05288096120553</v>
      </c>
      <c r="F335" s="2">
        <v>132.35679231696153</v>
      </c>
      <c r="G335" s="2">
        <v>117.35461454652645</v>
      </c>
      <c r="H335" s="2">
        <f t="shared" si="35"/>
        <v>332</v>
      </c>
      <c r="I335" s="4">
        <v>257435.45594801419</v>
      </c>
      <c r="J335" s="6">
        <v>126341.44126433958</v>
      </c>
      <c r="K335" s="2">
        <v>180346.24070663212</v>
      </c>
      <c r="L335" s="2">
        <v>229403.06607418237</v>
      </c>
      <c r="M335" s="2">
        <v>203401.03385443741</v>
      </c>
      <c r="N335" s="3">
        <f t="shared" si="36"/>
        <v>255457.38153074586</v>
      </c>
      <c r="O335" s="5">
        <f t="shared" si="37"/>
        <v>127337.82672235204</v>
      </c>
      <c r="P335" s="3">
        <f t="shared" si="38"/>
        <v>193.87341990602818</v>
      </c>
      <c r="Q335" s="3">
        <f t="shared" si="39"/>
        <v>255457.38153074586</v>
      </c>
      <c r="R335" s="5">
        <f t="shared" si="40"/>
        <v>229.13486701735818</v>
      </c>
      <c r="S335" s="5">
        <f t="shared" si="41"/>
        <v>127337.82672235204</v>
      </c>
    </row>
    <row r="336" spans="1:19">
      <c r="A336">
        <v>333</v>
      </c>
      <c r="B336" s="2">
        <v>148.08747514910539</v>
      </c>
      <c r="C336" s="2">
        <v>74.043737574552694</v>
      </c>
      <c r="D336" s="2">
        <v>72.676799606473821</v>
      </c>
      <c r="E336" s="2">
        <v>103.74258409949215</v>
      </c>
      <c r="F336" s="2">
        <v>131.96209015299442</v>
      </c>
      <c r="G336" s="2">
        <v>117.00465048724254</v>
      </c>
      <c r="H336" s="2">
        <f t="shared" si="35"/>
        <v>333</v>
      </c>
      <c r="I336" s="4">
        <v>257583.5434231633</v>
      </c>
      <c r="J336" s="6">
        <v>126414.11806394605</v>
      </c>
      <c r="K336" s="2">
        <v>180449.98329073162</v>
      </c>
      <c r="L336" s="2">
        <v>229535.02816433535</v>
      </c>
      <c r="M336" s="2">
        <v>203518.03850492465</v>
      </c>
      <c r="N336" s="3">
        <f t="shared" si="36"/>
        <v>255564.55454604453</v>
      </c>
      <c r="O336" s="5">
        <f t="shared" si="37"/>
        <v>127401.94482273287</v>
      </c>
      <c r="P336" s="3">
        <f t="shared" si="38"/>
        <v>194.17615270567271</v>
      </c>
      <c r="Q336" s="3">
        <f t="shared" si="39"/>
        <v>255564.55454604453</v>
      </c>
      <c r="R336" s="5">
        <f t="shared" si="40"/>
        <v>229.58640602921753</v>
      </c>
      <c r="S336" s="5">
        <f t="shared" si="41"/>
        <v>127401.94482273287</v>
      </c>
    </row>
    <row r="337" spans="1:19">
      <c r="A337">
        <v>334</v>
      </c>
      <c r="B337" s="2">
        <v>147.64717542120914</v>
      </c>
      <c r="C337" s="2">
        <v>73.823587710604571</v>
      </c>
      <c r="D337" s="2">
        <v>72.460713978307965</v>
      </c>
      <c r="E337" s="2">
        <v>103.43413241237775</v>
      </c>
      <c r="F337" s="2">
        <v>131.56973507820854</v>
      </c>
      <c r="G337" s="2">
        <v>116.65676748282068</v>
      </c>
      <c r="H337" s="2">
        <f t="shared" si="35"/>
        <v>334</v>
      </c>
      <c r="I337" s="4">
        <v>257731.19059858451</v>
      </c>
      <c r="J337" s="6">
        <v>126486.57877792435</v>
      </c>
      <c r="K337" s="2">
        <v>180553.41742314398</v>
      </c>
      <c r="L337" s="2">
        <v>229666.59789941355</v>
      </c>
      <c r="M337" s="2">
        <v>203634.69527240747</v>
      </c>
      <c r="N337" s="3">
        <f t="shared" si="36"/>
        <v>255671.18327457641</v>
      </c>
      <c r="O337" s="5">
        <f t="shared" si="37"/>
        <v>127465.78566866217</v>
      </c>
      <c r="P337" s="3">
        <f t="shared" si="38"/>
        <v>194.47779952696416</v>
      </c>
      <c r="Q337" s="3">
        <f t="shared" si="39"/>
        <v>255671.18327457641</v>
      </c>
      <c r="R337" s="5">
        <f t="shared" si="40"/>
        <v>230.03686658412934</v>
      </c>
      <c r="S337" s="5">
        <f t="shared" si="41"/>
        <v>127465.78566866217</v>
      </c>
    </row>
    <row r="338" spans="1:19">
      <c r="A338">
        <v>335</v>
      </c>
      <c r="B338" s="2">
        <v>147.20948616600791</v>
      </c>
      <c r="C338" s="2">
        <v>73.604743083003953</v>
      </c>
      <c r="D338" s="2">
        <v>72.245909490229963</v>
      </c>
      <c r="E338" s="2">
        <v>103.12750949020668</v>
      </c>
      <c r="F338" s="2">
        <v>131.17970621928103</v>
      </c>
      <c r="G338" s="2">
        <v>116.31094702585578</v>
      </c>
      <c r="H338" s="2">
        <f t="shared" si="35"/>
        <v>335</v>
      </c>
      <c r="I338" s="4">
        <v>257878.40008475052</v>
      </c>
      <c r="J338" s="6">
        <v>126558.82468741458</v>
      </c>
      <c r="K338" s="2">
        <v>180656.54493263419</v>
      </c>
      <c r="L338" s="2">
        <v>229797.77760563284</v>
      </c>
      <c r="M338" s="2">
        <v>203751.00621943333</v>
      </c>
      <c r="N338" s="3">
        <f t="shared" si="36"/>
        <v>255777.27126445048</v>
      </c>
      <c r="O338" s="5">
        <f t="shared" si="37"/>
        <v>127529.35096462576</v>
      </c>
      <c r="P338" s="3">
        <f t="shared" si="38"/>
        <v>194.77836426557874</v>
      </c>
      <c r="Q338" s="3">
        <f t="shared" si="39"/>
        <v>255777.27126445048</v>
      </c>
      <c r="R338" s="5">
        <f t="shared" si="40"/>
        <v>230.48625125788303</v>
      </c>
      <c r="S338" s="5">
        <f t="shared" si="41"/>
        <v>127529.35096462576</v>
      </c>
    </row>
    <row r="339" spans="1:19">
      <c r="A339">
        <v>336</v>
      </c>
      <c r="B339" s="2">
        <v>146.77438423645319</v>
      </c>
      <c r="C339" s="2">
        <v>73.387192118226594</v>
      </c>
      <c r="D339" s="2">
        <v>72.03237478237709</v>
      </c>
      <c r="E339" s="2">
        <v>102.82269911732922</v>
      </c>
      <c r="F339" s="2">
        <v>130.79198294966741</v>
      </c>
      <c r="G339" s="2">
        <v>115.96717082774981</v>
      </c>
      <c r="H339" s="2">
        <f t="shared" si="35"/>
        <v>336</v>
      </c>
      <c r="I339" s="4">
        <v>258025.17446898698</v>
      </c>
      <c r="J339" s="6">
        <v>126630.85706219696</v>
      </c>
      <c r="K339" s="2">
        <v>180759.36763175152</v>
      </c>
      <c r="L339" s="2">
        <v>229928.5695885825</v>
      </c>
      <c r="M339" s="2">
        <v>203866.97339026109</v>
      </c>
      <c r="N339" s="3">
        <f t="shared" si="36"/>
        <v>255882.82203288272</v>
      </c>
      <c r="O339" s="5">
        <f t="shared" si="37"/>
        <v>127592.64240041775</v>
      </c>
      <c r="P339" s="3">
        <f t="shared" si="38"/>
        <v>195.07785080321796</v>
      </c>
      <c r="Q339" s="3">
        <f t="shared" si="39"/>
        <v>255882.82203288272</v>
      </c>
      <c r="R339" s="5">
        <f t="shared" si="40"/>
        <v>230.934562620116</v>
      </c>
      <c r="S339" s="5">
        <f t="shared" si="41"/>
        <v>127592.64240041775</v>
      </c>
    </row>
    <row r="340" spans="1:19">
      <c r="A340">
        <v>337</v>
      </c>
      <c r="B340" s="2">
        <v>146.34184675834973</v>
      </c>
      <c r="C340" s="2">
        <v>73.170923379174866</v>
      </c>
      <c r="D340" s="2">
        <v>71.820098628794469</v>
      </c>
      <c r="E340" s="2">
        <v>102.51968526924283</v>
      </c>
      <c r="F340" s="2">
        <v>130.40654488596508</v>
      </c>
      <c r="G340" s="2">
        <v>115.62542081548733</v>
      </c>
      <c r="H340" s="2">
        <f t="shared" si="35"/>
        <v>337</v>
      </c>
      <c r="I340" s="4">
        <v>258171.51631574534</v>
      </c>
      <c r="J340" s="6">
        <v>126702.67716082575</v>
      </c>
      <c r="K340" s="2">
        <v>180861.88731702077</v>
      </c>
      <c r="L340" s="2">
        <v>230058.97613346847</v>
      </c>
      <c r="M340" s="2">
        <v>203982.59881107658</v>
      </c>
      <c r="N340" s="3">
        <f t="shared" si="36"/>
        <v>255987.83906654749</v>
      </c>
      <c r="O340" s="5">
        <f t="shared" si="37"/>
        <v>127655.66165130762</v>
      </c>
      <c r="P340" s="3">
        <f t="shared" si="38"/>
        <v>195.37626300765874</v>
      </c>
      <c r="Q340" s="3">
        <f t="shared" si="39"/>
        <v>255987.83906654749</v>
      </c>
      <c r="R340" s="5">
        <f t="shared" si="40"/>
        <v>231.38180323432817</v>
      </c>
      <c r="S340" s="5">
        <f t="shared" si="41"/>
        <v>127655.66165130762</v>
      </c>
    </row>
    <row r="341" spans="1:19">
      <c r="A341">
        <v>338</v>
      </c>
      <c r="B341" s="2">
        <v>145.91185112634673</v>
      </c>
      <c r="C341" s="2">
        <v>72.955925563173366</v>
      </c>
      <c r="D341" s="2">
        <v>71.609069935467858</v>
      </c>
      <c r="E341" s="2">
        <v>102.21845210978366</v>
      </c>
      <c r="F341" s="2">
        <v>130.02337188434126</v>
      </c>
      <c r="G341" s="2">
        <v>115.28567912846819</v>
      </c>
      <c r="H341" s="2">
        <f t="shared" si="35"/>
        <v>338</v>
      </c>
      <c r="I341" s="4">
        <v>258317.42816687169</v>
      </c>
      <c r="J341" s="6">
        <v>126774.28623076122</v>
      </c>
      <c r="K341" s="2">
        <v>180964.10576913055</v>
      </c>
      <c r="L341" s="2">
        <v>230188.99950535281</v>
      </c>
      <c r="M341" s="2">
        <v>204097.88449020503</v>
      </c>
      <c r="N341" s="3">
        <f t="shared" si="36"/>
        <v>256092.32582192309</v>
      </c>
      <c r="O341" s="5">
        <f t="shared" si="37"/>
        <v>127718.41037820425</v>
      </c>
      <c r="P341" s="3">
        <f t="shared" si="38"/>
        <v>195.67360473280317</v>
      </c>
      <c r="Q341" s="3">
        <f t="shared" si="39"/>
        <v>256092.32582192309</v>
      </c>
      <c r="R341" s="5">
        <f t="shared" si="40"/>
        <v>231.82797565789699</v>
      </c>
      <c r="S341" s="5">
        <f t="shared" si="41"/>
        <v>127718.41037820425</v>
      </c>
    </row>
    <row r="342" spans="1:19">
      <c r="A342">
        <v>339</v>
      </c>
      <c r="B342" s="2">
        <v>145.48437500000003</v>
      </c>
      <c r="C342" s="2">
        <v>72.742187500000014</v>
      </c>
      <c r="D342" s="2">
        <v>71.399277738391362</v>
      </c>
      <c r="E342" s="2">
        <v>101.91898398836828</v>
      </c>
      <c r="F342" s="2">
        <v>129.64244403702384</v>
      </c>
      <c r="G342" s="2">
        <v>114.94792811539652</v>
      </c>
      <c r="H342" s="2">
        <f t="shared" si="35"/>
        <v>339</v>
      </c>
      <c r="I342" s="4">
        <v>258462.91254187169</v>
      </c>
      <c r="J342" s="6">
        <v>126845.68550849962</v>
      </c>
      <c r="K342" s="2">
        <v>181066.02475311892</v>
      </c>
      <c r="L342" s="2">
        <v>230318.64194938983</v>
      </c>
      <c r="M342" s="2">
        <v>204212.83241832044</v>
      </c>
      <c r="N342" s="3">
        <f t="shared" si="36"/>
        <v>256196.28572563324</v>
      </c>
      <c r="O342" s="5">
        <f t="shared" si="37"/>
        <v>127780.89022781832</v>
      </c>
      <c r="P342" s="3">
        <f t="shared" si="38"/>
        <v>195.96987981872857</v>
      </c>
      <c r="Q342" s="3">
        <f t="shared" si="39"/>
        <v>256196.28572563324</v>
      </c>
      <c r="R342" s="5">
        <f t="shared" si="40"/>
        <v>232.27308244209166</v>
      </c>
      <c r="S342" s="5">
        <f t="shared" si="41"/>
        <v>127780.89022781832</v>
      </c>
    </row>
    <row r="343" spans="1:19">
      <c r="A343">
        <v>340</v>
      </c>
      <c r="B343" s="2">
        <v>145.05939629990263</v>
      </c>
      <c r="C343" s="2">
        <v>72.529698149951315</v>
      </c>
      <c r="D343" s="2">
        <v>71.190711201667639</v>
      </c>
      <c r="E343" s="2">
        <v>101.62126543728246</v>
      </c>
      <c r="F343" s="2">
        <v>129.26374166885327</v>
      </c>
      <c r="G343" s="2">
        <v>114.61215033122296</v>
      </c>
      <c r="H343" s="2">
        <f t="shared" si="35"/>
        <v>340</v>
      </c>
      <c r="I343" s="4">
        <v>258607.9719381716</v>
      </c>
      <c r="J343" s="6">
        <v>126916.87621970128</v>
      </c>
      <c r="K343" s="2">
        <v>181167.6460185562</v>
      </c>
      <c r="L343" s="2">
        <v>230447.9056910587</v>
      </c>
      <c r="M343" s="2">
        <v>204327.44456865167</v>
      </c>
      <c r="N343" s="3">
        <f t="shared" si="36"/>
        <v>256299.72217478335</v>
      </c>
      <c r="O343" s="5">
        <f t="shared" si="37"/>
        <v>127843.102832822</v>
      </c>
      <c r="P343" s="3">
        <f t="shared" si="38"/>
        <v>196.2650920917369</v>
      </c>
      <c r="Q343" s="3">
        <f t="shared" si="39"/>
        <v>256299.72217478335</v>
      </c>
      <c r="R343" s="5">
        <f t="shared" si="40"/>
        <v>232.71712613208811</v>
      </c>
      <c r="S343" s="5">
        <f t="shared" si="41"/>
        <v>127843.102832822</v>
      </c>
    </row>
    <row r="344" spans="1:19">
      <c r="A344">
        <v>341</v>
      </c>
      <c r="B344" s="2">
        <v>144.63689320388352</v>
      </c>
      <c r="C344" s="2">
        <v>72.318446601941758</v>
      </c>
      <c r="D344" s="2">
        <v>70.983359615643408</v>
      </c>
      <c r="E344" s="2">
        <v>101.32528116901858</v>
      </c>
      <c r="F344" s="2">
        <v>128.88724533389555</v>
      </c>
      <c r="G344" s="2">
        <v>114.27832853414178</v>
      </c>
      <c r="H344" s="2">
        <f t="shared" si="35"/>
        <v>341</v>
      </c>
      <c r="I344" s="4">
        <v>258752.60883137549</v>
      </c>
      <c r="J344" s="6">
        <v>126987.85957931692</v>
      </c>
      <c r="K344" s="2">
        <v>181268.97129972524</v>
      </c>
      <c r="L344" s="2">
        <v>230576.79293639259</v>
      </c>
      <c r="M344" s="2">
        <v>204441.7228971858</v>
      </c>
      <c r="N344" s="3">
        <f t="shared" si="36"/>
        <v>256402.63853729225</v>
      </c>
      <c r="O344" s="5">
        <f t="shared" si="37"/>
        <v>127905.04981200637</v>
      </c>
      <c r="P344" s="3">
        <f t="shared" si="38"/>
        <v>196.55924536440423</v>
      </c>
      <c r="Q344" s="3">
        <f t="shared" si="39"/>
        <v>256402.63853729225</v>
      </c>
      <c r="R344" s="5">
        <f t="shared" si="40"/>
        <v>233.16010926698323</v>
      </c>
      <c r="S344" s="5">
        <f t="shared" si="41"/>
        <v>127905.04981200637</v>
      </c>
    </row>
    <row r="345" spans="1:19">
      <c r="A345">
        <v>342</v>
      </c>
      <c r="B345" s="2">
        <v>144.21684414327203</v>
      </c>
      <c r="C345" s="2">
        <v>72.108422071636014</v>
      </c>
      <c r="D345" s="2">
        <v>70.777212395075196</v>
      </c>
      <c r="E345" s="2">
        <v>101.03101607365835</v>
      </c>
      <c r="F345" s="2">
        <v>128.51293581211269</v>
      </c>
      <c r="G345" s="2">
        <v>113.94644568263891</v>
      </c>
      <c r="H345" s="2">
        <f t="shared" si="35"/>
        <v>342</v>
      </c>
      <c r="I345" s="4">
        <v>258896.82567551875</v>
      </c>
      <c r="J345" s="6">
        <v>127058.63679171199</v>
      </c>
      <c r="K345" s="2">
        <v>181370.00231579889</v>
      </c>
      <c r="L345" s="2">
        <v>230705.30587220471</v>
      </c>
      <c r="M345" s="2">
        <v>204555.66934286844</v>
      </c>
      <c r="N345" s="3">
        <f t="shared" si="36"/>
        <v>256505.03815221906</v>
      </c>
      <c r="O345" s="5">
        <f t="shared" si="37"/>
        <v>127966.73277043713</v>
      </c>
      <c r="P345" s="3">
        <f t="shared" si="38"/>
        <v>196.8523434356299</v>
      </c>
      <c r="Q345" s="3">
        <f t="shared" si="39"/>
        <v>256505.03815221906</v>
      </c>
      <c r="R345" s="5">
        <f t="shared" si="40"/>
        <v>233.60203437980954</v>
      </c>
      <c r="S345" s="5">
        <f t="shared" si="41"/>
        <v>127966.73277043713</v>
      </c>
    </row>
    <row r="346" spans="1:19">
      <c r="A346">
        <v>343</v>
      </c>
      <c r="B346" s="2">
        <v>143.79922779922782</v>
      </c>
      <c r="C346" s="2">
        <v>71.899613899613911</v>
      </c>
      <c r="D346" s="2">
        <v>70.572259077328809</v>
      </c>
      <c r="E346" s="2">
        <v>100.73845521630227</v>
      </c>
      <c r="F346" s="2">
        <v>128.14079410609307</v>
      </c>
      <c r="G346" s="2">
        <v>113.61648493259271</v>
      </c>
      <c r="H346" s="2">
        <f t="shared" si="35"/>
        <v>343</v>
      </c>
      <c r="I346" s="4">
        <v>259040.62490331798</v>
      </c>
      <c r="J346" s="6">
        <v>127129.20905078932</v>
      </c>
      <c r="K346" s="2">
        <v>181470.7407710152</v>
      </c>
      <c r="L346" s="2">
        <v>230833.4466663108</v>
      </c>
      <c r="M346" s="2">
        <v>204669.28582780104</v>
      </c>
      <c r="N346" s="3">
        <f t="shared" si="36"/>
        <v>256606.92433008587</v>
      </c>
      <c r="O346" s="5">
        <f t="shared" si="37"/>
        <v>128028.15329960745</v>
      </c>
      <c r="P346" s="3">
        <f t="shared" si="38"/>
        <v>197.1443900906857</v>
      </c>
      <c r="Q346" s="3">
        <f t="shared" si="39"/>
        <v>256606.92433008587</v>
      </c>
      <c r="R346" s="5">
        <f t="shared" si="40"/>
        <v>234.04290399754979</v>
      </c>
      <c r="S346" s="5">
        <f t="shared" si="41"/>
        <v>128028.15329960745</v>
      </c>
    </row>
    <row r="347" spans="1:19">
      <c r="A347">
        <v>344</v>
      </c>
      <c r="B347" s="2">
        <v>143.3840230991338</v>
      </c>
      <c r="C347" s="2">
        <v>71.692011549566899</v>
      </c>
      <c r="D347" s="2">
        <v>70.368489320608987</v>
      </c>
      <c r="E347" s="2">
        <v>100.44758383454207</v>
      </c>
      <c r="F347" s="2">
        <v>127.77080143783681</v>
      </c>
      <c r="G347" s="2">
        <v>113.28842963442357</v>
      </c>
      <c r="H347" s="2">
        <f t="shared" si="35"/>
        <v>344</v>
      </c>
      <c r="I347" s="4">
        <v>259184.00892641713</v>
      </c>
      <c r="J347" s="6">
        <v>127199.57754010992</v>
      </c>
      <c r="K347" s="2">
        <v>181571.18835484976</v>
      </c>
      <c r="L347" s="2">
        <v>230961.21746774865</v>
      </c>
      <c r="M347" s="2">
        <v>204782.57425743545</v>
      </c>
      <c r="N347" s="3">
        <f t="shared" si="36"/>
        <v>256708.30035319537</v>
      </c>
      <c r="O347" s="5">
        <f t="shared" si="37"/>
        <v>128089.31297758924</v>
      </c>
      <c r="P347" s="3">
        <f t="shared" si="38"/>
        <v>197.43538910126472</v>
      </c>
      <c r="Q347" s="3">
        <f t="shared" si="39"/>
        <v>256708.30035319537</v>
      </c>
      <c r="R347" s="5">
        <f t="shared" si="40"/>
        <v>234.48272064115119</v>
      </c>
      <c r="S347" s="5">
        <f t="shared" si="41"/>
        <v>128089.31297758924</v>
      </c>
    </row>
    <row r="348" spans="1:19">
      <c r="A348">
        <v>345</v>
      </c>
      <c r="B348" s="2">
        <v>142.97120921305182</v>
      </c>
      <c r="C348" s="2">
        <v>71.485604606525911</v>
      </c>
      <c r="D348" s="2">
        <v>70.165892902219468</v>
      </c>
      <c r="E348" s="2">
        <v>100.15838733597802</v>
      </c>
      <c r="F348" s="2">
        <v>127.40293924559732</v>
      </c>
      <c r="G348" s="2">
        <v>112.96226333029367</v>
      </c>
      <c r="H348" s="2">
        <f t="shared" si="35"/>
        <v>345</v>
      </c>
      <c r="I348" s="4">
        <v>259326.98013563018</v>
      </c>
      <c r="J348" s="6">
        <v>127269.74343301215</v>
      </c>
      <c r="K348" s="2">
        <v>181671.34674218573</v>
      </c>
      <c r="L348" s="2">
        <v>231088.62040699425</v>
      </c>
      <c r="M348" s="2">
        <v>204895.53652076575</v>
      </c>
      <c r="N348" s="3">
        <f t="shared" si="36"/>
        <v>256809.16947594468</v>
      </c>
      <c r="O348" s="5">
        <f t="shared" si="37"/>
        <v>128150.21336918205</v>
      </c>
      <c r="P348" s="3">
        <f t="shared" si="38"/>
        <v>197.72534422552999</v>
      </c>
      <c r="Q348" s="3">
        <f t="shared" si="39"/>
        <v>256809.16947594468</v>
      </c>
      <c r="R348" s="5">
        <f t="shared" si="40"/>
        <v>234.92148682553977</v>
      </c>
      <c r="S348" s="5">
        <f t="shared" si="41"/>
        <v>128150.21336918205</v>
      </c>
    </row>
    <row r="349" spans="1:19">
      <c r="A349">
        <v>346</v>
      </c>
      <c r="B349" s="2">
        <v>142.56076555023924</v>
      </c>
      <c r="C349" s="2">
        <v>71.28038277511962</v>
      </c>
      <c r="D349" s="2">
        <v>69.964459716854307</v>
      </c>
      <c r="E349" s="2">
        <v>99.870851295779147</v>
      </c>
      <c r="F349" s="2">
        <v>127.03718918077747</v>
      </c>
      <c r="G349" s="2">
        <v>112.63796975135512</v>
      </c>
      <c r="H349" s="2">
        <f t="shared" si="35"/>
        <v>346</v>
      </c>
      <c r="I349" s="4">
        <v>259469.54090118041</v>
      </c>
      <c r="J349" s="6">
        <v>127339.707892729</v>
      </c>
      <c r="K349" s="2">
        <v>181771.2175934815</v>
      </c>
      <c r="L349" s="2">
        <v>231215.65759617503</v>
      </c>
      <c r="M349" s="2">
        <v>205008.17449051709</v>
      </c>
      <c r="N349" s="3">
        <f t="shared" si="36"/>
        <v>256909.53492513453</v>
      </c>
      <c r="O349" s="5">
        <f t="shared" si="37"/>
        <v>128210.85602606008</v>
      </c>
      <c r="P349" s="3">
        <f t="shared" si="38"/>
        <v>198.01425920816311</v>
      </c>
      <c r="Q349" s="3">
        <f t="shared" si="39"/>
        <v>256909.53492513453</v>
      </c>
      <c r="R349" s="5">
        <f t="shared" si="40"/>
        <v>235.35920505963517</v>
      </c>
      <c r="S349" s="5">
        <f t="shared" si="41"/>
        <v>128210.85602606008</v>
      </c>
    </row>
    <row r="350" spans="1:19">
      <c r="A350">
        <v>347</v>
      </c>
      <c r="B350" s="2">
        <v>142.15267175572521</v>
      </c>
      <c r="C350" s="2">
        <v>71.076335877862604</v>
      </c>
      <c r="D350" s="2">
        <v>69.764179774916641</v>
      </c>
      <c r="E350" s="2">
        <v>99.584961454283516</v>
      </c>
      <c r="F350" s="2">
        <v>126.67353310487823</v>
      </c>
      <c r="G350" s="2">
        <v>112.31553281504391</v>
      </c>
      <c r="H350" s="2">
        <f t="shared" si="35"/>
        <v>347</v>
      </c>
      <c r="I350" s="4">
        <v>259611.69357293614</v>
      </c>
      <c r="J350" s="6">
        <v>127409.47207250392</v>
      </c>
      <c r="K350" s="2">
        <v>181870.8025549358</v>
      </c>
      <c r="L350" s="2">
        <v>231342.33112927992</v>
      </c>
      <c r="M350" s="2">
        <v>205120.49002333212</v>
      </c>
      <c r="N350" s="3">
        <f t="shared" si="36"/>
        <v>257009.399900274</v>
      </c>
      <c r="O350" s="5">
        <f t="shared" si="37"/>
        <v>128271.24248691686</v>
      </c>
      <c r="P350" s="3">
        <f t="shared" si="38"/>
        <v>198.30213778041255</v>
      </c>
      <c r="Q350" s="3">
        <f t="shared" si="39"/>
        <v>257009.399900274</v>
      </c>
      <c r="R350" s="5">
        <f t="shared" si="40"/>
        <v>235.79587784636459</v>
      </c>
      <c r="S350" s="5">
        <f t="shared" si="41"/>
        <v>128271.24248691686</v>
      </c>
    </row>
    <row r="351" spans="1:19">
      <c r="A351">
        <v>348</v>
      </c>
      <c r="B351" s="2">
        <v>141.74690770694576</v>
      </c>
      <c r="C351" s="2">
        <v>70.873453853472881</v>
      </c>
      <c r="D351" s="2">
        <v>69.565043200868445</v>
      </c>
      <c r="E351" s="2">
        <v>99.300703714642367</v>
      </c>
      <c r="F351" s="2">
        <v>126.31195308650086</v>
      </c>
      <c r="G351" s="2">
        <v>111.99493662242249</v>
      </c>
      <c r="H351" s="2">
        <f t="shared" si="35"/>
        <v>348</v>
      </c>
      <c r="I351" s="4">
        <v>259753.4404806431</v>
      </c>
      <c r="J351" s="6">
        <v>127479.03711570479</v>
      </c>
      <c r="K351" s="2">
        <v>181970.10325865043</v>
      </c>
      <c r="L351" s="2">
        <v>231468.64308236641</v>
      </c>
      <c r="M351" s="2">
        <v>205232.48495995454</v>
      </c>
      <c r="N351" s="3">
        <f t="shared" si="36"/>
        <v>257108.76757388166</v>
      </c>
      <c r="O351" s="5">
        <f t="shared" si="37"/>
        <v>128331.37427760843</v>
      </c>
      <c r="P351" s="3">
        <f t="shared" si="38"/>
        <v>198.58898366014185</v>
      </c>
      <c r="Q351" s="3">
        <f t="shared" si="39"/>
        <v>257108.76757388166</v>
      </c>
      <c r="R351" s="5">
        <f t="shared" si="40"/>
        <v>236.23150768267706</v>
      </c>
      <c r="S351" s="5">
        <f t="shared" si="41"/>
        <v>128331.37427760843</v>
      </c>
    </row>
    <row r="352" spans="1:19">
      <c r="A352">
        <v>349</v>
      </c>
      <c r="B352" s="2">
        <v>141.34345351043643</v>
      </c>
      <c r="C352" s="2">
        <v>70.671726755218216</v>
      </c>
      <c r="D352" s="2">
        <v>69.367040231605927</v>
      </c>
      <c r="E352" s="2">
        <v>99.018064140501934</v>
      </c>
      <c r="F352" s="2">
        <v>125.95243139839883</v>
      </c>
      <c r="G352" s="2">
        <v>111.67616545556544</v>
      </c>
      <c r="H352" s="2">
        <f t="shared" si="35"/>
        <v>349</v>
      </c>
      <c r="I352" s="4">
        <v>259894.78393415353</v>
      </c>
      <c r="J352" s="6">
        <v>127548.4041559364</v>
      </c>
      <c r="K352" s="2">
        <v>182069.12132279092</v>
      </c>
      <c r="L352" s="2">
        <v>231594.5955137648</v>
      </c>
      <c r="M352" s="2">
        <v>205344.16112541012</v>
      </c>
      <c r="N352" s="3">
        <f t="shared" si="36"/>
        <v>257207.64109178167</v>
      </c>
      <c r="O352" s="5">
        <f t="shared" si="37"/>
        <v>128391.25291129413</v>
      </c>
      <c r="P352" s="3">
        <f t="shared" si="38"/>
        <v>198.87480055187768</v>
      </c>
      <c r="Q352" s="3">
        <f t="shared" si="39"/>
        <v>257207.64109178167</v>
      </c>
      <c r="R352" s="5">
        <f t="shared" si="40"/>
        <v>236.6660970595583</v>
      </c>
      <c r="S352" s="5">
        <f t="shared" si="41"/>
        <v>128391.25291129413</v>
      </c>
    </row>
    <row r="353" spans="1:19">
      <c r="A353">
        <v>350</v>
      </c>
      <c r="B353" s="2">
        <v>140.94228949858089</v>
      </c>
      <c r="C353" s="2">
        <v>70.471144749290445</v>
      </c>
      <c r="D353" s="2">
        <v>69.170161214865331</v>
      </c>
      <c r="E353" s="2">
        <v>98.737028953726664</v>
      </c>
      <c r="F353" s="2">
        <v>125.5949505145812</v>
      </c>
      <c r="G353" s="2">
        <v>111.35920377499146</v>
      </c>
      <c r="H353" s="2">
        <f t="shared" si="35"/>
        <v>350</v>
      </c>
      <c r="I353" s="4">
        <v>260035.72622365211</v>
      </c>
      <c r="J353" s="6">
        <v>127617.57431715126</v>
      </c>
      <c r="K353" s="2">
        <v>182167.85835174465</v>
      </c>
      <c r="L353" s="2">
        <v>231720.19046427938</v>
      </c>
      <c r="M353" s="2">
        <v>205455.52032918512</v>
      </c>
      <c r="N353" s="3">
        <f t="shared" si="36"/>
        <v>257306.02357339693</v>
      </c>
      <c r="O353" s="5">
        <f t="shared" si="37"/>
        <v>128450.87988857548</v>
      </c>
      <c r="P353" s="3">
        <f t="shared" si="38"/>
        <v>199.15959214685756</v>
      </c>
      <c r="Q353" s="3">
        <f t="shared" si="39"/>
        <v>257306.02357339693</v>
      </c>
      <c r="R353" s="5">
        <f t="shared" si="40"/>
        <v>237.09964846204414</v>
      </c>
      <c r="S353" s="5">
        <f t="shared" si="41"/>
        <v>128450.87988857548</v>
      </c>
    </row>
    <row r="354" spans="1:19">
      <c r="A354">
        <v>351</v>
      </c>
      <c r="B354" s="2">
        <v>140.5433962264151</v>
      </c>
      <c r="C354" s="2">
        <v>70.271698113207549</v>
      </c>
      <c r="D354" s="2">
        <v>68.974396607653418</v>
      </c>
      <c r="E354" s="2">
        <v>98.457584532159487</v>
      </c>
      <c r="F354" s="2">
        <v>125.23949310746445</v>
      </c>
      <c r="G354" s="2">
        <v>111.04403621713769</v>
      </c>
      <c r="H354" s="2">
        <f t="shared" si="35"/>
        <v>351</v>
      </c>
      <c r="I354" s="4">
        <v>260176.26961987853</v>
      </c>
      <c r="J354" s="6">
        <v>127686.54871375891</v>
      </c>
      <c r="K354" s="2">
        <v>182266.31593627681</v>
      </c>
      <c r="L354" s="2">
        <v>231845.42995738683</v>
      </c>
      <c r="M354" s="2">
        <v>205566.56436540227</v>
      </c>
      <c r="N354" s="3">
        <f t="shared" si="36"/>
        <v>257403.91811203718</v>
      </c>
      <c r="O354" s="5">
        <f t="shared" si="37"/>
        <v>128510.25669763362</v>
      </c>
      <c r="P354" s="3">
        <f t="shared" si="38"/>
        <v>199.44336212307778</v>
      </c>
      <c r="Q354" s="3">
        <f t="shared" si="39"/>
        <v>257403.91811203718</v>
      </c>
      <c r="R354" s="5">
        <f t="shared" si="40"/>
        <v>237.53216436923537</v>
      </c>
      <c r="S354" s="5">
        <f t="shared" si="41"/>
        <v>128510.25669763362</v>
      </c>
    </row>
    <row r="355" spans="1:19">
      <c r="A355">
        <v>352</v>
      </c>
      <c r="B355" s="2">
        <v>140.14675446848543</v>
      </c>
      <c r="C355" s="2">
        <v>70.073377234242713</v>
      </c>
      <c r="D355" s="2">
        <v>68.779736974706211</v>
      </c>
      <c r="E355" s="2">
        <v>98.179717407421634</v>
      </c>
      <c r="F355" s="2">
        <v>124.88604204507287</v>
      </c>
      <c r="G355" s="2">
        <v>110.73064759187778</v>
      </c>
      <c r="H355" s="2">
        <f t="shared" si="35"/>
        <v>352</v>
      </c>
      <c r="I355" s="4">
        <v>260316.416374347</v>
      </c>
      <c r="J355" s="6">
        <v>127755.32845073362</v>
      </c>
      <c r="K355" s="2">
        <v>182364.49565368422</v>
      </c>
      <c r="L355" s="2">
        <v>231970.31599943191</v>
      </c>
      <c r="M355" s="2">
        <v>205677.29501299415</v>
      </c>
      <c r="N355" s="3">
        <f t="shared" si="36"/>
        <v>257501.32777518386</v>
      </c>
      <c r="O355" s="5">
        <f t="shared" si="37"/>
        <v>128569.38481436428</v>
      </c>
      <c r="P355" s="3">
        <f t="shared" si="38"/>
        <v>199.72611414534052</v>
      </c>
      <c r="Q355" s="3">
        <f t="shared" si="39"/>
        <v>257501.32777518386</v>
      </c>
      <c r="R355" s="5">
        <f t="shared" si="40"/>
        <v>237.9636472543117</v>
      </c>
      <c r="S355" s="5">
        <f t="shared" si="41"/>
        <v>128569.38481436428</v>
      </c>
    </row>
    <row r="356" spans="1:19">
      <c r="A356">
        <v>353</v>
      </c>
      <c r="B356" s="2">
        <v>139.75234521575985</v>
      </c>
      <c r="C356" s="2">
        <v>69.876172607879923</v>
      </c>
      <c r="D356" s="2">
        <v>68.586172986972585</v>
      </c>
      <c r="E356" s="2">
        <v>97.903414262747859</v>
      </c>
      <c r="F356" s="2">
        <v>124.53458038828562</v>
      </c>
      <c r="G356" s="2">
        <v>110.41902288008077</v>
      </c>
      <c r="H356" s="2">
        <f t="shared" si="35"/>
        <v>353</v>
      </c>
      <c r="I356" s="4">
        <v>260456.16871956276</v>
      </c>
      <c r="J356" s="6">
        <v>127823.9146237206</v>
      </c>
      <c r="K356" s="2">
        <v>182462.39906794697</v>
      </c>
      <c r="L356" s="2">
        <v>232094.85057982019</v>
      </c>
      <c r="M356" s="2">
        <v>205787.71403587423</v>
      </c>
      <c r="N356" s="3">
        <f t="shared" si="36"/>
        <v>257598.25560477097</v>
      </c>
      <c r="O356" s="5">
        <f t="shared" si="37"/>
        <v>128628.26570251133</v>
      </c>
      <c r="P356" s="3">
        <f t="shared" si="38"/>
        <v>200.0078518653016</v>
      </c>
      <c r="Q356" s="3">
        <f t="shared" si="39"/>
        <v>257598.25560477097</v>
      </c>
      <c r="R356" s="5">
        <f t="shared" si="40"/>
        <v>238.39409958454578</v>
      </c>
      <c r="S356" s="5">
        <f t="shared" si="41"/>
        <v>128628.26570251133</v>
      </c>
    </row>
    <row r="357" spans="1:19">
      <c r="A357">
        <v>354</v>
      </c>
      <c r="B357" s="2">
        <v>139.36014967259123</v>
      </c>
      <c r="C357" s="2">
        <v>69.680074836295617</v>
      </c>
      <c r="D357" s="2">
        <v>68.393695420124104</v>
      </c>
      <c r="E357" s="2">
        <v>97.628661930859806</v>
      </c>
      <c r="F357" s="2">
        <v>124.18509138813137</v>
      </c>
      <c r="G357" s="2">
        <v>110.10914723121238</v>
      </c>
      <c r="H357" s="2">
        <f t="shared" si="35"/>
        <v>354</v>
      </c>
      <c r="I357" s="4">
        <v>260595.52886923536</v>
      </c>
      <c r="J357" s="6">
        <v>127892.30831914072</v>
      </c>
      <c r="K357" s="2">
        <v>182560.02772987782</v>
      </c>
      <c r="L357" s="2">
        <v>232219.03567120832</v>
      </c>
      <c r="M357" s="2">
        <v>205897.82318310544</v>
      </c>
      <c r="N357" s="3">
        <f t="shared" si="36"/>
        <v>257694.70461746174</v>
      </c>
      <c r="O357" s="5">
        <f t="shared" si="37"/>
        <v>128686.90081379835</v>
      </c>
      <c r="P357" s="3">
        <f t="shared" si="38"/>
        <v>200.28857892151728</v>
      </c>
      <c r="Q357" s="3">
        <f t="shared" si="39"/>
        <v>257694.70461746174</v>
      </c>
      <c r="R357" s="5">
        <f t="shared" si="40"/>
        <v>238.82352382131745</v>
      </c>
      <c r="S357" s="5">
        <f t="shared" si="41"/>
        <v>128686.90081379835</v>
      </c>
    </row>
    <row r="358" spans="1:19">
      <c r="A358">
        <v>355</v>
      </c>
      <c r="B358" s="2">
        <v>138.97014925373136</v>
      </c>
      <c r="C358" s="2">
        <v>69.485074626865682</v>
      </c>
      <c r="D358" s="2">
        <v>68.202295153090262</v>
      </c>
      <c r="E358" s="2">
        <v>97.355447391874236</v>
      </c>
      <c r="F358" s="2">
        <v>123.83755848312725</v>
      </c>
      <c r="G358" s="2">
        <v>109.80100596097581</v>
      </c>
      <c r="H358" s="2">
        <f t="shared" si="35"/>
        <v>355</v>
      </c>
      <c r="I358" s="4">
        <v>260734.49901848909</v>
      </c>
      <c r="J358" s="6">
        <v>127960.51061429382</v>
      </c>
      <c r="K358" s="2">
        <v>182657.38317726969</v>
      </c>
      <c r="L358" s="2">
        <v>232342.87322969144</v>
      </c>
      <c r="M358" s="2">
        <v>206007.62418906641</v>
      </c>
      <c r="N358" s="3">
        <f t="shared" si="36"/>
        <v>257790.67780492239</v>
      </c>
      <c r="O358" s="5">
        <f t="shared" si="37"/>
        <v>128745.29158805849</v>
      </c>
      <c r="P358" s="3">
        <f t="shared" si="38"/>
        <v>200.56829893949151</v>
      </c>
      <c r="Q358" s="3">
        <f t="shared" si="39"/>
        <v>257790.67780492239</v>
      </c>
      <c r="R358" s="5">
        <f t="shared" si="40"/>
        <v>239.25192242012781</v>
      </c>
      <c r="S358" s="5">
        <f t="shared" si="41"/>
        <v>128745.29158805849</v>
      </c>
    </row>
    <row r="359" spans="1:19">
      <c r="A359">
        <v>356</v>
      </c>
      <c r="B359" s="2">
        <v>138.58232558139534</v>
      </c>
      <c r="C359" s="2">
        <v>69.291162790697669</v>
      </c>
      <c r="D359" s="2">
        <v>68.011963166616482</v>
      </c>
      <c r="E359" s="2">
        <v>97.083757771245743</v>
      </c>
      <c r="F359" s="2">
        <v>123.49196529666273</v>
      </c>
      <c r="G359" s="2">
        <v>109.4945845489917</v>
      </c>
      <c r="H359" s="2">
        <f t="shared" si="35"/>
        <v>356</v>
      </c>
      <c r="I359" s="4">
        <v>260873.0813440705</v>
      </c>
      <c r="J359" s="6">
        <v>128028.52257746043</v>
      </c>
      <c r="K359" s="2">
        <v>182754.46693504092</v>
      </c>
      <c r="L359" s="2">
        <v>232466.36519498809</v>
      </c>
      <c r="M359" s="2">
        <v>206117.1187736154</v>
      </c>
      <c r="N359" s="3">
        <f t="shared" si="36"/>
        <v>257886.17813409123</v>
      </c>
      <c r="O359" s="5">
        <f t="shared" si="37"/>
        <v>128803.43945336268</v>
      </c>
      <c r="P359" s="3">
        <f t="shared" si="38"/>
        <v>200.8470155317226</v>
      </c>
      <c r="Q359" s="3">
        <f t="shared" si="39"/>
        <v>257886.17813409123</v>
      </c>
      <c r="R359" s="5">
        <f t="shared" si="40"/>
        <v>239.67929783061325</v>
      </c>
      <c r="S359" s="5">
        <f t="shared" si="41"/>
        <v>128803.43945336268</v>
      </c>
    </row>
    <row r="360" spans="1:19">
      <c r="A360">
        <v>357</v>
      </c>
      <c r="B360" s="2">
        <v>138.19666048237477</v>
      </c>
      <c r="C360" s="2">
        <v>69.098330241187384</v>
      </c>
      <c r="D360" s="2">
        <v>67.822690541848473</v>
      </c>
      <c r="E360" s="2">
        <v>96.813580337744995</v>
      </c>
      <c r="F360" s="2">
        <v>123.14829563442707</v>
      </c>
      <c r="G360" s="2">
        <v>109.18986863651763</v>
      </c>
      <c r="H360" s="2">
        <f t="shared" si="35"/>
        <v>357</v>
      </c>
      <c r="I360" s="4">
        <v>261011.27800455288</v>
      </c>
      <c r="J360" s="6">
        <v>128096.34526800227</v>
      </c>
      <c r="K360" s="2">
        <v>182851.28051537866</v>
      </c>
      <c r="L360" s="2">
        <v>232589.51349062251</v>
      </c>
      <c r="M360" s="2">
        <v>206226.30864225191</v>
      </c>
      <c r="N360" s="3">
        <f t="shared" si="36"/>
        <v>257981.20854744466</v>
      </c>
      <c r="O360" s="5">
        <f t="shared" si="37"/>
        <v>128861.34582614571</v>
      </c>
      <c r="P360" s="3">
        <f t="shared" si="38"/>
        <v>201.12473229774992</v>
      </c>
      <c r="Q360" s="3">
        <f t="shared" si="39"/>
        <v>257981.20854744466</v>
      </c>
      <c r="R360" s="5">
        <f t="shared" si="40"/>
        <v>240.10565249655943</v>
      </c>
      <c r="S360" s="5">
        <f t="shared" si="41"/>
        <v>128861.34582614571</v>
      </c>
    </row>
    <row r="361" spans="1:19">
      <c r="A361">
        <v>358</v>
      </c>
      <c r="B361" s="2">
        <v>137.8131359851989</v>
      </c>
      <c r="C361" s="2">
        <v>68.906567992599449</v>
      </c>
      <c r="D361" s="2">
        <v>67.634468458938571</v>
      </c>
      <c r="E361" s="2">
        <v>96.54490250147002</v>
      </c>
      <c r="F361" s="2">
        <v>122.80653348188009</v>
      </c>
      <c r="G361" s="2">
        <v>108.88684402420536</v>
      </c>
      <c r="H361" s="2">
        <f t="shared" si="35"/>
        <v>358</v>
      </c>
      <c r="I361" s="4">
        <v>261149.09114053808</v>
      </c>
      <c r="J361" s="6">
        <v>128163.97973646122</v>
      </c>
      <c r="K361" s="2">
        <v>182947.82541788014</v>
      </c>
      <c r="L361" s="2">
        <v>232712.32002410438</v>
      </c>
      <c r="M361" s="2">
        <v>206335.19548627612</v>
      </c>
      <c r="N361" s="3">
        <f t="shared" si="36"/>
        <v>258075.77196326014</v>
      </c>
      <c r="O361" s="5">
        <f t="shared" si="37"/>
        <v>128919.01211133118</v>
      </c>
      <c r="P361" s="3">
        <f t="shared" si="38"/>
        <v>201.40145282420045</v>
      </c>
      <c r="Q361" s="3">
        <f t="shared" si="39"/>
        <v>258075.77196326014</v>
      </c>
      <c r="R361" s="5">
        <f t="shared" si="40"/>
        <v>240.53098885591521</v>
      </c>
      <c r="S361" s="5">
        <f t="shared" si="41"/>
        <v>128919.01211133118</v>
      </c>
    </row>
    <row r="362" spans="1:19">
      <c r="A362">
        <v>359</v>
      </c>
      <c r="B362" s="2">
        <v>137.4317343173432</v>
      </c>
      <c r="C362" s="2">
        <v>68.7158671586716</v>
      </c>
      <c r="D362" s="2">
        <v>67.44728819567591</v>
      </c>
      <c r="E362" s="2">
        <v>96.277711811890342</v>
      </c>
      <c r="F362" s="2">
        <v>122.46666300176423</v>
      </c>
      <c r="G362" s="2">
        <v>108.58549666989487</v>
      </c>
      <c r="H362" s="2">
        <f t="shared" si="35"/>
        <v>359</v>
      </c>
      <c r="I362" s="4">
        <v>261286.52287485541</v>
      </c>
      <c r="J362" s="6">
        <v>128231.42702465689</v>
      </c>
      <c r="K362" s="2">
        <v>183044.10312969203</v>
      </c>
      <c r="L362" s="2">
        <v>232834.78668710616</v>
      </c>
      <c r="M362" s="2">
        <v>206443.78098294602</v>
      </c>
      <c r="N362" s="3">
        <f t="shared" si="36"/>
        <v>258169.87127587403</v>
      </c>
      <c r="O362" s="5">
        <f t="shared" si="37"/>
        <v>128976.43970245447</v>
      </c>
      <c r="P362" s="3">
        <f t="shared" si="38"/>
        <v>201.67718068483498</v>
      </c>
      <c r="Q362" s="3">
        <f t="shared" si="39"/>
        <v>258169.87127587403</v>
      </c>
      <c r="R362" s="5">
        <f t="shared" si="40"/>
        <v>240.95530934080668</v>
      </c>
      <c r="S362" s="5">
        <f t="shared" si="41"/>
        <v>128976.43970245447</v>
      </c>
    </row>
    <row r="363" spans="1:19">
      <c r="A363">
        <v>360</v>
      </c>
      <c r="B363" s="2">
        <v>137.05243790248389</v>
      </c>
      <c r="C363" s="2">
        <v>68.526218951241944</v>
      </c>
      <c r="D363" s="2">
        <v>67.261141126138597</v>
      </c>
      <c r="E363" s="2">
        <v>96.011995955923737</v>
      </c>
      <c r="F363" s="2">
        <v>122.12866853165808</v>
      </c>
      <c r="G363" s="2">
        <v>108.28581268644524</v>
      </c>
      <c r="H363" s="2">
        <f t="shared" si="35"/>
        <v>360</v>
      </c>
      <c r="I363" s="4">
        <v>261423.57531275789</v>
      </c>
      <c r="J363" s="6">
        <v>128298.68816578302</v>
      </c>
      <c r="K363" s="2">
        <v>183140.11512564795</v>
      </c>
      <c r="L363" s="2">
        <v>232956.91535563782</v>
      </c>
      <c r="M363" s="2">
        <v>206552.06679563248</v>
      </c>
      <c r="N363" s="3">
        <f t="shared" si="36"/>
        <v>258263.50935593812</v>
      </c>
      <c r="O363" s="5">
        <f t="shared" si="37"/>
        <v>129033.62998178403</v>
      </c>
      <c r="P363" s="3">
        <f t="shared" si="38"/>
        <v>201.95191944059434</v>
      </c>
      <c r="Q363" s="3">
        <f t="shared" si="39"/>
        <v>258263.50935593812</v>
      </c>
      <c r="R363" s="5">
        <f t="shared" si="40"/>
        <v>241.37861637755114</v>
      </c>
      <c r="S363" s="5">
        <f t="shared" si="41"/>
        <v>129033.62998178403</v>
      </c>
    </row>
    <row r="364" spans="1:19">
      <c r="B364" s="2"/>
      <c r="C364" s="2"/>
      <c r="D364" s="2"/>
      <c r="E364" s="2"/>
      <c r="F364" s="2"/>
      <c r="G364" s="2"/>
      <c r="H364" s="2"/>
      <c r="I364" s="4"/>
      <c r="J364" s="6"/>
      <c r="K364" s="2"/>
      <c r="L364" s="2"/>
      <c r="M364" s="2"/>
    </row>
    <row r="365" spans="1:19">
      <c r="B365" s="2"/>
      <c r="C365" s="2"/>
      <c r="D365" s="2"/>
      <c r="E365" s="2"/>
      <c r="F365" s="2"/>
      <c r="G365" s="2"/>
      <c r="H365" s="2"/>
      <c r="I365" s="4"/>
      <c r="J365" s="6"/>
      <c r="K365" s="2"/>
      <c r="L365" s="2"/>
      <c r="M365" s="2"/>
    </row>
    <row r="366" spans="1:19">
      <c r="B366" s="2"/>
      <c r="C366" s="2"/>
      <c r="D366" s="2"/>
      <c r="E366" s="2"/>
      <c r="F366" s="2"/>
      <c r="G366" s="2"/>
      <c r="H366" s="2"/>
      <c r="I366" s="4"/>
      <c r="J366" s="6"/>
      <c r="K366" s="2"/>
      <c r="L366" s="2"/>
      <c r="M366" s="2"/>
    </row>
    <row r="367" spans="1:19">
      <c r="B367" s="2"/>
      <c r="C367" s="2"/>
      <c r="D367" s="2"/>
      <c r="E367" s="2"/>
      <c r="F367" s="2"/>
      <c r="G367" s="2"/>
      <c r="H367" s="2"/>
      <c r="I367" s="4"/>
      <c r="J367" s="6"/>
      <c r="K367" s="2"/>
      <c r="L367" s="2"/>
      <c r="M367" s="2"/>
    </row>
    <row r="368" spans="1:19">
      <c r="B368" s="2"/>
      <c r="C368" s="2"/>
      <c r="D368" s="2"/>
      <c r="E368" s="2"/>
      <c r="F368" s="2"/>
      <c r="G368" s="2"/>
      <c r="H368" s="2"/>
      <c r="I368" s="4"/>
      <c r="J368" s="6"/>
      <c r="K368" s="2"/>
      <c r="L368" s="2"/>
      <c r="M368" s="2"/>
    </row>
    <row r="369" spans="2:13">
      <c r="B369" s="2"/>
      <c r="C369" s="2"/>
      <c r="D369" s="2"/>
      <c r="E369" s="2"/>
      <c r="F369" s="2"/>
      <c r="G369" s="2"/>
      <c r="H369" s="2"/>
      <c r="I369" s="4"/>
      <c r="J369" s="6"/>
      <c r="K369" s="2"/>
      <c r="L369" s="2"/>
      <c r="M369" s="2"/>
    </row>
    <row r="370" spans="2:13">
      <c r="B370" s="2"/>
      <c r="C370" s="2"/>
      <c r="D370" s="2"/>
      <c r="E370" s="2"/>
      <c r="F370" s="2"/>
      <c r="G370" s="2"/>
      <c r="H370" s="2"/>
      <c r="I370" s="4"/>
      <c r="J370" s="6"/>
      <c r="K370" s="2"/>
      <c r="L370" s="2"/>
      <c r="M370" s="2"/>
    </row>
    <row r="371" spans="2:13">
      <c r="B371" s="2"/>
      <c r="C371" s="2"/>
      <c r="D371" s="2"/>
      <c r="E371" s="2"/>
      <c r="F371" s="2"/>
      <c r="G371" s="2"/>
      <c r="H371" s="2"/>
      <c r="I371" s="4"/>
      <c r="J371" s="6"/>
      <c r="K371" s="2"/>
      <c r="L371" s="2"/>
      <c r="M371" s="2"/>
    </row>
    <row r="372" spans="2:13">
      <c r="B372" s="2"/>
      <c r="C372" s="2"/>
      <c r="D372" s="2"/>
      <c r="E372" s="2"/>
      <c r="F372" s="2"/>
      <c r="G372" s="2"/>
      <c r="H372" s="2"/>
      <c r="I372" s="4"/>
      <c r="J372" s="6"/>
      <c r="K372" s="2"/>
      <c r="L372" s="2"/>
      <c r="M372" s="2"/>
    </row>
    <row r="373" spans="2:13">
      <c r="B373" s="2"/>
      <c r="C373" s="2"/>
      <c r="D373" s="2"/>
      <c r="E373" s="2"/>
      <c r="F373" s="2"/>
      <c r="G373" s="2"/>
      <c r="H373" s="2"/>
      <c r="I373" s="4"/>
      <c r="J373" s="6"/>
      <c r="K373" s="2"/>
      <c r="L373" s="2"/>
      <c r="M373" s="2"/>
    </row>
    <row r="374" spans="2:13">
      <c r="B374" s="2"/>
      <c r="C374" s="2"/>
      <c r="D374" s="2"/>
      <c r="E374" s="2"/>
      <c r="F374" s="2"/>
      <c r="G374" s="2"/>
      <c r="H374" s="2"/>
      <c r="I374" s="4"/>
      <c r="J374" s="6"/>
      <c r="K374" s="2"/>
      <c r="L374" s="2"/>
      <c r="M374" s="2"/>
    </row>
    <row r="375" spans="2:13">
      <c r="B375" s="2"/>
      <c r="C375" s="2"/>
      <c r="D375" s="2"/>
      <c r="E375" s="2"/>
      <c r="F375" s="2"/>
      <c r="G375" s="2"/>
      <c r="H375" s="2"/>
      <c r="I375" s="4"/>
      <c r="J375" s="6"/>
      <c r="K375" s="2"/>
      <c r="L375" s="2"/>
      <c r="M375" s="2"/>
    </row>
    <row r="376" spans="2:13">
      <c r="B376" s="2"/>
      <c r="C376" s="2"/>
      <c r="D376" s="2"/>
      <c r="E376" s="2"/>
      <c r="F376" s="2"/>
      <c r="G376" s="2"/>
      <c r="H376" s="2"/>
      <c r="I376" s="4"/>
      <c r="J376" s="6"/>
      <c r="K376" s="2"/>
      <c r="L376" s="2"/>
      <c r="M376" s="2"/>
    </row>
    <row r="377" spans="2:13">
      <c r="B377" s="2"/>
      <c r="C377" s="2"/>
      <c r="D377" s="2"/>
      <c r="E377" s="2"/>
      <c r="F377" s="2"/>
      <c r="G377" s="2"/>
      <c r="H377" s="2"/>
      <c r="I377" s="4"/>
      <c r="J377" s="6"/>
      <c r="K377" s="2"/>
      <c r="L377" s="2"/>
      <c r="M377" s="2"/>
    </row>
    <row r="378" spans="2:13">
      <c r="B378" s="2"/>
      <c r="C378" s="2"/>
      <c r="D378" s="2"/>
      <c r="E378" s="2"/>
      <c r="F378" s="2"/>
      <c r="G378" s="2"/>
      <c r="H378" s="2"/>
      <c r="I378" s="4"/>
      <c r="J378" s="6"/>
      <c r="K378" s="2"/>
      <c r="L378" s="2"/>
      <c r="M378" s="2"/>
    </row>
    <row r="379" spans="2:13">
      <c r="B379" s="2"/>
      <c r="C379" s="2"/>
      <c r="D379" s="2"/>
      <c r="E379" s="2"/>
      <c r="F379" s="2"/>
      <c r="G379" s="2"/>
      <c r="H379" s="2"/>
      <c r="I379" s="4"/>
      <c r="J379" s="6"/>
      <c r="K379" s="2"/>
      <c r="L379" s="2"/>
      <c r="M379" s="2"/>
    </row>
    <row r="380" spans="2:13">
      <c r="B380" s="2"/>
      <c r="C380" s="2"/>
      <c r="D380" s="2"/>
      <c r="E380" s="2"/>
      <c r="F380" s="2"/>
      <c r="G380" s="2"/>
      <c r="H380" s="2"/>
      <c r="I380" s="4"/>
      <c r="J380" s="6"/>
      <c r="K380" s="2"/>
      <c r="L380" s="2"/>
      <c r="M380" s="2"/>
    </row>
    <row r="381" spans="2:13">
      <c r="B381" s="2"/>
      <c r="C381" s="2"/>
      <c r="D381" s="2"/>
      <c r="E381" s="2"/>
      <c r="F381" s="2"/>
      <c r="G381" s="2"/>
      <c r="H381" s="2"/>
      <c r="I381" s="4"/>
      <c r="J381" s="6"/>
      <c r="K381" s="2"/>
      <c r="L381" s="2"/>
      <c r="M381" s="2"/>
    </row>
    <row r="382" spans="2:13">
      <c r="B382" s="2"/>
      <c r="C382" s="2"/>
      <c r="D382" s="2"/>
      <c r="E382" s="2"/>
      <c r="F382" s="2"/>
      <c r="G382" s="2"/>
      <c r="H382" s="2"/>
      <c r="I382" s="4"/>
      <c r="J382" s="6"/>
      <c r="K382" s="2"/>
      <c r="L382" s="2"/>
      <c r="M382" s="2"/>
    </row>
    <row r="383" spans="2:13">
      <c r="B383" s="2"/>
      <c r="C383" s="2"/>
      <c r="D383" s="2"/>
      <c r="E383" s="2"/>
      <c r="F383" s="2"/>
      <c r="G383" s="2"/>
      <c r="H383" s="2"/>
      <c r="I383" s="4"/>
      <c r="J383" s="6"/>
      <c r="K383" s="2"/>
      <c r="L383" s="2"/>
      <c r="M383" s="2"/>
    </row>
    <row r="384" spans="2:13">
      <c r="B384" s="2"/>
      <c r="C384" s="2"/>
      <c r="D384" s="2"/>
      <c r="E384" s="2"/>
      <c r="F384" s="2"/>
      <c r="G384" s="2"/>
      <c r="H384" s="2"/>
      <c r="I384" s="4"/>
      <c r="J384" s="6"/>
      <c r="K384" s="2"/>
      <c r="L384" s="2"/>
      <c r="M384" s="2"/>
    </row>
    <row r="385" spans="2:13">
      <c r="B385" s="2"/>
      <c r="C385" s="2"/>
      <c r="D385" s="2"/>
      <c r="E385" s="2"/>
      <c r="F385" s="2"/>
      <c r="G385" s="2"/>
      <c r="H385" s="2"/>
      <c r="I385" s="4"/>
      <c r="J385" s="6"/>
      <c r="K385" s="2"/>
      <c r="L385" s="2"/>
      <c r="M385" s="2"/>
    </row>
    <row r="386" spans="2:13">
      <c r="B386" s="2"/>
      <c r="C386" s="2"/>
      <c r="D386" s="2"/>
      <c r="E386" s="2"/>
      <c r="F386" s="2"/>
      <c r="G386" s="2"/>
      <c r="H386" s="2"/>
      <c r="I386" s="4"/>
      <c r="J386" s="6"/>
      <c r="K386" s="2"/>
      <c r="L386" s="2"/>
      <c r="M386" s="2"/>
    </row>
    <row r="387" spans="2:13">
      <c r="B387" s="2"/>
      <c r="C387" s="2"/>
      <c r="D387" s="2"/>
      <c r="E387" s="2"/>
      <c r="F387" s="2"/>
      <c r="G387" s="2"/>
      <c r="H387" s="2"/>
      <c r="I387" s="4"/>
      <c r="J387" s="6"/>
      <c r="K387" s="2"/>
      <c r="L387" s="2"/>
      <c r="M387" s="2"/>
    </row>
    <row r="388" spans="2:13">
      <c r="B388" s="2"/>
      <c r="C388" s="2"/>
      <c r="D388" s="2"/>
      <c r="E388" s="2"/>
      <c r="F388" s="2"/>
      <c r="G388" s="2"/>
      <c r="H388" s="2"/>
      <c r="I388" s="4"/>
      <c r="J388" s="6"/>
      <c r="K388" s="2"/>
      <c r="L388" s="2"/>
      <c r="M388" s="2"/>
    </row>
    <row r="389" spans="2:13">
      <c r="B389" s="2"/>
      <c r="C389" s="2"/>
      <c r="D389" s="2"/>
      <c r="E389" s="2"/>
      <c r="F389" s="2"/>
      <c r="G389" s="2"/>
      <c r="H389" s="2"/>
      <c r="I389" s="4"/>
      <c r="J389" s="6"/>
      <c r="K389" s="2"/>
      <c r="L389" s="2"/>
      <c r="M389" s="2"/>
    </row>
    <row r="390" spans="2:13">
      <c r="B390" s="2"/>
      <c r="C390" s="2"/>
      <c r="D390" s="2"/>
      <c r="E390" s="2"/>
      <c r="F390" s="2"/>
      <c r="G390" s="2"/>
      <c r="H390" s="2"/>
      <c r="I390" s="4"/>
      <c r="J390" s="6"/>
      <c r="K390" s="2"/>
      <c r="L390" s="2"/>
      <c r="M390" s="2"/>
    </row>
    <row r="391" spans="2:13">
      <c r="B391" s="2"/>
      <c r="C391" s="2"/>
      <c r="D391" s="2"/>
      <c r="E391" s="2"/>
      <c r="F391" s="2"/>
      <c r="G391" s="2"/>
      <c r="H391" s="2"/>
      <c r="I391" s="4"/>
      <c r="J391" s="6"/>
      <c r="K391" s="2"/>
      <c r="L391" s="2"/>
      <c r="M391" s="2"/>
    </row>
    <row r="392" spans="2:13">
      <c r="B392" s="2"/>
      <c r="C392" s="2"/>
      <c r="D392" s="2"/>
      <c r="E392" s="2"/>
      <c r="F392" s="2"/>
      <c r="G392" s="2"/>
      <c r="H392" s="2"/>
      <c r="I392" s="4"/>
      <c r="J392" s="6"/>
      <c r="K392" s="2"/>
      <c r="L392" s="2"/>
      <c r="M392" s="2"/>
    </row>
    <row r="393" spans="2:13">
      <c r="B393" s="2"/>
      <c r="C393" s="2"/>
      <c r="D393" s="2"/>
      <c r="E393" s="2"/>
      <c r="F393" s="2"/>
      <c r="G393" s="2"/>
      <c r="H393" s="2"/>
      <c r="I393" s="4"/>
      <c r="J393" s="6"/>
      <c r="K393" s="2"/>
      <c r="L393" s="2"/>
      <c r="M393" s="2"/>
    </row>
    <row r="394" spans="2:13">
      <c r="B394" s="2"/>
      <c r="C394" s="2"/>
      <c r="D394" s="2"/>
      <c r="E394" s="2"/>
      <c r="F394" s="2"/>
      <c r="G394" s="2"/>
      <c r="H394" s="2"/>
      <c r="I394" s="4"/>
      <c r="J394" s="6"/>
      <c r="K394" s="2"/>
      <c r="L394" s="2"/>
      <c r="M394" s="2"/>
    </row>
    <row r="395" spans="2:13">
      <c r="B395" s="2"/>
      <c r="C395" s="2"/>
      <c r="D395" s="2"/>
      <c r="E395" s="2"/>
      <c r="F395" s="2"/>
      <c r="G395" s="2"/>
      <c r="H395" s="2"/>
      <c r="I395" s="4"/>
      <c r="J395" s="6"/>
      <c r="K395" s="2"/>
      <c r="L395" s="2"/>
      <c r="M395" s="2"/>
    </row>
    <row r="396" spans="2:13">
      <c r="B396" s="2"/>
      <c r="C396" s="2"/>
      <c r="D396" s="2"/>
      <c r="E396" s="2"/>
      <c r="F396" s="2"/>
      <c r="G396" s="2"/>
      <c r="H396" s="2"/>
      <c r="I396" s="4"/>
      <c r="J396" s="6"/>
      <c r="K396" s="2"/>
      <c r="L396" s="2"/>
      <c r="M396" s="2"/>
    </row>
    <row r="397" spans="2:13">
      <c r="B397" s="2"/>
      <c r="C397" s="2"/>
      <c r="D397" s="2"/>
      <c r="E397" s="2"/>
      <c r="F397" s="2"/>
      <c r="G397" s="2"/>
      <c r="H397" s="2"/>
      <c r="I397" s="4"/>
      <c r="J397" s="6"/>
      <c r="K397" s="2"/>
      <c r="L397" s="2"/>
      <c r="M397" s="2"/>
    </row>
    <row r="398" spans="2:13">
      <c r="B398" s="2"/>
      <c r="C398" s="2"/>
      <c r="D398" s="2"/>
      <c r="E398" s="2"/>
      <c r="F398" s="2"/>
      <c r="G398" s="2"/>
      <c r="H398" s="2"/>
      <c r="I398" s="4"/>
      <c r="J398" s="6"/>
      <c r="K398" s="2"/>
      <c r="L398" s="2"/>
      <c r="M398" s="2"/>
    </row>
    <row r="399" spans="2:13">
      <c r="B399" s="2"/>
      <c r="C399" s="2"/>
      <c r="D399" s="2"/>
      <c r="E399" s="2"/>
      <c r="F399" s="2"/>
      <c r="G399" s="2"/>
      <c r="H399" s="2"/>
      <c r="I399" s="4"/>
      <c r="J399" s="6"/>
      <c r="K399" s="2"/>
      <c r="L399" s="2"/>
      <c r="M399" s="2"/>
    </row>
    <row r="400" spans="2:13">
      <c r="B400" s="2"/>
      <c r="C400" s="2"/>
      <c r="D400" s="2"/>
      <c r="E400" s="2"/>
      <c r="F400" s="2"/>
      <c r="G400" s="2"/>
      <c r="H400" s="2"/>
      <c r="I400" s="4"/>
      <c r="J400" s="6"/>
      <c r="K400" s="2"/>
      <c r="L400" s="2"/>
      <c r="M400" s="2"/>
    </row>
    <row r="401" spans="2:13">
      <c r="B401" s="2"/>
      <c r="C401" s="2"/>
      <c r="D401" s="2"/>
      <c r="E401" s="2"/>
      <c r="F401" s="2"/>
      <c r="G401" s="2"/>
      <c r="H401" s="2"/>
      <c r="I401" s="4"/>
      <c r="J401" s="6"/>
      <c r="K401" s="2"/>
      <c r="L401" s="2"/>
      <c r="M401" s="2"/>
    </row>
    <row r="402" spans="2:13">
      <c r="B402" s="2"/>
      <c r="C402" s="2"/>
      <c r="D402" s="2"/>
      <c r="E402" s="2"/>
      <c r="F402" s="2"/>
      <c r="G402" s="2"/>
      <c r="H402" s="2"/>
      <c r="I402" s="4"/>
      <c r="J402" s="6"/>
      <c r="K402" s="2"/>
      <c r="L402" s="2"/>
      <c r="M402" s="2"/>
    </row>
    <row r="403" spans="2:13">
      <c r="B403" s="2"/>
      <c r="C403" s="2"/>
      <c r="D403" s="2"/>
      <c r="E403" s="2"/>
      <c r="F403" s="2"/>
      <c r="G403" s="2"/>
      <c r="H403" s="2"/>
      <c r="I403" s="4"/>
      <c r="J403" s="6"/>
      <c r="K403" s="2"/>
      <c r="L403" s="2"/>
      <c r="M403" s="2"/>
    </row>
    <row r="404" spans="2:13">
      <c r="B404" s="2"/>
      <c r="C404" s="2"/>
      <c r="D404" s="2"/>
      <c r="E404" s="2"/>
      <c r="F404" s="2"/>
      <c r="G404" s="2"/>
      <c r="H404" s="2"/>
      <c r="I404" s="4"/>
      <c r="J404" s="6"/>
      <c r="K404" s="2"/>
      <c r="L404" s="2"/>
      <c r="M404" s="2"/>
    </row>
    <row r="405" spans="2:13">
      <c r="B405" s="2"/>
      <c r="C405" s="2"/>
      <c r="D405" s="2"/>
      <c r="E405" s="2"/>
      <c r="F405" s="2"/>
      <c r="G405" s="2"/>
      <c r="H405" s="2"/>
      <c r="I405" s="4"/>
      <c r="J405" s="6"/>
      <c r="K405" s="2"/>
      <c r="L405" s="2"/>
      <c r="M405" s="2"/>
    </row>
    <row r="406" spans="2:13">
      <c r="B406" s="2"/>
      <c r="C406" s="2"/>
      <c r="D406" s="2"/>
      <c r="E406" s="2"/>
      <c r="F406" s="2"/>
      <c r="G406" s="2"/>
      <c r="H406" s="2"/>
      <c r="I406" s="4"/>
      <c r="J406" s="6"/>
      <c r="K406" s="2"/>
      <c r="L406" s="2"/>
      <c r="M406" s="2"/>
    </row>
    <row r="407" spans="2:13">
      <c r="B407" s="2"/>
      <c r="C407" s="2"/>
      <c r="D407" s="2"/>
      <c r="E407" s="2"/>
      <c r="F407" s="2"/>
      <c r="G407" s="2"/>
      <c r="H407" s="2"/>
      <c r="I407" s="4"/>
      <c r="J407" s="6"/>
      <c r="K407" s="2"/>
      <c r="L407" s="2"/>
      <c r="M407" s="2"/>
    </row>
    <row r="408" spans="2:13">
      <c r="B408" s="2"/>
      <c r="C408" s="2"/>
      <c r="D408" s="2"/>
      <c r="E408" s="2"/>
      <c r="F408" s="2"/>
      <c r="G408" s="2"/>
      <c r="H408" s="2"/>
      <c r="I408" s="4"/>
      <c r="J408" s="6"/>
      <c r="K408" s="2"/>
      <c r="L408" s="2"/>
      <c r="M408" s="2"/>
    </row>
    <row r="409" spans="2:13">
      <c r="B409" s="2"/>
      <c r="C409" s="2"/>
      <c r="D409" s="2"/>
      <c r="E409" s="2"/>
      <c r="F409" s="2"/>
      <c r="G409" s="2"/>
      <c r="H409" s="2"/>
      <c r="I409" s="4"/>
      <c r="J409" s="6"/>
      <c r="K409" s="2"/>
      <c r="L409" s="2"/>
      <c r="M409" s="2"/>
    </row>
    <row r="410" spans="2:13">
      <c r="B410" s="2"/>
      <c r="C410" s="2"/>
      <c r="D410" s="2"/>
      <c r="E410" s="2"/>
      <c r="F410" s="2"/>
      <c r="G410" s="2"/>
      <c r="H410" s="2"/>
      <c r="I410" s="4"/>
      <c r="J410" s="6"/>
      <c r="K410" s="2"/>
      <c r="L410" s="2"/>
      <c r="M410" s="2"/>
    </row>
    <row r="411" spans="2:13">
      <c r="B411" s="2"/>
      <c r="C411" s="2"/>
      <c r="D411" s="2"/>
      <c r="E411" s="2"/>
      <c r="F411" s="2"/>
      <c r="G411" s="2"/>
      <c r="H411" s="2"/>
      <c r="I411" s="4"/>
      <c r="J411" s="6"/>
      <c r="K411" s="2"/>
      <c r="L411" s="2"/>
      <c r="M411" s="2"/>
    </row>
    <row r="412" spans="2:13">
      <c r="B412" s="2"/>
      <c r="C412" s="2"/>
      <c r="D412" s="2"/>
      <c r="E412" s="2"/>
      <c r="F412" s="2"/>
      <c r="G412" s="2"/>
      <c r="H412" s="2"/>
      <c r="I412" s="4"/>
      <c r="J412" s="6"/>
      <c r="K412" s="2"/>
      <c r="L412" s="2"/>
      <c r="M412" s="2"/>
    </row>
    <row r="413" spans="2:13">
      <c r="B413" s="2"/>
      <c r="C413" s="2"/>
      <c r="D413" s="2"/>
      <c r="E413" s="2"/>
      <c r="F413" s="2"/>
      <c r="G413" s="2"/>
      <c r="H413" s="2"/>
      <c r="I413" s="4"/>
      <c r="J413" s="6"/>
      <c r="K413" s="2"/>
      <c r="L413" s="2"/>
      <c r="M413" s="2"/>
    </row>
    <row r="414" spans="2:13">
      <c r="B414" s="2"/>
      <c r="C414" s="2"/>
      <c r="D414" s="2"/>
      <c r="E414" s="2"/>
      <c r="F414" s="2"/>
      <c r="G414" s="2"/>
      <c r="H414" s="2"/>
      <c r="I414" s="4"/>
      <c r="J414" s="6"/>
      <c r="K414" s="2"/>
      <c r="L414" s="2"/>
      <c r="M414" s="2"/>
    </row>
    <row r="415" spans="2:13">
      <c r="B415" s="2"/>
      <c r="C415" s="2"/>
      <c r="D415" s="2"/>
      <c r="E415" s="2"/>
      <c r="F415" s="2"/>
      <c r="G415" s="2"/>
      <c r="H415" s="2"/>
      <c r="I415" s="4"/>
      <c r="J415" s="6"/>
      <c r="K415" s="2"/>
      <c r="L415" s="2"/>
      <c r="M415" s="2"/>
    </row>
    <row r="416" spans="2:13">
      <c r="B416" s="2"/>
      <c r="C416" s="2"/>
      <c r="D416" s="2"/>
      <c r="E416" s="2"/>
      <c r="F416" s="2"/>
      <c r="G416" s="2"/>
      <c r="H416" s="2"/>
      <c r="I416" s="4"/>
      <c r="J416" s="6"/>
      <c r="K416" s="2"/>
      <c r="L416" s="2"/>
      <c r="M416" s="2"/>
    </row>
    <row r="417" spans="2:13">
      <c r="B417" s="2"/>
      <c r="C417" s="2"/>
      <c r="D417" s="2"/>
      <c r="E417" s="2"/>
      <c r="F417" s="2"/>
      <c r="G417" s="2"/>
      <c r="H417" s="2"/>
      <c r="I417" s="4"/>
      <c r="J417" s="6"/>
      <c r="K417" s="2"/>
      <c r="L417" s="2"/>
      <c r="M417" s="2"/>
    </row>
    <row r="418" spans="2:13">
      <c r="B418" s="2"/>
      <c r="C418" s="2"/>
      <c r="D418" s="2"/>
      <c r="E418" s="2"/>
      <c r="F418" s="2"/>
      <c r="G418" s="2"/>
      <c r="H418" s="2"/>
      <c r="I418" s="4"/>
      <c r="J418" s="6"/>
      <c r="K418" s="2"/>
      <c r="L418" s="2"/>
      <c r="M418" s="2"/>
    </row>
    <row r="419" spans="2:13">
      <c r="B419" s="2"/>
      <c r="C419" s="2"/>
      <c r="D419" s="2"/>
      <c r="E419" s="2"/>
      <c r="F419" s="2"/>
      <c r="G419" s="2"/>
      <c r="H419" s="2"/>
      <c r="I419" s="4"/>
      <c r="J419" s="6"/>
      <c r="K419" s="2"/>
      <c r="L419" s="2"/>
      <c r="M419" s="2"/>
    </row>
    <row r="420" spans="2:13">
      <c r="B420" s="2"/>
      <c r="C420" s="2"/>
      <c r="D420" s="2"/>
      <c r="E420" s="2"/>
      <c r="F420" s="2"/>
      <c r="G420" s="2"/>
      <c r="H420" s="2"/>
      <c r="I420" s="4"/>
      <c r="J420" s="6"/>
      <c r="K420" s="2"/>
      <c r="L420" s="2"/>
      <c r="M420" s="2"/>
    </row>
    <row r="421" spans="2:13">
      <c r="B421" s="2"/>
      <c r="C421" s="2"/>
      <c r="D421" s="2"/>
      <c r="E421" s="2"/>
      <c r="F421" s="2"/>
      <c r="G421" s="2"/>
      <c r="H421" s="2"/>
      <c r="I421" s="4"/>
      <c r="J421" s="6"/>
      <c r="K421" s="2"/>
      <c r="L421" s="2"/>
      <c r="M421" s="2"/>
    </row>
    <row r="422" spans="2:13">
      <c r="B422" s="2"/>
      <c r="C422" s="2"/>
      <c r="D422" s="2"/>
      <c r="E422" s="2"/>
      <c r="F422" s="2"/>
      <c r="G422" s="2"/>
      <c r="H422" s="2"/>
      <c r="I422" s="4"/>
      <c r="J422" s="6"/>
      <c r="K422" s="2"/>
      <c r="L422" s="2"/>
      <c r="M422" s="2"/>
    </row>
    <row r="423" spans="2:13">
      <c r="B423" s="2"/>
      <c r="C423" s="2"/>
      <c r="D423" s="2"/>
      <c r="E423" s="2"/>
      <c r="F423" s="2"/>
      <c r="G423" s="2"/>
      <c r="H423" s="2"/>
      <c r="I423" s="4"/>
      <c r="J423" s="6"/>
      <c r="K423" s="2"/>
      <c r="L423" s="2"/>
      <c r="M423" s="2"/>
    </row>
    <row r="424" spans="2:13">
      <c r="B424" s="2"/>
      <c r="C424" s="2"/>
      <c r="D424" s="2"/>
      <c r="E424" s="2"/>
      <c r="F424" s="2"/>
      <c r="G424" s="2"/>
      <c r="H424" s="2"/>
      <c r="I424" s="4"/>
      <c r="J424" s="6"/>
      <c r="K424" s="2"/>
      <c r="L424" s="2"/>
      <c r="M424" s="2"/>
    </row>
    <row r="425" spans="2:13">
      <c r="B425" s="2"/>
      <c r="C425" s="2"/>
      <c r="D425" s="2"/>
      <c r="E425" s="2"/>
      <c r="F425" s="2"/>
      <c r="G425" s="2"/>
      <c r="H425" s="2"/>
      <c r="I425" s="4"/>
      <c r="J425" s="6"/>
      <c r="K425" s="2"/>
      <c r="L425" s="2"/>
      <c r="M425" s="2"/>
    </row>
    <row r="426" spans="2:13">
      <c r="B426" s="2"/>
      <c r="C426" s="2"/>
      <c r="D426" s="2"/>
      <c r="E426" s="2"/>
      <c r="F426" s="2"/>
      <c r="G426" s="2"/>
      <c r="H426" s="2"/>
      <c r="I426" s="4"/>
      <c r="J426" s="6"/>
      <c r="K426" s="2"/>
      <c r="L426" s="2"/>
      <c r="M426" s="2"/>
    </row>
    <row r="427" spans="2:13">
      <c r="B427" s="2"/>
      <c r="C427" s="2"/>
      <c r="D427" s="2"/>
      <c r="E427" s="2"/>
      <c r="F427" s="2"/>
      <c r="G427" s="2"/>
      <c r="H427" s="2"/>
      <c r="I427" s="4"/>
      <c r="J427" s="6"/>
      <c r="K427" s="2"/>
      <c r="L427" s="2"/>
      <c r="M427" s="2"/>
    </row>
    <row r="428" spans="2:13">
      <c r="B428" s="2"/>
      <c r="C428" s="2"/>
      <c r="D428" s="2"/>
      <c r="E428" s="2"/>
      <c r="F428" s="2"/>
      <c r="G428" s="2"/>
      <c r="H428" s="2"/>
      <c r="I428" s="4"/>
      <c r="J428" s="6"/>
      <c r="K428" s="2"/>
      <c r="L428" s="2"/>
      <c r="M428" s="2"/>
    </row>
    <row r="429" spans="2:13">
      <c r="B429" s="2"/>
      <c r="C429" s="2"/>
      <c r="D429" s="2"/>
      <c r="E429" s="2"/>
      <c r="F429" s="2"/>
      <c r="G429" s="2"/>
      <c r="H429" s="2"/>
      <c r="I429" s="4"/>
      <c r="J429" s="6"/>
      <c r="K429" s="2"/>
      <c r="L429" s="2"/>
      <c r="M429" s="2"/>
    </row>
    <row r="430" spans="2:13">
      <c r="B430" s="2"/>
      <c r="C430" s="2"/>
      <c r="D430" s="2"/>
      <c r="E430" s="2"/>
      <c r="F430" s="2"/>
      <c r="G430" s="2"/>
      <c r="H430" s="2"/>
      <c r="I430" s="4"/>
      <c r="J430" s="6"/>
      <c r="K430" s="2"/>
      <c r="L430" s="2"/>
      <c r="M430" s="2"/>
    </row>
    <row r="431" spans="2:13">
      <c r="B431" s="2"/>
      <c r="C431" s="2"/>
      <c r="D431" s="2"/>
      <c r="E431" s="2"/>
      <c r="F431" s="2"/>
      <c r="G431" s="2"/>
      <c r="H431" s="2"/>
      <c r="I431" s="4"/>
      <c r="J431" s="6"/>
      <c r="K431" s="2"/>
      <c r="L431" s="2"/>
      <c r="M431" s="2"/>
    </row>
    <row r="432" spans="2:13">
      <c r="B432" s="2"/>
      <c r="C432" s="2"/>
      <c r="D432" s="2"/>
      <c r="E432" s="2"/>
      <c r="F432" s="2"/>
      <c r="G432" s="2"/>
      <c r="H432" s="2"/>
      <c r="I432" s="4"/>
      <c r="J432" s="6"/>
      <c r="K432" s="2"/>
      <c r="L432" s="2"/>
      <c r="M432" s="2"/>
    </row>
    <row r="433" spans="2:13">
      <c r="B433" s="2"/>
      <c r="C433" s="2"/>
      <c r="D433" s="2"/>
      <c r="E433" s="2"/>
      <c r="F433" s="2"/>
      <c r="G433" s="2"/>
      <c r="H433" s="2"/>
      <c r="I433" s="4"/>
      <c r="J433" s="6"/>
      <c r="K433" s="2"/>
      <c r="L433" s="2"/>
      <c r="M433" s="2"/>
    </row>
    <row r="434" spans="2:13">
      <c r="B434" s="2"/>
      <c r="C434" s="2"/>
      <c r="D434" s="2"/>
      <c r="E434" s="2"/>
      <c r="F434" s="2"/>
      <c r="G434" s="2"/>
      <c r="H434" s="2"/>
      <c r="I434" s="4"/>
      <c r="J434" s="6"/>
      <c r="K434" s="2"/>
      <c r="L434" s="2"/>
      <c r="M434" s="2"/>
    </row>
    <row r="435" spans="2:13">
      <c r="B435" s="2"/>
      <c r="C435" s="2"/>
      <c r="D435" s="2"/>
      <c r="E435" s="2"/>
      <c r="F435" s="2"/>
      <c r="G435" s="2"/>
      <c r="H435" s="2"/>
      <c r="I435" s="4"/>
      <c r="J435" s="6"/>
      <c r="K435" s="2"/>
      <c r="L435" s="2"/>
      <c r="M435" s="2"/>
    </row>
    <row r="436" spans="2:13">
      <c r="B436" s="2"/>
      <c r="C436" s="2"/>
      <c r="D436" s="2"/>
      <c r="E436" s="2"/>
      <c r="F436" s="2"/>
      <c r="G436" s="2"/>
      <c r="H436" s="2"/>
      <c r="I436" s="4"/>
      <c r="J436" s="6"/>
      <c r="K436" s="2"/>
      <c r="L436" s="2"/>
      <c r="M436" s="2"/>
    </row>
    <row r="437" spans="2:13">
      <c r="B437" s="2"/>
      <c r="C437" s="2"/>
      <c r="D437" s="2"/>
      <c r="E437" s="2"/>
      <c r="F437" s="2"/>
      <c r="G437" s="2"/>
      <c r="H437" s="2"/>
      <c r="I437" s="4"/>
      <c r="J437" s="6"/>
      <c r="K437" s="2"/>
      <c r="L437" s="2"/>
      <c r="M437" s="2"/>
    </row>
    <row r="438" spans="2:13">
      <c r="B438" s="2"/>
      <c r="C438" s="2"/>
      <c r="D438" s="2"/>
      <c r="E438" s="2"/>
      <c r="F438" s="2"/>
      <c r="G438" s="2"/>
      <c r="H438" s="2"/>
      <c r="I438" s="4"/>
      <c r="J438" s="6"/>
      <c r="K438" s="2"/>
      <c r="L438" s="2"/>
      <c r="M438" s="2"/>
    </row>
    <row r="439" spans="2:13">
      <c r="B439" s="2"/>
      <c r="C439" s="2"/>
      <c r="D439" s="2"/>
      <c r="E439" s="2"/>
      <c r="F439" s="2"/>
      <c r="G439" s="2"/>
      <c r="H439" s="2"/>
      <c r="I439" s="4"/>
      <c r="J439" s="6"/>
      <c r="K439" s="2"/>
      <c r="L439" s="2"/>
      <c r="M439" s="2"/>
    </row>
    <row r="440" spans="2:13">
      <c r="B440" s="2"/>
      <c r="C440" s="2"/>
      <c r="D440" s="2"/>
      <c r="E440" s="2"/>
      <c r="F440" s="2"/>
      <c r="G440" s="2"/>
      <c r="H440" s="2"/>
      <c r="I440" s="4"/>
      <c r="J440" s="6"/>
      <c r="K440" s="2"/>
      <c r="L440" s="2"/>
      <c r="M440" s="2"/>
    </row>
    <row r="441" spans="2:13">
      <c r="B441" s="2"/>
      <c r="C441" s="2"/>
      <c r="D441" s="2"/>
      <c r="E441" s="2"/>
      <c r="F441" s="2"/>
      <c r="G441" s="2"/>
      <c r="H441" s="2"/>
      <c r="I441" s="4"/>
      <c r="J441" s="6"/>
      <c r="K441" s="2"/>
      <c r="L441" s="2"/>
      <c r="M441" s="2"/>
    </row>
    <row r="442" spans="2:13">
      <c r="B442" s="2"/>
      <c r="C442" s="2"/>
      <c r="D442" s="2"/>
      <c r="E442" s="2"/>
      <c r="F442" s="2"/>
      <c r="G442" s="2"/>
      <c r="H442" s="2"/>
      <c r="I442" s="4"/>
      <c r="J442" s="6"/>
      <c r="K442" s="2"/>
      <c r="L442" s="2"/>
      <c r="M442" s="2"/>
    </row>
    <row r="443" spans="2:13">
      <c r="B443" s="2"/>
      <c r="C443" s="2"/>
      <c r="D443" s="2"/>
      <c r="E443" s="2"/>
      <c r="F443" s="2"/>
      <c r="G443" s="2"/>
      <c r="H443" s="2"/>
      <c r="I443" s="4"/>
      <c r="J443" s="6"/>
      <c r="K443" s="2"/>
      <c r="L443" s="2"/>
      <c r="M443" s="2"/>
    </row>
    <row r="444" spans="2:13">
      <c r="B444" s="2"/>
      <c r="C444" s="2"/>
      <c r="D444" s="2"/>
      <c r="E444" s="2"/>
      <c r="F444" s="2"/>
      <c r="G444" s="2"/>
      <c r="H444" s="2"/>
      <c r="I444" s="4"/>
      <c r="J444" s="6"/>
      <c r="K444" s="2"/>
      <c r="L444" s="2"/>
      <c r="M444" s="2"/>
    </row>
    <row r="445" spans="2:13">
      <c r="B445" s="2"/>
      <c r="C445" s="2"/>
      <c r="D445" s="2"/>
      <c r="E445" s="2"/>
      <c r="F445" s="2"/>
      <c r="G445" s="2"/>
      <c r="H445" s="2"/>
      <c r="I445" s="4"/>
      <c r="J445" s="6"/>
      <c r="K445" s="2"/>
      <c r="L445" s="2"/>
      <c r="M445" s="2"/>
    </row>
    <row r="446" spans="2:13">
      <c r="B446" s="2"/>
      <c r="C446" s="2"/>
      <c r="D446" s="2"/>
      <c r="E446" s="2"/>
      <c r="F446" s="2"/>
      <c r="G446" s="2"/>
      <c r="H446" s="2"/>
      <c r="I446" s="4"/>
      <c r="J446" s="6"/>
      <c r="K446" s="2"/>
      <c r="L446" s="2"/>
      <c r="M446" s="2"/>
    </row>
    <row r="447" spans="2:13">
      <c r="B447" s="2"/>
      <c r="C447" s="2"/>
      <c r="D447" s="2"/>
      <c r="E447" s="2"/>
      <c r="F447" s="2"/>
      <c r="G447" s="2"/>
      <c r="H447" s="2"/>
      <c r="I447" s="4"/>
      <c r="J447" s="6"/>
      <c r="K447" s="2"/>
      <c r="L447" s="2"/>
      <c r="M447" s="2"/>
    </row>
    <row r="448" spans="2:13">
      <c r="B448" s="2"/>
      <c r="C448" s="2"/>
      <c r="D448" s="2"/>
      <c r="E448" s="2"/>
      <c r="F448" s="2"/>
      <c r="G448" s="2"/>
      <c r="H448" s="2"/>
      <c r="I448" s="4"/>
      <c r="J448" s="6"/>
      <c r="K448" s="2"/>
      <c r="L448" s="2"/>
      <c r="M448" s="2"/>
    </row>
    <row r="449" spans="2:13">
      <c r="B449" s="2"/>
      <c r="C449" s="2"/>
      <c r="D449" s="2"/>
      <c r="E449" s="2"/>
      <c r="F449" s="2"/>
      <c r="G449" s="2"/>
      <c r="H449" s="2"/>
      <c r="I449" s="4"/>
      <c r="J449" s="6"/>
      <c r="K449" s="2"/>
      <c r="L449" s="2"/>
      <c r="M449" s="2"/>
    </row>
    <row r="450" spans="2:13">
      <c r="B450" s="2"/>
      <c r="C450" s="2"/>
      <c r="D450" s="2"/>
      <c r="E450" s="2"/>
      <c r="F450" s="2"/>
      <c r="G450" s="2"/>
      <c r="H450" s="2"/>
      <c r="I450" s="4"/>
      <c r="J450" s="6"/>
      <c r="K450" s="2"/>
      <c r="L450" s="2"/>
      <c r="M450" s="2"/>
    </row>
    <row r="451" spans="2:13">
      <c r="B451" s="2"/>
      <c r="C451" s="2"/>
      <c r="D451" s="2"/>
      <c r="E451" s="2"/>
      <c r="F451" s="2"/>
      <c r="G451" s="2"/>
      <c r="H451" s="2"/>
      <c r="I451" s="4"/>
      <c r="J451" s="6"/>
      <c r="K451" s="2"/>
      <c r="L451" s="2"/>
      <c r="M451" s="2"/>
    </row>
    <row r="452" spans="2:13">
      <c r="B452" s="2"/>
      <c r="C452" s="2"/>
      <c r="D452" s="2"/>
      <c r="E452" s="2"/>
      <c r="F452" s="2"/>
      <c r="G452" s="2"/>
      <c r="H452" s="2"/>
      <c r="I452" s="4"/>
      <c r="J452" s="6"/>
      <c r="K452" s="2"/>
      <c r="L452" s="2"/>
      <c r="M452" s="2"/>
    </row>
    <row r="453" spans="2:13">
      <c r="B453" s="2"/>
      <c r="C453" s="2"/>
      <c r="D453" s="2"/>
      <c r="E453" s="2"/>
      <c r="F453" s="2"/>
      <c r="G453" s="2"/>
      <c r="H453" s="2"/>
      <c r="I453" s="4"/>
      <c r="J453" s="6"/>
      <c r="K453" s="2"/>
      <c r="L453" s="2"/>
      <c r="M453" s="2"/>
    </row>
    <row r="454" spans="2:13">
      <c r="B454" s="2"/>
      <c r="C454" s="2"/>
      <c r="D454" s="2"/>
      <c r="E454" s="2"/>
      <c r="F454" s="2"/>
      <c r="G454" s="2"/>
      <c r="H454" s="2"/>
      <c r="I454" s="4"/>
      <c r="J454" s="6"/>
      <c r="K454" s="2"/>
      <c r="L454" s="2"/>
      <c r="M454" s="2"/>
    </row>
    <row r="455" spans="2:13">
      <c r="B455" s="2"/>
      <c r="C455" s="2"/>
      <c r="D455" s="2"/>
      <c r="E455" s="2"/>
      <c r="F455" s="2"/>
      <c r="G455" s="2"/>
      <c r="H455" s="2"/>
      <c r="I455" s="4"/>
      <c r="J455" s="6"/>
      <c r="K455" s="2"/>
      <c r="L455" s="2"/>
      <c r="M455" s="2"/>
    </row>
    <row r="456" spans="2:13">
      <c r="B456" s="2"/>
      <c r="C456" s="2"/>
      <c r="D456" s="2"/>
      <c r="E456" s="2"/>
      <c r="F456" s="2"/>
      <c r="G456" s="2"/>
      <c r="H456" s="2"/>
      <c r="I456" s="4"/>
      <c r="J456" s="6"/>
      <c r="K456" s="2"/>
      <c r="L456" s="2"/>
      <c r="M456" s="2"/>
    </row>
    <row r="457" spans="2:13">
      <c r="B457" s="2"/>
      <c r="C457" s="2"/>
      <c r="D457" s="2"/>
      <c r="E457" s="2"/>
      <c r="F457" s="2"/>
      <c r="G457" s="2"/>
      <c r="H457" s="2"/>
      <c r="I457" s="4"/>
      <c r="J457" s="6"/>
      <c r="K457" s="2"/>
      <c r="L457" s="2"/>
      <c r="M457" s="2"/>
    </row>
    <row r="458" spans="2:13">
      <c r="B458" s="2"/>
      <c r="C458" s="2"/>
      <c r="D458" s="2"/>
      <c r="E458" s="2"/>
      <c r="F458" s="2"/>
      <c r="G458" s="2"/>
      <c r="H458" s="2"/>
      <c r="I458" s="4"/>
      <c r="J458" s="6"/>
      <c r="K458" s="2"/>
      <c r="L458" s="2"/>
      <c r="M458" s="2"/>
    </row>
    <row r="459" spans="2:13">
      <c r="B459" s="2"/>
      <c r="C459" s="2"/>
      <c r="D459" s="2"/>
      <c r="E459" s="2"/>
      <c r="F459" s="2"/>
      <c r="G459" s="2"/>
      <c r="H459" s="2"/>
      <c r="I459" s="4"/>
      <c r="J459" s="6"/>
      <c r="K459" s="2"/>
      <c r="L459" s="2"/>
      <c r="M459" s="2"/>
    </row>
    <row r="460" spans="2:13">
      <c r="B460" s="2"/>
      <c r="C460" s="2"/>
      <c r="D460" s="2"/>
      <c r="E460" s="2"/>
      <c r="F460" s="2"/>
      <c r="G460" s="2"/>
      <c r="H460" s="2"/>
      <c r="I460" s="4"/>
      <c r="J460" s="6"/>
      <c r="K460" s="2"/>
      <c r="L460" s="2"/>
      <c r="M460" s="2"/>
    </row>
    <row r="461" spans="2:13">
      <c r="B461" s="2"/>
      <c r="C461" s="2"/>
      <c r="D461" s="2"/>
      <c r="E461" s="2"/>
      <c r="F461" s="2"/>
      <c r="G461" s="2"/>
      <c r="H461" s="2"/>
      <c r="I461" s="4"/>
      <c r="J461" s="6"/>
      <c r="K461" s="2"/>
      <c r="L461" s="2"/>
      <c r="M461" s="2"/>
    </row>
    <row r="462" spans="2:13">
      <c r="B462" s="2"/>
      <c r="C462" s="2"/>
      <c r="D462" s="2"/>
      <c r="E462" s="2"/>
      <c r="F462" s="2"/>
      <c r="G462" s="2"/>
      <c r="H462" s="2"/>
      <c r="I462" s="4"/>
      <c r="J462" s="6"/>
      <c r="K462" s="2"/>
      <c r="L462" s="2"/>
      <c r="M462" s="2"/>
    </row>
    <row r="463" spans="2:13">
      <c r="B463" s="2"/>
      <c r="C463" s="2"/>
      <c r="D463" s="2"/>
      <c r="E463" s="2"/>
      <c r="F463" s="2"/>
      <c r="G463" s="2"/>
      <c r="H463" s="2"/>
      <c r="I463" s="4"/>
      <c r="J463" s="6"/>
      <c r="K463" s="2"/>
      <c r="L463" s="2"/>
      <c r="M463" s="2"/>
    </row>
    <row r="464" spans="2:13">
      <c r="B464" s="2"/>
      <c r="C464" s="2"/>
      <c r="D464" s="2"/>
      <c r="E464" s="2"/>
      <c r="F464" s="2"/>
      <c r="G464" s="2"/>
      <c r="H464" s="2"/>
      <c r="I464" s="4"/>
      <c r="J464" s="6"/>
      <c r="K464" s="2"/>
      <c r="L464" s="2"/>
      <c r="M464" s="2"/>
    </row>
    <row r="465" spans="2:13">
      <c r="B465" s="2"/>
      <c r="C465" s="2"/>
      <c r="D465" s="2"/>
      <c r="E465" s="2"/>
      <c r="F465" s="2"/>
      <c r="G465" s="2"/>
      <c r="H465" s="2"/>
      <c r="I465" s="4"/>
      <c r="J465" s="6"/>
      <c r="K465" s="2"/>
      <c r="L465" s="2"/>
      <c r="M465" s="2"/>
    </row>
    <row r="466" spans="2:13">
      <c r="B466" s="2"/>
      <c r="C466" s="2"/>
      <c r="D466" s="2"/>
      <c r="E466" s="2"/>
      <c r="F466" s="2"/>
      <c r="G466" s="2"/>
      <c r="H466" s="2"/>
      <c r="I466" s="4"/>
      <c r="J466" s="6"/>
      <c r="K466" s="2"/>
      <c r="L466" s="2"/>
      <c r="M466" s="2"/>
    </row>
    <row r="467" spans="2:13">
      <c r="B467" s="2"/>
      <c r="C467" s="2"/>
      <c r="D467" s="2"/>
      <c r="E467" s="2"/>
      <c r="F467" s="2"/>
      <c r="G467" s="2"/>
      <c r="H467" s="2"/>
      <c r="I467" s="4"/>
      <c r="J467" s="6"/>
      <c r="K467" s="2"/>
      <c r="L467" s="2"/>
      <c r="M467" s="2"/>
    </row>
    <row r="468" spans="2:13">
      <c r="B468" s="2"/>
      <c r="C468" s="2"/>
      <c r="D468" s="2"/>
      <c r="E468" s="2"/>
      <c r="F468" s="2"/>
      <c r="G468" s="2"/>
      <c r="H468" s="2"/>
      <c r="I468" s="4"/>
      <c r="J468" s="6"/>
      <c r="K468" s="2"/>
      <c r="L468" s="2"/>
      <c r="M468" s="2"/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67"/>
  <sheetViews>
    <sheetView topLeftCell="H34" zoomScale="80" zoomScaleNormal="80" workbookViewId="0">
      <selection activeCell="J77" sqref="J77"/>
    </sheetView>
  </sheetViews>
  <sheetFormatPr defaultRowHeight="15"/>
  <cols>
    <col min="1" max="1" width="0" hidden="1" customWidth="1"/>
    <col min="2" max="2" width="14.28515625" hidden="1" customWidth="1"/>
    <col min="3" max="3" width="13.7109375" hidden="1" customWidth="1"/>
    <col min="4" max="7" width="0" hidden="1" customWidth="1"/>
    <col min="9" max="9" width="16.28515625" style="3" customWidth="1"/>
    <col min="10" max="10" width="11.28515625" style="5" customWidth="1"/>
    <col min="11" max="11" width="10.42578125" customWidth="1"/>
    <col min="12" max="12" width="11.140625" customWidth="1"/>
    <col min="14" max="14" width="13.7109375" style="3" customWidth="1"/>
    <col min="15" max="15" width="13.7109375" style="5" customWidth="1"/>
    <col min="16" max="16" width="0" style="3" hidden="1" customWidth="1"/>
    <col min="17" max="17" width="9.140625" style="3"/>
    <col min="18" max="18" width="0" style="5" hidden="1" customWidth="1"/>
    <col min="19" max="19" width="9.140625" style="5"/>
  </cols>
  <sheetData>
    <row r="1" spans="1:19">
      <c r="B1" t="s">
        <v>8</v>
      </c>
      <c r="I1" s="3" t="s">
        <v>9</v>
      </c>
      <c r="Q1" s="3">
        <v>50500</v>
      </c>
      <c r="S1" s="3">
        <v>24800</v>
      </c>
    </row>
    <row r="2" spans="1:19">
      <c r="A2" t="s">
        <v>0</v>
      </c>
      <c r="B2" t="s">
        <v>1</v>
      </c>
      <c r="C2" t="s">
        <v>2</v>
      </c>
      <c r="D2" s="1">
        <v>45627</v>
      </c>
      <c r="E2" s="1">
        <v>43435</v>
      </c>
      <c r="F2" s="1">
        <v>41974</v>
      </c>
      <c r="G2" s="1">
        <v>42705</v>
      </c>
      <c r="H2" s="1" t="s">
        <v>16</v>
      </c>
      <c r="I2" s="3" t="s">
        <v>3</v>
      </c>
      <c r="J2" s="5" t="s">
        <v>4</v>
      </c>
      <c r="K2" t="s">
        <v>5</v>
      </c>
      <c r="L2" t="s">
        <v>6</v>
      </c>
      <c r="M2" t="s">
        <v>7</v>
      </c>
      <c r="N2" s="3" t="s">
        <v>12</v>
      </c>
      <c r="O2" s="5" t="s">
        <v>13</v>
      </c>
      <c r="P2" s="7"/>
      <c r="Q2" s="3">
        <v>0.5</v>
      </c>
      <c r="R2" s="8"/>
      <c r="S2" s="3">
        <v>0.5</v>
      </c>
    </row>
    <row r="3" spans="1:19">
      <c r="A3">
        <v>1</v>
      </c>
      <c r="B3" s="2">
        <v>14897.615546421317</v>
      </c>
      <c r="C3" s="2">
        <v>7448.8077732106585</v>
      </c>
      <c r="D3" s="2">
        <v>7311.2936701189419</v>
      </c>
      <c r="E3" s="2">
        <v>10436.514851444223</v>
      </c>
      <c r="F3" s="2">
        <v>13275.400122948058</v>
      </c>
      <c r="G3" s="2">
        <v>11770.68012232139</v>
      </c>
      <c r="H3" s="2">
        <f>+$A3</f>
        <v>1</v>
      </c>
      <c r="I3" s="4">
        <v>14897.615546421317</v>
      </c>
      <c r="J3" s="6">
        <v>7311.2936701189419</v>
      </c>
      <c r="K3" s="2">
        <v>10436.514851444223</v>
      </c>
      <c r="L3" s="2">
        <v>13275.400122948058</v>
      </c>
      <c r="M3" s="2">
        <v>11770.68012232139</v>
      </c>
      <c r="N3" s="3">
        <f>+$Q3</f>
        <v>20475.987959462302</v>
      </c>
      <c r="O3" s="5">
        <f>+$S3</f>
        <v>10055.534681082478</v>
      </c>
      <c r="Q3" s="3">
        <f>+$Q$1*LN(1+$Q$2*$H3)</f>
        <v>20475.987959462302</v>
      </c>
      <c r="S3" s="3">
        <f>+$S$1*LN(1+$S$2*$H3)</f>
        <v>10055.534681082478</v>
      </c>
    </row>
    <row r="4" spans="1:19">
      <c r="A4">
        <v>2</v>
      </c>
      <c r="B4" s="2">
        <v>13258.000343176094</v>
      </c>
      <c r="C4" s="2">
        <v>6629.0001715880471</v>
      </c>
      <c r="D4" s="2">
        <v>6506.6207196347868</v>
      </c>
      <c r="E4" s="2">
        <v>9287.8834905394178</v>
      </c>
      <c r="F4" s="2">
        <v>11814.324167341338</v>
      </c>
      <c r="G4" s="2">
        <v>10475.211997173636</v>
      </c>
      <c r="H4" s="2">
        <f t="shared" ref="H4:H67" si="0">+$A4</f>
        <v>2</v>
      </c>
      <c r="I4" s="4">
        <v>28155.615889597411</v>
      </c>
      <c r="J4" s="6">
        <v>13817.914389753729</v>
      </c>
      <c r="K4" s="2">
        <v>19724.39834198364</v>
      </c>
      <c r="L4" s="2">
        <v>25089.724290289396</v>
      </c>
      <c r="M4" s="2">
        <v>22245.892119495024</v>
      </c>
      <c r="N4" s="3">
        <f t="shared" ref="N4:N67" si="1">+$Q4</f>
        <v>35003.932618277235</v>
      </c>
      <c r="O4" s="5">
        <f t="shared" ref="O4:O67" si="2">+$S4</f>
        <v>17190.050077886644</v>
      </c>
      <c r="Q4" s="3">
        <f t="shared" ref="Q4:Q67" si="3">+$Q$1*LN(1+$Q$2*$H4)</f>
        <v>35003.932618277235</v>
      </c>
      <c r="S4" s="3">
        <f t="shared" ref="S4:S67" si="4">+$S$1*LN(1+$S$2*$H4)</f>
        <v>17190.050077886644</v>
      </c>
    </row>
    <row r="5" spans="1:19">
      <c r="A5">
        <v>3</v>
      </c>
      <c r="B5" s="2">
        <v>11798.839388218857</v>
      </c>
      <c r="C5" s="2">
        <v>5899.4196941094287</v>
      </c>
      <c r="D5" s="2">
        <v>5790.5091902144795</v>
      </c>
      <c r="E5" s="2">
        <v>8265.6692355396044</v>
      </c>
      <c r="F5" s="2">
        <v>10514.052626538045</v>
      </c>
      <c r="G5" s="2">
        <v>9322.3216709154549</v>
      </c>
      <c r="H5" s="2">
        <f t="shared" si="0"/>
        <v>3</v>
      </c>
      <c r="I5" s="4">
        <v>39954.455277816269</v>
      </c>
      <c r="J5" s="6">
        <v>19608.423579968206</v>
      </c>
      <c r="K5" s="2">
        <v>27990.067577523245</v>
      </c>
      <c r="L5" s="2">
        <v>35603.776916827439</v>
      </c>
      <c r="M5" s="2">
        <v>31568.213790410478</v>
      </c>
      <c r="N5" s="3">
        <f t="shared" si="1"/>
        <v>46272.681959644833</v>
      </c>
      <c r="O5" s="5">
        <f t="shared" si="2"/>
        <v>22724.010150479047</v>
      </c>
      <c r="Q5" s="3">
        <f t="shared" si="3"/>
        <v>46272.681959644833</v>
      </c>
      <c r="S5" s="3">
        <f t="shared" si="4"/>
        <v>22724.010150479047</v>
      </c>
    </row>
    <row r="6" spans="1:19">
      <c r="A6">
        <v>4</v>
      </c>
      <c r="B6" s="2">
        <v>10500.272085197043</v>
      </c>
      <c r="C6" s="2">
        <v>5250.1360425985213</v>
      </c>
      <c r="D6" s="2">
        <v>5153.2121091331064</v>
      </c>
      <c r="E6" s="2">
        <v>7355.9587586275766</v>
      </c>
      <c r="F6" s="2">
        <v>9356.8875432752247</v>
      </c>
      <c r="G6" s="2">
        <v>8296.3171876109373</v>
      </c>
      <c r="H6" s="2">
        <f t="shared" si="0"/>
        <v>4</v>
      </c>
      <c r="I6" s="4">
        <v>50454.727363013313</v>
      </c>
      <c r="J6" s="6">
        <v>24761.635689101313</v>
      </c>
      <c r="K6" s="2">
        <v>35346.026336150819</v>
      </c>
      <c r="L6" s="2">
        <v>44960.664460102664</v>
      </c>
      <c r="M6" s="2">
        <v>39864.530978021416</v>
      </c>
      <c r="N6" s="3">
        <f t="shared" si="1"/>
        <v>55479.920577739547</v>
      </c>
      <c r="O6" s="5">
        <f t="shared" si="2"/>
        <v>27245.584758969122</v>
      </c>
      <c r="Q6" s="3">
        <f t="shared" si="3"/>
        <v>55479.920577739547</v>
      </c>
      <c r="S6" s="3">
        <f t="shared" si="4"/>
        <v>27245.584758969122</v>
      </c>
    </row>
    <row r="7" spans="1:19">
      <c r="A7">
        <v>5</v>
      </c>
      <c r="B7" s="2">
        <v>9344.6236731774297</v>
      </c>
      <c r="C7" s="2">
        <v>4672.3118365887149</v>
      </c>
      <c r="D7" s="2">
        <v>4586.0552447776008</v>
      </c>
      <c r="E7" s="2">
        <v>6546.3700175630393</v>
      </c>
      <c r="F7" s="2">
        <v>8327.0787780265273</v>
      </c>
      <c r="G7" s="2">
        <v>7383.23363075816</v>
      </c>
      <c r="H7" s="2">
        <f t="shared" si="0"/>
        <v>5</v>
      </c>
      <c r="I7" s="4">
        <v>59799.351036190739</v>
      </c>
      <c r="J7" s="6">
        <v>29347.690933878912</v>
      </c>
      <c r="K7" s="2">
        <v>41892.396353713855</v>
      </c>
      <c r="L7" s="2">
        <v>53287.743238129187</v>
      </c>
      <c r="M7" s="2">
        <v>47247.764608779573</v>
      </c>
      <c r="N7" s="3">
        <f t="shared" si="1"/>
        <v>63264.529909016084</v>
      </c>
      <c r="O7" s="5">
        <f t="shared" si="2"/>
        <v>31068.521618685128</v>
      </c>
      <c r="Q7" s="3">
        <f t="shared" si="3"/>
        <v>63264.529909016084</v>
      </c>
      <c r="S7" s="3">
        <f t="shared" si="4"/>
        <v>31068.521618685128</v>
      </c>
    </row>
    <row r="8" spans="1:19">
      <c r="A8">
        <v>6</v>
      </c>
      <c r="B8" s="2">
        <v>8316.1646560008539</v>
      </c>
      <c r="C8" s="2">
        <v>4158.082328000427</v>
      </c>
      <c r="D8" s="2">
        <v>4081.3190419383368</v>
      </c>
      <c r="E8" s="2">
        <v>5825.8837240740431</v>
      </c>
      <c r="F8" s="2">
        <v>7410.6096343216659</v>
      </c>
      <c r="G8" s="2">
        <v>6570.6430472261163</v>
      </c>
      <c r="H8" s="2">
        <f t="shared" si="0"/>
        <v>6</v>
      </c>
      <c r="I8" s="4">
        <v>68115.515692191591</v>
      </c>
      <c r="J8" s="6">
        <v>33429.009975817251</v>
      </c>
      <c r="K8" s="2">
        <v>47718.280077787902</v>
      </c>
      <c r="L8" s="2">
        <v>60698.352872450851</v>
      </c>
      <c r="M8" s="2">
        <v>53818.407656005686</v>
      </c>
      <c r="N8" s="3">
        <f t="shared" si="1"/>
        <v>70007.865236554469</v>
      </c>
      <c r="O8" s="5">
        <f t="shared" si="2"/>
        <v>34380.100155773289</v>
      </c>
      <c r="Q8" s="3">
        <f t="shared" si="3"/>
        <v>70007.865236554469</v>
      </c>
      <c r="S8" s="3">
        <f t="shared" si="4"/>
        <v>34380.100155773289</v>
      </c>
    </row>
    <row r="9" spans="1:19">
      <c r="A9">
        <v>7</v>
      </c>
      <c r="B9" s="2">
        <v>7400.8967085778831</v>
      </c>
      <c r="C9" s="2">
        <v>3700.4483542889416</v>
      </c>
      <c r="D9" s="2">
        <v>3632.133551172752</v>
      </c>
      <c r="E9" s="2">
        <v>5184.6933606520761</v>
      </c>
      <c r="F9" s="2">
        <v>6595.0060779076939</v>
      </c>
      <c r="G9" s="2">
        <v>5847.48529075432</v>
      </c>
      <c r="H9" s="2">
        <f t="shared" si="0"/>
        <v>7</v>
      </c>
      <c r="I9" s="4">
        <v>75516.412400769477</v>
      </c>
      <c r="J9" s="6">
        <v>37061.143526990003</v>
      </c>
      <c r="K9" s="2">
        <v>52902.973438439978</v>
      </c>
      <c r="L9" s="2">
        <v>67293.358950358539</v>
      </c>
      <c r="M9" s="2">
        <v>59665.892946760003</v>
      </c>
      <c r="N9" s="3">
        <f t="shared" si="1"/>
        <v>75955.908537201845</v>
      </c>
      <c r="O9" s="5">
        <f t="shared" si="2"/>
        <v>37301.119440051596</v>
      </c>
      <c r="Q9" s="3">
        <f t="shared" si="3"/>
        <v>75955.908537201845</v>
      </c>
      <c r="S9" s="3">
        <f t="shared" si="4"/>
        <v>37301.119440051596</v>
      </c>
    </row>
    <row r="10" spans="1:19">
      <c r="A10">
        <v>8</v>
      </c>
      <c r="B10" s="2">
        <v>6586.3621461024277</v>
      </c>
      <c r="C10" s="2">
        <v>3293.1810730512138</v>
      </c>
      <c r="D10" s="2">
        <v>3232.3849221278506</v>
      </c>
      <c r="E10" s="2">
        <v>4614.0717043339419</v>
      </c>
      <c r="F10" s="2">
        <v>5869.1669530398422</v>
      </c>
      <c r="G10" s="2">
        <v>5203.9174826310409</v>
      </c>
      <c r="H10" s="2">
        <f t="shared" si="0"/>
        <v>8</v>
      </c>
      <c r="I10" s="4">
        <v>82102.774546871908</v>
      </c>
      <c r="J10" s="6">
        <v>40293.528449117854</v>
      </c>
      <c r="K10" s="2">
        <v>57517.045142773917</v>
      </c>
      <c r="L10" s="2">
        <v>73162.525903398375</v>
      </c>
      <c r="M10" s="2">
        <v>64869.810429391044</v>
      </c>
      <c r="N10" s="3">
        <f t="shared" si="1"/>
        <v>81276.614577922068</v>
      </c>
      <c r="O10" s="5">
        <f t="shared" si="2"/>
        <v>39914.060228365684</v>
      </c>
      <c r="Q10" s="3">
        <f t="shared" si="3"/>
        <v>81276.614577922068</v>
      </c>
      <c r="S10" s="3">
        <f t="shared" si="4"/>
        <v>39914.060228365684</v>
      </c>
    </row>
    <row r="11" spans="1:19">
      <c r="A11">
        <v>9</v>
      </c>
      <c r="B11" s="2">
        <v>5861.4743628744254</v>
      </c>
      <c r="C11" s="2">
        <v>2930.7371814372127</v>
      </c>
      <c r="D11" s="2">
        <v>2876.6321881049507</v>
      </c>
      <c r="E11" s="2">
        <v>4106.2520407296633</v>
      </c>
      <c r="F11" s="2">
        <v>5223.2128849809296</v>
      </c>
      <c r="G11" s="2">
        <v>4631.1800405640051</v>
      </c>
      <c r="H11" s="2">
        <f t="shared" si="0"/>
        <v>9</v>
      </c>
      <c r="I11" s="4">
        <v>87964.248909746326</v>
      </c>
      <c r="J11" s="6">
        <v>43170.160637222805</v>
      </c>
      <c r="K11" s="2">
        <v>61623.297183503579</v>
      </c>
      <c r="L11" s="2">
        <v>78385.738788379298</v>
      </c>
      <c r="M11" s="2">
        <v>69500.990469955053</v>
      </c>
      <c r="N11" s="3">
        <f t="shared" si="1"/>
        <v>86089.778658040479</v>
      </c>
      <c r="O11" s="5">
        <f t="shared" si="2"/>
        <v>42277.752687512948</v>
      </c>
      <c r="Q11" s="3">
        <f t="shared" si="3"/>
        <v>86089.778658040479</v>
      </c>
      <c r="S11" s="3">
        <f t="shared" si="4"/>
        <v>42277.752687512948</v>
      </c>
    </row>
    <row r="12" spans="1:19">
      <c r="A12">
        <v>10</v>
      </c>
      <c r="B12" s="2">
        <v>5216.3669328394462</v>
      </c>
      <c r="C12" s="2">
        <v>2608.1834664197231</v>
      </c>
      <c r="D12" s="2">
        <v>2560.0332092237682</v>
      </c>
      <c r="E12" s="2">
        <v>3654.3224515039333</v>
      </c>
      <c r="F12" s="2">
        <v>4648.3518121256639</v>
      </c>
      <c r="G12" s="2">
        <v>4121.4774522663356</v>
      </c>
      <c r="H12" s="2">
        <f t="shared" si="0"/>
        <v>10</v>
      </c>
      <c r="I12" s="4">
        <v>93180.615842585772</v>
      </c>
      <c r="J12" s="6">
        <v>45730.193846446571</v>
      </c>
      <c r="K12" s="2">
        <v>65277.619635007512</v>
      </c>
      <c r="L12" s="2">
        <v>83034.090600504962</v>
      </c>
      <c r="M12" s="2">
        <v>73622.467922221389</v>
      </c>
      <c r="N12" s="3">
        <f t="shared" si="1"/>
        <v>90483.853196016775</v>
      </c>
      <c r="O12" s="5">
        <f t="shared" si="2"/>
        <v>44435.634836855766</v>
      </c>
      <c r="Q12" s="3">
        <f t="shared" si="3"/>
        <v>90483.853196016775</v>
      </c>
      <c r="S12" s="3">
        <f t="shared" si="4"/>
        <v>44435.634836855766</v>
      </c>
    </row>
    <row r="13" spans="1:19">
      <c r="A13">
        <v>11</v>
      </c>
      <c r="B13" s="2">
        <v>4642.2593179571595</v>
      </c>
      <c r="C13" s="2">
        <v>2321.1296589785798</v>
      </c>
      <c r="D13" s="2">
        <v>2278.2787662005517</v>
      </c>
      <c r="E13" s="2">
        <v>3252.1317364612501</v>
      </c>
      <c r="F13" s="2">
        <v>4136.7593175116826</v>
      </c>
      <c r="G13" s="2">
        <v>3667.8721709707279</v>
      </c>
      <c r="H13" s="2">
        <f t="shared" si="0"/>
        <v>11</v>
      </c>
      <c r="I13" s="4">
        <v>97822.875160542928</v>
      </c>
      <c r="J13" s="6">
        <v>48008.472612647121</v>
      </c>
      <c r="K13" s="2">
        <v>68529.751371468767</v>
      </c>
      <c r="L13" s="2">
        <v>87170.84991801664</v>
      </c>
      <c r="M13" s="2">
        <v>77290.340093192121</v>
      </c>
      <c r="N13" s="3">
        <f t="shared" si="1"/>
        <v>94526.009933530368</v>
      </c>
      <c r="O13" s="5">
        <f t="shared" si="2"/>
        <v>46420.693987159466</v>
      </c>
      <c r="Q13" s="3">
        <f t="shared" si="3"/>
        <v>94526.009933530368</v>
      </c>
      <c r="S13" s="3">
        <f t="shared" si="4"/>
        <v>46420.693987159466</v>
      </c>
    </row>
    <row r="14" spans="1:19" s="9" customFormat="1">
      <c r="A14" s="9">
        <v>12</v>
      </c>
      <c r="B14" s="10">
        <v>4131.3373565592638</v>
      </c>
      <c r="C14" s="10">
        <v>2065.6686782796319</v>
      </c>
      <c r="D14" s="10">
        <v>2027.533907692605</v>
      </c>
      <c r="E14" s="10">
        <v>2894.2056897430493</v>
      </c>
      <c r="F14" s="10">
        <v>3681.4721309130296</v>
      </c>
      <c r="G14" s="10">
        <v>3264.1901886867677</v>
      </c>
      <c r="H14" s="10">
        <f t="shared" si="0"/>
        <v>12</v>
      </c>
      <c r="I14" s="11">
        <v>101954.21251710219</v>
      </c>
      <c r="J14" s="12">
        <v>50036.006520339724</v>
      </c>
      <c r="K14" s="10">
        <v>71423.957061211811</v>
      </c>
      <c r="L14" s="10">
        <v>90852.322048929665</v>
      </c>
      <c r="M14" s="10">
        <v>80554.530281878891</v>
      </c>
      <c r="N14" s="13">
        <f t="shared" si="1"/>
        <v>98268.462527293319</v>
      </c>
      <c r="O14" s="14">
        <f t="shared" si="2"/>
        <v>48258.571696571766</v>
      </c>
      <c r="P14" s="13"/>
      <c r="Q14" s="3">
        <f t="shared" si="3"/>
        <v>98268.462527293319</v>
      </c>
      <c r="R14" s="14"/>
      <c r="S14" s="3">
        <f t="shared" si="4"/>
        <v>48258.571696571766</v>
      </c>
    </row>
    <row r="15" spans="1:19">
      <c r="A15">
        <v>13</v>
      </c>
      <c r="B15" s="2">
        <v>3676.6469050274627</v>
      </c>
      <c r="C15" s="2">
        <v>1838.3234525137314</v>
      </c>
      <c r="D15" s="2">
        <v>1804.3857528896324</v>
      </c>
      <c r="E15" s="2">
        <v>2575.6725905746089</v>
      </c>
      <c r="F15" s="2">
        <v>3276.2933519762491</v>
      </c>
      <c r="G15" s="2">
        <v>2904.9370019618386</v>
      </c>
      <c r="H15" s="2">
        <f t="shared" si="0"/>
        <v>13</v>
      </c>
      <c r="I15" s="4">
        <v>105630.85942212965</v>
      </c>
      <c r="J15" s="6">
        <v>51840.392273229358</v>
      </c>
      <c r="K15" s="2">
        <v>73999.629651786425</v>
      </c>
      <c r="L15" s="2">
        <v>94128.61540090591</v>
      </c>
      <c r="M15" s="2">
        <v>83459.467283840728</v>
      </c>
      <c r="N15" s="3">
        <f t="shared" si="1"/>
        <v>101752.60253738436</v>
      </c>
      <c r="O15" s="5">
        <f t="shared" si="2"/>
        <v>49969.594909448162</v>
      </c>
      <c r="Q15" s="3">
        <f t="shared" si="3"/>
        <v>101752.60253738436</v>
      </c>
      <c r="S15" s="3">
        <f t="shared" si="4"/>
        <v>49969.594909448162</v>
      </c>
    </row>
    <row r="16" spans="1:19">
      <c r="A16">
        <v>14</v>
      </c>
      <c r="B16" s="2">
        <v>3271.9991851515369</v>
      </c>
      <c r="C16" s="2">
        <v>1635.9995925757685</v>
      </c>
      <c r="D16" s="2">
        <v>1605.797038894553</v>
      </c>
      <c r="E16" s="2">
        <v>2292.1968944184819</v>
      </c>
      <c r="F16" s="2">
        <v>2915.7081043939988</v>
      </c>
      <c r="G16" s="2">
        <v>2585.2228263580532</v>
      </c>
      <c r="H16" s="2">
        <f t="shared" si="0"/>
        <v>14</v>
      </c>
      <c r="I16" s="4">
        <v>108902.85860728119</v>
      </c>
      <c r="J16" s="6">
        <v>53446.189312123912</v>
      </c>
      <c r="K16" s="2">
        <v>76291.826546204902</v>
      </c>
      <c r="L16" s="2">
        <v>97044.323505299908</v>
      </c>
      <c r="M16" s="2">
        <v>86044.690110198775</v>
      </c>
      <c r="N16" s="3">
        <f t="shared" si="1"/>
        <v>105011.7978548317</v>
      </c>
      <c r="O16" s="5">
        <f t="shared" si="2"/>
        <v>51570.15023365993</v>
      </c>
      <c r="Q16" s="3">
        <f t="shared" si="3"/>
        <v>105011.7978548317</v>
      </c>
      <c r="S16" s="3">
        <f t="shared" si="4"/>
        <v>51570.15023365993</v>
      </c>
    </row>
    <row r="17" spans="1:19">
      <c r="A17">
        <v>15</v>
      </c>
      <c r="B17" s="2">
        <v>2911.8865488532288</v>
      </c>
      <c r="C17" s="2">
        <v>1455.9432744266144</v>
      </c>
      <c r="D17" s="2">
        <v>1429.0647806285549</v>
      </c>
      <c r="E17" s="2">
        <v>2039.9202220067782</v>
      </c>
      <c r="F17" s="2">
        <v>2594.8084730876917</v>
      </c>
      <c r="G17" s="2">
        <v>2300.6960417417408</v>
      </c>
      <c r="H17" s="2">
        <f t="shared" si="0"/>
        <v>15</v>
      </c>
      <c r="I17" s="4">
        <v>111814.74515613442</v>
      </c>
      <c r="J17" s="6">
        <v>54875.254092752468</v>
      </c>
      <c r="K17" s="2">
        <v>78331.746768211684</v>
      </c>
      <c r="L17" s="2">
        <v>99639.131978387595</v>
      </c>
      <c r="M17" s="2">
        <v>88345.386151940518</v>
      </c>
      <c r="N17" s="3">
        <f t="shared" si="1"/>
        <v>108073.34125656167</v>
      </c>
      <c r="O17" s="5">
        <f t="shared" si="2"/>
        <v>53073.640854707512</v>
      </c>
      <c r="Q17" s="3">
        <f t="shared" si="3"/>
        <v>108073.34125656167</v>
      </c>
      <c r="S17" s="3">
        <f t="shared" si="4"/>
        <v>53073.640854707512</v>
      </c>
    </row>
    <row r="18" spans="1:19">
      <c r="A18">
        <v>16</v>
      </c>
      <c r="B18" s="2">
        <v>2708.6545454545458</v>
      </c>
      <c r="C18" s="2">
        <v>1354.3272727272729</v>
      </c>
      <c r="D18" s="2">
        <v>1329.3247346202313</v>
      </c>
      <c r="E18" s="2">
        <v>1897.5461746198039</v>
      </c>
      <c r="F18" s="2">
        <v>2413.7065944347714</v>
      </c>
      <c r="G18" s="2">
        <v>2140.1214252757468</v>
      </c>
      <c r="H18" s="2">
        <f t="shared" si="0"/>
        <v>16</v>
      </c>
      <c r="I18" s="4">
        <v>114523.39970158896</v>
      </c>
      <c r="J18" s="6">
        <v>56204.578827372701</v>
      </c>
      <c r="K18" s="2">
        <v>80229.292942831482</v>
      </c>
      <c r="L18" s="2">
        <v>102052.83857282237</v>
      </c>
      <c r="M18" s="2">
        <v>90485.507577216267</v>
      </c>
      <c r="N18" s="3">
        <f t="shared" si="1"/>
        <v>110959.84115547909</v>
      </c>
      <c r="O18" s="5">
        <f t="shared" si="2"/>
        <v>54491.169517938244</v>
      </c>
      <c r="Q18" s="3">
        <f t="shared" si="3"/>
        <v>110959.84115547909</v>
      </c>
      <c r="S18" s="3">
        <f t="shared" si="4"/>
        <v>54491.169517938244</v>
      </c>
    </row>
    <row r="19" spans="1:19">
      <c r="A19">
        <v>17</v>
      </c>
      <c r="B19" s="2">
        <v>2568.5517241379312</v>
      </c>
      <c r="C19" s="2">
        <v>1284.2758620689656</v>
      </c>
      <c r="D19" s="2">
        <v>1260.5665586915984</v>
      </c>
      <c r="E19" s="2">
        <v>1799.3972345532609</v>
      </c>
      <c r="F19" s="2">
        <v>2288.8597016191793</v>
      </c>
      <c r="G19" s="2">
        <v>2029.4254894856208</v>
      </c>
      <c r="H19" s="2">
        <f t="shared" si="0"/>
        <v>17</v>
      </c>
      <c r="I19" s="4">
        <v>117091.95142572689</v>
      </c>
      <c r="J19" s="6">
        <v>57465.145386064301</v>
      </c>
      <c r="K19" s="2">
        <v>82028.690177384749</v>
      </c>
      <c r="L19" s="2">
        <v>104341.69827444154</v>
      </c>
      <c r="M19" s="2">
        <v>92514.933066701895</v>
      </c>
      <c r="N19" s="3">
        <f t="shared" si="1"/>
        <v>113690.23582962801</v>
      </c>
      <c r="O19" s="5">
        <f t="shared" si="2"/>
        <v>55832.036605441084</v>
      </c>
      <c r="Q19" s="3">
        <f t="shared" si="3"/>
        <v>113690.23582962801</v>
      </c>
      <c r="S19" s="3">
        <f t="shared" si="4"/>
        <v>55832.036605441084</v>
      </c>
    </row>
    <row r="20" spans="1:19">
      <c r="A20">
        <v>18</v>
      </c>
      <c r="B20" s="2">
        <v>2442.2295081967218</v>
      </c>
      <c r="C20" s="2">
        <v>1221.1147540983609</v>
      </c>
      <c r="D20" s="2">
        <v>1198.5714820346345</v>
      </c>
      <c r="E20" s="2">
        <v>1710.9022885916256</v>
      </c>
      <c r="F20" s="2">
        <v>2176.2928310477446</v>
      </c>
      <c r="G20" s="2">
        <v>1929.6176785273124</v>
      </c>
      <c r="H20" s="2">
        <f t="shared" si="0"/>
        <v>18</v>
      </c>
      <c r="I20" s="4">
        <v>119534.18093392361</v>
      </c>
      <c r="J20" s="6">
        <v>58663.716868098934</v>
      </c>
      <c r="K20" s="2">
        <v>83739.59246597637</v>
      </c>
      <c r="L20" s="2">
        <v>106517.99110548929</v>
      </c>
      <c r="M20" s="2">
        <v>94444.550745229208</v>
      </c>
      <c r="N20" s="3">
        <f t="shared" si="1"/>
        <v>116280.54719619932</v>
      </c>
      <c r="O20" s="5">
        <f t="shared" si="2"/>
        <v>57104.11030625234</v>
      </c>
      <c r="Q20" s="3">
        <f t="shared" si="3"/>
        <v>116280.54719619932</v>
      </c>
      <c r="S20" s="3">
        <f t="shared" si="4"/>
        <v>57104.11030625234</v>
      </c>
    </row>
    <row r="21" spans="1:19">
      <c r="A21">
        <v>19</v>
      </c>
      <c r="B21" s="2">
        <v>2327.7500000000005</v>
      </c>
      <c r="C21" s="2">
        <v>1163.8750000000002</v>
      </c>
      <c r="D21" s="2">
        <v>1142.3884438142618</v>
      </c>
      <c r="E21" s="2">
        <v>1630.7037438138925</v>
      </c>
      <c r="F21" s="2">
        <v>2074.2791045923814</v>
      </c>
      <c r="G21" s="2">
        <v>1839.1668498463443</v>
      </c>
      <c r="H21" s="2">
        <f t="shared" si="0"/>
        <v>19</v>
      </c>
      <c r="I21" s="4">
        <v>121861.93093392361</v>
      </c>
      <c r="J21" s="6">
        <v>59806.105311913198</v>
      </c>
      <c r="K21" s="2">
        <v>85370.296209790264</v>
      </c>
      <c r="L21" s="2">
        <v>108592.27021008167</v>
      </c>
      <c r="M21" s="2">
        <v>96283.717595075548</v>
      </c>
      <c r="N21" s="3">
        <f t="shared" si="1"/>
        <v>118744.45048675562</v>
      </c>
      <c r="O21" s="5">
        <f t="shared" si="2"/>
        <v>58314.106377654243</v>
      </c>
      <c r="Q21" s="3">
        <f t="shared" si="3"/>
        <v>118744.45048675562</v>
      </c>
      <c r="S21" s="3">
        <f t="shared" si="4"/>
        <v>58314.106377654243</v>
      </c>
    </row>
    <row r="22" spans="1:19">
      <c r="A22">
        <v>20</v>
      </c>
      <c r="B22" s="2">
        <v>2223.5223880597018</v>
      </c>
      <c r="C22" s="2">
        <v>1111.7611940298509</v>
      </c>
      <c r="D22" s="2">
        <v>1091.2367224494442</v>
      </c>
      <c r="E22" s="2">
        <v>1557.6871582699878</v>
      </c>
      <c r="F22" s="2">
        <v>1981.4009357300361</v>
      </c>
      <c r="G22" s="2">
        <v>1756.816095375613</v>
      </c>
      <c r="H22" s="2">
        <f t="shared" si="0"/>
        <v>20</v>
      </c>
      <c r="I22" s="4">
        <v>124085.45332198331</v>
      </c>
      <c r="J22" s="6">
        <v>60897.342034362642</v>
      </c>
      <c r="K22" s="2">
        <v>86927.983368060246</v>
      </c>
      <c r="L22" s="2">
        <v>110573.67114581171</v>
      </c>
      <c r="M22" s="2">
        <v>98040.533690451164</v>
      </c>
      <c r="N22" s="3">
        <f t="shared" si="1"/>
        <v>121093.71127631771</v>
      </c>
      <c r="O22" s="5">
        <f t="shared" si="2"/>
        <v>59467.802765399596</v>
      </c>
      <c r="Q22" s="3">
        <f t="shared" si="3"/>
        <v>121093.71127631771</v>
      </c>
      <c r="S22" s="3">
        <f t="shared" si="4"/>
        <v>59467.802765399596</v>
      </c>
    </row>
    <row r="23" spans="1:19">
      <c r="A23">
        <v>21</v>
      </c>
      <c r="B23" s="2">
        <v>2128.2285714285713</v>
      </c>
      <c r="C23" s="2">
        <v>1064.1142857142856</v>
      </c>
      <c r="D23" s="2">
        <v>1044.469434344468</v>
      </c>
      <c r="E23" s="2">
        <v>1490.9291372012742</v>
      </c>
      <c r="F23" s="2">
        <v>1896.4837527701775</v>
      </c>
      <c r="G23" s="2">
        <v>1681.5239770023725</v>
      </c>
      <c r="H23" s="2">
        <f t="shared" si="0"/>
        <v>21</v>
      </c>
      <c r="I23" s="4">
        <v>126213.68189341188</v>
      </c>
      <c r="J23" s="6">
        <v>61941.811468707107</v>
      </c>
      <c r="K23" s="2">
        <v>88418.912505261527</v>
      </c>
      <c r="L23" s="2">
        <v>112470.15489858188</v>
      </c>
      <c r="M23" s="2">
        <v>99722.05766745354</v>
      </c>
      <c r="N23" s="3">
        <f t="shared" si="1"/>
        <v>123338.52528614481</v>
      </c>
      <c r="O23" s="5">
        <f t="shared" si="2"/>
        <v>60570.206477156265</v>
      </c>
      <c r="Q23" s="3">
        <f t="shared" si="3"/>
        <v>123338.52528614481</v>
      </c>
      <c r="S23" s="3">
        <f t="shared" si="4"/>
        <v>60570.206477156265</v>
      </c>
    </row>
    <row r="24" spans="1:19">
      <c r="A24">
        <v>22</v>
      </c>
      <c r="B24" s="2">
        <v>2040.7671232876714</v>
      </c>
      <c r="C24" s="2">
        <v>1020.3835616438357</v>
      </c>
      <c r="D24" s="2">
        <v>1001.5460329330507</v>
      </c>
      <c r="E24" s="2">
        <v>1429.6580767683442</v>
      </c>
      <c r="F24" s="2">
        <v>1818.5460643001702</v>
      </c>
      <c r="G24" s="2">
        <v>1612.4202519200828</v>
      </c>
      <c r="H24" s="2">
        <f t="shared" si="0"/>
        <v>22</v>
      </c>
      <c r="I24" s="4">
        <v>128254.44901669955</v>
      </c>
      <c r="J24" s="6">
        <v>62943.357501640159</v>
      </c>
      <c r="K24" s="2">
        <v>89848.570582029875</v>
      </c>
      <c r="L24" s="2">
        <v>114288.70096288205</v>
      </c>
      <c r="M24" s="2">
        <v>101334.47791937362</v>
      </c>
      <c r="N24" s="3">
        <f t="shared" si="1"/>
        <v>125487.78581429402</v>
      </c>
      <c r="O24" s="5">
        <f t="shared" si="2"/>
        <v>61625.684914742407</v>
      </c>
      <c r="Q24" s="3">
        <f t="shared" si="3"/>
        <v>125487.78581429402</v>
      </c>
      <c r="S24" s="3">
        <f t="shared" si="4"/>
        <v>61625.684914742407</v>
      </c>
    </row>
    <row r="25" spans="1:19">
      <c r="A25">
        <v>23</v>
      </c>
      <c r="B25" s="2">
        <v>1960.2105263157898</v>
      </c>
      <c r="C25" s="2">
        <v>980.10526315789491</v>
      </c>
      <c r="D25" s="2">
        <v>962.0113211067461</v>
      </c>
      <c r="E25" s="2">
        <v>1373.2242053169621</v>
      </c>
      <c r="F25" s="2">
        <v>1746.7613512356895</v>
      </c>
      <c r="G25" s="2">
        <v>1548.7720840811317</v>
      </c>
      <c r="H25" s="2">
        <f t="shared" si="0"/>
        <v>23</v>
      </c>
      <c r="I25" s="4">
        <v>130214.65954301534</v>
      </c>
      <c r="J25" s="6">
        <v>63905.368822746903</v>
      </c>
      <c r="K25" s="2">
        <v>91221.794787346837</v>
      </c>
      <c r="L25" s="2">
        <v>116035.46231411774</v>
      </c>
      <c r="M25" s="2">
        <v>102883.25000345476</v>
      </c>
      <c r="N25" s="3">
        <f t="shared" si="1"/>
        <v>127549.29653756692</v>
      </c>
      <c r="O25" s="5">
        <f t="shared" si="2"/>
        <v>62638.070378844743</v>
      </c>
      <c r="Q25" s="3">
        <f t="shared" si="3"/>
        <v>127549.29653756692</v>
      </c>
      <c r="S25" s="3">
        <f t="shared" si="4"/>
        <v>62638.070378844743</v>
      </c>
    </row>
    <row r="26" spans="1:19" s="9" customFormat="1">
      <c r="A26" s="9">
        <v>24</v>
      </c>
      <c r="B26" s="10">
        <v>1885.7721518987344</v>
      </c>
      <c r="C26" s="10">
        <v>942.88607594936718</v>
      </c>
      <c r="D26" s="10">
        <v>925.47924562168009</v>
      </c>
      <c r="E26" s="10">
        <v>1321.0764506846735</v>
      </c>
      <c r="F26" s="10">
        <v>1680.4286416950943</v>
      </c>
      <c r="G26" s="10">
        <v>1489.9579543058999</v>
      </c>
      <c r="H26" s="10">
        <f t="shared" si="0"/>
        <v>24</v>
      </c>
      <c r="I26" s="11">
        <v>132100.43169491406</v>
      </c>
      <c r="J26" s="12">
        <v>64830.848068368585</v>
      </c>
      <c r="K26" s="10">
        <v>92542.871238031512</v>
      </c>
      <c r="L26" s="10">
        <v>117715.89095581284</v>
      </c>
      <c r="M26" s="10">
        <v>104373.20795776065</v>
      </c>
      <c r="N26" s="13">
        <f t="shared" si="1"/>
        <v>129529.9425518076</v>
      </c>
      <c r="O26" s="14">
        <f t="shared" si="2"/>
        <v>63610.744065046114</v>
      </c>
      <c r="P26" s="13"/>
      <c r="Q26" s="3">
        <f t="shared" si="3"/>
        <v>129529.9425518076</v>
      </c>
      <c r="R26" s="14"/>
      <c r="S26" s="3">
        <f t="shared" si="4"/>
        <v>63610.744065046114</v>
      </c>
    </row>
    <row r="27" spans="1:19">
      <c r="A27">
        <v>25</v>
      </c>
      <c r="B27" s="2">
        <v>1816.7804878048782</v>
      </c>
      <c r="C27" s="2">
        <v>908.39024390243912</v>
      </c>
      <c r="D27" s="2">
        <v>891.62024883064328</v>
      </c>
      <c r="E27" s="2">
        <v>1272.7443854157214</v>
      </c>
      <c r="F27" s="2">
        <v>1618.9495450477123</v>
      </c>
      <c r="G27" s="2">
        <v>1435.4472974410492</v>
      </c>
      <c r="H27" s="2">
        <f t="shared" si="0"/>
        <v>25</v>
      </c>
      <c r="I27" s="4">
        <v>133917.21218271894</v>
      </c>
      <c r="J27" s="6">
        <v>65722.468317199222</v>
      </c>
      <c r="K27" s="2">
        <v>93815.615623447229</v>
      </c>
      <c r="L27" s="2">
        <v>119334.84050086055</v>
      </c>
      <c r="M27" s="2">
        <v>105808.65525520169</v>
      </c>
      <c r="N27" s="3">
        <f t="shared" si="1"/>
        <v>131435.82911494139</v>
      </c>
      <c r="O27" s="5">
        <f t="shared" si="2"/>
        <v>64546.704199020714</v>
      </c>
      <c r="Q27" s="3">
        <f t="shared" si="3"/>
        <v>131435.82911494139</v>
      </c>
      <c r="S27" s="3">
        <f t="shared" si="4"/>
        <v>64546.704199020714</v>
      </c>
    </row>
    <row r="28" spans="1:19">
      <c r="A28">
        <v>26</v>
      </c>
      <c r="B28" s="2">
        <v>1752.6588235294121</v>
      </c>
      <c r="C28" s="2">
        <v>876.32941176470604</v>
      </c>
      <c r="D28" s="2">
        <v>860.15129887191506</v>
      </c>
      <c r="E28" s="2">
        <v>1227.8239953422262</v>
      </c>
      <c r="F28" s="2">
        <v>1561.8101493401464</v>
      </c>
      <c r="G28" s="2">
        <v>1384.7844516490127</v>
      </c>
      <c r="H28" s="2">
        <f t="shared" si="0"/>
        <v>26</v>
      </c>
      <c r="I28" s="4">
        <v>135669.87100624834</v>
      </c>
      <c r="J28" s="6">
        <v>66582.619616071141</v>
      </c>
      <c r="K28" s="2">
        <v>95043.43961878946</v>
      </c>
      <c r="L28" s="2">
        <v>120896.6506502007</v>
      </c>
      <c r="M28" s="2">
        <v>107193.43970685071</v>
      </c>
      <c r="N28" s="3">
        <f t="shared" si="1"/>
        <v>133272.39514557054</v>
      </c>
      <c r="O28" s="5">
        <f t="shared" si="2"/>
        <v>65448.621774458406</v>
      </c>
      <c r="Q28" s="3">
        <f t="shared" si="3"/>
        <v>133272.39514557054</v>
      </c>
      <c r="S28" s="3">
        <f t="shared" si="4"/>
        <v>65448.621774458406</v>
      </c>
    </row>
    <row r="29" spans="1:19">
      <c r="A29">
        <v>27</v>
      </c>
      <c r="B29" s="2">
        <v>1692.909090909091</v>
      </c>
      <c r="C29" s="2">
        <v>846.4545454545455</v>
      </c>
      <c r="D29" s="2">
        <v>830.8279591376438</v>
      </c>
      <c r="E29" s="2">
        <v>1185.9663591373762</v>
      </c>
      <c r="F29" s="2">
        <v>1508.5666215217318</v>
      </c>
      <c r="G29" s="2">
        <v>1337.5758907973411</v>
      </c>
      <c r="H29" s="2">
        <f t="shared" si="0"/>
        <v>27</v>
      </c>
      <c r="I29" s="4">
        <v>137362.78009715743</v>
      </c>
      <c r="J29" s="6">
        <v>67413.447575208789</v>
      </c>
      <c r="K29" s="2">
        <v>96229.405977926843</v>
      </c>
      <c r="L29" s="2">
        <v>122405.21727172243</v>
      </c>
      <c r="M29" s="2">
        <v>108531.01559764805</v>
      </c>
      <c r="N29" s="3">
        <f t="shared" si="1"/>
        <v>135044.5067960397</v>
      </c>
      <c r="O29" s="5">
        <f t="shared" si="2"/>
        <v>66318.886505777919</v>
      </c>
      <c r="Q29" s="3">
        <f t="shared" si="3"/>
        <v>135044.5067960397</v>
      </c>
      <c r="S29" s="3">
        <f t="shared" si="4"/>
        <v>66318.886505777919</v>
      </c>
    </row>
    <row r="30" spans="1:19">
      <c r="A30">
        <v>28</v>
      </c>
      <c r="B30" s="2">
        <v>1637.0989010989013</v>
      </c>
      <c r="C30" s="2">
        <v>818.54945054945063</v>
      </c>
      <c r="D30" s="2">
        <v>803.43802641882132</v>
      </c>
      <c r="E30" s="2">
        <v>1146.868567077903</v>
      </c>
      <c r="F30" s="2">
        <v>1458.8336559770598</v>
      </c>
      <c r="G30" s="2">
        <v>1293.4799823095173</v>
      </c>
      <c r="H30" s="2">
        <f t="shared" si="0"/>
        <v>28</v>
      </c>
      <c r="I30" s="4">
        <v>138999.87899825635</v>
      </c>
      <c r="J30" s="6">
        <v>68216.885601627611</v>
      </c>
      <c r="K30" s="2">
        <v>97376.274545004751</v>
      </c>
      <c r="L30" s="2">
        <v>123864.05092769949</v>
      </c>
      <c r="M30" s="2">
        <v>109824.49557995757</v>
      </c>
      <c r="N30" s="3">
        <f t="shared" si="1"/>
        <v>136756.53515566161</v>
      </c>
      <c r="O30" s="5">
        <f t="shared" si="2"/>
        <v>67159.644987334803</v>
      </c>
      <c r="Q30" s="3">
        <f t="shared" si="3"/>
        <v>136756.53515566161</v>
      </c>
      <c r="S30" s="3">
        <f t="shared" si="4"/>
        <v>67159.644987334803</v>
      </c>
    </row>
    <row r="31" spans="1:19">
      <c r="A31">
        <v>29</v>
      </c>
      <c r="B31" s="2">
        <v>1584.8510638297873</v>
      </c>
      <c r="C31" s="2">
        <v>792.42553191489367</v>
      </c>
      <c r="D31" s="2">
        <v>777.79638727779434</v>
      </c>
      <c r="E31" s="2">
        <v>1110.2663787669051</v>
      </c>
      <c r="F31" s="2">
        <v>1412.2751350416211</v>
      </c>
      <c r="G31" s="2">
        <v>1252.1987062783614</v>
      </c>
      <c r="H31" s="2">
        <f t="shared" si="0"/>
        <v>29</v>
      </c>
      <c r="I31" s="4">
        <v>140584.73006208614</v>
      </c>
      <c r="J31" s="6">
        <v>68994.681988905402</v>
      </c>
      <c r="K31" s="2">
        <v>98486.540923771652</v>
      </c>
      <c r="L31" s="2">
        <v>125276.32606274111</v>
      </c>
      <c r="M31" s="2">
        <v>111076.69428623593</v>
      </c>
      <c r="N31" s="3">
        <f t="shared" si="1"/>
        <v>138412.42120822266</v>
      </c>
      <c r="O31" s="5">
        <f t="shared" si="2"/>
        <v>67972.832593344981</v>
      </c>
      <c r="Q31" s="3">
        <f t="shared" si="3"/>
        <v>138412.42120822266</v>
      </c>
      <c r="S31" s="3">
        <f t="shared" si="4"/>
        <v>67972.832593344981</v>
      </c>
    </row>
    <row r="32" spans="1:19">
      <c r="A32">
        <v>30</v>
      </c>
      <c r="B32" s="2">
        <v>1535.8350515463919</v>
      </c>
      <c r="C32" s="2">
        <v>767.91752577319596</v>
      </c>
      <c r="D32" s="2">
        <v>753.74082890837747</v>
      </c>
      <c r="E32" s="2">
        <v>1075.9282433411242</v>
      </c>
      <c r="F32" s="2">
        <v>1368.5965226176531</v>
      </c>
      <c r="G32" s="2">
        <v>1213.4709112388243</v>
      </c>
      <c r="H32" s="2">
        <f t="shared" si="0"/>
        <v>30</v>
      </c>
      <c r="I32" s="4">
        <v>142120.56511363253</v>
      </c>
      <c r="J32" s="6">
        <v>69748.422817813786</v>
      </c>
      <c r="K32" s="2">
        <v>99562.46916711278</v>
      </c>
      <c r="L32" s="2">
        <v>126644.92258535876</v>
      </c>
      <c r="M32" s="2">
        <v>112290.16519747475</v>
      </c>
      <c r="N32" s="3">
        <f t="shared" si="1"/>
        <v>140015.73047310894</v>
      </c>
      <c r="O32" s="5">
        <f t="shared" si="2"/>
        <v>68760.200311546578</v>
      </c>
      <c r="Q32" s="3">
        <f t="shared" si="3"/>
        <v>140015.73047310894</v>
      </c>
      <c r="S32" s="3">
        <f t="shared" si="4"/>
        <v>68760.200311546578</v>
      </c>
    </row>
    <row r="33" spans="1:19">
      <c r="A33">
        <v>31</v>
      </c>
      <c r="B33" s="2">
        <v>1489.7600000000002</v>
      </c>
      <c r="C33" s="2">
        <v>744.88000000000011</v>
      </c>
      <c r="D33" s="2">
        <v>731.12860404112632</v>
      </c>
      <c r="E33" s="2">
        <v>1043.6503960408907</v>
      </c>
      <c r="F33" s="2">
        <v>1327.5386269391242</v>
      </c>
      <c r="G33" s="2">
        <v>1177.0667839016605</v>
      </c>
      <c r="H33" s="2">
        <f t="shared" si="0"/>
        <v>31</v>
      </c>
      <c r="I33" s="4">
        <v>143610.32511363254</v>
      </c>
      <c r="J33" s="6">
        <v>70479.551421854907</v>
      </c>
      <c r="K33" s="2">
        <v>100606.11956315367</v>
      </c>
      <c r="L33" s="2">
        <v>127972.46121229789</v>
      </c>
      <c r="M33" s="2">
        <v>113467.23198137642</v>
      </c>
      <c r="N33" s="3">
        <f t="shared" si="1"/>
        <v>141569.69923578002</v>
      </c>
      <c r="O33" s="5">
        <f t="shared" si="2"/>
        <v>69523.337446482066</v>
      </c>
      <c r="Q33" s="3">
        <f t="shared" si="3"/>
        <v>141569.69923578002</v>
      </c>
      <c r="S33" s="3">
        <f t="shared" si="4"/>
        <v>69523.337446482066</v>
      </c>
    </row>
    <row r="34" spans="1:19">
      <c r="A34">
        <v>32</v>
      </c>
      <c r="B34" s="2">
        <v>1446.3689320388353</v>
      </c>
      <c r="C34" s="2">
        <v>723.18446601941764</v>
      </c>
      <c r="D34" s="2">
        <v>709.83359615643394</v>
      </c>
      <c r="E34" s="2">
        <v>1013.2528116901855</v>
      </c>
      <c r="F34" s="2">
        <v>1288.8724533389552</v>
      </c>
      <c r="G34" s="2">
        <v>1142.7832853414175</v>
      </c>
      <c r="H34" s="2">
        <f t="shared" si="0"/>
        <v>32</v>
      </c>
      <c r="I34" s="4">
        <v>145056.69404567138</v>
      </c>
      <c r="J34" s="6">
        <v>71189.385018011337</v>
      </c>
      <c r="K34" s="2">
        <v>101619.37237484385</v>
      </c>
      <c r="L34" s="2">
        <v>129261.33366563685</v>
      </c>
      <c r="M34" s="2">
        <v>114610.01526671783</v>
      </c>
      <c r="N34" s="3">
        <f t="shared" si="1"/>
        <v>143077.27387483892</v>
      </c>
      <c r="O34" s="5">
        <f t="shared" si="2"/>
        <v>70263.690932594167</v>
      </c>
      <c r="Q34" s="3">
        <f t="shared" si="3"/>
        <v>143077.27387483892</v>
      </c>
      <c r="S34" s="3">
        <f t="shared" si="4"/>
        <v>70263.690932594167</v>
      </c>
    </row>
    <row r="35" spans="1:19">
      <c r="A35">
        <v>33</v>
      </c>
      <c r="B35" s="2">
        <v>1405.433962264151</v>
      </c>
      <c r="C35" s="2">
        <v>702.71698113207549</v>
      </c>
      <c r="D35" s="2">
        <v>689.74396607653421</v>
      </c>
      <c r="E35" s="2">
        <v>984.57584532159524</v>
      </c>
      <c r="F35" s="2">
        <v>1252.3949310746455</v>
      </c>
      <c r="G35" s="2">
        <v>1110.4403621713777</v>
      </c>
      <c r="H35" s="2">
        <f t="shared" si="0"/>
        <v>33</v>
      </c>
      <c r="I35" s="4">
        <v>146462.12800793553</v>
      </c>
      <c r="J35" s="6">
        <v>71879.128984087874</v>
      </c>
      <c r="K35" s="2">
        <v>102603.94822016545</v>
      </c>
      <c r="L35" s="2">
        <v>130513.72859671149</v>
      </c>
      <c r="M35" s="2">
        <v>115720.45562888921</v>
      </c>
      <c r="N35" s="3">
        <f t="shared" si="1"/>
        <v>144541.14448693817</v>
      </c>
      <c r="O35" s="5">
        <f t="shared" si="2"/>
        <v>70982.581847050824</v>
      </c>
      <c r="Q35" s="3">
        <f t="shared" si="3"/>
        <v>144541.14448693817</v>
      </c>
      <c r="S35" s="3">
        <f t="shared" si="4"/>
        <v>70982.581847050824</v>
      </c>
    </row>
    <row r="36" spans="1:19">
      <c r="A36">
        <v>34</v>
      </c>
      <c r="B36" s="2">
        <v>1366.7522935779816</v>
      </c>
      <c r="C36" s="2">
        <v>683.37614678899081</v>
      </c>
      <c r="D36" s="2">
        <v>670.76018719369438</v>
      </c>
      <c r="E36" s="2">
        <v>957.47742756045079</v>
      </c>
      <c r="F36" s="2">
        <v>1217.9253458157098</v>
      </c>
      <c r="G36" s="2">
        <v>1079.8777833960185</v>
      </c>
      <c r="H36" s="2">
        <f t="shared" si="0"/>
        <v>34</v>
      </c>
      <c r="I36" s="4">
        <v>147828.88030151351</v>
      </c>
      <c r="J36" s="6">
        <v>72549.889171281568</v>
      </c>
      <c r="K36" s="2">
        <v>103561.4256477259</v>
      </c>
      <c r="L36" s="2">
        <v>131731.65394252719</v>
      </c>
      <c r="M36" s="2">
        <v>116800.33341228522</v>
      </c>
      <c r="N36" s="3">
        <f t="shared" si="1"/>
        <v>145963.77377375631</v>
      </c>
      <c r="O36" s="5">
        <f t="shared" si="2"/>
        <v>71681.219595824878</v>
      </c>
      <c r="Q36" s="3">
        <f t="shared" si="3"/>
        <v>145963.77377375631</v>
      </c>
      <c r="S36" s="3">
        <f t="shared" si="4"/>
        <v>71681.219595824878</v>
      </c>
    </row>
    <row r="37" spans="1:19">
      <c r="A37">
        <v>35</v>
      </c>
      <c r="B37" s="2">
        <v>1330.1428571428573</v>
      </c>
      <c r="C37" s="2">
        <v>665.07142857142867</v>
      </c>
      <c r="D37" s="2">
        <v>652.79339646529138</v>
      </c>
      <c r="E37" s="2">
        <v>931.83071075079533</v>
      </c>
      <c r="F37" s="2">
        <v>1185.3023454813606</v>
      </c>
      <c r="G37" s="2">
        <v>1050.952485626482</v>
      </c>
      <c r="H37" s="2">
        <f t="shared" si="0"/>
        <v>35</v>
      </c>
      <c r="I37" s="4">
        <v>149159.02315865638</v>
      </c>
      <c r="J37" s="6">
        <v>73202.682567746859</v>
      </c>
      <c r="K37" s="2">
        <v>104493.2563584767</v>
      </c>
      <c r="L37" s="2">
        <v>132916.95628800854</v>
      </c>
      <c r="M37" s="2">
        <v>117851.2858979117</v>
      </c>
      <c r="N37" s="3">
        <f t="shared" si="1"/>
        <v>147347.42197025608</v>
      </c>
      <c r="O37" s="5">
        <f t="shared" si="2"/>
        <v>72360.714155690119</v>
      </c>
      <c r="Q37" s="3">
        <f t="shared" si="3"/>
        <v>147347.42197025608</v>
      </c>
      <c r="S37" s="3">
        <f t="shared" si="4"/>
        <v>72360.714155690119</v>
      </c>
    </row>
    <row r="38" spans="1:19">
      <c r="A38">
        <v>36</v>
      </c>
      <c r="B38" s="2">
        <v>1295.4434782608696</v>
      </c>
      <c r="C38" s="2">
        <v>647.7217391304348</v>
      </c>
      <c r="D38" s="2">
        <v>635.76400351402367</v>
      </c>
      <c r="E38" s="2">
        <v>907.52208351381853</v>
      </c>
      <c r="F38" s="2">
        <v>1154.3814147296732</v>
      </c>
      <c r="G38" s="2">
        <v>1023.5363338275308</v>
      </c>
      <c r="H38" s="2">
        <f t="shared" si="0"/>
        <v>36</v>
      </c>
      <c r="I38" s="4">
        <v>150454.46663691723</v>
      </c>
      <c r="J38" s="6">
        <v>73838.44657126088</v>
      </c>
      <c r="K38" s="2">
        <v>105400.77844199052</v>
      </c>
      <c r="L38" s="2">
        <v>134071.33770273821</v>
      </c>
      <c r="M38" s="2">
        <v>118874.82223173924</v>
      </c>
      <c r="N38" s="3">
        <f t="shared" si="1"/>
        <v>148694.16844790522</v>
      </c>
      <c r="O38" s="5">
        <f t="shared" si="2"/>
        <v>73022.086683327725</v>
      </c>
      <c r="Q38" s="3">
        <f t="shared" si="3"/>
        <v>148694.16844790522</v>
      </c>
      <c r="S38" s="3">
        <f t="shared" si="4"/>
        <v>73022.086683327725</v>
      </c>
    </row>
    <row r="39" spans="1:19">
      <c r="A39">
        <v>37</v>
      </c>
      <c r="B39" s="2">
        <v>1262.5084745762715</v>
      </c>
      <c r="C39" s="2">
        <v>631.25423728813576</v>
      </c>
      <c r="D39" s="2">
        <v>619.60051189926025</v>
      </c>
      <c r="E39" s="2">
        <v>884.44948817024704</v>
      </c>
      <c r="F39" s="2">
        <v>1125.0327346941731</v>
      </c>
      <c r="G39" s="2">
        <v>997.51422364547523</v>
      </c>
      <c r="H39" s="2">
        <f t="shared" si="0"/>
        <v>37</v>
      </c>
      <c r="I39" s="4">
        <v>151716.97511149349</v>
      </c>
      <c r="J39" s="6">
        <v>74458.047083160141</v>
      </c>
      <c r="K39" s="2">
        <v>106285.22793016076</v>
      </c>
      <c r="L39" s="2">
        <v>135196.37043743237</v>
      </c>
      <c r="M39" s="2">
        <v>119872.33645538471</v>
      </c>
      <c r="N39" s="3">
        <f t="shared" si="1"/>
        <v>150005.93051126989</v>
      </c>
      <c r="O39" s="5">
        <f t="shared" si="2"/>
        <v>73666.278746128577</v>
      </c>
      <c r="Q39" s="3">
        <f t="shared" si="3"/>
        <v>150005.93051126989</v>
      </c>
      <c r="S39" s="3">
        <f t="shared" si="4"/>
        <v>73666.278746128577</v>
      </c>
    </row>
    <row r="40" spans="1:19">
      <c r="A40">
        <v>38</v>
      </c>
      <c r="B40" s="2">
        <v>1231.2066115702482</v>
      </c>
      <c r="C40" s="2">
        <v>615.60330578512412</v>
      </c>
      <c r="D40" s="2">
        <v>604.2385157364688</v>
      </c>
      <c r="E40" s="2">
        <v>862.5209884635467</v>
      </c>
      <c r="F40" s="2">
        <v>1097.139361106714</v>
      </c>
      <c r="G40" s="2">
        <v>972.78246603442994</v>
      </c>
      <c r="H40" s="2">
        <f t="shared" si="0"/>
        <v>38</v>
      </c>
      <c r="I40" s="4">
        <v>152948.18172306375</v>
      </c>
      <c r="J40" s="6">
        <v>75062.285598896604</v>
      </c>
      <c r="K40" s="2">
        <v>107147.7489186243</v>
      </c>
      <c r="L40" s="2">
        <v>136293.50979853907</v>
      </c>
      <c r="M40" s="2">
        <v>120845.11892141914</v>
      </c>
      <c r="N40" s="3">
        <f t="shared" si="1"/>
        <v>151284.47981447654</v>
      </c>
      <c r="O40" s="5">
        <f t="shared" si="2"/>
        <v>74294.160384138973</v>
      </c>
      <c r="Q40" s="3">
        <f t="shared" si="3"/>
        <v>151284.47981447654</v>
      </c>
      <c r="S40" s="3">
        <f t="shared" si="4"/>
        <v>74294.160384138973</v>
      </c>
    </row>
    <row r="41" spans="1:19">
      <c r="A41">
        <v>39</v>
      </c>
      <c r="B41" s="2">
        <v>1201.4193548387098</v>
      </c>
      <c r="C41" s="2">
        <v>600.70967741935488</v>
      </c>
      <c r="D41" s="2">
        <v>589.61984196865046</v>
      </c>
      <c r="E41" s="2">
        <v>841.65354519426739</v>
      </c>
      <c r="F41" s="2">
        <v>1070.5956668863903</v>
      </c>
      <c r="G41" s="2">
        <v>949.24740637230673</v>
      </c>
      <c r="H41" s="2">
        <f t="shared" si="0"/>
        <v>39</v>
      </c>
      <c r="I41" s="4">
        <v>154149.60107790245</v>
      </c>
      <c r="J41" s="6">
        <v>75651.905440865259</v>
      </c>
      <c r="K41" s="2">
        <v>107989.40246381857</v>
      </c>
      <c r="L41" s="2">
        <v>137364.10546542547</v>
      </c>
      <c r="M41" s="2">
        <v>121794.36632779145</v>
      </c>
      <c r="N41" s="3">
        <f t="shared" si="1"/>
        <v>152531.45675029032</v>
      </c>
      <c r="O41" s="5">
        <f t="shared" si="2"/>
        <v>74906.537176380196</v>
      </c>
      <c r="Q41" s="3">
        <f t="shared" si="3"/>
        <v>152531.45675029032</v>
      </c>
      <c r="S41" s="3">
        <f t="shared" si="4"/>
        <v>74906.537176380196</v>
      </c>
    </row>
    <row r="42" spans="1:19">
      <c r="A42">
        <v>40</v>
      </c>
      <c r="B42" s="2">
        <v>1173.0393700787404</v>
      </c>
      <c r="C42" s="2">
        <v>586.51968503937019</v>
      </c>
      <c r="D42" s="2">
        <v>575.69181420561176</v>
      </c>
      <c r="E42" s="2">
        <v>821.77196538652868</v>
      </c>
      <c r="F42" s="2">
        <v>1045.3060054638772</v>
      </c>
      <c r="G42" s="2">
        <v>926.8242392926461</v>
      </c>
      <c r="H42" s="2">
        <f t="shared" si="0"/>
        <v>40</v>
      </c>
      <c r="I42" s="4">
        <v>155322.64044798119</v>
      </c>
      <c r="J42" s="6">
        <v>76227.597255070868</v>
      </c>
      <c r="K42" s="2">
        <v>108811.1744292051</v>
      </c>
      <c r="L42" s="2">
        <v>138409.41147088935</v>
      </c>
      <c r="M42" s="2">
        <v>122721.19056708409</v>
      </c>
      <c r="N42" s="3">
        <f t="shared" si="1"/>
        <v>153748.38310503287</v>
      </c>
      <c r="O42" s="5">
        <f t="shared" si="2"/>
        <v>75504.156455540884</v>
      </c>
      <c r="Q42" s="3">
        <f t="shared" si="3"/>
        <v>153748.38310503287</v>
      </c>
      <c r="S42" s="3">
        <f t="shared" si="4"/>
        <v>75504.156455540884</v>
      </c>
    </row>
    <row r="43" spans="1:19">
      <c r="A43">
        <v>41</v>
      </c>
      <c r="B43" s="2">
        <v>1145.969230769231</v>
      </c>
      <c r="C43" s="2">
        <v>572.98461538461549</v>
      </c>
      <c r="D43" s="2">
        <v>562.40661849317428</v>
      </c>
      <c r="E43" s="2">
        <v>802.80799695453175</v>
      </c>
      <c r="F43" s="2">
        <v>1021.1835591839416</v>
      </c>
      <c r="G43" s="2">
        <v>905.43598761666169</v>
      </c>
      <c r="H43" s="2">
        <f t="shared" si="0"/>
        <v>41</v>
      </c>
      <c r="I43" s="4">
        <v>156468.60967875042</v>
      </c>
      <c r="J43" s="6">
        <v>76790.003873564041</v>
      </c>
      <c r="K43" s="2">
        <v>109613.98242615964</v>
      </c>
      <c r="L43" s="2">
        <v>139430.59503007328</v>
      </c>
      <c r="M43" s="2">
        <v>123626.62655470075</v>
      </c>
      <c r="N43" s="3">
        <f t="shared" si="1"/>
        <v>154936.67322424767</v>
      </c>
      <c r="O43" s="5">
        <f t="shared" si="2"/>
        <v>76087.712791313708</v>
      </c>
      <c r="Q43" s="3">
        <f t="shared" si="3"/>
        <v>154936.67322424767</v>
      </c>
      <c r="S43" s="3">
        <f t="shared" si="4"/>
        <v>76087.712791313708</v>
      </c>
    </row>
    <row r="44" spans="1:19">
      <c r="A44">
        <v>42</v>
      </c>
      <c r="B44" s="2">
        <v>1120.1203007518798</v>
      </c>
      <c r="C44" s="2">
        <v>560.06015037593988</v>
      </c>
      <c r="D44" s="2">
        <v>549.72075491814041</v>
      </c>
      <c r="E44" s="2">
        <v>784.69954589540714</v>
      </c>
      <c r="F44" s="2">
        <v>998.14934356325102</v>
      </c>
      <c r="G44" s="2">
        <v>885.01261947493242</v>
      </c>
      <c r="H44" s="2">
        <f t="shared" si="0"/>
        <v>42</v>
      </c>
      <c r="I44" s="4">
        <v>157588.7299795023</v>
      </c>
      <c r="J44" s="6">
        <v>77339.724628482189</v>
      </c>
      <c r="K44" s="2">
        <v>110398.68197205504</v>
      </c>
      <c r="L44" s="2">
        <v>140428.74437363652</v>
      </c>
      <c r="M44" s="2">
        <v>124511.63917417568</v>
      </c>
      <c r="N44" s="3">
        <f t="shared" si="1"/>
        <v>156097.64389459495</v>
      </c>
      <c r="O44" s="5">
        <f t="shared" si="2"/>
        <v>76657.852843286237</v>
      </c>
      <c r="Q44" s="3">
        <f t="shared" si="3"/>
        <v>156097.64389459495</v>
      </c>
      <c r="S44" s="3">
        <f t="shared" si="4"/>
        <v>76657.852843286237</v>
      </c>
    </row>
    <row r="45" spans="1:19">
      <c r="A45">
        <v>43</v>
      </c>
      <c r="B45" s="2">
        <v>1095.4117647058824</v>
      </c>
      <c r="C45" s="2">
        <v>547.70588235294122</v>
      </c>
      <c r="D45" s="2">
        <v>537.59456179494578</v>
      </c>
      <c r="E45" s="2">
        <v>767.38999708889048</v>
      </c>
      <c r="F45" s="2">
        <v>976.13134333759115</v>
      </c>
      <c r="G45" s="2">
        <v>865.49028228063253</v>
      </c>
      <c r="H45" s="2">
        <f t="shared" si="0"/>
        <v>43</v>
      </c>
      <c r="I45" s="4">
        <v>158684.14174420817</v>
      </c>
      <c r="J45" s="6">
        <v>77877.319190277136</v>
      </c>
      <c r="K45" s="2">
        <v>111166.07196914393</v>
      </c>
      <c r="L45" s="2">
        <v>141404.87571697411</v>
      </c>
      <c r="M45" s="2">
        <v>125377.12945645631</v>
      </c>
      <c r="N45" s="3">
        <f t="shared" si="1"/>
        <v>157232.52311512388</v>
      </c>
      <c r="O45" s="5">
        <f t="shared" si="2"/>
        <v>77215.179668417288</v>
      </c>
      <c r="Q45" s="3">
        <f t="shared" si="3"/>
        <v>157232.52311512388</v>
      </c>
      <c r="S45" s="3">
        <f t="shared" si="4"/>
        <v>77215.179668417288</v>
      </c>
    </row>
    <row r="46" spans="1:19">
      <c r="A46">
        <v>44</v>
      </c>
      <c r="B46" s="2">
        <v>1071.769784172662</v>
      </c>
      <c r="C46" s="2">
        <v>535.88489208633098</v>
      </c>
      <c r="D46" s="2">
        <v>525.99180146843707</v>
      </c>
      <c r="E46" s="2">
        <v>750.82762305100152</v>
      </c>
      <c r="F46" s="2">
        <v>955.06376038785936</v>
      </c>
      <c r="G46" s="2">
        <v>846.81063590047563</v>
      </c>
      <c r="H46" s="2">
        <f t="shared" si="0"/>
        <v>44</v>
      </c>
      <c r="I46" s="4">
        <v>159755.91152838082</v>
      </c>
      <c r="J46" s="6">
        <v>78403.310991745573</v>
      </c>
      <c r="K46" s="2">
        <v>111916.89959219492</v>
      </c>
      <c r="L46" s="2">
        <v>142359.93947736197</v>
      </c>
      <c r="M46" s="2">
        <v>126223.94009235679</v>
      </c>
      <c r="N46" s="3">
        <f t="shared" si="1"/>
        <v>158342.45790442204</v>
      </c>
      <c r="O46" s="5">
        <f t="shared" si="2"/>
        <v>77760.256555042914</v>
      </c>
      <c r="Q46" s="3">
        <f t="shared" si="3"/>
        <v>158342.45790442204</v>
      </c>
      <c r="S46" s="3">
        <f t="shared" si="4"/>
        <v>77760.256555042914</v>
      </c>
    </row>
    <row r="47" spans="1:19">
      <c r="A47">
        <v>45</v>
      </c>
      <c r="B47" s="2">
        <v>1049.1267605633805</v>
      </c>
      <c r="C47" s="2">
        <v>524.56338028169023</v>
      </c>
      <c r="D47" s="2">
        <v>514.87929862051158</v>
      </c>
      <c r="E47" s="2">
        <v>734.9650676344304</v>
      </c>
      <c r="F47" s="2">
        <v>934.88635699938322</v>
      </c>
      <c r="G47" s="2">
        <v>828.92027035328169</v>
      </c>
      <c r="H47" s="2">
        <f t="shared" si="0"/>
        <v>45</v>
      </c>
      <c r="I47" s="4">
        <v>160805.0382889442</v>
      </c>
      <c r="J47" s="6">
        <v>78918.190290366081</v>
      </c>
      <c r="K47" s="2">
        <v>112651.86465982936</v>
      </c>
      <c r="L47" s="2">
        <v>143294.82583436134</v>
      </c>
      <c r="M47" s="2">
        <v>127052.86036271007</v>
      </c>
      <c r="N47" s="3">
        <f t="shared" si="1"/>
        <v>159428.52126808072</v>
      </c>
      <c r="O47" s="5">
        <f t="shared" si="2"/>
        <v>78293.610444522812</v>
      </c>
      <c r="Q47" s="3">
        <f t="shared" si="3"/>
        <v>159428.52126808072</v>
      </c>
      <c r="S47" s="3">
        <f t="shared" si="4"/>
        <v>78293.610444522812</v>
      </c>
    </row>
    <row r="48" spans="1:19">
      <c r="A48">
        <v>46</v>
      </c>
      <c r="B48" s="2">
        <v>1027.4206896551725</v>
      </c>
      <c r="C48" s="2">
        <v>513.71034482758625</v>
      </c>
      <c r="D48" s="2">
        <v>504.22662347663947</v>
      </c>
      <c r="E48" s="2">
        <v>719.75889382130458</v>
      </c>
      <c r="F48" s="2">
        <v>915.54388064767193</v>
      </c>
      <c r="G48" s="2">
        <v>811.77019579424871</v>
      </c>
      <c r="H48" s="2">
        <f t="shared" si="0"/>
        <v>46</v>
      </c>
      <c r="I48" s="4">
        <v>161832.45897859937</v>
      </c>
      <c r="J48" s="6">
        <v>79422.416913842724</v>
      </c>
      <c r="K48" s="2">
        <v>113371.62355365066</v>
      </c>
      <c r="L48" s="2">
        <v>144210.369715009</v>
      </c>
      <c r="M48" s="2">
        <v>127864.63055850432</v>
      </c>
      <c r="N48" s="3">
        <f t="shared" si="1"/>
        <v>160491.71843257127</v>
      </c>
      <c r="O48" s="5">
        <f t="shared" si="2"/>
        <v>78815.734992629048</v>
      </c>
      <c r="Q48" s="3">
        <f t="shared" si="3"/>
        <v>160491.71843257127</v>
      </c>
      <c r="S48" s="3">
        <f t="shared" si="4"/>
        <v>78815.734992629048</v>
      </c>
    </row>
    <row r="49" spans="1:19">
      <c r="A49">
        <v>47</v>
      </c>
      <c r="B49" s="2">
        <v>1006.5945945945947</v>
      </c>
      <c r="C49" s="2">
        <v>503.29729729729735</v>
      </c>
      <c r="D49" s="2">
        <v>494.00581354130213</v>
      </c>
      <c r="E49" s="2">
        <v>705.16918651411584</v>
      </c>
      <c r="F49" s="2">
        <v>896.98555874265151</v>
      </c>
      <c r="G49" s="2">
        <v>795.31539452814923</v>
      </c>
      <c r="H49" s="2">
        <f t="shared" si="0"/>
        <v>47</v>
      </c>
      <c r="I49" s="4">
        <v>162839.05357319396</v>
      </c>
      <c r="J49" s="6">
        <v>79916.422727384022</v>
      </c>
      <c r="K49" s="2">
        <v>114076.79274016478</v>
      </c>
      <c r="L49" s="2">
        <v>145107.35527375166</v>
      </c>
      <c r="M49" s="2">
        <v>128659.94595303247</v>
      </c>
      <c r="N49" s="3">
        <f t="shared" si="1"/>
        <v>161532.9924363094</v>
      </c>
      <c r="O49" s="5">
        <f t="shared" si="2"/>
        <v>79327.093315256905</v>
      </c>
      <c r="Q49" s="3">
        <f t="shared" si="3"/>
        <v>161532.9924363094</v>
      </c>
      <c r="S49" s="3">
        <f t="shared" si="4"/>
        <v>79327.093315256905</v>
      </c>
    </row>
    <row r="50" spans="1:19">
      <c r="A50">
        <v>48</v>
      </c>
      <c r="B50" s="2">
        <v>986.59602649006638</v>
      </c>
      <c r="C50" s="2">
        <v>493.29801324503319</v>
      </c>
      <c r="D50" s="2">
        <v>484.1911285040573</v>
      </c>
      <c r="E50" s="2">
        <v>691.15920267608692</v>
      </c>
      <c r="F50" s="2">
        <v>879.16465360206905</v>
      </c>
      <c r="G50" s="2">
        <v>779.51442642494067</v>
      </c>
      <c r="H50" s="2">
        <f t="shared" si="0"/>
        <v>48</v>
      </c>
      <c r="I50" s="4">
        <v>163825.64959968402</v>
      </c>
      <c r="J50" s="6">
        <v>80400.613855888078</v>
      </c>
      <c r="K50" s="2">
        <v>114767.95194284087</v>
      </c>
      <c r="L50" s="2">
        <v>145986.51992735371</v>
      </c>
      <c r="M50" s="2">
        <v>129439.46037945741</v>
      </c>
      <c r="N50" s="3">
        <f t="shared" si="1"/>
        <v>162553.22915584414</v>
      </c>
      <c r="O50" s="5">
        <f t="shared" si="2"/>
        <v>79828.120456731369</v>
      </c>
      <c r="Q50" s="3">
        <f t="shared" si="3"/>
        <v>162553.22915584414</v>
      </c>
      <c r="S50" s="3">
        <f t="shared" si="4"/>
        <v>79828.120456731369</v>
      </c>
    </row>
    <row r="51" spans="1:19">
      <c r="A51">
        <v>49</v>
      </c>
      <c r="B51" s="2">
        <v>967.37662337662357</v>
      </c>
      <c r="C51" s="2">
        <v>483.68831168831179</v>
      </c>
      <c r="D51" s="2">
        <v>474.75883379294004</v>
      </c>
      <c r="E51" s="2">
        <v>677.69506236421557</v>
      </c>
      <c r="F51" s="2">
        <v>862.03806944098994</v>
      </c>
      <c r="G51" s="2">
        <v>764.32908045562397</v>
      </c>
      <c r="H51" s="2">
        <f t="shared" si="0"/>
        <v>49</v>
      </c>
      <c r="I51" s="4">
        <v>164793.02622306065</v>
      </c>
      <c r="J51" s="6">
        <v>80875.372689681011</v>
      </c>
      <c r="K51" s="2">
        <v>115445.64700520509</v>
      </c>
      <c r="L51" s="2">
        <v>146848.5579967947</v>
      </c>
      <c r="M51" s="2">
        <v>130203.78945991304</v>
      </c>
      <c r="N51" s="3">
        <f t="shared" si="1"/>
        <v>163553.2618343012</v>
      </c>
      <c r="O51" s="5">
        <f t="shared" si="2"/>
        <v>80319.225613676637</v>
      </c>
      <c r="Q51" s="3">
        <f t="shared" si="3"/>
        <v>163553.2618343012</v>
      </c>
      <c r="S51" s="3">
        <f t="shared" si="4"/>
        <v>80319.225613676637</v>
      </c>
    </row>
    <row r="52" spans="1:19">
      <c r="A52">
        <v>50</v>
      </c>
      <c r="B52" s="2">
        <v>948.8917197452231</v>
      </c>
      <c r="C52" s="2">
        <v>474.44585987261155</v>
      </c>
      <c r="D52" s="2">
        <v>465.68700894339287</v>
      </c>
      <c r="E52" s="2">
        <v>664.74547518528095</v>
      </c>
      <c r="F52" s="2">
        <v>845.56600441982414</v>
      </c>
      <c r="G52" s="2">
        <v>749.72406617940135</v>
      </c>
      <c r="H52" s="2">
        <f t="shared" si="0"/>
        <v>50</v>
      </c>
      <c r="I52" s="4">
        <v>165741.91794280586</v>
      </c>
      <c r="J52" s="6">
        <v>81341.059698624405</v>
      </c>
      <c r="K52" s="2">
        <v>116110.39248039036</v>
      </c>
      <c r="L52" s="2">
        <v>147694.12400121451</v>
      </c>
      <c r="M52" s="2">
        <v>130953.51352609244</v>
      </c>
      <c r="N52" s="3">
        <f t="shared" si="1"/>
        <v>164533.87517008485</v>
      </c>
      <c r="O52" s="5">
        <f t="shared" si="2"/>
        <v>80800.794142932762</v>
      </c>
      <c r="Q52" s="3">
        <f t="shared" si="3"/>
        <v>164533.87517008485</v>
      </c>
      <c r="S52" s="3">
        <f t="shared" si="4"/>
        <v>80800.794142932762</v>
      </c>
    </row>
    <row r="53" spans="1:19">
      <c r="A53">
        <v>51</v>
      </c>
      <c r="B53" s="2">
        <v>931.1</v>
      </c>
      <c r="C53" s="2">
        <v>465.55</v>
      </c>
      <c r="D53" s="2">
        <v>456.95537752570453</v>
      </c>
      <c r="E53" s="2">
        <v>652.28149752555714</v>
      </c>
      <c r="F53" s="2">
        <v>829.71164183695248</v>
      </c>
      <c r="G53" s="2">
        <v>735.66673993853772</v>
      </c>
      <c r="H53" s="2">
        <f t="shared" si="0"/>
        <v>51</v>
      </c>
      <c r="I53" s="4">
        <v>166673.01794280586</v>
      </c>
      <c r="J53" s="6">
        <v>81798.015076150114</v>
      </c>
      <c r="K53" s="2">
        <v>116762.67397791593</v>
      </c>
      <c r="L53" s="2">
        <v>148523.83564305145</v>
      </c>
      <c r="M53" s="2">
        <v>131689.18026603098</v>
      </c>
      <c r="N53" s="3">
        <f t="shared" si="1"/>
        <v>165495.8090161049</v>
      </c>
      <c r="O53" s="5">
        <f t="shared" si="2"/>
        <v>81273.189378205978</v>
      </c>
      <c r="Q53" s="3">
        <f t="shared" si="3"/>
        <v>165495.8090161049</v>
      </c>
      <c r="S53" s="3">
        <f t="shared" si="4"/>
        <v>81273.189378205978</v>
      </c>
    </row>
    <row r="54" spans="1:19">
      <c r="A54">
        <v>52</v>
      </c>
      <c r="B54" s="2">
        <v>913.96319018404927</v>
      </c>
      <c r="C54" s="2">
        <v>456.98159509202463</v>
      </c>
      <c r="D54" s="2">
        <v>448.54515585345246</v>
      </c>
      <c r="E54" s="2">
        <v>640.27631658950395</v>
      </c>
      <c r="F54" s="2">
        <v>814.44087542277555</v>
      </c>
      <c r="G54" s="2">
        <v>722.12686128936207</v>
      </c>
      <c r="H54" s="2">
        <f t="shared" si="0"/>
        <v>52</v>
      </c>
      <c r="I54" s="4">
        <v>167586.98113298992</v>
      </c>
      <c r="J54" s="6">
        <v>82246.560232003569</v>
      </c>
      <c r="K54" s="2">
        <v>117402.95029450543</v>
      </c>
      <c r="L54" s="2">
        <v>149338.27651847422</v>
      </c>
      <c r="M54" s="2">
        <v>132411.30712732035</v>
      </c>
      <c r="N54" s="3">
        <f t="shared" si="1"/>
        <v>166439.76173321862</v>
      </c>
      <c r="O54" s="5">
        <f t="shared" si="2"/>
        <v>81736.754276907363</v>
      </c>
      <c r="Q54" s="3">
        <f t="shared" si="3"/>
        <v>166439.76173321862</v>
      </c>
      <c r="S54" s="3">
        <f t="shared" si="4"/>
        <v>81736.754276907363</v>
      </c>
    </row>
    <row r="55" spans="1:19">
      <c r="A55">
        <v>53</v>
      </c>
      <c r="B55" s="2">
        <v>897.4457831325301</v>
      </c>
      <c r="C55" s="2">
        <v>448.72289156626505</v>
      </c>
      <c r="D55" s="2">
        <v>440.4389180970644</v>
      </c>
      <c r="E55" s="2">
        <v>628.70505785595856</v>
      </c>
      <c r="F55" s="2">
        <v>799.72206442115885</v>
      </c>
      <c r="G55" s="2">
        <v>709.07637584437339</v>
      </c>
      <c r="H55" s="2">
        <f t="shared" si="0"/>
        <v>53</v>
      </c>
      <c r="I55" s="4">
        <v>168484.42691612247</v>
      </c>
      <c r="J55" s="6">
        <v>82686.99915010063</v>
      </c>
      <c r="K55" s="2">
        <v>118031.65535236138</v>
      </c>
      <c r="L55" s="2">
        <v>150137.99858289538</v>
      </c>
      <c r="M55" s="2">
        <v>133120.38350316472</v>
      </c>
      <c r="N55" s="3">
        <f t="shared" si="1"/>
        <v>167366.39323596255</v>
      </c>
      <c r="O55" s="5">
        <f t="shared" si="2"/>
        <v>82191.812915878632</v>
      </c>
      <c r="Q55" s="3">
        <f t="shared" si="3"/>
        <v>167366.39323596255</v>
      </c>
      <c r="S55" s="3">
        <f t="shared" si="4"/>
        <v>82191.812915878632</v>
      </c>
    </row>
    <row r="56" spans="1:19">
      <c r="A56">
        <v>54</v>
      </c>
      <c r="B56" s="2">
        <v>881.51479289940835</v>
      </c>
      <c r="C56" s="2">
        <v>440.75739644970417</v>
      </c>
      <c r="D56" s="2">
        <v>432.62047576398055</v>
      </c>
      <c r="E56" s="2">
        <v>617.54461304194785</v>
      </c>
      <c r="F56" s="2">
        <v>785.52581475687828</v>
      </c>
      <c r="G56" s="2">
        <v>696.48922124358614</v>
      </c>
      <c r="H56" s="2">
        <f t="shared" si="0"/>
        <v>54</v>
      </c>
      <c r="I56" s="4">
        <v>169365.94170902186</v>
      </c>
      <c r="J56" s="6">
        <v>83119.619625864609</v>
      </c>
      <c r="K56" s="2">
        <v>118649.19996540333</v>
      </c>
      <c r="L56" s="2">
        <v>150923.52439765225</v>
      </c>
      <c r="M56" s="2">
        <v>133816.87272440831</v>
      </c>
      <c r="N56" s="3">
        <f t="shared" si="1"/>
        <v>168276.3277638478</v>
      </c>
      <c r="O56" s="5">
        <f t="shared" si="2"/>
        <v>82638.671852345055</v>
      </c>
      <c r="Q56" s="3">
        <f t="shared" si="3"/>
        <v>168276.3277638478</v>
      </c>
      <c r="S56" s="3">
        <f t="shared" si="4"/>
        <v>82638.671852345055</v>
      </c>
    </row>
    <row r="57" spans="1:19">
      <c r="A57">
        <v>55</v>
      </c>
      <c r="B57" s="2">
        <v>866.13953488372101</v>
      </c>
      <c r="C57" s="2">
        <v>433.06976744186051</v>
      </c>
      <c r="D57" s="2">
        <v>425.07476979135271</v>
      </c>
      <c r="E57" s="2">
        <v>606.77348607028557</v>
      </c>
      <c r="F57" s="2">
        <v>771.82478310414183</v>
      </c>
      <c r="G57" s="2">
        <v>684.34115343119777</v>
      </c>
      <c r="H57" s="2">
        <f t="shared" si="0"/>
        <v>55</v>
      </c>
      <c r="I57" s="4">
        <v>170232.08124390559</v>
      </c>
      <c r="J57" s="6">
        <v>83544.694395655955</v>
      </c>
      <c r="K57" s="2">
        <v>119255.97345147362</v>
      </c>
      <c r="L57" s="2">
        <v>151695.3491807564</v>
      </c>
      <c r="M57" s="2">
        <v>134501.2138778395</v>
      </c>
      <c r="N57" s="3">
        <f t="shared" si="1"/>
        <v>169170.15640736755</v>
      </c>
      <c r="O57" s="5">
        <f t="shared" si="2"/>
        <v>83077.621364410195</v>
      </c>
      <c r="Q57" s="3">
        <f t="shared" si="3"/>
        <v>169170.15640736755</v>
      </c>
      <c r="S57" s="3">
        <f t="shared" si="4"/>
        <v>83077.621364410195</v>
      </c>
    </row>
    <row r="58" spans="1:19">
      <c r="A58">
        <v>56</v>
      </c>
      <c r="B58" s="2">
        <v>851.29142857142858</v>
      </c>
      <c r="C58" s="2">
        <v>425.64571428571429</v>
      </c>
      <c r="D58" s="2">
        <v>417.78777373778706</v>
      </c>
      <c r="E58" s="2">
        <v>596.37165488050948</v>
      </c>
      <c r="F58" s="2">
        <v>758.59350110807077</v>
      </c>
      <c r="G58" s="2">
        <v>672.60959080094869</v>
      </c>
      <c r="H58" s="2">
        <f t="shared" si="0"/>
        <v>56</v>
      </c>
      <c r="I58" s="4">
        <v>171083.37267247701</v>
      </c>
      <c r="J58" s="6">
        <v>83962.482169393741</v>
      </c>
      <c r="K58" s="2">
        <v>119852.34510635413</v>
      </c>
      <c r="L58" s="2">
        <v>152453.94268186446</v>
      </c>
      <c r="M58" s="2">
        <v>135173.82346864045</v>
      </c>
      <c r="N58" s="3">
        <f t="shared" si="1"/>
        <v>170048.43941431693</v>
      </c>
      <c r="O58" s="5">
        <f t="shared" si="2"/>
        <v>83508.936583664559</v>
      </c>
      <c r="Q58" s="3">
        <f t="shared" si="3"/>
        <v>170048.43941431693</v>
      </c>
      <c r="S58" s="3">
        <f t="shared" si="4"/>
        <v>83508.936583664559</v>
      </c>
    </row>
    <row r="59" spans="1:19">
      <c r="A59">
        <v>57</v>
      </c>
      <c r="B59" s="2">
        <v>836.94382022471916</v>
      </c>
      <c r="C59" s="2">
        <v>418.47191011235958</v>
      </c>
      <c r="D59" s="2">
        <v>410.74640676467789</v>
      </c>
      <c r="E59" s="2">
        <v>586.3204472139837</v>
      </c>
      <c r="F59" s="2">
        <v>745.80821738153031</v>
      </c>
      <c r="G59" s="2">
        <v>661.27347410205641</v>
      </c>
      <c r="H59" s="2">
        <f t="shared" si="0"/>
        <v>57</v>
      </c>
      <c r="I59" s="4">
        <v>171920.31649270174</v>
      </c>
      <c r="J59" s="6">
        <v>84373.228576158421</v>
      </c>
      <c r="K59" s="2">
        <v>120438.66555356811</v>
      </c>
      <c r="L59" s="2">
        <v>153199.75089924599</v>
      </c>
      <c r="M59" s="2">
        <v>135835.0969427425</v>
      </c>
      <c r="N59" s="3">
        <f t="shared" si="1"/>
        <v>170911.7082989616</v>
      </c>
      <c r="O59" s="5">
        <f t="shared" si="2"/>
        <v>83932.878530975198</v>
      </c>
      <c r="Q59" s="3">
        <f t="shared" si="3"/>
        <v>170911.7082989616</v>
      </c>
      <c r="S59" s="3">
        <f t="shared" si="4"/>
        <v>83932.878530975198</v>
      </c>
    </row>
    <row r="60" spans="1:19">
      <c r="A60">
        <v>58</v>
      </c>
      <c r="B60" s="2">
        <v>823.07182320442007</v>
      </c>
      <c r="C60" s="2">
        <v>411.53591160221004</v>
      </c>
      <c r="D60" s="2">
        <v>403.93845527134096</v>
      </c>
      <c r="E60" s="2">
        <v>576.60242875187362</v>
      </c>
      <c r="F60" s="2">
        <v>733.44675521498584</v>
      </c>
      <c r="G60" s="2">
        <v>650.31314027716041</v>
      </c>
      <c r="H60" s="2">
        <f t="shared" si="0"/>
        <v>58</v>
      </c>
      <c r="I60" s="4">
        <v>172743.38831590617</v>
      </c>
      <c r="J60" s="6">
        <v>84777.167031429766</v>
      </c>
      <c r="K60" s="2">
        <v>121015.26798231997</v>
      </c>
      <c r="L60" s="2">
        <v>153933.19765446096</v>
      </c>
      <c r="M60" s="2">
        <v>136485.41008301967</v>
      </c>
      <c r="N60" s="3">
        <f t="shared" si="1"/>
        <v>171760.46777393884</v>
      </c>
      <c r="O60" s="5">
        <f t="shared" si="2"/>
        <v>84349.695065221458</v>
      </c>
      <c r="Q60" s="3">
        <f t="shared" si="3"/>
        <v>171760.46777393884</v>
      </c>
      <c r="S60" s="3">
        <f t="shared" si="4"/>
        <v>84349.695065221458</v>
      </c>
    </row>
    <row r="61" spans="1:19">
      <c r="A61">
        <v>59</v>
      </c>
      <c r="B61" s="2">
        <v>809.6521739130435</v>
      </c>
      <c r="C61" s="2">
        <v>404.82608695652175</v>
      </c>
      <c r="D61" s="2">
        <v>397.35250219626448</v>
      </c>
      <c r="E61" s="2">
        <v>567.20130219613657</v>
      </c>
      <c r="F61" s="2">
        <v>721.48838420604568</v>
      </c>
      <c r="G61" s="2">
        <v>639.71020864220668</v>
      </c>
      <c r="H61" s="2">
        <f t="shared" si="0"/>
        <v>59</v>
      </c>
      <c r="I61" s="4">
        <v>173553.04048981922</v>
      </c>
      <c r="J61" s="6">
        <v>85174.519533626037</v>
      </c>
      <c r="K61" s="2">
        <v>121582.4692845161</v>
      </c>
      <c r="L61" s="2">
        <v>154654.68603866702</v>
      </c>
      <c r="M61" s="2">
        <v>137125.12029166188</v>
      </c>
      <c r="N61" s="3">
        <f t="shared" si="1"/>
        <v>172595.19752247498</v>
      </c>
      <c r="O61" s="5">
        <f t="shared" si="2"/>
        <v>84759.621753611471</v>
      </c>
      <c r="Q61" s="3">
        <f t="shared" si="3"/>
        <v>172595.19752247498</v>
      </c>
      <c r="S61" s="3">
        <f t="shared" si="4"/>
        <v>84759.621753611471</v>
      </c>
    </row>
    <row r="62" spans="1:19">
      <c r="A62">
        <v>60</v>
      </c>
      <c r="B62" s="2">
        <v>796.66310160427815</v>
      </c>
      <c r="C62" s="2">
        <v>398.33155080213908</v>
      </c>
      <c r="D62" s="2">
        <v>390.97786312359739</v>
      </c>
      <c r="E62" s="2">
        <v>558.10181606464778</v>
      </c>
      <c r="F62" s="2">
        <v>709.91370424552088</v>
      </c>
      <c r="G62" s="2">
        <v>629.44747802227823</v>
      </c>
      <c r="H62" s="2">
        <f t="shared" si="0"/>
        <v>60</v>
      </c>
      <c r="I62" s="4">
        <v>174349.70359142349</v>
      </c>
      <c r="J62" s="6">
        <v>85565.497396749633</v>
      </c>
      <c r="K62" s="2">
        <v>122140.57110058075</v>
      </c>
      <c r="L62" s="2">
        <v>155364.59974291254</v>
      </c>
      <c r="M62" s="2">
        <v>137754.56776968416</v>
      </c>
      <c r="N62" s="3">
        <f t="shared" si="1"/>
        <v>173416.35382649989</v>
      </c>
      <c r="O62" s="5">
        <f t="shared" si="2"/>
        <v>85162.882671231622</v>
      </c>
      <c r="Q62" s="3">
        <f t="shared" si="3"/>
        <v>173416.35382649989</v>
      </c>
      <c r="S62" s="3">
        <f t="shared" si="4"/>
        <v>85162.882671231622</v>
      </c>
    </row>
    <row r="63" spans="1:19">
      <c r="A63">
        <v>61</v>
      </c>
      <c r="B63" s="2">
        <v>784.08421052631581</v>
      </c>
      <c r="C63" s="2">
        <v>392.04210526315791</v>
      </c>
      <c r="D63" s="2">
        <v>384.80452844269826</v>
      </c>
      <c r="E63" s="2">
        <v>549.28968212678501</v>
      </c>
      <c r="F63" s="2">
        <v>698.70454049427565</v>
      </c>
      <c r="G63" s="2">
        <v>619.50883363245271</v>
      </c>
      <c r="H63" s="2">
        <f t="shared" si="0"/>
        <v>61</v>
      </c>
      <c r="I63" s="4">
        <v>175133.7878019498</v>
      </c>
      <c r="J63" s="6">
        <v>85950.301925192325</v>
      </c>
      <c r="K63" s="2">
        <v>122689.86078270753</v>
      </c>
      <c r="L63" s="2">
        <v>156063.30428340682</v>
      </c>
      <c r="M63" s="2">
        <v>138374.07660331661</v>
      </c>
      <c r="N63" s="3">
        <f t="shared" si="1"/>
        <v>174224.37106449515</v>
      </c>
      <c r="O63" s="5">
        <f t="shared" si="2"/>
        <v>85559.691136623369</v>
      </c>
      <c r="Q63" s="3">
        <f t="shared" si="3"/>
        <v>174224.37106449515</v>
      </c>
      <c r="S63" s="3">
        <f t="shared" si="4"/>
        <v>85559.691136623369</v>
      </c>
    </row>
    <row r="64" spans="1:19">
      <c r="A64">
        <v>62</v>
      </c>
      <c r="B64" s="2">
        <v>771.89637305699489</v>
      </c>
      <c r="C64" s="2">
        <v>385.94818652849744</v>
      </c>
      <c r="D64" s="2">
        <v>378.82311090213847</v>
      </c>
      <c r="E64" s="2">
        <v>540.75150053932202</v>
      </c>
      <c r="F64" s="2">
        <v>687.84384815498629</v>
      </c>
      <c r="G64" s="2">
        <v>609.87916264334717</v>
      </c>
      <c r="H64" s="2">
        <f t="shared" si="0"/>
        <v>62</v>
      </c>
      <c r="I64" s="4">
        <v>175905.68417500678</v>
      </c>
      <c r="J64" s="6">
        <v>86329.125036094469</v>
      </c>
      <c r="K64" s="2">
        <v>123230.61228324685</v>
      </c>
      <c r="L64" s="2">
        <v>156751.14813156181</v>
      </c>
      <c r="M64" s="2">
        <v>138983.95576595995</v>
      </c>
      <c r="N64" s="3">
        <f t="shared" si="1"/>
        <v>175019.6630913862</v>
      </c>
      <c r="O64" s="5">
        <f t="shared" si="2"/>
        <v>85950.250389433219</v>
      </c>
      <c r="Q64" s="3">
        <f t="shared" si="3"/>
        <v>175019.6630913862</v>
      </c>
      <c r="S64" s="3">
        <f t="shared" si="4"/>
        <v>85950.250389433219</v>
      </c>
    </row>
    <row r="65" spans="1:19">
      <c r="A65">
        <v>63</v>
      </c>
      <c r="B65" s="2">
        <v>760.08163265306132</v>
      </c>
      <c r="C65" s="2">
        <v>380.04081632653066</v>
      </c>
      <c r="D65" s="2">
        <v>373.02479798016674</v>
      </c>
      <c r="E65" s="2">
        <v>532.47469185759769</v>
      </c>
      <c r="F65" s="2">
        <v>677.31562598934909</v>
      </c>
      <c r="G65" s="2">
        <v>600.54427750084722</v>
      </c>
      <c r="H65" s="2">
        <f t="shared" si="0"/>
        <v>63</v>
      </c>
      <c r="I65" s="4">
        <v>176665.76580765983</v>
      </c>
      <c r="J65" s="6">
        <v>86702.149834074633</v>
      </c>
      <c r="K65" s="2">
        <v>123763.08697510445</v>
      </c>
      <c r="L65" s="2">
        <v>157428.46375755116</v>
      </c>
      <c r="M65" s="2">
        <v>139584.50004346081</v>
      </c>
      <c r="N65" s="3">
        <f t="shared" si="1"/>
        <v>175802.62451145245</v>
      </c>
      <c r="O65" s="5">
        <f t="shared" si="2"/>
        <v>86334.754215525158</v>
      </c>
      <c r="Q65" s="3">
        <f t="shared" si="3"/>
        <v>175802.62451145245</v>
      </c>
      <c r="S65" s="3">
        <f t="shared" si="4"/>
        <v>86334.754215525158</v>
      </c>
    </row>
    <row r="66" spans="1:19">
      <c r="A66">
        <v>64</v>
      </c>
      <c r="B66" s="2">
        <v>748.62311557788962</v>
      </c>
      <c r="C66" s="2">
        <v>374.31155778894481</v>
      </c>
      <c r="D66" s="2">
        <v>367.40130856338004</v>
      </c>
      <c r="E66" s="2">
        <v>524.44743519642759</v>
      </c>
      <c r="F66" s="2">
        <v>667.10483765785148</v>
      </c>
      <c r="G66" s="2">
        <v>591.49084618173913</v>
      </c>
      <c r="H66" s="2">
        <f t="shared" si="0"/>
        <v>64</v>
      </c>
      <c r="I66" s="4">
        <v>177414.38892323771</v>
      </c>
      <c r="J66" s="6">
        <v>87069.551142638011</v>
      </c>
      <c r="K66" s="2">
        <v>124287.53441030088</v>
      </c>
      <c r="L66" s="2">
        <v>158095.56859520901</v>
      </c>
      <c r="M66" s="2">
        <v>140175.99088964253</v>
      </c>
      <c r="N66" s="3">
        <f t="shared" si="1"/>
        <v>176573.63185405725</v>
      </c>
      <c r="O66" s="5">
        <f t="shared" si="2"/>
        <v>86713.387524368707</v>
      </c>
      <c r="Q66" s="3">
        <f t="shared" si="3"/>
        <v>176573.63185405725</v>
      </c>
      <c r="S66" s="3">
        <f t="shared" si="4"/>
        <v>86713.387524368707</v>
      </c>
    </row>
    <row r="67" spans="1:19">
      <c r="A67">
        <v>65</v>
      </c>
      <c r="B67" s="2">
        <v>737.50495049504957</v>
      </c>
      <c r="C67" s="2">
        <v>368.75247524752479</v>
      </c>
      <c r="D67" s="2">
        <v>361.94485348570618</v>
      </c>
      <c r="E67" s="2">
        <v>516.65861190143107</v>
      </c>
      <c r="F67" s="2">
        <v>657.19734006887313</v>
      </c>
      <c r="G67" s="2">
        <v>582.70632866418794</v>
      </c>
      <c r="H67" s="2">
        <f t="shared" si="0"/>
        <v>65</v>
      </c>
      <c r="I67" s="4">
        <v>178151.89387373277</v>
      </c>
      <c r="J67" s="6">
        <v>87431.495996123718</v>
      </c>
      <c r="K67" s="2">
        <v>124804.19302220231</v>
      </c>
      <c r="L67" s="2">
        <v>158752.76593527789</v>
      </c>
      <c r="M67" s="2">
        <v>140758.69721830671</v>
      </c>
      <c r="N67" s="3">
        <f t="shared" si="1"/>
        <v>177333.04466096655</v>
      </c>
      <c r="O67" s="5">
        <f t="shared" si="2"/>
        <v>87086.326883009315</v>
      </c>
      <c r="Q67" s="3">
        <f t="shared" si="3"/>
        <v>177333.04466096655</v>
      </c>
      <c r="S67" s="3">
        <f t="shared" si="4"/>
        <v>87086.326883009315</v>
      </c>
    </row>
    <row r="68" spans="1:19">
      <c r="A68">
        <v>66</v>
      </c>
      <c r="B68" s="2">
        <v>726.71219512195125</v>
      </c>
      <c r="C68" s="2">
        <v>363.35609756097563</v>
      </c>
      <c r="D68" s="2">
        <v>356.64809953225699</v>
      </c>
      <c r="E68" s="2">
        <v>509.09775416628821</v>
      </c>
      <c r="F68" s="2">
        <v>647.57981801908477</v>
      </c>
      <c r="G68" s="2">
        <v>574.17891897641948</v>
      </c>
      <c r="H68" s="2">
        <f t="shared" ref="H68:H131" si="5">+$A68</f>
        <v>66</v>
      </c>
      <c r="I68" s="4">
        <v>178878.60606885471</v>
      </c>
      <c r="J68" s="6">
        <v>87788.144095655982</v>
      </c>
      <c r="K68" s="2">
        <v>125313.29077636859</v>
      </c>
      <c r="L68" s="2">
        <v>159400.34575329698</v>
      </c>
      <c r="M68" s="2">
        <v>141332.87613728314</v>
      </c>
      <c r="N68" s="3">
        <f t="shared" ref="N68:N131" si="6">+$Q68</f>
        <v>178081.20649311616</v>
      </c>
      <c r="O68" s="5">
        <f t="shared" ref="O68:O131" si="7">+$S68</f>
        <v>87453.741010480808</v>
      </c>
      <c r="Q68" s="3">
        <f t="shared" ref="Q68:Q131" si="8">+$Q$1*LN(1+$Q$2*$H68)</f>
        <v>178081.20649311616</v>
      </c>
      <c r="S68" s="3">
        <f t="shared" ref="S68:S131" si="9">+$S$1*LN(1+$S$2*$H68)</f>
        <v>87453.741010480808</v>
      </c>
    </row>
    <row r="69" spans="1:19">
      <c r="A69">
        <v>67</v>
      </c>
      <c r="B69" s="2">
        <v>716.23076923076928</v>
      </c>
      <c r="C69" s="2">
        <v>358.11538461538464</v>
      </c>
      <c r="D69" s="2">
        <v>351.50413655823394</v>
      </c>
      <c r="E69" s="2">
        <v>501.75499809658214</v>
      </c>
      <c r="F69" s="2">
        <v>638.23972448996335</v>
      </c>
      <c r="G69" s="2">
        <v>565.89749226041329</v>
      </c>
      <c r="H69" s="2">
        <f t="shared" si="5"/>
        <v>67</v>
      </c>
      <c r="I69" s="4">
        <v>179594.8368380855</v>
      </c>
      <c r="J69" s="6">
        <v>88139.648232214211</v>
      </c>
      <c r="K69" s="2">
        <v>125815.04577446518</v>
      </c>
      <c r="L69" s="2">
        <v>160038.58547778695</v>
      </c>
      <c r="M69" s="2">
        <v>141898.77362954355</v>
      </c>
      <c r="N69" s="3">
        <f t="shared" si="6"/>
        <v>178818.44586388438</v>
      </c>
      <c r="O69" s="5">
        <f t="shared" si="7"/>
        <v>87815.791236125398</v>
      </c>
      <c r="Q69" s="3">
        <f t="shared" si="8"/>
        <v>178818.44586388438</v>
      </c>
      <c r="S69" s="3">
        <f t="shared" si="9"/>
        <v>87815.791236125398</v>
      </c>
    </row>
    <row r="70" spans="1:19">
      <c r="A70">
        <v>68</v>
      </c>
      <c r="B70" s="2">
        <v>706.04739336492901</v>
      </c>
      <c r="C70" s="2">
        <v>353.0236966824645</v>
      </c>
      <c r="D70" s="2">
        <v>346.50644741285635</v>
      </c>
      <c r="E70" s="2">
        <v>494.62104077767407</v>
      </c>
      <c r="F70" s="2">
        <v>629.16522603749991</v>
      </c>
      <c r="G70" s="2">
        <v>557.85155635149829</v>
      </c>
      <c r="H70" s="2">
        <f t="shared" si="5"/>
        <v>68</v>
      </c>
      <c r="I70" s="4">
        <v>180300.88423145041</v>
      </c>
      <c r="J70" s="6">
        <v>88486.15467962707</v>
      </c>
      <c r="K70" s="2">
        <v>126309.66681524285</v>
      </c>
      <c r="L70" s="2">
        <v>160667.75070382445</v>
      </c>
      <c r="M70" s="2">
        <v>142456.62518589504</v>
      </c>
      <c r="N70" s="3">
        <f t="shared" si="6"/>
        <v>179545.07710521537</v>
      </c>
      <c r="O70" s="5">
        <f t="shared" si="7"/>
        <v>88172.63192493745</v>
      </c>
      <c r="Q70" s="3">
        <f t="shared" si="8"/>
        <v>179545.07710521537</v>
      </c>
      <c r="S70" s="3">
        <f t="shared" si="9"/>
        <v>88172.63192493745</v>
      </c>
    </row>
    <row r="71" spans="1:19">
      <c r="A71">
        <v>69</v>
      </c>
      <c r="B71" s="2">
        <v>696.14953271028048</v>
      </c>
      <c r="C71" s="2">
        <v>348.07476635514024</v>
      </c>
      <c r="D71" s="2">
        <v>341.64888039305021</v>
      </c>
      <c r="E71" s="2">
        <v>487.68710095368778</v>
      </c>
      <c r="F71" s="2">
        <v>620.34515277529158</v>
      </c>
      <c r="G71" s="2">
        <v>550.03120743068234</v>
      </c>
      <c r="H71" s="2">
        <f t="shared" si="5"/>
        <v>69</v>
      </c>
      <c r="I71" s="4">
        <v>180997.0337641607</v>
      </c>
      <c r="J71" s="6">
        <v>88827.803560020126</v>
      </c>
      <c r="K71" s="2">
        <v>126797.35391619653</v>
      </c>
      <c r="L71" s="2">
        <v>161288.09585659974</v>
      </c>
      <c r="M71" s="2">
        <v>143006.65639332571</v>
      </c>
      <c r="N71" s="3">
        <f t="shared" si="6"/>
        <v>180261.40117230918</v>
      </c>
      <c r="O71" s="5">
        <f t="shared" si="7"/>
        <v>88524.410872737979</v>
      </c>
      <c r="Q71" s="3">
        <f t="shared" si="8"/>
        <v>180261.40117230918</v>
      </c>
      <c r="S71" s="3">
        <f t="shared" si="9"/>
        <v>88524.410872737979</v>
      </c>
    </row>
    <row r="72" spans="1:19">
      <c r="A72">
        <v>70</v>
      </c>
      <c r="B72" s="2">
        <v>686.52534562211986</v>
      </c>
      <c r="C72" s="2">
        <v>343.26267281105993</v>
      </c>
      <c r="D72" s="2">
        <v>336.92562398208611</v>
      </c>
      <c r="E72" s="2">
        <v>480.94488296815246</v>
      </c>
      <c r="F72" s="2">
        <v>611.76895250650864</v>
      </c>
      <c r="G72" s="2">
        <v>542.42708935560358</v>
      </c>
      <c r="H72" s="2">
        <f t="shared" si="5"/>
        <v>70</v>
      </c>
      <c r="I72" s="4">
        <v>181683.55910978283</v>
      </c>
      <c r="J72" s="6">
        <v>89164.729184002208</v>
      </c>
      <c r="K72" s="2">
        <v>127278.29879916468</v>
      </c>
      <c r="L72" s="2">
        <v>161899.86480910625</v>
      </c>
      <c r="M72" s="2">
        <v>143549.08348268131</v>
      </c>
      <c r="N72" s="3">
        <f t="shared" si="6"/>
        <v>180967.70639203355</v>
      </c>
      <c r="O72" s="5">
        <f t="shared" si="7"/>
        <v>88871.269673711533</v>
      </c>
      <c r="Q72" s="3">
        <f t="shared" si="8"/>
        <v>180967.70639203355</v>
      </c>
      <c r="S72" s="3">
        <f t="shared" si="9"/>
        <v>88871.269673711533</v>
      </c>
    </row>
    <row r="73" spans="1:19">
      <c r="A73">
        <v>71</v>
      </c>
      <c r="B73" s="2">
        <v>677.16363636363644</v>
      </c>
      <c r="C73" s="2">
        <v>338.58181818181822</v>
      </c>
      <c r="D73" s="2">
        <v>332.33118365505783</v>
      </c>
      <c r="E73" s="2">
        <v>474.38654365495097</v>
      </c>
      <c r="F73" s="2">
        <v>603.42664860869286</v>
      </c>
      <c r="G73" s="2">
        <v>535.0303563189367</v>
      </c>
      <c r="H73" s="2">
        <f t="shared" si="5"/>
        <v>71</v>
      </c>
      <c r="I73" s="4">
        <v>182360.72274614646</v>
      </c>
      <c r="J73" s="6">
        <v>89497.060367657265</v>
      </c>
      <c r="K73" s="2">
        <v>127752.68534281963</v>
      </c>
      <c r="L73" s="2">
        <v>162503.29145771495</v>
      </c>
      <c r="M73" s="2">
        <v>144084.11383900023</v>
      </c>
      <c r="N73" s="3">
        <f t="shared" si="6"/>
        <v>181664.26915971652</v>
      </c>
      <c r="O73" s="5">
        <f t="shared" si="7"/>
        <v>89213.34406259346</v>
      </c>
      <c r="Q73" s="3">
        <f t="shared" si="8"/>
        <v>181664.26915971652</v>
      </c>
      <c r="S73" s="3">
        <f t="shared" si="9"/>
        <v>89213.34406259346</v>
      </c>
    </row>
    <row r="74" spans="1:19">
      <c r="A74">
        <v>72</v>
      </c>
      <c r="B74" s="2">
        <v>668.05381165919289</v>
      </c>
      <c r="C74" s="2">
        <v>334.02690582959644</v>
      </c>
      <c r="D74" s="2">
        <v>327.86036055655893</v>
      </c>
      <c r="E74" s="2">
        <v>468.00466190174456</v>
      </c>
      <c r="F74" s="2">
        <v>595.30880131799267</v>
      </c>
      <c r="G74" s="2">
        <v>527.83263852092352</v>
      </c>
      <c r="H74" s="2">
        <f t="shared" si="5"/>
        <v>72</v>
      </c>
      <c r="I74" s="4">
        <v>183028.77655780566</v>
      </c>
      <c r="J74" s="6">
        <v>89824.920728213823</v>
      </c>
      <c r="K74" s="2">
        <v>128220.69000472137</v>
      </c>
      <c r="L74" s="2">
        <v>163098.60025903294</v>
      </c>
      <c r="M74" s="2">
        <v>144611.94647752115</v>
      </c>
      <c r="N74" s="3">
        <f t="shared" si="6"/>
        <v>182351.35458853332</v>
      </c>
      <c r="O74" s="5">
        <f t="shared" si="7"/>
        <v>89550.76423357676</v>
      </c>
      <c r="Q74" s="3">
        <f t="shared" si="8"/>
        <v>182351.35458853332</v>
      </c>
      <c r="S74" s="3">
        <f t="shared" si="9"/>
        <v>89550.76423357676</v>
      </c>
    </row>
    <row r="75" spans="1:19">
      <c r="A75">
        <v>73</v>
      </c>
      <c r="B75" s="2">
        <v>659.18584070796476</v>
      </c>
      <c r="C75" s="2">
        <v>329.59292035398238</v>
      </c>
      <c r="D75" s="2">
        <v>323.50823187660478</v>
      </c>
      <c r="E75" s="2">
        <v>461.79221063756256</v>
      </c>
      <c r="F75" s="2">
        <v>587.40647209695749</v>
      </c>
      <c r="G75" s="2">
        <v>520.82601057595593</v>
      </c>
      <c r="H75" s="2">
        <f t="shared" si="5"/>
        <v>73</v>
      </c>
      <c r="I75" s="4">
        <v>183687.96239851363</v>
      </c>
      <c r="J75" s="6">
        <v>90148.42896009043</v>
      </c>
      <c r="K75" s="2">
        <v>128682.48221535893</v>
      </c>
      <c r="L75" s="2">
        <v>163686.00673112989</v>
      </c>
      <c r="M75" s="2">
        <v>145132.77248809711</v>
      </c>
      <c r="N75" s="3">
        <f t="shared" si="6"/>
        <v>183029.21711530644</v>
      </c>
      <c r="O75" s="5">
        <f t="shared" si="7"/>
        <v>89883.655137813854</v>
      </c>
      <c r="Q75" s="3">
        <f t="shared" si="8"/>
        <v>183029.21711530644</v>
      </c>
      <c r="S75" s="3">
        <f t="shared" si="9"/>
        <v>89883.655137813854</v>
      </c>
    </row>
    <row r="76" spans="1:19">
      <c r="A76">
        <v>74</v>
      </c>
      <c r="B76" s="2">
        <v>650.55021834061142</v>
      </c>
      <c r="C76" s="2">
        <v>325.27510917030571</v>
      </c>
      <c r="D76" s="2">
        <v>319.27013276905132</v>
      </c>
      <c r="E76" s="2">
        <v>455.74253102222355</v>
      </c>
      <c r="F76" s="2">
        <v>579.71119080311121</v>
      </c>
      <c r="G76" s="2">
        <v>514.00296240247201</v>
      </c>
      <c r="H76" s="2">
        <f t="shared" si="5"/>
        <v>74</v>
      </c>
      <c r="I76" s="4">
        <v>184338.51261685425</v>
      </c>
      <c r="J76" s="6">
        <v>90467.699092859475</v>
      </c>
      <c r="K76" s="2">
        <v>129138.22474638115</v>
      </c>
      <c r="L76" s="2">
        <v>164265.71792193301</v>
      </c>
      <c r="M76" s="2">
        <v>145646.77545049958</v>
      </c>
      <c r="N76" s="3">
        <f t="shared" si="6"/>
        <v>183698.10106618248</v>
      </c>
      <c r="O76" s="5">
        <f t="shared" si="7"/>
        <v>90212.136761214366</v>
      </c>
      <c r="Q76" s="3">
        <f t="shared" si="8"/>
        <v>183698.10106618248</v>
      </c>
      <c r="S76" s="3">
        <f t="shared" si="9"/>
        <v>90212.136761214366</v>
      </c>
    </row>
    <row r="77" spans="1:19">
      <c r="A77">
        <v>75</v>
      </c>
      <c r="B77" s="2">
        <v>642.13793103448279</v>
      </c>
      <c r="C77" s="2">
        <v>321.06896551724139</v>
      </c>
      <c r="D77" s="2">
        <v>315.1416396728996</v>
      </c>
      <c r="E77" s="2">
        <v>449.84930863831522</v>
      </c>
      <c r="F77" s="2">
        <v>572.21492540479483</v>
      </c>
      <c r="G77" s="2">
        <v>507.3563723714052</v>
      </c>
      <c r="H77" s="2">
        <f t="shared" si="5"/>
        <v>75</v>
      </c>
      <c r="I77" s="4">
        <v>184980.65054788874</v>
      </c>
      <c r="J77" s="6">
        <v>90782.840732532379</v>
      </c>
      <c r="K77" s="2">
        <v>129588.07405501946</v>
      </c>
      <c r="L77" s="2">
        <v>164837.9328473378</v>
      </c>
      <c r="M77" s="2">
        <v>146154.13182287099</v>
      </c>
      <c r="N77" s="3">
        <f t="shared" si="6"/>
        <v>184358.24118533381</v>
      </c>
      <c r="O77" s="5">
        <f t="shared" si="7"/>
        <v>90536.324384084714</v>
      </c>
      <c r="Q77" s="3">
        <f t="shared" si="8"/>
        <v>184358.24118533381</v>
      </c>
      <c r="S77" s="3">
        <f t="shared" si="9"/>
        <v>90536.324384084714</v>
      </c>
    </row>
    <row r="78" spans="1:19">
      <c r="A78">
        <v>76</v>
      </c>
      <c r="B78" s="2">
        <v>633.94042553191503</v>
      </c>
      <c r="C78" s="2">
        <v>316.97021276595751</v>
      </c>
      <c r="D78" s="2">
        <v>311.11855491111783</v>
      </c>
      <c r="E78" s="2">
        <v>444.10655150676234</v>
      </c>
      <c r="F78" s="2">
        <v>564.91005401664859</v>
      </c>
      <c r="G78" s="2">
        <v>500.87948251134492</v>
      </c>
      <c r="H78" s="2">
        <f t="shared" si="5"/>
        <v>76</v>
      </c>
      <c r="I78" s="4">
        <v>185614.59097342065</v>
      </c>
      <c r="J78" s="6">
        <v>91093.959287443489</v>
      </c>
      <c r="K78" s="2">
        <v>130032.18060652622</v>
      </c>
      <c r="L78" s="2">
        <v>165402.84290135445</v>
      </c>
      <c r="M78" s="2">
        <v>146655.01130538233</v>
      </c>
      <c r="N78" s="3">
        <f t="shared" si="6"/>
        <v>185009.86312954713</v>
      </c>
      <c r="O78" s="5">
        <f t="shared" si="7"/>
        <v>90856.328824015232</v>
      </c>
      <c r="Q78" s="3">
        <f t="shared" si="8"/>
        <v>185009.86312954713</v>
      </c>
      <c r="S78" s="3">
        <f t="shared" si="9"/>
        <v>90856.328824015232</v>
      </c>
    </row>
    <row r="79" spans="1:19">
      <c r="A79">
        <v>77</v>
      </c>
      <c r="B79" s="2">
        <v>625.94957983193274</v>
      </c>
      <c r="C79" s="2">
        <v>312.97478991596637</v>
      </c>
      <c r="D79" s="2">
        <v>307.19689245425513</v>
      </c>
      <c r="E79" s="2">
        <v>438.50856976508038</v>
      </c>
      <c r="F79" s="2">
        <v>557.78933905005204</v>
      </c>
      <c r="G79" s="2">
        <v>494.5658755889329</v>
      </c>
      <c r="H79" s="2">
        <f t="shared" si="5"/>
        <v>77</v>
      </c>
      <c r="I79" s="4">
        <v>186240.54055325259</v>
      </c>
      <c r="J79" s="6">
        <v>91401.156179897749</v>
      </c>
      <c r="K79" s="2">
        <v>130470.6891762913</v>
      </c>
      <c r="L79" s="2">
        <v>165960.63224040449</v>
      </c>
      <c r="M79" s="2">
        <v>147149.57718097128</v>
      </c>
      <c r="N79" s="3">
        <f t="shared" si="6"/>
        <v>185653.18393130734</v>
      </c>
      <c r="O79" s="5">
        <f t="shared" si="7"/>
        <v>91172.256663295484</v>
      </c>
      <c r="Q79" s="3">
        <f t="shared" si="8"/>
        <v>185653.18393130734</v>
      </c>
      <c r="S79" s="3">
        <f t="shared" si="9"/>
        <v>91172.256663295484</v>
      </c>
    </row>
    <row r="80" spans="1:19">
      <c r="A80">
        <v>78</v>
      </c>
      <c r="B80" s="2">
        <v>618.15767634854774</v>
      </c>
      <c r="C80" s="2">
        <v>309.07883817427387</v>
      </c>
      <c r="D80" s="2">
        <v>303.37286474735555</v>
      </c>
      <c r="E80" s="2">
        <v>433.04995686344034</v>
      </c>
      <c r="F80" s="2">
        <v>550.84590329424248</v>
      </c>
      <c r="G80" s="2">
        <v>488.40945390110392</v>
      </c>
      <c r="H80" s="2">
        <f t="shared" si="5"/>
        <v>78</v>
      </c>
      <c r="I80" s="4">
        <v>186858.69822960114</v>
      </c>
      <c r="J80" s="6">
        <v>91704.529044645111</v>
      </c>
      <c r="K80" s="2">
        <v>130903.73913315474</v>
      </c>
      <c r="L80" s="2">
        <v>166511.47814369874</v>
      </c>
      <c r="M80" s="2">
        <v>147637.98663487239</v>
      </c>
      <c r="N80" s="3">
        <f t="shared" si="6"/>
        <v>186288.41243275377</v>
      </c>
      <c r="O80" s="5">
        <f t="shared" si="7"/>
        <v>91484.210462025614</v>
      </c>
      <c r="Q80" s="3">
        <f t="shared" si="8"/>
        <v>186288.41243275377</v>
      </c>
      <c r="S80" s="3">
        <f t="shared" si="9"/>
        <v>91484.210462025614</v>
      </c>
    </row>
    <row r="81" spans="1:19">
      <c r="A81">
        <v>79</v>
      </c>
      <c r="B81" s="2">
        <v>610.55737704918045</v>
      </c>
      <c r="C81" s="2">
        <v>305.27868852459022</v>
      </c>
      <c r="D81" s="2">
        <v>299.64287050865863</v>
      </c>
      <c r="E81" s="2">
        <v>427.72557214790641</v>
      </c>
      <c r="F81" s="2">
        <v>544.07320776193615</v>
      </c>
      <c r="G81" s="2">
        <v>482.40441963182809</v>
      </c>
      <c r="H81" s="2">
        <f t="shared" si="5"/>
        <v>79</v>
      </c>
      <c r="I81" s="4">
        <v>187469.25560665032</v>
      </c>
      <c r="J81" s="6">
        <v>92004.171915153769</v>
      </c>
      <c r="K81" s="2">
        <v>131331.46470530264</v>
      </c>
      <c r="L81" s="2">
        <v>167055.55135146069</v>
      </c>
      <c r="M81" s="2">
        <v>148120.3910545042</v>
      </c>
      <c r="N81" s="3">
        <f t="shared" si="6"/>
        <v>186915.74969268093</v>
      </c>
      <c r="O81" s="5">
        <f t="shared" si="7"/>
        <v>91792.288957989833</v>
      </c>
      <c r="Q81" s="3">
        <f t="shared" si="8"/>
        <v>186915.74969268093</v>
      </c>
      <c r="S81" s="3">
        <f t="shared" si="9"/>
        <v>91792.288957989833</v>
      </c>
    </row>
    <row r="82" spans="1:19">
      <c r="A82">
        <v>80</v>
      </c>
      <c r="B82" s="2">
        <v>603.1417004048584</v>
      </c>
      <c r="C82" s="2">
        <v>301.5708502024292</v>
      </c>
      <c r="D82" s="2">
        <v>296.00348341746042</v>
      </c>
      <c r="E82" s="2">
        <v>422.53052471291181</v>
      </c>
      <c r="F82" s="2">
        <v>537.46503114944323</v>
      </c>
      <c r="G82" s="2">
        <v>476.54525664034861</v>
      </c>
      <c r="H82" s="2">
        <f t="shared" si="5"/>
        <v>80</v>
      </c>
      <c r="I82" s="4">
        <v>188072.39730705519</v>
      </c>
      <c r="J82" s="6">
        <v>92300.175398571228</v>
      </c>
      <c r="K82" s="2">
        <v>131753.99523001554</v>
      </c>
      <c r="L82" s="2">
        <v>167593.01638261013</v>
      </c>
      <c r="M82" s="2">
        <v>148596.93631114456</v>
      </c>
      <c r="N82" s="3">
        <f t="shared" si="6"/>
        <v>187535.38936856756</v>
      </c>
      <c r="O82" s="5">
        <f t="shared" si="7"/>
        <v>92096.587254266837</v>
      </c>
      <c r="Q82" s="3">
        <f t="shared" si="8"/>
        <v>187535.38936856756</v>
      </c>
      <c r="S82" s="3">
        <f t="shared" si="9"/>
        <v>92096.587254266837</v>
      </c>
    </row>
    <row r="83" spans="1:19">
      <c r="A83">
        <v>81</v>
      </c>
      <c r="B83" s="2">
        <v>595.904</v>
      </c>
      <c r="C83" s="2">
        <v>297.952</v>
      </c>
      <c r="D83" s="2">
        <v>292.45144161645101</v>
      </c>
      <c r="E83" s="2">
        <v>417.46015841635676</v>
      </c>
      <c r="F83" s="2">
        <v>531.01545077564981</v>
      </c>
      <c r="G83" s="2">
        <v>470.8267135606643</v>
      </c>
      <c r="H83" s="2">
        <f t="shared" si="5"/>
        <v>81</v>
      </c>
      <c r="I83" s="4">
        <v>188668.3013070552</v>
      </c>
      <c r="J83" s="6">
        <v>92592.626840187673</v>
      </c>
      <c r="K83" s="2">
        <v>132171.4553884319</v>
      </c>
      <c r="L83" s="2">
        <v>168124.03183338579</v>
      </c>
      <c r="M83" s="2">
        <v>149067.76302470523</v>
      </c>
      <c r="N83" s="3">
        <f t="shared" si="6"/>
        <v>188147.51807545093</v>
      </c>
      <c r="O83" s="5">
        <f t="shared" si="7"/>
        <v>92397.196995468985</v>
      </c>
      <c r="Q83" s="3">
        <f t="shared" si="8"/>
        <v>188147.51807545093</v>
      </c>
      <c r="S83" s="3">
        <f t="shared" si="9"/>
        <v>92397.196995468985</v>
      </c>
    </row>
    <row r="84" spans="1:19">
      <c r="A84">
        <v>82</v>
      </c>
      <c r="B84" s="2">
        <v>588.83794466403162</v>
      </c>
      <c r="C84" s="2">
        <v>294.41897233201581</v>
      </c>
      <c r="D84" s="2">
        <v>288.98363796091985</v>
      </c>
      <c r="E84" s="2">
        <v>412.51003796082671</v>
      </c>
      <c r="F84" s="2">
        <v>524.71882487712412</v>
      </c>
      <c r="G84" s="2">
        <v>465.24378810342313</v>
      </c>
      <c r="H84" s="2">
        <f t="shared" si="5"/>
        <v>82</v>
      </c>
      <c r="I84" s="4">
        <v>189257.13925171923</v>
      </c>
      <c r="J84" s="6">
        <v>92881.610478148592</v>
      </c>
      <c r="K84" s="2">
        <v>132583.96542639274</v>
      </c>
      <c r="L84" s="2">
        <v>168648.7506582629</v>
      </c>
      <c r="M84" s="2">
        <v>149533.00681280866</v>
      </c>
      <c r="N84" s="3">
        <f t="shared" si="6"/>
        <v>188752.31572331011</v>
      </c>
      <c r="O84" s="5">
        <f t="shared" si="7"/>
        <v>92694.206533427539</v>
      </c>
      <c r="Q84" s="3">
        <f t="shared" si="8"/>
        <v>188752.31572331011</v>
      </c>
      <c r="S84" s="3">
        <f t="shared" si="9"/>
        <v>92694.206533427539</v>
      </c>
    </row>
    <row r="85" spans="1:19">
      <c r="A85">
        <v>83</v>
      </c>
      <c r="B85" s="2">
        <v>581.93750000000011</v>
      </c>
      <c r="C85" s="2">
        <v>290.96875000000006</v>
      </c>
      <c r="D85" s="2">
        <v>285.59711095356545</v>
      </c>
      <c r="E85" s="2">
        <v>407.67593595347313</v>
      </c>
      <c r="F85" s="2">
        <v>518.56977614809534</v>
      </c>
      <c r="G85" s="2">
        <v>459.79171246158609</v>
      </c>
      <c r="H85" s="2">
        <f t="shared" si="5"/>
        <v>83</v>
      </c>
      <c r="I85" s="4">
        <v>189839.07675171923</v>
      </c>
      <c r="J85" s="6">
        <v>93167.207589102152</v>
      </c>
      <c r="K85" s="2">
        <v>132991.64136234621</v>
      </c>
      <c r="L85" s="2">
        <v>169167.320434411</v>
      </c>
      <c r="M85" s="2">
        <v>149992.79852527025</v>
      </c>
      <c r="N85" s="3">
        <f t="shared" si="6"/>
        <v>189349.95583448376</v>
      </c>
      <c r="O85" s="5">
        <f t="shared" si="7"/>
        <v>92987.701083073203</v>
      </c>
      <c r="Q85" s="3">
        <f t="shared" si="8"/>
        <v>189349.95583448376</v>
      </c>
      <c r="S85" s="3">
        <f t="shared" si="9"/>
        <v>92987.701083073203</v>
      </c>
    </row>
    <row r="86" spans="1:19">
      <c r="A86">
        <v>84</v>
      </c>
      <c r="B86" s="2">
        <v>575.19691119691129</v>
      </c>
      <c r="C86" s="2">
        <v>287.59845559845564</v>
      </c>
      <c r="D86" s="2">
        <v>282.28903630931524</v>
      </c>
      <c r="E86" s="2">
        <v>402.95382086520908</v>
      </c>
      <c r="F86" s="2">
        <v>512.56317642437227</v>
      </c>
      <c r="G86" s="2">
        <v>454.46593973037085</v>
      </c>
      <c r="H86" s="2">
        <f t="shared" si="5"/>
        <v>84</v>
      </c>
      <c r="I86" s="4">
        <v>190414.27366291615</v>
      </c>
      <c r="J86" s="6">
        <v>93449.49662541147</v>
      </c>
      <c r="K86" s="2">
        <v>133394.59518321144</v>
      </c>
      <c r="L86" s="2">
        <v>169679.88361083536</v>
      </c>
      <c r="M86" s="2">
        <v>150447.26446500063</v>
      </c>
      <c r="N86" s="3">
        <f t="shared" si="6"/>
        <v>189940.60584252491</v>
      </c>
      <c r="O86" s="5">
        <f t="shared" si="7"/>
        <v>93277.762869200349</v>
      </c>
      <c r="Q86" s="3">
        <f t="shared" si="8"/>
        <v>189940.60584252491</v>
      </c>
      <c r="S86" s="3">
        <f t="shared" si="9"/>
        <v>93277.762869200349</v>
      </c>
    </row>
    <row r="87" spans="1:19">
      <c r="A87">
        <v>85</v>
      </c>
      <c r="B87" s="2">
        <v>568.61068702290083</v>
      </c>
      <c r="C87" s="2">
        <v>284.30534351145042</v>
      </c>
      <c r="D87" s="2">
        <v>279.05671909966657</v>
      </c>
      <c r="E87" s="2">
        <v>398.33984581713406</v>
      </c>
      <c r="F87" s="2">
        <v>506.69413241951293</v>
      </c>
      <c r="G87" s="2">
        <v>449.26213126017564</v>
      </c>
      <c r="H87" s="2">
        <f t="shared" si="5"/>
        <v>85</v>
      </c>
      <c r="I87" s="4">
        <v>190982.88434993906</v>
      </c>
      <c r="J87" s="6">
        <v>93728.553344511136</v>
      </c>
      <c r="K87" s="2">
        <v>133792.93502902857</v>
      </c>
      <c r="L87" s="2">
        <v>170186.57774325486</v>
      </c>
      <c r="M87" s="2">
        <v>150896.52659626081</v>
      </c>
      <c r="N87" s="3">
        <f t="shared" si="6"/>
        <v>190524.42737377924</v>
      </c>
      <c r="O87" s="5">
        <f t="shared" si="7"/>
        <v>93564.47126474703</v>
      </c>
      <c r="Q87" s="3">
        <f t="shared" si="8"/>
        <v>190524.42737377924</v>
      </c>
      <c r="S87" s="3">
        <f t="shared" si="9"/>
        <v>93564.47126474703</v>
      </c>
    </row>
    <row r="88" spans="1:19">
      <c r="A88">
        <v>86</v>
      </c>
      <c r="B88" s="2">
        <v>562.17358490566039</v>
      </c>
      <c r="C88" s="2">
        <v>281.0867924528302</v>
      </c>
      <c r="D88" s="2">
        <v>275.89758643061367</v>
      </c>
      <c r="E88" s="2">
        <v>393.83033812863795</v>
      </c>
      <c r="F88" s="2">
        <v>500.95797242985782</v>
      </c>
      <c r="G88" s="2">
        <v>444.17614486855075</v>
      </c>
      <c r="H88" s="2">
        <f t="shared" si="5"/>
        <v>86</v>
      </c>
      <c r="I88" s="4">
        <v>191545.05793484472</v>
      </c>
      <c r="J88" s="6">
        <v>94004.450930941748</v>
      </c>
      <c r="K88" s="2">
        <v>134186.7653671572</v>
      </c>
      <c r="L88" s="2">
        <v>170687.53571568473</v>
      </c>
      <c r="M88" s="2">
        <v>151340.70274112935</v>
      </c>
      <c r="N88" s="3">
        <f t="shared" si="6"/>
        <v>191101.57651287218</v>
      </c>
      <c r="O88" s="5">
        <f t="shared" si="7"/>
        <v>93847.902921172878</v>
      </c>
      <c r="Q88" s="3">
        <f t="shared" si="8"/>
        <v>191101.57651287218</v>
      </c>
      <c r="S88" s="3">
        <f t="shared" si="9"/>
        <v>93847.902921172878</v>
      </c>
    </row>
    <row r="89" spans="1:19">
      <c r="A89">
        <v>87</v>
      </c>
      <c r="B89" s="2">
        <v>555.88059701492546</v>
      </c>
      <c r="C89" s="2">
        <v>277.94029850746273</v>
      </c>
      <c r="D89" s="2">
        <v>272.80918061236105</v>
      </c>
      <c r="E89" s="2">
        <v>389.42178956749694</v>
      </c>
      <c r="F89" s="2">
        <v>495.35023393250901</v>
      </c>
      <c r="G89" s="2">
        <v>439.20402384390326</v>
      </c>
      <c r="H89" s="2">
        <f t="shared" si="5"/>
        <v>87</v>
      </c>
      <c r="I89" s="4">
        <v>192100.93853185963</v>
      </c>
      <c r="J89" s="6">
        <v>94277.260111554104</v>
      </c>
      <c r="K89" s="2">
        <v>134576.18715672471</v>
      </c>
      <c r="L89" s="2">
        <v>171182.88594961725</v>
      </c>
      <c r="M89" s="2">
        <v>151779.90676497325</v>
      </c>
      <c r="N89" s="3">
        <f t="shared" si="6"/>
        <v>191672.20405319583</v>
      </c>
      <c r="O89" s="5">
        <f t="shared" si="7"/>
        <v>94128.131891470432</v>
      </c>
      <c r="Q89" s="3">
        <f t="shared" si="8"/>
        <v>191672.20405319583</v>
      </c>
      <c r="S89" s="3">
        <f t="shared" si="9"/>
        <v>94128.131891470432</v>
      </c>
    </row>
    <row r="90" spans="1:19">
      <c r="A90">
        <v>88</v>
      </c>
      <c r="B90" s="2">
        <v>549.7269372693728</v>
      </c>
      <c r="C90" s="2">
        <v>274.8634686346864</v>
      </c>
      <c r="D90" s="2">
        <v>269.78915278270364</v>
      </c>
      <c r="E90" s="2">
        <v>385.11084724756137</v>
      </c>
      <c r="F90" s="2">
        <v>489.86665200705693</v>
      </c>
      <c r="G90" s="2">
        <v>434.34198667957946</v>
      </c>
      <c r="H90" s="2">
        <f t="shared" si="5"/>
        <v>88</v>
      </c>
      <c r="I90" s="4">
        <v>192650.66546912902</v>
      </c>
      <c r="J90" s="6">
        <v>94547.049264336805</v>
      </c>
      <c r="K90" s="2">
        <v>134961.29800397228</v>
      </c>
      <c r="L90" s="2">
        <v>171672.75260162432</v>
      </c>
      <c r="M90" s="2">
        <v>152214.24875165283</v>
      </c>
      <c r="N90" s="3">
        <f t="shared" si="6"/>
        <v>192236.45573340115</v>
      </c>
      <c r="O90" s="5">
        <f t="shared" si="7"/>
        <v>94405.229746303929</v>
      </c>
      <c r="Q90" s="3">
        <f t="shared" si="8"/>
        <v>192236.45573340115</v>
      </c>
      <c r="S90" s="3">
        <f t="shared" si="9"/>
        <v>94405.229746303929</v>
      </c>
    </row>
    <row r="91" spans="1:19">
      <c r="A91">
        <v>89</v>
      </c>
      <c r="B91" s="2">
        <v>543.70802919708035</v>
      </c>
      <c r="C91" s="2">
        <v>271.85401459854018</v>
      </c>
      <c r="D91" s="2">
        <v>266.83525694931632</v>
      </c>
      <c r="E91" s="2">
        <v>380.89430512441265</v>
      </c>
      <c r="F91" s="2">
        <v>484.50314851792842</v>
      </c>
      <c r="G91" s="2">
        <v>429.5864174823576</v>
      </c>
      <c r="H91" s="2">
        <f t="shared" si="5"/>
        <v>89</v>
      </c>
      <c r="I91" s="4">
        <v>193194.37349832611</v>
      </c>
      <c r="J91" s="6">
        <v>94813.88452128612</v>
      </c>
      <c r="K91" s="2">
        <v>135342.19230909669</v>
      </c>
      <c r="L91" s="2">
        <v>172157.25575014224</v>
      </c>
      <c r="M91" s="2">
        <v>152643.83516913519</v>
      </c>
      <c r="N91" s="3">
        <f t="shared" si="6"/>
        <v>192794.47246082369</v>
      </c>
      <c r="O91" s="5">
        <f t="shared" si="7"/>
        <v>94679.265683731239</v>
      </c>
      <c r="Q91" s="3">
        <f t="shared" si="8"/>
        <v>192794.47246082369</v>
      </c>
      <c r="S91" s="3">
        <f t="shared" si="9"/>
        <v>94679.265683731239</v>
      </c>
    </row>
    <row r="92" spans="1:19">
      <c r="A92">
        <v>90</v>
      </c>
      <c r="B92" s="2">
        <v>537.81949458483757</v>
      </c>
      <c r="C92" s="2">
        <v>268.90974729241879</v>
      </c>
      <c r="D92" s="2">
        <v>263.94534441917938</v>
      </c>
      <c r="E92" s="2">
        <v>376.76909604364306</v>
      </c>
      <c r="F92" s="2">
        <v>479.25582199968392</v>
      </c>
      <c r="G92" s="2">
        <v>424.93385700420959</v>
      </c>
      <c r="H92" s="2">
        <f t="shared" si="5"/>
        <v>90</v>
      </c>
      <c r="I92" s="4">
        <v>193732.19299291095</v>
      </c>
      <c r="J92" s="6">
        <v>95077.829865705295</v>
      </c>
      <c r="K92" s="2">
        <v>135718.96140514032</v>
      </c>
      <c r="L92" s="2">
        <v>172636.51157214193</v>
      </c>
      <c r="M92" s="2">
        <v>153068.7690261394</v>
      </c>
      <c r="N92" s="3">
        <f t="shared" si="6"/>
        <v>193346.39052269931</v>
      </c>
      <c r="O92" s="5">
        <f t="shared" si="7"/>
        <v>94950.306632929554</v>
      </c>
      <c r="Q92" s="3">
        <f t="shared" si="8"/>
        <v>193346.39052269931</v>
      </c>
      <c r="S92" s="3">
        <f t="shared" si="9"/>
        <v>94950.306632929554</v>
      </c>
    </row>
    <row r="93" spans="1:19">
      <c r="A93">
        <v>91</v>
      </c>
      <c r="B93" s="2">
        <v>532.05714285714282</v>
      </c>
      <c r="C93" s="2">
        <v>266.02857142857141</v>
      </c>
      <c r="D93" s="2">
        <v>261.11735858611701</v>
      </c>
      <c r="E93" s="2">
        <v>372.73228430031855</v>
      </c>
      <c r="F93" s="2">
        <v>474.12093819254437</v>
      </c>
      <c r="G93" s="2">
        <v>420.38099425059312</v>
      </c>
      <c r="H93" s="2">
        <f t="shared" si="5"/>
        <v>91</v>
      </c>
      <c r="I93" s="4">
        <v>194264.25013576809</v>
      </c>
      <c r="J93" s="6">
        <v>95338.947224291405</v>
      </c>
      <c r="K93" s="2">
        <v>136091.69368944064</v>
      </c>
      <c r="L93" s="2">
        <v>173110.63251033449</v>
      </c>
      <c r="M93" s="2">
        <v>153489.15002038999</v>
      </c>
      <c r="N93" s="3">
        <f t="shared" si="6"/>
        <v>193892.34178596217</v>
      </c>
      <c r="O93" s="5">
        <f t="shared" si="7"/>
        <v>95218.417352314093</v>
      </c>
      <c r="Q93" s="3">
        <f t="shared" si="8"/>
        <v>193892.34178596217</v>
      </c>
      <c r="S93" s="3">
        <f t="shared" si="9"/>
        <v>95218.417352314093</v>
      </c>
    </row>
    <row r="94" spans="1:19">
      <c r="A94">
        <v>92</v>
      </c>
      <c r="B94" s="2">
        <v>526.41696113074204</v>
      </c>
      <c r="C94" s="2">
        <v>263.20848056537102</v>
      </c>
      <c r="D94" s="2">
        <v>258.34933004986812</v>
      </c>
      <c r="E94" s="2">
        <v>368.78105867169319</v>
      </c>
      <c r="F94" s="2">
        <v>469.0949211799026</v>
      </c>
      <c r="G94" s="2">
        <v>415.92465862249492</v>
      </c>
      <c r="H94" s="2">
        <f t="shared" si="5"/>
        <v>92</v>
      </c>
      <c r="I94" s="4">
        <v>194790.66709689883</v>
      </c>
      <c r="J94" s="6">
        <v>95597.296554341272</v>
      </c>
      <c r="K94" s="2">
        <v>136460.47474811232</v>
      </c>
      <c r="L94" s="2">
        <v>173579.72743151439</v>
      </c>
      <c r="M94" s="2">
        <v>153905.0746790125</v>
      </c>
      <c r="N94" s="3">
        <f t="shared" si="6"/>
        <v>194432.45388635795</v>
      </c>
      <c r="O94" s="5">
        <f t="shared" si="7"/>
        <v>95483.660522409453</v>
      </c>
      <c r="Q94" s="3">
        <f t="shared" si="8"/>
        <v>194432.45388635795</v>
      </c>
      <c r="S94" s="3">
        <f t="shared" si="9"/>
        <v>95483.660522409453</v>
      </c>
    </row>
    <row r="95" spans="1:19">
      <c r="A95">
        <v>93</v>
      </c>
      <c r="B95" s="2">
        <v>520.89510489510496</v>
      </c>
      <c r="C95" s="2">
        <v>260.44755244755248</v>
      </c>
      <c r="D95" s="2">
        <v>255.63937204235219</v>
      </c>
      <c r="E95" s="2">
        <v>364.91272588842361</v>
      </c>
      <c r="F95" s="2">
        <v>464.17434508360981</v>
      </c>
      <c r="G95" s="2">
        <v>411.56181255302806</v>
      </c>
      <c r="H95" s="2">
        <f t="shared" si="5"/>
        <v>93</v>
      </c>
      <c r="I95" s="4">
        <v>195311.56220179395</v>
      </c>
      <c r="J95" s="6">
        <v>95852.935926383623</v>
      </c>
      <c r="K95" s="2">
        <v>136825.38747400074</v>
      </c>
      <c r="L95" s="2">
        <v>174043.90177659801</v>
      </c>
      <c r="M95" s="2">
        <v>154316.63649156553</v>
      </c>
      <c r="N95" s="3">
        <f t="shared" si="6"/>
        <v>194966.85040755005</v>
      </c>
      <c r="O95" s="5">
        <f t="shared" si="7"/>
        <v>95746.096833806761</v>
      </c>
      <c r="Q95" s="3">
        <f t="shared" si="8"/>
        <v>194966.85040755005</v>
      </c>
      <c r="S95" s="3">
        <f t="shared" si="9"/>
        <v>95746.096833806761</v>
      </c>
    </row>
    <row r="96" spans="1:19">
      <c r="A96">
        <v>94</v>
      </c>
      <c r="B96" s="2">
        <v>515.48788927335647</v>
      </c>
      <c r="C96" s="2">
        <v>257.74394463667824</v>
      </c>
      <c r="D96" s="2">
        <v>252.98567613879814</v>
      </c>
      <c r="E96" s="2">
        <v>361.1247045124191</v>
      </c>
      <c r="F96" s="2">
        <v>459.35592627651351</v>
      </c>
      <c r="G96" s="2">
        <v>407.28954460265066</v>
      </c>
      <c r="H96" s="2">
        <f t="shared" si="5"/>
        <v>94</v>
      </c>
      <c r="I96" s="4">
        <v>195827.0500910673</v>
      </c>
      <c r="J96" s="6">
        <v>96105.921602522416</v>
      </c>
      <c r="K96" s="2">
        <v>137186.51217851316</v>
      </c>
      <c r="L96" s="2">
        <v>174503.25770287451</v>
      </c>
      <c r="M96" s="2">
        <v>154723.92603616818</v>
      </c>
      <c r="N96" s="3">
        <f t="shared" si="6"/>
        <v>195495.65105084851</v>
      </c>
      <c r="O96" s="5">
        <f t="shared" si="7"/>
        <v>96005.785070515703</v>
      </c>
      <c r="Q96" s="3">
        <f t="shared" si="8"/>
        <v>195495.65105084851</v>
      </c>
      <c r="S96" s="3">
        <f t="shared" si="9"/>
        <v>96005.785070515703</v>
      </c>
    </row>
    <row r="97" spans="1:19">
      <c r="A97">
        <v>95</v>
      </c>
      <c r="B97" s="2">
        <v>510.19178082191786</v>
      </c>
      <c r="C97" s="2">
        <v>255.09589041095893</v>
      </c>
      <c r="D97" s="2">
        <v>250.38650823326267</v>
      </c>
      <c r="E97" s="2">
        <v>357.41451919208606</v>
      </c>
      <c r="F97" s="2">
        <v>454.63651607504255</v>
      </c>
      <c r="G97" s="2">
        <v>403.1050629800207</v>
      </c>
      <c r="H97" s="2">
        <f t="shared" si="5"/>
        <v>95</v>
      </c>
      <c r="I97" s="4">
        <v>196337.24187188921</v>
      </c>
      <c r="J97" s="6">
        <v>96356.308110755679</v>
      </c>
      <c r="K97" s="2">
        <v>137543.92669770526</v>
      </c>
      <c r="L97" s="2">
        <v>174957.89421894954</v>
      </c>
      <c r="M97" s="2">
        <v>155127.03109914821</v>
      </c>
      <c r="N97" s="3">
        <f t="shared" si="6"/>
        <v>196018.9717961436</v>
      </c>
      <c r="O97" s="5">
        <f t="shared" si="7"/>
        <v>96262.782188997255</v>
      </c>
      <c r="Q97" s="3">
        <f t="shared" si="8"/>
        <v>196018.9717961436</v>
      </c>
      <c r="S97" s="3">
        <f t="shared" si="9"/>
        <v>96262.782188997255</v>
      </c>
    </row>
    <row r="98" spans="1:19">
      <c r="A98">
        <v>96</v>
      </c>
      <c r="B98" s="2">
        <v>505.00338983050852</v>
      </c>
      <c r="C98" s="2">
        <v>252.50169491525426</v>
      </c>
      <c r="D98" s="2">
        <v>247.84020475970371</v>
      </c>
      <c r="E98" s="2">
        <v>353.77979526809855</v>
      </c>
      <c r="F98" s="2">
        <v>450.01309387766918</v>
      </c>
      <c r="G98" s="2">
        <v>399.00568945818986</v>
      </c>
      <c r="H98" s="2">
        <f t="shared" si="5"/>
        <v>96</v>
      </c>
      <c r="I98" s="4">
        <v>196842.24526171971</v>
      </c>
      <c r="J98" s="6">
        <v>96604.148315515384</v>
      </c>
      <c r="K98" s="2">
        <v>137897.70649297335</v>
      </c>
      <c r="L98" s="2">
        <v>175407.90731282721</v>
      </c>
      <c r="M98" s="2">
        <v>155526.03678860641</v>
      </c>
      <c r="N98" s="3">
        <f t="shared" si="6"/>
        <v>196536.92505458664</v>
      </c>
      <c r="O98" s="5">
        <f t="shared" si="7"/>
        <v>96517.143393143531</v>
      </c>
      <c r="Q98" s="3">
        <f t="shared" si="8"/>
        <v>196536.92505458664</v>
      </c>
      <c r="S98" s="3">
        <f t="shared" si="9"/>
        <v>96517.143393143531</v>
      </c>
    </row>
    <row r="99" spans="1:19">
      <c r="A99">
        <v>97</v>
      </c>
      <c r="B99" s="2">
        <v>499.9194630872484</v>
      </c>
      <c r="C99" s="2">
        <v>249.9597315436242</v>
      </c>
      <c r="D99" s="2">
        <v>245.3451691413178</v>
      </c>
      <c r="E99" s="2">
        <v>350.21825370499704</v>
      </c>
      <c r="F99" s="2">
        <v>445.48276071782681</v>
      </c>
      <c r="G99" s="2">
        <v>394.98885365827522</v>
      </c>
      <c r="H99" s="2">
        <f t="shared" si="5"/>
        <v>97</v>
      </c>
      <c r="I99" s="4">
        <v>197342.16472480696</v>
      </c>
      <c r="J99" s="6">
        <v>96849.493484656705</v>
      </c>
      <c r="K99" s="2">
        <v>138247.92474667836</v>
      </c>
      <c r="L99" s="2">
        <v>175853.39007354504</v>
      </c>
      <c r="M99" s="2">
        <v>155921.02564226469</v>
      </c>
      <c r="N99" s="3">
        <f t="shared" si="6"/>
        <v>197049.61981351956</v>
      </c>
      <c r="O99" s="5">
        <f t="shared" si="7"/>
        <v>96768.922205451192</v>
      </c>
      <c r="Q99" s="3">
        <f t="shared" si="8"/>
        <v>197049.61981351956</v>
      </c>
      <c r="S99" s="3">
        <f t="shared" si="9"/>
        <v>96768.922205451192</v>
      </c>
    </row>
    <row r="100" spans="1:19">
      <c r="A100">
        <v>98</v>
      </c>
      <c r="B100" s="2">
        <v>494.93687707641203</v>
      </c>
      <c r="C100" s="2">
        <v>247.46843853820602</v>
      </c>
      <c r="D100" s="2">
        <v>242.8998684522017</v>
      </c>
      <c r="E100" s="2">
        <v>346.72770632587748</v>
      </c>
      <c r="F100" s="2">
        <v>441.04273320236683</v>
      </c>
      <c r="G100" s="2">
        <v>391.05208767497027</v>
      </c>
      <c r="H100" s="2">
        <f t="shared" si="5"/>
        <v>98</v>
      </c>
      <c r="I100" s="4">
        <v>197837.10160188336</v>
      </c>
      <c r="J100" s="6">
        <v>97092.393353108913</v>
      </c>
      <c r="K100" s="2">
        <v>138594.65245300424</v>
      </c>
      <c r="L100" s="2">
        <v>176294.43280674741</v>
      </c>
      <c r="M100" s="2">
        <v>156312.07772993966</v>
      </c>
      <c r="N100" s="3">
        <f t="shared" si="6"/>
        <v>197557.16177412137</v>
      </c>
      <c r="O100" s="5">
        <f t="shared" si="7"/>
        <v>97018.170534618024</v>
      </c>
      <c r="Q100" s="3">
        <f t="shared" si="8"/>
        <v>197557.16177412137</v>
      </c>
      <c r="S100" s="3">
        <f t="shared" si="9"/>
        <v>97018.170534618024</v>
      </c>
    </row>
    <row r="101" spans="1:19">
      <c r="A101">
        <v>99</v>
      </c>
      <c r="B101" s="2">
        <v>490.05263157894746</v>
      </c>
      <c r="C101" s="2">
        <v>245.02631578947373</v>
      </c>
      <c r="D101" s="2">
        <v>240.50283027668652</v>
      </c>
      <c r="E101" s="2">
        <v>343.30605132924052</v>
      </c>
      <c r="F101" s="2">
        <v>436.69033780892238</v>
      </c>
      <c r="G101" s="2">
        <v>387.19302102028291</v>
      </c>
      <c r="H101" s="2">
        <f t="shared" si="5"/>
        <v>99</v>
      </c>
      <c r="I101" s="4">
        <v>198327.15423346232</v>
      </c>
      <c r="J101" s="6">
        <v>97332.896183385601</v>
      </c>
      <c r="K101" s="2">
        <v>138937.95850433348</v>
      </c>
      <c r="L101" s="2">
        <v>176731.12314455633</v>
      </c>
      <c r="M101" s="2">
        <v>156699.27075095993</v>
      </c>
      <c r="N101" s="3">
        <f t="shared" si="6"/>
        <v>198059.65348220637</v>
      </c>
      <c r="O101" s="5">
        <f t="shared" si="7"/>
        <v>97264.938739776597</v>
      </c>
      <c r="Q101" s="3">
        <f t="shared" si="8"/>
        <v>198059.65348220637</v>
      </c>
      <c r="S101" s="3">
        <f t="shared" si="9"/>
        <v>97264.938739776597</v>
      </c>
    </row>
    <row r="102" spans="1:19">
      <c r="A102">
        <v>100</v>
      </c>
      <c r="B102" s="2">
        <v>485.26384364820854</v>
      </c>
      <c r="C102" s="2">
        <v>242.63192182410427</v>
      </c>
      <c r="D102" s="2">
        <v>238.15263975281013</v>
      </c>
      <c r="E102" s="2">
        <v>339.95126906869444</v>
      </c>
      <c r="F102" s="2">
        <v>432.42300551763003</v>
      </c>
      <c r="G102" s="2">
        <v>383.40937586373309</v>
      </c>
      <c r="H102" s="2">
        <f t="shared" si="5"/>
        <v>100</v>
      </c>
      <c r="I102" s="4">
        <v>198812.41807711055</v>
      </c>
      <c r="J102" s="6">
        <v>97571.048823138408</v>
      </c>
      <c r="K102" s="2">
        <v>139277.90977340218</v>
      </c>
      <c r="L102" s="2">
        <v>177163.54615007396</v>
      </c>
      <c r="M102" s="2">
        <v>157082.68012682366</v>
      </c>
      <c r="N102" s="3">
        <f t="shared" si="6"/>
        <v>198557.19445257843</v>
      </c>
      <c r="O102" s="5">
        <f t="shared" si="7"/>
        <v>97509.275691563278</v>
      </c>
      <c r="Q102" s="3">
        <f t="shared" si="8"/>
        <v>198557.19445257843</v>
      </c>
      <c r="S102" s="3">
        <f t="shared" si="9"/>
        <v>97509.275691563278</v>
      </c>
    </row>
    <row r="103" spans="1:19">
      <c r="A103">
        <v>101</v>
      </c>
      <c r="B103" s="2">
        <v>480.56774193548392</v>
      </c>
      <c r="C103" s="2">
        <v>240.28387096774196</v>
      </c>
      <c r="D103" s="2">
        <v>235.84793678746018</v>
      </c>
      <c r="E103" s="2">
        <v>336.66141807770674</v>
      </c>
      <c r="F103" s="2">
        <v>428.23826675455604</v>
      </c>
      <c r="G103" s="2">
        <v>379.69896254892257</v>
      </c>
      <c r="H103" s="2">
        <f t="shared" si="5"/>
        <v>101</v>
      </c>
      <c r="I103" s="4">
        <v>199292.98581904604</v>
      </c>
      <c r="J103" s="6">
        <v>97806.896759925861</v>
      </c>
      <c r="K103" s="2">
        <v>139614.57119147989</v>
      </c>
      <c r="L103" s="2">
        <v>177591.78441682851</v>
      </c>
      <c r="M103" s="2">
        <v>157462.37908937258</v>
      </c>
      <c r="N103" s="3">
        <f t="shared" si="6"/>
        <v>199049.88128731938</v>
      </c>
      <c r="O103" s="5">
        <f t="shared" si="7"/>
        <v>97751.228830208318</v>
      </c>
      <c r="Q103" s="3">
        <f t="shared" si="8"/>
        <v>199049.88128731938</v>
      </c>
      <c r="S103" s="3">
        <f t="shared" si="9"/>
        <v>97751.228830208318</v>
      </c>
    </row>
    <row r="104" spans="1:19">
      <c r="A104">
        <v>102</v>
      </c>
      <c r="B104" s="2">
        <v>475.96166134185307</v>
      </c>
      <c r="C104" s="2">
        <v>237.98083067092654</v>
      </c>
      <c r="D104" s="2">
        <v>233.58741343166994</v>
      </c>
      <c r="E104" s="2">
        <v>333.43463132296853</v>
      </c>
      <c r="F104" s="2">
        <v>424.13374662591821</v>
      </c>
      <c r="G104" s="2">
        <v>376.05967536794259</v>
      </c>
      <c r="H104" s="2">
        <f t="shared" si="5"/>
        <v>102</v>
      </c>
      <c r="I104" s="4">
        <v>199768.9474803879</v>
      </c>
      <c r="J104" s="6">
        <v>98040.48417335753</v>
      </c>
      <c r="K104" s="2">
        <v>139948.00582280286</v>
      </c>
      <c r="L104" s="2">
        <v>178015.91816345442</v>
      </c>
      <c r="M104" s="2">
        <v>157838.43876474054</v>
      </c>
      <c r="N104" s="3">
        <f t="shared" si="6"/>
        <v>199537.80778836209</v>
      </c>
      <c r="O104" s="5">
        <f t="shared" si="7"/>
        <v>97990.844220819403</v>
      </c>
      <c r="Q104" s="3">
        <f t="shared" si="8"/>
        <v>199537.80778836209</v>
      </c>
      <c r="S104" s="3">
        <f t="shared" si="9"/>
        <v>97990.844220819403</v>
      </c>
    </row>
    <row r="105" spans="1:19">
      <c r="A105">
        <v>103</v>
      </c>
      <c r="B105" s="2">
        <v>471.44303797468359</v>
      </c>
      <c r="C105" s="2">
        <v>235.7215189873418</v>
      </c>
      <c r="D105" s="2">
        <v>231.36981140542002</v>
      </c>
      <c r="E105" s="2">
        <v>330.26911267116839</v>
      </c>
      <c r="F105" s="2">
        <v>420.10716042377356</v>
      </c>
      <c r="G105" s="2">
        <v>372.48948857647497</v>
      </c>
      <c r="H105" s="2">
        <f t="shared" si="5"/>
        <v>103</v>
      </c>
      <c r="I105" s="4">
        <v>200240.39051836258</v>
      </c>
      <c r="J105" s="6">
        <v>98271.853984762944</v>
      </c>
      <c r="K105" s="2">
        <v>140278.27493547404</v>
      </c>
      <c r="L105" s="2">
        <v>178436.02532387819</v>
      </c>
      <c r="M105" s="2">
        <v>158210.92825331702</v>
      </c>
      <c r="N105" s="3">
        <f t="shared" si="6"/>
        <v>200021.06506467771</v>
      </c>
      <c r="O105" s="5">
        <f t="shared" si="7"/>
        <v>98228.166606019935</v>
      </c>
      <c r="Q105" s="3">
        <f t="shared" si="8"/>
        <v>200021.06506467771</v>
      </c>
      <c r="S105" s="3">
        <f t="shared" si="9"/>
        <v>98228.166606019935</v>
      </c>
    </row>
    <row r="106" spans="1:19">
      <c r="A106">
        <v>104</v>
      </c>
      <c r="B106" s="2">
        <v>467.00940438871476</v>
      </c>
      <c r="C106" s="2">
        <v>233.50470219435738</v>
      </c>
      <c r="D106" s="2">
        <v>229.19391976210886</v>
      </c>
      <c r="E106" s="2">
        <v>327.16313355513842</v>
      </c>
      <c r="F106" s="2">
        <v>416.15630938530541</v>
      </c>
      <c r="G106" s="2">
        <v>368.98645263374937</v>
      </c>
      <c r="H106" s="2">
        <f t="shared" si="5"/>
        <v>104</v>
      </c>
      <c r="I106" s="4">
        <v>200707.3999227513</v>
      </c>
      <c r="J106" s="6">
        <v>98501.047904525054</v>
      </c>
      <c r="K106" s="2">
        <v>140605.43806902919</v>
      </c>
      <c r="L106" s="2">
        <v>178852.18163326351</v>
      </c>
      <c r="M106" s="2">
        <v>158579.91470595077</v>
      </c>
      <c r="N106" s="3">
        <f t="shared" si="6"/>
        <v>200499.74163438217</v>
      </c>
      <c r="O106" s="5">
        <f t="shared" si="7"/>
        <v>98463.239456092619</v>
      </c>
      <c r="Q106" s="3">
        <f t="shared" si="8"/>
        <v>200499.74163438217</v>
      </c>
      <c r="S106" s="3">
        <f t="shared" si="9"/>
        <v>98463.239456092619</v>
      </c>
    </row>
    <row r="107" spans="1:19">
      <c r="A107">
        <v>105</v>
      </c>
      <c r="B107" s="2">
        <v>462.65838509316768</v>
      </c>
      <c r="C107" s="2">
        <v>231.32919254658384</v>
      </c>
      <c r="D107" s="2">
        <v>227.05857268357977</v>
      </c>
      <c r="E107" s="2">
        <v>324.1150298263637</v>
      </c>
      <c r="F107" s="2">
        <v>412.27907668916896</v>
      </c>
      <c r="G107" s="2">
        <v>365.54869065268952</v>
      </c>
      <c r="H107" s="2">
        <f t="shared" si="5"/>
        <v>105</v>
      </c>
      <c r="I107" s="4">
        <v>201170.05830784448</v>
      </c>
      <c r="J107" s="6">
        <v>98728.106477208639</v>
      </c>
      <c r="K107" s="2">
        <v>140929.55309885554</v>
      </c>
      <c r="L107" s="2">
        <v>179264.46070995266</v>
      </c>
      <c r="M107" s="2">
        <v>158945.46339660345</v>
      </c>
      <c r="N107" s="3">
        <f t="shared" si="6"/>
        <v>200973.92352204901</v>
      </c>
      <c r="O107" s="5">
        <f t="shared" si="7"/>
        <v>98696.105016768634</v>
      </c>
      <c r="Q107" s="3">
        <f t="shared" si="8"/>
        <v>200973.92352204901</v>
      </c>
      <c r="S107" s="3">
        <f t="shared" si="9"/>
        <v>98696.105016768634</v>
      </c>
    </row>
    <row r="108" spans="1:19">
      <c r="A108">
        <v>106</v>
      </c>
      <c r="B108" s="2">
        <v>458.3876923076923</v>
      </c>
      <c r="C108" s="2">
        <v>229.19384615384615</v>
      </c>
      <c r="D108" s="2">
        <v>224.96264739726982</v>
      </c>
      <c r="E108" s="2">
        <v>321.12319878181262</v>
      </c>
      <c r="F108" s="2">
        <v>408.47342367357658</v>
      </c>
      <c r="G108" s="2">
        <v>362.17439504666464</v>
      </c>
      <c r="H108" s="2">
        <f t="shared" si="5"/>
        <v>106</v>
      </c>
      <c r="I108" s="4">
        <v>201628.44600015218</v>
      </c>
      <c r="J108" s="6">
        <v>98953.069124605914</v>
      </c>
      <c r="K108" s="2">
        <v>141250.67629763734</v>
      </c>
      <c r="L108" s="2">
        <v>179672.93413362623</v>
      </c>
      <c r="M108" s="2">
        <v>159307.63779165011</v>
      </c>
      <c r="N108" s="3">
        <f t="shared" si="6"/>
        <v>201443.69435149585</v>
      </c>
      <c r="O108" s="5">
        <f t="shared" si="7"/>
        <v>98926.804354794003</v>
      </c>
      <c r="Q108" s="3">
        <f t="shared" si="8"/>
        <v>201443.69435149585</v>
      </c>
      <c r="S108" s="3">
        <f t="shared" si="9"/>
        <v>98926.804354794003</v>
      </c>
    </row>
    <row r="109" spans="1:19">
      <c r="A109">
        <v>107</v>
      </c>
      <c r="B109" s="2">
        <v>454.19512195121956</v>
      </c>
      <c r="C109" s="2">
        <v>227.09756097560978</v>
      </c>
      <c r="D109" s="2">
        <v>222.90506220766082</v>
      </c>
      <c r="E109" s="2">
        <v>318.18609635393034</v>
      </c>
      <c r="F109" s="2">
        <v>404.73738626192807</v>
      </c>
      <c r="G109" s="2">
        <v>358.86182436026229</v>
      </c>
      <c r="H109" s="2">
        <f t="shared" si="5"/>
        <v>107</v>
      </c>
      <c r="I109" s="4">
        <v>202082.64112210341</v>
      </c>
      <c r="J109" s="6">
        <v>99175.974186813575</v>
      </c>
      <c r="K109" s="2">
        <v>141568.86239399126</v>
      </c>
      <c r="L109" s="2">
        <v>180077.67151988816</v>
      </c>
      <c r="M109" s="2">
        <v>159666.49961601038</v>
      </c>
      <c r="N109" s="3">
        <f t="shared" si="6"/>
        <v>201909.13543429453</v>
      </c>
      <c r="O109" s="5">
        <f t="shared" si="7"/>
        <v>99155.377401396123</v>
      </c>
      <c r="Q109" s="3">
        <f t="shared" si="8"/>
        <v>201909.13543429453</v>
      </c>
      <c r="S109" s="3">
        <f t="shared" si="9"/>
        <v>99155.377401396123</v>
      </c>
    </row>
    <row r="110" spans="1:19">
      <c r="A110">
        <v>108</v>
      </c>
      <c r="B110" s="2">
        <v>450.0785498489426</v>
      </c>
      <c r="C110" s="2">
        <v>225.0392749244713</v>
      </c>
      <c r="D110" s="2">
        <v>220.88477463478156</v>
      </c>
      <c r="E110" s="2">
        <v>315.30223445344149</v>
      </c>
      <c r="F110" s="2">
        <v>401.06907158281695</v>
      </c>
      <c r="G110" s="2">
        <v>355.60930027240482</v>
      </c>
      <c r="H110" s="2">
        <f t="shared" si="5"/>
        <v>108</v>
      </c>
      <c r="I110" s="4">
        <v>202532.71967195236</v>
      </c>
      <c r="J110" s="6">
        <v>99396.85896144835</v>
      </c>
      <c r="K110" s="2">
        <v>141884.16462844471</v>
      </c>
      <c r="L110" s="2">
        <v>180478.74059147097</v>
      </c>
      <c r="M110" s="2">
        <v>160022.10891628277</v>
      </c>
      <c r="N110" s="3">
        <f t="shared" si="6"/>
        <v>202370.32585423978</v>
      </c>
      <c r="O110" s="5">
        <f t="shared" si="7"/>
        <v>99381.862993765288</v>
      </c>
      <c r="Q110" s="3">
        <f t="shared" si="8"/>
        <v>202370.32585423978</v>
      </c>
      <c r="S110" s="3">
        <f t="shared" si="9"/>
        <v>99381.862993765288</v>
      </c>
    </row>
    <row r="111" spans="1:19">
      <c r="A111">
        <v>109</v>
      </c>
      <c r="B111" s="2">
        <v>446.03592814371262</v>
      </c>
      <c r="C111" s="2">
        <v>223.01796407185631</v>
      </c>
      <c r="D111" s="2">
        <v>218.90077965303203</v>
      </c>
      <c r="E111" s="2">
        <v>312.47017845535674</v>
      </c>
      <c r="F111" s="2">
        <v>397.46665477219278</v>
      </c>
      <c r="G111" s="2">
        <v>352.41520476097617</v>
      </c>
      <c r="H111" s="2">
        <f t="shared" si="5"/>
        <v>109</v>
      </c>
      <c r="I111" s="4">
        <v>202978.75560009608</v>
      </c>
      <c r="J111" s="6">
        <v>99615.759741101385</v>
      </c>
      <c r="K111" s="2">
        <v>142196.63480690005</v>
      </c>
      <c r="L111" s="2">
        <v>180876.20724624317</v>
      </c>
      <c r="M111" s="2">
        <v>160374.52412104374</v>
      </c>
      <c r="N111" s="3">
        <f t="shared" si="6"/>
        <v>202827.34254799562</v>
      </c>
      <c r="O111" s="5">
        <f t="shared" si="7"/>
        <v>99606.29891465923</v>
      </c>
      <c r="Q111" s="3">
        <f t="shared" si="8"/>
        <v>202827.34254799562</v>
      </c>
      <c r="S111" s="3">
        <f t="shared" si="9"/>
        <v>99606.29891465923</v>
      </c>
    </row>
    <row r="112" spans="1:19">
      <c r="A112">
        <v>110</v>
      </c>
      <c r="B112" s="2">
        <v>442.06528189910989</v>
      </c>
      <c r="C112" s="2">
        <v>221.03264094955495</v>
      </c>
      <c r="D112" s="2">
        <v>216.95210802407354</v>
      </c>
      <c r="E112" s="2">
        <v>309.6885448192557</v>
      </c>
      <c r="F112" s="2">
        <v>393.92837594632772</v>
      </c>
      <c r="G112" s="2">
        <v>349.27797741889043</v>
      </c>
      <c r="H112" s="2">
        <f t="shared" si="5"/>
        <v>110</v>
      </c>
      <c r="I112" s="4">
        <v>203420.8208819952</v>
      </c>
      <c r="J112" s="6">
        <v>99832.711849125451</v>
      </c>
      <c r="K112" s="2">
        <v>142506.3233517193</v>
      </c>
      <c r="L112" s="2">
        <v>181270.1356221895</v>
      </c>
      <c r="M112" s="2">
        <v>160723.80209846262</v>
      </c>
      <c r="N112" s="3">
        <f t="shared" si="6"/>
        <v>203280.26038212507</v>
      </c>
      <c r="O112" s="5">
        <f t="shared" si="7"/>
        <v>99828.72193023171</v>
      </c>
      <c r="Q112" s="3">
        <f t="shared" si="8"/>
        <v>203280.26038212507</v>
      </c>
      <c r="S112" s="3">
        <f t="shared" si="9"/>
        <v>99828.72193023171</v>
      </c>
    </row>
    <row r="113" spans="1:19">
      <c r="A113">
        <v>111</v>
      </c>
      <c r="B113" s="2">
        <v>438.16470588235302</v>
      </c>
      <c r="C113" s="2">
        <v>219.08235294117651</v>
      </c>
      <c r="D113" s="2">
        <v>215.03782471797876</v>
      </c>
      <c r="E113" s="2">
        <v>306.95599883555656</v>
      </c>
      <c r="F113" s="2">
        <v>390.4525373350366</v>
      </c>
      <c r="G113" s="2">
        <v>346.19611291225317</v>
      </c>
      <c r="H113" s="2">
        <f t="shared" si="5"/>
        <v>111</v>
      </c>
      <c r="I113" s="4">
        <v>203858.98558787754</v>
      </c>
      <c r="J113" s="6">
        <v>100047.74967384343</v>
      </c>
      <c r="K113" s="2">
        <v>142813.27935055486</v>
      </c>
      <c r="L113" s="2">
        <v>181660.58815952454</v>
      </c>
      <c r="M113" s="2">
        <v>161069.99821137488</v>
      </c>
      <c r="N113" s="3">
        <f t="shared" si="6"/>
        <v>203729.15222669597</v>
      </c>
      <c r="O113" s="5">
        <f t="shared" si="7"/>
        <v>100049.1678261794</v>
      </c>
      <c r="Q113" s="3">
        <f t="shared" si="8"/>
        <v>203729.15222669597</v>
      </c>
      <c r="S113" s="3">
        <f t="shared" si="9"/>
        <v>100049.1678261794</v>
      </c>
    </row>
    <row r="114" spans="1:19">
      <c r="A114">
        <v>112</v>
      </c>
      <c r="B114" s="2">
        <v>434.33236151603506</v>
      </c>
      <c r="C114" s="2">
        <v>217.16618075801753</v>
      </c>
      <c r="D114" s="2">
        <v>213.15702741723834</v>
      </c>
      <c r="E114" s="2">
        <v>304.27125249005587</v>
      </c>
      <c r="F114" s="2">
        <v>387.03750056534221</v>
      </c>
      <c r="G114" s="2">
        <v>343.16815857191273</v>
      </c>
      <c r="H114" s="2">
        <f t="shared" si="5"/>
        <v>112</v>
      </c>
      <c r="I114" s="4">
        <v>204293.31794939359</v>
      </c>
      <c r="J114" s="6">
        <v>100260.90670126067</v>
      </c>
      <c r="K114" s="2">
        <v>143117.55060304492</v>
      </c>
      <c r="L114" s="2">
        <v>182047.62566008989</v>
      </c>
      <c r="M114" s="2">
        <v>161413.16636994679</v>
      </c>
      <c r="N114" s="3">
        <f t="shared" si="6"/>
        <v>204174.08902564479</v>
      </c>
      <c r="O114" s="5">
        <f t="shared" si="7"/>
        <v>100267.67144229685</v>
      </c>
      <c r="Q114" s="3">
        <f t="shared" si="8"/>
        <v>204174.08902564479</v>
      </c>
      <c r="S114" s="3">
        <f t="shared" si="9"/>
        <v>100267.67144229685</v>
      </c>
    </row>
    <row r="115" spans="1:19">
      <c r="A115">
        <v>113</v>
      </c>
      <c r="B115" s="2">
        <v>430.56647398843927</v>
      </c>
      <c r="C115" s="2">
        <v>215.28323699421964</v>
      </c>
      <c r="D115" s="2">
        <v>211.30884509859141</v>
      </c>
      <c r="E115" s="2">
        <v>301.63306243956367</v>
      </c>
      <c r="F115" s="2">
        <v>383.68168408645198</v>
      </c>
      <c r="G115" s="2">
        <v>340.19271211030633</v>
      </c>
      <c r="H115" s="2">
        <f t="shared" si="5"/>
        <v>113</v>
      </c>
      <c r="I115" s="4">
        <v>204723.88442338203</v>
      </c>
      <c r="J115" s="6">
        <v>100472.21554635926</v>
      </c>
      <c r="K115" s="2">
        <v>143419.18366548448</v>
      </c>
      <c r="L115" s="2">
        <v>182431.30734417634</v>
      </c>
      <c r="M115" s="2">
        <v>161753.35908205708</v>
      </c>
      <c r="N115" s="3">
        <f t="shared" si="6"/>
        <v>204615.13986406688</v>
      </c>
      <c r="O115" s="5">
        <f t="shared" si="7"/>
        <v>100484.26670552196</v>
      </c>
      <c r="Q115" s="3">
        <f t="shared" si="8"/>
        <v>204615.13986406688</v>
      </c>
      <c r="S115" s="3">
        <f t="shared" si="9"/>
        <v>100484.26670552196</v>
      </c>
    </row>
    <row r="116" spans="1:19">
      <c r="A116">
        <v>114</v>
      </c>
      <c r="B116" s="2">
        <v>426.86532951289405</v>
      </c>
      <c r="C116" s="2">
        <v>213.43266475644702</v>
      </c>
      <c r="D116" s="2">
        <v>209.49243668800207</v>
      </c>
      <c r="E116" s="2">
        <v>299.04022809194606</v>
      </c>
      <c r="F116" s="2">
        <v>380.38356072754272</v>
      </c>
      <c r="G116" s="2">
        <v>337.26841945606316</v>
      </c>
      <c r="H116" s="2">
        <f t="shared" si="5"/>
        <v>114</v>
      </c>
      <c r="I116" s="4">
        <v>205150.74975289492</v>
      </c>
      <c r="J116" s="6">
        <v>100681.70798304726</v>
      </c>
      <c r="K116" s="2">
        <v>143718.22389357642</v>
      </c>
      <c r="L116" s="2">
        <v>182811.69090490389</v>
      </c>
      <c r="M116" s="2">
        <v>162090.62750151314</v>
      </c>
      <c r="N116" s="3">
        <f t="shared" si="6"/>
        <v>205052.37203259417</v>
      </c>
      <c r="O116" s="5">
        <f t="shared" si="7"/>
        <v>100698.9866615512</v>
      </c>
      <c r="Q116" s="3">
        <f t="shared" si="8"/>
        <v>205052.37203259417</v>
      </c>
      <c r="S116" s="3">
        <f t="shared" si="9"/>
        <v>100698.9866615512</v>
      </c>
    </row>
    <row r="117" spans="1:19">
      <c r="A117">
        <v>115</v>
      </c>
      <c r="B117" s="2">
        <v>423.2272727272728</v>
      </c>
      <c r="C117" s="2">
        <v>211.6136363636364</v>
      </c>
      <c r="D117" s="2">
        <v>207.70698978441098</v>
      </c>
      <c r="E117" s="2">
        <v>296.49158978434411</v>
      </c>
      <c r="F117" s="2">
        <v>377.14165538043301</v>
      </c>
      <c r="G117" s="2">
        <v>334.39397269933534</v>
      </c>
      <c r="H117" s="2">
        <f t="shared" si="5"/>
        <v>115</v>
      </c>
      <c r="I117" s="4">
        <v>205573.97702562218</v>
      </c>
      <c r="J117" s="6">
        <v>100889.41497283167</v>
      </c>
      <c r="K117" s="2">
        <v>144014.71548336075</v>
      </c>
      <c r="L117" s="2">
        <v>183188.83256028433</v>
      </c>
      <c r="M117" s="2">
        <v>162425.02147421247</v>
      </c>
      <c r="N117" s="3">
        <f t="shared" si="6"/>
        <v>205485.85108900946</v>
      </c>
      <c r="O117" s="5">
        <f t="shared" si="7"/>
        <v>100911.86350509772</v>
      </c>
      <c r="Q117" s="3">
        <f t="shared" si="8"/>
        <v>205485.85108900946</v>
      </c>
      <c r="S117" s="3">
        <f t="shared" si="9"/>
        <v>100911.86350509772</v>
      </c>
    </row>
    <row r="118" spans="1:19">
      <c r="A118">
        <v>116</v>
      </c>
      <c r="B118" s="2">
        <v>419.65070422535211</v>
      </c>
      <c r="C118" s="2">
        <v>209.82535211267606</v>
      </c>
      <c r="D118" s="2">
        <v>205.9517194482045</v>
      </c>
      <c r="E118" s="2">
        <v>293.98602705377192</v>
      </c>
      <c r="F118" s="2">
        <v>373.95454279975309</v>
      </c>
      <c r="G118" s="2">
        <v>331.56810814131256</v>
      </c>
      <c r="H118" s="2">
        <f t="shared" si="5"/>
        <v>116</v>
      </c>
      <c r="I118" s="4">
        <v>205993.62772984753</v>
      </c>
      <c r="J118" s="6">
        <v>101095.36669227987</v>
      </c>
      <c r="K118" s="2">
        <v>144308.70151041451</v>
      </c>
      <c r="L118" s="2">
        <v>183562.78710308409</v>
      </c>
      <c r="M118" s="2">
        <v>162756.58958235377</v>
      </c>
      <c r="N118" s="3">
        <f t="shared" si="6"/>
        <v>205915.64091723884</v>
      </c>
      <c r="O118" s="5">
        <f t="shared" si="7"/>
        <v>101122.92860886185</v>
      </c>
      <c r="Q118" s="3">
        <f t="shared" si="8"/>
        <v>205915.64091723884</v>
      </c>
      <c r="S118" s="3">
        <f t="shared" si="9"/>
        <v>101122.92860886185</v>
      </c>
    </row>
    <row r="119" spans="1:19">
      <c r="A119">
        <v>117</v>
      </c>
      <c r="B119" s="2">
        <v>416.1340782122906</v>
      </c>
      <c r="C119" s="2">
        <v>208.0670391061453</v>
      </c>
      <c r="D119" s="2">
        <v>204.22586705059405</v>
      </c>
      <c r="E119" s="2">
        <v>291.52245699466232</v>
      </c>
      <c r="F119" s="2">
        <v>370.82084551372179</v>
      </c>
      <c r="G119" s="2">
        <v>328.78960444180456</v>
      </c>
      <c r="H119" s="2">
        <f t="shared" si="5"/>
        <v>117</v>
      </c>
      <c r="I119" s="4">
        <v>206409.76180805982</v>
      </c>
      <c r="J119" s="6">
        <v>101299.59255933047</v>
      </c>
      <c r="K119" s="2">
        <v>144600.22396740917</v>
      </c>
      <c r="L119" s="2">
        <v>183933.60794859781</v>
      </c>
      <c r="M119" s="2">
        <v>163085.37918679559</v>
      </c>
      <c r="N119" s="3">
        <f t="shared" si="6"/>
        <v>206341.80378385499</v>
      </c>
      <c r="O119" s="5">
        <f t="shared" si="7"/>
        <v>101332.21255127928</v>
      </c>
      <c r="Q119" s="3">
        <f t="shared" si="8"/>
        <v>206341.80378385499</v>
      </c>
      <c r="S119" s="3">
        <f t="shared" si="9"/>
        <v>101332.21255127928</v>
      </c>
    </row>
    <row r="120" spans="1:19">
      <c r="A120">
        <v>118</v>
      </c>
      <c r="B120" s="2">
        <v>412.67590027700828</v>
      </c>
      <c r="C120" s="2">
        <v>206.33795013850414</v>
      </c>
      <c r="D120" s="2">
        <v>202.52869918036734</v>
      </c>
      <c r="E120" s="2">
        <v>289.09983269830758</v>
      </c>
      <c r="F120" s="2">
        <v>367.73923183909238</v>
      </c>
      <c r="G120" s="2">
        <v>326.05728085918554</v>
      </c>
      <c r="H120" s="2">
        <f t="shared" si="5"/>
        <v>118</v>
      </c>
      <c r="I120" s="4">
        <v>206822.43770833683</v>
      </c>
      <c r="J120" s="6">
        <v>101502.12125851084</v>
      </c>
      <c r="K120" s="2">
        <v>144889.32380010746</v>
      </c>
      <c r="L120" s="2">
        <v>184301.34718043692</v>
      </c>
      <c r="M120" s="2">
        <v>163411.43646765477</v>
      </c>
      <c r="N120" s="3">
        <f t="shared" si="6"/>
        <v>206764.40039221608</v>
      </c>
      <c r="O120" s="5">
        <f t="shared" si="7"/>
        <v>101539.74514310808</v>
      </c>
      <c r="Q120" s="3">
        <f t="shared" si="8"/>
        <v>206764.40039221608</v>
      </c>
      <c r="S120" s="3">
        <f t="shared" si="9"/>
        <v>101539.74514310808</v>
      </c>
    </row>
    <row r="121" spans="1:19">
      <c r="A121">
        <v>119</v>
      </c>
      <c r="B121" s="2">
        <v>409.27472527472531</v>
      </c>
      <c r="C121" s="2">
        <v>204.63736263736266</v>
      </c>
      <c r="D121" s="2">
        <v>200.85950660470533</v>
      </c>
      <c r="E121" s="2">
        <v>286.71714176947575</v>
      </c>
      <c r="F121" s="2">
        <v>364.70841399426496</v>
      </c>
      <c r="G121" s="2">
        <v>323.36999557737931</v>
      </c>
      <c r="H121" s="2">
        <f t="shared" si="5"/>
        <v>119</v>
      </c>
      <c r="I121" s="4">
        <v>207231.71243361157</v>
      </c>
      <c r="J121" s="6">
        <v>101702.98076511554</v>
      </c>
      <c r="K121" s="2">
        <v>145176.04094187694</v>
      </c>
      <c r="L121" s="2">
        <v>184666.05559443118</v>
      </c>
      <c r="M121" s="2">
        <v>163734.80646323215</v>
      </c>
      <c r="N121" s="3">
        <f t="shared" si="6"/>
        <v>207183.48993435819</v>
      </c>
      <c r="O121" s="5">
        <f t="shared" si="7"/>
        <v>101745.55545291254</v>
      </c>
      <c r="Q121" s="3">
        <f t="shared" si="8"/>
        <v>207183.48993435819</v>
      </c>
      <c r="S121" s="3">
        <f t="shared" si="9"/>
        <v>101745.55545291254</v>
      </c>
    </row>
    <row r="122" spans="1:19">
      <c r="A122">
        <v>120</v>
      </c>
      <c r="B122" s="2">
        <v>405.9291553133516</v>
      </c>
      <c r="C122" s="2">
        <v>202.9645776566758</v>
      </c>
      <c r="D122" s="2">
        <v>199.21760328096113</v>
      </c>
      <c r="E122" s="2">
        <v>284.37340491577442</v>
      </c>
      <c r="F122" s="2">
        <v>361.72714630493857</v>
      </c>
      <c r="G122" s="2">
        <v>320.72664411489393</v>
      </c>
      <c r="H122" s="2">
        <f t="shared" si="5"/>
        <v>120</v>
      </c>
      <c r="I122" s="4">
        <v>207637.64158892492</v>
      </c>
      <c r="J122" s="6">
        <v>101902.19836839651</v>
      </c>
      <c r="K122" s="2">
        <v>145460.41434679271</v>
      </c>
      <c r="L122" s="2">
        <v>185027.78274073612</v>
      </c>
      <c r="M122" s="2">
        <v>164055.53310734703</v>
      </c>
      <c r="N122" s="3">
        <f t="shared" si="6"/>
        <v>207599.13014075221</v>
      </c>
      <c r="O122" s="5">
        <f t="shared" si="7"/>
        <v>101949.67183149813</v>
      </c>
      <c r="Q122" s="3">
        <f t="shared" si="8"/>
        <v>207599.13014075221</v>
      </c>
      <c r="S122" s="3">
        <f t="shared" si="9"/>
        <v>101949.67183149813</v>
      </c>
    </row>
    <row r="123" spans="1:19">
      <c r="A123">
        <v>121</v>
      </c>
      <c r="B123" s="2">
        <v>402.63783783783788</v>
      </c>
      <c r="C123" s="2">
        <v>201.31891891891894</v>
      </c>
      <c r="D123" s="2">
        <v>197.60232541652078</v>
      </c>
      <c r="E123" s="2">
        <v>282.06767460564623</v>
      </c>
      <c r="F123" s="2">
        <v>358.79422349706067</v>
      </c>
      <c r="G123" s="2">
        <v>318.12615781125953</v>
      </c>
      <c r="H123" s="2">
        <f t="shared" si="5"/>
        <v>121</v>
      </c>
      <c r="I123" s="4">
        <v>208040.27942676275</v>
      </c>
      <c r="J123" s="6">
        <v>102099.80069381303</v>
      </c>
      <c r="K123" s="2">
        <v>145742.48202139835</v>
      </c>
      <c r="L123" s="2">
        <v>185386.57696423319</v>
      </c>
      <c r="M123" s="2">
        <v>164373.65926515829</v>
      </c>
      <c r="N123" s="3">
        <f t="shared" si="6"/>
        <v>208011.37732802986</v>
      </c>
      <c r="O123" s="5">
        <f t="shared" si="7"/>
        <v>102152.12193534932</v>
      </c>
      <c r="Q123" s="3">
        <f t="shared" si="8"/>
        <v>208011.37732802986</v>
      </c>
      <c r="S123" s="3">
        <f t="shared" si="9"/>
        <v>102152.12193534932</v>
      </c>
    </row>
    <row r="124" spans="1:19">
      <c r="A124">
        <v>122</v>
      </c>
      <c r="B124" s="2">
        <v>399.39946380697057</v>
      </c>
      <c r="C124" s="2">
        <v>199.69973190348529</v>
      </c>
      <c r="D124" s="2">
        <v>196.01303057402876</v>
      </c>
      <c r="E124" s="2">
        <v>279.7990337911238</v>
      </c>
      <c r="F124" s="2">
        <v>355.90847907215124</v>
      </c>
      <c r="G124" s="2">
        <v>315.5675023865042</v>
      </c>
      <c r="H124" s="2">
        <f t="shared" si="5"/>
        <v>122</v>
      </c>
      <c r="I124" s="4">
        <v>208439.67889056972</v>
      </c>
      <c r="J124" s="6">
        <v>102295.81372438706</v>
      </c>
      <c r="K124" s="2">
        <v>146022.28105518947</v>
      </c>
      <c r="L124" s="2">
        <v>185742.48544330534</v>
      </c>
      <c r="M124" s="2">
        <v>164689.22676754481</v>
      </c>
      <c r="N124" s="3">
        <f t="shared" si="6"/>
        <v>208420.28644477713</v>
      </c>
      <c r="O124" s="5">
        <f t="shared" si="7"/>
        <v>102352.93274911828</v>
      </c>
      <c r="Q124" s="3">
        <f t="shared" si="8"/>
        <v>208420.28644477713</v>
      </c>
      <c r="S124" s="3">
        <f t="shared" si="9"/>
        <v>102352.93274911828</v>
      </c>
    </row>
    <row r="125" spans="1:19">
      <c r="A125">
        <v>123</v>
      </c>
      <c r="B125" s="2">
        <v>396.21276595744683</v>
      </c>
      <c r="C125" s="2">
        <v>198.10638297872342</v>
      </c>
      <c r="D125" s="2">
        <v>194.44909681944858</v>
      </c>
      <c r="E125" s="2">
        <v>277.56659469172627</v>
      </c>
      <c r="F125" s="2">
        <v>353.06878376040527</v>
      </c>
      <c r="G125" s="2">
        <v>313.04967656959036</v>
      </c>
      <c r="H125" s="2">
        <f t="shared" si="5"/>
        <v>123</v>
      </c>
      <c r="I125" s="4">
        <v>208835.89165652715</v>
      </c>
      <c r="J125" s="6">
        <v>102490.2628212065</v>
      </c>
      <c r="K125" s="2">
        <v>146299.84764988118</v>
      </c>
      <c r="L125" s="2">
        <v>186095.55422706573</v>
      </c>
      <c r="M125" s="2">
        <v>165002.2764441144</v>
      </c>
      <c r="N125" s="3">
        <f t="shared" si="6"/>
        <v>208825.911115489</v>
      </c>
      <c r="O125" s="5">
        <f t="shared" si="7"/>
        <v>102552.13060721043</v>
      </c>
      <c r="Q125" s="3">
        <f t="shared" si="8"/>
        <v>208825.911115489</v>
      </c>
      <c r="S125" s="3">
        <f t="shared" si="9"/>
        <v>102552.13060721043</v>
      </c>
    </row>
    <row r="126" spans="1:19">
      <c r="A126">
        <v>124</v>
      </c>
      <c r="B126" s="2">
        <v>393.07651715039583</v>
      </c>
      <c r="C126" s="2">
        <v>196.53825857519791</v>
      </c>
      <c r="D126" s="2">
        <v>192.90992191058754</v>
      </c>
      <c r="E126" s="2">
        <v>275.36949763611915</v>
      </c>
      <c r="F126" s="2">
        <v>350.27404404726235</v>
      </c>
      <c r="G126" s="2">
        <v>310.57171079199486</v>
      </c>
      <c r="H126" s="2">
        <f t="shared" si="5"/>
        <v>124</v>
      </c>
      <c r="I126" s="4">
        <v>209228.96817367754</v>
      </c>
      <c r="J126" s="6">
        <v>102683.17274311709</v>
      </c>
      <c r="K126" s="2">
        <v>146575.21714751731</v>
      </c>
      <c r="L126" s="2">
        <v>186445.82827111299</v>
      </c>
      <c r="M126" s="2">
        <v>165312.84815490639</v>
      </c>
      <c r="N126" s="3">
        <f t="shared" si="6"/>
        <v>209228.30368277238</v>
      </c>
      <c r="O126" s="5">
        <f t="shared" si="7"/>
        <v>102749.74121451001</v>
      </c>
      <c r="Q126" s="3">
        <f t="shared" si="8"/>
        <v>209228.30368277238</v>
      </c>
      <c r="S126" s="3">
        <f t="shared" si="9"/>
        <v>102749.74121451001</v>
      </c>
    </row>
    <row r="127" spans="1:19">
      <c r="A127">
        <v>125</v>
      </c>
      <c r="B127" s="2">
        <v>389.98952879581157</v>
      </c>
      <c r="C127" s="2">
        <v>194.99476439790578</v>
      </c>
      <c r="D127" s="2">
        <v>191.3949225238554</v>
      </c>
      <c r="E127" s="2">
        <v>273.2069099583486</v>
      </c>
      <c r="F127" s="2">
        <v>347.52320076940413</v>
      </c>
      <c r="G127" s="2">
        <v>308.132665942843</v>
      </c>
      <c r="H127" s="2">
        <f t="shared" si="5"/>
        <v>125</v>
      </c>
      <c r="I127" s="4">
        <v>209618.95770247336</v>
      </c>
      <c r="J127" s="6">
        <v>102874.56766564095</v>
      </c>
      <c r="K127" s="2">
        <v>146848.42405747567</v>
      </c>
      <c r="L127" s="2">
        <v>186793.3514718824</v>
      </c>
      <c r="M127" s="2">
        <v>165620.98082084922</v>
      </c>
      <c r="N127" s="3">
        <f t="shared" si="6"/>
        <v>209627.51524788162</v>
      </c>
      <c r="O127" s="5">
        <f t="shared" si="7"/>
        <v>102945.78966628642</v>
      </c>
      <c r="Q127" s="3">
        <f t="shared" si="8"/>
        <v>209627.51524788162</v>
      </c>
      <c r="S127" s="3">
        <f t="shared" si="9"/>
        <v>102945.78966628642</v>
      </c>
    </row>
    <row r="128" spans="1:19">
      <c r="A128">
        <v>126</v>
      </c>
      <c r="B128" s="2">
        <v>386.95064935064937</v>
      </c>
      <c r="C128" s="2">
        <v>193.47532467532469</v>
      </c>
      <c r="D128" s="2">
        <v>189.9035335171759</v>
      </c>
      <c r="E128" s="2">
        <v>271.07802494568608</v>
      </c>
      <c r="F128" s="2">
        <v>344.81522777639572</v>
      </c>
      <c r="G128" s="2">
        <v>305.73163218224931</v>
      </c>
      <c r="H128" s="2">
        <f t="shared" si="5"/>
        <v>126</v>
      </c>
      <c r="I128" s="4">
        <v>210005.90835182401</v>
      </c>
      <c r="J128" s="6">
        <v>103064.47119915813</v>
      </c>
      <c r="K128" s="2">
        <v>147119.50208242136</v>
      </c>
      <c r="L128" s="2">
        <v>187138.16669965879</v>
      </c>
      <c r="M128" s="2">
        <v>165926.71245303148</v>
      </c>
      <c r="N128" s="3">
        <f t="shared" si="6"/>
        <v>210023.59570966341</v>
      </c>
      <c r="O128" s="5">
        <f t="shared" si="7"/>
        <v>103140.30046731986</v>
      </c>
      <c r="Q128" s="3">
        <f t="shared" si="8"/>
        <v>210023.59570966341</v>
      </c>
      <c r="S128" s="3">
        <f t="shared" si="9"/>
        <v>103140.30046731986</v>
      </c>
    </row>
    <row r="129" spans="1:19">
      <c r="A129">
        <v>127</v>
      </c>
      <c r="B129" s="2">
        <v>383.95876288659798</v>
      </c>
      <c r="C129" s="2">
        <v>191.97938144329899</v>
      </c>
      <c r="D129" s="2">
        <v>188.43520722709437</v>
      </c>
      <c r="E129" s="2">
        <v>268.98206083528106</v>
      </c>
      <c r="F129" s="2">
        <v>342.14913065441328</v>
      </c>
      <c r="G129" s="2">
        <v>303.36772780970608</v>
      </c>
      <c r="H129" s="2">
        <f t="shared" si="5"/>
        <v>127</v>
      </c>
      <c r="I129" s="4">
        <v>210389.86711471059</v>
      </c>
      <c r="J129" s="6">
        <v>103252.90640638523</v>
      </c>
      <c r="K129" s="2">
        <v>147388.48414325665</v>
      </c>
      <c r="L129" s="2">
        <v>187480.31583031319</v>
      </c>
      <c r="M129" s="2">
        <v>166230.08018084118</v>
      </c>
      <c r="N129" s="3">
        <f t="shared" si="6"/>
        <v>210416.59380198718</v>
      </c>
      <c r="O129" s="5">
        <f t="shared" si="7"/>
        <v>103333.29755028282</v>
      </c>
      <c r="Q129" s="3">
        <f t="shared" si="8"/>
        <v>210416.59380198718</v>
      </c>
      <c r="S129" s="3">
        <f t="shared" si="9"/>
        <v>103333.29755028282</v>
      </c>
    </row>
    <row r="130" spans="1:19">
      <c r="A130">
        <v>128</v>
      </c>
      <c r="B130" s="2">
        <v>381.01278772378515</v>
      </c>
      <c r="C130" s="2">
        <v>190.50639386189258</v>
      </c>
      <c r="D130" s="2">
        <v>186.98941279824217</v>
      </c>
      <c r="E130" s="2">
        <v>266.91825985700541</v>
      </c>
      <c r="F130" s="2">
        <v>339.52394550872731</v>
      </c>
      <c r="G130" s="2">
        <v>301.04009818456785</v>
      </c>
      <c r="H130" s="2">
        <f t="shared" si="5"/>
        <v>128</v>
      </c>
      <c r="I130" s="4">
        <v>210770.87990243439</v>
      </c>
      <c r="J130" s="6">
        <v>103439.89581918347</v>
      </c>
      <c r="K130" s="2">
        <v>147655.40240311367</v>
      </c>
      <c r="L130" s="2">
        <v>187819.83977582192</v>
      </c>
      <c r="M130" s="2">
        <v>166531.12027902575</v>
      </c>
      <c r="N130" s="3">
        <f t="shared" si="6"/>
        <v>210806.55712972966</v>
      </c>
      <c r="O130" s="5">
        <f t="shared" si="7"/>
        <v>103524.8042934118</v>
      </c>
      <c r="Q130" s="3">
        <f t="shared" si="8"/>
        <v>210806.55712972966</v>
      </c>
      <c r="S130" s="3">
        <f t="shared" si="9"/>
        <v>103524.8042934118</v>
      </c>
    </row>
    <row r="131" spans="1:19">
      <c r="A131">
        <v>129</v>
      </c>
      <c r="B131" s="2">
        <v>378.11167512690361</v>
      </c>
      <c r="C131" s="2">
        <v>189.0558375634518</v>
      </c>
      <c r="D131" s="2">
        <v>185.56563554343339</v>
      </c>
      <c r="E131" s="2">
        <v>264.8858873200233</v>
      </c>
      <c r="F131" s="2">
        <v>336.9387378018082</v>
      </c>
      <c r="G131" s="2">
        <v>298.7479146958529</v>
      </c>
      <c r="H131" s="2">
        <f t="shared" si="5"/>
        <v>129</v>
      </c>
      <c r="I131" s="4">
        <v>211148.9915775613</v>
      </c>
      <c r="J131" s="6">
        <v>103625.4614547269</v>
      </c>
      <c r="K131" s="2">
        <v>147920.2882904337</v>
      </c>
      <c r="L131" s="2">
        <v>188156.77851362372</v>
      </c>
      <c r="M131" s="2">
        <v>166829.8681937216</v>
      </c>
      <c r="N131" s="3">
        <f t="shared" si="6"/>
        <v>211193.53220338095</v>
      </c>
      <c r="O131" s="5">
        <f t="shared" si="7"/>
        <v>103714.84353750193</v>
      </c>
      <c r="Q131" s="3">
        <f t="shared" si="8"/>
        <v>211193.53220338095</v>
      </c>
      <c r="S131" s="3">
        <f t="shared" si="9"/>
        <v>103714.84353750193</v>
      </c>
    </row>
    <row r="132" spans="1:19">
      <c r="A132">
        <v>130</v>
      </c>
      <c r="B132" s="2">
        <v>375.25440806045344</v>
      </c>
      <c r="C132" s="2">
        <v>187.62720403022672</v>
      </c>
      <c r="D132" s="2">
        <v>184.16337633277752</v>
      </c>
      <c r="E132" s="2">
        <v>262.88423074077855</v>
      </c>
      <c r="F132" s="2">
        <v>334.39260124411175</v>
      </c>
      <c r="G132" s="2">
        <v>296.49037377875555</v>
      </c>
      <c r="H132" s="2">
        <f t="shared" ref="H132:H195" si="10">+$A132</f>
        <v>130</v>
      </c>
      <c r="I132" s="4">
        <v>211524.24598562176</v>
      </c>
      <c r="J132" s="6">
        <v>103809.62483105969</v>
      </c>
      <c r="K132" s="2">
        <v>148183.17252117448</v>
      </c>
      <c r="L132" s="2">
        <v>188491.17111486784</v>
      </c>
      <c r="M132" s="2">
        <v>167126.35856750037</v>
      </c>
      <c r="N132" s="3">
        <f t="shared" ref="N132:N195" si="11">+$Q132</f>
        <v>211577.56447233446</v>
      </c>
      <c r="O132" s="5">
        <f t="shared" ref="O132:O195" si="12">+$S132</f>
        <v>103903.43760225535</v>
      </c>
      <c r="Q132" s="3">
        <f t="shared" ref="Q132:Q195" si="13">+$Q$1*LN(1+$Q$2*$H132)</f>
        <v>211577.56447233446</v>
      </c>
      <c r="S132" s="3">
        <f t="shared" ref="S132:S195" si="14">+$S$1*LN(1+$S$2*$H132)</f>
        <v>103903.43760225535</v>
      </c>
    </row>
    <row r="133" spans="1:19">
      <c r="A133">
        <v>131</v>
      </c>
      <c r="B133" s="2">
        <v>372.44000000000005</v>
      </c>
      <c r="C133" s="2">
        <v>186.22000000000003</v>
      </c>
      <c r="D133" s="2">
        <v>182.78215101028158</v>
      </c>
      <c r="E133" s="2">
        <v>260.91259901022266</v>
      </c>
      <c r="F133" s="2">
        <v>331.88465673478106</v>
      </c>
      <c r="G133" s="2">
        <v>294.26669597541513</v>
      </c>
      <c r="H133" s="2">
        <f t="shared" si="10"/>
        <v>131</v>
      </c>
      <c r="I133" s="4">
        <v>211896.68598562176</v>
      </c>
      <c r="J133" s="6">
        <v>103992.40698206997</v>
      </c>
      <c r="K133" s="2">
        <v>148444.0851201847</v>
      </c>
      <c r="L133" s="2">
        <v>188823.05577160264</v>
      </c>
      <c r="M133" s="2">
        <v>167420.62526347578</v>
      </c>
      <c r="N133" s="3">
        <f t="shared" si="11"/>
        <v>211958.69835692132</v>
      </c>
      <c r="O133" s="5">
        <f t="shared" si="12"/>
        <v>104090.60830201284</v>
      </c>
      <c r="Q133" s="3">
        <f t="shared" si="13"/>
        <v>211958.69835692132</v>
      </c>
      <c r="S133" s="3">
        <f t="shared" si="14"/>
        <v>104090.60830201284</v>
      </c>
    </row>
    <row r="134" spans="1:19">
      <c r="A134">
        <v>132</v>
      </c>
      <c r="B134" s="2">
        <v>369.66749379652606</v>
      </c>
      <c r="C134" s="2">
        <v>184.83374689826303</v>
      </c>
      <c r="D134" s="2">
        <v>181.4214898365079</v>
      </c>
      <c r="E134" s="2">
        <v>258.97032159823601</v>
      </c>
      <c r="F134" s="2">
        <v>329.41405134965851</v>
      </c>
      <c r="G134" s="2">
        <v>292.07612503763283</v>
      </c>
      <c r="H134" s="2">
        <f t="shared" si="10"/>
        <v>132</v>
      </c>
      <c r="I134" s="4">
        <v>212266.35347941829</v>
      </c>
      <c r="J134" s="6">
        <v>104173.82847190647</v>
      </c>
      <c r="K134" s="2">
        <v>148703.05544178293</v>
      </c>
      <c r="L134" s="2">
        <v>189152.46982295229</v>
      </c>
      <c r="M134" s="2">
        <v>167712.70138851341</v>
      </c>
      <c r="N134" s="3">
        <f t="shared" si="11"/>
        <v>212336.97727924376</v>
      </c>
      <c r="O134" s="5">
        <f t="shared" si="12"/>
        <v>104276.37696089596</v>
      </c>
      <c r="Q134" s="3">
        <f t="shared" si="13"/>
        <v>212336.97727924376</v>
      </c>
      <c r="S134" s="3">
        <f t="shared" si="14"/>
        <v>104276.37696089596</v>
      </c>
    </row>
    <row r="135" spans="1:19">
      <c r="A135">
        <v>133</v>
      </c>
      <c r="B135" s="2">
        <v>366.93596059113298</v>
      </c>
      <c r="C135" s="2">
        <v>183.46798029556649</v>
      </c>
      <c r="D135" s="2">
        <v>180.08093695594258</v>
      </c>
      <c r="E135" s="2">
        <v>257.05674779332304</v>
      </c>
      <c r="F135" s="2">
        <v>326.97995737416846</v>
      </c>
      <c r="G135" s="2">
        <v>289.9179270693744</v>
      </c>
      <c r="H135" s="2">
        <f t="shared" si="10"/>
        <v>133</v>
      </c>
      <c r="I135" s="4">
        <v>212633.28944000942</v>
      </c>
      <c r="J135" s="6">
        <v>104353.90940886241</v>
      </c>
      <c r="K135" s="2">
        <v>148960.11218957626</v>
      </c>
      <c r="L135" s="2">
        <v>189479.44978032645</v>
      </c>
      <c r="M135" s="2">
        <v>168002.61931558279</v>
      </c>
      <c r="N135" s="3">
        <f t="shared" si="11"/>
        <v>212712.44369286345</v>
      </c>
      <c r="O135" s="5">
        <f t="shared" si="12"/>
        <v>104460.76442738641</v>
      </c>
      <c r="Q135" s="3">
        <f t="shared" si="13"/>
        <v>212712.44369286345</v>
      </c>
      <c r="S135" s="3">
        <f t="shared" si="14"/>
        <v>104460.76442738641</v>
      </c>
    </row>
    <row r="136" spans="1:19">
      <c r="A136">
        <v>134</v>
      </c>
      <c r="B136" s="2">
        <v>364.24449877750612</v>
      </c>
      <c r="C136" s="2">
        <v>182.12224938875306</v>
      </c>
      <c r="D136" s="2">
        <v>178.76004988780591</v>
      </c>
      <c r="E136" s="2">
        <v>255.1712459757677</v>
      </c>
      <c r="F136" s="2">
        <v>324.58157137875884</v>
      </c>
      <c r="G136" s="2">
        <v>287.79138970700723</v>
      </c>
      <c r="H136" s="2">
        <f t="shared" si="10"/>
        <v>134</v>
      </c>
      <c r="I136" s="4">
        <v>212997.53393878692</v>
      </c>
      <c r="J136" s="6">
        <v>104532.66945875021</v>
      </c>
      <c r="K136" s="2">
        <v>149215.28343555203</v>
      </c>
      <c r="L136" s="2">
        <v>189804.0313517052</v>
      </c>
      <c r="M136" s="2">
        <v>168290.4107052898</v>
      </c>
      <c r="N136" s="3">
        <f t="shared" si="11"/>
        <v>213085.13911139339</v>
      </c>
      <c r="O136" s="5">
        <f t="shared" si="12"/>
        <v>104643.79108836745</v>
      </c>
      <c r="Q136" s="3">
        <f t="shared" si="13"/>
        <v>213085.13911139339</v>
      </c>
      <c r="S136" s="3">
        <f t="shared" si="14"/>
        <v>104643.79108836745</v>
      </c>
    </row>
    <row r="137" spans="1:19">
      <c r="A137">
        <v>135</v>
      </c>
      <c r="B137" s="2">
        <v>361.59223300970882</v>
      </c>
      <c r="C137" s="2">
        <v>180.79611650485441</v>
      </c>
      <c r="D137" s="2">
        <v>177.45839903910849</v>
      </c>
      <c r="E137" s="2">
        <v>253.31320292254637</v>
      </c>
      <c r="F137" s="2">
        <v>322.2181133347388</v>
      </c>
      <c r="G137" s="2">
        <v>285.69582133535437</v>
      </c>
      <c r="H137" s="2">
        <f t="shared" si="10"/>
        <v>135</v>
      </c>
      <c r="I137" s="4">
        <v>213359.12617179661</v>
      </c>
      <c r="J137" s="6">
        <v>104710.12785778932</v>
      </c>
      <c r="K137" s="2">
        <v>149468.59663847458</v>
      </c>
      <c r="L137" s="2">
        <v>190126.24946503993</v>
      </c>
      <c r="M137" s="2">
        <v>168576.10652662517</v>
      </c>
      <c r="N137" s="3">
        <f t="shared" si="11"/>
        <v>213455.10413604308</v>
      </c>
      <c r="O137" s="5">
        <f t="shared" si="12"/>
        <v>104825.47688265085</v>
      </c>
      <c r="Q137" s="3">
        <f t="shared" si="13"/>
        <v>213455.10413604308</v>
      </c>
      <c r="S137" s="3">
        <f t="shared" si="14"/>
        <v>104825.47688265085</v>
      </c>
    </row>
    <row r="138" spans="1:19">
      <c r="A138">
        <v>136</v>
      </c>
      <c r="B138" s="2">
        <v>358.97831325301206</v>
      </c>
      <c r="C138" s="2">
        <v>179.48915662650603</v>
      </c>
      <c r="D138" s="2">
        <v>176.17556723882578</v>
      </c>
      <c r="E138" s="2">
        <v>251.48202314238338</v>
      </c>
      <c r="F138" s="2">
        <v>319.88882576846362</v>
      </c>
      <c r="G138" s="2">
        <v>283.63055033774941</v>
      </c>
      <c r="H138" s="2">
        <f t="shared" si="10"/>
        <v>136</v>
      </c>
      <c r="I138" s="4">
        <v>213718.10448504961</v>
      </c>
      <c r="J138" s="6">
        <v>104886.30342502815</v>
      </c>
      <c r="K138" s="2">
        <v>149720.07866161698</v>
      </c>
      <c r="L138" s="2">
        <v>190446.13829080839</v>
      </c>
      <c r="M138" s="2">
        <v>168859.73707696292</v>
      </c>
      <c r="N138" s="3">
        <f t="shared" si="11"/>
        <v>213822.37848216161</v>
      </c>
      <c r="O138" s="5">
        <f t="shared" si="12"/>
        <v>105005.84131401204</v>
      </c>
      <c r="Q138" s="3">
        <f t="shared" si="13"/>
        <v>213822.37848216161</v>
      </c>
      <c r="S138" s="3">
        <f t="shared" si="14"/>
        <v>105005.84131401204</v>
      </c>
    </row>
    <row r="139" spans="1:19">
      <c r="A139">
        <v>137</v>
      </c>
      <c r="B139" s="2">
        <v>356.40191387559815</v>
      </c>
      <c r="C139" s="2">
        <v>178.20095693779908</v>
      </c>
      <c r="D139" s="2">
        <v>174.91114929213575</v>
      </c>
      <c r="E139" s="2">
        <v>249.67712823944788</v>
      </c>
      <c r="F139" s="2">
        <v>317.59297295194364</v>
      </c>
      <c r="G139" s="2">
        <v>281.59492437838776</v>
      </c>
      <c r="H139" s="2">
        <f t="shared" si="10"/>
        <v>137</v>
      </c>
      <c r="I139" s="4">
        <v>214074.50639892521</v>
      </c>
      <c r="J139" s="6">
        <v>105061.21457432029</v>
      </c>
      <c r="K139" s="2">
        <v>149969.75578985643</v>
      </c>
      <c r="L139" s="2">
        <v>190763.73126376033</v>
      </c>
      <c r="M139" s="2">
        <v>169141.3320013413</v>
      </c>
      <c r="N139" s="3">
        <f t="shared" si="11"/>
        <v>214187.00100482267</v>
      </c>
      <c r="O139" s="5">
        <f t="shared" si="12"/>
        <v>105184.9034637545</v>
      </c>
      <c r="Q139" s="3">
        <f t="shared" si="13"/>
        <v>214187.00100482267</v>
      </c>
      <c r="S139" s="3">
        <f t="shared" si="14"/>
        <v>105184.9034637545</v>
      </c>
    </row>
    <row r="140" spans="1:19">
      <c r="A140">
        <v>138</v>
      </c>
      <c r="B140" s="2">
        <v>353.86223277909744</v>
      </c>
      <c r="C140" s="2">
        <v>176.93111638954872</v>
      </c>
      <c r="D140" s="2">
        <v>173.66475155371185</v>
      </c>
      <c r="E140" s="2">
        <v>247.89795630424976</v>
      </c>
      <c r="F140" s="2">
        <v>315.32984012805798</v>
      </c>
      <c r="G140" s="2">
        <v>279.58830971535872</v>
      </c>
      <c r="H140" s="2">
        <f t="shared" si="10"/>
        <v>138</v>
      </c>
      <c r="I140" s="4">
        <v>214428.3686317043</v>
      </c>
      <c r="J140" s="6">
        <v>105234.879325874</v>
      </c>
      <c r="K140" s="2">
        <v>150217.65374616068</v>
      </c>
      <c r="L140" s="2">
        <v>191079.06110388838</v>
      </c>
      <c r="M140" s="2">
        <v>169420.92031105666</v>
      </c>
      <c r="N140" s="3">
        <f t="shared" si="11"/>
        <v>214549.00972349264</v>
      </c>
      <c r="O140" s="5">
        <f t="shared" si="12"/>
        <v>105362.68200282411</v>
      </c>
      <c r="Q140" s="3">
        <f t="shared" si="13"/>
        <v>214549.00972349264</v>
      </c>
      <c r="S140" s="3">
        <f t="shared" si="14"/>
        <v>105362.68200282411</v>
      </c>
    </row>
    <row r="141" spans="1:19">
      <c r="A141">
        <v>139</v>
      </c>
      <c r="B141" s="2">
        <v>351.35849056603774</v>
      </c>
      <c r="C141" s="2">
        <v>175.67924528301887</v>
      </c>
      <c r="D141" s="2">
        <v>172.43599151913355</v>
      </c>
      <c r="E141" s="2">
        <v>246.14396133039881</v>
      </c>
      <c r="F141" s="2">
        <v>313.09873276866136</v>
      </c>
      <c r="G141" s="2">
        <v>277.61009054284443</v>
      </c>
      <c r="H141" s="2">
        <f t="shared" si="10"/>
        <v>139</v>
      </c>
      <c r="I141" s="4">
        <v>214779.72712227033</v>
      </c>
      <c r="J141" s="6">
        <v>105407.31531739314</v>
      </c>
      <c r="K141" s="2">
        <v>150463.79770749109</v>
      </c>
      <c r="L141" s="2">
        <v>191392.15983665705</v>
      </c>
      <c r="M141" s="2">
        <v>169698.53040159951</v>
      </c>
      <c r="N141" s="3">
        <f t="shared" si="11"/>
        <v>214908.44184582026</v>
      </c>
      <c r="O141" s="5">
        <f t="shared" si="12"/>
        <v>105539.19520349194</v>
      </c>
      <c r="Q141" s="3">
        <f t="shared" si="13"/>
        <v>214908.44184582026</v>
      </c>
      <c r="S141" s="3">
        <f t="shared" si="14"/>
        <v>105539.19520349194</v>
      </c>
    </row>
    <row r="142" spans="1:19">
      <c r="A142">
        <v>140</v>
      </c>
      <c r="B142" s="2">
        <v>348.88992974238886</v>
      </c>
      <c r="C142" s="2">
        <v>174.44496487119443</v>
      </c>
      <c r="D142" s="2">
        <v>171.22449743351913</v>
      </c>
      <c r="E142" s="2">
        <v>244.41461265594646</v>
      </c>
      <c r="F142" s="2">
        <v>310.89897586396347</v>
      </c>
      <c r="G142" s="2">
        <v>275.65966836104457</v>
      </c>
      <c r="H142" s="2">
        <f t="shared" si="10"/>
        <v>140</v>
      </c>
      <c r="I142" s="4">
        <v>215128.61705201271</v>
      </c>
      <c r="J142" s="6">
        <v>105578.53981482665</v>
      </c>
      <c r="K142" s="2">
        <v>150708.21232014702</v>
      </c>
      <c r="L142" s="2">
        <v>191703.05881252102</v>
      </c>
      <c r="M142" s="2">
        <v>169974.19006996055</v>
      </c>
      <c r="N142" s="3">
        <f t="shared" si="11"/>
        <v>215265.33379058642</v>
      </c>
      <c r="O142" s="5">
        <f t="shared" si="12"/>
        <v>105714.46095062462</v>
      </c>
      <c r="Q142" s="3">
        <f t="shared" si="13"/>
        <v>215265.33379058642</v>
      </c>
      <c r="S142" s="3">
        <f t="shared" si="14"/>
        <v>105714.46095062462</v>
      </c>
    </row>
    <row r="143" spans="1:19">
      <c r="A143">
        <v>141</v>
      </c>
      <c r="B143" s="2">
        <v>346.45581395348836</v>
      </c>
      <c r="C143" s="2">
        <v>173.22790697674418</v>
      </c>
      <c r="D143" s="2">
        <v>170.02990791654108</v>
      </c>
      <c r="E143" s="2">
        <v>242.70939442811419</v>
      </c>
      <c r="F143" s="2">
        <v>308.72991324165667</v>
      </c>
      <c r="G143" s="2">
        <v>273.73646137247908</v>
      </c>
      <c r="H143" s="2">
        <f t="shared" si="10"/>
        <v>141</v>
      </c>
      <c r="I143" s="4">
        <v>215475.07286596618</v>
      </c>
      <c r="J143" s="6">
        <v>105748.5697227432</v>
      </c>
      <c r="K143" s="2">
        <v>150950.92171457515</v>
      </c>
      <c r="L143" s="2">
        <v>192011.78872576269</v>
      </c>
      <c r="M143" s="2">
        <v>170247.92653133304</v>
      </c>
      <c r="N143" s="3">
        <f t="shared" si="11"/>
        <v>215619.72120984807</v>
      </c>
      <c r="O143" s="5">
        <f t="shared" si="12"/>
        <v>105888.49675255905</v>
      </c>
      <c r="Q143" s="3">
        <f t="shared" si="13"/>
        <v>215619.72120984807</v>
      </c>
      <c r="S143" s="3">
        <f t="shared" si="14"/>
        <v>105888.49675255905</v>
      </c>
    </row>
    <row r="144" spans="1:19">
      <c r="A144">
        <v>142</v>
      </c>
      <c r="B144" s="2">
        <v>344.05542725173217</v>
      </c>
      <c r="C144" s="2">
        <v>172.02771362586608</v>
      </c>
      <c r="D144" s="2">
        <v>168.8518716030319</v>
      </c>
      <c r="E144" s="2">
        <v>241.02780509027539</v>
      </c>
      <c r="F144" s="2">
        <v>306.59090691434744</v>
      </c>
      <c r="G144" s="2">
        <v>271.8399039033859</v>
      </c>
      <c r="H144" s="2">
        <f t="shared" si="10"/>
        <v>142</v>
      </c>
      <c r="I144" s="4">
        <v>215819.12829321792</v>
      </c>
      <c r="J144" s="6">
        <v>105917.42159434623</v>
      </c>
      <c r="K144" s="2">
        <v>151191.94951966542</v>
      </c>
      <c r="L144" s="2">
        <v>192318.37963267704</v>
      </c>
      <c r="M144" s="2">
        <v>170519.76643523644</v>
      </c>
      <c r="N144" s="3">
        <f t="shared" si="11"/>
        <v>215971.63901031078</v>
      </c>
      <c r="O144" s="5">
        <f t="shared" si="12"/>
        <v>106061.31975159817</v>
      </c>
      <c r="Q144" s="3">
        <f t="shared" si="13"/>
        <v>215971.63901031078</v>
      </c>
      <c r="S144" s="3">
        <f t="shared" si="14"/>
        <v>106061.31975159817</v>
      </c>
    </row>
    <row r="145" spans="1:19">
      <c r="A145">
        <v>143</v>
      </c>
      <c r="B145" s="2">
        <v>341.6880733944954</v>
      </c>
      <c r="C145" s="2">
        <v>170.8440366972477</v>
      </c>
      <c r="D145" s="2">
        <v>167.69004679842359</v>
      </c>
      <c r="E145" s="2">
        <v>239.3693568901127</v>
      </c>
      <c r="F145" s="2">
        <v>304.48133645392744</v>
      </c>
      <c r="G145" s="2">
        <v>269.96944584900461</v>
      </c>
      <c r="H145" s="2">
        <f t="shared" si="10"/>
        <v>143</v>
      </c>
      <c r="I145" s="4">
        <v>216160.81636661242</v>
      </c>
      <c r="J145" s="6">
        <v>106085.11164114466</v>
      </c>
      <c r="K145" s="2">
        <v>151431.31887655554</v>
      </c>
      <c r="L145" s="2">
        <v>192622.86096913097</v>
      </c>
      <c r="M145" s="2">
        <v>170789.73588108545</v>
      </c>
      <c r="N145" s="3">
        <f t="shared" si="11"/>
        <v>216321.12137396177</v>
      </c>
      <c r="O145" s="5">
        <f t="shared" si="12"/>
        <v>106232.9467341436</v>
      </c>
      <c r="Q145" s="3">
        <f t="shared" si="13"/>
        <v>216321.12137396177</v>
      </c>
      <c r="S145" s="3">
        <f t="shared" si="14"/>
        <v>106232.9467341436</v>
      </c>
    </row>
    <row r="146" spans="1:19">
      <c r="A146">
        <v>144</v>
      </c>
      <c r="B146" s="2">
        <v>339.35307517084289</v>
      </c>
      <c r="C146" s="2">
        <v>169.67653758542144</v>
      </c>
      <c r="D146" s="2">
        <v>166.54410114832058</v>
      </c>
      <c r="E146" s="2">
        <v>237.73357540794797</v>
      </c>
      <c r="F146" s="2">
        <v>302.40059839160017</v>
      </c>
      <c r="G146" s="2">
        <v>268.12455214160832</v>
      </c>
      <c r="H146" s="2">
        <f t="shared" si="10"/>
        <v>144</v>
      </c>
      <c r="I146" s="4">
        <v>216500.16944178325</v>
      </c>
      <c r="J146" s="6">
        <v>106251.65574229298</v>
      </c>
      <c r="K146" s="2">
        <v>151669.05245196348</v>
      </c>
      <c r="L146" s="2">
        <v>192925.26156752257</v>
      </c>
      <c r="M146" s="2">
        <v>171057.86043322706</v>
      </c>
      <c r="N146" s="3">
        <f t="shared" si="11"/>
        <v>216668.20177799373</v>
      </c>
      <c r="O146" s="5">
        <f t="shared" si="12"/>
        <v>106403.3941404801</v>
      </c>
      <c r="Q146" s="3">
        <f t="shared" si="13"/>
        <v>216668.20177799373</v>
      </c>
      <c r="S146" s="3">
        <f t="shared" si="14"/>
        <v>106403.3941404801</v>
      </c>
    </row>
    <row r="147" spans="1:19">
      <c r="A147">
        <v>145</v>
      </c>
      <c r="B147" s="2">
        <v>337.04977375565613</v>
      </c>
      <c r="C147" s="2">
        <v>168.52488687782807</v>
      </c>
      <c r="D147" s="2">
        <v>165.41371132152184</v>
      </c>
      <c r="E147" s="2">
        <v>236.11999910427394</v>
      </c>
      <c r="F147" s="2">
        <v>300.34810564233567</v>
      </c>
      <c r="G147" s="2">
        <v>266.30470224019462</v>
      </c>
      <c r="H147" s="2">
        <f t="shared" si="10"/>
        <v>145</v>
      </c>
      <c r="I147" s="4">
        <v>216837.21921553891</v>
      </c>
      <c r="J147" s="6">
        <v>106417.0694536145</v>
      </c>
      <c r="K147" s="2">
        <v>151905.17245106774</v>
      </c>
      <c r="L147" s="2">
        <v>193225.6096731649</v>
      </c>
      <c r="M147" s="2">
        <v>171324.16513546725</v>
      </c>
      <c r="N147" s="3">
        <f t="shared" si="11"/>
        <v>217012.91301404891</v>
      </c>
      <c r="O147" s="5">
        <f t="shared" si="12"/>
        <v>106572.678074226</v>
      </c>
      <c r="Q147" s="3">
        <f t="shared" si="13"/>
        <v>217012.91301404891</v>
      </c>
      <c r="S147" s="3">
        <f t="shared" si="14"/>
        <v>106572.678074226</v>
      </c>
    </row>
    <row r="148" spans="1:19">
      <c r="A148">
        <v>146</v>
      </c>
      <c r="B148" s="2">
        <v>334.77752808988765</v>
      </c>
      <c r="C148" s="2">
        <v>167.38876404494383</v>
      </c>
      <c r="D148" s="2">
        <v>164.29856270587126</v>
      </c>
      <c r="E148" s="2">
        <v>234.52817888559355</v>
      </c>
      <c r="F148" s="2">
        <v>298.32328695261202</v>
      </c>
      <c r="G148" s="2">
        <v>264.50938964082246</v>
      </c>
      <c r="H148" s="2">
        <f t="shared" si="10"/>
        <v>146</v>
      </c>
      <c r="I148" s="4">
        <v>217171.99674362878</v>
      </c>
      <c r="J148" s="6">
        <v>106581.36801632037</v>
      </c>
      <c r="K148" s="2">
        <v>152139.70062995332</v>
      </c>
      <c r="L148" s="2">
        <v>193523.93296011753</v>
      </c>
      <c r="M148" s="2">
        <v>171588.67452510807</v>
      </c>
      <c r="N148" s="3">
        <f t="shared" si="11"/>
        <v>217355.28720681061</v>
      </c>
      <c r="O148" s="5">
        <f t="shared" si="12"/>
        <v>106740.81431146341</v>
      </c>
      <c r="Q148" s="3">
        <f t="shared" si="13"/>
        <v>217355.28720681061</v>
      </c>
      <c r="S148" s="3">
        <f t="shared" si="14"/>
        <v>106740.81431146341</v>
      </c>
    </row>
    <row r="149" spans="1:19">
      <c r="A149">
        <v>147</v>
      </c>
      <c r="B149" s="2">
        <v>332.53571428571433</v>
      </c>
      <c r="C149" s="2">
        <v>166.26785714285717</v>
      </c>
      <c r="D149" s="2">
        <v>163.19834911632285</v>
      </c>
      <c r="E149" s="2">
        <v>232.95767768769883</v>
      </c>
      <c r="F149" s="2">
        <v>296.32558637034015</v>
      </c>
      <c r="G149" s="2">
        <v>262.73812140662051</v>
      </c>
      <c r="H149" s="2">
        <f t="shared" si="10"/>
        <v>147</v>
      </c>
      <c r="I149" s="4">
        <v>217504.53245791449</v>
      </c>
      <c r="J149" s="6">
        <v>106744.56636543669</v>
      </c>
      <c r="K149" s="2">
        <v>152372.65830764102</v>
      </c>
      <c r="L149" s="2">
        <v>193820.25854648786</v>
      </c>
      <c r="M149" s="2">
        <v>171851.41264651468</v>
      </c>
      <c r="N149" s="3">
        <f t="shared" si="11"/>
        <v>217695.35583196845</v>
      </c>
      <c r="O149" s="5">
        <f t="shared" si="12"/>
        <v>106907.81830956074</v>
      </c>
      <c r="Q149" s="3">
        <f t="shared" si="13"/>
        <v>217695.35583196845</v>
      </c>
      <c r="S149" s="3">
        <f t="shared" si="14"/>
        <v>106907.81830956074</v>
      </c>
    </row>
    <row r="150" spans="1:19">
      <c r="A150">
        <v>148</v>
      </c>
      <c r="B150" s="2">
        <v>330.32372505543236</v>
      </c>
      <c r="C150" s="2">
        <v>165.16186252771618</v>
      </c>
      <c r="D150" s="2">
        <v>162.11277251466225</v>
      </c>
      <c r="E150" s="2">
        <v>231.40807007558561</v>
      </c>
      <c r="F150" s="2">
        <v>294.35446273594772</v>
      </c>
      <c r="G150" s="2">
        <v>260.99041771655425</v>
      </c>
      <c r="H150" s="2">
        <f t="shared" si="10"/>
        <v>148</v>
      </c>
      <c r="I150" s="4">
        <v>217834.85618296993</v>
      </c>
      <c r="J150" s="6">
        <v>106906.67913795136</v>
      </c>
      <c r="K150" s="2">
        <v>152604.0663777166</v>
      </c>
      <c r="L150" s="2">
        <v>194114.6130092238</v>
      </c>
      <c r="M150" s="2">
        <v>172112.40306423124</v>
      </c>
      <c r="N150" s="3">
        <f t="shared" si="11"/>
        <v>218033.14973358368</v>
      </c>
      <c r="O150" s="5">
        <f t="shared" si="12"/>
        <v>107073.70521570049</v>
      </c>
      <c r="Q150" s="3">
        <f t="shared" si="13"/>
        <v>218033.14973358368</v>
      </c>
      <c r="S150" s="3">
        <f t="shared" si="14"/>
        <v>107073.70521570049</v>
      </c>
    </row>
    <row r="151" spans="1:19">
      <c r="A151">
        <v>149</v>
      </c>
      <c r="B151" s="2">
        <v>328.14096916299559</v>
      </c>
      <c r="C151" s="2">
        <v>164.07048458149779</v>
      </c>
      <c r="D151" s="2">
        <v>161.04154274033641</v>
      </c>
      <c r="E151" s="2">
        <v>229.87894185922724</v>
      </c>
      <c r="F151" s="2">
        <v>292.4093891936397</v>
      </c>
      <c r="G151" s="2">
        <v>259.26581143208386</v>
      </c>
      <c r="H151" s="2">
        <f t="shared" si="10"/>
        <v>149</v>
      </c>
      <c r="I151" s="4">
        <v>218162.99715213291</v>
      </c>
      <c r="J151" s="6">
        <v>107067.72068069169</v>
      </c>
      <c r="K151" s="2">
        <v>152833.94531957584</v>
      </c>
      <c r="L151" s="2">
        <v>194407.02239841744</v>
      </c>
      <c r="M151" s="2">
        <v>172371.66887566334</v>
      </c>
      <c r="N151" s="3">
        <f t="shared" si="11"/>
        <v>218368.69914087644</v>
      </c>
      <c r="O151" s="5">
        <f t="shared" si="12"/>
        <v>107238.48987512347</v>
      </c>
      <c r="Q151" s="3">
        <f t="shared" si="13"/>
        <v>218368.69914087644</v>
      </c>
      <c r="S151" s="3">
        <f t="shared" si="14"/>
        <v>107238.48987512347</v>
      </c>
    </row>
    <row r="152" spans="1:19">
      <c r="A152">
        <v>150</v>
      </c>
      <c r="B152" s="2">
        <v>325.98687089715543</v>
      </c>
      <c r="C152" s="2">
        <v>162.99343544857771</v>
      </c>
      <c r="D152" s="2">
        <v>159.98437725188782</v>
      </c>
      <c r="E152" s="2">
        <v>228.36988972448395</v>
      </c>
      <c r="F152" s="2">
        <v>290.48985272190907</v>
      </c>
      <c r="G152" s="2">
        <v>257.56384768088856</v>
      </c>
      <c r="H152" s="2">
        <f t="shared" si="10"/>
        <v>150</v>
      </c>
      <c r="I152" s="4">
        <v>218488.98402303006</v>
      </c>
      <c r="J152" s="6">
        <v>107227.70505794359</v>
      </c>
      <c r="K152" s="2">
        <v>153062.31520930032</v>
      </c>
      <c r="L152" s="2">
        <v>194697.51225113936</v>
      </c>
      <c r="M152" s="2">
        <v>172629.23272334423</v>
      </c>
      <c r="N152" s="3">
        <f t="shared" si="11"/>
        <v>218702.03368445972</v>
      </c>
      <c r="O152" s="5">
        <f t="shared" si="12"/>
        <v>107402.18683910101</v>
      </c>
      <c r="Q152" s="3">
        <f t="shared" si="13"/>
        <v>218702.03368445972</v>
      </c>
      <c r="S152" s="3">
        <f t="shared" si="14"/>
        <v>107402.18683910101</v>
      </c>
    </row>
    <row r="153" spans="1:19">
      <c r="A153">
        <v>151</v>
      </c>
      <c r="B153" s="2">
        <v>323.8608695652174</v>
      </c>
      <c r="C153" s="2">
        <v>161.9304347826087</v>
      </c>
      <c r="D153" s="2">
        <v>158.94100087850592</v>
      </c>
      <c r="E153" s="2">
        <v>226.88052087845463</v>
      </c>
      <c r="F153" s="2">
        <v>288.59535368241831</v>
      </c>
      <c r="G153" s="2">
        <v>255.88408345688271</v>
      </c>
      <c r="H153" s="2">
        <f t="shared" si="10"/>
        <v>151</v>
      </c>
      <c r="I153" s="4">
        <v>218812.84489259528</v>
      </c>
      <c r="J153" s="6">
        <v>107386.64605882209</v>
      </c>
      <c r="K153" s="2">
        <v>153289.19573017876</v>
      </c>
      <c r="L153" s="2">
        <v>194986.10760482177</v>
      </c>
      <c r="M153" s="2">
        <v>172885.11680680112</v>
      </c>
      <c r="N153" s="3">
        <f t="shared" si="11"/>
        <v>219033.18241204074</v>
      </c>
      <c r="O153" s="5">
        <f t="shared" si="12"/>
        <v>107564.81037264575</v>
      </c>
      <c r="Q153" s="3">
        <f t="shared" si="13"/>
        <v>219033.18241204074</v>
      </c>
      <c r="S153" s="3">
        <f t="shared" si="14"/>
        <v>107564.81037264575</v>
      </c>
    </row>
    <row r="154" spans="1:19">
      <c r="A154">
        <v>152</v>
      </c>
      <c r="B154" s="2">
        <v>321.76241900647955</v>
      </c>
      <c r="C154" s="2">
        <v>160.88120950323977</v>
      </c>
      <c r="D154" s="2">
        <v>157.91114558123698</v>
      </c>
      <c r="E154" s="2">
        <v>225.41045270861585</v>
      </c>
      <c r="F154" s="2">
        <v>286.72540538641999</v>
      </c>
      <c r="G154" s="2">
        <v>254.22608723577983</v>
      </c>
      <c r="H154" s="2">
        <f t="shared" si="10"/>
        <v>152</v>
      </c>
      <c r="I154" s="4">
        <v>219134.60731160175</v>
      </c>
      <c r="J154" s="6">
        <v>107544.55720440333</v>
      </c>
      <c r="K154" s="2">
        <v>153514.60618288736</v>
      </c>
      <c r="L154" s="2">
        <v>195272.83301020818</v>
      </c>
      <c r="M154" s="2">
        <v>173139.3428940369</v>
      </c>
      <c r="N154" s="3">
        <f t="shared" si="11"/>
        <v>219362.17380361105</v>
      </c>
      <c r="O154" s="5">
        <f t="shared" si="12"/>
        <v>107726.37446197137</v>
      </c>
      <c r="Q154" s="3">
        <f t="shared" si="13"/>
        <v>219362.17380361105</v>
      </c>
      <c r="S154" s="3">
        <f t="shared" si="14"/>
        <v>107726.37446197137</v>
      </c>
    </row>
    <row r="155" spans="1:19">
      <c r="A155">
        <v>153</v>
      </c>
      <c r="B155" s="2">
        <v>319.69098712446356</v>
      </c>
      <c r="C155" s="2">
        <v>159.84549356223178</v>
      </c>
      <c r="D155" s="2">
        <v>156.89455022341778</v>
      </c>
      <c r="E155" s="2">
        <v>223.95931245512679</v>
      </c>
      <c r="F155" s="2">
        <v>284.87953367792358</v>
      </c>
      <c r="G155" s="2">
        <v>252.58943860550642</v>
      </c>
      <c r="H155" s="2">
        <f t="shared" si="10"/>
        <v>153</v>
      </c>
      <c r="I155" s="4">
        <v>219454.29829872621</v>
      </c>
      <c r="J155" s="6">
        <v>107701.45175462675</v>
      </c>
      <c r="K155" s="2">
        <v>153738.56549534248</v>
      </c>
      <c r="L155" s="2">
        <v>195557.7125438861</v>
      </c>
      <c r="M155" s="2">
        <v>173391.93233264241</v>
      </c>
      <c r="N155" s="3">
        <f t="shared" si="11"/>
        <v>219689.03578614473</v>
      </c>
      <c r="O155" s="5">
        <f t="shared" si="12"/>
        <v>107886.89282171067</v>
      </c>
      <c r="Q155" s="3">
        <f t="shared" si="13"/>
        <v>219689.03578614473</v>
      </c>
      <c r="S155" s="3">
        <f t="shared" si="14"/>
        <v>107886.89282171067</v>
      </c>
    </row>
    <row r="156" spans="1:19">
      <c r="A156">
        <v>154</v>
      </c>
      <c r="B156" s="2">
        <v>317.64605543710024</v>
      </c>
      <c r="C156" s="2">
        <v>158.82302771855012</v>
      </c>
      <c r="D156" s="2">
        <v>155.89096034992048</v>
      </c>
      <c r="E156" s="2">
        <v>222.52673689571253</v>
      </c>
      <c r="F156" s="2">
        <v>283.05727653286226</v>
      </c>
      <c r="G156" s="2">
        <v>250.97372791080187</v>
      </c>
      <c r="H156" s="2">
        <f t="shared" si="10"/>
        <v>154</v>
      </c>
      <c r="I156" s="4">
        <v>219771.94435416331</v>
      </c>
      <c r="J156" s="6">
        <v>107857.34271497666</v>
      </c>
      <c r="K156" s="2">
        <v>153961.09223223818</v>
      </c>
      <c r="L156" s="2">
        <v>195840.76982041897</v>
      </c>
      <c r="M156" s="2">
        <v>173642.90606055321</v>
      </c>
      <c r="N156" s="3">
        <f t="shared" si="11"/>
        <v>220013.79574782439</v>
      </c>
      <c r="O156" s="5">
        <f t="shared" si="12"/>
        <v>108046.37890190187</v>
      </c>
      <c r="Q156" s="3">
        <f t="shared" si="13"/>
        <v>220013.79574782439</v>
      </c>
      <c r="S156" s="3">
        <f t="shared" si="14"/>
        <v>108046.37890190187</v>
      </c>
    </row>
    <row r="157" spans="1:19">
      <c r="A157">
        <v>155</v>
      </c>
      <c r="B157" s="2">
        <v>315.62711864406788</v>
      </c>
      <c r="C157" s="2">
        <v>157.81355932203394</v>
      </c>
      <c r="D157" s="2">
        <v>154.90012797481506</v>
      </c>
      <c r="E157" s="2">
        <v>221.11237204256176</v>
      </c>
      <c r="F157" s="2">
        <v>281.25818367354327</v>
      </c>
      <c r="G157" s="2">
        <v>249.37855591136881</v>
      </c>
      <c r="H157" s="2">
        <f t="shared" si="10"/>
        <v>155</v>
      </c>
      <c r="I157" s="4">
        <v>220087.57147280738</v>
      </c>
      <c r="J157" s="6">
        <v>108012.24284295148</v>
      </c>
      <c r="K157" s="2">
        <v>154182.20460428073</v>
      </c>
      <c r="L157" s="2">
        <v>196122.02800409251</v>
      </c>
      <c r="M157" s="2">
        <v>173892.28461646457</v>
      </c>
      <c r="N157" s="3">
        <f t="shared" si="11"/>
        <v>220336.48055181233</v>
      </c>
      <c r="O157" s="5">
        <f t="shared" si="12"/>
        <v>108204.8458947514</v>
      </c>
      <c r="Q157" s="3">
        <f t="shared" si="13"/>
        <v>220336.48055181233</v>
      </c>
      <c r="S157" s="3">
        <f t="shared" si="14"/>
        <v>108204.8458947514</v>
      </c>
    </row>
    <row r="158" spans="1:19">
      <c r="A158">
        <v>156</v>
      </c>
      <c r="B158" s="2">
        <v>313.63368421052633</v>
      </c>
      <c r="C158" s="2">
        <v>156.81684210526316</v>
      </c>
      <c r="D158" s="2">
        <v>153.92181137707934</v>
      </c>
      <c r="E158" s="2">
        <v>219.71587285071402</v>
      </c>
      <c r="F158" s="2">
        <v>279.48181619771032</v>
      </c>
      <c r="G158" s="2">
        <v>247.80353345298118</v>
      </c>
      <c r="H158" s="2">
        <f t="shared" si="10"/>
        <v>156</v>
      </c>
      <c r="I158" s="4">
        <v>220401.20515701792</v>
      </c>
      <c r="J158" s="6">
        <v>108166.16465432856</v>
      </c>
      <c r="K158" s="2">
        <v>154401.92047713144</v>
      </c>
      <c r="L158" s="2">
        <v>196401.50982029023</v>
      </c>
      <c r="M158" s="2">
        <v>174140.08814991754</v>
      </c>
      <c r="N158" s="3">
        <f t="shared" si="11"/>
        <v>220657.11654958458</v>
      </c>
      <c r="O158" s="5">
        <f t="shared" si="12"/>
        <v>108362.30674118214</v>
      </c>
      <c r="Q158" s="3">
        <f t="shared" si="13"/>
        <v>220657.11654958458</v>
      </c>
      <c r="S158" s="3">
        <f t="shared" si="14"/>
        <v>108362.30674118214</v>
      </c>
    </row>
    <row r="159" spans="1:19">
      <c r="A159">
        <v>157</v>
      </c>
      <c r="B159" s="2">
        <v>311.66527196652726</v>
      </c>
      <c r="C159" s="2">
        <v>155.83263598326363</v>
      </c>
      <c r="D159" s="2">
        <v>152.95577490400143</v>
      </c>
      <c r="E159" s="2">
        <v>218.33690293742495</v>
      </c>
      <c r="F159" s="2">
        <v>277.72774622157402</v>
      </c>
      <c r="G159" s="2">
        <v>246.24828115097492</v>
      </c>
      <c r="H159" s="2">
        <f t="shared" si="10"/>
        <v>157</v>
      </c>
      <c r="I159" s="4">
        <v>220712.87042898443</v>
      </c>
      <c r="J159" s="6">
        <v>108319.12042923256</v>
      </c>
      <c r="K159" s="2">
        <v>154620.25738006886</v>
      </c>
      <c r="L159" s="2">
        <v>196679.23756651182</v>
      </c>
      <c r="M159" s="2">
        <v>174386.33643106851</v>
      </c>
      <c r="N159" s="3">
        <f t="shared" si="11"/>
        <v>220975.72959384444</v>
      </c>
      <c r="O159" s="5">
        <f t="shared" si="12"/>
        <v>108518.77413717509</v>
      </c>
      <c r="Q159" s="3">
        <f t="shared" si="13"/>
        <v>220975.72959384444</v>
      </c>
      <c r="S159" s="3">
        <f t="shared" si="14"/>
        <v>108518.77413717509</v>
      </c>
    </row>
    <row r="160" spans="1:19">
      <c r="A160">
        <v>158</v>
      </c>
      <c r="B160" s="2">
        <v>309.72141372141374</v>
      </c>
      <c r="C160" s="2">
        <v>154.86070686070687</v>
      </c>
      <c r="D160" s="2">
        <v>152.00178878193921</v>
      </c>
      <c r="E160" s="2">
        <v>216.97513431203578</v>
      </c>
      <c r="F160" s="2">
        <v>275.99555653620047</v>
      </c>
      <c r="G160" s="2">
        <v>244.7124290855844</v>
      </c>
      <c r="H160" s="2">
        <f t="shared" si="10"/>
        <v>158</v>
      </c>
      <c r="I160" s="4">
        <v>221022.59184270585</v>
      </c>
      <c r="J160" s="6">
        <v>108471.1222180145</v>
      </c>
      <c r="K160" s="2">
        <v>154837.23251438088</v>
      </c>
      <c r="L160" s="2">
        <v>196955.233123048</v>
      </c>
      <c r="M160" s="2">
        <v>174631.04886015409</v>
      </c>
      <c r="N160" s="3">
        <f t="shared" si="11"/>
        <v>221292.34505103101</v>
      </c>
      <c r="O160" s="5">
        <f t="shared" si="12"/>
        <v>108674.26053991225</v>
      </c>
      <c r="Q160" s="3">
        <f t="shared" si="13"/>
        <v>221292.34505103101</v>
      </c>
      <c r="S160" s="3">
        <f t="shared" si="14"/>
        <v>108674.26053991225</v>
      </c>
    </row>
    <row r="161" spans="1:19">
      <c r="A161">
        <v>159</v>
      </c>
      <c r="B161" s="2">
        <v>307.80165289256206</v>
      </c>
      <c r="C161" s="2">
        <v>153.90082644628103</v>
      </c>
      <c r="D161" s="2">
        <v>151.0596289341172</v>
      </c>
      <c r="E161" s="2">
        <v>215.63024711588668</v>
      </c>
      <c r="F161" s="2">
        <v>274.28484027667849</v>
      </c>
      <c r="G161" s="2">
        <v>243.19561650860749</v>
      </c>
      <c r="H161" s="2">
        <f t="shared" si="10"/>
        <v>159</v>
      </c>
      <c r="I161" s="4">
        <v>221330.3934955984</v>
      </c>
      <c r="J161" s="6">
        <v>108622.18184694862</v>
      </c>
      <c r="K161" s="2">
        <v>155052.86276149677</v>
      </c>
      <c r="L161" s="2">
        <v>197229.51796332467</v>
      </c>
      <c r="M161" s="2">
        <v>174874.24447666269</v>
      </c>
      <c r="N161" s="3">
        <f t="shared" si="11"/>
        <v>221606.98781343814</v>
      </c>
      <c r="O161" s="5">
        <f t="shared" si="12"/>
        <v>108828.77817372805</v>
      </c>
      <c r="Q161" s="3">
        <f t="shared" si="13"/>
        <v>221606.98781343814</v>
      </c>
      <c r="S161" s="3">
        <f t="shared" si="14"/>
        <v>108828.77817372805</v>
      </c>
    </row>
    <row r="162" spans="1:19">
      <c r="A162">
        <v>160</v>
      </c>
      <c r="B162" s="2">
        <v>305.90554414784395</v>
      </c>
      <c r="C162" s="2">
        <v>152.95277207392198</v>
      </c>
      <c r="D162" s="2">
        <v>150.12907680515946</v>
      </c>
      <c r="E162" s="2">
        <v>214.30192937184609</v>
      </c>
      <c r="F162" s="2">
        <v>272.5952006035161</v>
      </c>
      <c r="G162" s="2">
        <v>241.69749156091567</v>
      </c>
      <c r="H162" s="2">
        <f t="shared" si="10"/>
        <v>160</v>
      </c>
      <c r="I162" s="4">
        <v>221636.29903974626</v>
      </c>
      <c r="J162" s="6">
        <v>108772.31092375377</v>
      </c>
      <c r="K162" s="2">
        <v>155267.16469086861</v>
      </c>
      <c r="L162" s="2">
        <v>197502.11316392818</v>
      </c>
      <c r="M162" s="2">
        <v>175115.9419682236</v>
      </c>
      <c r="N162" s="3">
        <f t="shared" si="11"/>
        <v>221919.68231095819</v>
      </c>
      <c r="O162" s="5">
        <f t="shared" si="12"/>
        <v>108982.33903587649</v>
      </c>
      <c r="Q162" s="3">
        <f t="shared" si="13"/>
        <v>221919.68231095819</v>
      </c>
      <c r="S162" s="3">
        <f t="shared" si="14"/>
        <v>108982.33903587649</v>
      </c>
    </row>
    <row r="163" spans="1:19">
      <c r="A163">
        <v>161</v>
      </c>
      <c r="B163" s="2">
        <v>304.03265306122449</v>
      </c>
      <c r="C163" s="2">
        <v>152.01632653061225</v>
      </c>
      <c r="D163" s="2">
        <v>149.20991919206682</v>
      </c>
      <c r="E163" s="2">
        <v>212.98987674303922</v>
      </c>
      <c r="F163" s="2">
        <v>270.92625039573971</v>
      </c>
      <c r="G163" s="2">
        <v>240.21771100033902</v>
      </c>
      <c r="H163" s="2">
        <f t="shared" si="10"/>
        <v>161</v>
      </c>
      <c r="I163" s="4">
        <v>221940.33169280749</v>
      </c>
      <c r="J163" s="6">
        <v>108921.52084294584</v>
      </c>
      <c r="K163" s="2">
        <v>155480.15456761164</v>
      </c>
      <c r="L163" s="2">
        <v>197773.03941432392</v>
      </c>
      <c r="M163" s="2">
        <v>175356.15967922393</v>
      </c>
      <c r="N163" s="3">
        <f t="shared" si="11"/>
        <v>222230.45252246424</v>
      </c>
      <c r="O163" s="5">
        <f t="shared" si="12"/>
        <v>109134.95490212106</v>
      </c>
      <c r="Q163" s="3">
        <f t="shared" si="13"/>
        <v>222230.45252246424</v>
      </c>
      <c r="S163" s="3">
        <f t="shared" si="14"/>
        <v>109134.95490212106</v>
      </c>
    </row>
    <row r="164" spans="1:19">
      <c r="A164">
        <v>162</v>
      </c>
      <c r="B164" s="2">
        <v>302.18255578093311</v>
      </c>
      <c r="C164" s="2">
        <v>151.09127789046656</v>
      </c>
      <c r="D164" s="2">
        <v>148.30194808136469</v>
      </c>
      <c r="E164" s="2">
        <v>211.69379230038382</v>
      </c>
      <c r="F164" s="2">
        <v>269.2776119551977</v>
      </c>
      <c r="G164" s="2">
        <v>238.75593993948496</v>
      </c>
      <c r="H164" s="2">
        <f t="shared" si="10"/>
        <v>162</v>
      </c>
      <c r="I164" s="4">
        <v>222242.51424858841</v>
      </c>
      <c r="J164" s="6">
        <v>109069.82279102721</v>
      </c>
      <c r="K164" s="2">
        <v>155691.84835991202</v>
      </c>
      <c r="L164" s="2">
        <v>198042.31702627911</v>
      </c>
      <c r="M164" s="2">
        <v>175594.91561916342</v>
      </c>
      <c r="N164" s="3">
        <f t="shared" si="11"/>
        <v>222539.32198684479</v>
      </c>
      <c r="O164" s="5">
        <f t="shared" si="12"/>
        <v>109286.63733215348</v>
      </c>
      <c r="Q164" s="3">
        <f t="shared" si="13"/>
        <v>222539.32198684479</v>
      </c>
      <c r="S164" s="3">
        <f t="shared" si="14"/>
        <v>109286.63733215348</v>
      </c>
    </row>
    <row r="165" spans="1:19">
      <c r="A165">
        <v>163</v>
      </c>
      <c r="B165" s="2">
        <v>300.35483870967744</v>
      </c>
      <c r="C165" s="2">
        <v>150.17741935483872</v>
      </c>
      <c r="D165" s="2">
        <v>147.40496049216262</v>
      </c>
      <c r="E165" s="2">
        <v>210.41338629856685</v>
      </c>
      <c r="F165" s="2">
        <v>267.64891672159757</v>
      </c>
      <c r="G165" s="2">
        <v>237.31185159307668</v>
      </c>
      <c r="H165" s="2">
        <f t="shared" si="10"/>
        <v>163</v>
      </c>
      <c r="I165" s="4">
        <v>222542.86908729808</v>
      </c>
      <c r="J165" s="6">
        <v>109217.22775151937</v>
      </c>
      <c r="K165" s="2">
        <v>155902.2617462106</v>
      </c>
      <c r="L165" s="2">
        <v>198309.96594300072</v>
      </c>
      <c r="M165" s="2">
        <v>175832.22747075651</v>
      </c>
      <c r="N165" s="3">
        <f t="shared" si="11"/>
        <v>222846.31381370206</v>
      </c>
      <c r="O165" s="5">
        <f t="shared" si="12"/>
        <v>109437.39767484774</v>
      </c>
      <c r="Q165" s="3">
        <f t="shared" si="13"/>
        <v>222846.31381370206</v>
      </c>
      <c r="S165" s="3">
        <f t="shared" si="14"/>
        <v>109437.39767484774</v>
      </c>
    </row>
    <row r="166" spans="1:19">
      <c r="A166">
        <v>164</v>
      </c>
      <c r="B166" s="2">
        <v>298.54909819639278</v>
      </c>
      <c r="C166" s="2">
        <v>149.27454909819639</v>
      </c>
      <c r="D166" s="2">
        <v>146.51875832487508</v>
      </c>
      <c r="E166" s="2">
        <v>209.14837596009841</v>
      </c>
      <c r="F166" s="2">
        <v>266.03980499782045</v>
      </c>
      <c r="G166" s="2">
        <v>235.88512703440085</v>
      </c>
      <c r="H166" s="2">
        <f t="shared" si="10"/>
        <v>164</v>
      </c>
      <c r="I166" s="4">
        <v>222841.41818549446</v>
      </c>
      <c r="J166" s="6">
        <v>109363.74650984425</v>
      </c>
      <c r="K166" s="2">
        <v>156111.4101221707</v>
      </c>
      <c r="L166" s="2">
        <v>198576.00574799854</v>
      </c>
      <c r="M166" s="2">
        <v>176068.1125977909</v>
      </c>
      <c r="N166" s="3">
        <f t="shared" si="11"/>
        <v>223151.4506937282</v>
      </c>
      <c r="O166" s="5">
        <f t="shared" si="12"/>
        <v>109587.24707335564</v>
      </c>
      <c r="Q166" s="3">
        <f t="shared" si="13"/>
        <v>223151.4506937282</v>
      </c>
      <c r="S166" s="3">
        <f t="shared" si="14"/>
        <v>109587.24707335564</v>
      </c>
    </row>
    <row r="167" spans="1:19">
      <c r="A167">
        <v>165</v>
      </c>
      <c r="B167" s="2">
        <v>296.76494023904382</v>
      </c>
      <c r="C167" s="2">
        <v>148.38247011952191</v>
      </c>
      <c r="D167" s="2">
        <v>145.64314821536377</v>
      </c>
      <c r="E167" s="2">
        <v>207.89848526710969</v>
      </c>
      <c r="F167" s="2">
        <v>264.44992568508445</v>
      </c>
      <c r="G167" s="2">
        <v>234.47545496049</v>
      </c>
      <c r="H167" s="2">
        <f t="shared" si="10"/>
        <v>165</v>
      </c>
      <c r="I167" s="4">
        <v>223138.18312573351</v>
      </c>
      <c r="J167" s="6">
        <v>109509.3896580596</v>
      </c>
      <c r="K167" s="2">
        <v>156319.30860743779</v>
      </c>
      <c r="L167" s="2">
        <v>198840.45567368364</v>
      </c>
      <c r="M167" s="2">
        <v>176302.58805275138</v>
      </c>
      <c r="N167" s="3">
        <f t="shared" si="11"/>
        <v>223454.7549087689</v>
      </c>
      <c r="O167" s="5">
        <f t="shared" si="12"/>
        <v>109736.19647004889</v>
      </c>
      <c r="Q167" s="3">
        <f t="shared" si="13"/>
        <v>223454.7549087689</v>
      </c>
      <c r="S167" s="3">
        <f t="shared" si="14"/>
        <v>109736.19647004889</v>
      </c>
    </row>
    <row r="168" spans="1:19">
      <c r="A168">
        <v>166</v>
      </c>
      <c r="B168" s="2">
        <v>295.00198019801979</v>
      </c>
      <c r="C168" s="2">
        <v>147.5009900990099</v>
      </c>
      <c r="D168" s="2">
        <v>144.77794139428249</v>
      </c>
      <c r="E168" s="2">
        <v>206.66344476057245</v>
      </c>
      <c r="F168" s="2">
        <v>262.87893602754929</v>
      </c>
      <c r="G168" s="2">
        <v>233.08253146567523</v>
      </c>
      <c r="H168" s="2">
        <f t="shared" si="10"/>
        <v>166</v>
      </c>
      <c r="I168" s="4">
        <v>223433.18510593154</v>
      </c>
      <c r="J168" s="6">
        <v>109654.16759945388</v>
      </c>
      <c r="K168" s="2">
        <v>156525.97205219837</v>
      </c>
      <c r="L168" s="2">
        <v>199103.33460971119</v>
      </c>
      <c r="M168" s="2">
        <v>176535.67058421706</v>
      </c>
      <c r="N168" s="3">
        <f t="shared" si="11"/>
        <v>223756.24834158731</v>
      </c>
      <c r="O168" s="5">
        <f t="shared" si="12"/>
        <v>109884.25661131417</v>
      </c>
      <c r="Q168" s="3">
        <f t="shared" si="13"/>
        <v>223756.24834158731</v>
      </c>
      <c r="S168" s="3">
        <f t="shared" si="14"/>
        <v>109884.25661131417</v>
      </c>
    </row>
    <row r="169" spans="1:19">
      <c r="A169">
        <v>167</v>
      </c>
      <c r="B169" s="2">
        <v>293.25984251968509</v>
      </c>
      <c r="C169" s="2">
        <v>146.62992125984255</v>
      </c>
      <c r="D169" s="2">
        <v>143.92295355140294</v>
      </c>
      <c r="E169" s="2">
        <v>205.44299134663217</v>
      </c>
      <c r="F169" s="2">
        <v>261.32650136596931</v>
      </c>
      <c r="G169" s="2">
        <v>231.70605982316152</v>
      </c>
      <c r="H169" s="2">
        <f t="shared" si="10"/>
        <v>167</v>
      </c>
      <c r="I169" s="4">
        <v>223726.44494845122</v>
      </c>
      <c r="J169" s="6">
        <v>109798.09055300528</v>
      </c>
      <c r="K169" s="2">
        <v>156731.41504354501</v>
      </c>
      <c r="L169" s="2">
        <v>199364.66111107718</v>
      </c>
      <c r="M169" s="2">
        <v>176767.37664404023</v>
      </c>
      <c r="N169" s="3">
        <f t="shared" si="11"/>
        <v>224055.95248533797</v>
      </c>
      <c r="O169" s="5">
        <f t="shared" si="12"/>
        <v>110031.43805220557</v>
      </c>
      <c r="Q169" s="3">
        <f t="shared" si="13"/>
        <v>224055.95248533797</v>
      </c>
      <c r="S169" s="3">
        <f t="shared" si="14"/>
        <v>110031.43805220557</v>
      </c>
    </row>
    <row r="170" spans="1:19">
      <c r="A170">
        <v>168</v>
      </c>
      <c r="B170" s="2">
        <v>291.53816046966733</v>
      </c>
      <c r="C170" s="2">
        <v>145.76908023483367</v>
      </c>
      <c r="D170" s="2">
        <v>143.07800470472154</v>
      </c>
      <c r="E170" s="2">
        <v>204.23686810976352</v>
      </c>
      <c r="F170" s="2">
        <v>259.79229490002427</v>
      </c>
      <c r="G170" s="2">
        <v>230.3457502742975</v>
      </c>
      <c r="H170" s="2">
        <f t="shared" si="10"/>
        <v>168</v>
      </c>
      <c r="I170" s="4">
        <v>224017.98310892089</v>
      </c>
      <c r="J170" s="6">
        <v>109941.16855771</v>
      </c>
      <c r="K170" s="2">
        <v>156935.65191165477</v>
      </c>
      <c r="L170" s="2">
        <v>199624.4534059772</v>
      </c>
      <c r="M170" s="2">
        <v>176997.72239431454</v>
      </c>
      <c r="N170" s="3">
        <f t="shared" si="11"/>
        <v>224353.88845276099</v>
      </c>
      <c r="O170" s="5">
        <f t="shared" si="12"/>
        <v>110177.75116095986</v>
      </c>
      <c r="Q170" s="3">
        <f t="shared" si="13"/>
        <v>224353.88845276099</v>
      </c>
      <c r="S170" s="3">
        <f t="shared" si="14"/>
        <v>110177.75116095986</v>
      </c>
    </row>
    <row r="171" spans="1:19">
      <c r="A171">
        <v>169</v>
      </c>
      <c r="B171" s="2">
        <v>289.8365758754864</v>
      </c>
      <c r="C171" s="2">
        <v>144.9182879377432</v>
      </c>
      <c r="D171" s="2">
        <v>142.24291907414914</v>
      </c>
      <c r="E171" s="2">
        <v>203.04482413246902</v>
      </c>
      <c r="F171" s="2">
        <v>258.27599745897345</v>
      </c>
      <c r="G171" s="2">
        <v>229.00131982522566</v>
      </c>
      <c r="H171" s="2">
        <f t="shared" si="10"/>
        <v>169</v>
      </c>
      <c r="I171" s="4">
        <v>224307.81968479638</v>
      </c>
      <c r="J171" s="6">
        <v>110083.41147678415</v>
      </c>
      <c r="K171" s="2">
        <v>157138.69673578723</v>
      </c>
      <c r="L171" s="2">
        <v>199882.72940343618</v>
      </c>
      <c r="M171" s="2">
        <v>177226.72371413975</v>
      </c>
      <c r="N171" s="3">
        <f t="shared" si="11"/>
        <v>224650.07698510709</v>
      </c>
      <c r="O171" s="5">
        <f t="shared" si="12"/>
        <v>110323.20612337934</v>
      </c>
      <c r="Q171" s="3">
        <f t="shared" si="13"/>
        <v>224650.07698510709</v>
      </c>
      <c r="S171" s="3">
        <f t="shared" si="14"/>
        <v>110323.20612337934</v>
      </c>
    </row>
    <row r="172" spans="1:19">
      <c r="A172">
        <v>170</v>
      </c>
      <c r="B172" s="2">
        <v>288.15473887814318</v>
      </c>
      <c r="C172" s="2">
        <v>144.07736943907159</v>
      </c>
      <c r="D172" s="2">
        <v>141.41752495959904</v>
      </c>
      <c r="E172" s="2">
        <v>201.86661432125561</v>
      </c>
      <c r="F172" s="2">
        <v>256.77729728029482</v>
      </c>
      <c r="G172" s="2">
        <v>227.67249205061128</v>
      </c>
      <c r="H172" s="2">
        <f t="shared" si="10"/>
        <v>170</v>
      </c>
      <c r="I172" s="4">
        <v>224595.97442367452</v>
      </c>
      <c r="J172" s="6">
        <v>110224.82900174375</v>
      </c>
      <c r="K172" s="2">
        <v>157340.56335010848</v>
      </c>
      <c r="L172" s="2">
        <v>200139.50670071648</v>
      </c>
      <c r="M172" s="2">
        <v>177454.39620619037</v>
      </c>
      <c r="N172" s="3">
        <f t="shared" si="11"/>
        <v>224944.53846080211</v>
      </c>
      <c r="O172" s="5">
        <f t="shared" si="12"/>
        <v>110467.81294708698</v>
      </c>
      <c r="Q172" s="3">
        <f t="shared" si="13"/>
        <v>224944.53846080211</v>
      </c>
      <c r="S172" s="3">
        <f t="shared" si="14"/>
        <v>110467.81294708698</v>
      </c>
    </row>
    <row r="173" spans="1:19">
      <c r="A173">
        <v>171</v>
      </c>
      <c r="B173" s="2">
        <v>286.49230769230775</v>
      </c>
      <c r="C173" s="2">
        <v>143.24615384615387</v>
      </c>
      <c r="D173" s="2">
        <v>140.60165462329357</v>
      </c>
      <c r="E173" s="2">
        <v>200.70199923863294</v>
      </c>
      <c r="F173" s="2">
        <v>255.2958897959854</v>
      </c>
      <c r="G173" s="2">
        <v>226.35899690416542</v>
      </c>
      <c r="H173" s="2">
        <f t="shared" si="10"/>
        <v>171</v>
      </c>
      <c r="I173" s="4">
        <v>224882.46673136682</v>
      </c>
      <c r="J173" s="6">
        <v>110365.43065636705</v>
      </c>
      <c r="K173" s="2">
        <v>157541.26534934712</v>
      </c>
      <c r="L173" s="2">
        <v>200394.80259051247</v>
      </c>
      <c r="M173" s="2">
        <v>177680.75520309454</v>
      </c>
      <c r="N173" s="3">
        <f t="shared" si="11"/>
        <v>225237.29290386062</v>
      </c>
      <c r="O173" s="5">
        <f t="shared" si="12"/>
        <v>110611.58146565828</v>
      </c>
      <c r="Q173" s="3">
        <f t="shared" si="13"/>
        <v>225237.29290386062</v>
      </c>
      <c r="S173" s="3">
        <f t="shared" si="14"/>
        <v>110611.58146565828</v>
      </c>
    </row>
    <row r="174" spans="1:19">
      <c r="A174">
        <v>172</v>
      </c>
      <c r="B174" s="2">
        <v>284.84894837476099</v>
      </c>
      <c r="C174" s="2">
        <v>142.4244741873805</v>
      </c>
      <c r="D174" s="2">
        <v>139.79514417612376</v>
      </c>
      <c r="E174" s="2">
        <v>199.550744940897</v>
      </c>
      <c r="F174" s="2">
        <v>253.83147742621878</v>
      </c>
      <c r="G174" s="2">
        <v>225.06057053569032</v>
      </c>
      <c r="H174" s="2">
        <f t="shared" si="10"/>
        <v>172</v>
      </c>
      <c r="I174" s="4">
        <v>225167.31567974159</v>
      </c>
      <c r="J174" s="6">
        <v>110505.22580054318</v>
      </c>
      <c r="K174" s="2">
        <v>157740.81609428802</v>
      </c>
      <c r="L174" s="2">
        <v>200648.63406793869</v>
      </c>
      <c r="M174" s="2">
        <v>177905.81577363022</v>
      </c>
      <c r="N174" s="3">
        <f t="shared" si="11"/>
        <v>225528.35999205647</v>
      </c>
      <c r="O174" s="5">
        <f t="shared" si="12"/>
        <v>110754.52134263367</v>
      </c>
      <c r="Q174" s="3">
        <f t="shared" si="13"/>
        <v>225528.35999205647</v>
      </c>
      <c r="S174" s="3">
        <f t="shared" si="14"/>
        <v>110754.52134263367</v>
      </c>
    </row>
    <row r="175" spans="1:19">
      <c r="A175">
        <v>173</v>
      </c>
      <c r="B175" s="2">
        <v>283.22433460076047</v>
      </c>
      <c r="C175" s="2">
        <v>141.61216730038024</v>
      </c>
      <c r="D175" s="2">
        <v>138.99783346789482</v>
      </c>
      <c r="E175" s="2">
        <v>198.41262282146218</v>
      </c>
      <c r="F175" s="2">
        <v>252.38376938006147</v>
      </c>
      <c r="G175" s="2">
        <v>223.77695511438398</v>
      </c>
      <c r="H175" s="2">
        <f t="shared" si="10"/>
        <v>173</v>
      </c>
      <c r="I175" s="4">
        <v>225450.54001434235</v>
      </c>
      <c r="J175" s="6">
        <v>110644.22363401107</v>
      </c>
      <c r="K175" s="2">
        <v>157939.22871710948</v>
      </c>
      <c r="L175" s="2">
        <v>200901.01783731877</v>
      </c>
      <c r="M175" s="2">
        <v>178129.59272874461</v>
      </c>
      <c r="N175" s="3">
        <f t="shared" si="11"/>
        <v>225817.75906486023</v>
      </c>
      <c r="O175" s="5">
        <f t="shared" si="12"/>
        <v>110896.64207541652</v>
      </c>
      <c r="Q175" s="3">
        <f t="shared" si="13"/>
        <v>225817.75906486023</v>
      </c>
      <c r="S175" s="3">
        <f t="shared" si="14"/>
        <v>110896.64207541652</v>
      </c>
    </row>
    <row r="176" spans="1:19">
      <c r="A176">
        <v>174</v>
      </c>
      <c r="B176" s="2">
        <v>281.61814744801512</v>
      </c>
      <c r="C176" s="2">
        <v>140.80907372400756</v>
      </c>
      <c r="D176" s="2">
        <v>138.20956598130951</v>
      </c>
      <c r="E176" s="2">
        <v>197.28740945952578</v>
      </c>
      <c r="F176" s="2">
        <v>250.95248146297243</v>
      </c>
      <c r="G176" s="2">
        <v>222.50789865815889</v>
      </c>
      <c r="H176" s="2">
        <f t="shared" si="10"/>
        <v>174</v>
      </c>
      <c r="I176" s="4">
        <v>225732.15816179037</v>
      </c>
      <c r="J176" s="6">
        <v>110782.43319999237</v>
      </c>
      <c r="K176" s="2">
        <v>158136.51612656901</v>
      </c>
      <c r="L176" s="2">
        <v>201151.97031878174</v>
      </c>
      <c r="M176" s="2">
        <v>178352.10062740277</v>
      </c>
      <c r="N176" s="3">
        <f t="shared" si="11"/>
        <v>226105.50913114945</v>
      </c>
      <c r="O176" s="5">
        <f t="shared" si="12"/>
        <v>111037.95299905953</v>
      </c>
      <c r="Q176" s="3">
        <f t="shared" si="13"/>
        <v>226105.50913114945</v>
      </c>
      <c r="S176" s="3">
        <f t="shared" si="14"/>
        <v>111037.95299905953</v>
      </c>
    </row>
    <row r="177" spans="1:19">
      <c r="A177">
        <v>175</v>
      </c>
      <c r="B177" s="2">
        <v>280.03007518796994</v>
      </c>
      <c r="C177" s="2">
        <v>140.01503759398497</v>
      </c>
      <c r="D177" s="2">
        <v>137.4301887295351</v>
      </c>
      <c r="E177" s="2">
        <v>196.17488647385179</v>
      </c>
      <c r="F177" s="2">
        <v>249.53733589081276</v>
      </c>
      <c r="G177" s="2">
        <v>221.25315486873311</v>
      </c>
      <c r="H177" s="2">
        <f t="shared" si="10"/>
        <v>175</v>
      </c>
      <c r="I177" s="4">
        <v>226012.18823697834</v>
      </c>
      <c r="J177" s="6">
        <v>110919.8633887219</v>
      </c>
      <c r="K177" s="2">
        <v>158332.69101304287</v>
      </c>
      <c r="L177" s="2">
        <v>201401.50765467255</v>
      </c>
      <c r="M177" s="2">
        <v>178573.3537822715</v>
      </c>
      <c r="N177" s="3">
        <f t="shared" si="11"/>
        <v>226391.62887670111</v>
      </c>
      <c r="O177" s="5">
        <f t="shared" si="12"/>
        <v>111178.46328994431</v>
      </c>
      <c r="Q177" s="3">
        <f t="shared" si="13"/>
        <v>226391.62887670111</v>
      </c>
      <c r="S177" s="3">
        <f t="shared" si="14"/>
        <v>111178.46328994431</v>
      </c>
    </row>
    <row r="178" spans="1:19">
      <c r="A178">
        <v>176</v>
      </c>
      <c r="B178" s="2">
        <v>278.45981308411217</v>
      </c>
      <c r="C178" s="2">
        <v>139.22990654205609</v>
      </c>
      <c r="D178" s="2">
        <v>136.65955215722005</v>
      </c>
      <c r="E178" s="2">
        <v>195.07484038147513</v>
      </c>
      <c r="F178" s="2">
        <v>248.13806111011672</v>
      </c>
      <c r="G178" s="2">
        <v>220.01248297227303</v>
      </c>
      <c r="H178" s="2">
        <f t="shared" si="10"/>
        <v>176</v>
      </c>
      <c r="I178" s="4">
        <v>226290.64805006245</v>
      </c>
      <c r="J178" s="6">
        <v>111056.52294087912</v>
      </c>
      <c r="K178" s="2">
        <v>158527.76585342435</v>
      </c>
      <c r="L178" s="2">
        <v>201649.64571578265</v>
      </c>
      <c r="M178" s="2">
        <v>178793.36626524376</v>
      </c>
      <c r="N178" s="3">
        <f t="shared" si="11"/>
        <v>226676.13667147304</v>
      </c>
      <c r="O178" s="5">
        <f t="shared" si="12"/>
        <v>111318.18196935706</v>
      </c>
      <c r="Q178" s="3">
        <f t="shared" si="13"/>
        <v>226676.13667147304</v>
      </c>
      <c r="S178" s="3">
        <f t="shared" si="14"/>
        <v>111318.18196935706</v>
      </c>
    </row>
    <row r="179" spans="1:19">
      <c r="A179">
        <v>177</v>
      </c>
      <c r="B179" s="2">
        <v>276.90706319702605</v>
      </c>
      <c r="C179" s="2">
        <v>138.45353159851302</v>
      </c>
      <c r="D179" s="2">
        <v>135.89751004481911</v>
      </c>
      <c r="E179" s="2">
        <v>193.98706246113224</v>
      </c>
      <c r="F179" s="2">
        <v>246.75439162437246</v>
      </c>
      <c r="G179" s="2">
        <v>218.78564756536434</v>
      </c>
      <c r="H179" s="2">
        <f t="shared" si="10"/>
        <v>177</v>
      </c>
      <c r="I179" s="4">
        <v>226567.55511325947</v>
      </c>
      <c r="J179" s="6">
        <v>111192.42045092394</v>
      </c>
      <c r="K179" s="2">
        <v>158721.75291588547</v>
      </c>
      <c r="L179" s="2">
        <v>201896.40010740701</v>
      </c>
      <c r="M179" s="2">
        <v>179012.15191280912</v>
      </c>
      <c r="N179" s="3">
        <f t="shared" si="11"/>
        <v>226959.05057668089</v>
      </c>
      <c r="O179" s="5">
        <f t="shared" si="12"/>
        <v>111457.11790696408</v>
      </c>
      <c r="Q179" s="3">
        <f t="shared" si="13"/>
        <v>226959.05057668089</v>
      </c>
      <c r="S179" s="3">
        <f t="shared" si="14"/>
        <v>111457.11790696408</v>
      </c>
    </row>
    <row r="180" spans="1:19">
      <c r="A180">
        <v>178</v>
      </c>
      <c r="B180" s="2">
        <v>275.37153419593346</v>
      </c>
      <c r="C180" s="2">
        <v>137.68576709796673</v>
      </c>
      <c r="D180" s="2">
        <v>135.14391941610461</v>
      </c>
      <c r="E180" s="2">
        <v>192.91134862123673</v>
      </c>
      <c r="F180" s="2">
        <v>245.38606782608568</v>
      </c>
      <c r="G180" s="2">
        <v>217.57241846611086</v>
      </c>
      <c r="H180" s="2">
        <f t="shared" si="10"/>
        <v>178</v>
      </c>
      <c r="I180" s="4">
        <v>226842.9266474554</v>
      </c>
      <c r="J180" s="6">
        <v>111327.56437034004</v>
      </c>
      <c r="K180" s="2">
        <v>158914.66426450672</v>
      </c>
      <c r="L180" s="2">
        <v>202141.78617523311</v>
      </c>
      <c r="M180" s="2">
        <v>179229.72433127524</v>
      </c>
      <c r="N180" s="3">
        <f t="shared" si="11"/>
        <v>227240.38835167838</v>
      </c>
      <c r="O180" s="5">
        <f t="shared" si="12"/>
        <v>111595.27982419057</v>
      </c>
      <c r="Q180" s="3">
        <f t="shared" si="13"/>
        <v>227240.38835167838</v>
      </c>
      <c r="S180" s="3">
        <f t="shared" si="14"/>
        <v>111595.27982419057</v>
      </c>
    </row>
    <row r="181" spans="1:19">
      <c r="A181">
        <v>179</v>
      </c>
      <c r="B181" s="2">
        <v>273.85294117647061</v>
      </c>
      <c r="C181" s="2">
        <v>136.9264705882353</v>
      </c>
      <c r="D181" s="2">
        <v>134.39864044873644</v>
      </c>
      <c r="E181" s="2">
        <v>191.84749927222262</v>
      </c>
      <c r="F181" s="2">
        <v>244.03283583439779</v>
      </c>
      <c r="G181" s="2">
        <v>216.37257057015813</v>
      </c>
      <c r="H181" s="2">
        <f t="shared" si="10"/>
        <v>179</v>
      </c>
      <c r="I181" s="4">
        <v>227116.77958863188</v>
      </c>
      <c r="J181" s="6">
        <v>111461.96301078878</v>
      </c>
      <c r="K181" s="2">
        <v>159106.51176377895</v>
      </c>
      <c r="L181" s="2">
        <v>202385.81901106751</v>
      </c>
      <c r="M181" s="2">
        <v>179446.09690184539</v>
      </c>
      <c r="N181" s="3">
        <f t="shared" si="11"/>
        <v>227520.16746064698</v>
      </c>
      <c r="O181" s="5">
        <f t="shared" si="12"/>
        <v>111732.67629750584</v>
      </c>
      <c r="Q181" s="3">
        <f t="shared" si="13"/>
        <v>227520.16746064698</v>
      </c>
      <c r="S181" s="3">
        <f t="shared" si="14"/>
        <v>111732.67629750584</v>
      </c>
    </row>
    <row r="182" spans="1:19">
      <c r="A182">
        <v>180</v>
      </c>
      <c r="B182" s="2">
        <v>272.3510054844607</v>
      </c>
      <c r="C182" s="2">
        <v>136.17550274223035</v>
      </c>
      <c r="D182" s="2">
        <v>133.6615363877745</v>
      </c>
      <c r="E182" s="2">
        <v>190.79531920308796</v>
      </c>
      <c r="F182" s="2">
        <v>242.69444733804818</v>
      </c>
      <c r="G182" s="2">
        <v>215.18588371145518</v>
      </c>
      <c r="H182" s="2">
        <f t="shared" si="10"/>
        <v>180</v>
      </c>
      <c r="I182" s="4">
        <v>227389.13059411634</v>
      </c>
      <c r="J182" s="6">
        <v>111595.62454717656</v>
      </c>
      <c r="K182" s="2">
        <v>159297.30708298204</v>
      </c>
      <c r="L182" s="2">
        <v>202628.51345840556</v>
      </c>
      <c r="M182" s="2">
        <v>179661.28278555683</v>
      </c>
      <c r="N182" s="3">
        <f t="shared" si="11"/>
        <v>227798.40507910092</v>
      </c>
      <c r="O182" s="5">
        <f t="shared" si="12"/>
        <v>111869.31576161788</v>
      </c>
      <c r="Q182" s="3">
        <f t="shared" si="13"/>
        <v>227798.40507910092</v>
      </c>
      <c r="S182" s="3">
        <f t="shared" si="14"/>
        <v>111869.31576161788</v>
      </c>
    </row>
    <row r="183" spans="1:19">
      <c r="A183">
        <v>181</v>
      </c>
      <c r="B183" s="2">
        <v>270.86545454545455</v>
      </c>
      <c r="C183" s="2">
        <v>135.43272727272728</v>
      </c>
      <c r="D183" s="2">
        <v>132.9324734620229</v>
      </c>
      <c r="E183" s="2">
        <v>189.75461746198016</v>
      </c>
      <c r="F183" s="2">
        <v>241.370659443477</v>
      </c>
      <c r="G183" s="2">
        <v>214.0121425275745</v>
      </c>
      <c r="H183" s="2">
        <f t="shared" si="10"/>
        <v>181</v>
      </c>
      <c r="I183" s="4">
        <v>227659.99604866179</v>
      </c>
      <c r="J183" s="6">
        <v>111728.55702063857</v>
      </c>
      <c r="K183" s="2">
        <v>159487.06170044403</v>
      </c>
      <c r="L183" s="2">
        <v>202869.88411784903</v>
      </c>
      <c r="M183" s="2">
        <v>179875.29492808442</v>
      </c>
      <c r="N183" s="3">
        <f t="shared" si="11"/>
        <v>228075.11810021455</v>
      </c>
      <c r="O183" s="5">
        <f t="shared" si="12"/>
        <v>112005.2065125806</v>
      </c>
      <c r="Q183" s="3">
        <f t="shared" si="13"/>
        <v>228075.11810021455</v>
      </c>
      <c r="S183" s="3">
        <f t="shared" si="14"/>
        <v>112005.2065125806</v>
      </c>
    </row>
    <row r="184" spans="1:19">
      <c r="A184">
        <v>182</v>
      </c>
      <c r="B184" s="2">
        <v>269.39602169981919</v>
      </c>
      <c r="C184" s="2">
        <v>134.69801084990959</v>
      </c>
      <c r="D184" s="2">
        <v>132.2113208030971</v>
      </c>
      <c r="E184" s="2">
        <v>188.72520724066746</v>
      </c>
      <c r="F184" s="2">
        <v>240.0612345278704</v>
      </c>
      <c r="G184" s="2">
        <v>212.85113632941409</v>
      </c>
      <c r="H184" s="2">
        <f t="shared" si="10"/>
        <v>182</v>
      </c>
      <c r="I184" s="4">
        <v>227929.39207036162</v>
      </c>
      <c r="J184" s="6">
        <v>111860.76834144167</v>
      </c>
      <c r="K184" s="2">
        <v>159675.7869076847</v>
      </c>
      <c r="L184" s="2">
        <v>203109.9453523769</v>
      </c>
      <c r="M184" s="2">
        <v>180088.14606441383</v>
      </c>
      <c r="N184" s="3">
        <f t="shared" si="11"/>
        <v>228350.32314097654</v>
      </c>
      <c r="O184" s="5">
        <f t="shared" si="12"/>
        <v>112140.35671081621</v>
      </c>
      <c r="Q184" s="3">
        <f t="shared" si="13"/>
        <v>228350.32314097654</v>
      </c>
      <c r="S184" s="3">
        <f t="shared" si="14"/>
        <v>112140.35671081621</v>
      </c>
    </row>
    <row r="185" spans="1:19">
      <c r="A185">
        <v>183</v>
      </c>
      <c r="B185" s="2">
        <v>267.94244604316549</v>
      </c>
      <c r="C185" s="2">
        <v>133.97122302158274</v>
      </c>
      <c r="D185" s="2">
        <v>131.49795036710927</v>
      </c>
      <c r="E185" s="2">
        <v>187.70690576275038</v>
      </c>
      <c r="F185" s="2">
        <v>238.76594009696484</v>
      </c>
      <c r="G185" s="2">
        <v>211.70265897511891</v>
      </c>
      <c r="H185" s="2">
        <f t="shared" si="10"/>
        <v>183</v>
      </c>
      <c r="I185" s="4">
        <v>228197.33451640478</v>
      </c>
      <c r="J185" s="6">
        <v>111992.26629180877</v>
      </c>
      <c r="K185" s="2">
        <v>159863.49381344745</v>
      </c>
      <c r="L185" s="2">
        <v>203348.71129247386</v>
      </c>
      <c r="M185" s="2">
        <v>180299.84872338895</v>
      </c>
      <c r="N185" s="3">
        <f t="shared" si="11"/>
        <v>228624.03654817818</v>
      </c>
      <c r="O185" s="5">
        <f t="shared" si="12"/>
        <v>112274.77438405583</v>
      </c>
      <c r="Q185" s="3">
        <f t="shared" si="13"/>
        <v>228624.03654817818</v>
      </c>
      <c r="S185" s="3">
        <f t="shared" si="14"/>
        <v>112274.77438405583</v>
      </c>
    </row>
    <row r="186" spans="1:19">
      <c r="A186">
        <v>184</v>
      </c>
      <c r="B186" s="2">
        <v>266.50447227191415</v>
      </c>
      <c r="C186" s="2">
        <v>133.25223613595708</v>
      </c>
      <c r="D186" s="2">
        <v>130.79223685887786</v>
      </c>
      <c r="E186" s="2">
        <v>186.69953417547254</v>
      </c>
      <c r="F186" s="2">
        <v>237.48454864742831</v>
      </c>
      <c r="G186" s="2">
        <v>210.56650874806095</v>
      </c>
      <c r="H186" s="2">
        <f t="shared" si="10"/>
        <v>184</v>
      </c>
      <c r="I186" s="4">
        <v>228463.8389886767</v>
      </c>
      <c r="J186" s="6">
        <v>112123.05852866765</v>
      </c>
      <c r="K186" s="2">
        <v>160050.19334762293</v>
      </c>
      <c r="L186" s="2">
        <v>203586.19584112128</v>
      </c>
      <c r="M186" s="2">
        <v>180510.41523213702</v>
      </c>
      <c r="N186" s="3">
        <f t="shared" si="11"/>
        <v>228896.27440423943</v>
      </c>
      <c r="O186" s="5">
        <f t="shared" si="12"/>
        <v>112408.46743020076</v>
      </c>
      <c r="Q186" s="3">
        <f t="shared" si="13"/>
        <v>228896.27440423943</v>
      </c>
      <c r="S186" s="3">
        <f t="shared" si="14"/>
        <v>112408.46743020076</v>
      </c>
    </row>
    <row r="187" spans="1:19">
      <c r="A187">
        <v>185</v>
      </c>
      <c r="B187" s="2">
        <v>265.08185053380788</v>
      </c>
      <c r="C187" s="2">
        <v>132.54092526690394</v>
      </c>
      <c r="D187" s="2">
        <v>130.0940576585634</v>
      </c>
      <c r="E187" s="2">
        <v>185.70291744499849</v>
      </c>
      <c r="F187" s="2">
        <v>236.21683753365198</v>
      </c>
      <c r="G187" s="2">
        <v>209.44248823872962</v>
      </c>
      <c r="H187" s="2">
        <f t="shared" si="10"/>
        <v>185</v>
      </c>
      <c r="I187" s="4">
        <v>228728.92083921051</v>
      </c>
      <c r="J187" s="6">
        <v>112253.15258632621</v>
      </c>
      <c r="K187" s="2">
        <v>160235.89626506792</v>
      </c>
      <c r="L187" s="2">
        <v>203822.41267865495</v>
      </c>
      <c r="M187" s="2">
        <v>180719.85772037576</v>
      </c>
      <c r="N187" s="3">
        <f t="shared" si="11"/>
        <v>229167.0525328794</v>
      </c>
      <c r="O187" s="5">
        <f t="shared" si="12"/>
        <v>112541.44362010711</v>
      </c>
      <c r="Q187" s="3">
        <f t="shared" si="13"/>
        <v>229167.0525328794</v>
      </c>
      <c r="S187" s="3">
        <f t="shared" si="14"/>
        <v>112541.44362010711</v>
      </c>
    </row>
    <row r="188" spans="1:19">
      <c r="A188">
        <v>186</v>
      </c>
      <c r="B188" s="2">
        <v>263.67433628318588</v>
      </c>
      <c r="C188" s="2">
        <v>131.83716814159294</v>
      </c>
      <c r="D188" s="2">
        <v>129.40329275064198</v>
      </c>
      <c r="E188" s="2">
        <v>184.71688425502506</v>
      </c>
      <c r="F188" s="2">
        <v>234.96258883878303</v>
      </c>
      <c r="G188" s="2">
        <v>208.33040423038238</v>
      </c>
      <c r="H188" s="2">
        <f t="shared" si="10"/>
        <v>186</v>
      </c>
      <c r="I188" s="4">
        <v>228992.59517549368</v>
      </c>
      <c r="J188" s="6">
        <v>112382.55587907686</v>
      </c>
      <c r="K188" s="2">
        <v>160420.61314932295</v>
      </c>
      <c r="L188" s="2">
        <v>204057.37526749374</v>
      </c>
      <c r="M188" s="2">
        <v>180928.18812460615</v>
      </c>
      <c r="N188" s="3">
        <f t="shared" si="11"/>
        <v>229436.38650463519</v>
      </c>
      <c r="O188" s="5">
        <f t="shared" si="12"/>
        <v>112673.71060029609</v>
      </c>
      <c r="Q188" s="3">
        <f t="shared" si="13"/>
        <v>229436.38650463519</v>
      </c>
      <c r="S188" s="3">
        <f t="shared" si="14"/>
        <v>112673.71060029609</v>
      </c>
    </row>
    <row r="189" spans="1:19">
      <c r="A189">
        <v>187</v>
      </c>
      <c r="B189" s="2">
        <v>262.28169014084511</v>
      </c>
      <c r="C189" s="2">
        <v>131.14084507042256</v>
      </c>
      <c r="D189" s="2">
        <v>128.71982465512789</v>
      </c>
      <c r="E189" s="2">
        <v>183.7412669086076</v>
      </c>
      <c r="F189" s="2">
        <v>233.72158924984581</v>
      </c>
      <c r="G189" s="2">
        <v>207.23006758832042</v>
      </c>
      <c r="H189" s="2">
        <f t="shared" si="10"/>
        <v>187</v>
      </c>
      <c r="I189" s="4">
        <v>229254.87686563452</v>
      </c>
      <c r="J189" s="6">
        <v>112511.27570373198</v>
      </c>
      <c r="K189" s="2">
        <v>160604.35441623157</v>
      </c>
      <c r="L189" s="2">
        <v>204291.09685674359</v>
      </c>
      <c r="M189" s="2">
        <v>181135.41819219448</v>
      </c>
      <c r="N189" s="3">
        <f t="shared" si="11"/>
        <v>229704.29164223472</v>
      </c>
      <c r="O189" s="5">
        <f t="shared" si="12"/>
        <v>112805.27589559249</v>
      </c>
      <c r="Q189" s="3">
        <f t="shared" si="13"/>
        <v>229704.29164223472</v>
      </c>
      <c r="S189" s="3">
        <f t="shared" si="14"/>
        <v>112805.27589559249</v>
      </c>
    </row>
    <row r="190" spans="1:19">
      <c r="A190">
        <v>188</v>
      </c>
      <c r="B190" s="2">
        <v>260.90367775831874</v>
      </c>
      <c r="C190" s="2">
        <v>130.45183887915937</v>
      </c>
      <c r="D190" s="2">
        <v>128.04353836096794</v>
      </c>
      <c r="E190" s="2">
        <v>182.77590123308087</v>
      </c>
      <c r="F190" s="2">
        <v>232.49362993679924</v>
      </c>
      <c r="G190" s="2">
        <v>206.14129315265501</v>
      </c>
      <c r="H190" s="2">
        <f t="shared" si="10"/>
        <v>188</v>
      </c>
      <c r="I190" s="4">
        <v>229515.78054339284</v>
      </c>
      <c r="J190" s="6">
        <v>112639.31924209296</v>
      </c>
      <c r="K190" s="2">
        <v>160787.13031746465</v>
      </c>
      <c r="L190" s="2">
        <v>204523.59048668039</v>
      </c>
      <c r="M190" s="2">
        <v>181341.55948534713</v>
      </c>
      <c r="N190" s="3">
        <f t="shared" si="11"/>
        <v>229970.78302582732</v>
      </c>
      <c r="O190" s="5">
        <f t="shared" si="12"/>
        <v>112936.14691169342</v>
      </c>
      <c r="Q190" s="3">
        <f t="shared" si="13"/>
        <v>229970.78302582732</v>
      </c>
      <c r="S190" s="3">
        <f t="shared" si="14"/>
        <v>112936.14691169342</v>
      </c>
    </row>
    <row r="191" spans="1:19">
      <c r="A191">
        <v>189</v>
      </c>
      <c r="B191" s="2">
        <v>259.54006968641119</v>
      </c>
      <c r="C191" s="2">
        <v>129.77003484320559</v>
      </c>
      <c r="D191" s="2">
        <v>127.37432126152044</v>
      </c>
      <c r="E191" s="2">
        <v>181.82062648796014</v>
      </c>
      <c r="F191" s="2">
        <v>231.27850643538747</v>
      </c>
      <c r="G191" s="2">
        <v>205.06389963443553</v>
      </c>
      <c r="H191" s="2">
        <f t="shared" si="10"/>
        <v>189</v>
      </c>
      <c r="I191" s="4">
        <v>229775.32061307927</v>
      </c>
      <c r="J191" s="6">
        <v>112766.69356335448</v>
      </c>
      <c r="K191" s="2">
        <v>160968.9509439526</v>
      </c>
      <c r="L191" s="2">
        <v>204754.86899311579</v>
      </c>
      <c r="M191" s="2">
        <v>181546.62338498156</v>
      </c>
      <c r="N191" s="3">
        <f t="shared" si="11"/>
        <v>230235.87549807757</v>
      </c>
      <c r="O191" s="5">
        <f t="shared" si="12"/>
        <v>113066.33093766977</v>
      </c>
      <c r="Q191" s="3">
        <f t="shared" si="13"/>
        <v>230235.87549807757</v>
      </c>
      <c r="S191" s="3">
        <f t="shared" si="14"/>
        <v>113066.33093766977</v>
      </c>
    </row>
    <row r="192" spans="1:19">
      <c r="A192">
        <v>190</v>
      </c>
      <c r="B192" s="2">
        <v>258.19064124783364</v>
      </c>
      <c r="C192" s="2">
        <v>129.09532062391682</v>
      </c>
      <c r="D192" s="2">
        <v>126.71206309204962</v>
      </c>
      <c r="E192" s="2">
        <v>180.87528527571772</v>
      </c>
      <c r="F192" s="2">
        <v>230.07601853364366</v>
      </c>
      <c r="G192" s="2">
        <v>203.99770951501907</v>
      </c>
      <c r="H192" s="2">
        <f t="shared" si="10"/>
        <v>190</v>
      </c>
      <c r="I192" s="4">
        <v>230033.51125432711</v>
      </c>
      <c r="J192" s="6">
        <v>112893.40562644653</v>
      </c>
      <c r="K192" s="2">
        <v>161149.82622922832</v>
      </c>
      <c r="L192" s="2">
        <v>204984.94501164943</v>
      </c>
      <c r="M192" s="2">
        <v>181750.62109449657</v>
      </c>
      <c r="N192" s="3">
        <f t="shared" si="11"/>
        <v>230499.58366912571</v>
      </c>
      <c r="O192" s="5">
        <f t="shared" si="12"/>
        <v>113195.83514840233</v>
      </c>
      <c r="Q192" s="3">
        <f t="shared" si="13"/>
        <v>230499.58366912571</v>
      </c>
      <c r="S192" s="3">
        <f t="shared" si="14"/>
        <v>113195.83514840233</v>
      </c>
    </row>
    <row r="193" spans="1:19">
      <c r="A193">
        <v>191</v>
      </c>
      <c r="B193" s="2">
        <v>256.85517241379313</v>
      </c>
      <c r="C193" s="2">
        <v>128.42758620689656</v>
      </c>
      <c r="D193" s="2">
        <v>126.05665586915987</v>
      </c>
      <c r="E193" s="2">
        <v>179.93972345532615</v>
      </c>
      <c r="F193" s="2">
        <v>228.88597016191798</v>
      </c>
      <c r="G193" s="2">
        <v>202.94254894856218</v>
      </c>
      <c r="H193" s="2">
        <f t="shared" si="10"/>
        <v>191</v>
      </c>
      <c r="I193" s="4">
        <v>230290.36642674089</v>
      </c>
      <c r="J193" s="6">
        <v>113019.4622823157</v>
      </c>
      <c r="K193" s="2">
        <v>161329.76595268364</v>
      </c>
      <c r="L193" s="2">
        <v>205213.83098181133</v>
      </c>
      <c r="M193" s="2">
        <v>181953.56364344514</v>
      </c>
      <c r="N193" s="3">
        <f t="shared" si="11"/>
        <v>230761.92192141947</v>
      </c>
      <c r="O193" s="5">
        <f t="shared" si="12"/>
        <v>113324.66660695452</v>
      </c>
      <c r="Q193" s="3">
        <f t="shared" si="13"/>
        <v>230761.92192141947</v>
      </c>
      <c r="S193" s="3">
        <f t="shared" si="14"/>
        <v>113324.66660695452</v>
      </c>
    </row>
    <row r="194" spans="1:19">
      <c r="A194">
        <v>192</v>
      </c>
      <c r="B194" s="2">
        <v>255.53344768439112</v>
      </c>
      <c r="C194" s="2">
        <v>127.76672384219556</v>
      </c>
      <c r="D194" s="2">
        <v>125.40799383209732</v>
      </c>
      <c r="E194" s="2">
        <v>179.01379005847193</v>
      </c>
      <c r="F194" s="2">
        <v>227.70816928629918</v>
      </c>
      <c r="G194" s="2">
        <v>201.89824766752315</v>
      </c>
      <c r="H194" s="2">
        <f t="shared" si="10"/>
        <v>192</v>
      </c>
      <c r="I194" s="4">
        <v>230545.89987442529</v>
      </c>
      <c r="J194" s="6">
        <v>113144.87027614779</v>
      </c>
      <c r="K194" s="2">
        <v>161508.7797427421</v>
      </c>
      <c r="L194" s="2">
        <v>205441.53915109762</v>
      </c>
      <c r="M194" s="2">
        <v>182155.46189111267</v>
      </c>
      <c r="N194" s="3">
        <f t="shared" si="11"/>
        <v>231022.90441442083</v>
      </c>
      <c r="O194" s="5">
        <f t="shared" si="12"/>
        <v>113452.8322668839</v>
      </c>
      <c r="Q194" s="3">
        <f t="shared" si="13"/>
        <v>231022.90441442083</v>
      </c>
      <c r="S194" s="3">
        <f t="shared" si="14"/>
        <v>113452.8322668839</v>
      </c>
    </row>
    <row r="195" spans="1:19">
      <c r="A195">
        <v>193</v>
      </c>
      <c r="B195" s="2">
        <v>254.22525597269629</v>
      </c>
      <c r="C195" s="2">
        <v>127.11262798634814</v>
      </c>
      <c r="D195" s="2">
        <v>124.76597338585788</v>
      </c>
      <c r="E195" s="2">
        <v>178.0973372083433</v>
      </c>
      <c r="F195" s="2">
        <v>226.54242780531126</v>
      </c>
      <c r="G195" s="2">
        <v>200.86463889106832</v>
      </c>
      <c r="H195" s="2">
        <f t="shared" si="10"/>
        <v>193</v>
      </c>
      <c r="I195" s="4">
        <v>230800.125130398</v>
      </c>
      <c r="J195" s="6">
        <v>113269.63624953365</v>
      </c>
      <c r="K195" s="2">
        <v>161686.87707995044</v>
      </c>
      <c r="L195" s="2">
        <v>205668.08157890293</v>
      </c>
      <c r="M195" s="2">
        <v>182356.32653000375</v>
      </c>
      <c r="N195" s="3">
        <f t="shared" si="11"/>
        <v>231282.54508919196</v>
      </c>
      <c r="O195" s="5">
        <f t="shared" si="12"/>
        <v>113580.33897449427</v>
      </c>
      <c r="Q195" s="3">
        <f t="shared" si="13"/>
        <v>231282.54508919196</v>
      </c>
      <c r="S195" s="3">
        <f t="shared" si="14"/>
        <v>113580.33897449427</v>
      </c>
    </row>
    <row r="196" spans="1:19">
      <c r="A196">
        <v>194</v>
      </c>
      <c r="B196" s="2">
        <v>252.93039049235995</v>
      </c>
      <c r="C196" s="2">
        <v>126.46519524617997</v>
      </c>
      <c r="D196" s="2">
        <v>124.13049304603172</v>
      </c>
      <c r="E196" s="2">
        <v>177.19022004089837</v>
      </c>
      <c r="F196" s="2">
        <v>225.3885614497664</v>
      </c>
      <c r="G196" s="2">
        <v>199.84155923627512</v>
      </c>
      <c r="H196" s="2">
        <f t="shared" ref="H196:H259" si="15">+$A196</f>
        <v>194</v>
      </c>
      <c r="I196" s="4">
        <v>231053.05552089037</v>
      </c>
      <c r="J196" s="6">
        <v>113393.76674257968</v>
      </c>
      <c r="K196" s="2">
        <v>161864.06729999135</v>
      </c>
      <c r="L196" s="2">
        <v>205893.4701403527</v>
      </c>
      <c r="M196" s="2">
        <v>182556.16808924003</v>
      </c>
      <c r="N196" s="3">
        <f t="shared" ref="N196:N259" si="16">+$Q196</f>
        <v>231540.8576728639</v>
      </c>
      <c r="O196" s="5">
        <f t="shared" ref="O196:O259" si="17">+$S196</f>
        <v>113707.19347103019</v>
      </c>
      <c r="Q196" s="3">
        <f t="shared" ref="Q196:Q259" si="18">+$Q$1*LN(1+$Q$2*$H196)</f>
        <v>231540.8576728639</v>
      </c>
      <c r="S196" s="3">
        <f t="shared" ref="S196:S259" si="19">+$S$1*LN(1+$S$2*$H196)</f>
        <v>113707.19347103019</v>
      </c>
    </row>
    <row r="197" spans="1:19">
      <c r="A197">
        <v>195</v>
      </c>
      <c r="B197" s="2">
        <v>251.64864864864867</v>
      </c>
      <c r="C197" s="2">
        <v>125.82432432432434</v>
      </c>
      <c r="D197" s="2">
        <v>123.50145338532553</v>
      </c>
      <c r="E197" s="2">
        <v>176.29229662852896</v>
      </c>
      <c r="F197" s="2">
        <v>224.24638968566288</v>
      </c>
      <c r="G197" s="2">
        <v>198.82884863203731</v>
      </c>
      <c r="H197" s="2">
        <f t="shared" si="15"/>
        <v>195</v>
      </c>
      <c r="I197" s="4">
        <v>231304.70416953901</v>
      </c>
      <c r="J197" s="6">
        <v>113517.26819596501</v>
      </c>
      <c r="K197" s="2">
        <v>162040.35959661988</v>
      </c>
      <c r="L197" s="2">
        <v>206117.71653003836</v>
      </c>
      <c r="M197" s="2">
        <v>182754.99693787206</v>
      </c>
      <c r="N197" s="3">
        <f t="shared" si="16"/>
        <v>231797.85568299118</v>
      </c>
      <c r="O197" s="5">
        <f t="shared" si="17"/>
        <v>113833.40239481546</v>
      </c>
      <c r="Q197" s="3">
        <f t="shared" si="18"/>
        <v>231797.85568299118</v>
      </c>
      <c r="S197" s="3">
        <f t="shared" si="19"/>
        <v>113833.40239481546</v>
      </c>
    </row>
    <row r="198" spans="1:19">
      <c r="A198">
        <v>196</v>
      </c>
      <c r="B198" s="2">
        <v>250.3798319327731</v>
      </c>
      <c r="C198" s="2">
        <v>125.18991596638655</v>
      </c>
      <c r="D198" s="2">
        <v>122.87875698170193</v>
      </c>
      <c r="E198" s="2">
        <v>175.40342790603205</v>
      </c>
      <c r="F198" s="2">
        <v>223.11573562002076</v>
      </c>
      <c r="G198" s="2">
        <v>197.82635023557305</v>
      </c>
      <c r="H198" s="2">
        <f t="shared" si="15"/>
        <v>196</v>
      </c>
      <c r="I198" s="4">
        <v>231555.08400147178</v>
      </c>
      <c r="J198" s="6">
        <v>113640.14695294671</v>
      </c>
      <c r="K198" s="2">
        <v>162215.76302452592</v>
      </c>
      <c r="L198" s="2">
        <v>206340.83226565839</v>
      </c>
      <c r="M198" s="2">
        <v>182952.82328810764</v>
      </c>
      <c r="N198" s="3">
        <f t="shared" si="16"/>
        <v>232053.55243179679</v>
      </c>
      <c r="O198" s="5">
        <f t="shared" si="17"/>
        <v>113958.97228333783</v>
      </c>
      <c r="Q198" s="3">
        <f t="shared" si="18"/>
        <v>232053.55243179679</v>
      </c>
      <c r="S198" s="3">
        <f t="shared" si="19"/>
        <v>113958.97228333783</v>
      </c>
    </row>
    <row r="199" spans="1:19">
      <c r="A199">
        <v>197</v>
      </c>
      <c r="B199" s="2">
        <v>249.12374581939804</v>
      </c>
      <c r="C199" s="2">
        <v>124.56187290969902</v>
      </c>
      <c r="D199" s="2">
        <v>122.26230836808136</v>
      </c>
      <c r="E199" s="2">
        <v>174.52347759881124</v>
      </c>
      <c r="F199" s="2">
        <v>221.99642590955253</v>
      </c>
      <c r="G199" s="2">
        <v>196.8339103514482</v>
      </c>
      <c r="H199" s="2">
        <f t="shared" si="15"/>
        <v>197</v>
      </c>
      <c r="I199" s="4">
        <v>231804.20774729119</v>
      </c>
      <c r="J199" s="6">
        <v>113762.4092613148</v>
      </c>
      <c r="K199" s="2">
        <v>162390.28650212474</v>
      </c>
      <c r="L199" s="2">
        <v>206562.82869156793</v>
      </c>
      <c r="M199" s="2">
        <v>183149.65719845908</v>
      </c>
      <c r="N199" s="3">
        <f t="shared" si="16"/>
        <v>232307.96103030961</v>
      </c>
      <c r="O199" s="5">
        <f t="shared" si="17"/>
        <v>114083.90957528076</v>
      </c>
      <c r="Q199" s="3">
        <f t="shared" si="18"/>
        <v>232307.96103030961</v>
      </c>
      <c r="S199" s="3">
        <f t="shared" si="19"/>
        <v>114083.90957528076</v>
      </c>
    </row>
    <row r="200" spans="1:19">
      <c r="A200">
        <v>198</v>
      </c>
      <c r="B200" s="2">
        <v>247.88019966722132</v>
      </c>
      <c r="C200" s="2">
        <v>123.94009983361066</v>
      </c>
      <c r="D200" s="2">
        <v>121.65201398354866</v>
      </c>
      <c r="E200" s="2">
        <v>173.65231215322649</v>
      </c>
      <c r="F200" s="2">
        <v>220.88829067206726</v>
      </c>
      <c r="G200" s="2">
        <v>195.85137835302169</v>
      </c>
      <c r="H200" s="2">
        <f t="shared" si="15"/>
        <v>198</v>
      </c>
      <c r="I200" s="4">
        <v>232052.0879469584</v>
      </c>
      <c r="J200" s="6">
        <v>113884.06127529834</v>
      </c>
      <c r="K200" s="2">
        <v>162563.93881427796</v>
      </c>
      <c r="L200" s="2">
        <v>206783.71698224</v>
      </c>
      <c r="M200" s="2">
        <v>183345.50857681211</v>
      </c>
      <c r="N200" s="3">
        <f t="shared" si="16"/>
        <v>232561.09439239863</v>
      </c>
      <c r="O200" s="5">
        <f t="shared" si="17"/>
        <v>114208.22061250468</v>
      </c>
      <c r="Q200" s="3">
        <f t="shared" si="18"/>
        <v>232561.09439239863</v>
      </c>
      <c r="S200" s="3">
        <f t="shared" si="19"/>
        <v>114208.22061250468</v>
      </c>
    </row>
    <row r="201" spans="1:19">
      <c r="A201">
        <v>199</v>
      </c>
      <c r="B201" s="2">
        <v>246.64900662251659</v>
      </c>
      <c r="C201" s="2">
        <v>123.3245033112583</v>
      </c>
      <c r="D201" s="2">
        <v>121.04778212601433</v>
      </c>
      <c r="E201" s="2">
        <v>172.78980066902173</v>
      </c>
      <c r="F201" s="2">
        <v>219.79116340051726</v>
      </c>
      <c r="G201" s="2">
        <v>194.87860660623517</v>
      </c>
      <c r="H201" s="2">
        <f t="shared" si="15"/>
        <v>199</v>
      </c>
      <c r="I201" s="4">
        <v>232298.73695358093</v>
      </c>
      <c r="J201" s="6">
        <v>114005.10905742436</v>
      </c>
      <c r="K201" s="2">
        <v>162736.72861494697</v>
      </c>
      <c r="L201" s="2">
        <v>207003.50814564052</v>
      </c>
      <c r="M201" s="2">
        <v>183540.38718341835</v>
      </c>
      <c r="N201" s="3">
        <f t="shared" si="16"/>
        <v>232812.96523870609</v>
      </c>
      <c r="O201" s="5">
        <f t="shared" si="17"/>
        <v>114331.91164197843</v>
      </c>
      <c r="Q201" s="3">
        <f t="shared" si="18"/>
        <v>232812.96523870609</v>
      </c>
      <c r="S201" s="3">
        <f t="shared" si="19"/>
        <v>114331.91164197843</v>
      </c>
    </row>
    <row r="202" spans="1:19">
      <c r="A202">
        <v>200</v>
      </c>
      <c r="B202" s="2">
        <v>245.42998352553548</v>
      </c>
      <c r="C202" s="2">
        <v>122.71499176276774</v>
      </c>
      <c r="D202" s="2">
        <v>120.44952290628117</v>
      </c>
      <c r="E202" s="2">
        <v>171.93581483375473</v>
      </c>
      <c r="F202" s="2">
        <v>218.7048808795922</v>
      </c>
      <c r="G202" s="2">
        <v>193.91545039566068</v>
      </c>
      <c r="H202" s="2">
        <f t="shared" si="15"/>
        <v>200</v>
      </c>
      <c r="I202" s="4">
        <v>232544.16693710646</v>
      </c>
      <c r="J202" s="6">
        <v>114125.55858033063</v>
      </c>
      <c r="K202" s="2">
        <v>162908.66442978074</v>
      </c>
      <c r="L202" s="2">
        <v>207222.2130265201</v>
      </c>
      <c r="M202" s="2">
        <v>183734.30263381402</v>
      </c>
      <c r="N202" s="3">
        <f t="shared" si="16"/>
        <v>233063.5861004836</v>
      </c>
      <c r="O202" s="5">
        <f t="shared" si="17"/>
        <v>114454.98881766324</v>
      </c>
      <c r="Q202" s="3">
        <f t="shared" si="18"/>
        <v>233063.5861004836</v>
      </c>
      <c r="S202" s="3">
        <f t="shared" si="19"/>
        <v>114454.98881766324</v>
      </c>
    </row>
    <row r="203" spans="1:19">
      <c r="A203">
        <v>201</v>
      </c>
      <c r="B203" s="2">
        <v>244.22295081967215</v>
      </c>
      <c r="C203" s="2">
        <v>122.11147540983607</v>
      </c>
      <c r="D203" s="2">
        <v>119.85714820346331</v>
      </c>
      <c r="E203" s="2">
        <v>171.09022885916241</v>
      </c>
      <c r="F203" s="2">
        <v>217.6292831047744</v>
      </c>
      <c r="G203" s="2">
        <v>192.96176785273116</v>
      </c>
      <c r="H203" s="2">
        <f t="shared" si="15"/>
        <v>201</v>
      </c>
      <c r="I203" s="4">
        <v>232788.38988792614</v>
      </c>
      <c r="J203" s="6">
        <v>114245.41572853409</v>
      </c>
      <c r="K203" s="2">
        <v>163079.7546586399</v>
      </c>
      <c r="L203" s="2">
        <v>207439.84230962486</v>
      </c>
      <c r="M203" s="2">
        <v>183927.26440166676</v>
      </c>
      <c r="N203" s="3">
        <f t="shared" si="16"/>
        <v>233312.969323333</v>
      </c>
      <c r="O203" s="5">
        <f t="shared" si="17"/>
        <v>114577.45820234968</v>
      </c>
      <c r="Q203" s="3">
        <f t="shared" si="18"/>
        <v>233312.969323333</v>
      </c>
      <c r="S203" s="3">
        <f t="shared" si="19"/>
        <v>114577.45820234968</v>
      </c>
    </row>
    <row r="204" spans="1:19">
      <c r="A204">
        <v>202</v>
      </c>
      <c r="B204" s="2">
        <v>243.02773246329531</v>
      </c>
      <c r="C204" s="2">
        <v>121.51386623164765</v>
      </c>
      <c r="D204" s="2">
        <v>119.27057162171731</v>
      </c>
      <c r="E204" s="2">
        <v>170.25291941939503</v>
      </c>
      <c r="F204" s="2">
        <v>216.56421320377228</v>
      </c>
      <c r="G204" s="2">
        <v>192.01741988607839</v>
      </c>
      <c r="H204" s="2">
        <f t="shared" si="15"/>
        <v>202</v>
      </c>
      <c r="I204" s="4">
        <v>233031.41762038943</v>
      </c>
      <c r="J204" s="6">
        <v>114364.68630015581</v>
      </c>
      <c r="K204" s="2">
        <v>163250.0075780593</v>
      </c>
      <c r="L204" s="2">
        <v>207656.40652282862</v>
      </c>
      <c r="M204" s="2">
        <v>184119.28182155284</v>
      </c>
      <c r="N204" s="3">
        <f t="shared" si="16"/>
        <v>233561.12707085567</v>
      </c>
      <c r="O204" s="5">
        <f t="shared" si="17"/>
        <v>114699.32576944992</v>
      </c>
      <c r="Q204" s="3">
        <f t="shared" si="18"/>
        <v>233561.12707085567</v>
      </c>
      <c r="S204" s="3">
        <f t="shared" si="19"/>
        <v>114699.32576944992</v>
      </c>
    </row>
    <row r="205" spans="1:19">
      <c r="A205">
        <v>203</v>
      </c>
      <c r="B205" s="2">
        <v>241.84415584415589</v>
      </c>
      <c r="C205" s="2">
        <v>120.92207792207795</v>
      </c>
      <c r="D205" s="2">
        <v>118.68970844823501</v>
      </c>
      <c r="E205" s="2">
        <v>169.42376559105389</v>
      </c>
      <c r="F205" s="2">
        <v>215.50951736024749</v>
      </c>
      <c r="G205" s="2">
        <v>191.08227011390599</v>
      </c>
      <c r="H205" s="2">
        <f t="shared" si="15"/>
        <v>203</v>
      </c>
      <c r="I205" s="4">
        <v>233273.26177623359</v>
      </c>
      <c r="J205" s="6">
        <v>114483.37600860404</v>
      </c>
      <c r="K205" s="2">
        <v>163419.43134365036</v>
      </c>
      <c r="L205" s="2">
        <v>207871.91604018887</v>
      </c>
      <c r="M205" s="2">
        <v>184310.36409166674</v>
      </c>
      <c r="N205" s="3">
        <f t="shared" si="16"/>
        <v>233808.07132821239</v>
      </c>
      <c r="O205" s="5">
        <f t="shared" si="17"/>
        <v>114820.59740474589</v>
      </c>
      <c r="Q205" s="3">
        <f t="shared" si="18"/>
        <v>233808.07132821239</v>
      </c>
      <c r="S205" s="3">
        <f t="shared" si="19"/>
        <v>114820.59740474589</v>
      </c>
    </row>
    <row r="206" spans="1:19">
      <c r="A206">
        <v>204</v>
      </c>
      <c r="B206" s="2">
        <v>240.67205169628434</v>
      </c>
      <c r="C206" s="2">
        <v>120.33602584814217</v>
      </c>
      <c r="D206" s="2">
        <v>118.11447561245997</v>
      </c>
      <c r="E206" s="2">
        <v>168.60264879497439</v>
      </c>
      <c r="F206" s="2">
        <v>214.46504473976157</v>
      </c>
      <c r="G206" s="2">
        <v>190.15618479832966</v>
      </c>
      <c r="H206" s="2">
        <f t="shared" si="15"/>
        <v>204</v>
      </c>
      <c r="I206" s="4">
        <v>233513.93382792987</v>
      </c>
      <c r="J206" s="6">
        <v>114601.4904842165</v>
      </c>
      <c r="K206" s="2">
        <v>163588.03399244533</v>
      </c>
      <c r="L206" s="2">
        <v>208086.38108492864</v>
      </c>
      <c r="M206" s="2">
        <v>184500.52027646507</v>
      </c>
      <c r="N206" s="3">
        <f t="shared" si="16"/>
        <v>234053.81390559662</v>
      </c>
      <c r="O206" s="5">
        <f t="shared" si="17"/>
        <v>114941.27890809497</v>
      </c>
      <c r="Q206" s="3">
        <f t="shared" si="18"/>
        <v>234053.81390559662</v>
      </c>
      <c r="S206" s="3">
        <f t="shared" si="19"/>
        <v>114941.27890809497</v>
      </c>
    </row>
    <row r="207" spans="1:19">
      <c r="A207">
        <v>205</v>
      </c>
      <c r="B207" s="2">
        <v>239.51125401929264</v>
      </c>
      <c r="C207" s="2">
        <v>119.75562700964632</v>
      </c>
      <c r="D207" s="2">
        <v>117.54479164648343</v>
      </c>
      <c r="E207" s="2">
        <v>167.78945273969316</v>
      </c>
      <c r="F207" s="2">
        <v>213.4306474178656</v>
      </c>
      <c r="G207" s="2">
        <v>189.23903278161742</v>
      </c>
      <c r="H207" s="2">
        <f t="shared" si="15"/>
        <v>205</v>
      </c>
      <c r="I207" s="4">
        <v>233753.44508194915</v>
      </c>
      <c r="J207" s="6">
        <v>114719.03527586297</v>
      </c>
      <c r="K207" s="2">
        <v>163755.82344518503</v>
      </c>
      <c r="L207" s="2">
        <v>208299.81173234651</v>
      </c>
      <c r="M207" s="2">
        <v>184689.7593092467</v>
      </c>
      <c r="N207" s="3">
        <f t="shared" si="16"/>
        <v>234298.36644162389</v>
      </c>
      <c r="O207" s="5">
        <f t="shared" si="17"/>
        <v>115061.3759950945</v>
      </c>
      <c r="Q207" s="3">
        <f t="shared" si="18"/>
        <v>234298.36644162389</v>
      </c>
      <c r="S207" s="3">
        <f t="shared" si="19"/>
        <v>115061.3759950945</v>
      </c>
    </row>
    <row r="208" spans="1:19">
      <c r="A208">
        <v>206</v>
      </c>
      <c r="B208" s="2">
        <v>238.36160000000001</v>
      </c>
      <c r="C208" s="2">
        <v>119.1808</v>
      </c>
      <c r="D208" s="2">
        <v>116.98057664658029</v>
      </c>
      <c r="E208" s="2">
        <v>166.98406336654261</v>
      </c>
      <c r="F208" s="2">
        <v>212.40618031025986</v>
      </c>
      <c r="G208" s="2">
        <v>188.33068542426565</v>
      </c>
      <c r="H208" s="2">
        <f t="shared" si="15"/>
        <v>206</v>
      </c>
      <c r="I208" s="4">
        <v>233991.80668194915</v>
      </c>
      <c r="J208" s="6">
        <v>114836.01585250956</v>
      </c>
      <c r="K208" s="2">
        <v>163922.80750855157</v>
      </c>
      <c r="L208" s="2">
        <v>208512.21791265678</v>
      </c>
      <c r="M208" s="2">
        <v>184878.08999467097</v>
      </c>
      <c r="N208" s="3">
        <f t="shared" si="16"/>
        <v>234541.74040663932</v>
      </c>
      <c r="O208" s="5">
        <f t="shared" si="17"/>
        <v>115180.89429870604</v>
      </c>
      <c r="Q208" s="3">
        <f t="shared" si="18"/>
        <v>234541.74040663932</v>
      </c>
      <c r="S208" s="3">
        <f t="shared" si="19"/>
        <v>115180.89429870604</v>
      </c>
    </row>
    <row r="209" spans="1:19">
      <c r="A209">
        <v>207</v>
      </c>
      <c r="B209" s="2">
        <v>237.22292993630577</v>
      </c>
      <c r="C209" s="2">
        <v>118.61146496815289</v>
      </c>
      <c r="D209" s="2">
        <v>116.42175223584822</v>
      </c>
      <c r="E209" s="2">
        <v>166.18636879632024</v>
      </c>
      <c r="F209" s="2">
        <v>211.39150110495603</v>
      </c>
      <c r="G209" s="2">
        <v>187.43101654485034</v>
      </c>
      <c r="H209" s="2">
        <f t="shared" si="15"/>
        <v>207</v>
      </c>
      <c r="I209" s="4">
        <v>234229.02961188546</v>
      </c>
      <c r="J209" s="6">
        <v>114952.43760474541</v>
      </c>
      <c r="K209" s="2">
        <v>164088.99387734791</v>
      </c>
      <c r="L209" s="2">
        <v>208723.60941376173</v>
      </c>
      <c r="M209" s="2">
        <v>185065.52101121581</v>
      </c>
      <c r="N209" s="3">
        <f t="shared" si="16"/>
        <v>234783.9471059457</v>
      </c>
      <c r="O209" s="5">
        <f t="shared" si="17"/>
        <v>115299.83937084067</v>
      </c>
      <c r="Q209" s="3">
        <f t="shared" si="18"/>
        <v>234783.9471059457</v>
      </c>
      <c r="S209" s="3">
        <f t="shared" si="19"/>
        <v>115299.83937084067</v>
      </c>
    </row>
    <row r="210" spans="1:19">
      <c r="A210">
        <v>208</v>
      </c>
      <c r="B210" s="2">
        <v>236.09508716323299</v>
      </c>
      <c r="C210" s="2">
        <v>118.04754358161649</v>
      </c>
      <c r="D210" s="2">
        <v>115.86824152791229</v>
      </c>
      <c r="E210" s="2">
        <v>165.39625927747886</v>
      </c>
      <c r="F210" s="2">
        <v>210.38647019637469</v>
      </c>
      <c r="G210" s="2">
        <v>186.53990236159441</v>
      </c>
      <c r="H210" s="2">
        <f t="shared" si="15"/>
        <v>208</v>
      </c>
      <c r="I210" s="4">
        <v>234465.1246990487</v>
      </c>
      <c r="J210" s="6">
        <v>115068.30584627333</v>
      </c>
      <c r="K210" s="2">
        <v>164254.39013662538</v>
      </c>
      <c r="L210" s="2">
        <v>208933.99588395809</v>
      </c>
      <c r="M210" s="2">
        <v>185252.06091357741</v>
      </c>
      <c r="N210" s="3">
        <f t="shared" si="16"/>
        <v>235024.99768295491</v>
      </c>
      <c r="O210" s="5">
        <f t="shared" si="17"/>
        <v>115418.21668390658</v>
      </c>
      <c r="Q210" s="3">
        <f t="shared" si="18"/>
        <v>235024.99768295491</v>
      </c>
      <c r="S210" s="3">
        <f t="shared" si="19"/>
        <v>115418.21668390658</v>
      </c>
    </row>
    <row r="211" spans="1:19">
      <c r="A211">
        <v>209</v>
      </c>
      <c r="B211" s="2">
        <v>234.97791798107255</v>
      </c>
      <c r="C211" s="2">
        <v>117.48895899053628</v>
      </c>
      <c r="D211" s="2">
        <v>115.31996909166033</v>
      </c>
      <c r="E211" s="2">
        <v>164.6136271357872</v>
      </c>
      <c r="F211" s="2">
        <v>209.39095062131287</v>
      </c>
      <c r="G211" s="2">
        <v>185.65722143559307</v>
      </c>
      <c r="H211" s="2">
        <f t="shared" si="15"/>
        <v>209</v>
      </c>
      <c r="I211" s="4">
        <v>234700.10261702977</v>
      </c>
      <c r="J211" s="6">
        <v>115183.625815365</v>
      </c>
      <c r="K211" s="2">
        <v>164419.00376376117</v>
      </c>
      <c r="L211" s="2">
        <v>209143.3868345794</v>
      </c>
      <c r="M211" s="2">
        <v>185437.71813501301</v>
      </c>
      <c r="N211" s="3">
        <f t="shared" si="16"/>
        <v>235264.90312226414</v>
      </c>
      <c r="O211" s="5">
        <f t="shared" si="17"/>
        <v>115536.03163231981</v>
      </c>
      <c r="Q211" s="3">
        <f t="shared" si="18"/>
        <v>235264.90312226414</v>
      </c>
      <c r="S211" s="3">
        <f t="shared" si="19"/>
        <v>115536.03163231981</v>
      </c>
    </row>
    <row r="212" spans="1:19">
      <c r="A212">
        <v>210</v>
      </c>
      <c r="B212" s="2">
        <v>233.87127158555734</v>
      </c>
      <c r="C212" s="2">
        <v>116.93563579277867</v>
      </c>
      <c r="D212" s="2">
        <v>114.77686091697446</v>
      </c>
      <c r="E212" s="2">
        <v>163.83836672541466</v>
      </c>
      <c r="F212" s="2">
        <v>208.40480799672281</v>
      </c>
      <c r="G212" s="2">
        <v>184.78285461564528</v>
      </c>
      <c r="H212" s="2">
        <f t="shared" si="15"/>
        <v>210</v>
      </c>
      <c r="I212" s="4">
        <v>234933.97388861532</v>
      </c>
      <c r="J212" s="6">
        <v>115298.40267628197</v>
      </c>
      <c r="K212" s="2">
        <v>164582.84213048659</v>
      </c>
      <c r="L212" s="2">
        <v>209351.79164257614</v>
      </c>
      <c r="M212" s="2">
        <v>185622.50098962866</v>
      </c>
      <c r="N212" s="3">
        <f t="shared" si="16"/>
        <v>235503.67425265937</v>
      </c>
      <c r="O212" s="5">
        <f t="shared" si="17"/>
        <v>115653.28953397926</v>
      </c>
      <c r="Q212" s="3">
        <f t="shared" si="18"/>
        <v>235503.67425265937</v>
      </c>
      <c r="S212" s="3">
        <f t="shared" si="19"/>
        <v>115653.28953397926</v>
      </c>
    </row>
    <row r="213" spans="1:19">
      <c r="A213">
        <v>211</v>
      </c>
      <c r="B213" s="2">
        <v>232.77500000000001</v>
      </c>
      <c r="C213" s="2">
        <v>116.3875</v>
      </c>
      <c r="D213" s="2">
        <v>114.23884438142613</v>
      </c>
      <c r="E213" s="2">
        <v>163.07037438138929</v>
      </c>
      <c r="F213" s="2">
        <v>207.42791045923812</v>
      </c>
      <c r="G213" s="2">
        <v>183.91668498463443</v>
      </c>
      <c r="H213" s="2">
        <f t="shared" si="15"/>
        <v>211</v>
      </c>
      <c r="I213" s="4">
        <v>235166.74888861532</v>
      </c>
      <c r="J213" s="6">
        <v>115412.6415206634</v>
      </c>
      <c r="K213" s="2">
        <v>164745.91250486797</v>
      </c>
      <c r="L213" s="2">
        <v>209559.21955303536</v>
      </c>
      <c r="M213" s="2">
        <v>185806.4176746133</v>
      </c>
      <c r="N213" s="3">
        <f t="shared" si="16"/>
        <v>235741.32175004875</v>
      </c>
      <c r="O213" s="5">
        <f t="shared" si="17"/>
        <v>115769.9956317071</v>
      </c>
      <c r="Q213" s="3">
        <f t="shared" si="18"/>
        <v>235741.32175004875</v>
      </c>
      <c r="S213" s="3">
        <f t="shared" si="19"/>
        <v>115769.9956317071</v>
      </c>
    </row>
    <row r="214" spans="1:19">
      <c r="A214">
        <v>212</v>
      </c>
      <c r="B214" s="2">
        <v>231.68895800933129</v>
      </c>
      <c r="C214" s="2">
        <v>115.84447900466564</v>
      </c>
      <c r="D214" s="2">
        <v>113.70584821790463</v>
      </c>
      <c r="E214" s="2">
        <v>162.30954837338891</v>
      </c>
      <c r="F214" s="2">
        <v>206.46012860639559</v>
      </c>
      <c r="G214" s="2">
        <v>183.05859780741207</v>
      </c>
      <c r="H214" s="2">
        <f t="shared" si="15"/>
        <v>212</v>
      </c>
      <c r="I214" s="4">
        <v>235398.43784662464</v>
      </c>
      <c r="J214" s="6">
        <v>115526.3473688813</v>
      </c>
      <c r="K214" s="2">
        <v>164908.22205324136</v>
      </c>
      <c r="L214" s="2">
        <v>209765.67968164175</v>
      </c>
      <c r="M214" s="2">
        <v>185989.47627242072</v>
      </c>
      <c r="N214" s="3">
        <f t="shared" si="16"/>
        <v>235977.85614032624</v>
      </c>
      <c r="O214" s="5">
        <f t="shared" si="17"/>
        <v>115886.15509465526</v>
      </c>
      <c r="Q214" s="3">
        <f t="shared" si="18"/>
        <v>235977.85614032624</v>
      </c>
      <c r="S214" s="3">
        <f t="shared" si="19"/>
        <v>115886.15509465526</v>
      </c>
    </row>
    <row r="215" spans="1:19">
      <c r="A215">
        <v>213</v>
      </c>
      <c r="B215" s="2">
        <v>230.61300309597527</v>
      </c>
      <c r="C215" s="2">
        <v>115.30650154798764</v>
      </c>
      <c r="D215" s="2">
        <v>113.17780248314655</v>
      </c>
      <c r="E215" s="2">
        <v>161.55578886081904</v>
      </c>
      <c r="F215" s="2">
        <v>205.50133543949283</v>
      </c>
      <c r="G215" s="2">
        <v>182.20848048013309</v>
      </c>
      <c r="H215" s="2">
        <f t="shared" si="15"/>
        <v>213</v>
      </c>
      <c r="I215" s="4">
        <v>235629.0508497206</v>
      </c>
      <c r="J215" s="6">
        <v>115639.52517136444</v>
      </c>
      <c r="K215" s="2">
        <v>165069.77784210219</v>
      </c>
      <c r="L215" s="2">
        <v>209971.18101708125</v>
      </c>
      <c r="M215" s="2">
        <v>186171.68475290085</v>
      </c>
      <c r="N215" s="3">
        <f t="shared" si="16"/>
        <v>236213.28780216971</v>
      </c>
      <c r="O215" s="5">
        <f t="shared" si="17"/>
        <v>116001.77301967939</v>
      </c>
      <c r="Q215" s="3">
        <f t="shared" si="18"/>
        <v>236213.28780216971</v>
      </c>
      <c r="S215" s="3">
        <f t="shared" si="19"/>
        <v>116001.77301967939</v>
      </c>
    </row>
    <row r="216" spans="1:19">
      <c r="A216">
        <v>214</v>
      </c>
      <c r="B216" s="2">
        <v>229.54699537750386</v>
      </c>
      <c r="C216" s="2">
        <v>114.77349768875193</v>
      </c>
      <c r="D216" s="2">
        <v>112.65463852713827</v>
      </c>
      <c r="E216" s="2">
        <v>160.80899784913586</v>
      </c>
      <c r="F216" s="2">
        <v>204.55140630803143</v>
      </c>
      <c r="G216" s="2">
        <v>181.36622248099545</v>
      </c>
      <c r="H216" s="2">
        <f t="shared" si="15"/>
        <v>214</v>
      </c>
      <c r="I216" s="4">
        <v>235858.59784509812</v>
      </c>
      <c r="J216" s="6">
        <v>115752.17980989158</v>
      </c>
      <c r="K216" s="2">
        <v>165230.58683995134</v>
      </c>
      <c r="L216" s="2">
        <v>210175.73242338927</v>
      </c>
      <c r="M216" s="2">
        <v>186353.05097538183</v>
      </c>
      <c r="N216" s="3">
        <f t="shared" si="16"/>
        <v>236447.62696977312</v>
      </c>
      <c r="O216" s="5">
        <f t="shared" si="17"/>
        <v>116116.85443268066</v>
      </c>
      <c r="Q216" s="3">
        <f t="shared" si="18"/>
        <v>236447.62696977312</v>
      </c>
      <c r="S216" s="3">
        <f t="shared" si="19"/>
        <v>116116.85443268066</v>
      </c>
    </row>
    <row r="217" spans="1:19">
      <c r="A217">
        <v>215</v>
      </c>
      <c r="B217" s="2">
        <v>228.49079754601226</v>
      </c>
      <c r="C217" s="2">
        <v>114.24539877300613</v>
      </c>
      <c r="D217" s="2">
        <v>112.13628896336306</v>
      </c>
      <c r="E217" s="2">
        <v>160.06907914737593</v>
      </c>
      <c r="F217" s="2">
        <v>203.61021885569383</v>
      </c>
      <c r="G217" s="2">
        <v>180.53171532234046</v>
      </c>
      <c r="H217" s="2">
        <f t="shared" si="15"/>
        <v>215</v>
      </c>
      <c r="I217" s="4">
        <v>236087.08864264414</v>
      </c>
      <c r="J217" s="6">
        <v>115864.31609885494</v>
      </c>
      <c r="K217" s="2">
        <v>165390.65591909873</v>
      </c>
      <c r="L217" s="2">
        <v>210379.34264224497</v>
      </c>
      <c r="M217" s="2">
        <v>186533.58269070418</v>
      </c>
      <c r="N217" s="3">
        <f t="shared" si="16"/>
        <v>236680.88373551596</v>
      </c>
      <c r="O217" s="5">
        <f t="shared" si="17"/>
        <v>116231.40428991675</v>
      </c>
      <c r="Q217" s="3">
        <f t="shared" si="18"/>
        <v>236680.88373551596</v>
      </c>
      <c r="S217" s="3">
        <f t="shared" si="19"/>
        <v>116231.40428991675</v>
      </c>
    </row>
    <row r="218" spans="1:19">
      <c r="A218">
        <v>216</v>
      </c>
      <c r="B218" s="2">
        <v>227.44427480916031</v>
      </c>
      <c r="C218" s="2">
        <v>113.72213740458015</v>
      </c>
      <c r="D218" s="2">
        <v>111.62268763986668</v>
      </c>
      <c r="E218" s="2">
        <v>159.33593832685366</v>
      </c>
      <c r="F218" s="2">
        <v>202.67765296780519</v>
      </c>
      <c r="G218" s="2">
        <v>179.70485250407029</v>
      </c>
      <c r="H218" s="2">
        <f t="shared" si="15"/>
        <v>216</v>
      </c>
      <c r="I218" s="4">
        <v>236314.5329174533</v>
      </c>
      <c r="J218" s="6">
        <v>115975.93878649481</v>
      </c>
      <c r="K218" s="2">
        <v>165549.99185742557</v>
      </c>
      <c r="L218" s="2">
        <v>210582.02029521277</v>
      </c>
      <c r="M218" s="2">
        <v>186713.28754320825</v>
      </c>
      <c r="N218" s="3">
        <f t="shared" si="16"/>
        <v>236913.06805257173</v>
      </c>
      <c r="O218" s="5">
        <f t="shared" si="17"/>
        <v>116345.42747928276</v>
      </c>
      <c r="Q218" s="3">
        <f t="shared" si="18"/>
        <v>236913.06805257173</v>
      </c>
      <c r="S218" s="3">
        <f t="shared" si="19"/>
        <v>116345.42747928276</v>
      </c>
    </row>
    <row r="219" spans="1:19">
      <c r="A219">
        <v>217</v>
      </c>
      <c r="B219" s="2">
        <v>226.40729483282678</v>
      </c>
      <c r="C219" s="2">
        <v>113.20364741641339</v>
      </c>
      <c r="D219" s="2">
        <v>111.1137696111136</v>
      </c>
      <c r="E219" s="2">
        <v>158.60948268098659</v>
      </c>
      <c r="F219" s="2">
        <v>201.75359072023164</v>
      </c>
      <c r="G219" s="2">
        <v>178.88552946833747</v>
      </c>
      <c r="H219" s="2">
        <f t="shared" si="15"/>
        <v>217</v>
      </c>
      <c r="I219" s="4">
        <v>236540.94021228614</v>
      </c>
      <c r="J219" s="6">
        <v>116087.05255610592</v>
      </c>
      <c r="K219" s="2">
        <v>165708.60134010657</v>
      </c>
      <c r="L219" s="2">
        <v>210783.77388593301</v>
      </c>
      <c r="M219" s="2">
        <v>186892.17307267658</v>
      </c>
      <c r="N219" s="3">
        <f t="shared" si="16"/>
        <v>237144.18973745606</v>
      </c>
      <c r="O219" s="5">
        <f t="shared" si="17"/>
        <v>116458.92882156257</v>
      </c>
      <c r="Q219" s="3">
        <f t="shared" si="18"/>
        <v>237144.18973745606</v>
      </c>
      <c r="S219" s="3">
        <f t="shared" si="19"/>
        <v>116458.92882156257</v>
      </c>
    </row>
    <row r="220" spans="1:19">
      <c r="A220">
        <v>218</v>
      </c>
      <c r="B220" s="2">
        <v>225.37972768532529</v>
      </c>
      <c r="C220" s="2">
        <v>112.68986384266265</v>
      </c>
      <c r="D220" s="2">
        <v>110.60947111060918</v>
      </c>
      <c r="E220" s="2">
        <v>157.88962118621649</v>
      </c>
      <c r="F220" s="2">
        <v>200.83791632967078</v>
      </c>
      <c r="G220" s="2">
        <v>178.07364355547048</v>
      </c>
      <c r="H220" s="2">
        <f t="shared" si="15"/>
        <v>218</v>
      </c>
      <c r="I220" s="4">
        <v>236766.31993997146</v>
      </c>
      <c r="J220" s="6">
        <v>116197.66202721653</v>
      </c>
      <c r="K220" s="2">
        <v>165866.49096129279</v>
      </c>
      <c r="L220" s="2">
        <v>210984.61180226269</v>
      </c>
      <c r="M220" s="2">
        <v>187070.24671623204</v>
      </c>
      <c r="N220" s="3">
        <f t="shared" si="16"/>
        <v>237374.25847251705</v>
      </c>
      <c r="O220" s="5">
        <f t="shared" si="17"/>
        <v>116571.91307165193</v>
      </c>
      <c r="Q220" s="3">
        <f t="shared" si="18"/>
        <v>237374.25847251705</v>
      </c>
      <c r="S220" s="3">
        <f t="shared" si="19"/>
        <v>116571.91307165193</v>
      </c>
    </row>
    <row r="221" spans="1:19">
      <c r="A221">
        <v>219</v>
      </c>
      <c r="B221" s="2">
        <v>224.36144578313258</v>
      </c>
      <c r="C221" s="2">
        <v>112.18072289156629</v>
      </c>
      <c r="D221" s="2">
        <v>110.10972952426613</v>
      </c>
      <c r="E221" s="2">
        <v>157.17626446398967</v>
      </c>
      <c r="F221" s="2">
        <v>199.93051610528977</v>
      </c>
      <c r="G221" s="2">
        <v>177.2690939610934</v>
      </c>
      <c r="H221" s="2">
        <f t="shared" si="15"/>
        <v>219</v>
      </c>
      <c r="I221" s="4">
        <v>236990.68138575461</v>
      </c>
      <c r="J221" s="6">
        <v>116307.7717567408</v>
      </c>
      <c r="K221" s="2">
        <v>166023.66722575677</v>
      </c>
      <c r="L221" s="2">
        <v>211184.54231836798</v>
      </c>
      <c r="M221" s="2">
        <v>187247.51581019314</v>
      </c>
      <c r="N221" s="3">
        <f t="shared" si="16"/>
        <v>237603.28380836931</v>
      </c>
      <c r="O221" s="5">
        <f t="shared" si="17"/>
        <v>116684.38491975363</v>
      </c>
      <c r="Q221" s="3">
        <f t="shared" si="18"/>
        <v>237603.28380836931</v>
      </c>
      <c r="S221" s="3">
        <f t="shared" si="19"/>
        <v>116684.38491975363</v>
      </c>
    </row>
    <row r="222" spans="1:19">
      <c r="A222">
        <v>220</v>
      </c>
      <c r="B222" s="2">
        <v>223.35232383808093</v>
      </c>
      <c r="C222" s="2">
        <v>111.67616191904047</v>
      </c>
      <c r="D222" s="2">
        <v>109.61448336448683</v>
      </c>
      <c r="E222" s="2">
        <v>156.46932474376177</v>
      </c>
      <c r="F222" s="2">
        <v>199.03127840166775</v>
      </c>
      <c r="G222" s="2">
        <v>176.47178169440181</v>
      </c>
      <c r="H222" s="2">
        <f t="shared" si="15"/>
        <v>220</v>
      </c>
      <c r="I222" s="4">
        <v>237214.03370959268</v>
      </c>
      <c r="J222" s="6">
        <v>116417.38624010529</v>
      </c>
      <c r="K222" s="2">
        <v>166180.13655050052</v>
      </c>
      <c r="L222" s="2">
        <v>211383.57359676965</v>
      </c>
      <c r="M222" s="2">
        <v>187423.98759188753</v>
      </c>
      <c r="N222" s="3">
        <f t="shared" si="16"/>
        <v>237831.27516627286</v>
      </c>
      <c r="O222" s="5">
        <f t="shared" si="17"/>
        <v>116796.34899254589</v>
      </c>
      <c r="Q222" s="3">
        <f t="shared" si="18"/>
        <v>237831.27516627286</v>
      </c>
      <c r="S222" s="3">
        <f t="shared" si="19"/>
        <v>116796.34899254589</v>
      </c>
    </row>
    <row r="223" spans="1:19">
      <c r="A223">
        <v>221</v>
      </c>
      <c r="B223" s="2">
        <v>222.35223880597016</v>
      </c>
      <c r="C223" s="2">
        <v>111.17611940298508</v>
      </c>
      <c r="D223" s="2">
        <v>109.12367224494432</v>
      </c>
      <c r="E223" s="2">
        <v>155.76871582699877</v>
      </c>
      <c r="F223" s="2">
        <v>198.14009357300358</v>
      </c>
      <c r="G223" s="2">
        <v>175.68160953756126</v>
      </c>
      <c r="H223" s="2">
        <f t="shared" si="15"/>
        <v>221</v>
      </c>
      <c r="I223" s="4">
        <v>237436.38594839865</v>
      </c>
      <c r="J223" s="6">
        <v>116526.50991235023</v>
      </c>
      <c r="K223" s="2">
        <v>166335.90526632752</v>
      </c>
      <c r="L223" s="2">
        <v>211581.71369034264</v>
      </c>
      <c r="M223" s="2">
        <v>187599.6692014251</v>
      </c>
      <c r="N223" s="3">
        <f t="shared" si="16"/>
        <v>238058.24184045877</v>
      </c>
      <c r="O223" s="5">
        <f t="shared" si="17"/>
        <v>116907.8098543243</v>
      </c>
      <c r="Q223" s="3">
        <f t="shared" si="18"/>
        <v>238058.24184045877</v>
      </c>
      <c r="S223" s="3">
        <f t="shared" si="19"/>
        <v>116907.8098543243</v>
      </c>
    </row>
    <row r="224" spans="1:19">
      <c r="A224">
        <v>222</v>
      </c>
      <c r="B224" s="2">
        <v>221.36106983655279</v>
      </c>
      <c r="C224" s="2">
        <v>110.68053491827639</v>
      </c>
      <c r="D224" s="2">
        <v>108.63723685603675</v>
      </c>
      <c r="E224" s="2">
        <v>155.07435305213846</v>
      </c>
      <c r="F224" s="2">
        <v>197.25685392854743</v>
      </c>
      <c r="G224" s="2">
        <v>174.89848200619028</v>
      </c>
      <c r="H224" s="2">
        <f t="shared" si="15"/>
        <v>222</v>
      </c>
      <c r="I224" s="4">
        <v>237657.74701823521</v>
      </c>
      <c r="J224" s="6">
        <v>116635.14714920627</v>
      </c>
      <c r="K224" s="2">
        <v>166490.97961937965</v>
      </c>
      <c r="L224" s="2">
        <v>211778.9705442712</v>
      </c>
      <c r="M224" s="2">
        <v>187774.56768343129</v>
      </c>
      <c r="N224" s="3">
        <f t="shared" si="16"/>
        <v>238284.19300040224</v>
      </c>
      <c r="O224" s="5">
        <f t="shared" si="17"/>
        <v>117018.77200811834</v>
      </c>
      <c r="Q224" s="3">
        <f t="shared" si="18"/>
        <v>238284.19300040224</v>
      </c>
      <c r="S224" s="3">
        <f t="shared" si="19"/>
        <v>117018.77200811834</v>
      </c>
    </row>
    <row r="225" spans="1:19">
      <c r="A225">
        <v>223</v>
      </c>
      <c r="B225" s="2">
        <v>220.37869822485209</v>
      </c>
      <c r="C225" s="2">
        <v>110.18934911242604</v>
      </c>
      <c r="D225" s="2">
        <v>108.15511894099514</v>
      </c>
      <c r="E225" s="2">
        <v>154.38615326048696</v>
      </c>
      <c r="F225" s="2">
        <v>196.38145368921957</v>
      </c>
      <c r="G225" s="2">
        <v>174.12230531089654</v>
      </c>
      <c r="H225" s="2">
        <f t="shared" si="15"/>
        <v>223</v>
      </c>
      <c r="I225" s="4">
        <v>237878.12571646005</v>
      </c>
      <c r="J225" s="6">
        <v>116743.30226814726</v>
      </c>
      <c r="K225" s="2">
        <v>166645.36577264013</v>
      </c>
      <c r="L225" s="2">
        <v>211975.35199796042</v>
      </c>
      <c r="M225" s="2">
        <v>187948.68998874218</v>
      </c>
      <c r="N225" s="3">
        <f t="shared" si="16"/>
        <v>238509.13769304598</v>
      </c>
      <c r="O225" s="5">
        <f t="shared" si="17"/>
        <v>117129.23989678298</v>
      </c>
      <c r="Q225" s="3">
        <f t="shared" si="18"/>
        <v>238509.13769304598</v>
      </c>
      <c r="S225" s="3">
        <f t="shared" si="19"/>
        <v>117129.23989678298</v>
      </c>
    </row>
    <row r="226" spans="1:19">
      <c r="A226">
        <v>224</v>
      </c>
      <c r="B226" s="2">
        <v>219.40500736377027</v>
      </c>
      <c r="C226" s="2">
        <v>109.70250368188513</v>
      </c>
      <c r="D226" s="2">
        <v>107.67726127262547</v>
      </c>
      <c r="E226" s="2">
        <v>153.70403476301786</v>
      </c>
      <c r="F226" s="2">
        <v>195.51378894537908</v>
      </c>
      <c r="G226" s="2">
        <v>173.35298731983212</v>
      </c>
      <c r="H226" s="2">
        <f t="shared" si="15"/>
        <v>224</v>
      </c>
      <c r="I226" s="4">
        <v>238097.53072382382</v>
      </c>
      <c r="J226" s="6">
        <v>116850.97952941988</v>
      </c>
      <c r="K226" s="2">
        <v>166799.06980740314</v>
      </c>
      <c r="L226" s="2">
        <v>212170.86578690581</v>
      </c>
      <c r="M226" s="2">
        <v>188122.04297606202</v>
      </c>
      <c r="N226" s="3">
        <f t="shared" si="16"/>
        <v>238733.0848449732</v>
      </c>
      <c r="O226" s="5">
        <f t="shared" si="17"/>
        <v>117239.21790406606</v>
      </c>
      <c r="Q226" s="3">
        <f t="shared" si="18"/>
        <v>238733.0848449732</v>
      </c>
      <c r="S226" s="3">
        <f t="shared" si="19"/>
        <v>117239.21790406606</v>
      </c>
    </row>
    <row r="227" spans="1:19">
      <c r="A227">
        <v>225</v>
      </c>
      <c r="B227" s="2">
        <v>218.43988269794724</v>
      </c>
      <c r="C227" s="2">
        <v>109.21994134897362</v>
      </c>
      <c r="D227" s="2">
        <v>107.20360763066378</v>
      </c>
      <c r="E227" s="2">
        <v>153.02791730804856</v>
      </c>
      <c r="F227" s="2">
        <v>194.65375761570732</v>
      </c>
      <c r="G227" s="2">
        <v>172.59043752223761</v>
      </c>
      <c r="H227" s="2">
        <f t="shared" si="15"/>
        <v>225</v>
      </c>
      <c r="I227" s="4">
        <v>238315.97060652176</v>
      </c>
      <c r="J227" s="6">
        <v>116958.18313705055</v>
      </c>
      <c r="K227" s="2">
        <v>166952.09772471117</v>
      </c>
      <c r="L227" s="2">
        <v>212365.51954452152</v>
      </c>
      <c r="M227" s="2">
        <v>188294.63341358426</v>
      </c>
      <c r="N227" s="3">
        <f t="shared" si="16"/>
        <v>238956.0432645336</v>
      </c>
      <c r="O227" s="5">
        <f t="shared" si="17"/>
        <v>117348.71035565215</v>
      </c>
      <c r="Q227" s="3">
        <f t="shared" si="18"/>
        <v>238956.0432645336</v>
      </c>
      <c r="S227" s="3">
        <f t="shared" si="19"/>
        <v>117348.71035565215</v>
      </c>
    </row>
    <row r="228" spans="1:19">
      <c r="A228">
        <v>226</v>
      </c>
      <c r="B228" s="2">
        <v>217.48321167883211</v>
      </c>
      <c r="C228" s="2">
        <v>108.74160583941605</v>
      </c>
      <c r="D228" s="2">
        <v>106.73410277972653</v>
      </c>
      <c r="E228" s="2">
        <v>152.35772204976516</v>
      </c>
      <c r="F228" s="2">
        <v>193.80125940717139</v>
      </c>
      <c r="G228" s="2">
        <v>171.83456699294311</v>
      </c>
      <c r="H228" s="2">
        <f t="shared" si="15"/>
        <v>226</v>
      </c>
      <c r="I228" s="4">
        <v>238533.45381820059</v>
      </c>
      <c r="J228" s="6">
        <v>117064.91723983028</v>
      </c>
      <c r="K228" s="2">
        <v>167104.45544676093</v>
      </c>
      <c r="L228" s="2">
        <v>212559.32080392868</v>
      </c>
      <c r="M228" s="2">
        <v>188466.4679805772</v>
      </c>
      <c r="N228" s="3">
        <f t="shared" si="16"/>
        <v>239178.02164392202</v>
      </c>
      <c r="O228" s="5">
        <f t="shared" si="17"/>
        <v>117457.72152018349</v>
      </c>
      <c r="Q228" s="3">
        <f t="shared" si="18"/>
        <v>239178.02164392202</v>
      </c>
      <c r="S228" s="3">
        <f t="shared" si="19"/>
        <v>117457.72152018349</v>
      </c>
    </row>
    <row r="229" spans="1:19">
      <c r="A229">
        <v>227</v>
      </c>
      <c r="B229" s="2">
        <v>216.53488372093025</v>
      </c>
      <c r="C229" s="2">
        <v>108.26744186046513</v>
      </c>
      <c r="D229" s="2">
        <v>106.26869244783818</v>
      </c>
      <c r="E229" s="2">
        <v>151.69337151757139</v>
      </c>
      <c r="F229" s="2">
        <v>192.95619577603546</v>
      </c>
      <c r="G229" s="2">
        <v>171.08528835779944</v>
      </c>
      <c r="H229" s="2">
        <f t="shared" si="15"/>
        <v>227</v>
      </c>
      <c r="I229" s="4">
        <v>238749.98870192151</v>
      </c>
      <c r="J229" s="6">
        <v>117171.18593227811</v>
      </c>
      <c r="K229" s="2">
        <v>167256.14881827851</v>
      </c>
      <c r="L229" s="2">
        <v>212752.27699970471</v>
      </c>
      <c r="M229" s="2">
        <v>188637.55326893501</v>
      </c>
      <c r="N229" s="3">
        <f t="shared" si="16"/>
        <v>239399.02856121189</v>
      </c>
      <c r="O229" s="5">
        <f t="shared" si="17"/>
        <v>117566.25561025851</v>
      </c>
      <c r="Q229" s="3">
        <f t="shared" si="18"/>
        <v>239399.02856121189</v>
      </c>
      <c r="S229" s="3">
        <f t="shared" si="19"/>
        <v>117566.25561025851</v>
      </c>
    </row>
    <row r="230" spans="1:19">
      <c r="A230">
        <v>228</v>
      </c>
      <c r="B230" s="2">
        <v>215.59479015918961</v>
      </c>
      <c r="C230" s="2">
        <v>107.79739507959481</v>
      </c>
      <c r="D230" s="2">
        <v>105.80732330551764</v>
      </c>
      <c r="E230" s="2">
        <v>151.03478958623609</v>
      </c>
      <c r="F230" s="2">
        <v>192.11846988988771</v>
      </c>
      <c r="G230" s="2">
        <v>170.34251576000872</v>
      </c>
      <c r="H230" s="2">
        <f t="shared" si="15"/>
        <v>228</v>
      </c>
      <c r="I230" s="4">
        <v>238965.58349208071</v>
      </c>
      <c r="J230" s="6">
        <v>117276.99325558363</v>
      </c>
      <c r="K230" s="2">
        <v>167407.18360786475</v>
      </c>
      <c r="L230" s="2">
        <v>212944.3954695946</v>
      </c>
      <c r="M230" s="2">
        <v>188807.89578469502</v>
      </c>
      <c r="N230" s="3">
        <f t="shared" si="16"/>
        <v>239619.07248234414</v>
      </c>
      <c r="O230" s="5">
        <f t="shared" si="17"/>
        <v>117674.31678340861</v>
      </c>
      <c r="Q230" s="3">
        <f t="shared" si="18"/>
        <v>239619.07248234414</v>
      </c>
      <c r="S230" s="3">
        <f t="shared" si="19"/>
        <v>117674.31678340861</v>
      </c>
    </row>
    <row r="231" spans="1:19">
      <c r="A231">
        <v>229</v>
      </c>
      <c r="B231" s="2">
        <v>214.6628242074928</v>
      </c>
      <c r="C231" s="2">
        <v>107.3314121037464</v>
      </c>
      <c r="D231" s="2">
        <v>105.34994294540725</v>
      </c>
      <c r="E231" s="2">
        <v>150.3819014468142</v>
      </c>
      <c r="F231" s="2">
        <v>191.28798659065185</v>
      </c>
      <c r="G231" s="2">
        <v>169.60616482732851</v>
      </c>
      <c r="H231" s="2">
        <f t="shared" si="15"/>
        <v>229</v>
      </c>
      <c r="I231" s="4">
        <v>239180.24631628819</v>
      </c>
      <c r="J231" s="6">
        <v>117382.34319852904</v>
      </c>
      <c r="K231" s="2">
        <v>167557.56550931156</v>
      </c>
      <c r="L231" s="2">
        <v>213135.68345618524</v>
      </c>
      <c r="M231" s="2">
        <v>188977.50194952235</v>
      </c>
      <c r="N231" s="3">
        <f t="shared" si="16"/>
        <v>239838.16176307332</v>
      </c>
      <c r="O231" s="5">
        <f t="shared" si="17"/>
        <v>117781.90914305382</v>
      </c>
      <c r="Q231" s="3">
        <f t="shared" si="18"/>
        <v>239838.16176307332</v>
      </c>
      <c r="S231" s="3">
        <f t="shared" si="19"/>
        <v>117781.90914305382</v>
      </c>
    </row>
    <row r="232" spans="1:19">
      <c r="A232">
        <v>230</v>
      </c>
      <c r="B232" s="2">
        <v>213.73888091822096</v>
      </c>
      <c r="C232" s="2">
        <v>106.86944045911048</v>
      </c>
      <c r="D232" s="2">
        <v>104.89649986242854</v>
      </c>
      <c r="E232" s="2">
        <v>149.73463357832017</v>
      </c>
      <c r="F232" s="2">
        <v>190.46465235855439</v>
      </c>
      <c r="G232" s="2">
        <v>168.87615264012348</v>
      </c>
      <c r="H232" s="2">
        <f t="shared" si="15"/>
        <v>230</v>
      </c>
      <c r="I232" s="4">
        <v>239393.98519720641</v>
      </c>
      <c r="J232" s="6">
        <v>117487.23969839147</v>
      </c>
      <c r="K232" s="2">
        <v>167707.30014288987</v>
      </c>
      <c r="L232" s="2">
        <v>213326.1481085438</v>
      </c>
      <c r="M232" s="2">
        <v>189146.37810216247</v>
      </c>
      <c r="N232" s="3">
        <f t="shared" si="16"/>
        <v>240056.3046508714</v>
      </c>
      <c r="O232" s="5">
        <f t="shared" si="17"/>
        <v>117889.03673943784</v>
      </c>
      <c r="Q232" s="3">
        <f t="shared" si="18"/>
        <v>240056.3046508714</v>
      </c>
      <c r="S232" s="3">
        <f t="shared" si="19"/>
        <v>117889.03673943784</v>
      </c>
    </row>
    <row r="233" spans="1:19">
      <c r="A233">
        <v>231</v>
      </c>
      <c r="B233" s="2">
        <v>212.82285714285715</v>
      </c>
      <c r="C233" s="2">
        <v>106.41142857142857</v>
      </c>
      <c r="D233" s="2">
        <v>104.44694343444677</v>
      </c>
      <c r="E233" s="2">
        <v>149.09291372012737</v>
      </c>
      <c r="F233" s="2">
        <v>189.64837527701769</v>
      </c>
      <c r="G233" s="2">
        <v>168.15239770023717</v>
      </c>
      <c r="H233" s="2">
        <f t="shared" si="15"/>
        <v>231</v>
      </c>
      <c r="I233" s="4">
        <v>239606.80805434927</v>
      </c>
      <c r="J233" s="6">
        <v>117591.68664182592</v>
      </c>
      <c r="K233" s="2">
        <v>167856.39305660999</v>
      </c>
      <c r="L233" s="2">
        <v>213515.79648382083</v>
      </c>
      <c r="M233" s="2">
        <v>189314.53049986271</v>
      </c>
      <c r="N233" s="3">
        <f t="shared" si="16"/>
        <v>240273.50928679065</v>
      </c>
      <c r="O233" s="5">
        <f t="shared" si="17"/>
        <v>117995.70357054274</v>
      </c>
      <c r="Q233" s="3">
        <f t="shared" si="18"/>
        <v>240273.50928679065</v>
      </c>
      <c r="S233" s="3">
        <f t="shared" si="19"/>
        <v>117995.70357054274</v>
      </c>
    </row>
    <row r="234" spans="1:19">
      <c r="A234">
        <v>232</v>
      </c>
      <c r="B234" s="2">
        <v>211.91465149359888</v>
      </c>
      <c r="C234" s="2">
        <v>105.95732574679944</v>
      </c>
      <c r="D234" s="2">
        <v>104.00122390343196</v>
      </c>
      <c r="E234" s="2">
        <v>148.45667084507699</v>
      </c>
      <c r="F234" s="2">
        <v>188.83906499845295</v>
      </c>
      <c r="G234" s="2">
        <v>167.43481990066286</v>
      </c>
      <c r="H234" s="2">
        <f t="shared" si="15"/>
        <v>232</v>
      </c>
      <c r="I234" s="4">
        <v>239818.72270584287</v>
      </c>
      <c r="J234" s="6">
        <v>117695.68786572934</v>
      </c>
      <c r="K234" s="2">
        <v>168004.84972745506</v>
      </c>
      <c r="L234" s="2">
        <v>213704.63554881929</v>
      </c>
      <c r="M234" s="2">
        <v>189481.96531976337</v>
      </c>
      <c r="N234" s="3">
        <f t="shared" si="16"/>
        <v>240489.7837072867</v>
      </c>
      <c r="O234" s="5">
        <f t="shared" si="17"/>
        <v>118101.91358298436</v>
      </c>
      <c r="Q234" s="3">
        <f t="shared" si="18"/>
        <v>240489.7837072867</v>
      </c>
      <c r="S234" s="3">
        <f t="shared" si="19"/>
        <v>118101.91358298436</v>
      </c>
    </row>
    <row r="235" spans="1:19">
      <c r="A235">
        <v>233</v>
      </c>
      <c r="B235" s="2">
        <v>211.01416430594907</v>
      </c>
      <c r="C235" s="2">
        <v>105.50708215297453</v>
      </c>
      <c r="D235" s="2">
        <v>103.55929235710011</v>
      </c>
      <c r="E235" s="2">
        <v>147.82583513327077</v>
      </c>
      <c r="F235" s="2">
        <v>188.03663271092412</v>
      </c>
      <c r="G235" s="2">
        <v>166.72334049598595</v>
      </c>
      <c r="H235" s="2">
        <f t="shared" si="15"/>
        <v>233</v>
      </c>
      <c r="I235" s="4">
        <v>240029.73687014883</v>
      </c>
      <c r="J235" s="6">
        <v>117799.24715808644</v>
      </c>
      <c r="K235" s="2">
        <v>168152.67556258832</v>
      </c>
      <c r="L235" s="2">
        <v>213892.67218153022</v>
      </c>
      <c r="M235" s="2">
        <v>189648.68866025936</v>
      </c>
      <c r="N235" s="3">
        <f t="shared" si="16"/>
        <v>240705.13584600278</v>
      </c>
      <c r="O235" s="5">
        <f t="shared" si="17"/>
        <v>118207.67067288849</v>
      </c>
      <c r="Q235" s="3">
        <f t="shared" si="18"/>
        <v>240705.13584600278</v>
      </c>
      <c r="S235" s="3">
        <f t="shared" si="19"/>
        <v>118207.67067288849</v>
      </c>
    </row>
    <row r="236" spans="1:19">
      <c r="A236">
        <v>234</v>
      </c>
      <c r="B236" s="2">
        <v>210.12129760225673</v>
      </c>
      <c r="C236" s="2">
        <v>105.06064880112837</v>
      </c>
      <c r="D236" s="2">
        <v>103.12110071101932</v>
      </c>
      <c r="E236" s="2">
        <v>147.20033794652912</v>
      </c>
      <c r="F236" s="2">
        <v>187.24099110565925</v>
      </c>
      <c r="G236" s="2">
        <v>166.01788207357694</v>
      </c>
      <c r="H236" s="2">
        <f t="shared" si="15"/>
        <v>234</v>
      </c>
      <c r="I236" s="4">
        <v>240239.85816775108</v>
      </c>
      <c r="J236" s="6">
        <v>117902.36825879746</v>
      </c>
      <c r="K236" s="2">
        <v>168299.87590053485</v>
      </c>
      <c r="L236" s="2">
        <v>214079.91317263586</v>
      </c>
      <c r="M236" s="2">
        <v>189814.70654233295</v>
      </c>
      <c r="N236" s="3">
        <f t="shared" si="16"/>
        <v>240919.5735355161</v>
      </c>
      <c r="O236" s="5">
        <f t="shared" si="17"/>
        <v>118312.97868674849</v>
      </c>
      <c r="Q236" s="3">
        <f t="shared" si="18"/>
        <v>240919.5735355161</v>
      </c>
      <c r="S236" s="3">
        <f t="shared" si="19"/>
        <v>118312.97868674849</v>
      </c>
    </row>
    <row r="237" spans="1:19">
      <c r="A237">
        <v>235</v>
      </c>
      <c r="B237" s="2">
        <v>209.23595505617979</v>
      </c>
      <c r="C237" s="2">
        <v>104.6179775280899</v>
      </c>
      <c r="D237" s="2">
        <v>102.68660169116947</v>
      </c>
      <c r="E237" s="2">
        <v>146.58011180349592</v>
      </c>
      <c r="F237" s="2">
        <v>186.45205434538258</v>
      </c>
      <c r="G237" s="2">
        <v>165.3183685255141</v>
      </c>
      <c r="H237" s="2">
        <f t="shared" si="15"/>
        <v>235</v>
      </c>
      <c r="I237" s="4">
        <v>240449.09412280726</v>
      </c>
      <c r="J237" s="6">
        <v>118005.05486048863</v>
      </c>
      <c r="K237" s="2">
        <v>168446.45601233834</v>
      </c>
      <c r="L237" s="2">
        <v>214266.36522698123</v>
      </c>
      <c r="M237" s="2">
        <v>189980.02491085845</v>
      </c>
      <c r="N237" s="3">
        <f t="shared" si="16"/>
        <v>241133.10450904691</v>
      </c>
      <c r="O237" s="5">
        <f t="shared" si="17"/>
        <v>118417.84142226461</v>
      </c>
      <c r="Q237" s="3">
        <f t="shared" si="18"/>
        <v>241133.10450904691</v>
      </c>
      <c r="S237" s="3">
        <f t="shared" si="19"/>
        <v>118417.84142226461</v>
      </c>
    </row>
    <row r="238" spans="1:19">
      <c r="A238">
        <v>236</v>
      </c>
      <c r="B238" s="2">
        <v>208.35804195804195</v>
      </c>
      <c r="C238" s="2">
        <v>104.17902097902098</v>
      </c>
      <c r="D238" s="2">
        <v>102.25574881694079</v>
      </c>
      <c r="E238" s="2">
        <v>145.9650903553694</v>
      </c>
      <c r="F238" s="2">
        <v>185.66973803344388</v>
      </c>
      <c r="G238" s="2">
        <v>164.62472502121119</v>
      </c>
      <c r="H238" s="2">
        <f t="shared" si="15"/>
        <v>236</v>
      </c>
      <c r="I238" s="4">
        <v>240657.4521647653</v>
      </c>
      <c r="J238" s="6">
        <v>118107.31060930557</v>
      </c>
      <c r="K238" s="2">
        <v>168592.42110269371</v>
      </c>
      <c r="L238" s="2">
        <v>214452.03496501467</v>
      </c>
      <c r="M238" s="2">
        <v>190144.64963587967</v>
      </c>
      <c r="N238" s="3">
        <f t="shared" si="16"/>
        <v>241345.73640213226</v>
      </c>
      <c r="O238" s="5">
        <f t="shared" si="17"/>
        <v>118522.26262916594</v>
      </c>
      <c r="Q238" s="3">
        <f t="shared" si="18"/>
        <v>241345.73640213226</v>
      </c>
      <c r="S238" s="3">
        <f t="shared" si="19"/>
        <v>118522.26262916594</v>
      </c>
    </row>
    <row r="239" spans="1:19">
      <c r="A239">
        <v>237</v>
      </c>
      <c r="B239" s="2">
        <v>207.4874651810585</v>
      </c>
      <c r="C239" s="2">
        <v>103.74373259052925</v>
      </c>
      <c r="D239" s="2">
        <v>101.82849638455804</v>
      </c>
      <c r="E239" s="2">
        <v>145.35520836224106</v>
      </c>
      <c r="F239" s="2">
        <v>184.89395918372193</v>
      </c>
      <c r="G239" s="2">
        <v>163.93687798073253</v>
      </c>
      <c r="H239" s="2">
        <f t="shared" si="15"/>
        <v>237</v>
      </c>
      <c r="I239" s="4">
        <v>240864.93962994637</v>
      </c>
      <c r="J239" s="6">
        <v>118209.13910569012</v>
      </c>
      <c r="K239" s="2">
        <v>168737.77631105596</v>
      </c>
      <c r="L239" s="2">
        <v>214636.92892419838</v>
      </c>
      <c r="M239" s="2">
        <v>190308.58651386041</v>
      </c>
      <c r="N239" s="3">
        <f t="shared" si="16"/>
        <v>241557.47675426406</v>
      </c>
      <c r="O239" s="5">
        <f t="shared" si="17"/>
        <v>118626.24601001483</v>
      </c>
      <c r="Q239" s="3">
        <f t="shared" si="18"/>
        <v>241557.47675426406</v>
      </c>
      <c r="S239" s="3">
        <f t="shared" si="19"/>
        <v>118626.24601001483</v>
      </c>
    </row>
    <row r="240" spans="1:19">
      <c r="A240">
        <v>238</v>
      </c>
      <c r="B240" s="2">
        <v>206.62413314840501</v>
      </c>
      <c r="C240" s="2">
        <v>103.3120665742025</v>
      </c>
      <c r="D240" s="2">
        <v>101.40479945091911</v>
      </c>
      <c r="E240" s="2">
        <v>144.75040167002649</v>
      </c>
      <c r="F240" s="2">
        <v>184.12463619127925</v>
      </c>
      <c r="G240" s="2">
        <v>163.25475504877389</v>
      </c>
      <c r="H240" s="2">
        <f t="shared" si="15"/>
        <v>238</v>
      </c>
      <c r="I240" s="4">
        <v>241071.56376309477</v>
      </c>
      <c r="J240" s="6">
        <v>118310.54390514104</v>
      </c>
      <c r="K240" s="2">
        <v>168882.52671272599</v>
      </c>
      <c r="L240" s="2">
        <v>214821.05356038967</v>
      </c>
      <c r="M240" s="2">
        <v>190471.84126890919</v>
      </c>
      <c r="N240" s="3">
        <f t="shared" si="16"/>
        <v>241768.33301049331</v>
      </c>
      <c r="O240" s="5">
        <f t="shared" si="17"/>
        <v>118729.79522099474</v>
      </c>
      <c r="Q240" s="3">
        <f t="shared" si="18"/>
        <v>241768.33301049331</v>
      </c>
      <c r="S240" s="3">
        <f t="shared" si="19"/>
        <v>118729.79522099474</v>
      </c>
    </row>
    <row r="241" spans="1:19">
      <c r="A241">
        <v>239</v>
      </c>
      <c r="B241" s="2">
        <v>205.76795580110502</v>
      </c>
      <c r="C241" s="2">
        <v>102.88397790055251</v>
      </c>
      <c r="D241" s="2">
        <v>100.98461381783524</v>
      </c>
      <c r="E241" s="2">
        <v>144.1506071879684</v>
      </c>
      <c r="F241" s="2">
        <v>183.36168880374646</v>
      </c>
      <c r="G241" s="2">
        <v>162.5782850692901</v>
      </c>
      <c r="H241" s="2">
        <f t="shared" si="15"/>
        <v>239</v>
      </c>
      <c r="I241" s="4">
        <v>241277.33171889588</v>
      </c>
      <c r="J241" s="6">
        <v>118411.52851895888</v>
      </c>
      <c r="K241" s="2">
        <v>169026.67731991396</v>
      </c>
      <c r="L241" s="2">
        <v>215004.41524919341</v>
      </c>
      <c r="M241" s="2">
        <v>190634.41955397849</v>
      </c>
      <c r="N241" s="3">
        <f t="shared" si="16"/>
        <v>241978.31252300082</v>
      </c>
      <c r="O241" s="5">
        <f t="shared" si="17"/>
        <v>118832.91387268159</v>
      </c>
      <c r="Q241" s="3">
        <f t="shared" si="18"/>
        <v>241978.31252300082</v>
      </c>
      <c r="S241" s="3">
        <f t="shared" si="19"/>
        <v>118832.91387268159</v>
      </c>
    </row>
    <row r="242" spans="1:19">
      <c r="A242">
        <v>240</v>
      </c>
      <c r="B242" s="2">
        <v>204.91884456671252</v>
      </c>
      <c r="C242" s="2">
        <v>102.45942228335626</v>
      </c>
      <c r="D242" s="2">
        <v>100.56789601666119</v>
      </c>
      <c r="E242" s="2">
        <v>143.55576286669748</v>
      </c>
      <c r="F242" s="2">
        <v>182.60503809341455</v>
      </c>
      <c r="G242" s="2">
        <v>161.90739806075101</v>
      </c>
      <c r="H242" s="2">
        <f t="shared" si="15"/>
        <v>240</v>
      </c>
      <c r="I242" s="4">
        <v>241482.25056346258</v>
      </c>
      <c r="J242" s="6">
        <v>118512.09641497553</v>
      </c>
      <c r="K242" s="2">
        <v>169170.23308278064</v>
      </c>
      <c r="L242" s="2">
        <v>215187.02028728681</v>
      </c>
      <c r="M242" s="2">
        <v>190796.32695203924</v>
      </c>
      <c r="N242" s="3">
        <f t="shared" si="16"/>
        <v>242187.42255263543</v>
      </c>
      <c r="O242" s="5">
        <f t="shared" si="17"/>
        <v>118935.60553079919</v>
      </c>
      <c r="Q242" s="3">
        <f t="shared" si="18"/>
        <v>242187.42255263543</v>
      </c>
      <c r="S242" s="3">
        <f t="shared" si="19"/>
        <v>118935.60553079919</v>
      </c>
    </row>
    <row r="243" spans="1:19">
      <c r="A243">
        <v>241</v>
      </c>
      <c r="B243" s="2">
        <v>204.07671232876714</v>
      </c>
      <c r="C243" s="2">
        <v>102.03835616438357</v>
      </c>
      <c r="D243" s="2">
        <v>100.15460329330513</v>
      </c>
      <c r="E243" s="2">
        <v>142.96580767683446</v>
      </c>
      <c r="F243" s="2">
        <v>181.85460643001699</v>
      </c>
      <c r="G243" s="2">
        <v>161.24202519200824</v>
      </c>
      <c r="H243" s="2">
        <f t="shared" si="15"/>
        <v>241</v>
      </c>
      <c r="I243" s="4">
        <v>241686.32727579135</v>
      </c>
      <c r="J243" s="6">
        <v>118612.25101826884</v>
      </c>
      <c r="K243" s="2">
        <v>169313.19889045748</v>
      </c>
      <c r="L243" s="2">
        <v>215368.87489371683</v>
      </c>
      <c r="M243" s="2">
        <v>190957.56897723125</v>
      </c>
      <c r="N243" s="3">
        <f t="shared" si="16"/>
        <v>242395.67027042044</v>
      </c>
      <c r="O243" s="5">
        <f t="shared" si="17"/>
        <v>119037.87371695894</v>
      </c>
      <c r="Q243" s="3">
        <f t="shared" si="18"/>
        <v>242395.67027042044</v>
      </c>
      <c r="S243" s="3">
        <f t="shared" si="19"/>
        <v>119037.87371695894</v>
      </c>
    </row>
    <row r="244" spans="1:19">
      <c r="A244">
        <v>242</v>
      </c>
      <c r="B244" s="2">
        <v>203.24147339699866</v>
      </c>
      <c r="C244" s="2">
        <v>101.62073669849933</v>
      </c>
      <c r="D244" s="2">
        <v>99.744693593605191</v>
      </c>
      <c r="E244" s="2">
        <v>142.38068158811603</v>
      </c>
      <c r="F244" s="2">
        <v>181.11031745417785</v>
      </c>
      <c r="G244" s="2">
        <v>160.58209875875298</v>
      </c>
      <c r="H244" s="2">
        <f t="shared" si="15"/>
        <v>242</v>
      </c>
      <c r="I244" s="4">
        <v>241889.56874918836</v>
      </c>
      <c r="J244" s="6">
        <v>118711.99571186244</v>
      </c>
      <c r="K244" s="2">
        <v>169455.57957204559</v>
      </c>
      <c r="L244" s="2">
        <v>215549.98521117101</v>
      </c>
      <c r="M244" s="2">
        <v>191118.15107599</v>
      </c>
      <c r="N244" s="3">
        <f t="shared" si="16"/>
        <v>242603.06275902948</v>
      </c>
      <c r="O244" s="5">
        <f t="shared" si="17"/>
        <v>119139.72190938477</v>
      </c>
      <c r="Q244" s="3">
        <f t="shared" si="18"/>
        <v>242603.06275902948</v>
      </c>
      <c r="S244" s="3">
        <f t="shared" si="19"/>
        <v>119139.72190938477</v>
      </c>
    </row>
    <row r="245" spans="1:19">
      <c r="A245">
        <v>243</v>
      </c>
      <c r="B245" s="2">
        <v>202.41304347826087</v>
      </c>
      <c r="C245" s="2">
        <v>101.20652173913044</v>
      </c>
      <c r="D245" s="2">
        <v>99.33812554906612</v>
      </c>
      <c r="E245" s="2">
        <v>141.80032554903414</v>
      </c>
      <c r="F245" s="2">
        <v>180.37209605151142</v>
      </c>
      <c r="G245" s="2">
        <v>159.92755216055167</v>
      </c>
      <c r="H245" s="2">
        <f t="shared" si="15"/>
        <v>243</v>
      </c>
      <c r="I245" s="4">
        <v>242091.98179266663</v>
      </c>
      <c r="J245" s="6">
        <v>118811.33383741151</v>
      </c>
      <c r="K245" s="2">
        <v>169597.37989759463</v>
      </c>
      <c r="L245" s="2">
        <v>215730.35730722253</v>
      </c>
      <c r="M245" s="2">
        <v>191278.07862815054</v>
      </c>
      <c r="N245" s="3">
        <f t="shared" si="16"/>
        <v>242809.6070142315</v>
      </c>
      <c r="O245" s="5">
        <f t="shared" si="17"/>
        <v>119241.1535436226</v>
      </c>
      <c r="Q245" s="3">
        <f t="shared" si="18"/>
        <v>242809.6070142315</v>
      </c>
      <c r="S245" s="3">
        <f t="shared" si="19"/>
        <v>119241.1535436226</v>
      </c>
    </row>
    <row r="246" spans="1:19">
      <c r="A246">
        <v>244</v>
      </c>
      <c r="B246" s="2">
        <v>201.59133964817323</v>
      </c>
      <c r="C246" s="2">
        <v>100.79566982408662</v>
      </c>
      <c r="D246" s="2">
        <v>98.934858462940042</v>
      </c>
      <c r="E246" s="2">
        <v>141.22468146696764</v>
      </c>
      <c r="F246" s="2">
        <v>179.63986832735097</v>
      </c>
      <c r="G246" s="2">
        <v>159.27831987843842</v>
      </c>
      <c r="H246" s="2">
        <f t="shared" si="15"/>
        <v>244</v>
      </c>
      <c r="I246" s="4">
        <v>242293.57313231481</v>
      </c>
      <c r="J246" s="6">
        <v>118910.26869587445</v>
      </c>
      <c r="K246" s="2">
        <v>169738.60457906159</v>
      </c>
      <c r="L246" s="2">
        <v>215909.99717554988</v>
      </c>
      <c r="M246" s="2">
        <v>191437.35694802899</v>
      </c>
      <c r="N246" s="3">
        <f t="shared" si="16"/>
        <v>243015.30994630707</v>
      </c>
      <c r="O246" s="5">
        <f t="shared" si="17"/>
        <v>119342.17201323595</v>
      </c>
      <c r="Q246" s="3">
        <f t="shared" si="18"/>
        <v>243015.30994630707</v>
      </c>
      <c r="S246" s="3">
        <f t="shared" si="19"/>
        <v>119342.17201323595</v>
      </c>
    </row>
    <row r="247" spans="1:19">
      <c r="A247">
        <v>245</v>
      </c>
      <c r="B247" s="2">
        <v>200.77628032345012</v>
      </c>
      <c r="C247" s="2">
        <v>100.38814016172506</v>
      </c>
      <c r="D247" s="2">
        <v>98.534852296647784</v>
      </c>
      <c r="E247" s="2">
        <v>140.65369218879934</v>
      </c>
      <c r="F247" s="2">
        <v>178.91356158209214</v>
      </c>
      <c r="G247" s="2">
        <v>158.63433745305392</v>
      </c>
      <c r="H247" s="2">
        <f t="shared" si="15"/>
        <v>245</v>
      </c>
      <c r="I247" s="4">
        <v>242494.34941263826</v>
      </c>
      <c r="J247" s="6">
        <v>119008.8035481711</v>
      </c>
      <c r="K247" s="2">
        <v>169879.25827125038</v>
      </c>
      <c r="L247" s="2">
        <v>216088.91073713198</v>
      </c>
      <c r="M247" s="2">
        <v>191595.99128548204</v>
      </c>
      <c r="N247" s="3">
        <f t="shared" si="16"/>
        <v>243220.17838143563</v>
      </c>
      <c r="O247" s="5">
        <f t="shared" si="17"/>
        <v>119442.78067048719</v>
      </c>
      <c r="Q247" s="3">
        <f t="shared" si="18"/>
        <v>243220.17838143563</v>
      </c>
      <c r="S247" s="3">
        <f t="shared" si="19"/>
        <v>119442.78067048719</v>
      </c>
    </row>
    <row r="248" spans="1:19">
      <c r="A248">
        <v>246</v>
      </c>
      <c r="B248" s="2">
        <v>199.96778523489934</v>
      </c>
      <c r="C248" s="2">
        <v>99.983892617449669</v>
      </c>
      <c r="D248" s="2">
        <v>98.138067656527056</v>
      </c>
      <c r="E248" s="2">
        <v>140.08730148199885</v>
      </c>
      <c r="F248" s="2">
        <v>178.19310428713067</v>
      </c>
      <c r="G248" s="2">
        <v>157.99554146331005</v>
      </c>
      <c r="H248" s="2">
        <f t="shared" si="15"/>
        <v>246</v>
      </c>
      <c r="I248" s="4">
        <v>242694.31719787317</v>
      </c>
      <c r="J248" s="6">
        <v>119106.94161582763</v>
      </c>
      <c r="K248" s="2">
        <v>170019.34557273239</v>
      </c>
      <c r="L248" s="2">
        <v>216267.10384141913</v>
      </c>
      <c r="M248" s="2">
        <v>191753.98682694536</v>
      </c>
      <c r="N248" s="3">
        <f t="shared" si="16"/>
        <v>243424.21906305436</v>
      </c>
      <c r="O248" s="5">
        <f t="shared" si="17"/>
        <v>119542.98282700492</v>
      </c>
      <c r="Q248" s="3">
        <f t="shared" si="18"/>
        <v>243424.21906305436</v>
      </c>
      <c r="S248" s="3">
        <f t="shared" si="19"/>
        <v>119542.98282700492</v>
      </c>
    </row>
    <row r="249" spans="1:19">
      <c r="A249">
        <v>247</v>
      </c>
      <c r="B249" s="2">
        <v>199.16577540106954</v>
      </c>
      <c r="C249" s="2">
        <v>99.582887700534769</v>
      </c>
      <c r="D249" s="2">
        <v>97.744465780899347</v>
      </c>
      <c r="E249" s="2">
        <v>139.52545401616194</v>
      </c>
      <c r="F249" s="2">
        <v>177.47842606138022</v>
      </c>
      <c r="G249" s="2">
        <v>157.36186950556956</v>
      </c>
      <c r="H249" s="2">
        <f t="shared" si="15"/>
        <v>247</v>
      </c>
      <c r="I249" s="4">
        <v>242893.48297327425</v>
      </c>
      <c r="J249" s="6">
        <v>119204.68608160852</v>
      </c>
      <c r="K249" s="2">
        <v>170158.87102674856</v>
      </c>
      <c r="L249" s="2">
        <v>216444.58226748049</v>
      </c>
      <c r="M249" s="2">
        <v>191911.34869645094</v>
      </c>
      <c r="N249" s="3">
        <f t="shared" si="16"/>
        <v>243627.43865319047</v>
      </c>
      <c r="O249" s="5">
        <f t="shared" si="17"/>
        <v>119642.7817544381</v>
      </c>
      <c r="Q249" s="3">
        <f t="shared" si="18"/>
        <v>243627.43865319047</v>
      </c>
      <c r="S249" s="3">
        <f t="shared" si="19"/>
        <v>119642.7817544381</v>
      </c>
    </row>
    <row r="250" spans="1:19">
      <c r="A250">
        <v>248</v>
      </c>
      <c r="B250" s="2">
        <v>198.37017310252998</v>
      </c>
      <c r="C250" s="2">
        <v>99.185086551264988</v>
      </c>
      <c r="D250" s="2">
        <v>97.354008527447021</v>
      </c>
      <c r="E250" s="2">
        <v>138.96809534499215</v>
      </c>
      <c r="F250" s="2">
        <v>176.76945764835207</v>
      </c>
      <c r="G250" s="2">
        <v>156.7332601733236</v>
      </c>
      <c r="H250" s="2">
        <f t="shared" si="15"/>
        <v>248</v>
      </c>
      <c r="I250" s="4">
        <v>243091.85314637679</v>
      </c>
      <c r="J250" s="6">
        <v>119302.04009013597</v>
      </c>
      <c r="K250" s="2">
        <v>170297.83912209354</v>
      </c>
      <c r="L250" s="2">
        <v>216621.35172512886</v>
      </c>
      <c r="M250" s="2">
        <v>192068.08195662426</v>
      </c>
      <c r="N250" s="3">
        <f t="shared" si="16"/>
        <v>243829.84373376623</v>
      </c>
      <c r="O250" s="5">
        <f t="shared" si="17"/>
        <v>119742.18068509708</v>
      </c>
      <c r="Q250" s="3">
        <f t="shared" si="18"/>
        <v>243829.84373376623</v>
      </c>
      <c r="S250" s="3">
        <f t="shared" si="19"/>
        <v>119742.18068509708</v>
      </c>
    </row>
    <row r="251" spans="1:19">
      <c r="A251">
        <v>249</v>
      </c>
      <c r="B251" s="2">
        <v>197.58090185676394</v>
      </c>
      <c r="C251" s="2">
        <v>98.790450928381972</v>
      </c>
      <c r="D251" s="2">
        <v>96.966658360892112</v>
      </c>
      <c r="E251" s="2">
        <v>138.41517188871245</v>
      </c>
      <c r="F251" s="2">
        <v>176.06613089378305</v>
      </c>
      <c r="G251" s="2">
        <v>156.10965303735554</v>
      </c>
      <c r="H251" s="2">
        <f t="shared" si="15"/>
        <v>249</v>
      </c>
      <c r="I251" s="4">
        <v>243289.43404823355</v>
      </c>
      <c r="J251" s="6">
        <v>119399.00674849686</v>
      </c>
      <c r="K251" s="2">
        <v>170436.25429398226</v>
      </c>
      <c r="L251" s="2">
        <v>216797.41785602263</v>
      </c>
      <c r="M251" s="2">
        <v>192224.19160966162</v>
      </c>
      <c r="N251" s="3">
        <f t="shared" si="16"/>
        <v>244031.44080787787</v>
      </c>
      <c r="O251" s="5">
        <f t="shared" si="17"/>
        <v>119841.18281258161</v>
      </c>
      <c r="Q251" s="3">
        <f t="shared" si="18"/>
        <v>244031.44080787787</v>
      </c>
      <c r="S251" s="3">
        <f t="shared" si="19"/>
        <v>119841.18281258161</v>
      </c>
    </row>
    <row r="252" spans="1:19">
      <c r="A252">
        <v>250</v>
      </c>
      <c r="B252" s="2">
        <v>196.79788639365918</v>
      </c>
      <c r="C252" s="2">
        <v>98.398943196829592</v>
      </c>
      <c r="D252" s="2">
        <v>96.582378340967864</v>
      </c>
      <c r="E252" s="2">
        <v>137.86663091689439</v>
      </c>
      <c r="F252" s="2">
        <v>175.36837872379439</v>
      </c>
      <c r="G252" s="2">
        <v>155.49098862637516</v>
      </c>
      <c r="H252" s="2">
        <f t="shared" si="15"/>
        <v>250</v>
      </c>
      <c r="I252" s="4">
        <v>243486.23193462723</v>
      </c>
      <c r="J252" s="6">
        <v>119495.58912683783</v>
      </c>
      <c r="K252" s="2">
        <v>170574.12092489915</v>
      </c>
      <c r="L252" s="2">
        <v>216972.78623474643</v>
      </c>
      <c r="M252" s="2">
        <v>192379.682598288</v>
      </c>
      <c r="N252" s="3">
        <f t="shared" si="16"/>
        <v>244232.23630104965</v>
      </c>
      <c r="O252" s="5">
        <f t="shared" si="17"/>
        <v>119939.79129239665</v>
      </c>
      <c r="Q252" s="3">
        <f t="shared" si="18"/>
        <v>244232.23630104965</v>
      </c>
      <c r="S252" s="3">
        <f t="shared" si="19"/>
        <v>119939.79129239665</v>
      </c>
    </row>
    <row r="253" spans="1:19">
      <c r="A253">
        <v>251</v>
      </c>
      <c r="B253" s="2">
        <v>196.02105263157895</v>
      </c>
      <c r="C253" s="2">
        <v>98.010526315789477</v>
      </c>
      <c r="D253" s="2">
        <v>96.201132110674564</v>
      </c>
      <c r="E253" s="2">
        <v>137.32242053169625</v>
      </c>
      <c r="F253" s="2">
        <v>174.67613512356891</v>
      </c>
      <c r="G253" s="2">
        <v>154.87720840811318</v>
      </c>
      <c r="H253" s="2">
        <f t="shared" si="15"/>
        <v>251</v>
      </c>
      <c r="I253" s="4">
        <v>243682.25298725881</v>
      </c>
      <c r="J253" s="6">
        <v>119591.7902589485</v>
      </c>
      <c r="K253" s="2">
        <v>170711.44334543086</v>
      </c>
      <c r="L253" s="2">
        <v>217147.46236986999</v>
      </c>
      <c r="M253" s="2">
        <v>192534.55980669611</v>
      </c>
      <c r="N253" s="3">
        <f t="shared" si="16"/>
        <v>244432.23656246252</v>
      </c>
      <c r="O253" s="5">
        <f t="shared" si="17"/>
        <v>120038.00924255585</v>
      </c>
      <c r="Q253" s="3">
        <f t="shared" si="18"/>
        <v>244432.23656246252</v>
      </c>
      <c r="S253" s="3">
        <f t="shared" si="19"/>
        <v>120038.00924255585</v>
      </c>
    </row>
    <row r="254" spans="1:19">
      <c r="A254">
        <v>252</v>
      </c>
      <c r="B254" s="2">
        <v>195.2503276539974</v>
      </c>
      <c r="C254" s="2">
        <v>97.625163826998701</v>
      </c>
      <c r="D254" s="2">
        <v>95.82288388481355</v>
      </c>
      <c r="E254" s="2">
        <v>136.78248965149299</v>
      </c>
      <c r="F254" s="2">
        <v>173.98933511652999</v>
      </c>
      <c r="G254" s="2">
        <v>154.26825477085981</v>
      </c>
      <c r="H254" s="2">
        <f t="shared" si="15"/>
        <v>252</v>
      </c>
      <c r="I254" s="4">
        <v>243877.50331491281</v>
      </c>
      <c r="J254" s="6">
        <v>119687.61314283332</v>
      </c>
      <c r="K254" s="2">
        <v>170848.22583508235</v>
      </c>
      <c r="L254" s="2">
        <v>217321.45170498651</v>
      </c>
      <c r="M254" s="2">
        <v>192688.82806146698</v>
      </c>
      <c r="N254" s="3">
        <f t="shared" si="16"/>
        <v>244631.44786615885</v>
      </c>
      <c r="O254" s="5">
        <f t="shared" si="17"/>
        <v>120135.83974417306</v>
      </c>
      <c r="Q254" s="3">
        <f t="shared" si="18"/>
        <v>244631.44786615885</v>
      </c>
      <c r="S254" s="3">
        <f t="shared" si="19"/>
        <v>120135.83974417306</v>
      </c>
    </row>
    <row r="255" spans="1:19">
      <c r="A255">
        <v>253</v>
      </c>
      <c r="B255" s="2">
        <v>194.4856396866841</v>
      </c>
      <c r="C255" s="2">
        <v>97.242819843342048</v>
      </c>
      <c r="D255" s="2">
        <v>95.447598438789456</v>
      </c>
      <c r="E255" s="2">
        <v>136.2467879948945</v>
      </c>
      <c r="F255" s="2">
        <v>173.30791474401096</v>
      </c>
      <c r="G255" s="2">
        <v>153.6640710054387</v>
      </c>
      <c r="H255" s="2">
        <f t="shared" si="15"/>
        <v>253</v>
      </c>
      <c r="I255" s="4">
        <v>244071.98895459951</v>
      </c>
      <c r="J255" s="6">
        <v>119783.0607412721</v>
      </c>
      <c r="K255" s="2">
        <v>170984.47262307725</v>
      </c>
      <c r="L255" s="2">
        <v>217494.75961973052</v>
      </c>
      <c r="M255" s="2">
        <v>192842.49213247243</v>
      </c>
      <c r="N255" s="3">
        <f t="shared" si="16"/>
        <v>244829.8764122233</v>
      </c>
      <c r="O255" s="5">
        <f t="shared" si="17"/>
        <v>120233.28584204233</v>
      </c>
      <c r="Q255" s="3">
        <f t="shared" si="18"/>
        <v>244829.8764122233</v>
      </c>
      <c r="S255" s="3">
        <f t="shared" si="19"/>
        <v>120233.28584204233</v>
      </c>
    </row>
    <row r="256" spans="1:19">
      <c r="A256">
        <v>254</v>
      </c>
      <c r="B256" s="2">
        <v>193.72691807542265</v>
      </c>
      <c r="C256" s="2">
        <v>96.863459037711323</v>
      </c>
      <c r="D256" s="2">
        <v>95.075241097675786</v>
      </c>
      <c r="E256" s="2">
        <v>135.71526606513544</v>
      </c>
      <c r="F256" s="2">
        <v>172.63181104539973</v>
      </c>
      <c r="G256" s="2">
        <v>153.06460128760213</v>
      </c>
      <c r="H256" s="2">
        <f t="shared" si="15"/>
        <v>254</v>
      </c>
      <c r="I256" s="4">
        <v>244265.71587267492</v>
      </c>
      <c r="J256" s="6">
        <v>119878.13598236977</v>
      </c>
      <c r="K256" s="2">
        <v>171120.1878891424</v>
      </c>
      <c r="L256" s="2">
        <v>217667.39143077593</v>
      </c>
      <c r="M256" s="2">
        <v>192995.55673376002</v>
      </c>
      <c r="N256" s="3">
        <f t="shared" si="16"/>
        <v>245027.52832794064</v>
      </c>
      <c r="O256" s="5">
        <f t="shared" si="17"/>
        <v>120330.3505452065</v>
      </c>
      <c r="Q256" s="3">
        <f t="shared" si="18"/>
        <v>245027.52832794064</v>
      </c>
      <c r="S256" s="3">
        <f t="shared" si="19"/>
        <v>120330.3505452065</v>
      </c>
    </row>
    <row r="257" spans="1:19">
      <c r="A257">
        <v>255</v>
      </c>
      <c r="B257" s="2">
        <v>192.97409326424872</v>
      </c>
      <c r="C257" s="2">
        <v>96.487046632124361</v>
      </c>
      <c r="D257" s="2">
        <v>94.705777725534617</v>
      </c>
      <c r="E257" s="2">
        <v>135.18787513483051</v>
      </c>
      <c r="F257" s="2">
        <v>171.96096203874657</v>
      </c>
      <c r="G257" s="2">
        <v>152.46979066083679</v>
      </c>
      <c r="H257" s="2">
        <f t="shared" si="15"/>
        <v>255</v>
      </c>
      <c r="I257" s="4">
        <v>244458.68996593918</v>
      </c>
      <c r="J257" s="6">
        <v>119972.84176009531</v>
      </c>
      <c r="K257" s="2">
        <v>171255.37576427724</v>
      </c>
      <c r="L257" s="2">
        <v>217839.35239281468</v>
      </c>
      <c r="M257" s="2">
        <v>193148.02652442086</v>
      </c>
      <c r="N257" s="3">
        <f t="shared" si="16"/>
        <v>245224.40966893136</v>
      </c>
      <c r="O257" s="5">
        <f t="shared" si="17"/>
        <v>120427.03682751481</v>
      </c>
      <c r="Q257" s="3">
        <f t="shared" si="18"/>
        <v>245224.40966893136</v>
      </c>
      <c r="S257" s="3">
        <f t="shared" si="19"/>
        <v>120427.03682751481</v>
      </c>
    </row>
    <row r="258" spans="1:19">
      <c r="A258">
        <v>256</v>
      </c>
      <c r="B258" s="2">
        <v>192.22709677419357</v>
      </c>
      <c r="C258" s="2">
        <v>96.113548387096785</v>
      </c>
      <c r="D258" s="2">
        <v>94.339174714984139</v>
      </c>
      <c r="E258" s="2">
        <v>134.66456723108271</v>
      </c>
      <c r="F258" s="2">
        <v>171.29530670182248</v>
      </c>
      <c r="G258" s="2">
        <v>151.87958501956908</v>
      </c>
      <c r="H258" s="2">
        <f t="shared" si="15"/>
        <v>256</v>
      </c>
      <c r="I258" s="4">
        <v>244650.91706271339</v>
      </c>
      <c r="J258" s="6">
        <v>120067.1809348103</v>
      </c>
      <c r="K258" s="2">
        <v>171390.04033150832</v>
      </c>
      <c r="L258" s="2">
        <v>218010.6476995165</v>
      </c>
      <c r="M258" s="2">
        <v>193299.90610944043</v>
      </c>
      <c r="N258" s="3">
        <f t="shared" si="16"/>
        <v>245420.52642026445</v>
      </c>
      <c r="O258" s="5">
        <f t="shared" si="17"/>
        <v>120523.34762816946</v>
      </c>
      <c r="Q258" s="3">
        <f t="shared" si="18"/>
        <v>245420.52642026445</v>
      </c>
      <c r="S258" s="3">
        <f t="shared" si="19"/>
        <v>120523.34762816946</v>
      </c>
    </row>
    <row r="259" spans="1:19">
      <c r="A259">
        <v>257</v>
      </c>
      <c r="B259" s="2">
        <v>191.4858611825193</v>
      </c>
      <c r="C259" s="2">
        <v>95.74293059125965</v>
      </c>
      <c r="D259" s="2">
        <v>93.975398977008666</v>
      </c>
      <c r="E259" s="2">
        <v>134.14529512093728</v>
      </c>
      <c r="F259" s="2">
        <v>170.63478495361494</v>
      </c>
      <c r="G259" s="2">
        <v>151.29393109275853</v>
      </c>
      <c r="H259" s="2">
        <f t="shared" si="15"/>
        <v>257</v>
      </c>
      <c r="I259" s="4">
        <v>244842.40292389592</v>
      </c>
      <c r="J259" s="6">
        <v>120161.15633378731</v>
      </c>
      <c r="K259" s="2">
        <v>171524.18562662927</v>
      </c>
      <c r="L259" s="2">
        <v>218181.28248447011</v>
      </c>
      <c r="M259" s="2">
        <v>193451.20004053318</v>
      </c>
      <c r="N259" s="3">
        <f t="shared" si="16"/>
        <v>245615.88449754944</v>
      </c>
      <c r="O259" s="5">
        <f t="shared" si="17"/>
        <v>120619.28585226191</v>
      </c>
      <c r="Q259" s="3">
        <f t="shared" si="18"/>
        <v>245615.88449754944</v>
      </c>
      <c r="S259" s="3">
        <f t="shared" si="19"/>
        <v>120619.28585226191</v>
      </c>
    </row>
    <row r="260" spans="1:19">
      <c r="A260">
        <v>258</v>
      </c>
      <c r="B260" s="2">
        <v>190.7503201024328</v>
      </c>
      <c r="C260" s="2">
        <v>95.375160051216398</v>
      </c>
      <c r="D260" s="2">
        <v>93.614417931002123</v>
      </c>
      <c r="E260" s="2">
        <v>133.6300122971692</v>
      </c>
      <c r="F260" s="2">
        <v>169.97933763625144</v>
      </c>
      <c r="G260" s="2">
        <v>150.71277642786944</v>
      </c>
      <c r="H260" s="2">
        <f t="shared" ref="H260:H323" si="20">+$A260</f>
        <v>258</v>
      </c>
      <c r="I260" s="4">
        <v>245033.15324399836</v>
      </c>
      <c r="J260" s="6">
        <v>120254.77075171832</v>
      </c>
      <c r="K260" s="2">
        <v>171657.81563892643</v>
      </c>
      <c r="L260" s="2">
        <v>218351.26182210637</v>
      </c>
      <c r="M260" s="2">
        <v>193601.91281696103</v>
      </c>
      <c r="N260" s="3">
        <f t="shared" ref="N260:N323" si="21">+$Q260</f>
        <v>245810.48974800689</v>
      </c>
      <c r="O260" s="5">
        <f t="shared" ref="O260:O323" si="22">+$S260</f>
        <v>120714.85437129844</v>
      </c>
      <c r="Q260" s="3">
        <f t="shared" ref="Q260:Q323" si="23">+$Q$1*LN(1+$Q$2*$H260)</f>
        <v>245810.48974800689</v>
      </c>
      <c r="S260" s="3">
        <f t="shared" ref="S260:S323" si="24">+$S$1*LN(1+$S$2*$H260)</f>
        <v>120714.85437129844</v>
      </c>
    </row>
    <row r="261" spans="1:19">
      <c r="A261">
        <v>259</v>
      </c>
      <c r="B261" s="2">
        <v>190.02040816326533</v>
      </c>
      <c r="C261" s="2">
        <v>95.010204081632665</v>
      </c>
      <c r="D261" s="2">
        <v>93.256199495041685</v>
      </c>
      <c r="E261" s="2">
        <v>133.11867296439942</v>
      </c>
      <c r="F261" s="2">
        <v>169.32890649733727</v>
      </c>
      <c r="G261" s="2">
        <v>150.1360693752118</v>
      </c>
      <c r="H261" s="2">
        <f t="shared" si="20"/>
        <v>259</v>
      </c>
      <c r="I261" s="4">
        <v>245223.17365216161</v>
      </c>
      <c r="J261" s="6">
        <v>120348.02695121335</v>
      </c>
      <c r="K261" s="2">
        <v>171790.93431189083</v>
      </c>
      <c r="L261" s="2">
        <v>218520.59072860371</v>
      </c>
      <c r="M261" s="2">
        <v>193752.04888633624</v>
      </c>
      <c r="N261" s="3">
        <f t="shared" si="21"/>
        <v>246004.34795151878</v>
      </c>
      <c r="O261" s="5">
        <f t="shared" si="22"/>
        <v>120810.05602371616</v>
      </c>
      <c r="Q261" s="3">
        <f t="shared" si="23"/>
        <v>246004.34795151878</v>
      </c>
      <c r="S261" s="3">
        <f t="shared" si="24"/>
        <v>120810.05602371616</v>
      </c>
    </row>
    <row r="262" spans="1:19">
      <c r="A262">
        <v>260</v>
      </c>
      <c r="B262" s="2">
        <v>189.29606099110546</v>
      </c>
      <c r="C262" s="2">
        <v>94.648030495552732</v>
      </c>
      <c r="D262" s="2">
        <v>92.900712076382021</v>
      </c>
      <c r="E262" s="2">
        <v>132.61123202552614</v>
      </c>
      <c r="F262" s="2">
        <v>168.68343417269679</v>
      </c>
      <c r="G262" s="2">
        <v>149.56375907263782</v>
      </c>
      <c r="H262" s="2">
        <f t="shared" si="20"/>
        <v>260</v>
      </c>
      <c r="I262" s="4">
        <v>245412.46971315271</v>
      </c>
      <c r="J262" s="6">
        <v>120440.92766328974</v>
      </c>
      <c r="K262" s="2">
        <v>171923.54554391635</v>
      </c>
      <c r="L262" s="2">
        <v>218689.27416277642</v>
      </c>
      <c r="M262" s="2">
        <v>193901.61264540887</v>
      </c>
      <c r="N262" s="3">
        <f t="shared" si="21"/>
        <v>246197.46482165813</v>
      </c>
      <c r="O262" s="5">
        <f t="shared" si="22"/>
        <v>120904.89361538854</v>
      </c>
      <c r="Q262" s="3">
        <f t="shared" si="23"/>
        <v>246197.46482165813</v>
      </c>
      <c r="S262" s="3">
        <f t="shared" si="24"/>
        <v>120904.89361538854</v>
      </c>
    </row>
    <row r="263" spans="1:19">
      <c r="A263">
        <v>261</v>
      </c>
      <c r="B263" s="2">
        <v>188.57721518987341</v>
      </c>
      <c r="C263" s="2">
        <v>94.288607594936707</v>
      </c>
      <c r="D263" s="2">
        <v>92.54792456216795</v>
      </c>
      <c r="E263" s="2">
        <v>132.10764506846729</v>
      </c>
      <c r="F263" s="2">
        <v>168.04286416950939</v>
      </c>
      <c r="G263" s="2">
        <v>148.99579543058996</v>
      </c>
      <c r="H263" s="2">
        <f t="shared" si="20"/>
        <v>261</v>
      </c>
      <c r="I263" s="4">
        <v>245601.04692834258</v>
      </c>
      <c r="J263" s="6">
        <v>120533.47558785191</v>
      </c>
      <c r="K263" s="2">
        <v>172055.65318898481</v>
      </c>
      <c r="L263" s="2">
        <v>218857.31702694594</v>
      </c>
      <c r="M263" s="2">
        <v>194050.60844083945</v>
      </c>
      <c r="N263" s="3">
        <f t="shared" si="21"/>
        <v>246389.84600669987</v>
      </c>
      <c r="O263" s="5">
        <f t="shared" si="22"/>
        <v>120999.36992012191</v>
      </c>
      <c r="Q263" s="3">
        <f t="shared" si="23"/>
        <v>246389.84600669987</v>
      </c>
      <c r="S263" s="3">
        <f t="shared" si="24"/>
        <v>120999.36992012191</v>
      </c>
    </row>
    <row r="264" spans="1:19">
      <c r="A264">
        <v>262</v>
      </c>
      <c r="B264" s="2">
        <v>187.86380832282475</v>
      </c>
      <c r="C264" s="2">
        <v>93.931904161412376</v>
      </c>
      <c r="D264" s="2">
        <v>92.197806310356583</v>
      </c>
      <c r="E264" s="2">
        <v>131.60786835320204</v>
      </c>
      <c r="F264" s="2">
        <v>167.40714084982645</v>
      </c>
      <c r="G264" s="2">
        <v>148.4321291174856</v>
      </c>
      <c r="H264" s="2">
        <f t="shared" si="20"/>
        <v>262</v>
      </c>
      <c r="I264" s="4">
        <v>245788.91073666539</v>
      </c>
      <c r="J264" s="6">
        <v>120625.67339416227</v>
      </c>
      <c r="K264" s="2">
        <v>172187.26105733801</v>
      </c>
      <c r="L264" s="2">
        <v>219024.72416779576</v>
      </c>
      <c r="M264" s="2">
        <v>194199.04056995694</v>
      </c>
      <c r="N264" s="3">
        <f t="shared" si="21"/>
        <v>246581.49709061172</v>
      </c>
      <c r="O264" s="5">
        <f t="shared" si="22"/>
        <v>121093.48768014199</v>
      </c>
      <c r="Q264" s="3">
        <f t="shared" si="23"/>
        <v>246581.49709061172</v>
      </c>
      <c r="S264" s="3">
        <f t="shared" si="24"/>
        <v>121093.48768014199</v>
      </c>
    </row>
    <row r="265" spans="1:19">
      <c r="A265">
        <v>263</v>
      </c>
      <c r="B265" s="2">
        <v>187.15577889447241</v>
      </c>
      <c r="C265" s="2">
        <v>93.577889447236203</v>
      </c>
      <c r="D265" s="2">
        <v>91.85032714084501</v>
      </c>
      <c r="E265" s="2">
        <v>131.1118587991069</v>
      </c>
      <c r="F265" s="2">
        <v>166.77620941446287</v>
      </c>
      <c r="G265" s="2">
        <v>147.87271154543478</v>
      </c>
      <c r="H265" s="2">
        <f t="shared" si="20"/>
        <v>263</v>
      </c>
      <c r="I265" s="4">
        <v>245976.06651555985</v>
      </c>
      <c r="J265" s="6">
        <v>120717.52372130311</v>
      </c>
      <c r="K265" s="2">
        <v>172318.3729161371</v>
      </c>
      <c r="L265" s="2">
        <v>219191.50037721024</v>
      </c>
      <c r="M265" s="2">
        <v>194346.91328150238</v>
      </c>
      <c r="N265" s="3">
        <f t="shared" si="21"/>
        <v>246772.42359402697</v>
      </c>
      <c r="O265" s="5">
        <f t="shared" si="22"/>
        <v>121187.24960657166</v>
      </c>
      <c r="Q265" s="3">
        <f t="shared" si="23"/>
        <v>246772.42359402697</v>
      </c>
      <c r="S265" s="3">
        <f t="shared" si="24"/>
        <v>121187.24960657166</v>
      </c>
    </row>
    <row r="266" spans="1:19">
      <c r="A266">
        <v>264</v>
      </c>
      <c r="B266" s="2">
        <v>186.45306633291617</v>
      </c>
      <c r="C266" s="2">
        <v>93.226533166458083</v>
      </c>
      <c r="D266" s="2">
        <v>91.505457326799345</v>
      </c>
      <c r="E266" s="2">
        <v>130.61957397257714</v>
      </c>
      <c r="F266" s="2">
        <v>166.15001588724957</v>
      </c>
      <c r="G266" s="2">
        <v>147.31749485627788</v>
      </c>
      <c r="H266" s="2">
        <f t="shared" si="20"/>
        <v>264</v>
      </c>
      <c r="I266" s="4">
        <v>246162.51958189276</v>
      </c>
      <c r="J266" s="6">
        <v>120809.02917862991</v>
      </c>
      <c r="K266" s="2">
        <v>172448.99249010967</v>
      </c>
      <c r="L266" s="2">
        <v>219357.65039309749</v>
      </c>
      <c r="M266" s="2">
        <v>194494.23077635866</v>
      </c>
      <c r="N266" s="3">
        <f t="shared" si="21"/>
        <v>246962.63097519855</v>
      </c>
      <c r="O266" s="5">
        <f t="shared" si="22"/>
        <v>121280.6583798995</v>
      </c>
      <c r="Q266" s="3">
        <f t="shared" si="23"/>
        <v>246962.63097519855</v>
      </c>
      <c r="S266" s="3">
        <f t="shared" si="24"/>
        <v>121280.6583798995</v>
      </c>
    </row>
    <row r="267" spans="1:19">
      <c r="A267">
        <v>265</v>
      </c>
      <c r="B267" s="2">
        <v>185.75561097256858</v>
      </c>
      <c r="C267" s="2">
        <v>92.877805486284288</v>
      </c>
      <c r="D267" s="2">
        <v>91.163167586175362</v>
      </c>
      <c r="E267" s="2">
        <v>130.13097207492402</v>
      </c>
      <c r="F267" s="2">
        <v>165.52850709964136</v>
      </c>
      <c r="G267" s="2">
        <v>146.76643190793766</v>
      </c>
      <c r="H267" s="2">
        <f t="shared" si="20"/>
        <v>265</v>
      </c>
      <c r="I267" s="4">
        <v>246348.27519286532</v>
      </c>
      <c r="J267" s="6">
        <v>120900.19234621608</v>
      </c>
      <c r="K267" s="2">
        <v>172579.12346218459</v>
      </c>
      <c r="L267" s="2">
        <v>219523.17890019712</v>
      </c>
      <c r="M267" s="2">
        <v>194640.99720826661</v>
      </c>
      <c r="N267" s="3">
        <f t="shared" si="21"/>
        <v>247152.12463093537</v>
      </c>
      <c r="O267" s="5">
        <f t="shared" si="22"/>
        <v>121373.71665043954</v>
      </c>
      <c r="Q267" s="3">
        <f t="shared" si="23"/>
        <v>247152.12463093537</v>
      </c>
      <c r="S267" s="3">
        <f t="shared" si="24"/>
        <v>121373.71665043954</v>
      </c>
    </row>
    <row r="268" spans="1:19">
      <c r="A268">
        <v>266</v>
      </c>
      <c r="B268" s="2">
        <v>185.06335403726709</v>
      </c>
      <c r="C268" s="2">
        <v>92.531677018633545</v>
      </c>
      <c r="D268" s="2">
        <v>90.823429073431882</v>
      </c>
      <c r="E268" s="2">
        <v>129.64601193054546</v>
      </c>
      <c r="F268" s="2">
        <v>164.91163067566757</v>
      </c>
      <c r="G268" s="2">
        <v>146.21947626107578</v>
      </c>
      <c r="H268" s="2">
        <f t="shared" si="20"/>
        <v>266</v>
      </c>
      <c r="I268" s="4">
        <v>246533.33854690258</v>
      </c>
      <c r="J268" s="6">
        <v>120991.0157752895</v>
      </c>
      <c r="K268" s="2">
        <v>172708.76947411514</v>
      </c>
      <c r="L268" s="2">
        <v>219688.09053087278</v>
      </c>
      <c r="M268" s="2">
        <v>194787.2166845277</v>
      </c>
      <c r="N268" s="3">
        <f t="shared" si="21"/>
        <v>247340.90989752102</v>
      </c>
      <c r="O268" s="5">
        <f t="shared" si="22"/>
        <v>121466.4270387826</v>
      </c>
      <c r="Q268" s="3">
        <f t="shared" si="23"/>
        <v>247340.90989752102</v>
      </c>
      <c r="S268" s="3">
        <f t="shared" si="24"/>
        <v>121466.4270387826</v>
      </c>
    </row>
    <row r="269" spans="1:19">
      <c r="A269">
        <v>267</v>
      </c>
      <c r="B269" s="2">
        <v>184.37623762376239</v>
      </c>
      <c r="C269" s="2">
        <v>92.188118811881196</v>
      </c>
      <c r="D269" s="2">
        <v>90.486213371426544</v>
      </c>
      <c r="E269" s="2">
        <v>129.16465297535777</v>
      </c>
      <c r="F269" s="2">
        <v>164.29933501721828</v>
      </c>
      <c r="G269" s="2">
        <v>145.67658216604698</v>
      </c>
      <c r="H269" s="2">
        <f t="shared" si="20"/>
        <v>267</v>
      </c>
      <c r="I269" s="4">
        <v>246717.71478452635</v>
      </c>
      <c r="J269" s="6">
        <v>121081.50198866092</v>
      </c>
      <c r="K269" s="2">
        <v>172837.9341270905</v>
      </c>
      <c r="L269" s="2">
        <v>219852.38986589</v>
      </c>
      <c r="M269" s="2">
        <v>194932.89326669375</v>
      </c>
      <c r="N269" s="3">
        <f t="shared" si="21"/>
        <v>247528.99205161564</v>
      </c>
      <c r="O269" s="5">
        <f t="shared" si="22"/>
        <v>121558.79213623896</v>
      </c>
      <c r="Q269" s="3">
        <f t="shared" si="23"/>
        <v>247528.99205161564</v>
      </c>
      <c r="S269" s="3">
        <f t="shared" si="24"/>
        <v>121558.79213623896</v>
      </c>
    </row>
    <row r="270" spans="1:19">
      <c r="A270">
        <v>268</v>
      </c>
      <c r="B270" s="2">
        <v>183.69420468557337</v>
      </c>
      <c r="C270" s="2">
        <v>91.847102342786684</v>
      </c>
      <c r="D270" s="2">
        <v>90.151492483492859</v>
      </c>
      <c r="E270" s="2">
        <v>128.68685524548604</v>
      </c>
      <c r="F270" s="2">
        <v>163.69156928965776</v>
      </c>
      <c r="G270" s="2">
        <v>145.13770455014313</v>
      </c>
      <c r="H270" s="2">
        <f t="shared" si="20"/>
        <v>268</v>
      </c>
      <c r="I270" s="4">
        <v>246901.40898921192</v>
      </c>
      <c r="J270" s="6">
        <v>121171.65348114441</v>
      </c>
      <c r="K270" s="2">
        <v>172966.620982336</v>
      </c>
      <c r="L270" s="2">
        <v>220016.08143517966</v>
      </c>
      <c r="M270" s="2">
        <v>195078.03097124389</v>
      </c>
      <c r="N270" s="3">
        <f t="shared" si="21"/>
        <v>247716.37631114069</v>
      </c>
      <c r="O270" s="5">
        <f t="shared" si="22"/>
        <v>121650.81450527305</v>
      </c>
      <c r="Q270" s="3">
        <f t="shared" si="23"/>
        <v>247716.37631114069</v>
      </c>
      <c r="S270" s="3">
        <f t="shared" si="24"/>
        <v>121650.81450527305</v>
      </c>
    </row>
    <row r="271" spans="1:19">
      <c r="A271">
        <v>269</v>
      </c>
      <c r="B271" s="2">
        <v>183.01719901719903</v>
      </c>
      <c r="C271" s="2">
        <v>91.508599508599517</v>
      </c>
      <c r="D271" s="2">
        <v>89.819238825691244</v>
      </c>
      <c r="E271" s="2">
        <v>128.21257936620282</v>
      </c>
      <c r="F271" s="2">
        <v>163.08828340775474</v>
      </c>
      <c r="G271" s="2">
        <v>144.6027990051179</v>
      </c>
      <c r="H271" s="2">
        <f t="shared" si="20"/>
        <v>269</v>
      </c>
      <c r="I271" s="4">
        <v>247084.42618822912</v>
      </c>
      <c r="J271" s="6">
        <v>121261.4727199701</v>
      </c>
      <c r="K271" s="2">
        <v>173094.83356170219</v>
      </c>
      <c r="L271" s="2">
        <v>220179.16971858742</v>
      </c>
      <c r="M271" s="2">
        <v>195222.633770249</v>
      </c>
      <c r="N271" s="3">
        <f t="shared" si="21"/>
        <v>247903.06783614765</v>
      </c>
      <c r="O271" s="5">
        <f t="shared" si="22"/>
        <v>121742.49667992994</v>
      </c>
      <c r="Q271" s="3">
        <f t="shared" si="23"/>
        <v>247903.06783614765</v>
      </c>
      <c r="S271" s="3">
        <f t="shared" si="24"/>
        <v>121742.49667992994</v>
      </c>
    </row>
    <row r="272" spans="1:19">
      <c r="A272">
        <v>270</v>
      </c>
      <c r="B272" s="2">
        <v>182.34516523867808</v>
      </c>
      <c r="C272" s="2">
        <v>91.172582619339039</v>
      </c>
      <c r="D272" s="2">
        <v>89.489425219232132</v>
      </c>
      <c r="E272" s="2">
        <v>127.74178654111272</v>
      </c>
      <c r="F272" s="2">
        <v>162.48942802192454</v>
      </c>
      <c r="G272" s="2">
        <v>144.07182177498899</v>
      </c>
      <c r="H272" s="2">
        <f t="shared" si="20"/>
        <v>270</v>
      </c>
      <c r="I272" s="4">
        <v>247266.7713534678</v>
      </c>
      <c r="J272" s="6">
        <v>121350.96214518933</v>
      </c>
      <c r="K272" s="2">
        <v>173222.57534824332</v>
      </c>
      <c r="L272" s="2">
        <v>220341.65914660934</v>
      </c>
      <c r="M272" s="2">
        <v>195366.70559202399</v>
      </c>
      <c r="N272" s="3">
        <f t="shared" si="21"/>
        <v>248089.07172967066</v>
      </c>
      <c r="O272" s="5">
        <f t="shared" si="22"/>
        <v>121833.8411662541</v>
      </c>
      <c r="Q272" s="3">
        <f t="shared" si="23"/>
        <v>248089.07172967066</v>
      </c>
      <c r="S272" s="3">
        <f t="shared" si="24"/>
        <v>121833.8411662541</v>
      </c>
    </row>
    <row r="273" spans="1:19">
      <c r="A273">
        <v>271</v>
      </c>
      <c r="B273" s="2">
        <v>181.67804878048781</v>
      </c>
      <c r="C273" s="2">
        <v>90.839024390243907</v>
      </c>
      <c r="D273" s="2">
        <v>89.162024883064248</v>
      </c>
      <c r="E273" s="2">
        <v>127.27443854157205</v>
      </c>
      <c r="F273" s="2">
        <v>161.89495450477119</v>
      </c>
      <c r="G273" s="2">
        <v>143.54472974410487</v>
      </c>
      <c r="H273" s="2">
        <f t="shared" si="20"/>
        <v>271</v>
      </c>
      <c r="I273" s="4">
        <v>247448.44940224828</v>
      </c>
      <c r="J273" s="6">
        <v>121440.12417007239</v>
      </c>
      <c r="K273" s="2">
        <v>173349.84978678491</v>
      </c>
      <c r="L273" s="2">
        <v>220503.5541011141</v>
      </c>
      <c r="M273" s="2">
        <v>195510.25032176811</v>
      </c>
      <c r="N273" s="3">
        <f t="shared" si="21"/>
        <v>248274.39303856323</v>
      </c>
      <c r="O273" s="5">
        <f t="shared" si="22"/>
        <v>121924.85044270035</v>
      </c>
      <c r="Q273" s="3">
        <f t="shared" si="23"/>
        <v>248274.39303856323</v>
      </c>
      <c r="S273" s="3">
        <f t="shared" si="24"/>
        <v>121924.85044270035</v>
      </c>
    </row>
    <row r="274" spans="1:19">
      <c r="A274">
        <v>272</v>
      </c>
      <c r="B274" s="2">
        <v>181.01579586877278</v>
      </c>
      <c r="C274" s="2">
        <v>90.507897934386392</v>
      </c>
      <c r="D274" s="2">
        <v>88.837011426625367</v>
      </c>
      <c r="E274" s="2">
        <v>126.81049769634156</v>
      </c>
      <c r="F274" s="2">
        <v>161.30481493792513</v>
      </c>
      <c r="G274" s="2">
        <v>143.02148042547509</v>
      </c>
      <c r="H274" s="2">
        <f t="shared" si="20"/>
        <v>272</v>
      </c>
      <c r="I274" s="4">
        <v>247629.46519811705</v>
      </c>
      <c r="J274" s="6">
        <v>121528.96118149902</v>
      </c>
      <c r="K274" s="2">
        <v>173476.66028448124</v>
      </c>
      <c r="L274" s="2">
        <v>220664.85891605204</v>
      </c>
      <c r="M274" s="2">
        <v>195653.27180219357</v>
      </c>
      <c r="N274" s="3">
        <f t="shared" si="21"/>
        <v>248459.03675432032</v>
      </c>
      <c r="O274" s="5">
        <f t="shared" si="22"/>
        <v>122015.52696053751</v>
      </c>
      <c r="Q274" s="3">
        <f t="shared" si="23"/>
        <v>248459.03675432032</v>
      </c>
      <c r="S274" s="3">
        <f t="shared" si="24"/>
        <v>122015.52696053751</v>
      </c>
    </row>
    <row r="275" spans="1:19">
      <c r="A275">
        <v>273</v>
      </c>
      <c r="B275" s="2">
        <v>180.35835351089591</v>
      </c>
      <c r="C275" s="2">
        <v>90.179176755447955</v>
      </c>
      <c r="D275" s="2">
        <v>88.514358842751435</v>
      </c>
      <c r="E275" s="2">
        <v>126.34992688146382</v>
      </c>
      <c r="F275" s="2">
        <v>160.7189620991675</v>
      </c>
      <c r="G275" s="2">
        <v>142.50203194935352</v>
      </c>
      <c r="H275" s="2">
        <f t="shared" si="20"/>
        <v>273</v>
      </c>
      <c r="I275" s="4">
        <v>247809.82355162795</v>
      </c>
      <c r="J275" s="6">
        <v>121617.47554034177</v>
      </c>
      <c r="K275" s="2">
        <v>173603.01021136271</v>
      </c>
      <c r="L275" s="2">
        <v>220825.57787815121</v>
      </c>
      <c r="M275" s="2">
        <v>195795.77383414292</v>
      </c>
      <c r="N275" s="3">
        <f t="shared" si="21"/>
        <v>248643.00781388461</v>
      </c>
      <c r="O275" s="5">
        <f t="shared" si="22"/>
        <v>122105.87314424434</v>
      </c>
      <c r="Q275" s="3">
        <f t="shared" si="23"/>
        <v>248643.00781388461</v>
      </c>
      <c r="S275" s="3">
        <f t="shared" si="24"/>
        <v>122105.87314424434</v>
      </c>
    </row>
    <row r="276" spans="1:19">
      <c r="A276">
        <v>274</v>
      </c>
      <c r="B276" s="2">
        <v>179.70566948130281</v>
      </c>
      <c r="C276" s="2">
        <v>89.852834740651403</v>
      </c>
      <c r="D276" s="2">
        <v>88.194041500739061</v>
      </c>
      <c r="E276" s="2">
        <v>125.89268951036078</v>
      </c>
      <c r="F276" s="2">
        <v>160.13734944983395</v>
      </c>
      <c r="G276" s="2">
        <v>141.98634305206994</v>
      </c>
      <c r="H276" s="2">
        <f t="shared" si="20"/>
        <v>274</v>
      </c>
      <c r="I276" s="4">
        <v>247989.52922110926</v>
      </c>
      <c r="J276" s="6">
        <v>121705.66958184251</v>
      </c>
      <c r="K276" s="2">
        <v>173728.90290087307</v>
      </c>
      <c r="L276" s="2">
        <v>220985.71522760103</v>
      </c>
      <c r="M276" s="2">
        <v>195937.76017719498</v>
      </c>
      <c r="N276" s="3">
        <f t="shared" si="21"/>
        <v>248826.31110043885</v>
      </c>
      <c r="O276" s="5">
        <f t="shared" si="22"/>
        <v>122195.89139189868</v>
      </c>
      <c r="Q276" s="3">
        <f t="shared" si="23"/>
        <v>248826.31110043885</v>
      </c>
      <c r="S276" s="3">
        <f t="shared" si="24"/>
        <v>122195.89139189868</v>
      </c>
    </row>
    <row r="277" spans="1:19">
      <c r="A277">
        <v>275</v>
      </c>
      <c r="B277" s="2">
        <v>179.05769230769232</v>
      </c>
      <c r="C277" s="2">
        <v>89.52884615384616</v>
      </c>
      <c r="D277" s="2">
        <v>87.876034139558485</v>
      </c>
      <c r="E277" s="2">
        <v>125.43874952414554</v>
      </c>
      <c r="F277" s="2">
        <v>159.55993112249084</v>
      </c>
      <c r="G277" s="2">
        <v>141.47437306510332</v>
      </c>
      <c r="H277" s="2">
        <f t="shared" si="20"/>
        <v>275</v>
      </c>
      <c r="I277" s="4">
        <v>248168.58691341695</v>
      </c>
      <c r="J277" s="6">
        <v>121793.54561598206</v>
      </c>
      <c r="K277" s="2">
        <v>173854.34165039723</v>
      </c>
      <c r="L277" s="2">
        <v>221145.27515872353</v>
      </c>
      <c r="M277" s="2">
        <v>196079.23455026009</v>
      </c>
      <c r="N277" s="3">
        <f t="shared" si="21"/>
        <v>249008.95144418336</v>
      </c>
      <c r="O277" s="5">
        <f t="shared" si="22"/>
        <v>122285.58407555935</v>
      </c>
      <c r="Q277" s="3">
        <f t="shared" si="23"/>
        <v>249008.95144418336</v>
      </c>
      <c r="S277" s="3">
        <f t="shared" si="24"/>
        <v>122285.58407555935</v>
      </c>
    </row>
    <row r="278" spans="1:19">
      <c r="A278">
        <v>276</v>
      </c>
      <c r="B278" s="2">
        <v>178.41437125748504</v>
      </c>
      <c r="C278" s="2">
        <v>89.207185628742522</v>
      </c>
      <c r="D278" s="2">
        <v>87.560311861212867</v>
      </c>
      <c r="E278" s="2">
        <v>124.98807138214272</v>
      </c>
      <c r="F278" s="2">
        <v>158.98666190887712</v>
      </c>
      <c r="G278" s="2">
        <v>140.96608190439048</v>
      </c>
      <c r="H278" s="2">
        <f t="shared" si="20"/>
        <v>276</v>
      </c>
      <c r="I278" s="4">
        <v>248347.00128467442</v>
      </c>
      <c r="J278" s="6">
        <v>121881.10592784328</v>
      </c>
      <c r="K278" s="2">
        <v>173979.32972177936</v>
      </c>
      <c r="L278" s="2">
        <v>221304.26182063241</v>
      </c>
      <c r="M278" s="2">
        <v>196220.20063216449</v>
      </c>
      <c r="N278" s="3">
        <f t="shared" si="21"/>
        <v>249190.93362309993</v>
      </c>
      <c r="O278" s="5">
        <f t="shared" si="22"/>
        <v>122374.95354164115</v>
      </c>
      <c r="Q278" s="3">
        <f t="shared" si="23"/>
        <v>249190.93362309993</v>
      </c>
      <c r="S278" s="3">
        <f t="shared" si="24"/>
        <v>122374.95354164115</v>
      </c>
    </row>
    <row r="279" spans="1:19">
      <c r="A279">
        <v>277</v>
      </c>
      <c r="B279" s="2">
        <v>177.77565632458234</v>
      </c>
      <c r="C279" s="2">
        <v>88.887828162291171</v>
      </c>
      <c r="D279" s="2">
        <v>87.24685012423943</v>
      </c>
      <c r="E279" s="2">
        <v>124.54062005261224</v>
      </c>
      <c r="F279" s="2">
        <v>158.41749724810546</v>
      </c>
      <c r="G279" s="2">
        <v>140.46143005986394</v>
      </c>
      <c r="H279" s="2">
        <f t="shared" si="20"/>
        <v>277</v>
      </c>
      <c r="I279" s="4">
        <v>248524.776940999</v>
      </c>
      <c r="J279" s="6">
        <v>121968.35277796752</v>
      </c>
      <c r="K279" s="2">
        <v>174103.87034183196</v>
      </c>
      <c r="L279" s="2">
        <v>221462.67931788051</v>
      </c>
      <c r="M279" s="2">
        <v>196360.66206222435</v>
      </c>
      <c r="N279" s="3">
        <f t="shared" si="21"/>
        <v>249372.26236370171</v>
      </c>
      <c r="O279" s="5">
        <f t="shared" si="22"/>
        <v>122464.00211128322</v>
      </c>
      <c r="Q279" s="3">
        <f t="shared" si="23"/>
        <v>249372.26236370171</v>
      </c>
      <c r="S279" s="3">
        <f t="shared" si="24"/>
        <v>122464.00211128322</v>
      </c>
    </row>
    <row r="280" spans="1:19">
      <c r="A280">
        <v>278</v>
      </c>
      <c r="B280" s="2">
        <v>177.14149821640908</v>
      </c>
      <c r="C280" s="2">
        <v>88.570749108204538</v>
      </c>
      <c r="D280" s="2">
        <v>86.935624737351631</v>
      </c>
      <c r="E280" s="2">
        <v>124.09636100367318</v>
      </c>
      <c r="F280" s="2">
        <v>157.85239321511582</v>
      </c>
      <c r="G280" s="2">
        <v>139.96037858521527</v>
      </c>
      <c r="H280" s="2">
        <f t="shared" si="20"/>
        <v>278</v>
      </c>
      <c r="I280" s="4">
        <v>248701.9184392154</v>
      </c>
      <c r="J280" s="6">
        <v>122055.28840270487</v>
      </c>
      <c r="K280" s="2">
        <v>174227.96670283563</v>
      </c>
      <c r="L280" s="2">
        <v>221620.53171109562</v>
      </c>
      <c r="M280" s="2">
        <v>196500.62244080956</v>
      </c>
      <c r="N280" s="3">
        <f t="shared" si="21"/>
        <v>249552.94234176984</v>
      </c>
      <c r="O280" s="5">
        <f t="shared" si="22"/>
        <v>122552.73208071073</v>
      </c>
      <c r="Q280" s="3">
        <f t="shared" si="23"/>
        <v>249552.94234176984</v>
      </c>
      <c r="S280" s="3">
        <f t="shared" si="24"/>
        <v>122552.73208071073</v>
      </c>
    </row>
    <row r="281" spans="1:19">
      <c r="A281">
        <v>279</v>
      </c>
      <c r="B281" s="2">
        <v>176.51184834123225</v>
      </c>
      <c r="C281" s="2">
        <v>88.255924170616126</v>
      </c>
      <c r="D281" s="2">
        <v>86.626611853214087</v>
      </c>
      <c r="E281" s="2">
        <v>123.65526019441852</v>
      </c>
      <c r="F281" s="2">
        <v>157.29130650937498</v>
      </c>
      <c r="G281" s="2">
        <v>139.46288908787457</v>
      </c>
      <c r="H281" s="2">
        <f t="shared" si="20"/>
        <v>279</v>
      </c>
      <c r="I281" s="4">
        <v>248878.43028755664</v>
      </c>
      <c r="J281" s="6">
        <v>122141.91501455808</v>
      </c>
      <c r="K281" s="2">
        <v>174351.62196303005</v>
      </c>
      <c r="L281" s="2">
        <v>221777.823017605</v>
      </c>
      <c r="M281" s="2">
        <v>196640.08532989744</v>
      </c>
      <c r="N281" s="3">
        <f t="shared" si="21"/>
        <v>249732.97818307695</v>
      </c>
      <c r="O281" s="5">
        <f t="shared" si="22"/>
        <v>122641.14572159026</v>
      </c>
      <c r="Q281" s="3">
        <f t="shared" si="23"/>
        <v>249732.97818307695</v>
      </c>
      <c r="S281" s="3">
        <f t="shared" si="24"/>
        <v>122641.14572159026</v>
      </c>
    </row>
    <row r="282" spans="1:19">
      <c r="A282">
        <v>280</v>
      </c>
      <c r="B282" s="2">
        <v>175.8866587957497</v>
      </c>
      <c r="C282" s="2">
        <v>87.943329397874848</v>
      </c>
      <c r="D282" s="2">
        <v>86.319787962352578</v>
      </c>
      <c r="E282" s="2">
        <v>123.21728406622088</v>
      </c>
      <c r="F282" s="2">
        <v>156.73419444381628</v>
      </c>
      <c r="G282" s="2">
        <v>138.96892371920424</v>
      </c>
      <c r="H282" s="2">
        <f t="shared" si="20"/>
        <v>280</v>
      </c>
      <c r="I282" s="4">
        <v>249054.3169463524</v>
      </c>
      <c r="J282" s="6">
        <v>122228.23480252043</v>
      </c>
      <c r="K282" s="2">
        <v>174474.83924709627</v>
      </c>
      <c r="L282" s="2">
        <v>221934.55721204882</v>
      </c>
      <c r="M282" s="2">
        <v>196779.05425361663</v>
      </c>
      <c r="N282" s="3">
        <f t="shared" si="21"/>
        <v>249912.37446409752</v>
      </c>
      <c r="O282" s="5">
        <f t="shared" si="22"/>
        <v>122729.24528137858</v>
      </c>
      <c r="Q282" s="3">
        <f t="shared" si="23"/>
        <v>249912.37446409752</v>
      </c>
      <c r="S282" s="3">
        <f t="shared" si="24"/>
        <v>122729.24528137858</v>
      </c>
    </row>
    <row r="283" spans="1:19">
      <c r="A283">
        <v>281</v>
      </c>
      <c r="B283" s="2">
        <v>175.26588235294119</v>
      </c>
      <c r="C283" s="2">
        <v>87.632941176470595</v>
      </c>
      <c r="D283" s="2">
        <v>86.015129887191335</v>
      </c>
      <c r="E283" s="2">
        <v>122.78239953422246</v>
      </c>
      <c r="F283" s="2">
        <v>156.18101493401454</v>
      </c>
      <c r="G283" s="2">
        <v>138.47844516490113</v>
      </c>
      <c r="H283" s="2">
        <f t="shared" si="20"/>
        <v>281</v>
      </c>
      <c r="I283" s="4">
        <v>249229.58282870534</v>
      </c>
      <c r="J283" s="6">
        <v>122314.24993240762</v>
      </c>
      <c r="K283" s="2">
        <v>174597.62164663049</v>
      </c>
      <c r="L283" s="2">
        <v>222090.73822698282</v>
      </c>
      <c r="M283" s="2">
        <v>196917.53269878152</v>
      </c>
      <c r="N283" s="3">
        <f t="shared" si="21"/>
        <v>250091.13571270625</v>
      </c>
      <c r="O283" s="5">
        <f t="shared" si="22"/>
        <v>122817.03298366565</v>
      </c>
      <c r="Q283" s="3">
        <f t="shared" si="23"/>
        <v>250091.13571270625</v>
      </c>
      <c r="S283" s="3">
        <f t="shared" si="24"/>
        <v>122817.03298366565</v>
      </c>
    </row>
    <row r="284" spans="1:19">
      <c r="A284">
        <v>282</v>
      </c>
      <c r="B284" s="2">
        <v>174.64947245017586</v>
      </c>
      <c r="C284" s="2">
        <v>87.324736225087932</v>
      </c>
      <c r="D284" s="2">
        <v>85.712614776216469</v>
      </c>
      <c r="E284" s="2">
        <v>122.35057397900235</v>
      </c>
      <c r="F284" s="2">
        <v>155.63172648758774</v>
      </c>
      <c r="G284" s="2">
        <v>137.99141663559899</v>
      </c>
      <c r="H284" s="2">
        <f t="shared" si="20"/>
        <v>282</v>
      </c>
      <c r="I284" s="4">
        <v>249404.23230115551</v>
      </c>
      <c r="J284" s="6">
        <v>122399.96254718384</v>
      </c>
      <c r="K284" s="2">
        <v>174719.97222060949</v>
      </c>
      <c r="L284" s="2">
        <v>222246.36995347042</v>
      </c>
      <c r="M284" s="2">
        <v>197055.52411541712</v>
      </c>
      <c r="N284" s="3">
        <f t="shared" si="21"/>
        <v>250269.26640886368</v>
      </c>
      <c r="O284" s="5">
        <f t="shared" si="22"/>
        <v>122904.51102851128</v>
      </c>
      <c r="Q284" s="3">
        <f t="shared" si="23"/>
        <v>250269.26640886368</v>
      </c>
      <c r="S284" s="3">
        <f t="shared" si="24"/>
        <v>122904.51102851128</v>
      </c>
    </row>
    <row r="285" spans="1:19">
      <c r="A285">
        <v>283</v>
      </c>
      <c r="B285" s="2">
        <v>174.03738317757012</v>
      </c>
      <c r="C285" s="2">
        <v>87.01869158878506</v>
      </c>
      <c r="D285" s="2">
        <v>85.412220098262551</v>
      </c>
      <c r="E285" s="2">
        <v>121.92177523842194</v>
      </c>
      <c r="F285" s="2">
        <v>155.0862881938229</v>
      </c>
      <c r="G285" s="2">
        <v>137.50780185767059</v>
      </c>
      <c r="H285" s="2">
        <f t="shared" si="20"/>
        <v>283</v>
      </c>
      <c r="I285" s="4">
        <v>249578.26968433309</v>
      </c>
      <c r="J285" s="6">
        <v>122485.3747672821</v>
      </c>
      <c r="K285" s="2">
        <v>174841.8939958479</v>
      </c>
      <c r="L285" s="2">
        <v>222401.45624166424</v>
      </c>
      <c r="M285" s="2">
        <v>197193.03191727478</v>
      </c>
      <c r="N285" s="3">
        <f t="shared" si="21"/>
        <v>250446.77098528962</v>
      </c>
      <c r="O285" s="5">
        <f t="shared" si="22"/>
        <v>122991.68159277589</v>
      </c>
      <c r="Q285" s="3">
        <f t="shared" si="23"/>
        <v>250446.77098528962</v>
      </c>
      <c r="S285" s="3">
        <f t="shared" si="24"/>
        <v>122991.68159277589</v>
      </c>
    </row>
    <row r="286" spans="1:19">
      <c r="A286">
        <v>284</v>
      </c>
      <c r="B286" s="2">
        <v>173.42956926658908</v>
      </c>
      <c r="C286" s="2">
        <v>86.714784633294542</v>
      </c>
      <c r="D286" s="2">
        <v>85.113923636918116</v>
      </c>
      <c r="E286" s="2">
        <v>121.4959715996381</v>
      </c>
      <c r="F286" s="2">
        <v>154.54465971351848</v>
      </c>
      <c r="G286" s="2">
        <v>137.02756506422119</v>
      </c>
      <c r="H286" s="2">
        <f t="shared" si="20"/>
        <v>284</v>
      </c>
      <c r="I286" s="4">
        <v>249751.69925359968</v>
      </c>
      <c r="J286" s="6">
        <v>122570.48869091902</v>
      </c>
      <c r="K286" s="2">
        <v>174963.38996744755</v>
      </c>
      <c r="L286" s="2">
        <v>222556.00090137776</v>
      </c>
      <c r="M286" s="2">
        <v>197330.05948233901</v>
      </c>
      <c r="N286" s="3">
        <f t="shared" si="21"/>
        <v>250623.6538281253</v>
      </c>
      <c r="O286" s="5">
        <f t="shared" si="22"/>
        <v>123078.54683044569</v>
      </c>
      <c r="Q286" s="3">
        <f t="shared" si="23"/>
        <v>250623.6538281253</v>
      </c>
      <c r="S286" s="3">
        <f t="shared" si="24"/>
        <v>123078.54683044569</v>
      </c>
    </row>
    <row r="287" spans="1:19">
      <c r="A287">
        <v>285</v>
      </c>
      <c r="B287" s="2">
        <v>172.82598607888633</v>
      </c>
      <c r="C287" s="2">
        <v>86.412993039443165</v>
      </c>
      <c r="D287" s="2">
        <v>84.81770348504952</v>
      </c>
      <c r="E287" s="2">
        <v>121.07313179128673</v>
      </c>
      <c r="F287" s="2">
        <v>154.00680126903993</v>
      </c>
      <c r="G287" s="2">
        <v>136.55067098627148</v>
      </c>
      <c r="H287" s="2">
        <f t="shared" si="20"/>
        <v>285</v>
      </c>
      <c r="I287" s="4">
        <v>249924.52523967857</v>
      </c>
      <c r="J287" s="6">
        <v>122655.30639440408</v>
      </c>
      <c r="K287" s="2">
        <v>175084.46309923884</v>
      </c>
      <c r="L287" s="2">
        <v>222710.00770264681</v>
      </c>
      <c r="M287" s="2">
        <v>197466.61015332528</v>
      </c>
      <c r="N287" s="3">
        <f t="shared" si="21"/>
        <v>250799.91927758363</v>
      </c>
      <c r="O287" s="5">
        <f t="shared" si="22"/>
        <v>123165.10887295197</v>
      </c>
      <c r="Q287" s="3">
        <f t="shared" si="23"/>
        <v>250799.91927758363</v>
      </c>
      <c r="S287" s="3">
        <f t="shared" si="24"/>
        <v>123165.10887295197</v>
      </c>
    </row>
    <row r="288" spans="1:19">
      <c r="A288">
        <v>286</v>
      </c>
      <c r="B288" s="2">
        <v>172.22658959537574</v>
      </c>
      <c r="C288" s="2">
        <v>86.113294797687871</v>
      </c>
      <c r="D288" s="2">
        <v>84.523538039436644</v>
      </c>
      <c r="E288" s="2">
        <v>120.65322497582559</v>
      </c>
      <c r="F288" s="2">
        <v>153.47267363458084</v>
      </c>
      <c r="G288" s="2">
        <v>136.07708484412257</v>
      </c>
      <c r="H288" s="2">
        <f t="shared" si="20"/>
        <v>286</v>
      </c>
      <c r="I288" s="4">
        <v>250096.75182927394</v>
      </c>
      <c r="J288" s="6">
        <v>122739.82993244351</v>
      </c>
      <c r="K288" s="2">
        <v>175205.11632421467</v>
      </c>
      <c r="L288" s="2">
        <v>222863.4803762814</v>
      </c>
      <c r="M288" s="2">
        <v>197602.6872381694</v>
      </c>
      <c r="N288" s="3">
        <f t="shared" si="21"/>
        <v>250975.57162858805</v>
      </c>
      <c r="O288" s="5">
        <f t="shared" si="22"/>
        <v>123251.36982948481</v>
      </c>
      <c r="Q288" s="3">
        <f t="shared" si="23"/>
        <v>250975.57162858805</v>
      </c>
      <c r="S288" s="3">
        <f t="shared" si="24"/>
        <v>123251.36982948481</v>
      </c>
    </row>
    <row r="289" spans="1:19">
      <c r="A289">
        <v>287</v>
      </c>
      <c r="B289" s="2">
        <v>171.63133640552996</v>
      </c>
      <c r="C289" s="2">
        <v>85.815668202764982</v>
      </c>
      <c r="D289" s="2">
        <v>84.231405995521527</v>
      </c>
      <c r="E289" s="2">
        <v>120.23622074203811</v>
      </c>
      <c r="F289" s="2">
        <v>152.94223812662716</v>
      </c>
      <c r="G289" s="2">
        <v>135.6067723389009</v>
      </c>
      <c r="H289" s="2">
        <f t="shared" si="20"/>
        <v>287</v>
      </c>
      <c r="I289" s="4">
        <v>250268.38316567946</v>
      </c>
      <c r="J289" s="6">
        <v>122824.06133843903</v>
      </c>
      <c r="K289" s="2">
        <v>175325.35254495672</v>
      </c>
      <c r="L289" s="2">
        <v>223016.42261440802</v>
      </c>
      <c r="M289" s="2">
        <v>197738.29401050831</v>
      </c>
      <c r="N289" s="3">
        <f t="shared" si="21"/>
        <v>251150.61513140058</v>
      </c>
      <c r="O289" s="5">
        <f t="shared" si="22"/>
        <v>123337.33178730168</v>
      </c>
      <c r="Q289" s="3">
        <f t="shared" si="23"/>
        <v>251150.61513140058</v>
      </c>
      <c r="S289" s="3">
        <f t="shared" si="24"/>
        <v>123337.33178730168</v>
      </c>
    </row>
    <row r="290" spans="1:19">
      <c r="A290">
        <v>288</v>
      </c>
      <c r="B290" s="2">
        <v>171.04018369690016</v>
      </c>
      <c r="C290" s="2">
        <v>85.520091848450079</v>
      </c>
      <c r="D290" s="2">
        <v>83.94128634226486</v>
      </c>
      <c r="E290" s="2">
        <v>119.8220890976913</v>
      </c>
      <c r="F290" s="2">
        <v>152.41545659461812</v>
      </c>
      <c r="G290" s="2">
        <v>135.13969964427784</v>
      </c>
      <c r="H290" s="2">
        <f t="shared" si="20"/>
        <v>288</v>
      </c>
      <c r="I290" s="4">
        <v>250439.42334937636</v>
      </c>
      <c r="J290" s="6">
        <v>122908.00262478129</v>
      </c>
      <c r="K290" s="2">
        <v>175445.17463405442</v>
      </c>
      <c r="L290" s="2">
        <v>223168.83807100262</v>
      </c>
      <c r="M290" s="2">
        <v>197873.43371015257</v>
      </c>
      <c r="N290" s="3">
        <f t="shared" si="21"/>
        <v>251325.053992239</v>
      </c>
      <c r="O290" s="5">
        <f t="shared" si="22"/>
        <v>123422.99681203024</v>
      </c>
      <c r="Q290" s="3">
        <f t="shared" si="23"/>
        <v>251325.053992239</v>
      </c>
      <c r="S290" s="3">
        <f t="shared" si="24"/>
        <v>123422.99681203024</v>
      </c>
    </row>
    <row r="291" spans="1:19">
      <c r="A291">
        <v>289</v>
      </c>
      <c r="B291" s="2">
        <v>170.4530892448513</v>
      </c>
      <c r="C291" s="2">
        <v>85.226544622425649</v>
      </c>
      <c r="D291" s="2">
        <v>83.653158357108325</v>
      </c>
      <c r="E291" s="2">
        <v>119.41080046234453</v>
      </c>
      <c r="F291" s="2">
        <v>151.89229141179911</v>
      </c>
      <c r="G291" s="2">
        <v>134.67583339835929</v>
      </c>
      <c r="H291" s="2">
        <f t="shared" si="20"/>
        <v>289</v>
      </c>
      <c r="I291" s="4">
        <v>250609.8764386212</v>
      </c>
      <c r="J291" s="6">
        <v>122991.6557831384</v>
      </c>
      <c r="K291" s="2">
        <v>175564.58543451678</v>
      </c>
      <c r="L291" s="2">
        <v>223320.73036241441</v>
      </c>
      <c r="M291" s="2">
        <v>198008.10954355093</v>
      </c>
      <c r="N291" s="3">
        <f t="shared" si="21"/>
        <v>251498.89237388314</v>
      </c>
      <c r="O291" s="5">
        <f t="shared" si="22"/>
        <v>123508.36694796638</v>
      </c>
      <c r="Q291" s="3">
        <f t="shared" si="23"/>
        <v>251498.89237388314</v>
      </c>
      <c r="S291" s="3">
        <f t="shared" si="24"/>
        <v>123508.36694796638</v>
      </c>
    </row>
    <row r="292" spans="1:19">
      <c r="A292">
        <v>290</v>
      </c>
      <c r="B292" s="2">
        <v>169.87001140250857</v>
      </c>
      <c r="C292" s="2">
        <v>84.935005701254283</v>
      </c>
      <c r="D292" s="2">
        <v>83.367001601040727</v>
      </c>
      <c r="E292" s="2">
        <v>119.00232566030699</v>
      </c>
      <c r="F292" s="2">
        <v>151.37270546626277</v>
      </c>
      <c r="G292" s="2">
        <v>134.21514069574243</v>
      </c>
      <c r="H292" s="2">
        <f t="shared" si="20"/>
        <v>290</v>
      </c>
      <c r="I292" s="4">
        <v>250779.7464500237</v>
      </c>
      <c r="J292" s="6">
        <v>123075.02278473944</v>
      </c>
      <c r="K292" s="2">
        <v>175683.58776017709</v>
      </c>
      <c r="L292" s="2">
        <v>223472.10306788067</v>
      </c>
      <c r="M292" s="2">
        <v>198142.32468424668</v>
      </c>
      <c r="N292" s="3">
        <f t="shared" si="21"/>
        <v>251672.13439627099</v>
      </c>
      <c r="O292" s="5">
        <f t="shared" si="22"/>
        <v>123593.44421836674</v>
      </c>
      <c r="Q292" s="3">
        <f t="shared" si="23"/>
        <v>251672.13439627099</v>
      </c>
      <c r="S292" s="3">
        <f t="shared" si="24"/>
        <v>123593.44421836674</v>
      </c>
    </row>
    <row r="293" spans="1:19">
      <c r="A293">
        <v>291</v>
      </c>
      <c r="B293" s="2">
        <v>169.29090909090911</v>
      </c>
      <c r="C293" s="2">
        <v>84.645454545454555</v>
      </c>
      <c r="D293" s="2">
        <v>83.082795913764457</v>
      </c>
      <c r="E293" s="2">
        <v>118.59663591373774</v>
      </c>
      <c r="F293" s="2">
        <v>150.85666215217321</v>
      </c>
      <c r="G293" s="2">
        <v>133.75758907973417</v>
      </c>
      <c r="H293" s="2">
        <f t="shared" si="20"/>
        <v>291</v>
      </c>
      <c r="I293" s="4">
        <v>250949.03735911462</v>
      </c>
      <c r="J293" s="6">
        <v>123158.10558065321</v>
      </c>
      <c r="K293" s="2">
        <v>175802.18439609083</v>
      </c>
      <c r="L293" s="2">
        <v>223622.95973003283</v>
      </c>
      <c r="M293" s="2">
        <v>198276.08227332641</v>
      </c>
      <c r="N293" s="3">
        <f t="shared" si="21"/>
        <v>251844.78413708467</v>
      </c>
      <c r="O293" s="5">
        <f t="shared" si="22"/>
        <v>123678.23062573663</v>
      </c>
      <c r="Q293" s="3">
        <f t="shared" si="23"/>
        <v>251844.78413708467</v>
      </c>
      <c r="S293" s="3">
        <f t="shared" si="24"/>
        <v>123678.23062573663</v>
      </c>
    </row>
    <row r="294" spans="1:19">
      <c r="A294">
        <v>292</v>
      </c>
      <c r="B294" s="2">
        <v>168.7157417893545</v>
      </c>
      <c r="C294" s="2">
        <v>84.357870894677248</v>
      </c>
      <c r="D294" s="2">
        <v>82.800521408961188</v>
      </c>
      <c r="E294" s="2">
        <v>118.19370283588808</v>
      </c>
      <c r="F294" s="2">
        <v>150.3441253611692</v>
      </c>
      <c r="G294" s="2">
        <v>133.30314653472939</v>
      </c>
      <c r="H294" s="2">
        <f t="shared" si="20"/>
        <v>292</v>
      </c>
      <c r="I294" s="4">
        <v>251117.75310090397</v>
      </c>
      <c r="J294" s="6">
        <v>123240.90610206217</v>
      </c>
      <c r="K294" s="2">
        <v>175920.37809892671</v>
      </c>
      <c r="L294" s="2">
        <v>223773.30385539401</v>
      </c>
      <c r="M294" s="2">
        <v>198409.38541986112</v>
      </c>
      <c r="N294" s="3">
        <f t="shared" si="21"/>
        <v>252016.84563232618</v>
      </c>
      <c r="O294" s="5">
        <f t="shared" si="22"/>
        <v>123762.72815211266</v>
      </c>
      <c r="Q294" s="3">
        <f t="shared" si="23"/>
        <v>252016.84563232618</v>
      </c>
      <c r="S294" s="3">
        <f t="shared" si="24"/>
        <v>123762.72815211266</v>
      </c>
    </row>
    <row r="295" spans="1:19">
      <c r="A295">
        <v>293</v>
      </c>
      <c r="B295" s="2">
        <v>168.14446952595938</v>
      </c>
      <c r="C295" s="2">
        <v>84.07223476297969</v>
      </c>
      <c r="D295" s="2">
        <v>82.520158469653225</v>
      </c>
      <c r="E295" s="2">
        <v>117.79349842447994</v>
      </c>
      <c r="F295" s="2">
        <v>149.83505947394184</v>
      </c>
      <c r="G295" s="2">
        <v>132.85178147874277</v>
      </c>
      <c r="H295" s="2">
        <f t="shared" si="20"/>
        <v>293</v>
      </c>
      <c r="I295" s="4">
        <v>251285.89757042992</v>
      </c>
      <c r="J295" s="6">
        <v>123323.42626053182</v>
      </c>
      <c r="K295" s="2">
        <v>176038.1715973512</v>
      </c>
      <c r="L295" s="2">
        <v>223923.13891486794</v>
      </c>
      <c r="M295" s="2">
        <v>198542.23720133986</v>
      </c>
      <c r="N295" s="3">
        <f t="shared" si="21"/>
        <v>252188.32287688367</v>
      </c>
      <c r="O295" s="5">
        <f t="shared" si="22"/>
        <v>123846.93875934089</v>
      </c>
      <c r="Q295" s="3">
        <f t="shared" si="23"/>
        <v>252188.32287688367</v>
      </c>
      <c r="S295" s="3">
        <f t="shared" si="24"/>
        <v>123846.93875934089</v>
      </c>
    </row>
    <row r="296" spans="1:19">
      <c r="A296">
        <v>294</v>
      </c>
      <c r="B296" s="2">
        <v>167.57705286839146</v>
      </c>
      <c r="C296" s="2">
        <v>83.788526434195731</v>
      </c>
      <c r="D296" s="2">
        <v>82.241687743658858</v>
      </c>
      <c r="E296" s="2">
        <v>117.39599505521838</v>
      </c>
      <c r="F296" s="2">
        <v>149.3294293519825</v>
      </c>
      <c r="G296" s="2">
        <v>132.4034627560923</v>
      </c>
      <c r="H296" s="2">
        <f t="shared" si="20"/>
        <v>294</v>
      </c>
      <c r="I296" s="4">
        <v>251453.4746232983</v>
      </c>
      <c r="J296" s="6">
        <v>123405.66794827548</v>
      </c>
      <c r="K296" s="2">
        <v>176155.56759240641</v>
      </c>
      <c r="L296" s="2">
        <v>224072.46834421993</v>
      </c>
      <c r="M296" s="2">
        <v>198674.64066409596</v>
      </c>
      <c r="N296" s="3">
        <f t="shared" si="21"/>
        <v>252359.21982508778</v>
      </c>
      <c r="O296" s="5">
        <f t="shared" si="22"/>
        <v>123930.86438935004</v>
      </c>
      <c r="Q296" s="3">
        <f t="shared" si="23"/>
        <v>252359.21982508778</v>
      </c>
      <c r="S296" s="3">
        <f t="shared" si="24"/>
        <v>123930.86438935004</v>
      </c>
    </row>
    <row r="297" spans="1:19">
      <c r="A297">
        <v>295</v>
      </c>
      <c r="B297" s="2">
        <v>167.01345291479822</v>
      </c>
      <c r="C297" s="2">
        <v>83.506726457399111</v>
      </c>
      <c r="D297" s="2">
        <v>81.965090139139733</v>
      </c>
      <c r="E297" s="2">
        <v>117.00116547543614</v>
      </c>
      <c r="F297" s="2">
        <v>148.82720032949817</v>
      </c>
      <c r="G297" s="2">
        <v>131.95815963023088</v>
      </c>
      <c r="H297" s="2">
        <f t="shared" si="20"/>
        <v>295</v>
      </c>
      <c r="I297" s="4">
        <v>251620.48807621311</v>
      </c>
      <c r="J297" s="6">
        <v>123487.63303841463</v>
      </c>
      <c r="K297" s="2">
        <v>176272.56875788185</v>
      </c>
      <c r="L297" s="2">
        <v>224221.29554454942</v>
      </c>
      <c r="M297" s="2">
        <v>198806.59882372621</v>
      </c>
      <c r="N297" s="3">
        <f t="shared" si="21"/>
        <v>252529.5403912591</v>
      </c>
      <c r="O297" s="5">
        <f t="shared" si="22"/>
        <v>124014.5069644203</v>
      </c>
      <c r="Q297" s="3">
        <f t="shared" si="23"/>
        <v>252529.5403912591</v>
      </c>
      <c r="S297" s="3">
        <f t="shared" si="24"/>
        <v>124014.5069644203</v>
      </c>
    </row>
    <row r="298" spans="1:19">
      <c r="A298">
        <v>296</v>
      </c>
      <c r="B298" s="2">
        <v>166.45363128491621</v>
      </c>
      <c r="C298" s="2">
        <v>83.226815642458106</v>
      </c>
      <c r="D298" s="2">
        <v>81.690346820237593</v>
      </c>
      <c r="E298" s="2">
        <v>116.6089827978649</v>
      </c>
      <c r="F298" s="2">
        <v>148.32833820548865</v>
      </c>
      <c r="G298" s="2">
        <v>131.51584177672174</v>
      </c>
      <c r="H298" s="2">
        <f t="shared" si="20"/>
        <v>296</v>
      </c>
      <c r="I298" s="4">
        <v>251786.94170749802</v>
      </c>
      <c r="J298" s="6">
        <v>123569.32338523486</v>
      </c>
      <c r="K298" s="2">
        <v>176389.1777406797</v>
      </c>
      <c r="L298" s="2">
        <v>224369.62388275491</v>
      </c>
      <c r="M298" s="2">
        <v>198938.11466550292</v>
      </c>
      <c r="N298" s="3">
        <f t="shared" si="21"/>
        <v>252699.28845024569</v>
      </c>
      <c r="O298" s="5">
        <f t="shared" si="22"/>
        <v>124097.86838744739</v>
      </c>
      <c r="Q298" s="3">
        <f t="shared" si="23"/>
        <v>252699.28845024569</v>
      </c>
      <c r="S298" s="3">
        <f t="shared" si="24"/>
        <v>124097.86838744739</v>
      </c>
    </row>
    <row r="299" spans="1:19">
      <c r="A299">
        <v>297</v>
      </c>
      <c r="B299" s="2">
        <v>165.89755011135858</v>
      </c>
      <c r="C299" s="2">
        <v>82.948775055679292</v>
      </c>
      <c r="D299" s="2">
        <v>81.417439202798079</v>
      </c>
      <c r="E299" s="2">
        <v>116.21942049453138</v>
      </c>
      <c r="F299" s="2">
        <v>147.83280923598267</v>
      </c>
      <c r="G299" s="2">
        <v>131.07647927635418</v>
      </c>
      <c r="H299" s="2">
        <f t="shared" si="20"/>
        <v>297</v>
      </c>
      <c r="I299" s="4">
        <v>251952.83925760936</v>
      </c>
      <c r="J299" s="6">
        <v>123650.74082443766</v>
      </c>
      <c r="K299" s="2">
        <v>176505.39716117425</v>
      </c>
      <c r="L299" s="2">
        <v>224517.4566919909</v>
      </c>
      <c r="M299" s="2">
        <v>199069.19114477927</v>
      </c>
      <c r="N299" s="3">
        <f t="shared" si="21"/>
        <v>252868.46783795246</v>
      </c>
      <c r="O299" s="5">
        <f t="shared" si="22"/>
        <v>124180.95054220239</v>
      </c>
      <c r="Q299" s="3">
        <f t="shared" si="23"/>
        <v>252868.46783795246</v>
      </c>
      <c r="S299" s="3">
        <f t="shared" si="24"/>
        <v>124180.95054220239</v>
      </c>
    </row>
    <row r="300" spans="1:19">
      <c r="A300">
        <v>298</v>
      </c>
      <c r="B300" s="2">
        <v>165.3451720310766</v>
      </c>
      <c r="C300" s="2">
        <v>82.6725860155383</v>
      </c>
      <c r="D300" s="2">
        <v>81.146348950180538</v>
      </c>
      <c r="E300" s="2">
        <v>115.83245239077594</v>
      </c>
      <c r="F300" s="2">
        <v>147.34058012642885</v>
      </c>
      <c r="G300" s="2">
        <v>130.64004260839738</v>
      </c>
      <c r="H300" s="2">
        <f t="shared" si="20"/>
        <v>298</v>
      </c>
      <c r="I300" s="4">
        <v>252118.18442964045</v>
      </c>
      <c r="J300" s="6">
        <v>123731.88717338783</v>
      </c>
      <c r="K300" s="2">
        <v>176621.22961356502</v>
      </c>
      <c r="L300" s="2">
        <v>224664.79727211731</v>
      </c>
      <c r="M300" s="2">
        <v>199199.83118738767</v>
      </c>
      <c r="N300" s="3">
        <f t="shared" si="21"/>
        <v>253037.08235186091</v>
      </c>
      <c r="O300" s="5">
        <f t="shared" si="22"/>
        <v>124263.75529358714</v>
      </c>
      <c r="Q300" s="3">
        <f t="shared" si="23"/>
        <v>253037.08235186091</v>
      </c>
      <c r="S300" s="3">
        <f t="shared" si="24"/>
        <v>124263.75529358714</v>
      </c>
    </row>
    <row r="301" spans="1:19">
      <c r="A301">
        <v>299</v>
      </c>
      <c r="B301" s="2">
        <v>164.79646017699119</v>
      </c>
      <c r="C301" s="2">
        <v>82.398230088495595</v>
      </c>
      <c r="D301" s="2">
        <v>80.877057969151195</v>
      </c>
      <c r="E301" s="2">
        <v>115.44805265939064</v>
      </c>
      <c r="F301" s="2">
        <v>146.85161802423937</v>
      </c>
      <c r="G301" s="2">
        <v>130.20650264398898</v>
      </c>
      <c r="H301" s="2">
        <f t="shared" si="20"/>
        <v>299</v>
      </c>
      <c r="I301" s="4">
        <v>252282.98088981744</v>
      </c>
      <c r="J301" s="6">
        <v>123812.76423135698</v>
      </c>
      <c r="K301" s="2">
        <v>176736.67766622442</v>
      </c>
      <c r="L301" s="2">
        <v>224811.64889014154</v>
      </c>
      <c r="M301" s="2">
        <v>199330.03769003166</v>
      </c>
      <c r="N301" s="3">
        <f t="shared" si="21"/>
        <v>253205.13575154098</v>
      </c>
      <c r="O301" s="5">
        <f t="shared" si="22"/>
        <v>124346.28448788547</v>
      </c>
      <c r="Q301" s="3">
        <f t="shared" si="23"/>
        <v>253205.13575154098</v>
      </c>
      <c r="S301" s="3">
        <f t="shared" si="24"/>
        <v>124346.28448788547</v>
      </c>
    </row>
    <row r="302" spans="1:19">
      <c r="A302">
        <v>300</v>
      </c>
      <c r="B302" s="2">
        <v>164.25137816979054</v>
      </c>
      <c r="C302" s="2">
        <v>82.125689084895271</v>
      </c>
      <c r="D302" s="2">
        <v>80.609548405857367</v>
      </c>
      <c r="E302" s="2">
        <v>115.06619581487219</v>
      </c>
      <c r="F302" s="2">
        <v>146.36589051148002</v>
      </c>
      <c r="G302" s="2">
        <v>129.77583063965372</v>
      </c>
      <c r="H302" s="2">
        <f t="shared" si="20"/>
        <v>300</v>
      </c>
      <c r="I302" s="4">
        <v>252447.23226798722</v>
      </c>
      <c r="J302" s="6">
        <v>123893.37377976284</v>
      </c>
      <c r="K302" s="2">
        <v>176851.74386203929</v>
      </c>
      <c r="L302" s="2">
        <v>224958.01478065303</v>
      </c>
      <c r="M302" s="2">
        <v>199459.81352067131</v>
      </c>
      <c r="N302" s="3">
        <f t="shared" si="21"/>
        <v>253372.63175915368</v>
      </c>
      <c r="O302" s="5">
        <f t="shared" si="22"/>
        <v>124428.53995301013</v>
      </c>
      <c r="Q302" s="3">
        <f t="shared" si="23"/>
        <v>253372.63175915368</v>
      </c>
      <c r="S302" s="3">
        <f t="shared" si="24"/>
        <v>124428.53995301013</v>
      </c>
    </row>
    <row r="303" spans="1:19">
      <c r="A303">
        <v>301</v>
      </c>
      <c r="B303" s="2">
        <v>163.70989010989013</v>
      </c>
      <c r="C303" s="2">
        <v>81.854945054945063</v>
      </c>
      <c r="D303" s="2">
        <v>80.343802641882135</v>
      </c>
      <c r="E303" s="2">
        <v>114.68685670779031</v>
      </c>
      <c r="F303" s="2">
        <v>145.88336559770593</v>
      </c>
      <c r="G303" s="2">
        <v>129.34799823095173</v>
      </c>
      <c r="H303" s="2">
        <f t="shared" si="20"/>
        <v>301</v>
      </c>
      <c r="I303" s="4">
        <v>252610.94215809711</v>
      </c>
      <c r="J303" s="6">
        <v>123973.71758240473</v>
      </c>
      <c r="K303" s="2">
        <v>176966.43071874708</v>
      </c>
      <c r="L303" s="2">
        <v>225103.89814625072</v>
      </c>
      <c r="M303" s="2">
        <v>199589.16151890226</v>
      </c>
      <c r="N303" s="3">
        <f t="shared" si="21"/>
        <v>253539.57405994588</v>
      </c>
      <c r="O303" s="5">
        <f t="shared" si="22"/>
        <v>124510.52349874569</v>
      </c>
      <c r="Q303" s="3">
        <f t="shared" si="23"/>
        <v>253539.57405994588</v>
      </c>
      <c r="S303" s="3">
        <f t="shared" si="24"/>
        <v>124510.52349874569</v>
      </c>
    </row>
    <row r="304" spans="1:19">
      <c r="A304">
        <v>302</v>
      </c>
      <c r="B304" s="2">
        <v>163.17196056955095</v>
      </c>
      <c r="C304" s="2">
        <v>81.585980284775474</v>
      </c>
      <c r="D304" s="2">
        <v>80.079803290375324</v>
      </c>
      <c r="E304" s="2">
        <v>114.31001051926513</v>
      </c>
      <c r="F304" s="2">
        <v>145.40401171293797</v>
      </c>
      <c r="G304" s="2">
        <v>128.92297742624967</v>
      </c>
      <c r="H304" s="2">
        <f t="shared" si="20"/>
        <v>302</v>
      </c>
      <c r="I304" s="4">
        <v>252774.11411866665</v>
      </c>
      <c r="J304" s="6">
        <v>124053.7973856951</v>
      </c>
      <c r="K304" s="2">
        <v>177080.74072926634</v>
      </c>
      <c r="L304" s="2">
        <v>225249.30215796366</v>
      </c>
      <c r="M304" s="2">
        <v>199718.08449632852</v>
      </c>
      <c r="N304" s="3">
        <f t="shared" si="21"/>
        <v>253705.96630273695</v>
      </c>
      <c r="O304" s="5">
        <f t="shared" si="22"/>
        <v>124592.23691698766</v>
      </c>
      <c r="Q304" s="3">
        <f t="shared" si="23"/>
        <v>253705.96630273695</v>
      </c>
      <c r="S304" s="3">
        <f t="shared" si="24"/>
        <v>124592.23691698766</v>
      </c>
    </row>
    <row r="305" spans="1:19">
      <c r="A305">
        <v>303</v>
      </c>
      <c r="B305" s="2">
        <v>162.63755458515286</v>
      </c>
      <c r="C305" s="2">
        <v>81.318777292576428</v>
      </c>
      <c r="D305" s="2">
        <v>79.817533192262829</v>
      </c>
      <c r="E305" s="2">
        <v>113.93563275555589</v>
      </c>
      <c r="F305" s="2">
        <v>144.9277977007778</v>
      </c>
      <c r="G305" s="2">
        <v>128.500740600618</v>
      </c>
      <c r="H305" s="2">
        <f t="shared" si="20"/>
        <v>303</v>
      </c>
      <c r="I305" s="4">
        <v>252936.7516732518</v>
      </c>
      <c r="J305" s="6">
        <v>124133.61491888737</v>
      </c>
      <c r="K305" s="2">
        <v>177194.67636202188</v>
      </c>
      <c r="L305" s="2">
        <v>225394.22995566443</v>
      </c>
      <c r="M305" s="2">
        <v>199846.58523692912</v>
      </c>
      <c r="N305" s="3">
        <f t="shared" si="21"/>
        <v>253871.81210039704</v>
      </c>
      <c r="O305" s="5">
        <f t="shared" si="22"/>
        <v>124673.68198197716</v>
      </c>
      <c r="Q305" s="3">
        <f t="shared" si="23"/>
        <v>253871.81210039704</v>
      </c>
      <c r="S305" s="3">
        <f t="shared" si="24"/>
        <v>124673.68198197716</v>
      </c>
    </row>
    <row r="306" spans="1:19">
      <c r="A306">
        <v>304</v>
      </c>
      <c r="B306" s="2">
        <v>162.10663764961919</v>
      </c>
      <c r="C306" s="2">
        <v>81.053318824809594</v>
      </c>
      <c r="D306" s="2">
        <v>79.556975412527521</v>
      </c>
      <c r="E306" s="2">
        <v>113.56369924275216</v>
      </c>
      <c r="F306" s="2">
        <v>144.45469281165663</v>
      </c>
      <c r="G306" s="2">
        <v>128.08126048984346</v>
      </c>
      <c r="H306" s="2">
        <f t="shared" si="20"/>
        <v>304</v>
      </c>
      <c r="I306" s="4">
        <v>253098.85831090141</v>
      </c>
      <c r="J306" s="6">
        <v>124213.1718942999</v>
      </c>
      <c r="K306" s="2">
        <v>177308.24006126463</v>
      </c>
      <c r="L306" s="2">
        <v>225538.68464847608</v>
      </c>
      <c r="M306" s="2">
        <v>199974.66649741898</v>
      </c>
      <c r="N306" s="3">
        <f t="shared" si="21"/>
        <v>254037.11503031797</v>
      </c>
      <c r="O306" s="5">
        <f t="shared" si="22"/>
        <v>124754.86045053239</v>
      </c>
      <c r="Q306" s="3">
        <f t="shared" si="23"/>
        <v>254037.11503031797</v>
      </c>
      <c r="S306" s="3">
        <f t="shared" si="24"/>
        <v>124754.86045053239</v>
      </c>
    </row>
    <row r="307" spans="1:19">
      <c r="A307">
        <v>305</v>
      </c>
      <c r="B307" s="2">
        <v>161.57917570498915</v>
      </c>
      <c r="C307" s="2">
        <v>80.789587852494577</v>
      </c>
      <c r="D307" s="2">
        <v>79.298113236564632</v>
      </c>
      <c r="E307" s="2">
        <v>113.19418612157163</v>
      </c>
      <c r="F307" s="2">
        <v>143.98466669621729</v>
      </c>
      <c r="G307" s="2">
        <v>127.66451018456173</v>
      </c>
      <c r="H307" s="2">
        <f t="shared" si="20"/>
        <v>305</v>
      </c>
      <c r="I307" s="4">
        <v>253260.43748660642</v>
      </c>
      <c r="J307" s="6">
        <v>124292.47000753647</v>
      </c>
      <c r="K307" s="2">
        <v>177421.43424738621</v>
      </c>
      <c r="L307" s="2">
        <v>225682.6693151723</v>
      </c>
      <c r="M307" s="2">
        <v>200102.33100760353</v>
      </c>
      <c r="N307" s="3">
        <f t="shared" si="21"/>
        <v>254201.87863487619</v>
      </c>
      <c r="O307" s="5">
        <f t="shared" si="22"/>
        <v>124835.77406227584</v>
      </c>
      <c r="Q307" s="3">
        <f t="shared" si="23"/>
        <v>254201.87863487619</v>
      </c>
      <c r="S307" s="3">
        <f t="shared" si="24"/>
        <v>124835.77406227584</v>
      </c>
    </row>
    <row r="308" spans="1:19">
      <c r="A308">
        <v>306</v>
      </c>
      <c r="B308" s="2">
        <v>161.05513513513515</v>
      </c>
      <c r="C308" s="2">
        <v>80.527567567567573</v>
      </c>
      <c r="D308" s="2">
        <v>79.040930166608334</v>
      </c>
      <c r="E308" s="2">
        <v>112.8270698422586</v>
      </c>
      <c r="F308" s="2">
        <v>143.51768939882427</v>
      </c>
      <c r="G308" s="2">
        <v>127.2504631245039</v>
      </c>
      <c r="H308" s="2">
        <f t="shared" si="20"/>
        <v>306</v>
      </c>
      <c r="I308" s="4">
        <v>253421.49262174155</v>
      </c>
      <c r="J308" s="6">
        <v>124371.51093770307</v>
      </c>
      <c r="K308" s="2">
        <v>177534.26131722846</v>
      </c>
      <c r="L308" s="2">
        <v>225826.18700457111</v>
      </c>
      <c r="M308" s="2">
        <v>200229.58147072804</v>
      </c>
      <c r="N308" s="3">
        <f t="shared" si="21"/>
        <v>254366.10642188828</v>
      </c>
      <c r="O308" s="5">
        <f t="shared" si="22"/>
        <v>124916.42453985801</v>
      </c>
      <c r="Q308" s="3">
        <f t="shared" si="23"/>
        <v>254366.10642188828</v>
      </c>
      <c r="S308" s="3">
        <f t="shared" si="24"/>
        <v>124916.42453985801</v>
      </c>
    </row>
    <row r="309" spans="1:19">
      <c r="A309">
        <v>307</v>
      </c>
      <c r="B309" s="2">
        <v>160.5344827586207</v>
      </c>
      <c r="C309" s="2">
        <v>80.267241379310349</v>
      </c>
      <c r="D309" s="2">
        <v>78.7854099182249</v>
      </c>
      <c r="E309" s="2">
        <v>112.46232715957881</v>
      </c>
      <c r="F309" s="2">
        <v>143.05373135119871</v>
      </c>
      <c r="G309" s="2">
        <v>126.8390930928513</v>
      </c>
      <c r="H309" s="2">
        <f t="shared" si="20"/>
        <v>307</v>
      </c>
      <c r="I309" s="4">
        <v>253582.02710450016</v>
      </c>
      <c r="J309" s="6">
        <v>124450.2963476213</v>
      </c>
      <c r="K309" s="2">
        <v>177646.72364438805</v>
      </c>
      <c r="L309" s="2">
        <v>225969.2407359223</v>
      </c>
      <c r="M309" s="2">
        <v>200356.4205638209</v>
      </c>
      <c r="N309" s="3">
        <f t="shared" si="21"/>
        <v>254529.80186505892</v>
      </c>
      <c r="O309" s="5">
        <f t="shared" si="22"/>
        <v>124996.81358917746</v>
      </c>
      <c r="Q309" s="3">
        <f t="shared" si="23"/>
        <v>254529.80186505892</v>
      </c>
      <c r="S309" s="3">
        <f t="shared" si="24"/>
        <v>124996.81358917746</v>
      </c>
    </row>
    <row r="310" spans="1:19">
      <c r="A310">
        <v>308</v>
      </c>
      <c r="B310" s="2">
        <v>160.01718582169713</v>
      </c>
      <c r="C310" s="2">
        <v>80.008592910848563</v>
      </c>
      <c r="D310" s="2">
        <v>78.531536416877231</v>
      </c>
      <c r="E310" s="2">
        <v>112.09993512791533</v>
      </c>
      <c r="F310" s="2">
        <v>142.59276336617876</v>
      </c>
      <c r="G310" s="2">
        <v>126.43037421070464</v>
      </c>
      <c r="H310" s="2">
        <f t="shared" si="20"/>
        <v>308</v>
      </c>
      <c r="I310" s="4">
        <v>253742.04429032185</v>
      </c>
      <c r="J310" s="6">
        <v>124528.82788403818</v>
      </c>
      <c r="K310" s="2">
        <v>177758.82357951597</v>
      </c>
      <c r="L310" s="2">
        <v>226111.83349928848</v>
      </c>
      <c r="M310" s="2">
        <v>200482.8509380316</v>
      </c>
      <c r="N310" s="3">
        <f t="shared" si="21"/>
        <v>254692.96840442196</v>
      </c>
      <c r="O310" s="5">
        <f t="shared" si="22"/>
        <v>125076.94289959731</v>
      </c>
      <c r="Q310" s="3">
        <f t="shared" si="23"/>
        <v>254692.96840442196</v>
      </c>
      <c r="S310" s="3">
        <f t="shared" si="24"/>
        <v>125076.94289959731</v>
      </c>
    </row>
    <row r="311" spans="1:19">
      <c r="A311">
        <v>309</v>
      </c>
      <c r="B311" s="2">
        <v>159.50321199143471</v>
      </c>
      <c r="C311" s="2">
        <v>79.751605995717355</v>
      </c>
      <c r="D311" s="2">
        <v>78.279293794553212</v>
      </c>
      <c r="E311" s="2">
        <v>111.73987109645519</v>
      </c>
      <c r="F311" s="2">
        <v>142.13475663159787</v>
      </c>
      <c r="G311" s="2">
        <v>126.02428093165528</v>
      </c>
      <c r="H311" s="2">
        <f t="shared" si="20"/>
        <v>309</v>
      </c>
      <c r="I311" s="4">
        <v>253901.54750231327</v>
      </c>
      <c r="J311" s="6">
        <v>124607.10717783273</v>
      </c>
      <c r="K311" s="2">
        <v>177870.56345061242</v>
      </c>
      <c r="L311" s="2">
        <v>226253.96825592007</v>
      </c>
      <c r="M311" s="2">
        <v>200608.87521896325</v>
      </c>
      <c r="N311" s="3">
        <f t="shared" si="21"/>
        <v>254855.60944677406</v>
      </c>
      <c r="O311" s="5">
        <f t="shared" si="22"/>
        <v>125156.81414415836</v>
      </c>
      <c r="Q311" s="3">
        <f t="shared" si="23"/>
        <v>254855.60944677406</v>
      </c>
      <c r="S311" s="3">
        <f t="shared" si="24"/>
        <v>125156.81414415836</v>
      </c>
    </row>
    <row r="312" spans="1:19">
      <c r="A312">
        <v>310</v>
      </c>
      <c r="B312" s="2">
        <v>158.99252934898612</v>
      </c>
      <c r="C312" s="2">
        <v>79.496264674493062</v>
      </c>
      <c r="D312" s="2">
        <v>78.028666386459676</v>
      </c>
      <c r="E312" s="2">
        <v>111.38211270447083</v>
      </c>
      <c r="F312" s="2">
        <v>141.67968270428221</v>
      </c>
      <c r="G312" s="2">
        <v>125.62078803646327</v>
      </c>
      <c r="H312" s="2">
        <f t="shared" si="20"/>
        <v>310</v>
      </c>
      <c r="I312" s="4">
        <v>254060.54003166227</v>
      </c>
      <c r="J312" s="6">
        <v>124685.13584421918</v>
      </c>
      <c r="K312" s="2">
        <v>177981.9455633169</v>
      </c>
      <c r="L312" s="2">
        <v>226395.64793862434</v>
      </c>
      <c r="M312" s="2">
        <v>200734.49600699972</v>
      </c>
      <c r="N312" s="3">
        <f t="shared" si="21"/>
        <v>255017.72836610163</v>
      </c>
      <c r="O312" s="5">
        <f t="shared" si="22"/>
        <v>125236.42897978851</v>
      </c>
      <c r="Q312" s="3">
        <f t="shared" si="23"/>
        <v>255017.72836610163</v>
      </c>
      <c r="S312" s="3">
        <f t="shared" si="24"/>
        <v>125236.42897978851</v>
      </c>
    </row>
    <row r="313" spans="1:19">
      <c r="A313">
        <v>311</v>
      </c>
      <c r="B313" s="2">
        <v>158.48510638297876</v>
      </c>
      <c r="C313" s="2">
        <v>79.242553191489378</v>
      </c>
      <c r="D313" s="2">
        <v>77.779638727779457</v>
      </c>
      <c r="E313" s="2">
        <v>111.02663787669059</v>
      </c>
      <c r="F313" s="2">
        <v>141.22751350416215</v>
      </c>
      <c r="G313" s="2">
        <v>125.21987062783623</v>
      </c>
      <c r="H313" s="2">
        <f t="shared" si="20"/>
        <v>311</v>
      </c>
      <c r="I313" s="4">
        <v>254219.02513804525</v>
      </c>
      <c r="J313" s="6">
        <v>124762.91548294696</v>
      </c>
      <c r="K313" s="2">
        <v>178092.9722011936</v>
      </c>
      <c r="L313" s="2">
        <v>226536.8754521285</v>
      </c>
      <c r="M313" s="2">
        <v>200859.71587762755</v>
      </c>
      <c r="N313" s="3">
        <f t="shared" si="21"/>
        <v>255179.32850400047</v>
      </c>
      <c r="O313" s="5">
        <f t="shared" si="22"/>
        <v>125315.78904750914</v>
      </c>
      <c r="Q313" s="3">
        <f t="shared" si="23"/>
        <v>255179.32850400047</v>
      </c>
      <c r="S313" s="3">
        <f t="shared" si="24"/>
        <v>125315.78904750914</v>
      </c>
    </row>
    <row r="314" spans="1:19">
      <c r="A314">
        <v>312</v>
      </c>
      <c r="B314" s="2">
        <v>157.98091198303291</v>
      </c>
      <c r="C314" s="2">
        <v>78.990455991516455</v>
      </c>
      <c r="D314" s="2">
        <v>77.532195550490627</v>
      </c>
      <c r="E314" s="2">
        <v>110.67342481875839</v>
      </c>
      <c r="F314" s="2">
        <v>140.77822130849671</v>
      </c>
      <c r="G314" s="2">
        <v>124.82150412530862</v>
      </c>
      <c r="H314" s="2">
        <f t="shared" si="20"/>
        <v>312</v>
      </c>
      <c r="I314" s="4">
        <v>254377.00605002829</v>
      </c>
      <c r="J314" s="6">
        <v>124840.44767849745</v>
      </c>
      <c r="K314" s="2">
        <v>178203.64562601235</v>
      </c>
      <c r="L314" s="2">
        <v>226677.65367343699</v>
      </c>
      <c r="M314" s="2">
        <v>200984.53738175286</v>
      </c>
      <c r="N314" s="3">
        <f t="shared" si="21"/>
        <v>255340.41317008954</v>
      </c>
      <c r="O314" s="5">
        <f t="shared" si="22"/>
        <v>125394.89597263803</v>
      </c>
      <c r="Q314" s="3">
        <f t="shared" si="23"/>
        <v>255340.41317008954</v>
      </c>
      <c r="S314" s="3">
        <f t="shared" si="24"/>
        <v>125394.89597263803</v>
      </c>
    </row>
    <row r="315" spans="1:19">
      <c r="A315">
        <v>313</v>
      </c>
      <c r="B315" s="2">
        <v>157.47991543340382</v>
      </c>
      <c r="C315" s="2">
        <v>78.739957716701909</v>
      </c>
      <c r="D315" s="2">
        <v>77.286321780246013</v>
      </c>
      <c r="E315" s="2">
        <v>110.32245201277921</v>
      </c>
      <c r="F315" s="2">
        <v>140.33177874620759</v>
      </c>
      <c r="G315" s="2">
        <v>124.42566426021779</v>
      </c>
      <c r="H315" s="2">
        <f t="shared" si="20"/>
        <v>313</v>
      </c>
      <c r="I315" s="4">
        <v>254534.4859654617</v>
      </c>
      <c r="J315" s="6">
        <v>124917.73400027771</v>
      </c>
      <c r="K315" s="2">
        <v>178313.96807802512</v>
      </c>
      <c r="L315" s="2">
        <v>226817.9854521832</v>
      </c>
      <c r="M315" s="2">
        <v>201108.96304601309</v>
      </c>
      <c r="N315" s="3">
        <f t="shared" si="21"/>
        <v>255500.98564241722</v>
      </c>
      <c r="O315" s="5">
        <f t="shared" si="22"/>
        <v>125473.75136498906</v>
      </c>
      <c r="Q315" s="3">
        <f t="shared" si="23"/>
        <v>255500.98564241722</v>
      </c>
      <c r="S315" s="3">
        <f t="shared" si="24"/>
        <v>125473.75136498906</v>
      </c>
    </row>
    <row r="316" spans="1:19">
      <c r="A316">
        <v>314</v>
      </c>
      <c r="B316" s="2">
        <v>156.98208640674397</v>
      </c>
      <c r="C316" s="2">
        <v>78.491043203371987</v>
      </c>
      <c r="D316" s="2">
        <v>77.042002533311631</v>
      </c>
      <c r="E316" s="2">
        <v>109.97369821294963</v>
      </c>
      <c r="F316" s="2">
        <v>139.88815879232078</v>
      </c>
      <c r="G316" s="2">
        <v>124.03232707077564</v>
      </c>
      <c r="H316" s="2">
        <f t="shared" si="20"/>
        <v>314</v>
      </c>
      <c r="I316" s="4">
        <v>254691.46805186843</v>
      </c>
      <c r="J316" s="6">
        <v>124994.77600281102</v>
      </c>
      <c r="K316" s="2">
        <v>178423.94177623806</v>
      </c>
      <c r="L316" s="2">
        <v>226957.87361097551</v>
      </c>
      <c r="M316" s="2">
        <v>201232.99537308386</v>
      </c>
      <c r="N316" s="3">
        <f t="shared" si="21"/>
        <v>255661.04916786184</v>
      </c>
      <c r="O316" s="5">
        <f t="shared" si="22"/>
        <v>125552.35681906878</v>
      </c>
      <c r="Q316" s="3">
        <f t="shared" si="23"/>
        <v>255661.04916786184</v>
      </c>
      <c r="S316" s="3">
        <f t="shared" si="24"/>
        <v>125552.35681906878</v>
      </c>
    </row>
    <row r="317" spans="1:19">
      <c r="A317">
        <v>315</v>
      </c>
      <c r="B317" s="2">
        <v>156.48739495798318</v>
      </c>
      <c r="C317" s="2">
        <v>78.243697478991592</v>
      </c>
      <c r="D317" s="2">
        <v>76.799223113563784</v>
      </c>
      <c r="E317" s="2">
        <v>109.6271424412701</v>
      </c>
      <c r="F317" s="2">
        <v>139.44733476251301</v>
      </c>
      <c r="G317" s="2">
        <v>123.64146889723322</v>
      </c>
      <c r="H317" s="2">
        <f t="shared" si="20"/>
        <v>315</v>
      </c>
      <c r="I317" s="4">
        <v>254847.95544682641</v>
      </c>
      <c r="J317" s="6">
        <v>125071.57522592458</v>
      </c>
      <c r="K317" s="2">
        <v>178533.56891867935</v>
      </c>
      <c r="L317" s="2">
        <v>227097.32094573803</v>
      </c>
      <c r="M317" s="2">
        <v>201356.63684198109</v>
      </c>
      <c r="N317" s="3">
        <f t="shared" si="21"/>
        <v>255820.6069625254</v>
      </c>
      <c r="O317" s="5">
        <f t="shared" si="22"/>
        <v>125630.7139142699</v>
      </c>
      <c r="Q317" s="3">
        <f t="shared" si="23"/>
        <v>255820.6069625254</v>
      </c>
      <c r="S317" s="3">
        <f t="shared" si="24"/>
        <v>125630.7139142699</v>
      </c>
    </row>
    <row r="318" spans="1:19">
      <c r="A318">
        <v>316</v>
      </c>
      <c r="B318" s="2">
        <v>155.99581151832462</v>
      </c>
      <c r="C318" s="2">
        <v>77.997905759162308</v>
      </c>
      <c r="D318" s="2">
        <v>76.557969009542106</v>
      </c>
      <c r="E318" s="2">
        <v>109.28276398333946</v>
      </c>
      <c r="F318" s="2">
        <v>139.00928030776171</v>
      </c>
      <c r="G318" s="2">
        <v>123.25306637713726</v>
      </c>
      <c r="H318" s="2">
        <f t="shared" si="20"/>
        <v>316</v>
      </c>
      <c r="I318" s="4">
        <v>255003.95125834472</v>
      </c>
      <c r="J318" s="6">
        <v>125148.13319493413</v>
      </c>
      <c r="K318" s="2">
        <v>178642.85168266267</v>
      </c>
      <c r="L318" s="2">
        <v>227236.3302260458</v>
      </c>
      <c r="M318" s="2">
        <v>201479.88990835822</v>
      </c>
      <c r="N318" s="3">
        <f t="shared" si="21"/>
        <v>255979.66221212168</v>
      </c>
      <c r="O318" s="5">
        <f t="shared" si="22"/>
        <v>125708.82421506174</v>
      </c>
      <c r="Q318" s="3">
        <f t="shared" si="23"/>
        <v>255979.66221212168</v>
      </c>
      <c r="S318" s="3">
        <f t="shared" si="24"/>
        <v>125708.82421506174</v>
      </c>
    </row>
    <row r="319" spans="1:19">
      <c r="A319">
        <v>317</v>
      </c>
      <c r="B319" s="2">
        <v>155.50730688935283</v>
      </c>
      <c r="C319" s="2">
        <v>77.753653444676416</v>
      </c>
      <c r="D319" s="2">
        <v>76.318225891558185</v>
      </c>
      <c r="E319" s="2">
        <v>108.94054238422669</v>
      </c>
      <c r="F319" s="2">
        <v>138.57396940909442</v>
      </c>
      <c r="G319" s="2">
        <v>122.86709644067436</v>
      </c>
      <c r="H319" s="2">
        <f t="shared" si="20"/>
        <v>317</v>
      </c>
      <c r="I319" s="4">
        <v>255159.45856523406</v>
      </c>
      <c r="J319" s="6">
        <v>125224.45142082569</v>
      </c>
      <c r="K319" s="2">
        <v>178751.7922250469</v>
      </c>
      <c r="L319" s="2">
        <v>227374.9041954549</v>
      </c>
      <c r="M319" s="2">
        <v>201602.75700479888</v>
      </c>
      <c r="N319" s="3">
        <f t="shared" si="21"/>
        <v>256138.21807235738</v>
      </c>
      <c r="O319" s="5">
        <f t="shared" si="22"/>
        <v>125786.6892711775</v>
      </c>
      <c r="Q319" s="3">
        <f t="shared" si="23"/>
        <v>256138.21807235738</v>
      </c>
      <c r="S319" s="3">
        <f t="shared" si="24"/>
        <v>125786.6892711775</v>
      </c>
    </row>
    <row r="320" spans="1:19">
      <c r="A320">
        <v>318</v>
      </c>
      <c r="B320" s="2">
        <v>155.02185223725289</v>
      </c>
      <c r="C320" s="2">
        <v>77.510926118626443</v>
      </c>
      <c r="D320" s="2">
        <v>76.07997960885821</v>
      </c>
      <c r="E320" s="2">
        <v>108.60045744442165</v>
      </c>
      <c r="F320" s="2">
        <v>138.14137637243755</v>
      </c>
      <c r="G320" s="2">
        <v>122.48353630610417</v>
      </c>
      <c r="H320" s="2">
        <f t="shared" si="20"/>
        <v>318</v>
      </c>
      <c r="I320" s="4">
        <v>255314.48041747132</v>
      </c>
      <c r="J320" s="6">
        <v>125300.53140043454</v>
      </c>
      <c r="K320" s="2">
        <v>178860.39268249131</v>
      </c>
      <c r="L320" s="2">
        <v>227513.04557182733</v>
      </c>
      <c r="M320" s="2">
        <v>201725.24054110498</v>
      </c>
      <c r="N320" s="3">
        <f t="shared" si="21"/>
        <v>256296.27766930824</v>
      </c>
      <c r="O320" s="5">
        <f t="shared" si="22"/>
        <v>125864.3106177989</v>
      </c>
      <c r="Q320" s="3">
        <f t="shared" si="23"/>
        <v>256296.27766930824</v>
      </c>
      <c r="S320" s="3">
        <f t="shared" si="24"/>
        <v>125864.3106177989</v>
      </c>
    </row>
    <row r="321" spans="1:19">
      <c r="A321">
        <v>319</v>
      </c>
      <c r="B321" s="2">
        <v>154.53941908713693</v>
      </c>
      <c r="C321" s="2">
        <v>77.269709543568467</v>
      </c>
      <c r="D321" s="2">
        <v>75.843216186838887</v>
      </c>
      <c r="E321" s="2">
        <v>108.26248921586009</v>
      </c>
      <c r="F321" s="2">
        <v>137.71147582356062</v>
      </c>
      <c r="G321" s="2">
        <v>122.10236347527598</v>
      </c>
      <c r="H321" s="2">
        <f t="shared" si="20"/>
        <v>319</v>
      </c>
      <c r="I321" s="4">
        <v>255469.01983655847</v>
      </c>
      <c r="J321" s="6">
        <v>125376.37461662138</v>
      </c>
      <c r="K321" s="2">
        <v>178968.65517170716</v>
      </c>
      <c r="L321" s="2">
        <v>227650.7570476509</v>
      </c>
      <c r="M321" s="2">
        <v>201847.34290458026</v>
      </c>
      <c r="N321" s="3">
        <f t="shared" si="21"/>
        <v>256453.84409978855</v>
      </c>
      <c r="O321" s="5">
        <f t="shared" si="22"/>
        <v>125941.68977573774</v>
      </c>
      <c r="Q321" s="3">
        <f t="shared" si="23"/>
        <v>256453.84409978855</v>
      </c>
      <c r="S321" s="3">
        <f t="shared" si="24"/>
        <v>125941.68977573774</v>
      </c>
    </row>
    <row r="322" spans="1:19">
      <c r="A322">
        <v>320</v>
      </c>
      <c r="B322" s="2">
        <v>154.05997931747675</v>
      </c>
      <c r="C322" s="2">
        <v>77.029989658738373</v>
      </c>
      <c r="D322" s="2">
        <v>75.607921824315071</v>
      </c>
      <c r="E322" s="2">
        <v>107.92661799802393</v>
      </c>
      <c r="F322" s="2">
        <v>137.28424270311518</v>
      </c>
      <c r="G322" s="2">
        <v>121.72355572923065</v>
      </c>
      <c r="H322" s="2">
        <f t="shared" si="20"/>
        <v>320</v>
      </c>
      <c r="I322" s="4">
        <v>255623.07981587594</v>
      </c>
      <c r="J322" s="6">
        <v>125451.98253844569</v>
      </c>
      <c r="K322" s="2">
        <v>179076.58178970517</v>
      </c>
      <c r="L322" s="2">
        <v>227788.04129035401</v>
      </c>
      <c r="M322" s="2">
        <v>201969.06646030949</v>
      </c>
      <c r="N322" s="3">
        <f t="shared" si="21"/>
        <v>256610.92043171538</v>
      </c>
      <c r="O322" s="5">
        <f t="shared" si="22"/>
        <v>126018.82825161469</v>
      </c>
      <c r="Q322" s="3">
        <f t="shared" si="23"/>
        <v>256610.92043171538</v>
      </c>
      <c r="S322" s="3">
        <f t="shared" si="24"/>
        <v>126018.82825161469</v>
      </c>
    </row>
    <row r="323" spans="1:19">
      <c r="A323">
        <v>321</v>
      </c>
      <c r="B323" s="2">
        <v>153.58350515463917</v>
      </c>
      <c r="C323" s="2">
        <v>76.791752577319585</v>
      </c>
      <c r="D323" s="2">
        <v>75.374082890837869</v>
      </c>
      <c r="E323" s="2">
        <v>107.59282433411256</v>
      </c>
      <c r="F323" s="2">
        <v>136.85965226176538</v>
      </c>
      <c r="G323" s="2">
        <v>121.34709112388258</v>
      </c>
      <c r="H323" s="2">
        <f t="shared" si="20"/>
        <v>321</v>
      </c>
      <c r="I323" s="4">
        <v>255776.66332103059</v>
      </c>
      <c r="J323" s="6">
        <v>125527.35662133653</v>
      </c>
      <c r="K323" s="2">
        <v>179184.17461403928</v>
      </c>
      <c r="L323" s="2">
        <v>227924.90094261579</v>
      </c>
      <c r="M323" s="2">
        <v>202090.41355143336</v>
      </c>
      <c r="N323" s="3">
        <f t="shared" si="21"/>
        <v>256767.50970446691</v>
      </c>
      <c r="O323" s="5">
        <f t="shared" si="22"/>
        <v>126095.72753803524</v>
      </c>
      <c r="Q323" s="3">
        <f t="shared" si="23"/>
        <v>256767.50970446691</v>
      </c>
      <c r="S323" s="3">
        <f t="shared" si="24"/>
        <v>126095.72753803524</v>
      </c>
    </row>
    <row r="324" spans="1:19">
      <c r="A324">
        <v>322</v>
      </c>
      <c r="B324" s="2">
        <v>153.10996916752313</v>
      </c>
      <c r="C324" s="2">
        <v>76.554984583761566</v>
      </c>
      <c r="D324" s="2">
        <v>75.141685924062401</v>
      </c>
      <c r="E324" s="2">
        <v>107.26108900728585</v>
      </c>
      <c r="F324" s="2">
        <v>136.43768005540846</v>
      </c>
      <c r="G324" s="2">
        <v>120.97294798578217</v>
      </c>
      <c r="H324" s="2">
        <f t="shared" ref="H324:H362" si="25">+$A324</f>
        <v>322</v>
      </c>
      <c r="I324" s="4">
        <v>255929.77329019812</v>
      </c>
      <c r="J324" s="6">
        <v>125602.49830726058</v>
      </c>
      <c r="K324" s="2">
        <v>179291.43570304656</v>
      </c>
      <c r="L324" s="2">
        <v>228061.3386226712</v>
      </c>
      <c r="M324" s="2">
        <v>202211.38649941914</v>
      </c>
      <c r="N324" s="3">
        <f t="shared" ref="N324:N362" si="26">+$Q324</f>
        <v>256923.61492923537</v>
      </c>
      <c r="O324" s="5">
        <f t="shared" ref="O324:O362" si="27">+$S324</f>
        <v>126172.38911376311</v>
      </c>
      <c r="Q324" s="3">
        <f t="shared" ref="Q324:Q362" si="28">+$Q$1*LN(1+$Q$2*$H324)</f>
        <v>256923.61492923537</v>
      </c>
      <c r="S324" s="3">
        <f t="shared" ref="S324:S362" si="29">+$S$1*LN(1+$S$2*$H324)</f>
        <v>126172.38911376311</v>
      </c>
    </row>
    <row r="325" spans="1:19">
      <c r="A325">
        <v>323</v>
      </c>
      <c r="B325" s="2">
        <v>152.63934426229511</v>
      </c>
      <c r="C325" s="2">
        <v>76.319672131147556</v>
      </c>
      <c r="D325" s="2">
        <v>74.910717627164658</v>
      </c>
      <c r="E325" s="2">
        <v>106.9313930369766</v>
      </c>
      <c r="F325" s="2">
        <v>136.01830194048404</v>
      </c>
      <c r="G325" s="2">
        <v>120.60110490795702</v>
      </c>
      <c r="H325" s="2">
        <f t="shared" si="25"/>
        <v>323</v>
      </c>
      <c r="I325" s="4">
        <v>256082.41263446043</v>
      </c>
      <c r="J325" s="6">
        <v>125677.40902488775</v>
      </c>
      <c r="K325" s="2">
        <v>179398.36709608353</v>
      </c>
      <c r="L325" s="2">
        <v>228197.3569246117</v>
      </c>
      <c r="M325" s="2">
        <v>202331.98760432709</v>
      </c>
      <c r="N325" s="3">
        <f t="shared" si="26"/>
        <v>257079.23908937449</v>
      </c>
      <c r="O325" s="5">
        <f t="shared" si="27"/>
        <v>126248.81444389083</v>
      </c>
      <c r="Q325" s="3">
        <f t="shared" si="28"/>
        <v>257079.23908937449</v>
      </c>
      <c r="S325" s="3">
        <f t="shared" si="29"/>
        <v>126248.81444389083</v>
      </c>
    </row>
    <row r="326" spans="1:19">
      <c r="A326">
        <v>324</v>
      </c>
      <c r="B326" s="2">
        <v>152.17160367722167</v>
      </c>
      <c r="C326" s="2">
        <v>76.085801838610834</v>
      </c>
      <c r="D326" s="2">
        <v>74.681164866305167</v>
      </c>
      <c r="E326" s="2">
        <v>106.60371767526988</v>
      </c>
      <c r="F326" s="2">
        <v>135.60149406936921</v>
      </c>
      <c r="G326" s="2">
        <v>120.23154074582851</v>
      </c>
      <c r="H326" s="2">
        <f t="shared" si="25"/>
        <v>324</v>
      </c>
      <c r="I326" s="4">
        <v>256234.58423813764</v>
      </c>
      <c r="J326" s="6">
        <v>125752.09018975405</v>
      </c>
      <c r="K326" s="2">
        <v>179504.97081375879</v>
      </c>
      <c r="L326" s="2">
        <v>228332.95841868105</v>
      </c>
      <c r="M326" s="2">
        <v>202452.21914507292</v>
      </c>
      <c r="N326" s="3">
        <f t="shared" si="26"/>
        <v>257234.38514074151</v>
      </c>
      <c r="O326" s="5">
        <f t="shared" si="27"/>
        <v>126325.00498000771</v>
      </c>
      <c r="Q326" s="3">
        <f t="shared" si="28"/>
        <v>257234.38514074151</v>
      </c>
      <c r="S326" s="3">
        <f t="shared" si="29"/>
        <v>126325.00498000771</v>
      </c>
    </row>
    <row r="327" spans="1:19">
      <c r="A327">
        <v>325</v>
      </c>
      <c r="B327" s="2">
        <v>151.70672097759675</v>
      </c>
      <c r="C327" s="2">
        <v>75.853360488798373</v>
      </c>
      <c r="D327" s="2">
        <v>74.453014668139176</v>
      </c>
      <c r="E327" s="2">
        <v>106.27804440334943</v>
      </c>
      <c r="F327" s="2">
        <v>135.18723288585781</v>
      </c>
      <c r="G327" s="2">
        <v>119.86423461320368</v>
      </c>
      <c r="H327" s="2">
        <f t="shared" si="25"/>
        <v>325</v>
      </c>
      <c r="I327" s="4">
        <v>256386.29095911523</v>
      </c>
      <c r="J327" s="6">
        <v>125826.54320442218</v>
      </c>
      <c r="K327" s="2">
        <v>179611.24885816214</v>
      </c>
      <c r="L327" s="2">
        <v>228468.14565156691</v>
      </c>
      <c r="M327" s="2">
        <v>202572.08337968611</v>
      </c>
      <c r="N327" s="3">
        <f t="shared" si="26"/>
        <v>257389.05601203407</v>
      </c>
      <c r="O327" s="5">
        <f t="shared" si="27"/>
        <v>126400.96216036523</v>
      </c>
      <c r="Q327" s="3">
        <f t="shared" si="28"/>
        <v>257389.05601203407</v>
      </c>
      <c r="S327" s="3">
        <f t="shared" si="29"/>
        <v>126400.96216036523</v>
      </c>
    </row>
    <row r="328" spans="1:19">
      <c r="A328">
        <v>326</v>
      </c>
      <c r="B328" s="2">
        <v>151.24467005076141</v>
      </c>
      <c r="C328" s="2">
        <v>75.622335025380707</v>
      </c>
      <c r="D328" s="2">
        <v>74.226254217373281</v>
      </c>
      <c r="E328" s="2">
        <v>105.95435492800929</v>
      </c>
      <c r="F328" s="2">
        <v>134.77549512072324</v>
      </c>
      <c r="G328" s="2">
        <v>119.49916587834117</v>
      </c>
      <c r="H328" s="2">
        <f t="shared" si="25"/>
        <v>326</v>
      </c>
      <c r="I328" s="4">
        <v>256537.535629166</v>
      </c>
      <c r="J328" s="6">
        <v>125900.76945863955</v>
      </c>
      <c r="K328" s="2">
        <v>179717.20321309016</v>
      </c>
      <c r="L328" s="2">
        <v>228602.92114668764</v>
      </c>
      <c r="M328" s="2">
        <v>202691.58254556445</v>
      </c>
      <c r="N328" s="3">
        <f t="shared" si="26"/>
        <v>257543.25460512203</v>
      </c>
      <c r="O328" s="5">
        <f t="shared" si="27"/>
        <v>126476.68741004013</v>
      </c>
      <c r="Q328" s="3">
        <f t="shared" si="28"/>
        <v>257543.25460512203</v>
      </c>
      <c r="S328" s="3">
        <f t="shared" si="29"/>
        <v>126476.68741004013</v>
      </c>
    </row>
    <row r="329" spans="1:19">
      <c r="A329">
        <v>327</v>
      </c>
      <c r="B329" s="2">
        <v>150.7854251012146</v>
      </c>
      <c r="C329" s="2">
        <v>75.3927125506073</v>
      </c>
      <c r="D329" s="2">
        <v>74.000870854365104</v>
      </c>
      <c r="E329" s="2">
        <v>105.63263117822795</v>
      </c>
      <c r="F329" s="2">
        <v>134.36625778736081</v>
      </c>
      <c r="G329" s="2">
        <v>119.13631416008715</v>
      </c>
      <c r="H329" s="2">
        <f t="shared" si="25"/>
        <v>327</v>
      </c>
      <c r="I329" s="4">
        <v>256688.3210542672</v>
      </c>
      <c r="J329" s="6">
        <v>125974.77032949391</v>
      </c>
      <c r="K329" s="2">
        <v>179822.83584426838</v>
      </c>
      <c r="L329" s="2">
        <v>228737.28740447501</v>
      </c>
      <c r="M329" s="2">
        <v>202810.71885972453</v>
      </c>
      <c r="N329" s="3">
        <f t="shared" si="26"/>
        <v>257696.98379537405</v>
      </c>
      <c r="O329" s="5">
        <f t="shared" si="27"/>
        <v>126552.18214109457</v>
      </c>
      <c r="Q329" s="3">
        <f t="shared" si="28"/>
        <v>257696.98379537405</v>
      </c>
      <c r="S329" s="3">
        <f t="shared" si="29"/>
        <v>126552.18214109457</v>
      </c>
    </row>
    <row r="330" spans="1:19">
      <c r="A330">
        <v>328</v>
      </c>
      <c r="B330" s="2">
        <v>150.32896064581232</v>
      </c>
      <c r="C330" s="2">
        <v>75.164480322906158</v>
      </c>
      <c r="D330" s="2">
        <v>73.776852072767554</v>
      </c>
      <c r="E330" s="2">
        <v>105.31285530180533</v>
      </c>
      <c r="F330" s="2">
        <v>133.95949817750997</v>
      </c>
      <c r="G330" s="2">
        <v>118.77565932408271</v>
      </c>
      <c r="H330" s="2">
        <f t="shared" si="25"/>
        <v>328</v>
      </c>
      <c r="I330" s="4">
        <v>256838.650014913</v>
      </c>
      <c r="J330" s="6">
        <v>126048.54718156668</v>
      </c>
      <c r="K330" s="2">
        <v>179928.14869957019</v>
      </c>
      <c r="L330" s="2">
        <v>228871.24690265252</v>
      </c>
      <c r="M330" s="2">
        <v>202929.4945190486</v>
      </c>
      <c r="N330" s="3">
        <f t="shared" si="26"/>
        <v>257850.24643197929</v>
      </c>
      <c r="O330" s="5">
        <f t="shared" si="27"/>
        <v>126627.44775273438</v>
      </c>
      <c r="Q330" s="3">
        <f t="shared" si="28"/>
        <v>257850.24643197929</v>
      </c>
      <c r="S330" s="3">
        <f t="shared" si="29"/>
        <v>126627.44775273438</v>
      </c>
    </row>
    <row r="331" spans="1:19">
      <c r="A331">
        <v>329</v>
      </c>
      <c r="B331" s="2">
        <v>149.87525150905432</v>
      </c>
      <c r="C331" s="2">
        <v>74.937625754527161</v>
      </c>
      <c r="D331" s="2">
        <v>73.554185517215998</v>
      </c>
      <c r="E331" s="2">
        <v>104.99500966206149</v>
      </c>
      <c r="F331" s="2">
        <v>133.55519385705472</v>
      </c>
      <c r="G331" s="2">
        <v>118.41718147904027</v>
      </c>
      <c r="H331" s="2">
        <f t="shared" si="25"/>
        <v>329</v>
      </c>
      <c r="I331" s="4">
        <v>256988.52526642205</v>
      </c>
      <c r="J331" s="6">
        <v>126122.1013670839</v>
      </c>
      <c r="K331" s="2">
        <v>180033.14370923224</v>
      </c>
      <c r="L331" s="2">
        <v>229004.80209650958</v>
      </c>
      <c r="M331" s="2">
        <v>203047.91170052765</v>
      </c>
      <c r="N331" s="3">
        <f t="shared" si="26"/>
        <v>258003.04533826443</v>
      </c>
      <c r="O331" s="5">
        <f t="shared" si="27"/>
        <v>126702.48563146451</v>
      </c>
      <c r="Q331" s="3">
        <f t="shared" si="28"/>
        <v>258003.04533826443</v>
      </c>
      <c r="S331" s="3">
        <f t="shared" si="29"/>
        <v>126702.48563146451</v>
      </c>
    </row>
    <row r="332" spans="1:19">
      <c r="A332">
        <v>330</v>
      </c>
      <c r="B332" s="2">
        <v>149.42427281845536</v>
      </c>
      <c r="C332" s="2">
        <v>74.712136409227682</v>
      </c>
      <c r="D332" s="2">
        <v>73.332858981055892</v>
      </c>
      <c r="E332" s="2">
        <v>104.67907683459289</v>
      </c>
      <c r="F332" s="2">
        <v>133.1533226618981</v>
      </c>
      <c r="G332" s="2">
        <v>118.06086097308524</v>
      </c>
      <c r="H332" s="2">
        <f t="shared" si="25"/>
        <v>330</v>
      </c>
      <c r="I332" s="4">
        <v>257137.94953924051</v>
      </c>
      <c r="J332" s="6">
        <v>126195.43422606496</v>
      </c>
      <c r="K332" s="2">
        <v>180137.82278606683</v>
      </c>
      <c r="L332" s="2">
        <v>229137.95541917149</v>
      </c>
      <c r="M332" s="2">
        <v>203165.97256150073</v>
      </c>
      <c r="N332" s="3">
        <f t="shared" si="26"/>
        <v>258155.38331200546</v>
      </c>
      <c r="O332" s="5">
        <f t="shared" si="27"/>
        <v>126777.29715124228</v>
      </c>
      <c r="Q332" s="3">
        <f t="shared" si="28"/>
        <v>258155.38331200546</v>
      </c>
      <c r="S332" s="3">
        <f t="shared" si="29"/>
        <v>126777.29715124228</v>
      </c>
    </row>
    <row r="333" spans="1:19">
      <c r="A333">
        <v>331</v>
      </c>
      <c r="B333" s="2">
        <v>148.976</v>
      </c>
      <c r="C333" s="2">
        <v>74.488</v>
      </c>
      <c r="D333" s="2">
        <v>73.112860404112752</v>
      </c>
      <c r="E333" s="2">
        <v>104.36503960408919</v>
      </c>
      <c r="F333" s="2">
        <v>132.75386269391245</v>
      </c>
      <c r="G333" s="2">
        <v>117.70667839016608</v>
      </c>
      <c r="H333" s="2">
        <f t="shared" si="25"/>
        <v>331</v>
      </c>
      <c r="I333" s="4">
        <v>257286.9255392405</v>
      </c>
      <c r="J333" s="6">
        <v>126268.54708646907</v>
      </c>
      <c r="K333" s="2">
        <v>180242.1878256709</v>
      </c>
      <c r="L333" s="2">
        <v>229270.70928186539</v>
      </c>
      <c r="M333" s="2">
        <v>203283.67923989089</v>
      </c>
      <c r="N333" s="3">
        <f t="shared" si="26"/>
        <v>258307.26312573519</v>
      </c>
      <c r="O333" s="5">
        <f t="shared" si="27"/>
        <v>126851.88367362837</v>
      </c>
      <c r="Q333" s="3">
        <f t="shared" si="28"/>
        <v>258307.26312573519</v>
      </c>
      <c r="S333" s="3">
        <f t="shared" si="29"/>
        <v>126851.88367362837</v>
      </c>
    </row>
    <row r="334" spans="1:19">
      <c r="A334">
        <v>332</v>
      </c>
      <c r="B334" s="2">
        <v>148.53040877367897</v>
      </c>
      <c r="C334" s="2">
        <v>74.265204386839486</v>
      </c>
      <c r="D334" s="2">
        <v>72.894177870501224</v>
      </c>
      <c r="E334" s="2">
        <v>104.05288096120553</v>
      </c>
      <c r="F334" s="2">
        <v>132.35679231696153</v>
      </c>
      <c r="G334" s="2">
        <v>117.35461454652645</v>
      </c>
      <c r="H334" s="2">
        <f t="shared" si="25"/>
        <v>332</v>
      </c>
      <c r="I334" s="4">
        <v>257435.45594801419</v>
      </c>
      <c r="J334" s="6">
        <v>126341.44126433958</v>
      </c>
      <c r="K334" s="2">
        <v>180346.24070663212</v>
      </c>
      <c r="L334" s="2">
        <v>229403.06607418237</v>
      </c>
      <c r="M334" s="2">
        <v>203401.03385443741</v>
      </c>
      <c r="N334" s="3">
        <f t="shared" si="26"/>
        <v>258458.68752704616</v>
      </c>
      <c r="O334" s="5">
        <f t="shared" si="27"/>
        <v>126926.24654793553</v>
      </c>
      <c r="Q334" s="3">
        <f t="shared" si="28"/>
        <v>258458.68752704616</v>
      </c>
      <c r="S334" s="3">
        <f t="shared" si="29"/>
        <v>126926.24654793553</v>
      </c>
    </row>
    <row r="335" spans="1:19">
      <c r="A335">
        <v>333</v>
      </c>
      <c r="B335" s="2">
        <v>148.08747514910539</v>
      </c>
      <c r="C335" s="2">
        <v>74.043737574552694</v>
      </c>
      <c r="D335" s="2">
        <v>72.676799606473821</v>
      </c>
      <c r="E335" s="2">
        <v>103.74258409949215</v>
      </c>
      <c r="F335" s="2">
        <v>131.96209015299442</v>
      </c>
      <c r="G335" s="2">
        <v>117.00465048724254</v>
      </c>
      <c r="H335" s="2">
        <f t="shared" si="25"/>
        <v>333</v>
      </c>
      <c r="I335" s="4">
        <v>257583.5434231633</v>
      </c>
      <c r="J335" s="6">
        <v>126414.11806394605</v>
      </c>
      <c r="K335" s="2">
        <v>180449.98329073162</v>
      </c>
      <c r="L335" s="2">
        <v>229535.02816433535</v>
      </c>
      <c r="M335" s="2">
        <v>203518.03850492465</v>
      </c>
      <c r="N335" s="3">
        <f t="shared" si="26"/>
        <v>258609.65923888859</v>
      </c>
      <c r="O335" s="5">
        <f t="shared" si="27"/>
        <v>127000.38711137499</v>
      </c>
      <c r="Q335" s="3">
        <f t="shared" si="28"/>
        <v>258609.65923888859</v>
      </c>
      <c r="S335" s="3">
        <f t="shared" si="29"/>
        <v>127000.38711137499</v>
      </c>
    </row>
    <row r="336" spans="1:19">
      <c r="A336">
        <v>334</v>
      </c>
      <c r="B336" s="2">
        <v>147.64717542120914</v>
      </c>
      <c r="C336" s="2">
        <v>73.823587710604571</v>
      </c>
      <c r="D336" s="2">
        <v>72.460713978307965</v>
      </c>
      <c r="E336" s="2">
        <v>103.43413241237775</v>
      </c>
      <c r="F336" s="2">
        <v>131.56973507820854</v>
      </c>
      <c r="G336" s="2">
        <v>116.65676748282068</v>
      </c>
      <c r="H336" s="2">
        <f t="shared" si="25"/>
        <v>334</v>
      </c>
      <c r="I336" s="4">
        <v>257731.19059858451</v>
      </c>
      <c r="J336" s="6">
        <v>126486.57877792435</v>
      </c>
      <c r="K336" s="2">
        <v>180553.41742314398</v>
      </c>
      <c r="L336" s="2">
        <v>229666.59789941355</v>
      </c>
      <c r="M336" s="2">
        <v>203634.69527240747</v>
      </c>
      <c r="N336" s="3">
        <f t="shared" si="26"/>
        <v>258760.18095986458</v>
      </c>
      <c r="O336" s="5">
        <f t="shared" si="27"/>
        <v>127074.30668920082</v>
      </c>
      <c r="Q336" s="3">
        <f t="shared" si="28"/>
        <v>258760.18095986458</v>
      </c>
      <c r="S336" s="3">
        <f t="shared" si="29"/>
        <v>127074.30668920082</v>
      </c>
    </row>
    <row r="337" spans="1:19">
      <c r="A337">
        <v>335</v>
      </c>
      <c r="B337" s="2">
        <v>147.20948616600791</v>
      </c>
      <c r="C337" s="2">
        <v>73.604743083003953</v>
      </c>
      <c r="D337" s="2">
        <v>72.245909490229963</v>
      </c>
      <c r="E337" s="2">
        <v>103.12750949020668</v>
      </c>
      <c r="F337" s="2">
        <v>131.17970621928103</v>
      </c>
      <c r="G337" s="2">
        <v>116.31094702585578</v>
      </c>
      <c r="H337" s="2">
        <f t="shared" si="25"/>
        <v>335</v>
      </c>
      <c r="I337" s="4">
        <v>257878.40008475052</v>
      </c>
      <c r="J337" s="6">
        <v>126558.82468741458</v>
      </c>
      <c r="K337" s="2">
        <v>180656.54493263419</v>
      </c>
      <c r="L337" s="2">
        <v>229797.77760563284</v>
      </c>
      <c r="M337" s="2">
        <v>203751.00621943333</v>
      </c>
      <c r="N337" s="3">
        <f t="shared" si="26"/>
        <v>258910.25536451701</v>
      </c>
      <c r="O337" s="5">
        <f t="shared" si="27"/>
        <v>127148.00659485192</v>
      </c>
      <c r="Q337" s="3">
        <f t="shared" si="28"/>
        <v>258910.25536451701</v>
      </c>
      <c r="S337" s="3">
        <f t="shared" si="29"/>
        <v>127148.00659485192</v>
      </c>
    </row>
    <row r="338" spans="1:19">
      <c r="A338">
        <v>336</v>
      </c>
      <c r="B338" s="2">
        <v>146.77438423645319</v>
      </c>
      <c r="C338" s="2">
        <v>73.387192118226594</v>
      </c>
      <c r="D338" s="2">
        <v>72.03237478237709</v>
      </c>
      <c r="E338" s="2">
        <v>102.82269911732922</v>
      </c>
      <c r="F338" s="2">
        <v>130.79198294966741</v>
      </c>
      <c r="G338" s="2">
        <v>115.96717082774981</v>
      </c>
      <c r="H338" s="2">
        <f t="shared" si="25"/>
        <v>336</v>
      </c>
      <c r="I338" s="4">
        <v>258025.17446898698</v>
      </c>
      <c r="J338" s="6">
        <v>126630.85706219696</v>
      </c>
      <c r="K338" s="2">
        <v>180759.36763175152</v>
      </c>
      <c r="L338" s="2">
        <v>229928.5695885825</v>
      </c>
      <c r="M338" s="2">
        <v>203866.97339026109</v>
      </c>
      <c r="N338" s="3">
        <f t="shared" si="26"/>
        <v>259059.8851036152</v>
      </c>
      <c r="O338" s="5">
        <f t="shared" si="27"/>
        <v>127221.48813009223</v>
      </c>
      <c r="Q338" s="3">
        <f t="shared" si="28"/>
        <v>259059.8851036152</v>
      </c>
      <c r="S338" s="3">
        <f t="shared" si="29"/>
        <v>127221.48813009223</v>
      </c>
    </row>
    <row r="339" spans="1:19">
      <c r="A339">
        <v>337</v>
      </c>
      <c r="B339" s="2">
        <v>146.34184675834973</v>
      </c>
      <c r="C339" s="2">
        <v>73.170923379174866</v>
      </c>
      <c r="D339" s="2">
        <v>71.820098628794469</v>
      </c>
      <c r="E339" s="2">
        <v>102.51968526924283</v>
      </c>
      <c r="F339" s="2">
        <v>130.40654488596508</v>
      </c>
      <c r="G339" s="2">
        <v>115.62542081548733</v>
      </c>
      <c r="H339" s="2">
        <f t="shared" si="25"/>
        <v>337</v>
      </c>
      <c r="I339" s="4">
        <v>258171.51631574534</v>
      </c>
      <c r="J339" s="6">
        <v>126702.67716082575</v>
      </c>
      <c r="K339" s="2">
        <v>180861.88731702077</v>
      </c>
      <c r="L339" s="2">
        <v>230058.97613346847</v>
      </c>
      <c r="M339" s="2">
        <v>203982.59881107658</v>
      </c>
      <c r="N339" s="3">
        <f t="shared" si="26"/>
        <v>259209.07280443548</v>
      </c>
      <c r="O339" s="5">
        <f t="shared" si="27"/>
        <v>127294.75258514851</v>
      </c>
      <c r="Q339" s="3">
        <f t="shared" si="28"/>
        <v>259209.07280443548</v>
      </c>
      <c r="S339" s="3">
        <f t="shared" si="29"/>
        <v>127294.75258514851</v>
      </c>
    </row>
    <row r="340" spans="1:19">
      <c r="A340">
        <v>338</v>
      </c>
      <c r="B340" s="2">
        <v>145.91185112634673</v>
      </c>
      <c r="C340" s="2">
        <v>72.955925563173366</v>
      </c>
      <c r="D340" s="2">
        <v>71.609069935467858</v>
      </c>
      <c r="E340" s="2">
        <v>102.21845210978366</v>
      </c>
      <c r="F340" s="2">
        <v>130.02337188434126</v>
      </c>
      <c r="G340" s="2">
        <v>115.28567912846819</v>
      </c>
      <c r="H340" s="2">
        <f t="shared" si="25"/>
        <v>338</v>
      </c>
      <c r="I340" s="4">
        <v>258317.42816687169</v>
      </c>
      <c r="J340" s="6">
        <v>126774.28623076122</v>
      </c>
      <c r="K340" s="2">
        <v>180964.10576913055</v>
      </c>
      <c r="L340" s="2">
        <v>230188.99950535281</v>
      </c>
      <c r="M340" s="2">
        <v>204097.88449020503</v>
      </c>
      <c r="N340" s="3">
        <f t="shared" si="26"/>
        <v>259357.82107103823</v>
      </c>
      <c r="O340" s="5">
        <f t="shared" si="27"/>
        <v>127367.8012388465</v>
      </c>
      <c r="Q340" s="3">
        <f t="shared" si="28"/>
        <v>259357.82107103823</v>
      </c>
      <c r="S340" s="3">
        <f t="shared" si="29"/>
        <v>127367.8012388465</v>
      </c>
    </row>
    <row r="341" spans="1:19">
      <c r="A341">
        <v>339</v>
      </c>
      <c r="B341" s="2">
        <v>145.48437500000003</v>
      </c>
      <c r="C341" s="2">
        <v>72.742187500000014</v>
      </c>
      <c r="D341" s="2">
        <v>71.399277738391362</v>
      </c>
      <c r="E341" s="2">
        <v>101.91898398836828</v>
      </c>
      <c r="F341" s="2">
        <v>129.64244403702384</v>
      </c>
      <c r="G341" s="2">
        <v>114.94792811539652</v>
      </c>
      <c r="H341" s="2">
        <f t="shared" si="25"/>
        <v>339</v>
      </c>
      <c r="I341" s="4">
        <v>258462.91254187169</v>
      </c>
      <c r="J341" s="6">
        <v>126845.68550849962</v>
      </c>
      <c r="K341" s="2">
        <v>181066.02475311892</v>
      </c>
      <c r="L341" s="2">
        <v>230318.64194938983</v>
      </c>
      <c r="M341" s="2">
        <v>204212.83241832044</v>
      </c>
      <c r="N341" s="3">
        <f t="shared" si="26"/>
        <v>259506.13248454037</v>
      </c>
      <c r="O341" s="5">
        <f t="shared" si="27"/>
        <v>127440.63535874458</v>
      </c>
      <c r="Q341" s="3">
        <f t="shared" si="28"/>
        <v>259506.13248454037</v>
      </c>
      <c r="S341" s="3">
        <f t="shared" si="29"/>
        <v>127440.63535874458</v>
      </c>
    </row>
    <row r="342" spans="1:19">
      <c r="A342">
        <v>340</v>
      </c>
      <c r="B342" s="2">
        <v>145.05939629990263</v>
      </c>
      <c r="C342" s="2">
        <v>72.529698149951315</v>
      </c>
      <c r="D342" s="2">
        <v>71.190711201667639</v>
      </c>
      <c r="E342" s="2">
        <v>101.62126543728246</v>
      </c>
      <c r="F342" s="2">
        <v>129.26374166885327</v>
      </c>
      <c r="G342" s="2">
        <v>114.61215033122296</v>
      </c>
      <c r="H342" s="2">
        <f t="shared" si="25"/>
        <v>340</v>
      </c>
      <c r="I342" s="4">
        <v>258607.9719381716</v>
      </c>
      <c r="J342" s="6">
        <v>126916.87621970128</v>
      </c>
      <c r="K342" s="2">
        <v>181167.6460185562</v>
      </c>
      <c r="L342" s="2">
        <v>230447.9056910587</v>
      </c>
      <c r="M342" s="2">
        <v>204327.44456865167</v>
      </c>
      <c r="N342" s="3">
        <f t="shared" si="26"/>
        <v>259654.00960338433</v>
      </c>
      <c r="O342" s="5">
        <f t="shared" si="27"/>
        <v>127513.25620126598</v>
      </c>
      <c r="Q342" s="3">
        <f t="shared" si="28"/>
        <v>259654.00960338433</v>
      </c>
      <c r="S342" s="3">
        <f t="shared" si="29"/>
        <v>127513.25620126598</v>
      </c>
    </row>
    <row r="343" spans="1:19">
      <c r="A343">
        <v>341</v>
      </c>
      <c r="B343" s="2">
        <v>144.63689320388352</v>
      </c>
      <c r="C343" s="2">
        <v>72.318446601941758</v>
      </c>
      <c r="D343" s="2">
        <v>70.983359615643408</v>
      </c>
      <c r="E343" s="2">
        <v>101.32528116901858</v>
      </c>
      <c r="F343" s="2">
        <v>128.88724533389555</v>
      </c>
      <c r="G343" s="2">
        <v>114.27832853414178</v>
      </c>
      <c r="H343" s="2">
        <f t="shared" si="25"/>
        <v>341</v>
      </c>
      <c r="I343" s="4">
        <v>258752.60883137549</v>
      </c>
      <c r="J343" s="6">
        <v>126987.85957931692</v>
      </c>
      <c r="K343" s="2">
        <v>181268.97129972524</v>
      </c>
      <c r="L343" s="2">
        <v>230576.79293639259</v>
      </c>
      <c r="M343" s="2">
        <v>204441.7228971858</v>
      </c>
      <c r="N343" s="3">
        <f t="shared" si="26"/>
        <v>259801.45496360274</v>
      </c>
      <c r="O343" s="5">
        <f t="shared" si="27"/>
        <v>127585.66501182868</v>
      </c>
      <c r="Q343" s="3">
        <f t="shared" si="28"/>
        <v>259801.45496360274</v>
      </c>
      <c r="S343" s="3">
        <f t="shared" si="29"/>
        <v>127585.66501182868</v>
      </c>
    </row>
    <row r="344" spans="1:19">
      <c r="A344">
        <v>342</v>
      </c>
      <c r="B344" s="2">
        <v>144.21684414327203</v>
      </c>
      <c r="C344" s="2">
        <v>72.108422071636014</v>
      </c>
      <c r="D344" s="2">
        <v>70.777212395075196</v>
      </c>
      <c r="E344" s="2">
        <v>101.03101607365835</v>
      </c>
      <c r="F344" s="2">
        <v>128.51293581211269</v>
      </c>
      <c r="G344" s="2">
        <v>113.94644568263891</v>
      </c>
      <c r="H344" s="2">
        <f t="shared" si="25"/>
        <v>342</v>
      </c>
      <c r="I344" s="4">
        <v>258896.82567551875</v>
      </c>
      <c r="J344" s="6">
        <v>127058.63679171199</v>
      </c>
      <c r="K344" s="2">
        <v>181370.00231579889</v>
      </c>
      <c r="L344" s="2">
        <v>230705.30587220471</v>
      </c>
      <c r="M344" s="2">
        <v>204555.66934286844</v>
      </c>
      <c r="N344" s="3">
        <f t="shared" si="26"/>
        <v>259948.47107907938</v>
      </c>
      <c r="O344" s="5">
        <f t="shared" si="27"/>
        <v>127657.86302497363</v>
      </c>
      <c r="Q344" s="3">
        <f t="shared" si="28"/>
        <v>259948.47107907938</v>
      </c>
      <c r="S344" s="3">
        <f t="shared" si="29"/>
        <v>127657.86302497363</v>
      </c>
    </row>
    <row r="345" spans="1:19">
      <c r="A345">
        <v>343</v>
      </c>
      <c r="B345" s="2">
        <v>143.79922779922782</v>
      </c>
      <c r="C345" s="2">
        <v>71.899613899613911</v>
      </c>
      <c r="D345" s="2">
        <v>70.572259077328809</v>
      </c>
      <c r="E345" s="2">
        <v>100.73845521630227</v>
      </c>
      <c r="F345" s="2">
        <v>128.14079410609307</v>
      </c>
      <c r="G345" s="2">
        <v>113.61648493259271</v>
      </c>
      <c r="H345" s="2">
        <f t="shared" si="25"/>
        <v>343</v>
      </c>
      <c r="I345" s="4">
        <v>259040.62490331798</v>
      </c>
      <c r="J345" s="6">
        <v>127129.20905078932</v>
      </c>
      <c r="K345" s="2">
        <v>181470.7407710152</v>
      </c>
      <c r="L345" s="2">
        <v>230833.4466663108</v>
      </c>
      <c r="M345" s="2">
        <v>204669.28582780104</v>
      </c>
      <c r="N345" s="3">
        <f t="shared" si="26"/>
        <v>260095.06044180645</v>
      </c>
      <c r="O345" s="5">
        <f t="shared" si="27"/>
        <v>127729.85146449109</v>
      </c>
      <c r="Q345" s="3">
        <f t="shared" si="28"/>
        <v>260095.06044180645</v>
      </c>
      <c r="S345" s="3">
        <f t="shared" si="29"/>
        <v>127729.85146449109</v>
      </c>
    </row>
    <row r="346" spans="1:19">
      <c r="A346">
        <v>344</v>
      </c>
      <c r="B346" s="2">
        <v>143.3840230991338</v>
      </c>
      <c r="C346" s="2">
        <v>71.692011549566899</v>
      </c>
      <c r="D346" s="2">
        <v>70.368489320608987</v>
      </c>
      <c r="E346" s="2">
        <v>100.44758383454207</v>
      </c>
      <c r="F346" s="2">
        <v>127.77080143783681</v>
      </c>
      <c r="G346" s="2">
        <v>113.28842963442357</v>
      </c>
      <c r="H346" s="2">
        <f t="shared" si="25"/>
        <v>344</v>
      </c>
      <c r="I346" s="4">
        <v>259184.00892641713</v>
      </c>
      <c r="J346" s="6">
        <v>127199.57754010992</v>
      </c>
      <c r="K346" s="2">
        <v>181571.18835484976</v>
      </c>
      <c r="L346" s="2">
        <v>230961.21746774865</v>
      </c>
      <c r="M346" s="2">
        <v>204782.57425743545</v>
      </c>
      <c r="N346" s="3">
        <f t="shared" si="26"/>
        <v>260241.22552213786</v>
      </c>
      <c r="O346" s="5">
        <f t="shared" si="27"/>
        <v>127801.63154354492</v>
      </c>
      <c r="Q346" s="3">
        <f t="shared" si="28"/>
        <v>260241.22552213786</v>
      </c>
      <c r="S346" s="3">
        <f t="shared" si="29"/>
        <v>127801.63154354492</v>
      </c>
    </row>
    <row r="347" spans="1:19">
      <c r="A347">
        <v>345</v>
      </c>
      <c r="B347" s="2">
        <v>142.97120921305182</v>
      </c>
      <c r="C347" s="2">
        <v>71.485604606525911</v>
      </c>
      <c r="D347" s="2">
        <v>70.165892902219468</v>
      </c>
      <c r="E347" s="2">
        <v>100.15838733597802</v>
      </c>
      <c r="F347" s="2">
        <v>127.40293924559732</v>
      </c>
      <c r="G347" s="2">
        <v>112.96226333029367</v>
      </c>
      <c r="H347" s="2">
        <f t="shared" si="25"/>
        <v>345</v>
      </c>
      <c r="I347" s="4">
        <v>259326.98013563018</v>
      </c>
      <c r="J347" s="6">
        <v>127269.74343301215</v>
      </c>
      <c r="K347" s="2">
        <v>181671.34674218573</v>
      </c>
      <c r="L347" s="2">
        <v>231088.62040699425</v>
      </c>
      <c r="M347" s="2">
        <v>204895.53652076575</v>
      </c>
      <c r="N347" s="3">
        <f t="shared" si="26"/>
        <v>260386.96876903914</v>
      </c>
      <c r="O347" s="5">
        <f t="shared" si="27"/>
        <v>127873.20446479546</v>
      </c>
      <c r="Q347" s="3">
        <f t="shared" si="28"/>
        <v>260386.96876903914</v>
      </c>
      <c r="S347" s="3">
        <f t="shared" si="29"/>
        <v>127873.20446479546</v>
      </c>
    </row>
    <row r="348" spans="1:19">
      <c r="A348">
        <v>346</v>
      </c>
      <c r="B348" s="2">
        <v>142.56076555023924</v>
      </c>
      <c r="C348" s="2">
        <v>71.28038277511962</v>
      </c>
      <c r="D348" s="2">
        <v>69.964459716854307</v>
      </c>
      <c r="E348" s="2">
        <v>99.870851295779147</v>
      </c>
      <c r="F348" s="2">
        <v>127.03718918077747</v>
      </c>
      <c r="G348" s="2">
        <v>112.63796975135512</v>
      </c>
      <c r="H348" s="2">
        <f t="shared" si="25"/>
        <v>346</v>
      </c>
      <c r="I348" s="4">
        <v>259469.54090118041</v>
      </c>
      <c r="J348" s="6">
        <v>127339.707892729</v>
      </c>
      <c r="K348" s="2">
        <v>181771.2175934815</v>
      </c>
      <c r="L348" s="2">
        <v>231215.65759617503</v>
      </c>
      <c r="M348" s="2">
        <v>205008.17449051709</v>
      </c>
      <c r="N348" s="3">
        <f t="shared" si="26"/>
        <v>260532.29261033371</v>
      </c>
      <c r="O348" s="5">
        <f t="shared" si="27"/>
        <v>127944.57142052033</v>
      </c>
      <c r="Q348" s="3">
        <f t="shared" si="28"/>
        <v>260532.29261033371</v>
      </c>
      <c r="S348" s="3">
        <f t="shared" si="29"/>
        <v>127944.57142052033</v>
      </c>
    </row>
    <row r="349" spans="1:19">
      <c r="A349">
        <v>347</v>
      </c>
      <c r="B349" s="2">
        <v>142.15267175572521</v>
      </c>
      <c r="C349" s="2">
        <v>71.076335877862604</v>
      </c>
      <c r="D349" s="2">
        <v>69.764179774916641</v>
      </c>
      <c r="E349" s="2">
        <v>99.584961454283516</v>
      </c>
      <c r="F349" s="2">
        <v>126.67353310487823</v>
      </c>
      <c r="G349" s="2">
        <v>112.31553281504391</v>
      </c>
      <c r="H349" s="2">
        <f t="shared" si="25"/>
        <v>347</v>
      </c>
      <c r="I349" s="4">
        <v>259611.69357293614</v>
      </c>
      <c r="J349" s="6">
        <v>127409.47207250392</v>
      </c>
      <c r="K349" s="2">
        <v>181870.8025549358</v>
      </c>
      <c r="L349" s="2">
        <v>231342.33112927992</v>
      </c>
      <c r="M349" s="2">
        <v>205120.49002333212</v>
      </c>
      <c r="N349" s="3">
        <f t="shared" si="26"/>
        <v>260677.19945294532</v>
      </c>
      <c r="O349" s="5">
        <f t="shared" si="27"/>
        <v>128015.73359273354</v>
      </c>
      <c r="Q349" s="3">
        <f t="shared" si="28"/>
        <v>260677.19945294532</v>
      </c>
      <c r="S349" s="3">
        <f t="shared" si="29"/>
        <v>128015.73359273354</v>
      </c>
    </row>
    <row r="350" spans="1:19">
      <c r="A350">
        <v>348</v>
      </c>
      <c r="B350" s="2">
        <v>141.74690770694576</v>
      </c>
      <c r="C350" s="2">
        <v>70.873453853472881</v>
      </c>
      <c r="D350" s="2">
        <v>69.565043200868445</v>
      </c>
      <c r="E350" s="2">
        <v>99.300703714642367</v>
      </c>
      <c r="F350" s="2">
        <v>126.31195308650086</v>
      </c>
      <c r="G350" s="2">
        <v>111.99493662242249</v>
      </c>
      <c r="H350" s="2">
        <f t="shared" si="25"/>
        <v>348</v>
      </c>
      <c r="I350" s="4">
        <v>259753.4404806431</v>
      </c>
      <c r="J350" s="6">
        <v>127479.03711570479</v>
      </c>
      <c r="K350" s="2">
        <v>181970.10325865043</v>
      </c>
      <c r="L350" s="2">
        <v>231468.64308236641</v>
      </c>
      <c r="M350" s="2">
        <v>205232.48495995454</v>
      </c>
      <c r="N350" s="3">
        <f t="shared" si="26"/>
        <v>260821.69168313747</v>
      </c>
      <c r="O350" s="5">
        <f t="shared" si="27"/>
        <v>128086.69215330316</v>
      </c>
      <c r="Q350" s="3">
        <f t="shared" si="28"/>
        <v>260821.69168313747</v>
      </c>
      <c r="S350" s="3">
        <f t="shared" si="29"/>
        <v>128086.69215330316</v>
      </c>
    </row>
    <row r="351" spans="1:19">
      <c r="A351">
        <v>349</v>
      </c>
      <c r="B351" s="2">
        <v>141.34345351043643</v>
      </c>
      <c r="C351" s="2">
        <v>70.671726755218216</v>
      </c>
      <c r="D351" s="2">
        <v>69.367040231605927</v>
      </c>
      <c r="E351" s="2">
        <v>99.018064140501934</v>
      </c>
      <c r="F351" s="2">
        <v>125.95243139839883</v>
      </c>
      <c r="G351" s="2">
        <v>111.67616545556544</v>
      </c>
      <c r="H351" s="2">
        <f t="shared" si="25"/>
        <v>349</v>
      </c>
      <c r="I351" s="4">
        <v>259894.78393415353</v>
      </c>
      <c r="J351" s="6">
        <v>127548.4041559364</v>
      </c>
      <c r="K351" s="2">
        <v>182069.12132279092</v>
      </c>
      <c r="L351" s="2">
        <v>231594.5955137648</v>
      </c>
      <c r="M351" s="2">
        <v>205344.16112541012</v>
      </c>
      <c r="N351" s="3">
        <f t="shared" si="26"/>
        <v>260965.771666749</v>
      </c>
      <c r="O351" s="5">
        <f t="shared" si="27"/>
        <v>128157.44826406684</v>
      </c>
      <c r="Q351" s="3">
        <f t="shared" si="28"/>
        <v>260965.771666749</v>
      </c>
      <c r="S351" s="3">
        <f t="shared" si="29"/>
        <v>128157.44826406684</v>
      </c>
    </row>
    <row r="352" spans="1:19">
      <c r="A352">
        <v>350</v>
      </c>
      <c r="B352" s="2">
        <v>140.94228949858089</v>
      </c>
      <c r="C352" s="2">
        <v>70.471144749290445</v>
      </c>
      <c r="D352" s="2">
        <v>69.170161214865331</v>
      </c>
      <c r="E352" s="2">
        <v>98.737028953726664</v>
      </c>
      <c r="F352" s="2">
        <v>125.5949505145812</v>
      </c>
      <c r="G352" s="2">
        <v>111.35920377499146</v>
      </c>
      <c r="H352" s="2">
        <f t="shared" si="25"/>
        <v>350</v>
      </c>
      <c r="I352" s="4">
        <v>260035.72622365211</v>
      </c>
      <c r="J352" s="6">
        <v>127617.57431715126</v>
      </c>
      <c r="K352" s="2">
        <v>182167.85835174465</v>
      </c>
      <c r="L352" s="2">
        <v>231720.19046427938</v>
      </c>
      <c r="M352" s="2">
        <v>205455.52032918512</v>
      </c>
      <c r="N352" s="3">
        <f t="shared" si="26"/>
        <v>261109.44174942665</v>
      </c>
      <c r="O352" s="5">
        <f t="shared" si="27"/>
        <v>128228.00307694616</v>
      </c>
      <c r="Q352" s="3">
        <f t="shared" si="28"/>
        <v>261109.44174942665</v>
      </c>
      <c r="S352" s="3">
        <f t="shared" si="29"/>
        <v>128228.00307694616</v>
      </c>
    </row>
    <row r="353" spans="1:19">
      <c r="A353">
        <v>351</v>
      </c>
      <c r="B353" s="2">
        <v>140.5433962264151</v>
      </c>
      <c r="C353" s="2">
        <v>70.271698113207549</v>
      </c>
      <c r="D353" s="2">
        <v>68.974396607653418</v>
      </c>
      <c r="E353" s="2">
        <v>98.457584532159487</v>
      </c>
      <c r="F353" s="2">
        <v>125.23949310746445</v>
      </c>
      <c r="G353" s="2">
        <v>111.04403621713769</v>
      </c>
      <c r="H353" s="2">
        <f t="shared" si="25"/>
        <v>351</v>
      </c>
      <c r="I353" s="4">
        <v>260176.26961987853</v>
      </c>
      <c r="J353" s="6">
        <v>127686.54871375891</v>
      </c>
      <c r="K353" s="2">
        <v>182266.31593627681</v>
      </c>
      <c r="L353" s="2">
        <v>231845.42995738683</v>
      </c>
      <c r="M353" s="2">
        <v>205566.56436540227</v>
      </c>
      <c r="N353" s="3">
        <f t="shared" si="26"/>
        <v>261252.70425685422</v>
      </c>
      <c r="O353" s="5">
        <f t="shared" si="27"/>
        <v>128298.35773405911</v>
      </c>
      <c r="Q353" s="3">
        <f t="shared" si="28"/>
        <v>261252.70425685422</v>
      </c>
      <c r="S353" s="3">
        <f t="shared" si="29"/>
        <v>128298.35773405911</v>
      </c>
    </row>
    <row r="354" spans="1:19">
      <c r="A354">
        <v>352</v>
      </c>
      <c r="B354" s="2">
        <v>140.14675446848543</v>
      </c>
      <c r="C354" s="2">
        <v>70.073377234242713</v>
      </c>
      <c r="D354" s="2">
        <v>68.779736974706211</v>
      </c>
      <c r="E354" s="2">
        <v>98.179717407421634</v>
      </c>
      <c r="F354" s="2">
        <v>124.88604204507287</v>
      </c>
      <c r="G354" s="2">
        <v>110.73064759187778</v>
      </c>
      <c r="H354" s="2">
        <f t="shared" si="25"/>
        <v>352</v>
      </c>
      <c r="I354" s="4">
        <v>260316.416374347</v>
      </c>
      <c r="J354" s="6">
        <v>127755.32845073362</v>
      </c>
      <c r="K354" s="2">
        <v>182364.49565368422</v>
      </c>
      <c r="L354" s="2">
        <v>231970.31599943191</v>
      </c>
      <c r="M354" s="2">
        <v>205677.29501299415</v>
      </c>
      <c r="N354" s="3">
        <f t="shared" si="26"/>
        <v>261395.56149497835</v>
      </c>
      <c r="O354" s="5">
        <f t="shared" si="27"/>
        <v>128368.51336783095</v>
      </c>
      <c r="Q354" s="3">
        <f t="shared" si="28"/>
        <v>261395.56149497835</v>
      </c>
      <c r="S354" s="3">
        <f t="shared" si="29"/>
        <v>128368.51336783095</v>
      </c>
    </row>
    <row r="355" spans="1:19">
      <c r="A355">
        <v>353</v>
      </c>
      <c r="B355" s="2">
        <v>139.75234521575985</v>
      </c>
      <c r="C355" s="2">
        <v>69.876172607879923</v>
      </c>
      <c r="D355" s="2">
        <v>68.586172986972585</v>
      </c>
      <c r="E355" s="2">
        <v>97.903414262747859</v>
      </c>
      <c r="F355" s="2">
        <v>124.53458038828562</v>
      </c>
      <c r="G355" s="2">
        <v>110.41902288008077</v>
      </c>
      <c r="H355" s="2">
        <f t="shared" si="25"/>
        <v>353</v>
      </c>
      <c r="I355" s="4">
        <v>260456.16871956276</v>
      </c>
      <c r="J355" s="6">
        <v>127823.9146237206</v>
      </c>
      <c r="K355" s="2">
        <v>182462.39906794697</v>
      </c>
      <c r="L355" s="2">
        <v>232094.85057982019</v>
      </c>
      <c r="M355" s="2">
        <v>205787.71403587423</v>
      </c>
      <c r="N355" s="3">
        <f t="shared" si="26"/>
        <v>261538.01575023125</v>
      </c>
      <c r="O355" s="5">
        <f t="shared" si="27"/>
        <v>128438.47110110367</v>
      </c>
      <c r="Q355" s="3">
        <f t="shared" si="28"/>
        <v>261538.01575023125</v>
      </c>
      <c r="S355" s="3">
        <f t="shared" si="29"/>
        <v>128438.47110110367</v>
      </c>
    </row>
    <row r="356" spans="1:19">
      <c r="A356">
        <v>354</v>
      </c>
      <c r="B356" s="2">
        <v>139.36014967259123</v>
      </c>
      <c r="C356" s="2">
        <v>69.680074836295617</v>
      </c>
      <c r="D356" s="2">
        <v>68.393695420124104</v>
      </c>
      <c r="E356" s="2">
        <v>97.628661930859806</v>
      </c>
      <c r="F356" s="2">
        <v>124.18509138813137</v>
      </c>
      <c r="G356" s="2">
        <v>110.10914723121238</v>
      </c>
      <c r="H356" s="2">
        <f t="shared" si="25"/>
        <v>354</v>
      </c>
      <c r="I356" s="4">
        <v>260595.52886923536</v>
      </c>
      <c r="J356" s="6">
        <v>127892.30831914072</v>
      </c>
      <c r="K356" s="2">
        <v>182560.02772987782</v>
      </c>
      <c r="L356" s="2">
        <v>232219.03567120832</v>
      </c>
      <c r="M356" s="2">
        <v>205897.82318310544</v>
      </c>
      <c r="N356" s="3">
        <f t="shared" si="26"/>
        <v>261680.0692897503</v>
      </c>
      <c r="O356" s="5">
        <f t="shared" si="27"/>
        <v>128508.23204724371</v>
      </c>
      <c r="Q356" s="3">
        <f t="shared" si="28"/>
        <v>261680.0692897503</v>
      </c>
      <c r="S356" s="3">
        <f t="shared" si="29"/>
        <v>128508.23204724371</v>
      </c>
    </row>
    <row r="357" spans="1:19">
      <c r="A357">
        <v>355</v>
      </c>
      <c r="B357" s="2">
        <v>138.97014925373136</v>
      </c>
      <c r="C357" s="2">
        <v>69.485074626865682</v>
      </c>
      <c r="D357" s="2">
        <v>68.202295153090262</v>
      </c>
      <c r="E357" s="2">
        <v>97.355447391874236</v>
      </c>
      <c r="F357" s="2">
        <v>123.83755848312725</v>
      </c>
      <c r="G357" s="2">
        <v>109.80100596097581</v>
      </c>
      <c r="H357" s="2">
        <f t="shared" si="25"/>
        <v>355</v>
      </c>
      <c r="I357" s="4">
        <v>260734.49901848909</v>
      </c>
      <c r="J357" s="6">
        <v>127960.51061429382</v>
      </c>
      <c r="K357" s="2">
        <v>182657.38317726969</v>
      </c>
      <c r="L357" s="2">
        <v>232342.87322969144</v>
      </c>
      <c r="M357" s="2">
        <v>206007.62418906641</v>
      </c>
      <c r="N357" s="3">
        <f t="shared" si="26"/>
        <v>261821.7243615945</v>
      </c>
      <c r="O357" s="5">
        <f t="shared" si="27"/>
        <v>128577.7973102484</v>
      </c>
      <c r="Q357" s="3">
        <f t="shared" si="28"/>
        <v>261821.7243615945</v>
      </c>
      <c r="S357" s="3">
        <f t="shared" si="29"/>
        <v>128577.7973102484</v>
      </c>
    </row>
    <row r="358" spans="1:19">
      <c r="A358">
        <v>356</v>
      </c>
      <c r="B358" s="2">
        <v>138.58232558139534</v>
      </c>
      <c r="C358" s="2">
        <v>69.291162790697669</v>
      </c>
      <c r="D358" s="2">
        <v>68.011963166616482</v>
      </c>
      <c r="E358" s="2">
        <v>97.083757771245743</v>
      </c>
      <c r="F358" s="2">
        <v>123.49196529666273</v>
      </c>
      <c r="G358" s="2">
        <v>109.4945845489917</v>
      </c>
      <c r="H358" s="2">
        <f t="shared" si="25"/>
        <v>356</v>
      </c>
      <c r="I358" s="4">
        <v>260873.0813440705</v>
      </c>
      <c r="J358" s="6">
        <v>128028.52257746043</v>
      </c>
      <c r="K358" s="2">
        <v>182754.46693504092</v>
      </c>
      <c r="L358" s="2">
        <v>232466.36519498809</v>
      </c>
      <c r="M358" s="2">
        <v>206117.1187736154</v>
      </c>
      <c r="N358" s="3">
        <f t="shared" si="26"/>
        <v>261962.98319495813</v>
      </c>
      <c r="O358" s="5">
        <f t="shared" si="27"/>
        <v>128647.16798485072</v>
      </c>
      <c r="Q358" s="3">
        <f t="shared" si="28"/>
        <v>261962.98319495813</v>
      </c>
      <c r="S358" s="3">
        <f t="shared" si="29"/>
        <v>128647.16798485072</v>
      </c>
    </row>
    <row r="359" spans="1:19">
      <c r="A359">
        <v>357</v>
      </c>
      <c r="B359" s="2">
        <v>138.19666048237477</v>
      </c>
      <c r="C359" s="2">
        <v>69.098330241187384</v>
      </c>
      <c r="D359" s="2">
        <v>67.822690541848473</v>
      </c>
      <c r="E359" s="2">
        <v>96.813580337744995</v>
      </c>
      <c r="F359" s="2">
        <v>123.14829563442707</v>
      </c>
      <c r="G359" s="2">
        <v>109.18986863651763</v>
      </c>
      <c r="H359" s="2">
        <f t="shared" si="25"/>
        <v>357</v>
      </c>
      <c r="I359" s="4">
        <v>261011.27800455288</v>
      </c>
      <c r="J359" s="6">
        <v>128096.34526800227</v>
      </c>
      <c r="K359" s="2">
        <v>182851.28051537866</v>
      </c>
      <c r="L359" s="2">
        <v>232589.51349062251</v>
      </c>
      <c r="M359" s="2">
        <v>206226.30864225191</v>
      </c>
      <c r="N359" s="3">
        <f t="shared" si="26"/>
        <v>262103.84800038082</v>
      </c>
      <c r="O359" s="5">
        <f t="shared" si="27"/>
        <v>128716.34515662266</v>
      </c>
      <c r="Q359" s="3">
        <f t="shared" si="28"/>
        <v>262103.84800038082</v>
      </c>
      <c r="S359" s="3">
        <f t="shared" si="29"/>
        <v>128716.34515662266</v>
      </c>
    </row>
    <row r="360" spans="1:19">
      <c r="A360">
        <v>358</v>
      </c>
      <c r="B360" s="2">
        <v>137.8131359851989</v>
      </c>
      <c r="C360" s="2">
        <v>68.906567992599449</v>
      </c>
      <c r="D360" s="2">
        <v>67.634468458938571</v>
      </c>
      <c r="E360" s="2">
        <v>96.54490250147002</v>
      </c>
      <c r="F360" s="2">
        <v>122.80653348188009</v>
      </c>
      <c r="G360" s="2">
        <v>108.88684402420536</v>
      </c>
      <c r="H360" s="2">
        <f t="shared" si="25"/>
        <v>358</v>
      </c>
      <c r="I360" s="4">
        <v>261149.09114053808</v>
      </c>
      <c r="J360" s="6">
        <v>128163.97973646122</v>
      </c>
      <c r="K360" s="2">
        <v>182947.82541788014</v>
      </c>
      <c r="L360" s="2">
        <v>232712.32002410438</v>
      </c>
      <c r="M360" s="2">
        <v>206335.19548627612</v>
      </c>
      <c r="N360" s="3">
        <f t="shared" si="26"/>
        <v>262244.32096995565</v>
      </c>
      <c r="O360" s="5">
        <f t="shared" si="27"/>
        <v>128785.32990207722</v>
      </c>
      <c r="Q360" s="3">
        <f t="shared" si="28"/>
        <v>262244.32096995565</v>
      </c>
      <c r="S360" s="3">
        <f t="shared" si="29"/>
        <v>128785.32990207722</v>
      </c>
    </row>
    <row r="361" spans="1:19">
      <c r="A361">
        <v>359</v>
      </c>
      <c r="B361" s="2">
        <v>137.4317343173432</v>
      </c>
      <c r="C361" s="2">
        <v>68.7158671586716</v>
      </c>
      <c r="D361" s="2">
        <v>67.44728819567591</v>
      </c>
      <c r="E361" s="2">
        <v>96.277711811890342</v>
      </c>
      <c r="F361" s="2">
        <v>122.46666300176423</v>
      </c>
      <c r="G361" s="2">
        <v>108.58549666989487</v>
      </c>
      <c r="H361" s="2">
        <f t="shared" si="25"/>
        <v>359</v>
      </c>
      <c r="I361" s="4">
        <v>261286.52287485541</v>
      </c>
      <c r="J361" s="6">
        <v>128231.42702465689</v>
      </c>
      <c r="K361" s="2">
        <v>183044.10312969203</v>
      </c>
      <c r="L361" s="2">
        <v>232834.78668710616</v>
      </c>
      <c r="M361" s="2">
        <v>206443.78098294602</v>
      </c>
      <c r="N361" s="3">
        <f t="shared" si="26"/>
        <v>262384.40427753329</v>
      </c>
      <c r="O361" s="5">
        <f t="shared" si="27"/>
        <v>128854.12328876881</v>
      </c>
      <c r="Q361" s="3">
        <f t="shared" si="28"/>
        <v>262384.40427753329</v>
      </c>
      <c r="S361" s="3">
        <f t="shared" si="29"/>
        <v>128854.12328876881</v>
      </c>
    </row>
    <row r="362" spans="1:19">
      <c r="A362">
        <v>360</v>
      </c>
      <c r="B362" s="2">
        <v>137.05243790248389</v>
      </c>
      <c r="C362" s="2">
        <v>68.526218951241944</v>
      </c>
      <c r="D362" s="2">
        <v>67.261141126138597</v>
      </c>
      <c r="E362" s="2">
        <v>96.011995955923737</v>
      </c>
      <c r="F362" s="2">
        <v>122.12866853165808</v>
      </c>
      <c r="G362" s="2">
        <v>108.28581268644524</v>
      </c>
      <c r="H362" s="2">
        <f t="shared" si="25"/>
        <v>360</v>
      </c>
      <c r="I362" s="4">
        <v>261423.57531275789</v>
      </c>
      <c r="J362" s="6">
        <v>128298.68816578302</v>
      </c>
      <c r="K362" s="2">
        <v>183140.11512564795</v>
      </c>
      <c r="L362" s="2">
        <v>232956.91535563782</v>
      </c>
      <c r="M362" s="2">
        <v>206552.06679563248</v>
      </c>
      <c r="N362" s="3">
        <f t="shared" si="26"/>
        <v>262524.10007892421</v>
      </c>
      <c r="O362" s="5">
        <f t="shared" si="27"/>
        <v>128922.72637539249</v>
      </c>
      <c r="Q362" s="3">
        <f t="shared" si="28"/>
        <v>262524.10007892421</v>
      </c>
      <c r="S362" s="3">
        <f t="shared" si="29"/>
        <v>128922.72637539249</v>
      </c>
    </row>
    <row r="363" spans="1:19">
      <c r="B363" s="2"/>
      <c r="C363" s="2"/>
      <c r="D363" s="2"/>
      <c r="E363" s="2"/>
      <c r="F363" s="2"/>
      <c r="G363" s="2"/>
      <c r="H363" s="2"/>
      <c r="I363" s="4"/>
      <c r="J363" s="6"/>
      <c r="K363" s="2"/>
      <c r="L363" s="2"/>
      <c r="M363" s="2"/>
    </row>
    <row r="364" spans="1:19">
      <c r="B364" s="2"/>
      <c r="C364" s="2"/>
      <c r="D364" s="2"/>
      <c r="E364" s="2"/>
      <c r="F364" s="2"/>
      <c r="G364" s="2"/>
      <c r="H364" s="2"/>
      <c r="I364" s="4"/>
      <c r="J364" s="6"/>
      <c r="K364" s="2"/>
      <c r="L364" s="2"/>
      <c r="M364" s="2"/>
    </row>
    <row r="365" spans="1:19">
      <c r="B365" s="2"/>
      <c r="C365" s="2"/>
      <c r="D365" s="2"/>
      <c r="E365" s="2"/>
      <c r="F365" s="2"/>
      <c r="G365" s="2"/>
      <c r="H365" s="2"/>
      <c r="I365" s="4"/>
      <c r="J365" s="6"/>
      <c r="K365" s="2"/>
      <c r="L365" s="2"/>
      <c r="M365" s="2"/>
    </row>
    <row r="366" spans="1:19">
      <c r="B366" s="2"/>
      <c r="C366" s="2"/>
      <c r="D366" s="2"/>
      <c r="E366" s="2"/>
      <c r="F366" s="2"/>
      <c r="G366" s="2"/>
      <c r="H366" s="2"/>
      <c r="I366" s="4"/>
      <c r="J366" s="6"/>
      <c r="K366" s="2"/>
      <c r="L366" s="2"/>
      <c r="M366" s="2"/>
    </row>
    <row r="367" spans="1:19">
      <c r="B367" s="2"/>
      <c r="C367" s="2"/>
      <c r="D367" s="2"/>
      <c r="E367" s="2"/>
      <c r="F367" s="2"/>
      <c r="G367" s="2"/>
      <c r="H367" s="2"/>
      <c r="I367" s="4"/>
      <c r="J367" s="6"/>
      <c r="K367" s="2"/>
      <c r="L367" s="2"/>
      <c r="M367" s="2"/>
    </row>
    <row r="368" spans="1:19">
      <c r="B368" s="2"/>
      <c r="C368" s="2"/>
      <c r="D368" s="2"/>
      <c r="E368" s="2"/>
      <c r="F368" s="2"/>
      <c r="G368" s="2"/>
      <c r="H368" s="2"/>
      <c r="I368" s="4"/>
      <c r="J368" s="6"/>
      <c r="K368" s="2"/>
      <c r="L368" s="2"/>
      <c r="M368" s="2"/>
    </row>
    <row r="369" spans="2:13">
      <c r="B369" s="2"/>
      <c r="C369" s="2"/>
      <c r="D369" s="2"/>
      <c r="E369" s="2"/>
      <c r="F369" s="2"/>
      <c r="G369" s="2"/>
      <c r="H369" s="2"/>
      <c r="I369" s="4"/>
      <c r="J369" s="6"/>
      <c r="K369" s="2"/>
      <c r="L369" s="2"/>
      <c r="M369" s="2"/>
    </row>
    <row r="370" spans="2:13">
      <c r="B370" s="2"/>
      <c r="C370" s="2"/>
      <c r="D370" s="2"/>
      <c r="E370" s="2"/>
      <c r="F370" s="2"/>
      <c r="G370" s="2"/>
      <c r="H370" s="2"/>
      <c r="I370" s="4"/>
      <c r="J370" s="6"/>
      <c r="K370" s="2"/>
      <c r="L370" s="2"/>
      <c r="M370" s="2"/>
    </row>
    <row r="371" spans="2:13">
      <c r="B371" s="2"/>
      <c r="C371" s="2"/>
      <c r="D371" s="2"/>
      <c r="E371" s="2"/>
      <c r="F371" s="2"/>
      <c r="G371" s="2"/>
      <c r="H371" s="2"/>
      <c r="I371" s="4"/>
      <c r="J371" s="6"/>
      <c r="K371" s="2"/>
      <c r="L371" s="2"/>
      <c r="M371" s="2"/>
    </row>
    <row r="372" spans="2:13">
      <c r="B372" s="2"/>
      <c r="C372" s="2"/>
      <c r="D372" s="2"/>
      <c r="E372" s="2"/>
      <c r="F372" s="2"/>
      <c r="G372" s="2"/>
      <c r="H372" s="2"/>
      <c r="I372" s="4"/>
      <c r="J372" s="6"/>
      <c r="K372" s="2"/>
      <c r="L372" s="2"/>
      <c r="M372" s="2"/>
    </row>
    <row r="373" spans="2:13">
      <c r="B373" s="2"/>
      <c r="C373" s="2"/>
      <c r="D373" s="2"/>
      <c r="E373" s="2"/>
      <c r="F373" s="2"/>
      <c r="G373" s="2"/>
      <c r="H373" s="2"/>
      <c r="I373" s="4"/>
      <c r="J373" s="6"/>
      <c r="K373" s="2"/>
      <c r="L373" s="2"/>
      <c r="M373" s="2"/>
    </row>
    <row r="374" spans="2:13">
      <c r="B374" s="2"/>
      <c r="C374" s="2"/>
      <c r="D374" s="2"/>
      <c r="E374" s="2"/>
      <c r="F374" s="2"/>
      <c r="G374" s="2"/>
      <c r="H374" s="2"/>
      <c r="I374" s="4"/>
      <c r="J374" s="6"/>
      <c r="K374" s="2"/>
      <c r="L374" s="2"/>
      <c r="M374" s="2"/>
    </row>
    <row r="375" spans="2:13">
      <c r="B375" s="2"/>
      <c r="C375" s="2"/>
      <c r="D375" s="2"/>
      <c r="E375" s="2"/>
      <c r="F375" s="2"/>
      <c r="G375" s="2"/>
      <c r="H375" s="2"/>
      <c r="I375" s="4"/>
      <c r="J375" s="6"/>
      <c r="K375" s="2"/>
      <c r="L375" s="2"/>
      <c r="M375" s="2"/>
    </row>
    <row r="376" spans="2:13">
      <c r="B376" s="2"/>
      <c r="C376" s="2"/>
      <c r="D376" s="2"/>
      <c r="E376" s="2"/>
      <c r="F376" s="2"/>
      <c r="G376" s="2"/>
      <c r="H376" s="2"/>
      <c r="I376" s="4"/>
      <c r="J376" s="6"/>
      <c r="K376" s="2"/>
      <c r="L376" s="2"/>
      <c r="M376" s="2"/>
    </row>
    <row r="377" spans="2:13">
      <c r="B377" s="2"/>
      <c r="C377" s="2"/>
      <c r="D377" s="2"/>
      <c r="E377" s="2"/>
      <c r="F377" s="2"/>
      <c r="G377" s="2"/>
      <c r="H377" s="2"/>
      <c r="I377" s="4"/>
      <c r="J377" s="6"/>
      <c r="K377" s="2"/>
      <c r="L377" s="2"/>
      <c r="M377" s="2"/>
    </row>
    <row r="378" spans="2:13">
      <c r="B378" s="2"/>
      <c r="C378" s="2"/>
      <c r="D378" s="2"/>
      <c r="E378" s="2"/>
      <c r="F378" s="2"/>
      <c r="G378" s="2"/>
      <c r="H378" s="2"/>
      <c r="I378" s="4"/>
      <c r="J378" s="6"/>
      <c r="K378" s="2"/>
      <c r="L378" s="2"/>
      <c r="M378" s="2"/>
    </row>
    <row r="379" spans="2:13">
      <c r="B379" s="2"/>
      <c r="C379" s="2"/>
      <c r="D379" s="2"/>
      <c r="E379" s="2"/>
      <c r="F379" s="2"/>
      <c r="G379" s="2"/>
      <c r="H379" s="2"/>
      <c r="I379" s="4"/>
      <c r="J379" s="6"/>
      <c r="K379" s="2"/>
      <c r="L379" s="2"/>
      <c r="M379" s="2"/>
    </row>
    <row r="380" spans="2:13">
      <c r="B380" s="2"/>
      <c r="C380" s="2"/>
      <c r="D380" s="2"/>
      <c r="E380" s="2"/>
      <c r="F380" s="2"/>
      <c r="G380" s="2"/>
      <c r="H380" s="2"/>
      <c r="I380" s="4"/>
      <c r="J380" s="6"/>
      <c r="K380" s="2"/>
      <c r="L380" s="2"/>
      <c r="M380" s="2"/>
    </row>
    <row r="381" spans="2:13">
      <c r="B381" s="2"/>
      <c r="C381" s="2"/>
      <c r="D381" s="2"/>
      <c r="E381" s="2"/>
      <c r="F381" s="2"/>
      <c r="G381" s="2"/>
      <c r="H381" s="2"/>
      <c r="I381" s="4"/>
      <c r="J381" s="6"/>
      <c r="K381" s="2"/>
      <c r="L381" s="2"/>
      <c r="M381" s="2"/>
    </row>
    <row r="382" spans="2:13">
      <c r="B382" s="2"/>
      <c r="C382" s="2"/>
      <c r="D382" s="2"/>
      <c r="E382" s="2"/>
      <c r="F382" s="2"/>
      <c r="G382" s="2"/>
      <c r="H382" s="2"/>
      <c r="I382" s="4"/>
      <c r="J382" s="6"/>
      <c r="K382" s="2"/>
      <c r="L382" s="2"/>
      <c r="M382" s="2"/>
    </row>
    <row r="383" spans="2:13">
      <c r="B383" s="2"/>
      <c r="C383" s="2"/>
      <c r="D383" s="2"/>
      <c r="E383" s="2"/>
      <c r="F383" s="2"/>
      <c r="G383" s="2"/>
      <c r="H383" s="2"/>
      <c r="I383" s="4"/>
      <c r="J383" s="6"/>
      <c r="K383" s="2"/>
      <c r="L383" s="2"/>
      <c r="M383" s="2"/>
    </row>
    <row r="384" spans="2:13">
      <c r="B384" s="2"/>
      <c r="C384" s="2"/>
      <c r="D384" s="2"/>
      <c r="E384" s="2"/>
      <c r="F384" s="2"/>
      <c r="G384" s="2"/>
      <c r="H384" s="2"/>
      <c r="I384" s="4"/>
      <c r="J384" s="6"/>
      <c r="K384" s="2"/>
      <c r="L384" s="2"/>
      <c r="M384" s="2"/>
    </row>
    <row r="385" spans="2:13">
      <c r="B385" s="2"/>
      <c r="C385" s="2"/>
      <c r="D385" s="2"/>
      <c r="E385" s="2"/>
      <c r="F385" s="2"/>
      <c r="G385" s="2"/>
      <c r="H385" s="2"/>
      <c r="I385" s="4"/>
      <c r="J385" s="6"/>
      <c r="K385" s="2"/>
      <c r="L385" s="2"/>
      <c r="M385" s="2"/>
    </row>
    <row r="386" spans="2:13">
      <c r="B386" s="2"/>
      <c r="C386" s="2"/>
      <c r="D386" s="2"/>
      <c r="E386" s="2"/>
      <c r="F386" s="2"/>
      <c r="G386" s="2"/>
      <c r="H386" s="2"/>
      <c r="I386" s="4"/>
      <c r="J386" s="6"/>
      <c r="K386" s="2"/>
      <c r="L386" s="2"/>
      <c r="M386" s="2"/>
    </row>
    <row r="387" spans="2:13">
      <c r="B387" s="2"/>
      <c r="C387" s="2"/>
      <c r="D387" s="2"/>
      <c r="E387" s="2"/>
      <c r="F387" s="2"/>
      <c r="G387" s="2"/>
      <c r="H387" s="2"/>
      <c r="I387" s="4"/>
      <c r="J387" s="6"/>
      <c r="K387" s="2"/>
      <c r="L387" s="2"/>
      <c r="M387" s="2"/>
    </row>
    <row r="388" spans="2:13">
      <c r="B388" s="2"/>
      <c r="C388" s="2"/>
      <c r="D388" s="2"/>
      <c r="E388" s="2"/>
      <c r="F388" s="2"/>
      <c r="G388" s="2"/>
      <c r="H388" s="2"/>
      <c r="I388" s="4"/>
      <c r="J388" s="6"/>
      <c r="K388" s="2"/>
      <c r="L388" s="2"/>
      <c r="M388" s="2"/>
    </row>
    <row r="389" spans="2:13">
      <c r="B389" s="2"/>
      <c r="C389" s="2"/>
      <c r="D389" s="2"/>
      <c r="E389" s="2"/>
      <c r="F389" s="2"/>
      <c r="G389" s="2"/>
      <c r="H389" s="2"/>
      <c r="I389" s="4"/>
      <c r="J389" s="6"/>
      <c r="K389" s="2"/>
      <c r="L389" s="2"/>
      <c r="M389" s="2"/>
    </row>
    <row r="390" spans="2:13">
      <c r="B390" s="2"/>
      <c r="C390" s="2"/>
      <c r="D390" s="2"/>
      <c r="E390" s="2"/>
      <c r="F390" s="2"/>
      <c r="G390" s="2"/>
      <c r="H390" s="2"/>
      <c r="I390" s="4"/>
      <c r="J390" s="6"/>
      <c r="K390" s="2"/>
      <c r="L390" s="2"/>
      <c r="M390" s="2"/>
    </row>
    <row r="391" spans="2:13">
      <c r="B391" s="2"/>
      <c r="C391" s="2"/>
      <c r="D391" s="2"/>
      <c r="E391" s="2"/>
      <c r="F391" s="2"/>
      <c r="G391" s="2"/>
      <c r="H391" s="2"/>
      <c r="I391" s="4"/>
      <c r="J391" s="6"/>
      <c r="K391" s="2"/>
      <c r="L391" s="2"/>
      <c r="M391" s="2"/>
    </row>
    <row r="392" spans="2:13">
      <c r="B392" s="2"/>
      <c r="C392" s="2"/>
      <c r="D392" s="2"/>
      <c r="E392" s="2"/>
      <c r="F392" s="2"/>
      <c r="G392" s="2"/>
      <c r="H392" s="2"/>
      <c r="I392" s="4"/>
      <c r="J392" s="6"/>
      <c r="K392" s="2"/>
      <c r="L392" s="2"/>
      <c r="M392" s="2"/>
    </row>
    <row r="393" spans="2:13">
      <c r="B393" s="2"/>
      <c r="C393" s="2"/>
      <c r="D393" s="2"/>
      <c r="E393" s="2"/>
      <c r="F393" s="2"/>
      <c r="G393" s="2"/>
      <c r="H393" s="2"/>
      <c r="I393" s="4"/>
      <c r="J393" s="6"/>
      <c r="K393" s="2"/>
      <c r="L393" s="2"/>
      <c r="M393" s="2"/>
    </row>
    <row r="394" spans="2:13">
      <c r="B394" s="2"/>
      <c r="C394" s="2"/>
      <c r="D394" s="2"/>
      <c r="E394" s="2"/>
      <c r="F394" s="2"/>
      <c r="G394" s="2"/>
      <c r="H394" s="2"/>
      <c r="I394" s="4"/>
      <c r="J394" s="6"/>
      <c r="K394" s="2"/>
      <c r="L394" s="2"/>
      <c r="M394" s="2"/>
    </row>
    <row r="395" spans="2:13">
      <c r="B395" s="2"/>
      <c r="C395" s="2"/>
      <c r="D395" s="2"/>
      <c r="E395" s="2"/>
      <c r="F395" s="2"/>
      <c r="G395" s="2"/>
      <c r="H395" s="2"/>
      <c r="I395" s="4"/>
      <c r="J395" s="6"/>
      <c r="K395" s="2"/>
      <c r="L395" s="2"/>
      <c r="M395" s="2"/>
    </row>
    <row r="396" spans="2:13">
      <c r="B396" s="2"/>
      <c r="C396" s="2"/>
      <c r="D396" s="2"/>
      <c r="E396" s="2"/>
      <c r="F396" s="2"/>
      <c r="G396" s="2"/>
      <c r="H396" s="2"/>
      <c r="I396" s="4"/>
      <c r="J396" s="6"/>
      <c r="K396" s="2"/>
      <c r="L396" s="2"/>
      <c r="M396" s="2"/>
    </row>
    <row r="397" spans="2:13">
      <c r="B397" s="2"/>
      <c r="C397" s="2"/>
      <c r="D397" s="2"/>
      <c r="E397" s="2"/>
      <c r="F397" s="2"/>
      <c r="G397" s="2"/>
      <c r="H397" s="2"/>
      <c r="I397" s="4"/>
      <c r="J397" s="6"/>
      <c r="K397" s="2"/>
      <c r="L397" s="2"/>
      <c r="M397" s="2"/>
    </row>
    <row r="398" spans="2:13">
      <c r="B398" s="2"/>
      <c r="C398" s="2"/>
      <c r="D398" s="2"/>
      <c r="E398" s="2"/>
      <c r="F398" s="2"/>
      <c r="G398" s="2"/>
      <c r="H398" s="2"/>
      <c r="I398" s="4"/>
      <c r="J398" s="6"/>
      <c r="K398" s="2"/>
      <c r="L398" s="2"/>
      <c r="M398" s="2"/>
    </row>
    <row r="399" spans="2:13">
      <c r="B399" s="2"/>
      <c r="C399" s="2"/>
      <c r="D399" s="2"/>
      <c r="E399" s="2"/>
      <c r="F399" s="2"/>
      <c r="G399" s="2"/>
      <c r="H399" s="2"/>
      <c r="I399" s="4"/>
      <c r="J399" s="6"/>
      <c r="K399" s="2"/>
      <c r="L399" s="2"/>
      <c r="M399" s="2"/>
    </row>
    <row r="400" spans="2:13">
      <c r="B400" s="2"/>
      <c r="C400" s="2"/>
      <c r="D400" s="2"/>
      <c r="E400" s="2"/>
      <c r="F400" s="2"/>
      <c r="G400" s="2"/>
      <c r="H400" s="2"/>
      <c r="I400" s="4"/>
      <c r="J400" s="6"/>
      <c r="K400" s="2"/>
      <c r="L400" s="2"/>
      <c r="M400" s="2"/>
    </row>
    <row r="401" spans="2:13">
      <c r="B401" s="2"/>
      <c r="C401" s="2"/>
      <c r="D401" s="2"/>
      <c r="E401" s="2"/>
      <c r="F401" s="2"/>
      <c r="G401" s="2"/>
      <c r="H401" s="2"/>
      <c r="I401" s="4"/>
      <c r="J401" s="6"/>
      <c r="K401" s="2"/>
      <c r="L401" s="2"/>
      <c r="M401" s="2"/>
    </row>
    <row r="402" spans="2:13">
      <c r="B402" s="2"/>
      <c r="C402" s="2"/>
      <c r="D402" s="2"/>
      <c r="E402" s="2"/>
      <c r="F402" s="2"/>
      <c r="G402" s="2"/>
      <c r="H402" s="2"/>
      <c r="I402" s="4"/>
      <c r="J402" s="6"/>
      <c r="K402" s="2"/>
      <c r="L402" s="2"/>
      <c r="M402" s="2"/>
    </row>
    <row r="403" spans="2:13">
      <c r="B403" s="2"/>
      <c r="C403" s="2"/>
      <c r="D403" s="2"/>
      <c r="E403" s="2"/>
      <c r="F403" s="2"/>
      <c r="G403" s="2"/>
      <c r="H403" s="2"/>
      <c r="I403" s="4"/>
      <c r="J403" s="6"/>
      <c r="K403" s="2"/>
      <c r="L403" s="2"/>
      <c r="M403" s="2"/>
    </row>
    <row r="404" spans="2:13">
      <c r="B404" s="2"/>
      <c r="C404" s="2"/>
      <c r="D404" s="2"/>
      <c r="E404" s="2"/>
      <c r="F404" s="2"/>
      <c r="G404" s="2"/>
      <c r="H404" s="2"/>
      <c r="I404" s="4"/>
      <c r="J404" s="6"/>
      <c r="K404" s="2"/>
      <c r="L404" s="2"/>
      <c r="M404" s="2"/>
    </row>
    <row r="405" spans="2:13">
      <c r="B405" s="2"/>
      <c r="C405" s="2"/>
      <c r="D405" s="2"/>
      <c r="E405" s="2"/>
      <c r="F405" s="2"/>
      <c r="G405" s="2"/>
      <c r="H405" s="2"/>
      <c r="I405" s="4"/>
      <c r="J405" s="6"/>
      <c r="K405" s="2"/>
      <c r="L405" s="2"/>
      <c r="M405" s="2"/>
    </row>
    <row r="406" spans="2:13">
      <c r="B406" s="2"/>
      <c r="C406" s="2"/>
      <c r="D406" s="2"/>
      <c r="E406" s="2"/>
      <c r="F406" s="2"/>
      <c r="G406" s="2"/>
      <c r="H406" s="2"/>
      <c r="I406" s="4"/>
      <c r="J406" s="6"/>
      <c r="K406" s="2"/>
      <c r="L406" s="2"/>
      <c r="M406" s="2"/>
    </row>
    <row r="407" spans="2:13">
      <c r="B407" s="2"/>
      <c r="C407" s="2"/>
      <c r="D407" s="2"/>
      <c r="E407" s="2"/>
      <c r="F407" s="2"/>
      <c r="G407" s="2"/>
      <c r="H407" s="2"/>
      <c r="I407" s="4"/>
      <c r="J407" s="6"/>
      <c r="K407" s="2"/>
      <c r="L407" s="2"/>
      <c r="M407" s="2"/>
    </row>
    <row r="408" spans="2:13">
      <c r="B408" s="2"/>
      <c r="C408" s="2"/>
      <c r="D408" s="2"/>
      <c r="E408" s="2"/>
      <c r="F408" s="2"/>
      <c r="G408" s="2"/>
      <c r="H408" s="2"/>
      <c r="I408" s="4"/>
      <c r="J408" s="6"/>
      <c r="K408" s="2"/>
      <c r="L408" s="2"/>
      <c r="M408" s="2"/>
    </row>
    <row r="409" spans="2:13">
      <c r="B409" s="2"/>
      <c r="C409" s="2"/>
      <c r="D409" s="2"/>
      <c r="E409" s="2"/>
      <c r="F409" s="2"/>
      <c r="G409" s="2"/>
      <c r="H409" s="2"/>
      <c r="I409" s="4"/>
      <c r="J409" s="6"/>
      <c r="K409" s="2"/>
      <c r="L409" s="2"/>
      <c r="M409" s="2"/>
    </row>
    <row r="410" spans="2:13">
      <c r="B410" s="2"/>
      <c r="C410" s="2"/>
      <c r="D410" s="2"/>
      <c r="E410" s="2"/>
      <c r="F410" s="2"/>
      <c r="G410" s="2"/>
      <c r="H410" s="2"/>
      <c r="I410" s="4"/>
      <c r="J410" s="6"/>
      <c r="K410" s="2"/>
      <c r="L410" s="2"/>
      <c r="M410" s="2"/>
    </row>
    <row r="411" spans="2:13">
      <c r="B411" s="2"/>
      <c r="C411" s="2"/>
      <c r="D411" s="2"/>
      <c r="E411" s="2"/>
      <c r="F411" s="2"/>
      <c r="G411" s="2"/>
      <c r="H411" s="2"/>
      <c r="I411" s="4"/>
      <c r="J411" s="6"/>
      <c r="K411" s="2"/>
      <c r="L411" s="2"/>
      <c r="M411" s="2"/>
    </row>
    <row r="412" spans="2:13">
      <c r="B412" s="2"/>
      <c r="C412" s="2"/>
      <c r="D412" s="2"/>
      <c r="E412" s="2"/>
      <c r="F412" s="2"/>
      <c r="G412" s="2"/>
      <c r="H412" s="2"/>
      <c r="I412" s="4"/>
      <c r="J412" s="6"/>
      <c r="K412" s="2"/>
      <c r="L412" s="2"/>
      <c r="M412" s="2"/>
    </row>
    <row r="413" spans="2:13">
      <c r="B413" s="2"/>
      <c r="C413" s="2"/>
      <c r="D413" s="2"/>
      <c r="E413" s="2"/>
      <c r="F413" s="2"/>
      <c r="G413" s="2"/>
      <c r="H413" s="2"/>
      <c r="I413" s="4"/>
      <c r="J413" s="6"/>
      <c r="K413" s="2"/>
      <c r="L413" s="2"/>
      <c r="M413" s="2"/>
    </row>
    <row r="414" spans="2:13">
      <c r="B414" s="2"/>
      <c r="C414" s="2"/>
      <c r="D414" s="2"/>
      <c r="E414" s="2"/>
      <c r="F414" s="2"/>
      <c r="G414" s="2"/>
      <c r="H414" s="2"/>
      <c r="I414" s="4"/>
      <c r="J414" s="6"/>
      <c r="K414" s="2"/>
      <c r="L414" s="2"/>
      <c r="M414" s="2"/>
    </row>
    <row r="415" spans="2:13">
      <c r="B415" s="2"/>
      <c r="C415" s="2"/>
      <c r="D415" s="2"/>
      <c r="E415" s="2"/>
      <c r="F415" s="2"/>
      <c r="G415" s="2"/>
      <c r="H415" s="2"/>
      <c r="I415" s="4"/>
      <c r="J415" s="6"/>
      <c r="K415" s="2"/>
      <c r="L415" s="2"/>
      <c r="M415" s="2"/>
    </row>
    <row r="416" spans="2:13">
      <c r="B416" s="2"/>
      <c r="C416" s="2"/>
      <c r="D416" s="2"/>
      <c r="E416" s="2"/>
      <c r="F416" s="2"/>
      <c r="G416" s="2"/>
      <c r="H416" s="2"/>
      <c r="I416" s="4"/>
      <c r="J416" s="6"/>
      <c r="K416" s="2"/>
      <c r="L416" s="2"/>
      <c r="M416" s="2"/>
    </row>
    <row r="417" spans="2:13">
      <c r="B417" s="2"/>
      <c r="C417" s="2"/>
      <c r="D417" s="2"/>
      <c r="E417" s="2"/>
      <c r="F417" s="2"/>
      <c r="G417" s="2"/>
      <c r="H417" s="2"/>
      <c r="I417" s="4"/>
      <c r="J417" s="6"/>
      <c r="K417" s="2"/>
      <c r="L417" s="2"/>
      <c r="M417" s="2"/>
    </row>
    <row r="418" spans="2:13">
      <c r="B418" s="2"/>
      <c r="C418" s="2"/>
      <c r="D418" s="2"/>
      <c r="E418" s="2"/>
      <c r="F418" s="2"/>
      <c r="G418" s="2"/>
      <c r="H418" s="2"/>
      <c r="I418" s="4"/>
      <c r="J418" s="6"/>
      <c r="K418" s="2"/>
      <c r="L418" s="2"/>
      <c r="M418" s="2"/>
    </row>
    <row r="419" spans="2:13">
      <c r="B419" s="2"/>
      <c r="C419" s="2"/>
      <c r="D419" s="2"/>
      <c r="E419" s="2"/>
      <c r="F419" s="2"/>
      <c r="G419" s="2"/>
      <c r="H419" s="2"/>
      <c r="I419" s="4"/>
      <c r="J419" s="6"/>
      <c r="K419" s="2"/>
      <c r="L419" s="2"/>
      <c r="M419" s="2"/>
    </row>
    <row r="420" spans="2:13">
      <c r="B420" s="2"/>
      <c r="C420" s="2"/>
      <c r="D420" s="2"/>
      <c r="E420" s="2"/>
      <c r="F420" s="2"/>
      <c r="G420" s="2"/>
      <c r="H420" s="2"/>
      <c r="I420" s="4"/>
      <c r="J420" s="6"/>
      <c r="K420" s="2"/>
      <c r="L420" s="2"/>
      <c r="M420" s="2"/>
    </row>
    <row r="421" spans="2:13">
      <c r="B421" s="2"/>
      <c r="C421" s="2"/>
      <c r="D421" s="2"/>
      <c r="E421" s="2"/>
      <c r="F421" s="2"/>
      <c r="G421" s="2"/>
      <c r="H421" s="2"/>
      <c r="I421" s="4"/>
      <c r="J421" s="6"/>
      <c r="K421" s="2"/>
      <c r="L421" s="2"/>
      <c r="M421" s="2"/>
    </row>
    <row r="422" spans="2:13">
      <c r="B422" s="2"/>
      <c r="C422" s="2"/>
      <c r="D422" s="2"/>
      <c r="E422" s="2"/>
      <c r="F422" s="2"/>
      <c r="G422" s="2"/>
      <c r="H422" s="2"/>
      <c r="I422" s="4"/>
      <c r="J422" s="6"/>
      <c r="K422" s="2"/>
      <c r="L422" s="2"/>
      <c r="M422" s="2"/>
    </row>
    <row r="423" spans="2:13">
      <c r="B423" s="2"/>
      <c r="C423" s="2"/>
      <c r="D423" s="2"/>
      <c r="E423" s="2"/>
      <c r="F423" s="2"/>
      <c r="G423" s="2"/>
      <c r="H423" s="2"/>
      <c r="I423" s="4"/>
      <c r="J423" s="6"/>
      <c r="K423" s="2"/>
      <c r="L423" s="2"/>
      <c r="M423" s="2"/>
    </row>
    <row r="424" spans="2:13">
      <c r="B424" s="2"/>
      <c r="C424" s="2"/>
      <c r="D424" s="2"/>
      <c r="E424" s="2"/>
      <c r="F424" s="2"/>
      <c r="G424" s="2"/>
      <c r="H424" s="2"/>
      <c r="I424" s="4"/>
      <c r="J424" s="6"/>
      <c r="K424" s="2"/>
      <c r="L424" s="2"/>
      <c r="M424" s="2"/>
    </row>
    <row r="425" spans="2:13">
      <c r="B425" s="2"/>
      <c r="C425" s="2"/>
      <c r="D425" s="2"/>
      <c r="E425" s="2"/>
      <c r="F425" s="2"/>
      <c r="G425" s="2"/>
      <c r="H425" s="2"/>
      <c r="I425" s="4"/>
      <c r="J425" s="6"/>
      <c r="K425" s="2"/>
      <c r="L425" s="2"/>
      <c r="M425" s="2"/>
    </row>
    <row r="426" spans="2:13">
      <c r="B426" s="2"/>
      <c r="C426" s="2"/>
      <c r="D426" s="2"/>
      <c r="E426" s="2"/>
      <c r="F426" s="2"/>
      <c r="G426" s="2"/>
      <c r="H426" s="2"/>
      <c r="I426" s="4"/>
      <c r="J426" s="6"/>
      <c r="K426" s="2"/>
      <c r="L426" s="2"/>
      <c r="M426" s="2"/>
    </row>
    <row r="427" spans="2:13">
      <c r="B427" s="2"/>
      <c r="C427" s="2"/>
      <c r="D427" s="2"/>
      <c r="E427" s="2"/>
      <c r="F427" s="2"/>
      <c r="G427" s="2"/>
      <c r="H427" s="2"/>
      <c r="I427" s="4"/>
      <c r="J427" s="6"/>
      <c r="K427" s="2"/>
      <c r="L427" s="2"/>
      <c r="M427" s="2"/>
    </row>
    <row r="428" spans="2:13">
      <c r="B428" s="2"/>
      <c r="C428" s="2"/>
      <c r="D428" s="2"/>
      <c r="E428" s="2"/>
      <c r="F428" s="2"/>
      <c r="G428" s="2"/>
      <c r="H428" s="2"/>
      <c r="I428" s="4"/>
      <c r="J428" s="6"/>
      <c r="K428" s="2"/>
      <c r="L428" s="2"/>
      <c r="M428" s="2"/>
    </row>
    <row r="429" spans="2:13">
      <c r="B429" s="2"/>
      <c r="C429" s="2"/>
      <c r="D429" s="2"/>
      <c r="E429" s="2"/>
      <c r="F429" s="2"/>
      <c r="G429" s="2"/>
      <c r="H429" s="2"/>
      <c r="I429" s="4"/>
      <c r="J429" s="6"/>
      <c r="K429" s="2"/>
      <c r="L429" s="2"/>
      <c r="M429" s="2"/>
    </row>
    <row r="430" spans="2:13">
      <c r="B430" s="2"/>
      <c r="C430" s="2"/>
      <c r="D430" s="2"/>
      <c r="E430" s="2"/>
      <c r="F430" s="2"/>
      <c r="G430" s="2"/>
      <c r="H430" s="2"/>
      <c r="I430" s="4"/>
      <c r="J430" s="6"/>
      <c r="K430" s="2"/>
      <c r="L430" s="2"/>
      <c r="M430" s="2"/>
    </row>
    <row r="431" spans="2:13">
      <c r="B431" s="2"/>
      <c r="C431" s="2"/>
      <c r="D431" s="2"/>
      <c r="E431" s="2"/>
      <c r="F431" s="2"/>
      <c r="G431" s="2"/>
      <c r="H431" s="2"/>
      <c r="I431" s="4"/>
      <c r="J431" s="6"/>
      <c r="K431" s="2"/>
      <c r="L431" s="2"/>
      <c r="M431" s="2"/>
    </row>
    <row r="432" spans="2:13">
      <c r="B432" s="2"/>
      <c r="C432" s="2"/>
      <c r="D432" s="2"/>
      <c r="E432" s="2"/>
      <c r="F432" s="2"/>
      <c r="G432" s="2"/>
      <c r="H432" s="2"/>
      <c r="I432" s="4"/>
      <c r="J432" s="6"/>
      <c r="K432" s="2"/>
      <c r="L432" s="2"/>
      <c r="M432" s="2"/>
    </row>
    <row r="433" spans="2:13">
      <c r="B433" s="2"/>
      <c r="C433" s="2"/>
      <c r="D433" s="2"/>
      <c r="E433" s="2"/>
      <c r="F433" s="2"/>
      <c r="G433" s="2"/>
      <c r="H433" s="2"/>
      <c r="I433" s="4"/>
      <c r="J433" s="6"/>
      <c r="K433" s="2"/>
      <c r="L433" s="2"/>
      <c r="M433" s="2"/>
    </row>
    <row r="434" spans="2:13">
      <c r="B434" s="2"/>
      <c r="C434" s="2"/>
      <c r="D434" s="2"/>
      <c r="E434" s="2"/>
      <c r="F434" s="2"/>
      <c r="G434" s="2"/>
      <c r="H434" s="2"/>
      <c r="I434" s="4"/>
      <c r="J434" s="6"/>
      <c r="K434" s="2"/>
      <c r="L434" s="2"/>
      <c r="M434" s="2"/>
    </row>
    <row r="435" spans="2:13">
      <c r="B435" s="2"/>
      <c r="C435" s="2"/>
      <c r="D435" s="2"/>
      <c r="E435" s="2"/>
      <c r="F435" s="2"/>
      <c r="G435" s="2"/>
      <c r="H435" s="2"/>
      <c r="I435" s="4"/>
      <c r="J435" s="6"/>
      <c r="K435" s="2"/>
      <c r="L435" s="2"/>
      <c r="M435" s="2"/>
    </row>
    <row r="436" spans="2:13">
      <c r="B436" s="2"/>
      <c r="C436" s="2"/>
      <c r="D436" s="2"/>
      <c r="E436" s="2"/>
      <c r="F436" s="2"/>
      <c r="G436" s="2"/>
      <c r="H436" s="2"/>
      <c r="I436" s="4"/>
      <c r="J436" s="6"/>
      <c r="K436" s="2"/>
      <c r="L436" s="2"/>
      <c r="M436" s="2"/>
    </row>
    <row r="437" spans="2:13">
      <c r="B437" s="2"/>
      <c r="C437" s="2"/>
      <c r="D437" s="2"/>
      <c r="E437" s="2"/>
      <c r="F437" s="2"/>
      <c r="G437" s="2"/>
      <c r="H437" s="2"/>
      <c r="I437" s="4"/>
      <c r="J437" s="6"/>
      <c r="K437" s="2"/>
      <c r="L437" s="2"/>
      <c r="M437" s="2"/>
    </row>
    <row r="438" spans="2:13">
      <c r="B438" s="2"/>
      <c r="C438" s="2"/>
      <c r="D438" s="2"/>
      <c r="E438" s="2"/>
      <c r="F438" s="2"/>
      <c r="G438" s="2"/>
      <c r="H438" s="2"/>
      <c r="I438" s="4"/>
      <c r="J438" s="6"/>
      <c r="K438" s="2"/>
      <c r="L438" s="2"/>
      <c r="M438" s="2"/>
    </row>
    <row r="439" spans="2:13">
      <c r="B439" s="2"/>
      <c r="C439" s="2"/>
      <c r="D439" s="2"/>
      <c r="E439" s="2"/>
      <c r="F439" s="2"/>
      <c r="G439" s="2"/>
      <c r="H439" s="2"/>
      <c r="I439" s="4"/>
      <c r="J439" s="6"/>
      <c r="K439" s="2"/>
      <c r="L439" s="2"/>
      <c r="M439" s="2"/>
    </row>
    <row r="440" spans="2:13">
      <c r="B440" s="2"/>
      <c r="C440" s="2"/>
      <c r="D440" s="2"/>
      <c r="E440" s="2"/>
      <c r="F440" s="2"/>
      <c r="G440" s="2"/>
      <c r="H440" s="2"/>
      <c r="I440" s="4"/>
      <c r="J440" s="6"/>
      <c r="K440" s="2"/>
      <c r="L440" s="2"/>
      <c r="M440" s="2"/>
    </row>
    <row r="441" spans="2:13">
      <c r="B441" s="2"/>
      <c r="C441" s="2"/>
      <c r="D441" s="2"/>
      <c r="E441" s="2"/>
      <c r="F441" s="2"/>
      <c r="G441" s="2"/>
      <c r="H441" s="2"/>
      <c r="I441" s="4"/>
      <c r="J441" s="6"/>
      <c r="K441" s="2"/>
      <c r="L441" s="2"/>
      <c r="M441" s="2"/>
    </row>
    <row r="442" spans="2:13">
      <c r="B442" s="2"/>
      <c r="C442" s="2"/>
      <c r="D442" s="2"/>
      <c r="E442" s="2"/>
      <c r="F442" s="2"/>
      <c r="G442" s="2"/>
      <c r="H442" s="2"/>
      <c r="I442" s="4"/>
      <c r="J442" s="6"/>
      <c r="K442" s="2"/>
      <c r="L442" s="2"/>
      <c r="M442" s="2"/>
    </row>
    <row r="443" spans="2:13">
      <c r="B443" s="2"/>
      <c r="C443" s="2"/>
      <c r="D443" s="2"/>
      <c r="E443" s="2"/>
      <c r="F443" s="2"/>
      <c r="G443" s="2"/>
      <c r="H443" s="2"/>
      <c r="I443" s="4"/>
      <c r="J443" s="6"/>
      <c r="K443" s="2"/>
      <c r="L443" s="2"/>
      <c r="M443" s="2"/>
    </row>
    <row r="444" spans="2:13">
      <c r="B444" s="2"/>
      <c r="C444" s="2"/>
      <c r="D444" s="2"/>
      <c r="E444" s="2"/>
      <c r="F444" s="2"/>
      <c r="G444" s="2"/>
      <c r="H444" s="2"/>
      <c r="I444" s="4"/>
      <c r="J444" s="6"/>
      <c r="K444" s="2"/>
      <c r="L444" s="2"/>
      <c r="M444" s="2"/>
    </row>
    <row r="445" spans="2:13">
      <c r="B445" s="2"/>
      <c r="C445" s="2"/>
      <c r="D445" s="2"/>
      <c r="E445" s="2"/>
      <c r="F445" s="2"/>
      <c r="G445" s="2"/>
      <c r="H445" s="2"/>
      <c r="I445" s="4"/>
      <c r="J445" s="6"/>
      <c r="K445" s="2"/>
      <c r="L445" s="2"/>
      <c r="M445" s="2"/>
    </row>
    <row r="446" spans="2:13">
      <c r="B446" s="2"/>
      <c r="C446" s="2"/>
      <c r="D446" s="2"/>
      <c r="E446" s="2"/>
      <c r="F446" s="2"/>
      <c r="G446" s="2"/>
      <c r="H446" s="2"/>
      <c r="I446" s="4"/>
      <c r="J446" s="6"/>
      <c r="K446" s="2"/>
      <c r="L446" s="2"/>
      <c r="M446" s="2"/>
    </row>
    <row r="447" spans="2:13">
      <c r="B447" s="2"/>
      <c r="C447" s="2"/>
      <c r="D447" s="2"/>
      <c r="E447" s="2"/>
      <c r="F447" s="2"/>
      <c r="G447" s="2"/>
      <c r="H447" s="2"/>
      <c r="I447" s="4"/>
      <c r="J447" s="6"/>
      <c r="K447" s="2"/>
      <c r="L447" s="2"/>
      <c r="M447" s="2"/>
    </row>
    <row r="448" spans="2:13">
      <c r="B448" s="2"/>
      <c r="C448" s="2"/>
      <c r="D448" s="2"/>
      <c r="E448" s="2"/>
      <c r="F448" s="2"/>
      <c r="G448" s="2"/>
      <c r="H448" s="2"/>
      <c r="I448" s="4"/>
      <c r="J448" s="6"/>
      <c r="K448" s="2"/>
      <c r="L448" s="2"/>
      <c r="M448" s="2"/>
    </row>
    <row r="449" spans="2:13">
      <c r="B449" s="2"/>
      <c r="C449" s="2"/>
      <c r="D449" s="2"/>
      <c r="E449" s="2"/>
      <c r="F449" s="2"/>
      <c r="G449" s="2"/>
      <c r="H449" s="2"/>
      <c r="I449" s="4"/>
      <c r="J449" s="6"/>
      <c r="K449" s="2"/>
      <c r="L449" s="2"/>
      <c r="M449" s="2"/>
    </row>
    <row r="450" spans="2:13">
      <c r="B450" s="2"/>
      <c r="C450" s="2"/>
      <c r="D450" s="2"/>
      <c r="E450" s="2"/>
      <c r="F450" s="2"/>
      <c r="G450" s="2"/>
      <c r="H450" s="2"/>
      <c r="I450" s="4"/>
      <c r="J450" s="6"/>
      <c r="K450" s="2"/>
      <c r="L450" s="2"/>
      <c r="M450" s="2"/>
    </row>
    <row r="451" spans="2:13">
      <c r="B451" s="2"/>
      <c r="C451" s="2"/>
      <c r="D451" s="2"/>
      <c r="E451" s="2"/>
      <c r="F451" s="2"/>
      <c r="G451" s="2"/>
      <c r="H451" s="2"/>
      <c r="I451" s="4"/>
      <c r="J451" s="6"/>
      <c r="K451" s="2"/>
      <c r="L451" s="2"/>
      <c r="M451" s="2"/>
    </row>
    <row r="452" spans="2:13">
      <c r="B452" s="2"/>
      <c r="C452" s="2"/>
      <c r="D452" s="2"/>
      <c r="E452" s="2"/>
      <c r="F452" s="2"/>
      <c r="G452" s="2"/>
      <c r="H452" s="2"/>
      <c r="I452" s="4"/>
      <c r="J452" s="6"/>
      <c r="K452" s="2"/>
      <c r="L452" s="2"/>
      <c r="M452" s="2"/>
    </row>
    <row r="453" spans="2:13">
      <c r="B453" s="2"/>
      <c r="C453" s="2"/>
      <c r="D453" s="2"/>
      <c r="E453" s="2"/>
      <c r="F453" s="2"/>
      <c r="G453" s="2"/>
      <c r="H453" s="2"/>
      <c r="I453" s="4"/>
      <c r="J453" s="6"/>
      <c r="K453" s="2"/>
      <c r="L453" s="2"/>
      <c r="M453" s="2"/>
    </row>
    <row r="454" spans="2:13">
      <c r="B454" s="2"/>
      <c r="C454" s="2"/>
      <c r="D454" s="2"/>
      <c r="E454" s="2"/>
      <c r="F454" s="2"/>
      <c r="G454" s="2"/>
      <c r="H454" s="2"/>
      <c r="I454" s="4"/>
      <c r="J454" s="6"/>
      <c r="K454" s="2"/>
      <c r="L454" s="2"/>
      <c r="M454" s="2"/>
    </row>
    <row r="455" spans="2:13">
      <c r="B455" s="2"/>
      <c r="C455" s="2"/>
      <c r="D455" s="2"/>
      <c r="E455" s="2"/>
      <c r="F455" s="2"/>
      <c r="G455" s="2"/>
      <c r="H455" s="2"/>
      <c r="I455" s="4"/>
      <c r="J455" s="6"/>
      <c r="K455" s="2"/>
      <c r="L455" s="2"/>
      <c r="M455" s="2"/>
    </row>
    <row r="456" spans="2:13">
      <c r="B456" s="2"/>
      <c r="C456" s="2"/>
      <c r="D456" s="2"/>
      <c r="E456" s="2"/>
      <c r="F456" s="2"/>
      <c r="G456" s="2"/>
      <c r="H456" s="2"/>
      <c r="I456" s="4"/>
      <c r="J456" s="6"/>
      <c r="K456" s="2"/>
      <c r="L456" s="2"/>
      <c r="M456" s="2"/>
    </row>
    <row r="457" spans="2:13">
      <c r="B457" s="2"/>
      <c r="C457" s="2"/>
      <c r="D457" s="2"/>
      <c r="E457" s="2"/>
      <c r="F457" s="2"/>
      <c r="G457" s="2"/>
      <c r="H457" s="2"/>
      <c r="I457" s="4"/>
      <c r="J457" s="6"/>
      <c r="K457" s="2"/>
      <c r="L457" s="2"/>
      <c r="M457" s="2"/>
    </row>
    <row r="458" spans="2:13">
      <c r="B458" s="2"/>
      <c r="C458" s="2"/>
      <c r="D458" s="2"/>
      <c r="E458" s="2"/>
      <c r="F458" s="2"/>
      <c r="G458" s="2"/>
      <c r="H458" s="2"/>
      <c r="I458" s="4"/>
      <c r="J458" s="6"/>
      <c r="K458" s="2"/>
      <c r="L458" s="2"/>
      <c r="M458" s="2"/>
    </row>
    <row r="459" spans="2:13">
      <c r="B459" s="2"/>
      <c r="C459" s="2"/>
      <c r="D459" s="2"/>
      <c r="E459" s="2"/>
      <c r="F459" s="2"/>
      <c r="G459" s="2"/>
      <c r="H459" s="2"/>
      <c r="I459" s="4"/>
      <c r="J459" s="6"/>
      <c r="K459" s="2"/>
      <c r="L459" s="2"/>
      <c r="M459" s="2"/>
    </row>
    <row r="460" spans="2:13">
      <c r="B460" s="2"/>
      <c r="C460" s="2"/>
      <c r="D460" s="2"/>
      <c r="E460" s="2"/>
      <c r="F460" s="2"/>
      <c r="G460" s="2"/>
      <c r="H460" s="2"/>
      <c r="I460" s="4"/>
      <c r="J460" s="6"/>
      <c r="K460" s="2"/>
      <c r="L460" s="2"/>
      <c r="M460" s="2"/>
    </row>
    <row r="461" spans="2:13">
      <c r="B461" s="2"/>
      <c r="C461" s="2"/>
      <c r="D461" s="2"/>
      <c r="E461" s="2"/>
      <c r="F461" s="2"/>
      <c r="G461" s="2"/>
      <c r="H461" s="2"/>
      <c r="I461" s="4"/>
      <c r="J461" s="6"/>
      <c r="K461" s="2"/>
      <c r="L461" s="2"/>
      <c r="M461" s="2"/>
    </row>
    <row r="462" spans="2:13">
      <c r="B462" s="2"/>
      <c r="C462" s="2"/>
      <c r="D462" s="2"/>
      <c r="E462" s="2"/>
      <c r="F462" s="2"/>
      <c r="G462" s="2"/>
      <c r="H462" s="2"/>
      <c r="I462" s="4"/>
      <c r="J462" s="6"/>
      <c r="K462" s="2"/>
      <c r="L462" s="2"/>
      <c r="M462" s="2"/>
    </row>
    <row r="463" spans="2:13">
      <c r="B463" s="2"/>
      <c r="C463" s="2"/>
      <c r="D463" s="2"/>
      <c r="E463" s="2"/>
      <c r="F463" s="2"/>
      <c r="G463" s="2"/>
      <c r="H463" s="2"/>
      <c r="I463" s="4"/>
      <c r="J463" s="6"/>
      <c r="K463" s="2"/>
      <c r="L463" s="2"/>
      <c r="M463" s="2"/>
    </row>
    <row r="464" spans="2:13">
      <c r="B464" s="2"/>
      <c r="C464" s="2"/>
      <c r="D464" s="2"/>
      <c r="E464" s="2"/>
      <c r="F464" s="2"/>
      <c r="G464" s="2"/>
      <c r="H464" s="2"/>
      <c r="I464" s="4"/>
      <c r="J464" s="6"/>
      <c r="K464" s="2"/>
      <c r="L464" s="2"/>
      <c r="M464" s="2"/>
    </row>
    <row r="465" spans="2:13">
      <c r="B465" s="2"/>
      <c r="C465" s="2"/>
      <c r="D465" s="2"/>
      <c r="E465" s="2"/>
      <c r="F465" s="2"/>
      <c r="G465" s="2"/>
      <c r="H465" s="2"/>
      <c r="I465" s="4"/>
      <c r="J465" s="6"/>
      <c r="K465" s="2"/>
      <c r="L465" s="2"/>
      <c r="M465" s="2"/>
    </row>
    <row r="466" spans="2:13">
      <c r="B466" s="2"/>
      <c r="C466" s="2"/>
      <c r="D466" s="2"/>
      <c r="E466" s="2"/>
      <c r="F466" s="2"/>
      <c r="G466" s="2"/>
      <c r="H466" s="2"/>
      <c r="I466" s="4"/>
      <c r="J466" s="6"/>
      <c r="K466" s="2"/>
      <c r="L466" s="2"/>
      <c r="M466" s="2"/>
    </row>
    <row r="467" spans="2:13">
      <c r="B467" s="2"/>
      <c r="C467" s="2"/>
      <c r="D467" s="2"/>
      <c r="E467" s="2"/>
      <c r="F467" s="2"/>
      <c r="G467" s="2"/>
      <c r="H467" s="2"/>
      <c r="I467" s="4"/>
      <c r="J467" s="6"/>
      <c r="K467" s="2"/>
      <c r="L467" s="2"/>
      <c r="M467" s="2"/>
    </row>
  </sheetData>
  <pageMargins left="0.7" right="0.7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A4" sqref="A4:B13"/>
    </sheetView>
  </sheetViews>
  <sheetFormatPr defaultRowHeight="15"/>
  <sheetData>
    <row r="1" spans="1:10">
      <c r="D1" s="3"/>
      <c r="E1" s="3">
        <v>3.5937000000004072E-3</v>
      </c>
      <c r="F1" s="3">
        <v>552641.15410307853</v>
      </c>
      <c r="J1" t="s">
        <v>18</v>
      </c>
    </row>
    <row r="2" spans="1:10">
      <c r="A2" t="s">
        <v>0</v>
      </c>
      <c r="B2" t="s">
        <v>19</v>
      </c>
      <c r="C2" t="s">
        <v>20</v>
      </c>
      <c r="D2" s="3"/>
      <c r="E2" s="7" t="s">
        <v>15</v>
      </c>
      <c r="F2" s="3">
        <v>3.8112589591900062E-3</v>
      </c>
    </row>
    <row r="3" spans="1:10">
      <c r="A3">
        <v>1</v>
      </c>
      <c r="D3" s="3"/>
      <c r="E3" s="3">
        <f>+(1-EXP(-$E$1*$A3))/$E$1</f>
        <v>0.99820530051420564</v>
      </c>
      <c r="F3" s="3">
        <f>+$F$1/(1+1/SQRT($F$2*$E3))</f>
        <v>32106.559032813908</v>
      </c>
    </row>
    <row r="4" spans="1:10">
      <c r="A4">
        <v>2</v>
      </c>
      <c r="B4">
        <v>65</v>
      </c>
      <c r="C4">
        <f>+(1-($F4-$F3)/$F3)*100</f>
        <v>62.015861594264265</v>
      </c>
      <c r="D4" s="3"/>
      <c r="E4" s="3">
        <f t="shared" ref="E4:E15" si="0">+(1-EXP(-$E$1*$A4))/$E$1</f>
        <v>1.9928297886763404</v>
      </c>
      <c r="F4" s="3">
        <f t="shared" ref="F4:F15" si="1">+$F$1/(1+1/SQRT($F$2*$E4))</f>
        <v>44301.958853157194</v>
      </c>
    </row>
    <row r="5" spans="1:10">
      <c r="A5">
        <v>3</v>
      </c>
      <c r="B5">
        <v>35</v>
      </c>
      <c r="C5">
        <f>+(1-($F5-$F4)/($F4-$F3))*100</f>
        <v>26.585396903290793</v>
      </c>
      <c r="D5" s="3"/>
      <c r="E5" s="3">
        <f t="shared" si="0"/>
        <v>2.9838863097569748</v>
      </c>
      <c r="F5" s="3">
        <f t="shared" si="1"/>
        <v>53255.163227319004</v>
      </c>
    </row>
    <row r="6" spans="1:10">
      <c r="A6">
        <v>4</v>
      </c>
      <c r="B6">
        <v>14</v>
      </c>
      <c r="C6">
        <f t="shared" ref="C6:C13" si="2">+(1-($F6-$F5)/($F5-$F4))*100</f>
        <v>18.610270263018347</v>
      </c>
      <c r="D6" s="3"/>
      <c r="E6" s="3">
        <f t="shared" si="0"/>
        <v>3.9713876629473734</v>
      </c>
      <c r="F6" s="3">
        <f t="shared" si="1"/>
        <v>60542.152070248922</v>
      </c>
    </row>
    <row r="7" spans="1:10">
      <c r="A7">
        <v>5</v>
      </c>
      <c r="B7">
        <v>10</v>
      </c>
      <c r="C7">
        <f t="shared" si="2"/>
        <v>14.5143048602013</v>
      </c>
      <c r="D7" s="3"/>
      <c r="E7" s="3">
        <f t="shared" si="0"/>
        <v>4.9553466015249601</v>
      </c>
      <c r="F7" s="3">
        <f t="shared" si="1"/>
        <v>66771.485137387135</v>
      </c>
    </row>
    <row r="8" spans="1:10">
      <c r="A8">
        <v>6</v>
      </c>
      <c r="B8">
        <v>10</v>
      </c>
      <c r="C8">
        <f t="shared" si="2"/>
        <v>11.98301049989594</v>
      </c>
      <c r="D8" s="3"/>
      <c r="E8" s="3">
        <f t="shared" si="0"/>
        <v>5.9357758330178862</v>
      </c>
      <c r="F8" s="3">
        <f t="shared" si="1"/>
        <v>72254.356569016687</v>
      </c>
    </row>
    <row r="9" spans="1:10">
      <c r="A9">
        <v>7</v>
      </c>
      <c r="B9">
        <v>10</v>
      </c>
      <c r="C9">
        <f t="shared" si="2"/>
        <v>10.252375004821236</v>
      </c>
      <c r="D9" s="3"/>
      <c r="E9" s="3">
        <f t="shared" si="0"/>
        <v>6.9126880193692672</v>
      </c>
      <c r="F9" s="3">
        <f t="shared" si="1"/>
        <v>77175.103460443366</v>
      </c>
    </row>
    <row r="10" spans="1:10">
      <c r="A10">
        <v>8</v>
      </c>
      <c r="B10">
        <v>10</v>
      </c>
      <c r="C10">
        <f t="shared" si="2"/>
        <v>8.9895908746779547</v>
      </c>
      <c r="D10" s="3"/>
      <c r="E10" s="3">
        <f t="shared" si="0"/>
        <v>7.886095777100695</v>
      </c>
      <c r="F10" s="3">
        <f t="shared" si="1"/>
        <v>81653.495338352353</v>
      </c>
    </row>
    <row r="11" spans="1:10">
      <c r="A11">
        <v>9</v>
      </c>
      <c r="B11">
        <v>8</v>
      </c>
      <c r="C11">
        <f t="shared" si="2"/>
        <v>8.0250400515665898</v>
      </c>
      <c r="D11" s="3"/>
      <c r="E11" s="3">
        <f t="shared" si="0"/>
        <v>8.8560116774750508</v>
      </c>
      <c r="F11" s="3">
        <f t="shared" si="1"/>
        <v>85772.494474393039</v>
      </c>
    </row>
    <row r="12" spans="1:10">
      <c r="A12">
        <v>10</v>
      </c>
      <c r="B12">
        <v>7</v>
      </c>
      <c r="C12">
        <f t="shared" si="2"/>
        <v>7.2627731621350389</v>
      </c>
      <c r="D12" s="3"/>
      <c r="E12" s="3">
        <f t="shared" si="0"/>
        <v>9.8224482466590377</v>
      </c>
      <c r="F12" s="3">
        <f t="shared" si="1"/>
        <v>89592.340046632788</v>
      </c>
    </row>
    <row r="13" spans="1:10">
      <c r="A13">
        <v>11</v>
      </c>
      <c r="B13">
        <v>6</v>
      </c>
      <c r="C13">
        <f t="shared" si="2"/>
        <v>6.6442739567389992</v>
      </c>
      <c r="D13" s="3"/>
      <c r="E13" s="3">
        <f t="shared" si="0"/>
        <v>10.785417965884783</v>
      </c>
      <c r="F13" s="3">
        <f t="shared" si="1"/>
        <v>93158.384614328563</v>
      </c>
    </row>
    <row r="14" spans="1:10" s="9" customFormat="1">
      <c r="A14">
        <v>12</v>
      </c>
      <c r="B14"/>
      <c r="C14"/>
      <c r="D14" s="3"/>
      <c r="E14" s="3">
        <f t="shared" si="0"/>
        <v>11.744933271611194</v>
      </c>
      <c r="F14" s="3">
        <f t="shared" si="1"/>
        <v>96505.768006326602</v>
      </c>
    </row>
    <row r="15" spans="1:10">
      <c r="A15">
        <v>13</v>
      </c>
      <c r="D15" s="3"/>
      <c r="E15" s="3">
        <f t="shared" si="0"/>
        <v>12.701006555684359</v>
      </c>
      <c r="F15" s="3">
        <f t="shared" si="1"/>
        <v>99662.360656254459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25"/>
  <sheetViews>
    <sheetView tabSelected="1" zoomScale="90" zoomScaleNormal="90" workbookViewId="0">
      <selection activeCell="E1" sqref="E1:E1048576"/>
    </sheetView>
  </sheetViews>
  <sheetFormatPr defaultRowHeight="15"/>
  <cols>
    <col min="3" max="4" width="9.140625" style="3"/>
    <col min="5" max="6" width="9.140625" style="3" customWidth="1"/>
  </cols>
  <sheetData>
    <row r="1" spans="1:9">
      <c r="B1">
        <v>4978.3431919019386</v>
      </c>
      <c r="C1" s="3">
        <f>365*$B$1</f>
        <v>1817095.2650442077</v>
      </c>
      <c r="D1" s="3">
        <f>365*$B$1</f>
        <v>1817095.2650442077</v>
      </c>
      <c r="F1" s="3">
        <v>5.6894822716343364E-2</v>
      </c>
      <c r="I1">
        <f>+SUM(I4:I525)</f>
        <v>1.0632602952299024E-2</v>
      </c>
    </row>
    <row r="2" spans="1:9">
      <c r="C2" s="3">
        <v>6.1178106013976052E-2</v>
      </c>
      <c r="D2" s="3">
        <v>6.1178106013976052E-2</v>
      </c>
      <c r="E2" s="7"/>
      <c r="F2" s="7"/>
    </row>
    <row r="3" spans="1:9">
      <c r="B3" t="s">
        <v>21</v>
      </c>
      <c r="C3" s="3" t="s">
        <v>27</v>
      </c>
      <c r="D3" s="3" t="s">
        <v>28</v>
      </c>
      <c r="E3" s="7" t="s">
        <v>29</v>
      </c>
      <c r="F3" s="7"/>
    </row>
    <row r="4" spans="1:9">
      <c r="A4">
        <v>1</v>
      </c>
      <c r="B4">
        <f>+$G4*365</f>
        <v>336895</v>
      </c>
      <c r="C4" s="3">
        <f>+$C$1/(1+1/SQRT($C$2*$F4))</f>
        <v>356249.58342917357</v>
      </c>
      <c r="D4" s="3">
        <f>+$C$1/(1+1/SQRT($C$2*$A4))</f>
        <v>360321.46591140737</v>
      </c>
      <c r="E4">
        <f>+$H4*365</f>
        <v>329960</v>
      </c>
      <c r="F4" s="3">
        <f>+(1-EXP(-$F$1*$A4))/$F$1</f>
        <v>0.97208450487638465</v>
      </c>
      <c r="G4">
        <v>923</v>
      </c>
      <c r="H4">
        <v>904</v>
      </c>
      <c r="I4">
        <f>+(($B4-$C4)/$B4)^2</f>
        <v>3.3004907946928242E-3</v>
      </c>
    </row>
    <row r="5" spans="1:9">
      <c r="A5">
        <f>+$A4+1</f>
        <v>2</v>
      </c>
      <c r="B5">
        <f>+$B4+$G5*365</f>
        <v>496035</v>
      </c>
      <c r="C5" s="3">
        <f t="shared" ref="C5:C68" si="0">+$C$1/(1+1/SQRT($C$2*$F5))</f>
        <v>461130.62142674043</v>
      </c>
      <c r="D5" s="3">
        <f t="shared" ref="D5:D68" si="1">+$C$1/(1+1/SQRT($C$2*$A5))</f>
        <v>470893.87887172535</v>
      </c>
      <c r="E5">
        <f>+$E4+$H5*365</f>
        <v>485815</v>
      </c>
      <c r="F5" s="3">
        <f t="shared" ref="F5:F68" si="2">+(1-EXP(-$F$1*$A5))/$F$1</f>
        <v>1.8904063446231572</v>
      </c>
      <c r="G5">
        <v>436</v>
      </c>
      <c r="H5">
        <v>427</v>
      </c>
      <c r="I5">
        <f t="shared" ref="I5:I32" si="3">+(($B5-$C5)/$B5)^2</f>
        <v>4.9514817006829194E-3</v>
      </c>
    </row>
    <row r="6" spans="1:9">
      <c r="A6">
        <f t="shared" ref="A6:A32" si="4">+$A5+1</f>
        <v>3</v>
      </c>
      <c r="B6">
        <f>+$B5+$G6*365</f>
        <v>551880</v>
      </c>
      <c r="C6" s="3">
        <f t="shared" si="0"/>
        <v>529071.36741494096</v>
      </c>
      <c r="D6" s="3">
        <f t="shared" si="1"/>
        <v>544983.98905909981</v>
      </c>
      <c r="E6">
        <f>+$E5+$H6*365</f>
        <v>540200</v>
      </c>
      <c r="F6" s="3">
        <f t="shared" si="2"/>
        <v>2.7579389481421659</v>
      </c>
      <c r="G6">
        <v>153</v>
      </c>
      <c r="H6">
        <v>149</v>
      </c>
      <c r="I6">
        <f t="shared" si="3"/>
        <v>1.7080838543400555E-3</v>
      </c>
    </row>
    <row r="7" spans="1:9">
      <c r="A7">
        <f t="shared" si="4"/>
        <v>4</v>
      </c>
      <c r="B7">
        <f>+$B6+$G7*365</f>
        <v>588015</v>
      </c>
      <c r="C7" s="3">
        <f t="shared" si="0"/>
        <v>579147.90045680339</v>
      </c>
      <c r="D7" s="3">
        <f t="shared" si="1"/>
        <v>601390.09707531496</v>
      </c>
      <c r="E7">
        <f>+$E6+$H7*365</f>
        <v>578525</v>
      </c>
      <c r="F7" s="3">
        <f t="shared" si="2"/>
        <v>3.5774912941650001</v>
      </c>
      <c r="G7">
        <v>99</v>
      </c>
      <c r="H7">
        <v>105</v>
      </c>
      <c r="I7">
        <f t="shared" si="3"/>
        <v>2.2739785205146845E-4</v>
      </c>
    </row>
    <row r="8" spans="1:9">
      <c r="A8">
        <f t="shared" si="4"/>
        <v>5</v>
      </c>
      <c r="B8">
        <f>+$B7+$G8*365</f>
        <v>618675</v>
      </c>
      <c r="C8" s="3">
        <f t="shared" si="0"/>
        <v>618463.5426793379</v>
      </c>
      <c r="D8" s="3">
        <f t="shared" si="1"/>
        <v>647095.89419140946</v>
      </c>
      <c r="E8">
        <f>+$E7+$H8*365</f>
        <v>608455</v>
      </c>
      <c r="F8" s="3">
        <f t="shared" si="2"/>
        <v>4.3517170064287489</v>
      </c>
      <c r="G8">
        <v>84</v>
      </c>
      <c r="H8">
        <v>82</v>
      </c>
      <c r="I8">
        <f t="shared" si="3"/>
        <v>1.1682083768033133E-7</v>
      </c>
    </row>
    <row r="9" spans="1:9">
      <c r="A9">
        <f t="shared" si="4"/>
        <v>6</v>
      </c>
      <c r="B9">
        <f>+$B8+$G9*365</f>
        <v>646415</v>
      </c>
      <c r="C9" s="3">
        <f t="shared" si="0"/>
        <v>650534.83951448125</v>
      </c>
      <c r="D9" s="3">
        <f t="shared" si="1"/>
        <v>685556.32608005311</v>
      </c>
      <c r="E9">
        <f>+$E8+$H9*365</f>
        <v>632180</v>
      </c>
      <c r="F9" s="3">
        <f t="shared" si="2"/>
        <v>5.0831229458287552</v>
      </c>
      <c r="G9">
        <v>76</v>
      </c>
      <c r="H9">
        <v>65</v>
      </c>
      <c r="I9">
        <f t="shared" si="3"/>
        <v>4.0619796764819146E-5</v>
      </c>
    </row>
    <row r="10" spans="1:9">
      <c r="A10">
        <f t="shared" si="4"/>
        <v>7</v>
      </c>
      <c r="B10">
        <f>+$B9+$G10*365</f>
        <v>671235</v>
      </c>
      <c r="C10" s="3">
        <f t="shared" si="0"/>
        <v>677383.23533679661</v>
      </c>
      <c r="D10" s="3">
        <f t="shared" si="1"/>
        <v>718758.06118894182</v>
      </c>
      <c r="E10">
        <f>+$E9+$H10*365</f>
        <v>652255</v>
      </c>
      <c r="F10" s="3">
        <f t="shared" si="2"/>
        <v>5.7740773273688069</v>
      </c>
      <c r="G10">
        <v>68</v>
      </c>
      <c r="H10">
        <v>55</v>
      </c>
      <c r="I10">
        <f t="shared" si="3"/>
        <v>8.3898032832974284E-5</v>
      </c>
    </row>
    <row r="11" spans="1:9">
      <c r="A11">
        <f t="shared" si="4"/>
        <v>8</v>
      </c>
      <c r="B11">
        <f>+$B10+$G11*365</f>
        <v>693865</v>
      </c>
      <c r="C11" s="3">
        <f t="shared" si="0"/>
        <v>700285.56194205116</v>
      </c>
      <c r="D11" s="3">
        <f t="shared" si="1"/>
        <v>747957.25312895281</v>
      </c>
      <c r="E11">
        <f>+$E10+$H11*365</f>
        <v>670505</v>
      </c>
      <c r="F11" s="3">
        <f t="shared" si="2"/>
        <v>6.4268173881906234</v>
      </c>
      <c r="G11">
        <v>62</v>
      </c>
      <c r="H11">
        <v>50</v>
      </c>
      <c r="I11">
        <f t="shared" si="3"/>
        <v>8.5624119332227495E-5</v>
      </c>
    </row>
    <row r="12" spans="1:9">
      <c r="A12">
        <f t="shared" si="4"/>
        <v>9</v>
      </c>
      <c r="B12">
        <f>+$B11+$G12*365</f>
        <v>713940</v>
      </c>
      <c r="C12" s="3">
        <f t="shared" si="0"/>
        <v>720102.88130553893</v>
      </c>
      <c r="D12" s="3">
        <f t="shared" si="1"/>
        <v>774002.33453125716</v>
      </c>
      <c r="E12">
        <f>+$E11+$H12*365</f>
        <v>686930</v>
      </c>
      <c r="F12" s="3">
        <f t="shared" si="2"/>
        <v>7.0434566315108702</v>
      </c>
      <c r="G12">
        <v>55</v>
      </c>
      <c r="H12">
        <v>45</v>
      </c>
      <c r="I12">
        <f t="shared" si="3"/>
        <v>7.4515080875558841E-5</v>
      </c>
    </row>
    <row r="13" spans="1:9">
      <c r="A13">
        <f t="shared" si="4"/>
        <v>10</v>
      </c>
      <c r="B13">
        <f>+$B12+$G13*365</f>
        <v>732190</v>
      </c>
      <c r="C13" s="3">
        <f t="shared" si="0"/>
        <v>737444.63423719211</v>
      </c>
      <c r="D13" s="3">
        <f t="shared" si="1"/>
        <v>797494.98421782942</v>
      </c>
      <c r="E13">
        <f>+$E12+$H13*365</f>
        <v>702625</v>
      </c>
      <c r="F13" s="3">
        <f t="shared" si="2"/>
        <v>7.625991669920845</v>
      </c>
      <c r="G13">
        <v>50</v>
      </c>
      <c r="H13">
        <v>43</v>
      </c>
      <c r="I13">
        <f t="shared" si="3"/>
        <v>5.150357742895928E-5</v>
      </c>
    </row>
    <row r="14" spans="1:9">
      <c r="A14">
        <f t="shared" si="4"/>
        <v>11</v>
      </c>
      <c r="B14">
        <f>+$B13+$G14*365</f>
        <v>748615</v>
      </c>
      <c r="C14" s="3">
        <f t="shared" si="0"/>
        <v>752758.55032019177</v>
      </c>
      <c r="D14" s="3">
        <f t="shared" si="1"/>
        <v>818878.2382779771</v>
      </c>
      <c r="E14">
        <f>+$E13+$H14*365</f>
        <v>717590</v>
      </c>
      <c r="F14" s="3">
        <f t="shared" si="2"/>
        <v>8.1763086902066817</v>
      </c>
      <c r="G14">
        <v>45</v>
      </c>
      <c r="H14">
        <v>41</v>
      </c>
      <c r="I14">
        <f t="shared" si="3"/>
        <v>3.063572659867279E-5</v>
      </c>
    </row>
    <row r="15" spans="1:9">
      <c r="A15">
        <f t="shared" si="4"/>
        <v>12</v>
      </c>
      <c r="B15">
        <f>+$B14+$G15*365</f>
        <v>763215</v>
      </c>
      <c r="C15" s="3">
        <f t="shared" si="0"/>
        <v>766383.46131047735</v>
      </c>
      <c r="D15" s="3">
        <f t="shared" si="1"/>
        <v>838488.22965944698</v>
      </c>
      <c r="E15">
        <f>+$E14+$H15*365</f>
        <v>731825</v>
      </c>
      <c r="F15" s="3">
        <f t="shared" si="2"/>
        <v>8.696189560622491</v>
      </c>
      <c r="G15">
        <v>40</v>
      </c>
      <c r="H15">
        <v>39</v>
      </c>
      <c r="I15">
        <f t="shared" si="3"/>
        <v>1.7234671986634484E-5</v>
      </c>
    </row>
    <row r="16" spans="1:9">
      <c r="A16">
        <f t="shared" si="4"/>
        <v>13</v>
      </c>
      <c r="B16">
        <f>+$B15+$G16*365</f>
        <v>776355</v>
      </c>
      <c r="C16" s="3">
        <f t="shared" si="0"/>
        <v>778582.06964273402</v>
      </c>
      <c r="D16" s="3">
        <f t="shared" si="1"/>
        <v>856586.28816486057</v>
      </c>
      <c r="E16">
        <f>+$E15+$H16*365</f>
        <v>745330</v>
      </c>
      <c r="F16" s="3">
        <f t="shared" si="2"/>
        <v>9.1873176003911201</v>
      </c>
      <c r="G16">
        <v>36</v>
      </c>
      <c r="H16">
        <v>37</v>
      </c>
      <c r="I16">
        <f t="shared" si="3"/>
        <v>8.2289966862078106E-6</v>
      </c>
    </row>
    <row r="17" spans="1:9">
      <c r="A17">
        <f t="shared" si="4"/>
        <v>14</v>
      </c>
      <c r="B17">
        <f>+$B16+$G17*365</f>
        <v>788400</v>
      </c>
      <c r="C17" s="3">
        <f t="shared" si="0"/>
        <v>789562.1971614178</v>
      </c>
      <c r="D17" s="3">
        <f t="shared" si="1"/>
        <v>873379.75891462585</v>
      </c>
      <c r="E17">
        <f>+$E16+$H17*365</f>
        <v>758105</v>
      </c>
      <c r="F17" s="3">
        <f t="shared" si="2"/>
        <v>9.6512830301136177</v>
      </c>
      <c r="G17">
        <v>33</v>
      </c>
      <c r="H17">
        <v>35</v>
      </c>
      <c r="I17">
        <f t="shared" si="3"/>
        <v>2.1730333397293493E-6</v>
      </c>
    </row>
    <row r="18" spans="1:9">
      <c r="A18">
        <f t="shared" si="4"/>
        <v>15</v>
      </c>
      <c r="B18">
        <f>+$B17+$G18*365</f>
        <v>798985</v>
      </c>
      <c r="C18" s="3">
        <f t="shared" si="0"/>
        <v>799491.07432536571</v>
      </c>
      <c r="D18" s="3">
        <f t="shared" si="1"/>
        <v>889036.0071244702</v>
      </c>
      <c r="E18">
        <f>+$E17+$H18*365</f>
        <v>770150</v>
      </c>
      <c r="F18" s="3">
        <f t="shared" si="2"/>
        <v>10.089588120735186</v>
      </c>
      <c r="G18">
        <v>29</v>
      </c>
      <c r="H18">
        <v>33</v>
      </c>
      <c r="I18">
        <f t="shared" si="3"/>
        <v>4.0119116238266502E-7</v>
      </c>
    </row>
    <row r="19" spans="1:9">
      <c r="A19">
        <f t="shared" si="4"/>
        <v>16</v>
      </c>
      <c r="B19">
        <f>+$B18+$G19*365</f>
        <v>808475</v>
      </c>
      <c r="C19" s="3">
        <f t="shared" si="0"/>
        <v>808505.2472895761</v>
      </c>
      <c r="D19" s="3">
        <f t="shared" si="1"/>
        <v>903692.13306491415</v>
      </c>
      <c r="E19">
        <f>+$E18+$H19*365</f>
        <v>781465</v>
      </c>
      <c r="F19" s="3">
        <f t="shared" si="2"/>
        <v>10.503652057739471</v>
      </c>
      <c r="G19">
        <v>26</v>
      </c>
      <c r="H19">
        <v>31</v>
      </c>
      <c r="I19">
        <f t="shared" si="3"/>
        <v>1.399715391498493E-9</v>
      </c>
    </row>
    <row r="20" spans="1:9">
      <c r="A20">
        <f t="shared" si="4"/>
        <v>17</v>
      </c>
      <c r="B20">
        <f>+$B19+$G20*365</f>
        <v>817235</v>
      </c>
      <c r="C20" s="3">
        <f t="shared" si="0"/>
        <v>816717.62782912434</v>
      </c>
      <c r="D20" s="3">
        <f t="shared" si="1"/>
        <v>917461.88992973813</v>
      </c>
      <c r="E20">
        <f>+$E19+$H20*365</f>
        <v>792415</v>
      </c>
      <c r="F20" s="3">
        <f t="shared" si="2"/>
        <v>10.894815536320912</v>
      </c>
      <c r="G20">
        <v>24</v>
      </c>
      <c r="H20">
        <v>30</v>
      </c>
      <c r="I20">
        <f t="shared" si="3"/>
        <v>4.0078569588988332E-7</v>
      </c>
    </row>
    <row r="21" spans="1:9">
      <c r="A21">
        <f t="shared" si="4"/>
        <v>18</v>
      </c>
      <c r="B21">
        <f>+$B20+$G21*365</f>
        <v>824900</v>
      </c>
      <c r="C21" s="3">
        <f t="shared" si="0"/>
        <v>824222.62400696136</v>
      </c>
      <c r="D21" s="3">
        <f t="shared" si="1"/>
        <v>930440.72246114572</v>
      </c>
      <c r="E21">
        <f>+$E20+$H21*365</f>
        <v>802635</v>
      </c>
      <c r="F21" s="3">
        <f t="shared" si="2"/>
        <v>11.264345102413872</v>
      </c>
      <c r="G21">
        <v>21</v>
      </c>
      <c r="H21">
        <v>28</v>
      </c>
      <c r="I21">
        <f t="shared" si="3"/>
        <v>6.7430595362259308E-7</v>
      </c>
    </row>
    <row r="22" spans="1:9">
      <c r="A22">
        <f t="shared" si="4"/>
        <v>19</v>
      </c>
      <c r="B22">
        <f>+$B21+$G22*365</f>
        <v>831835</v>
      </c>
      <c r="C22" s="3">
        <f t="shared" si="0"/>
        <v>831099.94791021443</v>
      </c>
      <c r="D22" s="3">
        <f t="shared" si="1"/>
        <v>942709.50983051106</v>
      </c>
      <c r="E22">
        <f>+$E21+$H22*365</f>
        <v>812490</v>
      </c>
      <c r="F22" s="3">
        <f t="shared" si="2"/>
        <v>11.61343725363427</v>
      </c>
      <c r="G22">
        <v>19</v>
      </c>
      <c r="H22">
        <v>27</v>
      </c>
      <c r="I22">
        <f t="shared" si="3"/>
        <v>7.8083964261865965E-7</v>
      </c>
    </row>
    <row r="23" spans="1:9">
      <c r="A23">
        <f t="shared" si="4"/>
        <v>20</v>
      </c>
      <c r="B23">
        <f>+$B22+$G23*365</f>
        <v>838040</v>
      </c>
      <c r="C23" s="3">
        <f t="shared" si="0"/>
        <v>837417.49069289537</v>
      </c>
      <c r="D23" s="3">
        <f t="shared" si="1"/>
        <v>954337.39461146132</v>
      </c>
      <c r="E23">
        <f>+$E22+$H23*365</f>
        <v>821980</v>
      </c>
      <c r="F23" s="3">
        <f t="shared" si="2"/>
        <v>11.943222313412216</v>
      </c>
      <c r="G23">
        <v>17</v>
      </c>
      <c r="H23">
        <v>26</v>
      </c>
      <c r="I23">
        <f t="shared" si="3"/>
        <v>5.5177523131210411E-7</v>
      </c>
    </row>
    <row r="24" spans="1:9">
      <c r="A24">
        <f t="shared" si="4"/>
        <v>21</v>
      </c>
      <c r="B24">
        <f>+$B23+$G24*365</f>
        <v>843880</v>
      </c>
      <c r="C24" s="3">
        <f t="shared" si="0"/>
        <v>843233.52683465066</v>
      </c>
      <c r="D24" s="3">
        <f t="shared" si="1"/>
        <v>965383.95413665019</v>
      </c>
      <c r="E24">
        <f>+$E23+$H24*365</f>
        <v>830740</v>
      </c>
      <c r="F24" s="3">
        <f t="shared" si="2"/>
        <v>12.254768090859617</v>
      </c>
      <c r="G24">
        <v>16</v>
      </c>
      <c r="H24">
        <v>24</v>
      </c>
      <c r="I24">
        <f t="shared" si="3"/>
        <v>5.8686690104863912E-7</v>
      </c>
    </row>
    <row r="25" spans="1:9">
      <c r="A25">
        <f t="shared" si="4"/>
        <v>22</v>
      </c>
      <c r="B25">
        <f>+$B24+$G25*365</f>
        <v>848990</v>
      </c>
      <c r="C25" s="3">
        <f t="shared" si="0"/>
        <v>848598.42736881948</v>
      </c>
      <c r="D25" s="3">
        <f t="shared" si="1"/>
        <v>975900.89016561082</v>
      </c>
      <c r="E25">
        <f>+$E24+$H25*365</f>
        <v>839135</v>
      </c>
      <c r="F25" s="3">
        <f t="shared" si="2"/>
        <v>12.54908333822303</v>
      </c>
      <c r="G25">
        <v>14</v>
      </c>
      <c r="H25">
        <v>23</v>
      </c>
      <c r="I25">
        <f t="shared" si="3"/>
        <v>2.1272547838721839E-7</v>
      </c>
    </row>
    <row r="26" spans="1:9">
      <c r="A26">
        <f t="shared" si="4"/>
        <v>23</v>
      </c>
      <c r="B26">
        <f>+$B25+$G26*365</f>
        <v>853735</v>
      </c>
      <c r="C26" s="3">
        <f t="shared" si="0"/>
        <v>853556.00792752404</v>
      </c>
      <c r="D26" s="3">
        <f t="shared" si="1"/>
        <v>985933.36006442632</v>
      </c>
      <c r="E26">
        <f>+$E25+$H26*365</f>
        <v>847165</v>
      </c>
      <c r="F26" s="3">
        <f t="shared" si="2"/>
        <v>12.827121017116662</v>
      </c>
      <c r="G26">
        <v>13</v>
      </c>
      <c r="H26">
        <v>22</v>
      </c>
      <c r="I26">
        <f t="shared" si="3"/>
        <v>4.3956329542040168E-8</v>
      </c>
    </row>
    <row r="27" spans="1:9">
      <c r="A27">
        <f t="shared" si="4"/>
        <v>24</v>
      </c>
      <c r="B27">
        <f>+$B26+$G27*365</f>
        <v>857750</v>
      </c>
      <c r="C27" s="3">
        <f t="shared" si="0"/>
        <v>858144.6012979279</v>
      </c>
      <c r="D27" s="3">
        <f t="shared" si="1"/>
        <v>995521.03733428963</v>
      </c>
      <c r="E27">
        <f>+$E26+$H27*365</f>
        <v>854830</v>
      </c>
      <c r="F27" s="3">
        <f t="shared" si="2"/>
        <v>13.089781384111189</v>
      </c>
      <c r="G27">
        <v>11</v>
      </c>
      <c r="H27">
        <v>21</v>
      </c>
      <c r="I27">
        <f t="shared" si="3"/>
        <v>2.1163893398975588E-7</v>
      </c>
    </row>
    <row r="28" spans="1:9">
      <c r="A28">
        <f t="shared" si="4"/>
        <v>25</v>
      </c>
      <c r="B28">
        <f>+$B27+$G28*365</f>
        <v>861400</v>
      </c>
      <c r="C28" s="3">
        <f t="shared" si="0"/>
        <v>862397.91945370857</v>
      </c>
      <c r="D28" s="3">
        <f t="shared" si="1"/>
        <v>1004698.9651340604</v>
      </c>
      <c r="E28">
        <f>+$E27+$H28*365</f>
        <v>862130</v>
      </c>
      <c r="F28" s="3">
        <f t="shared" si="2"/>
        <v>13.337914905669226</v>
      </c>
      <c r="G28">
        <v>10</v>
      </c>
      <c r="H28">
        <v>20</v>
      </c>
      <c r="I28">
        <f t="shared" si="3"/>
        <v>1.3420887720833472E-6</v>
      </c>
    </row>
    <row r="29" spans="1:9">
      <c r="A29">
        <f t="shared" si="4"/>
        <v>26</v>
      </c>
      <c r="B29">
        <f>+$B28+$G29*365</f>
        <v>864685</v>
      </c>
      <c r="C29" s="3">
        <f t="shared" si="0"/>
        <v>866345.7528058982</v>
      </c>
      <c r="D29" s="3">
        <f t="shared" si="1"/>
        <v>1013498.2495941077</v>
      </c>
      <c r="E29">
        <f>+$E28+$H29*365</f>
        <v>869065</v>
      </c>
      <c r="F29" s="3">
        <f t="shared" si="2"/>
        <v>13.572325011865701</v>
      </c>
      <c r="G29">
        <v>9</v>
      </c>
      <c r="H29">
        <v>19</v>
      </c>
      <c r="I29">
        <f t="shared" si="3"/>
        <v>3.6888767010300062E-6</v>
      </c>
    </row>
    <row r="30" spans="1:9">
      <c r="A30">
        <f t="shared" si="4"/>
        <v>27</v>
      </c>
      <c r="B30">
        <f>+$B29+$G30*365</f>
        <v>867605</v>
      </c>
      <c r="C30" s="3">
        <f t="shared" si="0"/>
        <v>870014.54223142995</v>
      </c>
      <c r="D30" s="3">
        <f t="shared" si="1"/>
        <v>1021946.6277936123</v>
      </c>
      <c r="E30">
        <f>+$E29+$H30*365</f>
        <v>875635</v>
      </c>
      <c r="F30" s="3">
        <f t="shared" si="2"/>
        <v>13.793770697809391</v>
      </c>
      <c r="G30">
        <v>8</v>
      </c>
      <c r="H30">
        <v>18</v>
      </c>
      <c r="I30">
        <f t="shared" si="3"/>
        <v>7.7130295029223106E-6</v>
      </c>
    </row>
    <row r="31" spans="1:9">
      <c r="A31">
        <f t="shared" si="4"/>
        <v>28</v>
      </c>
      <c r="B31">
        <f>+$B30+$G31*365</f>
        <v>870160</v>
      </c>
      <c r="C31" s="3">
        <f t="shared" si="0"/>
        <v>873427.85068623291</v>
      </c>
      <c r="D31" s="3">
        <f t="shared" si="1"/>
        <v>1030068.9367068709</v>
      </c>
      <c r="E31">
        <f>+$E30+$H31*365</f>
        <v>881840</v>
      </c>
      <c r="F31" s="3">
        <f t="shared" si="2"/>
        <v>14.002968981188729</v>
      </c>
      <c r="G31">
        <v>7</v>
      </c>
      <c r="H31">
        <v>17</v>
      </c>
      <c r="I31">
        <f t="shared" si="3"/>
        <v>1.4103476467981513E-5</v>
      </c>
    </row>
    <row r="32" spans="1:9">
      <c r="A32">
        <f t="shared" si="4"/>
        <v>29</v>
      </c>
      <c r="B32">
        <f>+$B31+$G32*365</f>
        <v>872715</v>
      </c>
      <c r="C32" s="3">
        <f t="shared" si="0"/>
        <v>876606.75483917666</v>
      </c>
      <c r="D32" s="3">
        <f t="shared" si="1"/>
        <v>1037887.5031861175</v>
      </c>
      <c r="E32">
        <f>+$E31+$H32*365</f>
        <v>887680</v>
      </c>
      <c r="F32" s="3">
        <f t="shared" si="2"/>
        <v>14.200597223899186</v>
      </c>
      <c r="G32">
        <v>7</v>
      </c>
      <c r="H32">
        <v>16</v>
      </c>
      <c r="I32">
        <f t="shared" si="3"/>
        <v>1.988593736009187E-5</v>
      </c>
    </row>
    <row r="33" spans="1:14">
      <c r="A33">
        <f t="shared" ref="A33:A53" si="5">+$A32+1</f>
        <v>30</v>
      </c>
      <c r="C33" s="3">
        <f t="shared" si="0"/>
        <v>879570.17246783478</v>
      </c>
      <c r="D33" s="3">
        <f t="shared" si="1"/>
        <v>1045422.4704489524</v>
      </c>
      <c r="E33">
        <f>+$E32+$H33*365</f>
        <v>893155</v>
      </c>
      <c r="F33" s="3">
        <f t="shared" si="2"/>
        <v>14.387295325269358</v>
      </c>
      <c r="H33">
        <v>15</v>
      </c>
    </row>
    <row r="34" spans="1:14">
      <c r="A34">
        <f t="shared" si="5"/>
        <v>31</v>
      </c>
      <c r="C34" s="3">
        <f t="shared" si="0"/>
        <v>882335.13785652828</v>
      </c>
      <c r="D34" s="3">
        <f t="shared" si="1"/>
        <v>1052692.0731079855</v>
      </c>
      <c r="E34">
        <f>+$E33+$H34*365</f>
        <v>898630</v>
      </c>
      <c r="F34" s="3">
        <f t="shared" si="2"/>
        <v>14.563667793987282</v>
      </c>
      <c r="H34">
        <v>15</v>
      </c>
    </row>
    <row r="35" spans="1:14">
      <c r="A35">
        <f t="shared" si="5"/>
        <v>32</v>
      </c>
      <c r="C35" s="3">
        <f t="shared" si="0"/>
        <v>884917.0347995027</v>
      </c>
      <c r="D35" s="3">
        <f t="shared" si="1"/>
        <v>1059712.870194217</v>
      </c>
      <c r="E35">
        <f>+$E34+$H35*365</f>
        <v>903740</v>
      </c>
      <c r="F35" s="3">
        <f t="shared" si="2"/>
        <v>14.730285705435545</v>
      </c>
      <c r="H35">
        <v>14</v>
      </c>
    </row>
    <row r="36" spans="1:14">
      <c r="A36">
        <f t="shared" si="5"/>
        <v>33</v>
      </c>
      <c r="C36" s="3">
        <f t="shared" si="0"/>
        <v>887329.79480502137</v>
      </c>
      <c r="D36" s="3">
        <f t="shared" si="1"/>
        <v>1066499.9436567989</v>
      </c>
      <c r="E36">
        <f>+$E35+$H36*365</f>
        <v>908485</v>
      </c>
      <c r="F36" s="3">
        <f t="shared" si="2"/>
        <v>14.887688550772941</v>
      </c>
      <c r="H36">
        <v>13</v>
      </c>
    </row>
    <row r="37" spans="1:14">
      <c r="A37">
        <f t="shared" si="5"/>
        <v>34</v>
      </c>
      <c r="C37" s="3">
        <f t="shared" si="0"/>
        <v>889586.06655481015</v>
      </c>
      <c r="D37" s="3">
        <f t="shared" si="1"/>
        <v>1073067.0683089206</v>
      </c>
      <c r="E37">
        <f>+$E36+$H37*365</f>
        <v>912865</v>
      </c>
      <c r="F37" s="3">
        <f t="shared" si="2"/>
        <v>15.036385983749712</v>
      </c>
      <c r="H37">
        <v>12</v>
      </c>
    </row>
    <row r="38" spans="1:14">
      <c r="A38">
        <f t="shared" si="5"/>
        <v>35</v>
      </c>
      <c r="C38" s="3">
        <f t="shared" si="0"/>
        <v>891697.36147940182</v>
      </c>
      <c r="D38" s="3">
        <f t="shared" si="1"/>
        <v>1079426.8580170344</v>
      </c>
      <c r="E38">
        <f>+$E37+$H38*365</f>
        <v>917245</v>
      </c>
      <c r="F38" s="3">
        <f t="shared" si="2"/>
        <v>15.176859470912449</v>
      </c>
      <c r="H38">
        <v>12</v>
      </c>
    </row>
    <row r="39" spans="1:14">
      <c r="A39">
        <f t="shared" si="5"/>
        <v>36</v>
      </c>
      <c r="C39" s="3">
        <f t="shared" si="0"/>
        <v>893674.17937777122</v>
      </c>
      <c r="D39" s="3">
        <f t="shared" si="1"/>
        <v>1085590.8920145237</v>
      </c>
      <c r="E39">
        <f>+$E38+$H39*365</f>
        <v>921260</v>
      </c>
      <c r="F39" s="3">
        <f t="shared" si="2"/>
        <v>15.309563850541805</v>
      </c>
      <c r="H39">
        <v>11</v>
      </c>
    </row>
    <row r="40" spans="1:14">
      <c r="A40">
        <f t="shared" si="5"/>
        <v>37</v>
      </c>
      <c r="C40" s="3">
        <f t="shared" si="0"/>
        <v>895526.11727632128</v>
      </c>
      <c r="D40" s="3">
        <f t="shared" si="1"/>
        <v>1091569.8244997566</v>
      </c>
      <c r="E40">
        <f>+$E39+$H40*365</f>
        <v>925275</v>
      </c>
      <c r="F40" s="3">
        <f t="shared" si="2"/>
        <v>15.434928805370689</v>
      </c>
      <c r="H40">
        <v>11</v>
      </c>
    </row>
    <row r="41" spans="1:14">
      <c r="A41">
        <f t="shared" si="5"/>
        <v>38</v>
      </c>
      <c r="C41" s="3">
        <f t="shared" si="0"/>
        <v>897261.96414132148</v>
      </c>
      <c r="D41" s="3">
        <f t="shared" si="1"/>
        <v>1097373.4801066865</v>
      </c>
      <c r="E41">
        <f>+$E40+$H41*365</f>
        <v>928925</v>
      </c>
      <c r="F41" s="3">
        <f t="shared" si="2"/>
        <v>15.553360253851467</v>
      </c>
      <c r="H41">
        <v>10</v>
      </c>
    </row>
    <row r="42" spans="1:14">
      <c r="A42">
        <f t="shared" si="5"/>
        <v>39</v>
      </c>
      <c r="C42" s="3">
        <f t="shared" si="0"/>
        <v>898889.78359555115</v>
      </c>
      <c r="D42" s="3">
        <f t="shared" si="1"/>
        <v>1103010.9373798396</v>
      </c>
      <c r="E42">
        <f>+$E41+$H42*365</f>
        <v>932575</v>
      </c>
      <c r="F42" s="3">
        <f t="shared" si="2"/>
        <v>15.66524166447695</v>
      </c>
      <c r="H42">
        <v>10</v>
      </c>
    </row>
    <row r="43" spans="1:14">
      <c r="A43">
        <f t="shared" si="5"/>
        <v>40</v>
      </c>
      <c r="C43" s="3">
        <f t="shared" si="0"/>
        <v>900416.98641805269</v>
      </c>
      <c r="D43" s="3">
        <f t="shared" si="1"/>
        <v>1108490.6020189859</v>
      </c>
      <c r="E43">
        <f>+$E42+$H43*365</f>
        <v>935860</v>
      </c>
      <c r="F43" s="3">
        <f t="shared" si="2"/>
        <v>15.770935297410769</v>
      </c>
      <c r="H43">
        <v>9</v>
      </c>
    </row>
    <row r="44" spans="1:14">
      <c r="A44">
        <f t="shared" si="5"/>
        <v>41</v>
      </c>
      <c r="C44" s="3">
        <f t="shared" si="0"/>
        <v>901850.39430571441</v>
      </c>
      <c r="D44" s="3">
        <f t="shared" si="1"/>
        <v>1113820.2713626514</v>
      </c>
      <c r="E44">
        <f>+$E43+$H44*365</f>
        <v>939145</v>
      </c>
      <c r="F44" s="3">
        <f t="shared" si="2"/>
        <v>15.870783377447438</v>
      </c>
      <c r="H44">
        <v>9</v>
      </c>
    </row>
    <row r="45" spans="1:14">
      <c r="A45">
        <f t="shared" si="5"/>
        <v>42</v>
      </c>
      <c r="C45" s="3">
        <f t="shared" si="0"/>
        <v>903196.29613168514</v>
      </c>
      <c r="D45" s="3">
        <f t="shared" si="1"/>
        <v>1119007.191339005</v>
      </c>
      <c r="E45">
        <f>+$E44+$H45*365</f>
        <v>942065</v>
      </c>
      <c r="F45" s="3">
        <f t="shared" si="2"/>
        <v>15.965109202100018</v>
      </c>
      <c r="H45">
        <v>8</v>
      </c>
    </row>
    <row r="46" spans="1:14">
      <c r="A46">
        <f t="shared" si="5"/>
        <v>43</v>
      </c>
      <c r="C46" s="3">
        <f t="shared" si="0"/>
        <v>904460.49773673061</v>
      </c>
      <c r="D46" s="3">
        <f t="shared" si="1"/>
        <v>1124058.1069160867</v>
      </c>
      <c r="E46">
        <f>+$E45+$H46*365</f>
        <v>944985</v>
      </c>
      <c r="F46" s="3">
        <f t="shared" si="2"/>
        <v>16.054218188403222</v>
      </c>
      <c r="H46">
        <v>8</v>
      </c>
    </row>
    <row r="47" spans="1:14">
      <c r="A47">
        <f t="shared" si="5"/>
        <v>44</v>
      </c>
      <c r="C47" s="3">
        <f t="shared" si="0"/>
        <v>905648.36612649099</v>
      </c>
      <c r="D47" s="3">
        <f t="shared" si="1"/>
        <v>1128979.3069219517</v>
      </c>
      <c r="E47">
        <f>+$E46+$H47*365</f>
        <v>947540</v>
      </c>
      <c r="F47" s="3">
        <f t="shared" si="2"/>
        <v>16.138398861821461</v>
      </c>
      <c r="H47">
        <v>7</v>
      </c>
    </row>
    <row r="48" spans="1:14">
      <c r="A48">
        <f t="shared" si="5"/>
        <v>45</v>
      </c>
      <c r="C48" s="3">
        <f t="shared" si="0"/>
        <v>906764.86881313298</v>
      </c>
      <c r="D48" s="3">
        <f t="shared" si="1"/>
        <v>1133776.6639721624</v>
      </c>
      <c r="E48">
        <f>+$E47+$H48*365</f>
        <v>950095</v>
      </c>
      <c r="F48" s="3">
        <f t="shared" si="2"/>
        <v>16.21792379046374</v>
      </c>
      <c r="H48">
        <v>7</v>
      </c>
      <c r="N48" t="s">
        <v>22</v>
      </c>
    </row>
    <row r="49" spans="1:8">
      <c r="A49">
        <f t="shared" si="5"/>
        <v>46</v>
      </c>
      <c r="C49" s="3">
        <f t="shared" si="0"/>
        <v>907814.60892855003</v>
      </c>
      <c r="D49" s="3">
        <f t="shared" si="1"/>
        <v>1138455.6701317187</v>
      </c>
      <c r="E49">
        <f>+$E48+$H49*365</f>
        <v>952650</v>
      </c>
      <c r="F49" s="3">
        <f t="shared" si="2"/>
        <v>16.293050467630348</v>
      </c>
      <c r="H49">
        <v>7</v>
      </c>
    </row>
    <row r="50" spans="1:8">
      <c r="A50">
        <f t="shared" si="5"/>
        <v>47</v>
      </c>
      <c r="C50" s="3">
        <f t="shared" si="0"/>
        <v>908801.85664370365</v>
      </c>
      <c r="D50" s="3">
        <f t="shared" si="1"/>
        <v>1143021.4688466468</v>
      </c>
      <c r="F50" s="3">
        <f t="shared" si="2"/>
        <v>16.364022145548898</v>
      </c>
    </row>
    <row r="51" spans="1:8">
      <c r="A51">
        <f t="shared" si="5"/>
        <v>48</v>
      </c>
      <c r="C51" s="3">
        <f t="shared" si="0"/>
        <v>909730.57735138189</v>
      </c>
      <c r="D51" s="3">
        <f t="shared" si="1"/>
        <v>1147478.8836037004</v>
      </c>
      <c r="F51" s="3">
        <f t="shared" si="2"/>
        <v>16.431068622999298</v>
      </c>
    </row>
    <row r="52" spans="1:8">
      <c r="A52">
        <f t="shared" si="5"/>
        <v>49</v>
      </c>
      <c r="C52" s="3">
        <f t="shared" si="0"/>
        <v>910604.45700486482</v>
      </c>
      <c r="D52" s="3">
        <f t="shared" si="1"/>
        <v>1151832.4437121786</v>
      </c>
      <c r="F52" s="3">
        <f t="shared" si="2"/>
        <v>16.494406989377868</v>
      </c>
    </row>
    <row r="53" spans="1:8">
      <c r="A53">
        <f t="shared" si="5"/>
        <v>50</v>
      </c>
      <c r="C53" s="3">
        <f t="shared" si="0"/>
        <v>911426.92495045601</v>
      </c>
      <c r="D53" s="3">
        <f t="shared" si="1"/>
        <v>1156086.407547595</v>
      </c>
      <c r="F53" s="3">
        <f t="shared" si="2"/>
        <v>16.554242327609828</v>
      </c>
    </row>
    <row r="54" spans="1:8">
      <c r="A54">
        <f>+$A53+10</f>
        <v>60</v>
      </c>
      <c r="C54" s="3">
        <f t="shared" si="0"/>
        <v>917431.00737484253</v>
      </c>
      <c r="D54" s="3">
        <f t="shared" si="1"/>
        <v>1193928.1258185678</v>
      </c>
      <c r="F54" s="3">
        <f t="shared" si="2"/>
        <v>16.997688538989269</v>
      </c>
    </row>
    <row r="55" spans="1:8">
      <c r="A55">
        <f t="shared" ref="A55:A118" si="6">+$A54+10</f>
        <v>70</v>
      </c>
      <c r="C55" s="3">
        <f t="shared" si="0"/>
        <v>920760.67693662073</v>
      </c>
      <c r="D55" s="3">
        <f t="shared" si="1"/>
        <v>1225094.2350503784</v>
      </c>
      <c r="F55" s="3">
        <f t="shared" si="2"/>
        <v>17.248732554688718</v>
      </c>
    </row>
    <row r="56" spans="1:8">
      <c r="A56">
        <f t="shared" si="6"/>
        <v>80</v>
      </c>
      <c r="C56" s="3">
        <f t="shared" si="0"/>
        <v>922624.11591355863</v>
      </c>
      <c r="D56" s="3">
        <f t="shared" si="1"/>
        <v>1251426.3732596443</v>
      </c>
      <c r="F56" s="3">
        <f t="shared" si="2"/>
        <v>17.390853732412751</v>
      </c>
    </row>
    <row r="57" spans="1:8">
      <c r="A57">
        <f t="shared" si="6"/>
        <v>90</v>
      </c>
      <c r="C57" s="3">
        <f t="shared" si="0"/>
        <v>923672.25670286955</v>
      </c>
      <c r="D57" s="3">
        <f t="shared" si="1"/>
        <v>1274110.3406500884</v>
      </c>
      <c r="F57" s="3">
        <f t="shared" si="2"/>
        <v>17.471311452551543</v>
      </c>
    </row>
    <row r="58" spans="1:8">
      <c r="A58">
        <f t="shared" si="6"/>
        <v>100</v>
      </c>
      <c r="C58" s="3">
        <f t="shared" si="0"/>
        <v>924263.47546978749</v>
      </c>
      <c r="D58" s="3">
        <f t="shared" si="1"/>
        <v>1293952.4170935606</v>
      </c>
      <c r="F58" s="3">
        <f t="shared" si="2"/>
        <v>17.516860221803249</v>
      </c>
    </row>
    <row r="59" spans="1:8">
      <c r="A59">
        <f t="shared" si="6"/>
        <v>110</v>
      </c>
      <c r="C59" s="3">
        <f t="shared" si="0"/>
        <v>924597.48957531992</v>
      </c>
      <c r="D59" s="3">
        <f t="shared" si="1"/>
        <v>1311524.417003416</v>
      </c>
      <c r="F59" s="3">
        <f t="shared" si="2"/>
        <v>17.542646316372746</v>
      </c>
    </row>
    <row r="60" spans="1:8">
      <c r="A60">
        <f t="shared" si="6"/>
        <v>120</v>
      </c>
      <c r="C60" s="3">
        <f t="shared" si="0"/>
        <v>924786.36232837418</v>
      </c>
      <c r="D60" s="3">
        <f t="shared" si="1"/>
        <v>1327245.7301972574</v>
      </c>
      <c r="F60" s="3">
        <f t="shared" si="2"/>
        <v>17.557244354565011</v>
      </c>
    </row>
    <row r="61" spans="1:8">
      <c r="A61">
        <f t="shared" si="6"/>
        <v>130</v>
      </c>
      <c r="C61" s="3">
        <f t="shared" si="0"/>
        <v>924893.2168513228</v>
      </c>
      <c r="D61" s="3">
        <f t="shared" si="1"/>
        <v>1341432.5177726892</v>
      </c>
      <c r="F61" s="3">
        <f t="shared" si="2"/>
        <v>17.565508604061517</v>
      </c>
    </row>
    <row r="62" spans="1:8">
      <c r="A62">
        <f t="shared" si="6"/>
        <v>140</v>
      </c>
      <c r="C62" s="3">
        <f t="shared" si="0"/>
        <v>924953.68690884172</v>
      </c>
      <c r="D62" s="3">
        <f t="shared" si="1"/>
        <v>1354328.639196676</v>
      </c>
      <c r="F62" s="3">
        <f t="shared" si="2"/>
        <v>17.570187165580606</v>
      </c>
    </row>
    <row r="63" spans="1:8">
      <c r="A63">
        <f t="shared" si="6"/>
        <v>150</v>
      </c>
      <c r="C63" s="3">
        <f t="shared" si="0"/>
        <v>924987.91304935259</v>
      </c>
      <c r="D63" s="3">
        <f t="shared" si="1"/>
        <v>1366125.8679764471</v>
      </c>
      <c r="F63" s="3">
        <f t="shared" si="2"/>
        <v>17.57283579542862</v>
      </c>
    </row>
    <row r="64" spans="1:8">
      <c r="A64">
        <f t="shared" si="6"/>
        <v>160</v>
      </c>
      <c r="C64" s="3">
        <f t="shared" si="0"/>
        <v>925007.28686356498</v>
      </c>
      <c r="D64" s="3">
        <f t="shared" si="1"/>
        <v>1376977.5462421556</v>
      </c>
      <c r="F64" s="3">
        <f t="shared" si="2"/>
        <v>17.57433523923056</v>
      </c>
    </row>
    <row r="65" spans="1:6">
      <c r="A65">
        <f t="shared" si="6"/>
        <v>170</v>
      </c>
      <c r="C65" s="3">
        <f t="shared" si="0"/>
        <v>925018.25403863925</v>
      </c>
      <c r="D65" s="3">
        <f t="shared" si="1"/>
        <v>1387008.0693591256</v>
      </c>
      <c r="F65" s="3">
        <f t="shared" si="2"/>
        <v>17.575184105189262</v>
      </c>
    </row>
    <row r="66" spans="1:6">
      <c r="A66">
        <f t="shared" si="6"/>
        <v>180</v>
      </c>
      <c r="C66" s="3">
        <f t="shared" si="0"/>
        <v>925024.46254494146</v>
      </c>
      <c r="D66" s="3">
        <f t="shared" si="1"/>
        <v>1396319.6351989189</v>
      </c>
      <c r="F66" s="3">
        <f t="shared" si="2"/>
        <v>17.57566466565769</v>
      </c>
    </row>
    <row r="67" spans="1:6">
      <c r="A67">
        <f t="shared" si="6"/>
        <v>190</v>
      </c>
      <c r="C67" s="3">
        <f t="shared" si="0"/>
        <v>925027.97723204503</v>
      </c>
      <c r="D67" s="3">
        <f t="shared" si="1"/>
        <v>1404997.1493383639</v>
      </c>
      <c r="F67" s="3">
        <f t="shared" si="2"/>
        <v>17.575936720817221</v>
      </c>
    </row>
    <row r="68" spans="1:6">
      <c r="A68">
        <f t="shared" si="6"/>
        <v>200</v>
      </c>
      <c r="C68" s="3">
        <f t="shared" si="0"/>
        <v>925029.96694432595</v>
      </c>
      <c r="D68" s="3">
        <f t="shared" si="1"/>
        <v>1413111.8569054338</v>
      </c>
      <c r="F68" s="3">
        <f t="shared" si="2"/>
        <v>17.576090736835372</v>
      </c>
    </row>
    <row r="69" spans="1:6">
      <c r="A69">
        <f t="shared" si="6"/>
        <v>210</v>
      </c>
      <c r="C69" s="3">
        <f t="shared" ref="C69:C132" si="7">+$C$1/(1+1/SQRT($C$2*$F69))</f>
        <v>925031.09335354913</v>
      </c>
      <c r="D69" s="3">
        <f t="shared" ref="D69:D132" si="8">+$C$1/(1+1/SQRT($C$2*$A69))</f>
        <v>1420724.0763626341</v>
      </c>
      <c r="F69" s="3">
        <f t="shared" ref="F69:F132" si="9">+(1-EXP(-$F$1*$A69))/$F$1</f>
        <v>17.576177928469185</v>
      </c>
    </row>
    <row r="70" spans="1:6">
      <c r="A70">
        <f t="shared" si="6"/>
        <v>220</v>
      </c>
      <c r="C70" s="3">
        <f t="shared" si="7"/>
        <v>925031.73103446513</v>
      </c>
      <c r="D70" s="3">
        <f t="shared" si="8"/>
        <v>1427885.2878769923</v>
      </c>
      <c r="F70" s="3">
        <f t="shared" si="9"/>
        <v>17.576227289445388</v>
      </c>
    </row>
    <row r="71" spans="1:6">
      <c r="A71">
        <f t="shared" si="6"/>
        <v>230</v>
      </c>
      <c r="C71" s="3">
        <f t="shared" si="7"/>
        <v>925032.09203793865</v>
      </c>
      <c r="D71" s="3">
        <f t="shared" si="8"/>
        <v>1434639.7499627331</v>
      </c>
      <c r="F71" s="3">
        <f t="shared" si="9"/>
        <v>17.576255233708679</v>
      </c>
    </row>
    <row r="72" spans="1:6">
      <c r="A72">
        <f t="shared" si="6"/>
        <v>240</v>
      </c>
      <c r="C72" s="3">
        <f t="shared" si="7"/>
        <v>925032.29640916898</v>
      </c>
      <c r="D72" s="3">
        <f t="shared" si="8"/>
        <v>1441025.7660644634</v>
      </c>
      <c r="F72" s="3">
        <f t="shared" si="9"/>
        <v>17.576271053530544</v>
      </c>
    </row>
    <row r="73" spans="1:6">
      <c r="A73">
        <f t="shared" si="6"/>
        <v>250</v>
      </c>
      <c r="C73" s="3">
        <f t="shared" si="7"/>
        <v>925032.41210784146</v>
      </c>
      <c r="D73" s="3">
        <f t="shared" si="8"/>
        <v>1447076.6877680812</v>
      </c>
      <c r="F73" s="3">
        <f t="shared" si="9"/>
        <v>17.576280009456895</v>
      </c>
    </row>
    <row r="74" spans="1:6">
      <c r="A74">
        <f t="shared" si="6"/>
        <v>260</v>
      </c>
      <c r="C74" s="3">
        <f t="shared" si="7"/>
        <v>925032.47760721168</v>
      </c>
      <c r="D74" s="3">
        <f t="shared" si="8"/>
        <v>1452821.7173614118</v>
      </c>
      <c r="F74" s="3">
        <f t="shared" si="9"/>
        <v>17.5762850795909</v>
      </c>
    </row>
    <row r="75" spans="1:6">
      <c r="A75">
        <f t="shared" si="6"/>
        <v>270</v>
      </c>
      <c r="C75" s="3">
        <f t="shared" si="7"/>
        <v>925032.51468774315</v>
      </c>
      <c r="D75" s="3">
        <f t="shared" si="8"/>
        <v>1458286.5557680556</v>
      </c>
      <c r="F75" s="3">
        <f t="shared" si="9"/>
        <v>17.576287949897981</v>
      </c>
    </row>
    <row r="76" spans="1:6">
      <c r="A76">
        <f t="shared" si="6"/>
        <v>280</v>
      </c>
      <c r="C76" s="3">
        <f t="shared" si="7"/>
        <v>925032.53567979159</v>
      </c>
      <c r="D76" s="3">
        <f t="shared" si="8"/>
        <v>1463493.9300617434</v>
      </c>
      <c r="F76" s="3">
        <f t="shared" si="9"/>
        <v>17.576289574837823</v>
      </c>
    </row>
    <row r="77" spans="1:6">
      <c r="A77">
        <f t="shared" si="6"/>
        <v>290</v>
      </c>
      <c r="C77" s="3">
        <f t="shared" si="7"/>
        <v>925032.54756382084</v>
      </c>
      <c r="D77" s="3">
        <f t="shared" si="8"/>
        <v>1468464.026287995</v>
      </c>
      <c r="F77" s="3">
        <f t="shared" si="9"/>
        <v>17.576290494749667</v>
      </c>
    </row>
    <row r="78" spans="1:6">
      <c r="A78">
        <f t="shared" si="6"/>
        <v>300</v>
      </c>
      <c r="C78" s="3">
        <f t="shared" si="7"/>
        <v>925032.55429161375</v>
      </c>
      <c r="D78" s="3">
        <f t="shared" si="8"/>
        <v>1473214.8471536841</v>
      </c>
      <c r="F78" s="3">
        <f t="shared" si="9"/>
        <v>17.576291015530671</v>
      </c>
    </row>
    <row r="79" spans="1:6">
      <c r="A79">
        <f t="shared" si="6"/>
        <v>310</v>
      </c>
      <c r="C79" s="3">
        <f t="shared" si="7"/>
        <v>925032.55810035556</v>
      </c>
      <c r="D79" s="3">
        <f t="shared" si="8"/>
        <v>1477762.5096074485</v>
      </c>
      <c r="F79" s="3">
        <f t="shared" si="9"/>
        <v>17.576291310355504</v>
      </c>
    </row>
    <row r="80" spans="1:6">
      <c r="A80">
        <f t="shared" si="6"/>
        <v>320</v>
      </c>
      <c r="C80" s="3">
        <f t="shared" si="7"/>
        <v>925032.56025656243</v>
      </c>
      <c r="D80" s="3">
        <f t="shared" si="8"/>
        <v>1482121.493957262</v>
      </c>
      <c r="F80" s="3">
        <f t="shared" si="9"/>
        <v>17.576291477261901</v>
      </c>
    </row>
    <row r="81" spans="1:6">
      <c r="A81">
        <f t="shared" si="6"/>
        <v>330</v>
      </c>
      <c r="C81" s="3">
        <f t="shared" si="7"/>
        <v>925032.56147723563</v>
      </c>
      <c r="D81" s="3">
        <f t="shared" si="8"/>
        <v>1486304.8536327358</v>
      </c>
      <c r="F81" s="3">
        <f t="shared" si="9"/>
        <v>17.576291571751046</v>
      </c>
    </row>
    <row r="82" spans="1:6">
      <c r="A82">
        <f t="shared" si="6"/>
        <v>340</v>
      </c>
      <c r="C82" s="3">
        <f t="shared" si="7"/>
        <v>925032.56216828374</v>
      </c>
      <c r="D82" s="3">
        <f t="shared" si="8"/>
        <v>1490324.3927724469</v>
      </c>
      <c r="F82" s="3">
        <f t="shared" si="9"/>
        <v>17.576291625243289</v>
      </c>
    </row>
    <row r="83" spans="1:6">
      <c r="A83">
        <f t="shared" si="6"/>
        <v>350</v>
      </c>
      <c r="C83" s="3">
        <f t="shared" si="7"/>
        <v>925032.56255950034</v>
      </c>
      <c r="D83" s="3">
        <f t="shared" si="8"/>
        <v>1494190.8173403041</v>
      </c>
      <c r="F83" s="3">
        <f t="shared" si="9"/>
        <v>17.576291655526351</v>
      </c>
    </row>
    <row r="84" spans="1:6">
      <c r="A84">
        <f t="shared" si="6"/>
        <v>360</v>
      </c>
      <c r="C84" s="3">
        <f t="shared" si="7"/>
        <v>925032.56278097595</v>
      </c>
      <c r="D84" s="3">
        <f t="shared" si="8"/>
        <v>1497913.8643345858</v>
      </c>
      <c r="F84" s="3">
        <f t="shared" si="9"/>
        <v>17.576291672670212</v>
      </c>
    </row>
    <row r="85" spans="1:6">
      <c r="A85">
        <f t="shared" si="6"/>
        <v>370</v>
      </c>
      <c r="C85" s="3">
        <f t="shared" si="7"/>
        <v>925032.56290635793</v>
      </c>
      <c r="D85" s="3">
        <f t="shared" si="8"/>
        <v>1501502.4127653779</v>
      </c>
      <c r="F85" s="3">
        <f t="shared" si="9"/>
        <v>17.576291682375707</v>
      </c>
    </row>
    <row r="86" spans="1:6">
      <c r="A86">
        <f t="shared" si="6"/>
        <v>380</v>
      </c>
      <c r="C86" s="3">
        <f t="shared" si="7"/>
        <v>925032.56297733926</v>
      </c>
      <c r="D86" s="3">
        <f t="shared" si="8"/>
        <v>1504964.5793796922</v>
      </c>
      <c r="F86" s="3">
        <f t="shared" si="9"/>
        <v>17.576291687870185</v>
      </c>
    </row>
    <row r="87" spans="1:6">
      <c r="A87">
        <f t="shared" si="6"/>
        <v>390</v>
      </c>
      <c r="C87" s="3">
        <f t="shared" si="7"/>
        <v>925032.56301752327</v>
      </c>
      <c r="D87" s="3">
        <f t="shared" si="8"/>
        <v>1508307.8015634029</v>
      </c>
      <c r="F87" s="3">
        <f t="shared" si="9"/>
        <v>17.576291690980725</v>
      </c>
    </row>
    <row r="88" spans="1:6">
      <c r="A88">
        <f t="shared" si="6"/>
        <v>400</v>
      </c>
      <c r="C88" s="3">
        <f t="shared" si="7"/>
        <v>925032.56304027222</v>
      </c>
      <c r="D88" s="3">
        <f t="shared" si="8"/>
        <v>1511538.9094117368</v>
      </c>
      <c r="F88" s="3">
        <f t="shared" si="9"/>
        <v>17.576291692741663</v>
      </c>
    </row>
    <row r="89" spans="1:6">
      <c r="A89">
        <f t="shared" si="6"/>
        <v>410</v>
      </c>
      <c r="C89" s="3">
        <f t="shared" si="7"/>
        <v>925032.56305315089</v>
      </c>
      <c r="D89" s="3">
        <f t="shared" si="8"/>
        <v>1514664.1886100699</v>
      </c>
      <c r="F89" s="3">
        <f t="shared" si="9"/>
        <v>17.576291693738568</v>
      </c>
    </row>
    <row r="90" spans="1:6">
      <c r="A90">
        <f t="shared" si="6"/>
        <v>420</v>
      </c>
      <c r="C90" s="3">
        <f t="shared" si="7"/>
        <v>925032.56306044175</v>
      </c>
      <c r="D90" s="3">
        <f t="shared" si="8"/>
        <v>1517689.4354851285</v>
      </c>
      <c r="F90" s="3">
        <f t="shared" si="9"/>
        <v>17.576291694302935</v>
      </c>
    </row>
    <row r="91" spans="1:6">
      <c r="A91">
        <f t="shared" si="6"/>
        <v>430</v>
      </c>
      <c r="C91" s="3">
        <f t="shared" si="7"/>
        <v>925032.56306456926</v>
      </c>
      <c r="D91" s="3">
        <f t="shared" si="8"/>
        <v>1520620.0053587237</v>
      </c>
      <c r="F91" s="3">
        <f t="shared" si="9"/>
        <v>17.576291694622434</v>
      </c>
    </row>
    <row r="92" spans="1:6">
      <c r="A92">
        <f t="shared" si="6"/>
        <v>440</v>
      </c>
      <c r="C92" s="3">
        <f t="shared" si="7"/>
        <v>925032.56306690595</v>
      </c>
      <c r="D92" s="3">
        <f t="shared" si="8"/>
        <v>1523460.8551506873</v>
      </c>
      <c r="F92" s="3">
        <f t="shared" si="9"/>
        <v>17.576291694803309</v>
      </c>
    </row>
    <row r="93" spans="1:6">
      <c r="A93">
        <f t="shared" si="6"/>
        <v>450</v>
      </c>
      <c r="C93" s="3">
        <f t="shared" si="7"/>
        <v>925032.56306822877</v>
      </c>
      <c r="D93" s="3">
        <f t="shared" si="8"/>
        <v>1526216.5810259911</v>
      </c>
      <c r="F93" s="3">
        <f t="shared" si="9"/>
        <v>17.576291694905706</v>
      </c>
    </row>
    <row r="94" spans="1:6">
      <c r="A94">
        <f t="shared" si="6"/>
        <v>460</v>
      </c>
      <c r="C94" s="3">
        <f t="shared" si="7"/>
        <v>925032.56306897767</v>
      </c>
      <c r="D94" s="3">
        <f t="shared" si="8"/>
        <v>1528891.4517564103</v>
      </c>
      <c r="F94" s="3">
        <f t="shared" si="9"/>
        <v>17.576291694963679</v>
      </c>
    </row>
    <row r="95" spans="1:6">
      <c r="A95">
        <f t="shared" si="6"/>
        <v>470</v>
      </c>
      <c r="C95" s="3">
        <f t="shared" si="7"/>
        <v>925032.56306940166</v>
      </c>
      <c r="D95" s="3">
        <f t="shared" si="8"/>
        <v>1531489.4383642257</v>
      </c>
      <c r="F95" s="3">
        <f t="shared" si="9"/>
        <v>17.576291694996495</v>
      </c>
    </row>
    <row r="96" spans="1:6">
      <c r="A96">
        <f t="shared" si="6"/>
        <v>480</v>
      </c>
      <c r="C96" s="3">
        <f t="shared" si="7"/>
        <v>925032.56306964159</v>
      </c>
      <c r="D96" s="3">
        <f t="shared" si="8"/>
        <v>1534014.2405301516</v>
      </c>
      <c r="F96" s="3">
        <f t="shared" si="9"/>
        <v>17.576291695015072</v>
      </c>
    </row>
    <row r="97" spans="1:6">
      <c r="A97">
        <f t="shared" si="6"/>
        <v>490</v>
      </c>
      <c r="C97" s="3">
        <f t="shared" si="7"/>
        <v>925032.56306977756</v>
      </c>
      <c r="D97" s="3">
        <f t="shared" si="8"/>
        <v>1536469.3101766938</v>
      </c>
      <c r="F97" s="3">
        <f t="shared" si="9"/>
        <v>17.576291695025592</v>
      </c>
    </row>
    <row r="98" spans="1:6">
      <c r="A98">
        <f t="shared" si="6"/>
        <v>500</v>
      </c>
      <c r="C98" s="3">
        <f t="shared" si="7"/>
        <v>925032.56306985451</v>
      </c>
      <c r="D98" s="3">
        <f t="shared" si="8"/>
        <v>1538857.8725787764</v>
      </c>
      <c r="F98" s="3">
        <f t="shared" si="9"/>
        <v>17.576291695031546</v>
      </c>
    </row>
    <row r="99" spans="1:6">
      <c r="A99">
        <f t="shared" si="6"/>
        <v>510</v>
      </c>
      <c r="C99" s="3">
        <f t="shared" si="7"/>
        <v>925032.56306989794</v>
      </c>
      <c r="D99" s="3">
        <f t="shared" si="8"/>
        <v>1541182.9453036836</v>
      </c>
      <c r="F99" s="3">
        <f t="shared" si="9"/>
        <v>17.576291695034914</v>
      </c>
    </row>
    <row r="100" spans="1:6">
      <c r="A100">
        <f t="shared" si="6"/>
        <v>520</v>
      </c>
      <c r="C100" s="3">
        <f t="shared" si="7"/>
        <v>925032.56306992262</v>
      </c>
      <c r="D100" s="3">
        <f t="shared" si="8"/>
        <v>1543447.3552404325</v>
      </c>
      <c r="F100" s="3">
        <f t="shared" si="9"/>
        <v>17.576291695036826</v>
      </c>
    </row>
    <row r="101" spans="1:6">
      <c r="A101">
        <f t="shared" si="6"/>
        <v>530</v>
      </c>
      <c r="C101" s="3">
        <f t="shared" si="7"/>
        <v>925032.56306993659</v>
      </c>
      <c r="D101" s="3">
        <f t="shared" si="8"/>
        <v>1545653.7539432487</v>
      </c>
      <c r="F101" s="3">
        <f t="shared" si="9"/>
        <v>17.576291695037906</v>
      </c>
    </row>
    <row r="102" spans="1:6">
      <c r="A102">
        <f t="shared" si="6"/>
        <v>540</v>
      </c>
      <c r="C102" s="3">
        <f t="shared" si="7"/>
        <v>925032.5630699445</v>
      </c>
      <c r="D102" s="3">
        <f t="shared" si="8"/>
        <v>1547804.6314837669</v>
      </c>
      <c r="F102" s="3">
        <f t="shared" si="9"/>
        <v>17.576291695038517</v>
      </c>
    </row>
    <row r="103" spans="1:6">
      <c r="A103">
        <f t="shared" si="6"/>
        <v>550</v>
      </c>
      <c r="C103" s="3">
        <f t="shared" si="7"/>
        <v>925032.56306994904</v>
      </c>
      <c r="D103" s="3">
        <f t="shared" si="8"/>
        <v>1549902.3289810319</v>
      </c>
      <c r="F103" s="3">
        <f t="shared" si="9"/>
        <v>17.576291695038861</v>
      </c>
    </row>
    <row r="104" spans="1:6">
      <c r="A104">
        <f t="shared" si="6"/>
        <v>560</v>
      </c>
      <c r="C104" s="3">
        <f t="shared" si="7"/>
        <v>925032.56306995149</v>
      </c>
      <c r="D104" s="3">
        <f t="shared" si="8"/>
        <v>1551949.0499565366</v>
      </c>
      <c r="F104" s="3">
        <f t="shared" si="9"/>
        <v>17.57629169503906</v>
      </c>
    </row>
    <row r="105" spans="1:6">
      <c r="A105">
        <f t="shared" si="6"/>
        <v>570</v>
      </c>
      <c r="C105" s="3">
        <f t="shared" si="7"/>
        <v>925032.563069953</v>
      </c>
      <c r="D105" s="3">
        <f t="shared" si="8"/>
        <v>1553946.8706428981</v>
      </c>
      <c r="F105" s="3">
        <f t="shared" si="9"/>
        <v>17.576291695039171</v>
      </c>
    </row>
    <row r="106" spans="1:6">
      <c r="A106">
        <f t="shared" si="6"/>
        <v>580</v>
      </c>
      <c r="C106" s="3">
        <f t="shared" si="7"/>
        <v>925032.56306995358</v>
      </c>
      <c r="D106" s="3">
        <f t="shared" si="8"/>
        <v>1555897.7493587241</v>
      </c>
      <c r="F106" s="3">
        <f t="shared" si="9"/>
        <v>17.576291695039231</v>
      </c>
    </row>
    <row r="107" spans="1:6">
      <c r="A107">
        <f t="shared" si="6"/>
        <v>590</v>
      </c>
      <c r="C107" s="3">
        <f t="shared" si="7"/>
        <v>925032.56306995417</v>
      </c>
      <c r="D107" s="3">
        <f t="shared" si="8"/>
        <v>1557803.5350484487</v>
      </c>
      <c r="F107" s="3">
        <f t="shared" si="9"/>
        <v>17.576291695039266</v>
      </c>
    </row>
    <row r="108" spans="1:6">
      <c r="A108">
        <f t="shared" si="6"/>
        <v>600</v>
      </c>
      <c r="C108" s="3">
        <f t="shared" si="7"/>
        <v>925032.5630699544</v>
      </c>
      <c r="D108" s="3">
        <f t="shared" si="8"/>
        <v>1559665.9750739995</v>
      </c>
      <c r="F108" s="3">
        <f t="shared" si="9"/>
        <v>17.576291695039288</v>
      </c>
    </row>
    <row r="109" spans="1:6">
      <c r="A109">
        <f t="shared" si="6"/>
        <v>610</v>
      </c>
      <c r="C109" s="3">
        <f t="shared" si="7"/>
        <v>925032.56306995463</v>
      </c>
      <c r="D109" s="3">
        <f t="shared" si="8"/>
        <v>1561486.7223348764</v>
      </c>
      <c r="F109" s="3">
        <f t="shared" si="9"/>
        <v>17.576291695039298</v>
      </c>
    </row>
    <row r="110" spans="1:6">
      <c r="A110">
        <f t="shared" si="6"/>
        <v>620</v>
      </c>
      <c r="C110" s="3">
        <f t="shared" si="7"/>
        <v>925032.56306995463</v>
      </c>
      <c r="D110" s="3">
        <f t="shared" si="8"/>
        <v>1563267.3417842789</v>
      </c>
      <c r="F110" s="3">
        <f t="shared" si="9"/>
        <v>17.576291695039306</v>
      </c>
    </row>
    <row r="111" spans="1:6">
      <c r="A111">
        <f t="shared" si="6"/>
        <v>630</v>
      </c>
      <c r="C111" s="3">
        <f t="shared" si="7"/>
        <v>925032.56306995463</v>
      </c>
      <c r="D111" s="3">
        <f t="shared" si="8"/>
        <v>1565009.3164011564</v>
      </c>
      <c r="F111" s="3">
        <f t="shared" si="9"/>
        <v>17.576291695039309</v>
      </c>
    </row>
    <row r="112" spans="1:6">
      <c r="A112">
        <f t="shared" si="6"/>
        <v>640</v>
      </c>
      <c r="C112" s="3">
        <f t="shared" si="7"/>
        <v>925032.56306995486</v>
      </c>
      <c r="D112" s="3">
        <f t="shared" si="8"/>
        <v>1566714.0526712858</v>
      </c>
      <c r="F112" s="3">
        <f t="shared" si="9"/>
        <v>17.576291695039313</v>
      </c>
    </row>
    <row r="113" spans="1:6">
      <c r="A113">
        <f t="shared" si="6"/>
        <v>650</v>
      </c>
      <c r="C113" s="3">
        <f t="shared" si="7"/>
        <v>925032.56306995486</v>
      </c>
      <c r="D113" s="3">
        <f t="shared" si="8"/>
        <v>1568382.8856245736</v>
      </c>
      <c r="F113" s="3">
        <f t="shared" si="9"/>
        <v>17.576291695039313</v>
      </c>
    </row>
    <row r="114" spans="1:6">
      <c r="A114">
        <f t="shared" si="6"/>
        <v>660</v>
      </c>
      <c r="C114" s="3">
        <f t="shared" si="7"/>
        <v>925032.56306995486</v>
      </c>
      <c r="D114" s="3">
        <f t="shared" si="8"/>
        <v>1570017.083470603</v>
      </c>
      <c r="F114" s="3">
        <f t="shared" si="9"/>
        <v>17.576291695039313</v>
      </c>
    </row>
    <row r="115" spans="1:6">
      <c r="A115">
        <f t="shared" si="6"/>
        <v>670</v>
      </c>
      <c r="C115" s="3">
        <f t="shared" si="7"/>
        <v>925032.56306995486</v>
      </c>
      <c r="D115" s="3">
        <f t="shared" si="8"/>
        <v>1571617.8518698979</v>
      </c>
      <c r="F115" s="3">
        <f t="shared" si="9"/>
        <v>17.576291695039313</v>
      </c>
    </row>
    <row r="116" spans="1:6">
      <c r="A116">
        <f t="shared" si="6"/>
        <v>680</v>
      </c>
      <c r="C116" s="3">
        <f t="shared" si="7"/>
        <v>925032.56306995486</v>
      </c>
      <c r="D116" s="3">
        <f t="shared" si="8"/>
        <v>1573186.3378744051</v>
      </c>
      <c r="F116" s="3">
        <f t="shared" si="9"/>
        <v>17.576291695039313</v>
      </c>
    </row>
    <row r="117" spans="1:6">
      <c r="A117">
        <f t="shared" si="6"/>
        <v>690</v>
      </c>
      <c r="C117" s="3">
        <f t="shared" si="7"/>
        <v>925032.56306995486</v>
      </c>
      <c r="D117" s="3">
        <f t="shared" si="8"/>
        <v>1574723.6335671621</v>
      </c>
      <c r="F117" s="3">
        <f t="shared" si="9"/>
        <v>17.576291695039313</v>
      </c>
    </row>
    <row r="118" spans="1:6">
      <c r="A118">
        <f t="shared" si="6"/>
        <v>700</v>
      </c>
      <c r="C118" s="3">
        <f t="shared" si="7"/>
        <v>925032.56306995486</v>
      </c>
      <c r="D118" s="3">
        <f t="shared" si="8"/>
        <v>1576230.7794280262</v>
      </c>
      <c r="F118" s="3">
        <f t="shared" si="9"/>
        <v>17.576291695039313</v>
      </c>
    </row>
    <row r="119" spans="1:6">
      <c r="A119">
        <f t="shared" ref="A119:A182" si="10">+$A118+10</f>
        <v>710</v>
      </c>
      <c r="C119" s="3">
        <f t="shared" si="7"/>
        <v>925032.56306995486</v>
      </c>
      <c r="D119" s="3">
        <f t="shared" si="8"/>
        <v>1577708.7674496034</v>
      </c>
      <c r="F119" s="3">
        <f t="shared" si="9"/>
        <v>17.576291695039313</v>
      </c>
    </row>
    <row r="120" spans="1:6">
      <c r="A120">
        <f t="shared" si="10"/>
        <v>720</v>
      </c>
      <c r="C120" s="3">
        <f t="shared" si="7"/>
        <v>925032.56306995486</v>
      </c>
      <c r="D120" s="3">
        <f t="shared" si="8"/>
        <v>1579158.5440250763</v>
      </c>
      <c r="F120" s="3">
        <f t="shared" si="9"/>
        <v>17.576291695039313</v>
      </c>
    </row>
    <row r="121" spans="1:6">
      <c r="A121">
        <f t="shared" si="10"/>
        <v>730</v>
      </c>
      <c r="C121" s="3">
        <f t="shared" si="7"/>
        <v>925032.56306995486</v>
      </c>
      <c r="D121" s="3">
        <f t="shared" si="8"/>
        <v>1580581.012627485</v>
      </c>
      <c r="F121" s="3">
        <f t="shared" si="9"/>
        <v>17.576291695039313</v>
      </c>
    </row>
    <row r="122" spans="1:6">
      <c r="A122">
        <f t="shared" si="10"/>
        <v>740</v>
      </c>
      <c r="C122" s="3">
        <f t="shared" si="7"/>
        <v>925032.56306995486</v>
      </c>
      <c r="D122" s="3">
        <f t="shared" si="8"/>
        <v>1581977.0362980978</v>
      </c>
      <c r="F122" s="3">
        <f t="shared" si="9"/>
        <v>17.576291695039313</v>
      </c>
    </row>
    <row r="123" spans="1:6">
      <c r="A123">
        <f t="shared" si="10"/>
        <v>750</v>
      </c>
      <c r="C123" s="3">
        <f t="shared" si="7"/>
        <v>925032.56306995486</v>
      </c>
      <c r="D123" s="3">
        <f t="shared" si="8"/>
        <v>1583347.4399598055</v>
      </c>
      <c r="F123" s="3">
        <f t="shared" si="9"/>
        <v>17.576291695039313</v>
      </c>
    </row>
    <row r="124" spans="1:6">
      <c r="A124">
        <f t="shared" si="10"/>
        <v>760</v>
      </c>
      <c r="C124" s="3">
        <f t="shared" si="7"/>
        <v>925032.56306995486</v>
      </c>
      <c r="D124" s="3">
        <f t="shared" si="8"/>
        <v>1584693.01256995</v>
      </c>
      <c r="F124" s="3">
        <f t="shared" si="9"/>
        <v>17.576291695039313</v>
      </c>
    </row>
    <row r="125" spans="1:6">
      <c r="A125">
        <f t="shared" si="10"/>
        <v>770</v>
      </c>
      <c r="C125" s="3">
        <f t="shared" si="7"/>
        <v>925032.56306995486</v>
      </c>
      <c r="D125" s="3">
        <f t="shared" si="8"/>
        <v>1586014.5091256443</v>
      </c>
      <c r="F125" s="3">
        <f t="shared" si="9"/>
        <v>17.576291695039313</v>
      </c>
    </row>
    <row r="126" spans="1:6">
      <c r="A126">
        <f t="shared" si="10"/>
        <v>780</v>
      </c>
      <c r="C126" s="3">
        <f t="shared" si="7"/>
        <v>925032.56306995486</v>
      </c>
      <c r="D126" s="3">
        <f t="shared" si="8"/>
        <v>1587312.6525334297</v>
      </c>
      <c r="F126" s="3">
        <f t="shared" si="9"/>
        <v>17.576291695039313</v>
      </c>
    </row>
    <row r="127" spans="1:6">
      <c r="A127">
        <f t="shared" si="10"/>
        <v>790</v>
      </c>
      <c r="C127" s="3">
        <f t="shared" si="7"/>
        <v>925032.56306995486</v>
      </c>
      <c r="D127" s="3">
        <f t="shared" si="8"/>
        <v>1588588.1353540218</v>
      </c>
      <c r="F127" s="3">
        <f t="shared" si="9"/>
        <v>17.576291695039313</v>
      </c>
    </row>
    <row r="128" spans="1:6">
      <c r="A128">
        <f t="shared" si="10"/>
        <v>800</v>
      </c>
      <c r="C128" s="3">
        <f t="shared" si="7"/>
        <v>925032.56306995486</v>
      </c>
      <c r="D128" s="3">
        <f t="shared" si="8"/>
        <v>1589841.6214319293</v>
      </c>
      <c r="F128" s="3">
        <f t="shared" si="9"/>
        <v>17.576291695039313</v>
      </c>
    </row>
    <row r="129" spans="1:6">
      <c r="A129">
        <f t="shared" si="10"/>
        <v>810</v>
      </c>
      <c r="C129" s="3">
        <f t="shared" si="7"/>
        <v>925032.56306995486</v>
      </c>
      <c r="D129" s="3">
        <f t="shared" si="8"/>
        <v>1591073.7474188479</v>
      </c>
      <c r="F129" s="3">
        <f t="shared" si="9"/>
        <v>17.576291695039313</v>
      </c>
    </row>
    <row r="130" spans="1:6">
      <c r="A130">
        <f t="shared" si="10"/>
        <v>820</v>
      </c>
      <c r="C130" s="3">
        <f t="shared" si="7"/>
        <v>925032.56306995486</v>
      </c>
      <c r="D130" s="3">
        <f t="shared" si="8"/>
        <v>1592285.1241989513</v>
      </c>
      <c r="F130" s="3">
        <f t="shared" si="9"/>
        <v>17.576291695039313</v>
      </c>
    </row>
    <row r="131" spans="1:6">
      <c r="A131">
        <f t="shared" si="10"/>
        <v>830</v>
      </c>
      <c r="C131" s="3">
        <f t="shared" si="7"/>
        <v>925032.56306995486</v>
      </c>
      <c r="D131" s="3">
        <f t="shared" si="8"/>
        <v>1593476.3382234799</v>
      </c>
      <c r="F131" s="3">
        <f t="shared" si="9"/>
        <v>17.576291695039313</v>
      </c>
    </row>
    <row r="132" spans="1:6">
      <c r="A132">
        <f t="shared" si="10"/>
        <v>840</v>
      </c>
      <c r="C132" s="3">
        <f t="shared" si="7"/>
        <v>925032.56306995486</v>
      </c>
      <c r="D132" s="3">
        <f t="shared" si="8"/>
        <v>1594647.9527614033</v>
      </c>
      <c r="F132" s="3">
        <f t="shared" si="9"/>
        <v>17.576291695039313</v>
      </c>
    </row>
    <row r="133" spans="1:6">
      <c r="A133">
        <f t="shared" si="10"/>
        <v>850</v>
      </c>
      <c r="C133" s="3">
        <f t="shared" ref="C133:C196" si="11">+$C$1/(1+1/SQRT($C$2*$F133))</f>
        <v>925032.56306995486</v>
      </c>
      <c r="D133" s="3">
        <f t="shared" ref="D133:D196" si="12">+$C$1/(1+1/SQRT($C$2*$A133))</f>
        <v>1595800.5090723408</v>
      </c>
      <c r="F133" s="3">
        <f t="shared" ref="F133:F196" si="13">+(1-EXP(-$F$1*$A133))/$F$1</f>
        <v>17.576291695039313</v>
      </c>
    </row>
    <row r="134" spans="1:6">
      <c r="A134">
        <f t="shared" si="10"/>
        <v>860</v>
      </c>
      <c r="C134" s="3">
        <f t="shared" si="11"/>
        <v>925032.56306995486</v>
      </c>
      <c r="D134" s="3">
        <f t="shared" si="12"/>
        <v>1596934.5275074088</v>
      </c>
      <c r="F134" s="3">
        <f t="shared" si="13"/>
        <v>17.576291695039313</v>
      </c>
    </row>
    <row r="135" spans="1:6">
      <c r="A135">
        <f t="shared" si="10"/>
        <v>870</v>
      </c>
      <c r="C135" s="3">
        <f t="shared" si="11"/>
        <v>925032.56306995486</v>
      </c>
      <c r="D135" s="3">
        <f t="shared" si="12"/>
        <v>1598050.5085431933</v>
      </c>
      <c r="F135" s="3">
        <f t="shared" si="13"/>
        <v>17.576291695039313</v>
      </c>
    </row>
    <row r="136" spans="1:6">
      <c r="A136">
        <f t="shared" si="10"/>
        <v>880</v>
      </c>
      <c r="C136" s="3">
        <f t="shared" si="11"/>
        <v>925032.56306995486</v>
      </c>
      <c r="D136" s="3">
        <f t="shared" si="12"/>
        <v>1599148.9337536099</v>
      </c>
      <c r="F136" s="3">
        <f t="shared" si="13"/>
        <v>17.576291695039313</v>
      </c>
    </row>
    <row r="137" spans="1:6">
      <c r="A137">
        <f t="shared" si="10"/>
        <v>890</v>
      </c>
      <c r="C137" s="3">
        <f t="shared" si="11"/>
        <v>925032.56306995486</v>
      </c>
      <c r="D137" s="3">
        <f t="shared" si="12"/>
        <v>1600230.2667240296</v>
      </c>
      <c r="F137" s="3">
        <f t="shared" si="13"/>
        <v>17.576291695039313</v>
      </c>
    </row>
    <row r="138" spans="1:6">
      <c r="A138">
        <f t="shared" si="10"/>
        <v>900</v>
      </c>
      <c r="C138" s="3">
        <f t="shared" si="11"/>
        <v>925032.56306995486</v>
      </c>
      <c r="D138" s="3">
        <f t="shared" si="12"/>
        <v>1601294.9539116968</v>
      </c>
      <c r="F138" s="3">
        <f t="shared" si="13"/>
        <v>17.576291695039313</v>
      </c>
    </row>
    <row r="139" spans="1:6">
      <c r="A139">
        <f t="shared" si="10"/>
        <v>910</v>
      </c>
      <c r="C139" s="3">
        <f t="shared" si="11"/>
        <v>925032.56306995486</v>
      </c>
      <c r="D139" s="3">
        <f t="shared" si="12"/>
        <v>1602343.4254561423</v>
      </c>
      <c r="F139" s="3">
        <f t="shared" si="13"/>
        <v>17.576291695039313</v>
      </c>
    </row>
    <row r="140" spans="1:6">
      <c r="A140">
        <f t="shared" si="10"/>
        <v>920</v>
      </c>
      <c r="C140" s="3">
        <f t="shared" si="11"/>
        <v>925032.56306995486</v>
      </c>
      <c r="D140" s="3">
        <f t="shared" si="12"/>
        <v>1603376.0959429985</v>
      </c>
      <c r="F140" s="3">
        <f t="shared" si="13"/>
        <v>17.576291695039313</v>
      </c>
    </row>
    <row r="141" spans="1:6">
      <c r="A141">
        <f t="shared" si="10"/>
        <v>930</v>
      </c>
      <c r="C141" s="3">
        <f t="shared" si="11"/>
        <v>925032.56306995486</v>
      </c>
      <c r="D141" s="3">
        <f t="shared" si="12"/>
        <v>1604393.3651243674</v>
      </c>
      <c r="F141" s="3">
        <f t="shared" si="13"/>
        <v>17.576291695039313</v>
      </c>
    </row>
    <row r="142" spans="1:6">
      <c r="A142">
        <f t="shared" si="10"/>
        <v>940</v>
      </c>
      <c r="C142" s="3">
        <f t="shared" si="11"/>
        <v>925032.56306995486</v>
      </c>
      <c r="D142" s="3">
        <f t="shared" si="12"/>
        <v>1605395.6185986353</v>
      </c>
      <c r="F142" s="3">
        <f t="shared" si="13"/>
        <v>17.576291695039313</v>
      </c>
    </row>
    <row r="143" spans="1:6">
      <c r="A143">
        <f t="shared" si="10"/>
        <v>950</v>
      </c>
      <c r="C143" s="3">
        <f t="shared" si="11"/>
        <v>925032.56306995486</v>
      </c>
      <c r="D143" s="3">
        <f t="shared" si="12"/>
        <v>1606383.228452422</v>
      </c>
      <c r="F143" s="3">
        <f t="shared" si="13"/>
        <v>17.576291695039313</v>
      </c>
    </row>
    <row r="144" spans="1:6">
      <c r="A144">
        <f t="shared" si="10"/>
        <v>960</v>
      </c>
      <c r="C144" s="3">
        <f t="shared" si="11"/>
        <v>925032.56306995486</v>
      </c>
      <c r="D144" s="3">
        <f t="shared" si="12"/>
        <v>1607356.5538671373</v>
      </c>
      <c r="F144" s="3">
        <f t="shared" si="13"/>
        <v>17.576291695039313</v>
      </c>
    </row>
    <row r="145" spans="1:6">
      <c r="A145">
        <f t="shared" si="10"/>
        <v>970</v>
      </c>
      <c r="C145" s="3">
        <f t="shared" si="11"/>
        <v>925032.56306995486</v>
      </c>
      <c r="D145" s="3">
        <f t="shared" si="12"/>
        <v>1608315.9416924298</v>
      </c>
      <c r="F145" s="3">
        <f t="shared" si="13"/>
        <v>17.576291695039313</v>
      </c>
    </row>
    <row r="146" spans="1:6">
      <c r="A146">
        <f t="shared" si="10"/>
        <v>980</v>
      </c>
      <c r="C146" s="3">
        <f t="shared" si="11"/>
        <v>925032.56306995486</v>
      </c>
      <c r="D146" s="3">
        <f t="shared" si="12"/>
        <v>1609261.7269886646</v>
      </c>
      <c r="F146" s="3">
        <f t="shared" si="13"/>
        <v>17.576291695039313</v>
      </c>
    </row>
    <row r="147" spans="1:6">
      <c r="A147">
        <f t="shared" si="10"/>
        <v>990</v>
      </c>
      <c r="C147" s="3">
        <f t="shared" si="11"/>
        <v>925032.56306995486</v>
      </c>
      <c r="D147" s="3">
        <f t="shared" si="12"/>
        <v>1610194.2335403771</v>
      </c>
      <c r="F147" s="3">
        <f t="shared" si="13"/>
        <v>17.576291695039313</v>
      </c>
    </row>
    <row r="148" spans="1:6">
      <c r="A148">
        <f t="shared" si="10"/>
        <v>1000</v>
      </c>
      <c r="C148" s="3">
        <f t="shared" si="11"/>
        <v>925032.56306995486</v>
      </c>
      <c r="D148" s="3">
        <f t="shared" si="12"/>
        <v>1611113.7743425416</v>
      </c>
      <c r="F148" s="3">
        <f t="shared" si="13"/>
        <v>17.576291695039313</v>
      </c>
    </row>
    <row r="149" spans="1:6">
      <c r="A149">
        <f t="shared" si="10"/>
        <v>1010</v>
      </c>
      <c r="C149" s="3">
        <f t="shared" si="11"/>
        <v>925032.56306995486</v>
      </c>
      <c r="D149" s="3">
        <f t="shared" si="12"/>
        <v>1612020.6520613357</v>
      </c>
      <c r="F149" s="3">
        <f t="shared" si="13"/>
        <v>17.576291695039313</v>
      </c>
    </row>
    <row r="150" spans="1:6">
      <c r="A150">
        <f t="shared" si="10"/>
        <v>1020</v>
      </c>
      <c r="C150" s="3">
        <f t="shared" si="11"/>
        <v>925032.56306995486</v>
      </c>
      <c r="D150" s="3">
        <f t="shared" si="12"/>
        <v>1612915.1594709745</v>
      </c>
      <c r="F150" s="3">
        <f t="shared" si="13"/>
        <v>17.576291695039313</v>
      </c>
    </row>
    <row r="151" spans="1:6">
      <c r="A151">
        <f t="shared" si="10"/>
        <v>1030</v>
      </c>
      <c r="C151" s="3">
        <f t="shared" si="11"/>
        <v>925032.56306995486</v>
      </c>
      <c r="D151" s="3">
        <f t="shared" si="12"/>
        <v>1613797.5798680761</v>
      </c>
      <c r="F151" s="3">
        <f t="shared" si="13"/>
        <v>17.576291695039313</v>
      </c>
    </row>
    <row r="152" spans="1:6">
      <c r="A152">
        <f t="shared" si="10"/>
        <v>1040</v>
      </c>
      <c r="C152" s="3">
        <f t="shared" si="11"/>
        <v>925032.56306995486</v>
      </c>
      <c r="D152" s="3">
        <f t="shared" si="12"/>
        <v>1614668.1874649164</v>
      </c>
      <c r="F152" s="3">
        <f t="shared" si="13"/>
        <v>17.576291695039313</v>
      </c>
    </row>
    <row r="153" spans="1:6">
      <c r="A153">
        <f t="shared" si="10"/>
        <v>1050</v>
      </c>
      <c r="C153" s="3">
        <f t="shared" si="11"/>
        <v>925032.56306995486</v>
      </c>
      <c r="D153" s="3">
        <f t="shared" si="12"/>
        <v>1615527.2477628316</v>
      </c>
      <c r="F153" s="3">
        <f t="shared" si="13"/>
        <v>17.576291695039313</v>
      </c>
    </row>
    <row r="154" spans="1:6">
      <c r="A154">
        <f t="shared" si="10"/>
        <v>1060</v>
      </c>
      <c r="C154" s="3">
        <f t="shared" si="11"/>
        <v>925032.56306995486</v>
      </c>
      <c r="D154" s="3">
        <f t="shared" si="12"/>
        <v>1616375.0179069529</v>
      </c>
      <c r="F154" s="3">
        <f t="shared" si="13"/>
        <v>17.576291695039313</v>
      </c>
    </row>
    <row r="155" spans="1:6">
      <c r="A155">
        <f t="shared" si="10"/>
        <v>1070</v>
      </c>
      <c r="C155" s="3">
        <f t="shared" si="11"/>
        <v>925032.56306995486</v>
      </c>
      <c r="D155" s="3">
        <f t="shared" si="12"/>
        <v>1617211.7470233666</v>
      </c>
      <c r="F155" s="3">
        <f t="shared" si="13"/>
        <v>17.576291695039313</v>
      </c>
    </row>
    <row r="156" spans="1:6">
      <c r="A156">
        <f t="shared" si="10"/>
        <v>1080</v>
      </c>
      <c r="C156" s="3">
        <f t="shared" si="11"/>
        <v>925032.56306995486</v>
      </c>
      <c r="D156" s="3">
        <f t="shared" si="12"/>
        <v>1618037.6765397221</v>
      </c>
      <c r="F156" s="3">
        <f t="shared" si="13"/>
        <v>17.576291695039313</v>
      </c>
    </row>
    <row r="157" spans="1:6">
      <c r="A157">
        <f t="shared" si="10"/>
        <v>1090</v>
      </c>
      <c r="C157" s="3">
        <f t="shared" si="11"/>
        <v>925032.56306995486</v>
      </c>
      <c r="D157" s="3">
        <f t="shared" si="12"/>
        <v>1618853.040490245</v>
      </c>
      <c r="F157" s="3">
        <f t="shared" si="13"/>
        <v>17.576291695039313</v>
      </c>
    </row>
    <row r="158" spans="1:6">
      <c r="A158">
        <f t="shared" si="10"/>
        <v>1100</v>
      </c>
      <c r="C158" s="3">
        <f t="shared" si="11"/>
        <v>925032.56306995486</v>
      </c>
      <c r="D158" s="3">
        <f t="shared" si="12"/>
        <v>1619658.065806044</v>
      </c>
      <c r="F158" s="3">
        <f t="shared" si="13"/>
        <v>17.576291695039313</v>
      </c>
    </row>
    <row r="159" spans="1:6">
      <c r="A159">
        <f t="shared" si="10"/>
        <v>1110</v>
      </c>
      <c r="C159" s="3">
        <f t="shared" si="11"/>
        <v>925032.56306995486</v>
      </c>
      <c r="D159" s="3">
        <f t="shared" si="12"/>
        <v>1620452.9725915499</v>
      </c>
      <c r="F159" s="3">
        <f t="shared" si="13"/>
        <v>17.576291695039313</v>
      </c>
    </row>
    <row r="160" spans="1:6">
      <c r="A160">
        <f t="shared" si="10"/>
        <v>1120</v>
      </c>
      <c r="C160" s="3">
        <f t="shared" si="11"/>
        <v>925032.56306995486</v>
      </c>
      <c r="D160" s="3">
        <f t="shared" si="12"/>
        <v>1621237.9743878581</v>
      </c>
      <c r="F160" s="3">
        <f t="shared" si="13"/>
        <v>17.576291695039313</v>
      </c>
    </row>
    <row r="161" spans="1:6">
      <c r="A161">
        <f t="shared" si="10"/>
        <v>1130</v>
      </c>
      <c r="C161" s="3">
        <f t="shared" si="11"/>
        <v>925032.56306995486</v>
      </c>
      <c r="D161" s="3">
        <f t="shared" si="12"/>
        <v>1622013.2784237117</v>
      </c>
      <c r="F161" s="3">
        <f t="shared" si="13"/>
        <v>17.576291695039313</v>
      </c>
    </row>
    <row r="162" spans="1:6">
      <c r="A162">
        <f t="shared" si="10"/>
        <v>1140</v>
      </c>
      <c r="C162" s="3">
        <f t="shared" si="11"/>
        <v>925032.56306995486</v>
      </c>
      <c r="D162" s="3">
        <f t="shared" si="12"/>
        <v>1622779.0858548025</v>
      </c>
      <c r="F162" s="3">
        <f t="shared" si="13"/>
        <v>17.576291695039313</v>
      </c>
    </row>
    <row r="163" spans="1:6">
      <c r="A163">
        <f t="shared" si="10"/>
        <v>1150</v>
      </c>
      <c r="C163" s="3">
        <f t="shared" si="11"/>
        <v>925032.56306995486</v>
      </c>
      <c r="D163" s="3">
        <f t="shared" si="12"/>
        <v>1623535.5919920283</v>
      </c>
      <c r="F163" s="3">
        <f t="shared" si="13"/>
        <v>17.576291695039313</v>
      </c>
    </row>
    <row r="164" spans="1:6">
      <c r="A164">
        <f t="shared" si="10"/>
        <v>1160</v>
      </c>
      <c r="C164" s="3">
        <f t="shared" si="11"/>
        <v>925032.56306995486</v>
      </c>
      <c r="D164" s="3">
        <f t="shared" si="12"/>
        <v>1624282.9865193097</v>
      </c>
      <c r="F164" s="3">
        <f t="shared" si="13"/>
        <v>17.576291695039313</v>
      </c>
    </row>
    <row r="165" spans="1:6">
      <c r="A165">
        <f t="shared" si="10"/>
        <v>1170</v>
      </c>
      <c r="C165" s="3">
        <f t="shared" si="11"/>
        <v>925032.56306995486</v>
      </c>
      <c r="D165" s="3">
        <f t="shared" si="12"/>
        <v>1625021.4537015271</v>
      </c>
      <c r="F165" s="3">
        <f t="shared" si="13"/>
        <v>17.576291695039313</v>
      </c>
    </row>
    <row r="166" spans="1:6">
      <c r="A166">
        <f t="shared" si="10"/>
        <v>1180</v>
      </c>
      <c r="C166" s="3">
        <f t="shared" si="11"/>
        <v>925032.56306995486</v>
      </c>
      <c r="D166" s="3">
        <f t="shared" si="12"/>
        <v>1625751.1725830999</v>
      </c>
      <c r="F166" s="3">
        <f t="shared" si="13"/>
        <v>17.576291695039313</v>
      </c>
    </row>
    <row r="167" spans="1:6">
      <c r="A167">
        <f t="shared" si="10"/>
        <v>1190</v>
      </c>
      <c r="C167" s="3">
        <f t="shared" si="11"/>
        <v>925032.56306995486</v>
      </c>
      <c r="D167" s="3">
        <f t="shared" si="12"/>
        <v>1626472.3171777094</v>
      </c>
      <c r="F167" s="3">
        <f t="shared" si="13"/>
        <v>17.576291695039313</v>
      </c>
    </row>
    <row r="168" spans="1:6">
      <c r="A168">
        <f t="shared" si="10"/>
        <v>1200</v>
      </c>
      <c r="C168" s="3">
        <f t="shared" si="11"/>
        <v>925032.56306995486</v>
      </c>
      <c r="D168" s="3">
        <f t="shared" si="12"/>
        <v>1627185.0566496281</v>
      </c>
      <c r="F168" s="3">
        <f t="shared" si="13"/>
        <v>17.576291695039313</v>
      </c>
    </row>
    <row r="169" spans="1:6">
      <c r="A169">
        <f t="shared" si="10"/>
        <v>1210</v>
      </c>
      <c r="C169" s="3">
        <f t="shared" si="11"/>
        <v>925032.56306995486</v>
      </c>
      <c r="D169" s="3">
        <f t="shared" si="12"/>
        <v>1627889.5554870882</v>
      </c>
      <c r="F169" s="3">
        <f t="shared" si="13"/>
        <v>17.576291695039313</v>
      </c>
    </row>
    <row r="170" spans="1:6">
      <c r="A170">
        <f t="shared" si="10"/>
        <v>1220</v>
      </c>
      <c r="C170" s="3">
        <f t="shared" si="11"/>
        <v>925032.56306995486</v>
      </c>
      <c r="D170" s="3">
        <f t="shared" si="12"/>
        <v>1628585.9736681061</v>
      </c>
      <c r="F170" s="3">
        <f t="shared" si="13"/>
        <v>17.576291695039313</v>
      </c>
    </row>
    <row r="171" spans="1:6">
      <c r="A171">
        <f t="shared" si="10"/>
        <v>1230</v>
      </c>
      <c r="C171" s="3">
        <f t="shared" si="11"/>
        <v>925032.56306995486</v>
      </c>
      <c r="D171" s="3">
        <f t="shared" si="12"/>
        <v>1629274.4668191485</v>
      </c>
      <c r="F171" s="3">
        <f t="shared" si="13"/>
        <v>17.576291695039313</v>
      </c>
    </row>
    <row r="172" spans="1:6">
      <c r="A172">
        <f t="shared" si="10"/>
        <v>1240</v>
      </c>
      <c r="C172" s="3">
        <f t="shared" si="11"/>
        <v>925032.56306995486</v>
      </c>
      <c r="D172" s="3">
        <f t="shared" si="12"/>
        <v>1629955.1863669942</v>
      </c>
      <c r="F172" s="3">
        <f t="shared" si="13"/>
        <v>17.576291695039313</v>
      </c>
    </row>
    <row r="173" spans="1:6">
      <c r="A173">
        <f t="shared" si="10"/>
        <v>1250</v>
      </c>
      <c r="C173" s="3">
        <f t="shared" si="11"/>
        <v>925032.56306995486</v>
      </c>
      <c r="D173" s="3">
        <f t="shared" si="12"/>
        <v>1630628.2796841513</v>
      </c>
      <c r="F173" s="3">
        <f t="shared" si="13"/>
        <v>17.576291695039313</v>
      </c>
    </row>
    <row r="174" spans="1:6">
      <c r="A174">
        <f t="shared" si="10"/>
        <v>1260</v>
      </c>
      <c r="C174" s="3">
        <f t="shared" si="11"/>
        <v>925032.56306995486</v>
      </c>
      <c r="D174" s="3">
        <f t="shared" si="12"/>
        <v>1631293.8902281355</v>
      </c>
      <c r="F174" s="3">
        <f t="shared" si="13"/>
        <v>17.576291695039313</v>
      </c>
    </row>
    <row r="175" spans="1:6">
      <c r="A175">
        <f t="shared" si="10"/>
        <v>1270</v>
      </c>
      <c r="C175" s="3">
        <f t="shared" si="11"/>
        <v>925032.56306995486</v>
      </c>
      <c r="D175" s="3">
        <f t="shared" si="12"/>
        <v>1631952.1576749249</v>
      </c>
      <c r="F175" s="3">
        <f t="shared" si="13"/>
        <v>17.576291695039313</v>
      </c>
    </row>
    <row r="176" spans="1:6">
      <c r="A176">
        <f t="shared" si="10"/>
        <v>1280</v>
      </c>
      <c r="C176" s="3">
        <f t="shared" si="11"/>
        <v>925032.56306995486</v>
      </c>
      <c r="D176" s="3">
        <f t="shared" si="12"/>
        <v>1632603.2180468736</v>
      </c>
      <c r="F176" s="3">
        <f t="shared" si="13"/>
        <v>17.576291695039313</v>
      </c>
    </row>
    <row r="177" spans="1:6">
      <c r="A177">
        <f t="shared" si="10"/>
        <v>1290</v>
      </c>
      <c r="C177" s="3">
        <f t="shared" si="11"/>
        <v>925032.56306995486</v>
      </c>
      <c r="D177" s="3">
        <f t="shared" si="12"/>
        <v>1633247.203835354</v>
      </c>
      <c r="F177" s="3">
        <f t="shared" si="13"/>
        <v>17.576291695039313</v>
      </c>
    </row>
    <row r="178" spans="1:6">
      <c r="A178">
        <f t="shared" si="10"/>
        <v>1300</v>
      </c>
      <c r="C178" s="3">
        <f t="shared" si="11"/>
        <v>925032.56306995486</v>
      </c>
      <c r="D178" s="3">
        <f t="shared" si="12"/>
        <v>1633884.2441183866</v>
      </c>
      <c r="F178" s="3">
        <f t="shared" si="13"/>
        <v>17.576291695039313</v>
      </c>
    </row>
    <row r="179" spans="1:6">
      <c r="A179">
        <f t="shared" si="10"/>
        <v>1310</v>
      </c>
      <c r="C179" s="3">
        <f t="shared" si="11"/>
        <v>925032.56306995486</v>
      </c>
      <c r="D179" s="3">
        <f t="shared" si="12"/>
        <v>1634514.4646734959</v>
      </c>
      <c r="F179" s="3">
        <f t="shared" si="13"/>
        <v>17.576291695039313</v>
      </c>
    </row>
    <row r="180" spans="1:6">
      <c r="A180">
        <f t="shared" si="10"/>
        <v>1320</v>
      </c>
      <c r="C180" s="3">
        <f t="shared" si="11"/>
        <v>925032.56306995486</v>
      </c>
      <c r="D180" s="3">
        <f t="shared" si="12"/>
        <v>1635137.9880860201</v>
      </c>
      <c r="F180" s="3">
        <f t="shared" si="13"/>
        <v>17.576291695039313</v>
      </c>
    </row>
    <row r="181" spans="1:6">
      <c r="A181">
        <f t="shared" si="10"/>
        <v>1330</v>
      </c>
      <c r="C181" s="3">
        <f t="shared" si="11"/>
        <v>925032.56306995486</v>
      </c>
      <c r="D181" s="3">
        <f t="shared" si="12"/>
        <v>1635754.9338530924</v>
      </c>
      <c r="F181" s="3">
        <f t="shared" si="13"/>
        <v>17.576291695039313</v>
      </c>
    </row>
    <row r="182" spans="1:6">
      <c r="A182">
        <f t="shared" si="10"/>
        <v>1340</v>
      </c>
      <c r="C182" s="3">
        <f t="shared" si="11"/>
        <v>925032.56306995486</v>
      </c>
      <c r="D182" s="3">
        <f t="shared" si="12"/>
        <v>1636365.4184834959</v>
      </c>
      <c r="F182" s="3">
        <f t="shared" si="13"/>
        <v>17.576291695039313</v>
      </c>
    </row>
    <row r="183" spans="1:6">
      <c r="A183">
        <f t="shared" ref="A183:A246" si="14">+$A182+10</f>
        <v>1350</v>
      </c>
      <c r="C183" s="3">
        <f t="shared" si="11"/>
        <v>925032.56306995486</v>
      </c>
      <c r="D183" s="3">
        <f t="shared" si="12"/>
        <v>1636969.5555935842</v>
      </c>
      <c r="F183" s="3">
        <f t="shared" si="13"/>
        <v>17.576291695039313</v>
      </c>
    </row>
    <row r="184" spans="1:6">
      <c r="A184">
        <f t="shared" si="14"/>
        <v>1360</v>
      </c>
      <c r="C184" s="3">
        <f t="shared" si="11"/>
        <v>925032.56306995486</v>
      </c>
      <c r="D184" s="3">
        <f t="shared" si="12"/>
        <v>1637567.4559994512</v>
      </c>
      <c r="F184" s="3">
        <f t="shared" si="13"/>
        <v>17.576291695039313</v>
      </c>
    </row>
    <row r="185" spans="1:6">
      <c r="A185">
        <f t="shared" si="14"/>
        <v>1370</v>
      </c>
      <c r="C185" s="3">
        <f t="shared" si="11"/>
        <v>925032.56306995486</v>
      </c>
      <c r="D185" s="3">
        <f t="shared" si="12"/>
        <v>1638159.2278055234</v>
      </c>
      <c r="F185" s="3">
        <f t="shared" si="13"/>
        <v>17.576291695039313</v>
      </c>
    </row>
    <row r="186" spans="1:6">
      <c r="A186">
        <f t="shared" si="14"/>
        <v>1380</v>
      </c>
      <c r="C186" s="3">
        <f t="shared" si="11"/>
        <v>925032.56306995486</v>
      </c>
      <c r="D186" s="3">
        <f t="shared" si="12"/>
        <v>1638744.9764897358</v>
      </c>
      <c r="F186" s="3">
        <f t="shared" si="13"/>
        <v>17.576291695039313</v>
      </c>
    </row>
    <row r="187" spans="1:6">
      <c r="A187">
        <f t="shared" si="14"/>
        <v>1390</v>
      </c>
      <c r="C187" s="3">
        <f t="shared" si="11"/>
        <v>925032.56306995486</v>
      </c>
      <c r="D187" s="3">
        <f t="shared" si="12"/>
        <v>1639324.8049854499</v>
      </c>
      <c r="F187" s="3">
        <f t="shared" si="13"/>
        <v>17.576291695039313</v>
      </c>
    </row>
    <row r="188" spans="1:6">
      <c r="A188">
        <f t="shared" si="14"/>
        <v>1400</v>
      </c>
      <c r="C188" s="3">
        <f t="shared" si="11"/>
        <v>925032.56306995486</v>
      </c>
      <c r="D188" s="3">
        <f t="shared" si="12"/>
        <v>1639898.813760255</v>
      </c>
      <c r="F188" s="3">
        <f t="shared" si="13"/>
        <v>17.576291695039313</v>
      </c>
    </row>
    <row r="189" spans="1:6">
      <c r="A189">
        <f t="shared" si="14"/>
        <v>1410</v>
      </c>
      <c r="C189" s="3">
        <f t="shared" si="11"/>
        <v>925032.56306995486</v>
      </c>
      <c r="D189" s="3">
        <f t="shared" si="12"/>
        <v>1640467.1008918004</v>
      </c>
      <c r="F189" s="3">
        <f t="shared" si="13"/>
        <v>17.576291695039313</v>
      </c>
    </row>
    <row r="190" spans="1:6">
      <c r="A190">
        <f t="shared" si="14"/>
        <v>1420</v>
      </c>
      <c r="C190" s="3">
        <f t="shared" si="11"/>
        <v>925032.56306995486</v>
      </c>
      <c r="D190" s="3">
        <f t="shared" si="12"/>
        <v>1641029.7621407823</v>
      </c>
      <c r="F190" s="3">
        <f t="shared" si="13"/>
        <v>17.576291695039313</v>
      </c>
    </row>
    <row r="191" spans="1:6">
      <c r="A191">
        <f t="shared" si="14"/>
        <v>1430</v>
      </c>
      <c r="C191" s="3">
        <f t="shared" si="11"/>
        <v>925032.56306995486</v>
      </c>
      <c r="D191" s="3">
        <f t="shared" si="12"/>
        <v>1641586.8910212156</v>
      </c>
      <c r="F191" s="3">
        <f t="shared" si="13"/>
        <v>17.576291695039313</v>
      </c>
    </row>
    <row r="192" spans="1:6">
      <c r="A192">
        <f t="shared" si="14"/>
        <v>1440</v>
      </c>
      <c r="C192" s="3">
        <f t="shared" si="11"/>
        <v>925032.56306995486</v>
      </c>
      <c r="D192" s="3">
        <f t="shared" si="12"/>
        <v>1642138.5788681076</v>
      </c>
      <c r="F192" s="3">
        <f t="shared" si="13"/>
        <v>17.576291695039313</v>
      </c>
    </row>
    <row r="193" spans="1:6">
      <c r="A193">
        <f t="shared" si="14"/>
        <v>1450</v>
      </c>
      <c r="C193" s="3">
        <f t="shared" si="11"/>
        <v>925032.56306995486</v>
      </c>
      <c r="D193" s="3">
        <f t="shared" si="12"/>
        <v>1642684.9149026496</v>
      </c>
      <c r="F193" s="3">
        <f t="shared" si="13"/>
        <v>17.576291695039313</v>
      </c>
    </row>
    <row r="194" spans="1:6">
      <c r="A194">
        <f t="shared" si="14"/>
        <v>1460</v>
      </c>
      <c r="C194" s="3">
        <f t="shared" si="11"/>
        <v>925032.56306995486</v>
      </c>
      <c r="D194" s="3">
        <f t="shared" si="12"/>
        <v>1643225.9862950279</v>
      </c>
      <c r="F194" s="3">
        <f t="shared" si="13"/>
        <v>17.576291695039313</v>
      </c>
    </row>
    <row r="195" spans="1:6">
      <c r="A195">
        <f t="shared" si="14"/>
        <v>1470</v>
      </c>
      <c r="C195" s="3">
        <f t="shared" si="11"/>
        <v>925032.56306995486</v>
      </c>
      <c r="D195" s="3">
        <f t="shared" si="12"/>
        <v>1643761.878224964</v>
      </c>
      <c r="F195" s="3">
        <f t="shared" si="13"/>
        <v>17.576291695039313</v>
      </c>
    </row>
    <row r="196" spans="1:6">
      <c r="A196">
        <f t="shared" si="14"/>
        <v>1480</v>
      </c>
      <c r="C196" s="3">
        <f t="shared" si="11"/>
        <v>925032.56306995486</v>
      </c>
      <c r="D196" s="3">
        <f t="shared" si="12"/>
        <v>1644292.6739400737</v>
      </c>
      <c r="F196" s="3">
        <f t="shared" si="13"/>
        <v>17.576291695039313</v>
      </c>
    </row>
    <row r="197" spans="1:6">
      <c r="A197">
        <f t="shared" si="14"/>
        <v>1490</v>
      </c>
      <c r="C197" s="3">
        <f t="shared" ref="C197:C260" si="15">+$C$1/(1+1/SQRT($C$2*$F197))</f>
        <v>925032.56306995486</v>
      </c>
      <c r="D197" s="3">
        <f t="shared" ref="D197:D260" si="16">+$C$1/(1+1/SQRT($C$2*$A197))</f>
        <v>1644818.4548121428</v>
      </c>
      <c r="F197" s="3">
        <f t="shared" ref="F197:F260" si="17">+(1-EXP(-$F$1*$A197))/$F$1</f>
        <v>17.576291695039313</v>
      </c>
    </row>
    <row r="198" spans="1:6">
      <c r="A198">
        <f t="shared" si="14"/>
        <v>1500</v>
      </c>
      <c r="C198" s="3">
        <f t="shared" si="15"/>
        <v>925032.56306995486</v>
      </c>
      <c r="D198" s="3">
        <f t="shared" si="16"/>
        <v>1645339.3003914016</v>
      </c>
      <c r="F198" s="3">
        <f t="shared" si="17"/>
        <v>17.576291695039313</v>
      </c>
    </row>
    <row r="199" spans="1:6">
      <c r="A199">
        <f t="shared" si="14"/>
        <v>1510</v>
      </c>
      <c r="C199" s="3">
        <f t="shared" si="15"/>
        <v>925032.56306995486</v>
      </c>
      <c r="D199" s="3">
        <f t="shared" si="16"/>
        <v>1645855.2884588903</v>
      </c>
      <c r="F199" s="3">
        <f t="shared" si="17"/>
        <v>17.576291695039313</v>
      </c>
    </row>
    <row r="200" spans="1:6">
      <c r="A200">
        <f t="shared" si="14"/>
        <v>1520</v>
      </c>
      <c r="C200" s="3">
        <f t="shared" si="15"/>
        <v>925032.56306995486</v>
      </c>
      <c r="D200" s="3">
        <f t="shared" si="16"/>
        <v>1646366.4950769856</v>
      </c>
      <c r="F200" s="3">
        <f t="shared" si="17"/>
        <v>17.576291695039313</v>
      </c>
    </row>
    <row r="201" spans="1:6">
      <c r="A201">
        <f t="shared" si="14"/>
        <v>1530</v>
      </c>
      <c r="C201" s="3">
        <f t="shared" si="15"/>
        <v>925032.56306995486</v>
      </c>
      <c r="D201" s="3">
        <f t="shared" si="16"/>
        <v>1646872.9946381685</v>
      </c>
      <c r="F201" s="3">
        <f t="shared" si="17"/>
        <v>17.576291695039313</v>
      </c>
    </row>
    <row r="202" spans="1:6">
      <c r="A202">
        <f t="shared" si="14"/>
        <v>1540</v>
      </c>
      <c r="C202" s="3">
        <f t="shared" si="15"/>
        <v>925032.56306995486</v>
      </c>
      <c r="D202" s="3">
        <f t="shared" si="16"/>
        <v>1647374.8599121056</v>
      </c>
      <c r="F202" s="3">
        <f t="shared" si="17"/>
        <v>17.576291695039313</v>
      </c>
    </row>
    <row r="203" spans="1:6">
      <c r="A203">
        <f t="shared" si="14"/>
        <v>1550</v>
      </c>
      <c r="C203" s="3">
        <f t="shared" si="15"/>
        <v>925032.56306995486</v>
      </c>
      <c r="D203" s="3">
        <f t="shared" si="16"/>
        <v>1647872.1620911153</v>
      </c>
      <c r="F203" s="3">
        <f t="shared" si="17"/>
        <v>17.576291695039313</v>
      </c>
    </row>
    <row r="204" spans="1:6">
      <c r="A204">
        <f t="shared" si="14"/>
        <v>1560</v>
      </c>
      <c r="C204" s="3">
        <f t="shared" si="15"/>
        <v>925032.56306995486</v>
      </c>
      <c r="D204" s="3">
        <f t="shared" si="16"/>
        <v>1648364.9708340743</v>
      </c>
      <c r="F204" s="3">
        <f t="shared" si="17"/>
        <v>17.576291695039313</v>
      </c>
    </row>
    <row r="205" spans="1:6">
      <c r="A205">
        <f t="shared" si="14"/>
        <v>1570</v>
      </c>
      <c r="C205" s="3">
        <f t="shared" si="15"/>
        <v>925032.56306995486</v>
      </c>
      <c r="D205" s="3">
        <f t="shared" si="16"/>
        <v>1648853.3543088413</v>
      </c>
      <c r="F205" s="3">
        <f t="shared" si="17"/>
        <v>17.576291695039313</v>
      </c>
    </row>
    <row r="206" spans="1:6">
      <c r="A206">
        <f t="shared" si="14"/>
        <v>1580</v>
      </c>
      <c r="C206" s="3">
        <f t="shared" si="15"/>
        <v>925032.56306995486</v>
      </c>
      <c r="D206" s="3">
        <f t="shared" si="16"/>
        <v>1649337.3792332443</v>
      </c>
      <c r="F206" s="3">
        <f t="shared" si="17"/>
        <v>17.576291695039313</v>
      </c>
    </row>
    <row r="207" spans="1:6">
      <c r="A207">
        <f t="shared" si="14"/>
        <v>1590</v>
      </c>
      <c r="C207" s="3">
        <f t="shared" si="15"/>
        <v>925032.56306995486</v>
      </c>
      <c r="D207" s="3">
        <f t="shared" si="16"/>
        <v>1649817.1109146981</v>
      </c>
      <c r="F207" s="3">
        <f t="shared" si="17"/>
        <v>17.576291695039313</v>
      </c>
    </row>
    <row r="208" spans="1:6">
      <c r="A208">
        <f t="shared" si="14"/>
        <v>1600</v>
      </c>
      <c r="C208" s="3">
        <f t="shared" si="15"/>
        <v>925032.56306995486</v>
      </c>
      <c r="D208" s="3">
        <f t="shared" si="16"/>
        <v>1650292.6132884985</v>
      </c>
      <c r="F208" s="3">
        <f t="shared" si="17"/>
        <v>17.576291695039313</v>
      </c>
    </row>
    <row r="209" spans="1:6">
      <c r="A209">
        <f t="shared" si="14"/>
        <v>1610</v>
      </c>
      <c r="C209" s="3">
        <f t="shared" si="15"/>
        <v>925032.56306995486</v>
      </c>
      <c r="D209" s="3">
        <f t="shared" si="16"/>
        <v>1650763.9489548525</v>
      </c>
      <c r="F209" s="3">
        <f t="shared" si="17"/>
        <v>17.576291695039313</v>
      </c>
    </row>
    <row r="210" spans="1:6">
      <c r="A210">
        <f t="shared" si="14"/>
        <v>1620</v>
      </c>
      <c r="C210" s="3">
        <f t="shared" si="15"/>
        <v>925032.56306995486</v>
      </c>
      <c r="D210" s="3">
        <f t="shared" si="16"/>
        <v>1651231.1792146864</v>
      </c>
      <c r="F210" s="3">
        <f t="shared" si="17"/>
        <v>17.576291695039313</v>
      </c>
    </row>
    <row r="211" spans="1:6">
      <c r="A211">
        <f t="shared" si="14"/>
        <v>1630</v>
      </c>
      <c r="C211" s="3">
        <f t="shared" si="15"/>
        <v>925032.56306995486</v>
      </c>
      <c r="D211" s="3">
        <f t="shared" si="16"/>
        <v>1651694.3641042854</v>
      </c>
      <c r="F211" s="3">
        <f t="shared" si="17"/>
        <v>17.576291695039313</v>
      </c>
    </row>
    <row r="212" spans="1:6">
      <c r="A212">
        <f t="shared" si="14"/>
        <v>1640</v>
      </c>
      <c r="C212" s="3">
        <f t="shared" si="15"/>
        <v>925032.56306995486</v>
      </c>
      <c r="D212" s="3">
        <f t="shared" si="16"/>
        <v>1652153.5624288067</v>
      </c>
      <c r="F212" s="3">
        <f t="shared" si="17"/>
        <v>17.576291695039313</v>
      </c>
    </row>
    <row r="213" spans="1:6">
      <c r="A213">
        <f t="shared" si="14"/>
        <v>1650</v>
      </c>
      <c r="C213" s="3">
        <f t="shared" si="15"/>
        <v>925032.56306995486</v>
      </c>
      <c r="D213" s="3">
        <f t="shared" si="16"/>
        <v>1652608.8317947078</v>
      </c>
      <c r="F213" s="3">
        <f t="shared" si="17"/>
        <v>17.576291695039313</v>
      </c>
    </row>
    <row r="214" spans="1:6">
      <c r="A214">
        <f t="shared" si="14"/>
        <v>1660</v>
      </c>
      <c r="C214" s="3">
        <f t="shared" si="15"/>
        <v>925032.56306995486</v>
      </c>
      <c r="D214" s="3">
        <f t="shared" si="16"/>
        <v>1653060.2286411349</v>
      </c>
      <c r="F214" s="3">
        <f t="shared" si="17"/>
        <v>17.576291695039313</v>
      </c>
    </row>
    <row r="215" spans="1:6">
      <c r="A215">
        <f t="shared" si="14"/>
        <v>1670</v>
      </c>
      <c r="C215" s="3">
        <f t="shared" si="15"/>
        <v>925032.56306995486</v>
      </c>
      <c r="D215" s="3">
        <f t="shared" si="16"/>
        <v>1653507.8082703098</v>
      </c>
      <c r="F215" s="3">
        <f t="shared" si="17"/>
        <v>17.576291695039313</v>
      </c>
    </row>
    <row r="216" spans="1:6">
      <c r="A216">
        <f t="shared" si="14"/>
        <v>1680</v>
      </c>
      <c r="C216" s="3">
        <f t="shared" si="15"/>
        <v>925032.56306995486</v>
      </c>
      <c r="D216" s="3">
        <f t="shared" si="16"/>
        <v>1653951.6248769492</v>
      </c>
      <c r="F216" s="3">
        <f t="shared" si="17"/>
        <v>17.576291695039313</v>
      </c>
    </row>
    <row r="217" spans="1:6">
      <c r="A217">
        <f t="shared" si="14"/>
        <v>1690</v>
      </c>
      <c r="C217" s="3">
        <f t="shared" si="15"/>
        <v>925032.56306995486</v>
      </c>
      <c r="D217" s="3">
        <f t="shared" si="16"/>
        <v>1654391.7315767594</v>
      </c>
      <c r="F217" s="3">
        <f t="shared" si="17"/>
        <v>17.576291695039313</v>
      </c>
    </row>
    <row r="218" spans="1:6">
      <c r="A218">
        <f t="shared" si="14"/>
        <v>1700</v>
      </c>
      <c r="C218" s="3">
        <f t="shared" si="15"/>
        <v>925032.56306995486</v>
      </c>
      <c r="D218" s="3">
        <f t="shared" si="16"/>
        <v>1654828.1804340321</v>
      </c>
      <c r="F218" s="3">
        <f t="shared" si="17"/>
        <v>17.576291695039313</v>
      </c>
    </row>
    <row r="219" spans="1:6">
      <c r="A219">
        <f t="shared" si="14"/>
        <v>1710</v>
      </c>
      <c r="C219" s="3">
        <f t="shared" si="15"/>
        <v>925032.56306995486</v>
      </c>
      <c r="D219" s="3">
        <f t="shared" si="16"/>
        <v>1655261.0224883852</v>
      </c>
      <c r="F219" s="3">
        <f t="shared" si="17"/>
        <v>17.576291695039313</v>
      </c>
    </row>
    <row r="220" spans="1:6">
      <c r="A220">
        <f t="shared" si="14"/>
        <v>1720</v>
      </c>
      <c r="C220" s="3">
        <f t="shared" si="15"/>
        <v>925032.56306995486</v>
      </c>
      <c r="D220" s="3">
        <f t="shared" si="16"/>
        <v>1655690.3077806691</v>
      </c>
      <c r="F220" s="3">
        <f t="shared" si="17"/>
        <v>17.576291695039313</v>
      </c>
    </row>
    <row r="221" spans="1:6">
      <c r="A221">
        <f t="shared" si="14"/>
        <v>1730</v>
      </c>
      <c r="C221" s="3">
        <f t="shared" si="15"/>
        <v>925032.56306995486</v>
      </c>
      <c r="D221" s="3">
        <f t="shared" si="16"/>
        <v>1656116.0853780778</v>
      </c>
      <c r="F221" s="3">
        <f t="shared" si="17"/>
        <v>17.576291695039313</v>
      </c>
    </row>
    <row r="222" spans="1:6">
      <c r="A222">
        <f t="shared" si="14"/>
        <v>1740</v>
      </c>
      <c r="C222" s="3">
        <f t="shared" si="15"/>
        <v>925032.56306995486</v>
      </c>
      <c r="D222" s="3">
        <f t="shared" si="16"/>
        <v>1656538.403398487</v>
      </c>
      <c r="F222" s="3">
        <f t="shared" si="17"/>
        <v>17.576291695039313</v>
      </c>
    </row>
    <row r="223" spans="1:6">
      <c r="A223">
        <f t="shared" si="14"/>
        <v>1750</v>
      </c>
      <c r="C223" s="3">
        <f t="shared" si="15"/>
        <v>925032.56306995486</v>
      </c>
      <c r="D223" s="3">
        <f t="shared" si="16"/>
        <v>1656957.3090340521</v>
      </c>
      <c r="F223" s="3">
        <f t="shared" si="17"/>
        <v>17.576291695039313</v>
      </c>
    </row>
    <row r="224" spans="1:6">
      <c r="A224">
        <f t="shared" si="14"/>
        <v>1760</v>
      </c>
      <c r="C224" s="3">
        <f t="shared" si="15"/>
        <v>925032.56306995486</v>
      </c>
      <c r="D224" s="3">
        <f t="shared" si="16"/>
        <v>1657372.8485740912</v>
      </c>
      <c r="F224" s="3">
        <f t="shared" si="17"/>
        <v>17.576291695039313</v>
      </c>
    </row>
    <row r="225" spans="1:6">
      <c r="A225">
        <f t="shared" si="14"/>
        <v>1770</v>
      </c>
      <c r="C225" s="3">
        <f t="shared" si="15"/>
        <v>925032.56306995486</v>
      </c>
      <c r="D225" s="3">
        <f t="shared" si="16"/>
        <v>1657785.0674272752</v>
      </c>
      <c r="F225" s="3">
        <f t="shared" si="17"/>
        <v>17.576291695039313</v>
      </c>
    </row>
    <row r="226" spans="1:6">
      <c r="A226">
        <f t="shared" si="14"/>
        <v>1780</v>
      </c>
      <c r="C226" s="3">
        <f t="shared" si="15"/>
        <v>925032.56306995486</v>
      </c>
      <c r="D226" s="3">
        <f t="shared" si="16"/>
        <v>1658194.0101431562</v>
      </c>
      <c r="F226" s="3">
        <f t="shared" si="17"/>
        <v>17.576291695039313</v>
      </c>
    </row>
    <row r="227" spans="1:6">
      <c r="A227">
        <f t="shared" si="14"/>
        <v>1790</v>
      </c>
      <c r="C227" s="3">
        <f t="shared" si="15"/>
        <v>925032.56306995486</v>
      </c>
      <c r="D227" s="3">
        <f t="shared" si="16"/>
        <v>1658599.7204330517</v>
      </c>
      <c r="F227" s="3">
        <f t="shared" si="17"/>
        <v>17.576291695039313</v>
      </c>
    </row>
    <row r="228" spans="1:6">
      <c r="A228">
        <f t="shared" si="14"/>
        <v>1800</v>
      </c>
      <c r="C228" s="3">
        <f t="shared" si="15"/>
        <v>925032.56306995486</v>
      </c>
      <c r="D228" s="3">
        <f t="shared" si="16"/>
        <v>1659002.2411903108</v>
      </c>
      <c r="F228" s="3">
        <f t="shared" si="17"/>
        <v>17.576291695039313</v>
      </c>
    </row>
    <row r="229" spans="1:6">
      <c r="A229">
        <f t="shared" si="14"/>
        <v>1810</v>
      </c>
      <c r="C229" s="3">
        <f t="shared" si="15"/>
        <v>925032.56306995486</v>
      </c>
      <c r="D229" s="3">
        <f t="shared" si="16"/>
        <v>1659401.6145099807</v>
      </c>
      <c r="F229" s="3">
        <f t="shared" si="17"/>
        <v>17.576291695039313</v>
      </c>
    </row>
    <row r="230" spans="1:6">
      <c r="A230">
        <f t="shared" si="14"/>
        <v>1820</v>
      </c>
      <c r="C230" s="3">
        <f t="shared" si="15"/>
        <v>925032.56306995486</v>
      </c>
      <c r="D230" s="3">
        <f t="shared" si="16"/>
        <v>1659797.881707899</v>
      </c>
      <c r="F230" s="3">
        <f t="shared" si="17"/>
        <v>17.576291695039313</v>
      </c>
    </row>
    <row r="231" spans="1:6">
      <c r="A231">
        <f t="shared" si="14"/>
        <v>1830</v>
      </c>
      <c r="C231" s="3">
        <f t="shared" si="15"/>
        <v>925032.56306995486</v>
      </c>
      <c r="D231" s="3">
        <f t="shared" si="16"/>
        <v>1660191.0833392269</v>
      </c>
      <c r="F231" s="3">
        <f t="shared" si="17"/>
        <v>17.576291695039313</v>
      </c>
    </row>
    <row r="232" spans="1:6">
      <c r="A232">
        <f t="shared" si="14"/>
        <v>1840</v>
      </c>
      <c r="C232" s="3">
        <f t="shared" si="15"/>
        <v>925032.56306995486</v>
      </c>
      <c r="D232" s="3">
        <f t="shared" si="16"/>
        <v>1660581.2592164471</v>
      </c>
      <c r="F232" s="3">
        <f t="shared" si="17"/>
        <v>17.576291695039313</v>
      </c>
    </row>
    <row r="233" spans="1:6">
      <c r="A233">
        <f t="shared" si="14"/>
        <v>1850</v>
      </c>
      <c r="C233" s="3">
        <f t="shared" si="15"/>
        <v>925032.56306995486</v>
      </c>
      <c r="D233" s="3">
        <f t="shared" si="16"/>
        <v>1660968.448426838</v>
      </c>
      <c r="F233" s="3">
        <f t="shared" si="17"/>
        <v>17.576291695039313</v>
      </c>
    </row>
    <row r="234" spans="1:6">
      <c r="A234">
        <f t="shared" si="14"/>
        <v>1860</v>
      </c>
      <c r="C234" s="3">
        <f t="shared" si="15"/>
        <v>925032.56306995486</v>
      </c>
      <c r="D234" s="3">
        <f t="shared" si="16"/>
        <v>1661352.6893494506</v>
      </c>
      <c r="F234" s="3">
        <f t="shared" si="17"/>
        <v>17.576291695039313</v>
      </c>
    </row>
    <row r="235" spans="1:6">
      <c r="A235">
        <f t="shared" si="14"/>
        <v>1870</v>
      </c>
      <c r="C235" s="3">
        <f t="shared" si="15"/>
        <v>925032.56306995486</v>
      </c>
      <c r="D235" s="3">
        <f t="shared" si="16"/>
        <v>1661734.0196715987</v>
      </c>
      <c r="F235" s="3">
        <f t="shared" si="17"/>
        <v>17.576291695039313</v>
      </c>
    </row>
    <row r="236" spans="1:6">
      <c r="A236">
        <f t="shared" si="14"/>
        <v>1880</v>
      </c>
      <c r="C236" s="3">
        <f t="shared" si="15"/>
        <v>925032.56306995486</v>
      </c>
      <c r="D236" s="3">
        <f t="shared" si="16"/>
        <v>1662112.4764048811</v>
      </c>
      <c r="F236" s="3">
        <f t="shared" si="17"/>
        <v>17.576291695039313</v>
      </c>
    </row>
    <row r="237" spans="1:6">
      <c r="A237">
        <f t="shared" si="14"/>
        <v>1890</v>
      </c>
      <c r="C237" s="3">
        <f t="shared" si="15"/>
        <v>925032.56306995486</v>
      </c>
      <c r="D237" s="3">
        <f t="shared" si="16"/>
        <v>1662488.0959007491</v>
      </c>
      <c r="F237" s="3">
        <f t="shared" si="17"/>
        <v>17.576291695039313</v>
      </c>
    </row>
    <row r="238" spans="1:6">
      <c r="A238">
        <f t="shared" si="14"/>
        <v>1900</v>
      </c>
      <c r="C238" s="3">
        <f t="shared" si="15"/>
        <v>925032.56306995486</v>
      </c>
      <c r="D238" s="3">
        <f t="shared" si="16"/>
        <v>1662860.9138656401</v>
      </c>
      <c r="F238" s="3">
        <f t="shared" si="17"/>
        <v>17.576291695039313</v>
      </c>
    </row>
    <row r="239" spans="1:6">
      <c r="A239">
        <f t="shared" si="14"/>
        <v>1910</v>
      </c>
      <c r="C239" s="3">
        <f t="shared" si="15"/>
        <v>925032.56306995486</v>
      </c>
      <c r="D239" s="3">
        <f t="shared" si="16"/>
        <v>1663230.9653756842</v>
      </c>
      <c r="F239" s="3">
        <f t="shared" si="17"/>
        <v>17.576291695039313</v>
      </c>
    </row>
    <row r="240" spans="1:6">
      <c r="A240">
        <f t="shared" si="14"/>
        <v>1920</v>
      </c>
      <c r="C240" s="3">
        <f t="shared" si="15"/>
        <v>925032.56306995486</v>
      </c>
      <c r="D240" s="3">
        <f t="shared" si="16"/>
        <v>1663598.2848910056</v>
      </c>
      <c r="F240" s="3">
        <f t="shared" si="17"/>
        <v>17.576291695039313</v>
      </c>
    </row>
    <row r="241" spans="1:6">
      <c r="A241">
        <f t="shared" si="14"/>
        <v>1930</v>
      </c>
      <c r="C241" s="3">
        <f t="shared" si="15"/>
        <v>925032.56306995486</v>
      </c>
      <c r="D241" s="3">
        <f t="shared" si="16"/>
        <v>1663962.9062696223</v>
      </c>
      <c r="F241" s="3">
        <f t="shared" si="17"/>
        <v>17.576291695039313</v>
      </c>
    </row>
    <row r="242" spans="1:6">
      <c r="A242">
        <f t="shared" si="14"/>
        <v>1940</v>
      </c>
      <c r="C242" s="3">
        <f t="shared" si="15"/>
        <v>925032.56306995486</v>
      </c>
      <c r="D242" s="3">
        <f t="shared" si="16"/>
        <v>1664324.8627809703</v>
      </c>
      <c r="F242" s="3">
        <f t="shared" si="17"/>
        <v>17.576291695039313</v>
      </c>
    </row>
    <row r="243" spans="1:6">
      <c r="A243">
        <f t="shared" si="14"/>
        <v>1950</v>
      </c>
      <c r="C243" s="3">
        <f t="shared" si="15"/>
        <v>925032.56306995486</v>
      </c>
      <c r="D243" s="3">
        <f t="shared" si="16"/>
        <v>1664684.1871190516</v>
      </c>
      <c r="F243" s="3">
        <f t="shared" si="17"/>
        <v>17.576291695039313</v>
      </c>
    </row>
    <row r="244" spans="1:6">
      <c r="A244">
        <f t="shared" si="14"/>
        <v>1960</v>
      </c>
      <c r="C244" s="3">
        <f t="shared" si="15"/>
        <v>925032.56306995486</v>
      </c>
      <c r="D244" s="3">
        <f t="shared" si="16"/>
        <v>1665040.9114152247</v>
      </c>
      <c r="F244" s="3">
        <f t="shared" si="17"/>
        <v>17.576291695039313</v>
      </c>
    </row>
    <row r="245" spans="1:6">
      <c r="A245">
        <f t="shared" si="14"/>
        <v>1970</v>
      </c>
      <c r="C245" s="3">
        <f t="shared" si="15"/>
        <v>925032.56306995486</v>
      </c>
      <c r="D245" s="3">
        <f t="shared" si="16"/>
        <v>1665395.0672506525</v>
      </c>
      <c r="F245" s="3">
        <f t="shared" si="17"/>
        <v>17.576291695039313</v>
      </c>
    </row>
    <row r="246" spans="1:6">
      <c r="A246">
        <f t="shared" si="14"/>
        <v>1980</v>
      </c>
      <c r="C246" s="3">
        <f t="shared" si="15"/>
        <v>925032.56306995486</v>
      </c>
      <c r="D246" s="3">
        <f t="shared" si="16"/>
        <v>1665746.6856684075</v>
      </c>
      <c r="F246" s="3">
        <f t="shared" si="17"/>
        <v>17.576291695039313</v>
      </c>
    </row>
    <row r="247" spans="1:6">
      <c r="A247">
        <f t="shared" ref="A247:A310" si="18">+$A246+10</f>
        <v>1990</v>
      </c>
      <c r="C247" s="3">
        <f t="shared" si="15"/>
        <v>925032.56306995486</v>
      </c>
      <c r="D247" s="3">
        <f t="shared" si="16"/>
        <v>1666095.7971852571</v>
      </c>
      <c r="F247" s="3">
        <f t="shared" si="17"/>
        <v>17.576291695039313</v>
      </c>
    </row>
    <row r="248" spans="1:6">
      <c r="A248">
        <f t="shared" si="18"/>
        <v>2000</v>
      </c>
      <c r="C248" s="3">
        <f t="shared" si="15"/>
        <v>925032.56306995486</v>
      </c>
      <c r="D248" s="3">
        <f t="shared" si="16"/>
        <v>1666442.4318031315</v>
      </c>
      <c r="F248" s="3">
        <f t="shared" si="17"/>
        <v>17.576291695039313</v>
      </c>
    </row>
    <row r="249" spans="1:6">
      <c r="A249">
        <f t="shared" si="18"/>
        <v>2010</v>
      </c>
      <c r="C249" s="3">
        <f t="shared" si="15"/>
        <v>925032.56306995486</v>
      </c>
      <c r="D249" s="3">
        <f t="shared" si="16"/>
        <v>1666786.6190202883</v>
      </c>
      <c r="F249" s="3">
        <f t="shared" si="17"/>
        <v>17.576291695039313</v>
      </c>
    </row>
    <row r="250" spans="1:6">
      <c r="A250">
        <f t="shared" si="18"/>
        <v>2020</v>
      </c>
      <c r="C250" s="3">
        <f t="shared" si="15"/>
        <v>925032.56306995486</v>
      </c>
      <c r="D250" s="3">
        <f t="shared" si="16"/>
        <v>1667128.3878421797</v>
      </c>
      <c r="F250" s="3">
        <f t="shared" si="17"/>
        <v>17.576291695039313</v>
      </c>
    </row>
    <row r="251" spans="1:6">
      <c r="A251">
        <f t="shared" si="18"/>
        <v>2030</v>
      </c>
      <c r="C251" s="3">
        <f t="shared" si="15"/>
        <v>925032.56306995486</v>
      </c>
      <c r="D251" s="3">
        <f t="shared" si="16"/>
        <v>1667467.7667920345</v>
      </c>
      <c r="F251" s="3">
        <f t="shared" si="17"/>
        <v>17.576291695039313</v>
      </c>
    </row>
    <row r="252" spans="1:6">
      <c r="A252">
        <f t="shared" si="18"/>
        <v>2040</v>
      </c>
      <c r="C252" s="3">
        <f t="shared" si="15"/>
        <v>925032.56306995486</v>
      </c>
      <c r="D252" s="3">
        <f t="shared" si="16"/>
        <v>1667804.7839211642</v>
      </c>
      <c r="F252" s="3">
        <f t="shared" si="17"/>
        <v>17.576291695039313</v>
      </c>
    </row>
    <row r="253" spans="1:6">
      <c r="A253">
        <f t="shared" si="18"/>
        <v>2050</v>
      </c>
      <c r="C253" s="3">
        <f t="shared" si="15"/>
        <v>925032.56306995486</v>
      </c>
      <c r="D253" s="3">
        <f t="shared" si="16"/>
        <v>1668139.4668189974</v>
      </c>
      <c r="F253" s="3">
        <f t="shared" si="17"/>
        <v>17.576291695039313</v>
      </c>
    </row>
    <row r="254" spans="1:6">
      <c r="A254">
        <f t="shared" si="18"/>
        <v>2060</v>
      </c>
      <c r="C254" s="3">
        <f t="shared" si="15"/>
        <v>925032.56306995486</v>
      </c>
      <c r="D254" s="3">
        <f t="shared" si="16"/>
        <v>1668471.8426228564</v>
      </c>
      <c r="F254" s="3">
        <f t="shared" si="17"/>
        <v>17.576291695039313</v>
      </c>
    </row>
    <row r="255" spans="1:6">
      <c r="A255">
        <f t="shared" si="18"/>
        <v>2070</v>
      </c>
      <c r="C255" s="3">
        <f t="shared" si="15"/>
        <v>925032.56306995486</v>
      </c>
      <c r="D255" s="3">
        <f t="shared" si="16"/>
        <v>1668801.9380274795</v>
      </c>
      <c r="F255" s="3">
        <f t="shared" si="17"/>
        <v>17.576291695039313</v>
      </c>
    </row>
    <row r="256" spans="1:6">
      <c r="A256">
        <f t="shared" si="18"/>
        <v>2080</v>
      </c>
      <c r="C256" s="3">
        <f t="shared" si="15"/>
        <v>925032.56306995486</v>
      </c>
      <c r="D256" s="3">
        <f t="shared" si="16"/>
        <v>1669129.7792943001</v>
      </c>
      <c r="F256" s="3">
        <f t="shared" si="17"/>
        <v>17.576291695039313</v>
      </c>
    </row>
    <row r="257" spans="1:6">
      <c r="A257">
        <f t="shared" si="18"/>
        <v>2090</v>
      </c>
      <c r="C257" s="3">
        <f t="shared" si="15"/>
        <v>925032.56306995486</v>
      </c>
      <c r="D257" s="3">
        <f t="shared" si="16"/>
        <v>1669455.392260487</v>
      </c>
      <c r="F257" s="3">
        <f t="shared" si="17"/>
        <v>17.576291695039313</v>
      </c>
    </row>
    <row r="258" spans="1:6">
      <c r="A258">
        <f t="shared" si="18"/>
        <v>2100</v>
      </c>
      <c r="C258" s="3">
        <f t="shared" si="15"/>
        <v>925032.56306995486</v>
      </c>
      <c r="D258" s="3">
        <f t="shared" si="16"/>
        <v>1669778.8023477551</v>
      </c>
      <c r="F258" s="3">
        <f t="shared" si="17"/>
        <v>17.576291695039313</v>
      </c>
    </row>
    <row r="259" spans="1:6">
      <c r="A259">
        <f t="shared" si="18"/>
        <v>2110</v>
      </c>
      <c r="C259" s="3">
        <f t="shared" si="15"/>
        <v>925032.56306995486</v>
      </c>
      <c r="D259" s="3">
        <f t="shared" si="16"/>
        <v>1670100.0345709529</v>
      </c>
      <c r="F259" s="3">
        <f t="shared" si="17"/>
        <v>17.576291695039313</v>
      </c>
    </row>
    <row r="260" spans="1:6">
      <c r="A260">
        <f t="shared" si="18"/>
        <v>2120</v>
      </c>
      <c r="C260" s="3">
        <f t="shared" si="15"/>
        <v>925032.56306995486</v>
      </c>
      <c r="D260" s="3">
        <f t="shared" si="16"/>
        <v>1670419.1135464329</v>
      </c>
      <c r="F260" s="3">
        <f t="shared" si="17"/>
        <v>17.576291695039313</v>
      </c>
    </row>
    <row r="261" spans="1:6">
      <c r="A261">
        <f t="shared" si="18"/>
        <v>2130</v>
      </c>
      <c r="C261" s="3">
        <f t="shared" ref="C261:C324" si="19">+$C$1/(1+1/SQRT($C$2*$F261))</f>
        <v>925032.56306995486</v>
      </c>
      <c r="D261" s="3">
        <f t="shared" ref="D261:D324" si="20">+$C$1/(1+1/SQRT($C$2*$A261))</f>
        <v>1670736.0635002127</v>
      </c>
      <c r="F261" s="3">
        <f t="shared" ref="F261:F324" si="21">+(1-EXP(-$F$1*$A261))/$F$1</f>
        <v>17.576291695039313</v>
      </c>
    </row>
    <row r="262" spans="1:6">
      <c r="A262">
        <f t="shared" si="18"/>
        <v>2140</v>
      </c>
      <c r="C262" s="3">
        <f t="shared" si="19"/>
        <v>925032.56306995486</v>
      </c>
      <c r="D262" s="3">
        <f t="shared" si="20"/>
        <v>1671050.9082759309</v>
      </c>
      <c r="F262" s="3">
        <f t="shared" si="21"/>
        <v>17.576291695039313</v>
      </c>
    </row>
    <row r="263" spans="1:6">
      <c r="A263">
        <f t="shared" si="18"/>
        <v>2150</v>
      </c>
      <c r="C263" s="3">
        <f t="shared" si="19"/>
        <v>925032.56306995486</v>
      </c>
      <c r="D263" s="3">
        <f t="shared" si="20"/>
        <v>1671363.6713426055</v>
      </c>
      <c r="F263" s="3">
        <f t="shared" si="21"/>
        <v>17.576291695039313</v>
      </c>
    </row>
    <row r="264" spans="1:6">
      <c r="A264">
        <f t="shared" si="18"/>
        <v>2160</v>
      </c>
      <c r="C264" s="3">
        <f t="shared" si="19"/>
        <v>925032.56306995486</v>
      </c>
      <c r="D264" s="3">
        <f t="shared" si="20"/>
        <v>1671674.3758022019</v>
      </c>
      <c r="F264" s="3">
        <f t="shared" si="21"/>
        <v>17.576291695039313</v>
      </c>
    </row>
    <row r="265" spans="1:6">
      <c r="A265">
        <f t="shared" si="18"/>
        <v>2170</v>
      </c>
      <c r="C265" s="3">
        <f t="shared" si="19"/>
        <v>925032.56306995486</v>
      </c>
      <c r="D265" s="3">
        <f t="shared" si="20"/>
        <v>1671983.0443970107</v>
      </c>
      <c r="F265" s="3">
        <f t="shared" si="21"/>
        <v>17.576291695039313</v>
      </c>
    </row>
    <row r="266" spans="1:6">
      <c r="A266">
        <f t="shared" si="18"/>
        <v>2180</v>
      </c>
      <c r="C266" s="3">
        <f t="shared" si="19"/>
        <v>925032.56306995486</v>
      </c>
      <c r="D266" s="3">
        <f t="shared" si="20"/>
        <v>1672289.6995168475</v>
      </c>
      <c r="F266" s="3">
        <f t="shared" si="21"/>
        <v>17.576291695039313</v>
      </c>
    </row>
    <row r="267" spans="1:6">
      <c r="A267">
        <f t="shared" si="18"/>
        <v>2190</v>
      </c>
      <c r="C267" s="3">
        <f t="shared" si="19"/>
        <v>925032.56306995486</v>
      </c>
      <c r="D267" s="3">
        <f t="shared" si="20"/>
        <v>1672594.3632060762</v>
      </c>
      <c r="F267" s="3">
        <f t="shared" si="21"/>
        <v>17.576291695039313</v>
      </c>
    </row>
    <row r="268" spans="1:6">
      <c r="A268">
        <f t="shared" si="18"/>
        <v>2200</v>
      </c>
      <c r="C268" s="3">
        <f t="shared" si="19"/>
        <v>925032.56306995486</v>
      </c>
      <c r="D268" s="3">
        <f t="shared" si="20"/>
        <v>1672897.0571704612</v>
      </c>
      <c r="F268" s="3">
        <f t="shared" si="21"/>
        <v>17.576291695039313</v>
      </c>
    </row>
    <row r="269" spans="1:6">
      <c r="A269">
        <f t="shared" si="18"/>
        <v>2210</v>
      </c>
      <c r="C269" s="3">
        <f t="shared" si="19"/>
        <v>925032.56306995486</v>
      </c>
      <c r="D269" s="3">
        <f t="shared" si="20"/>
        <v>1673197.8027838515</v>
      </c>
      <c r="F269" s="3">
        <f t="shared" si="21"/>
        <v>17.576291695039313</v>
      </c>
    </row>
    <row r="270" spans="1:6">
      <c r="A270">
        <f t="shared" si="18"/>
        <v>2220</v>
      </c>
      <c r="C270" s="3">
        <f t="shared" si="19"/>
        <v>925032.56306995486</v>
      </c>
      <c r="D270" s="3">
        <f t="shared" si="20"/>
        <v>1673496.6210947093</v>
      </c>
      <c r="F270" s="3">
        <f t="shared" si="21"/>
        <v>17.576291695039313</v>
      </c>
    </row>
    <row r="271" spans="1:6">
      <c r="A271">
        <f t="shared" si="18"/>
        <v>2230</v>
      </c>
      <c r="C271" s="3">
        <f t="shared" si="19"/>
        <v>925032.56306995486</v>
      </c>
      <c r="D271" s="3">
        <f t="shared" si="20"/>
        <v>1673793.5328324751</v>
      </c>
      <c r="F271" s="3">
        <f t="shared" si="21"/>
        <v>17.576291695039313</v>
      </c>
    </row>
    <row r="272" spans="1:6">
      <c r="A272">
        <f t="shared" si="18"/>
        <v>2240</v>
      </c>
      <c r="C272" s="3">
        <f t="shared" si="19"/>
        <v>925032.56306995486</v>
      </c>
      <c r="D272" s="3">
        <f t="shared" si="20"/>
        <v>1674088.5584137866</v>
      </c>
      <c r="F272" s="3">
        <f t="shared" si="21"/>
        <v>17.576291695039313</v>
      </c>
    </row>
    <row r="273" spans="1:6">
      <c r="A273">
        <f t="shared" si="18"/>
        <v>2250</v>
      </c>
      <c r="C273" s="3">
        <f t="shared" si="19"/>
        <v>925032.56306995486</v>
      </c>
      <c r="D273" s="3">
        <f t="shared" si="20"/>
        <v>1674381.7179485448</v>
      </c>
      <c r="F273" s="3">
        <f t="shared" si="21"/>
        <v>17.576291695039313</v>
      </c>
    </row>
    <row r="274" spans="1:6">
      <c r="A274">
        <f t="shared" si="18"/>
        <v>2260</v>
      </c>
      <c r="C274" s="3">
        <f t="shared" si="19"/>
        <v>925032.56306995486</v>
      </c>
      <c r="D274" s="3">
        <f t="shared" si="20"/>
        <v>1674673.0312458419</v>
      </c>
      <c r="F274" s="3">
        <f t="shared" si="21"/>
        <v>17.576291695039313</v>
      </c>
    </row>
    <row r="275" spans="1:6">
      <c r="A275">
        <f t="shared" si="18"/>
        <v>2270</v>
      </c>
      <c r="C275" s="3">
        <f t="shared" si="19"/>
        <v>925032.56306995486</v>
      </c>
      <c r="D275" s="3">
        <f t="shared" si="20"/>
        <v>1674962.5178197422</v>
      </c>
      <c r="F275" s="3">
        <f t="shared" si="21"/>
        <v>17.576291695039313</v>
      </c>
    </row>
    <row r="276" spans="1:6">
      <c r="A276">
        <f t="shared" si="18"/>
        <v>2280</v>
      </c>
      <c r="C276" s="3">
        <f t="shared" si="19"/>
        <v>925032.56306995486</v>
      </c>
      <c r="D276" s="3">
        <f t="shared" si="20"/>
        <v>1675250.1968949358</v>
      </c>
      <c r="F276" s="3">
        <f t="shared" si="21"/>
        <v>17.576291695039313</v>
      </c>
    </row>
    <row r="277" spans="1:6">
      <c r="A277">
        <f t="shared" si="18"/>
        <v>2290</v>
      </c>
      <c r="C277" s="3">
        <f t="shared" si="19"/>
        <v>925032.56306995486</v>
      </c>
      <c r="D277" s="3">
        <f t="shared" si="20"/>
        <v>1675536.0874122514</v>
      </c>
      <c r="F277" s="3">
        <f t="shared" si="21"/>
        <v>17.576291695039313</v>
      </c>
    </row>
    <row r="278" spans="1:6">
      <c r="A278">
        <f t="shared" si="18"/>
        <v>2300</v>
      </c>
      <c r="C278" s="3">
        <f t="shared" si="19"/>
        <v>925032.56306995486</v>
      </c>
      <c r="D278" s="3">
        <f t="shared" si="20"/>
        <v>1675820.2080340488</v>
      </c>
      <c r="F278" s="3">
        <f t="shared" si="21"/>
        <v>17.576291695039313</v>
      </c>
    </row>
    <row r="279" spans="1:6">
      <c r="A279">
        <f t="shared" si="18"/>
        <v>2310</v>
      </c>
      <c r="C279" s="3">
        <f t="shared" si="19"/>
        <v>925032.56306995486</v>
      </c>
      <c r="D279" s="3">
        <f t="shared" si="20"/>
        <v>1676102.577149481</v>
      </c>
      <c r="F279" s="3">
        <f t="shared" si="21"/>
        <v>17.576291695039313</v>
      </c>
    </row>
    <row r="280" spans="1:6">
      <c r="A280">
        <f t="shared" si="18"/>
        <v>2320</v>
      </c>
      <c r="C280" s="3">
        <f t="shared" si="19"/>
        <v>925032.56306995486</v>
      </c>
      <c r="D280" s="3">
        <f t="shared" si="20"/>
        <v>1676383.2128796356</v>
      </c>
      <c r="F280" s="3">
        <f t="shared" si="21"/>
        <v>17.576291695039313</v>
      </c>
    </row>
    <row r="281" spans="1:6">
      <c r="A281">
        <f t="shared" si="18"/>
        <v>2330</v>
      </c>
      <c r="C281" s="3">
        <f t="shared" si="19"/>
        <v>925032.56306995486</v>
      </c>
      <c r="D281" s="3">
        <f t="shared" si="20"/>
        <v>1676662.1330825621</v>
      </c>
      <c r="F281" s="3">
        <f t="shared" si="21"/>
        <v>17.576291695039313</v>
      </c>
    </row>
    <row r="282" spans="1:6">
      <c r="A282">
        <f t="shared" si="18"/>
        <v>2340</v>
      </c>
      <c r="C282" s="3">
        <f t="shared" si="19"/>
        <v>925032.56306995486</v>
      </c>
      <c r="D282" s="3">
        <f t="shared" si="20"/>
        <v>1676939.3553581785</v>
      </c>
      <c r="F282" s="3">
        <f t="shared" si="21"/>
        <v>17.576291695039313</v>
      </c>
    </row>
    <row r="283" spans="1:6">
      <c r="A283">
        <f t="shared" si="18"/>
        <v>2350</v>
      </c>
      <c r="C283" s="3">
        <f t="shared" si="19"/>
        <v>925032.56306995486</v>
      </c>
      <c r="D283" s="3">
        <f t="shared" si="20"/>
        <v>1677214.8970530683</v>
      </c>
      <c r="F283" s="3">
        <f t="shared" si="21"/>
        <v>17.576291695039313</v>
      </c>
    </row>
    <row r="284" spans="1:6">
      <c r="A284">
        <f t="shared" si="18"/>
        <v>2360</v>
      </c>
      <c r="C284" s="3">
        <f t="shared" si="19"/>
        <v>925032.56306995486</v>
      </c>
      <c r="D284" s="3">
        <f t="shared" si="20"/>
        <v>1677488.7752651721</v>
      </c>
      <c r="F284" s="3">
        <f t="shared" si="21"/>
        <v>17.576291695039313</v>
      </c>
    </row>
    <row r="285" spans="1:6">
      <c r="A285">
        <f t="shared" si="18"/>
        <v>2370</v>
      </c>
      <c r="C285" s="3">
        <f t="shared" si="19"/>
        <v>925032.56306995486</v>
      </c>
      <c r="D285" s="3">
        <f t="shared" si="20"/>
        <v>1677761.0068483676</v>
      </c>
      <c r="F285" s="3">
        <f t="shared" si="21"/>
        <v>17.576291695039313</v>
      </c>
    </row>
    <row r="286" spans="1:6">
      <c r="A286">
        <f t="shared" si="18"/>
        <v>2380</v>
      </c>
      <c r="C286" s="3">
        <f t="shared" si="19"/>
        <v>925032.56306995486</v>
      </c>
      <c r="D286" s="3">
        <f t="shared" si="20"/>
        <v>1678031.6084169503</v>
      </c>
      <c r="F286" s="3">
        <f t="shared" si="21"/>
        <v>17.576291695039313</v>
      </c>
    </row>
    <row r="287" spans="1:6">
      <c r="A287">
        <f t="shared" si="18"/>
        <v>2390</v>
      </c>
      <c r="C287" s="3">
        <f t="shared" si="19"/>
        <v>925032.56306995486</v>
      </c>
      <c r="D287" s="3">
        <f t="shared" si="20"/>
        <v>1678300.5963500119</v>
      </c>
      <c r="F287" s="3">
        <f t="shared" si="21"/>
        <v>17.576291695039313</v>
      </c>
    </row>
    <row r="288" spans="1:6">
      <c r="A288">
        <f t="shared" si="18"/>
        <v>2400</v>
      </c>
      <c r="C288" s="3">
        <f t="shared" si="19"/>
        <v>925032.56306995486</v>
      </c>
      <c r="D288" s="3">
        <f t="shared" si="20"/>
        <v>1678567.9867957216</v>
      </c>
      <c r="F288" s="3">
        <f t="shared" si="21"/>
        <v>17.576291695039313</v>
      </c>
    </row>
    <row r="289" spans="1:6">
      <c r="A289">
        <f t="shared" si="18"/>
        <v>2410</v>
      </c>
      <c r="C289" s="3">
        <f t="shared" si="19"/>
        <v>925032.56306995486</v>
      </c>
      <c r="D289" s="3">
        <f t="shared" si="20"/>
        <v>1678833.7956755136</v>
      </c>
      <c r="F289" s="3">
        <f t="shared" si="21"/>
        <v>17.576291695039313</v>
      </c>
    </row>
    <row r="290" spans="1:6">
      <c r="A290">
        <f t="shared" si="18"/>
        <v>2420</v>
      </c>
      <c r="C290" s="3">
        <f t="shared" si="19"/>
        <v>925032.56306995486</v>
      </c>
      <c r="D290" s="3">
        <f t="shared" si="20"/>
        <v>1679098.0386881798</v>
      </c>
      <c r="F290" s="3">
        <f t="shared" si="21"/>
        <v>17.576291695039313</v>
      </c>
    </row>
    <row r="291" spans="1:6">
      <c r="A291">
        <f t="shared" si="18"/>
        <v>2430</v>
      </c>
      <c r="C291" s="3">
        <f t="shared" si="19"/>
        <v>925032.56306995486</v>
      </c>
      <c r="D291" s="3">
        <f t="shared" si="20"/>
        <v>1679360.7313138731</v>
      </c>
      <c r="F291" s="3">
        <f t="shared" si="21"/>
        <v>17.576291695039313</v>
      </c>
    </row>
    <row r="292" spans="1:6">
      <c r="A292">
        <f t="shared" si="18"/>
        <v>2440</v>
      </c>
      <c r="C292" s="3">
        <f t="shared" si="19"/>
        <v>925032.56306995486</v>
      </c>
      <c r="D292" s="3">
        <f t="shared" si="20"/>
        <v>1679621.8888180228</v>
      </c>
      <c r="F292" s="3">
        <f t="shared" si="21"/>
        <v>17.576291695039313</v>
      </c>
    </row>
    <row r="293" spans="1:6">
      <c r="A293">
        <f t="shared" si="18"/>
        <v>2450</v>
      </c>
      <c r="C293" s="3">
        <f t="shared" si="19"/>
        <v>925032.56306995486</v>
      </c>
      <c r="D293" s="3">
        <f t="shared" si="20"/>
        <v>1679881.5262551645</v>
      </c>
      <c r="F293" s="3">
        <f t="shared" si="21"/>
        <v>17.576291695039313</v>
      </c>
    </row>
    <row r="294" spans="1:6">
      <c r="A294">
        <f t="shared" si="18"/>
        <v>2460</v>
      </c>
      <c r="C294" s="3">
        <f t="shared" si="19"/>
        <v>925032.56306995486</v>
      </c>
      <c r="D294" s="3">
        <f t="shared" si="20"/>
        <v>1680139.6584726872</v>
      </c>
      <c r="F294" s="3">
        <f t="shared" si="21"/>
        <v>17.576291695039313</v>
      </c>
    </row>
    <row r="295" spans="1:6">
      <c r="A295">
        <f t="shared" si="18"/>
        <v>2470</v>
      </c>
      <c r="C295" s="3">
        <f t="shared" si="19"/>
        <v>925032.56306995486</v>
      </c>
      <c r="D295" s="3">
        <f t="shared" si="20"/>
        <v>1680396.3001144985</v>
      </c>
      <c r="F295" s="3">
        <f t="shared" si="21"/>
        <v>17.576291695039313</v>
      </c>
    </row>
    <row r="296" spans="1:6">
      <c r="A296">
        <f t="shared" si="18"/>
        <v>2480</v>
      </c>
      <c r="C296" s="3">
        <f t="shared" si="19"/>
        <v>925032.56306995486</v>
      </c>
      <c r="D296" s="3">
        <f t="shared" si="20"/>
        <v>1680651.4656246081</v>
      </c>
      <c r="F296" s="3">
        <f t="shared" si="21"/>
        <v>17.576291695039313</v>
      </c>
    </row>
    <row r="297" spans="1:6">
      <c r="A297">
        <f t="shared" si="18"/>
        <v>2490</v>
      </c>
      <c r="C297" s="3">
        <f t="shared" si="19"/>
        <v>925032.56306995486</v>
      </c>
      <c r="D297" s="3">
        <f t="shared" si="20"/>
        <v>1680905.1692506406</v>
      </c>
      <c r="F297" s="3">
        <f t="shared" si="21"/>
        <v>17.576291695039313</v>
      </c>
    </row>
    <row r="298" spans="1:6">
      <c r="A298">
        <f t="shared" si="18"/>
        <v>2500</v>
      </c>
      <c r="C298" s="3">
        <f t="shared" si="19"/>
        <v>925032.56306995486</v>
      </c>
      <c r="D298" s="3">
        <f t="shared" si="20"/>
        <v>1681157.4250472658</v>
      </c>
      <c r="F298" s="3">
        <f t="shared" si="21"/>
        <v>17.576291695039313</v>
      </c>
    </row>
    <row r="299" spans="1:6">
      <c r="A299">
        <f t="shared" si="18"/>
        <v>2510</v>
      </c>
      <c r="C299" s="3">
        <f t="shared" si="19"/>
        <v>925032.56306995486</v>
      </c>
      <c r="D299" s="3">
        <f t="shared" si="20"/>
        <v>1681408.2468795616</v>
      </c>
      <c r="F299" s="3">
        <f t="shared" si="21"/>
        <v>17.576291695039313</v>
      </c>
    </row>
    <row r="300" spans="1:6">
      <c r="A300">
        <f t="shared" si="18"/>
        <v>2520</v>
      </c>
      <c r="C300" s="3">
        <f t="shared" si="19"/>
        <v>925032.56306995486</v>
      </c>
      <c r="D300" s="3">
        <f t="shared" si="20"/>
        <v>1681657.6484263004</v>
      </c>
      <c r="F300" s="3">
        <f t="shared" si="21"/>
        <v>17.576291695039313</v>
      </c>
    </row>
    <row r="301" spans="1:6">
      <c r="A301">
        <f t="shared" si="18"/>
        <v>2530</v>
      </c>
      <c r="C301" s="3">
        <f t="shared" si="19"/>
        <v>925032.56306995486</v>
      </c>
      <c r="D301" s="3">
        <f t="shared" si="20"/>
        <v>1681905.6431831699</v>
      </c>
      <c r="F301" s="3">
        <f t="shared" si="21"/>
        <v>17.576291695039313</v>
      </c>
    </row>
    <row r="302" spans="1:6">
      <c r="A302">
        <f t="shared" si="18"/>
        <v>2540</v>
      </c>
      <c r="C302" s="3">
        <f t="shared" si="19"/>
        <v>925032.56306995486</v>
      </c>
      <c r="D302" s="3">
        <f t="shared" si="20"/>
        <v>1682152.2444659246</v>
      </c>
      <c r="F302" s="3">
        <f t="shared" si="21"/>
        <v>17.576291695039313</v>
      </c>
    </row>
    <row r="303" spans="1:6">
      <c r="A303">
        <f t="shared" si="18"/>
        <v>2550</v>
      </c>
      <c r="C303" s="3">
        <f t="shared" si="19"/>
        <v>925032.56306995486</v>
      </c>
      <c r="D303" s="3">
        <f t="shared" si="20"/>
        <v>1682397.4654134691</v>
      </c>
      <c r="F303" s="3">
        <f t="shared" si="21"/>
        <v>17.576291695039313</v>
      </c>
    </row>
    <row r="304" spans="1:6">
      <c r="A304">
        <f t="shared" si="18"/>
        <v>2560</v>
      </c>
      <c r="C304" s="3">
        <f t="shared" si="19"/>
        <v>925032.56306995486</v>
      </c>
      <c r="D304" s="3">
        <f t="shared" si="20"/>
        <v>1682641.3189908804</v>
      </c>
      <c r="F304" s="3">
        <f t="shared" si="21"/>
        <v>17.576291695039313</v>
      </c>
    </row>
    <row r="305" spans="1:6">
      <c r="A305">
        <f t="shared" si="18"/>
        <v>2570</v>
      </c>
      <c r="C305" s="3">
        <f t="shared" si="19"/>
        <v>925032.56306995486</v>
      </c>
      <c r="D305" s="3">
        <f t="shared" si="20"/>
        <v>1682883.8179923652</v>
      </c>
      <c r="F305" s="3">
        <f t="shared" si="21"/>
        <v>17.576291695039313</v>
      </c>
    </row>
    <row r="306" spans="1:6">
      <c r="A306">
        <f t="shared" si="18"/>
        <v>2580</v>
      </c>
      <c r="C306" s="3">
        <f t="shared" si="19"/>
        <v>925032.56306995486</v>
      </c>
      <c r="D306" s="3">
        <f t="shared" si="20"/>
        <v>1683124.9750441536</v>
      </c>
      <c r="F306" s="3">
        <f t="shared" si="21"/>
        <v>17.576291695039313</v>
      </c>
    </row>
    <row r="307" spans="1:6">
      <c r="A307">
        <f t="shared" si="18"/>
        <v>2590</v>
      </c>
      <c r="C307" s="3">
        <f t="shared" si="19"/>
        <v>925032.56306995486</v>
      </c>
      <c r="D307" s="3">
        <f t="shared" si="20"/>
        <v>1683364.8026073384</v>
      </c>
      <c r="F307" s="3">
        <f t="shared" si="21"/>
        <v>17.576291695039313</v>
      </c>
    </row>
    <row r="308" spans="1:6">
      <c r="A308">
        <f t="shared" si="18"/>
        <v>2600</v>
      </c>
      <c r="C308" s="3">
        <f t="shared" si="19"/>
        <v>925032.56306995486</v>
      </c>
      <c r="D308" s="3">
        <f t="shared" si="20"/>
        <v>1683603.3129806512</v>
      </c>
      <c r="F308" s="3">
        <f t="shared" si="21"/>
        <v>17.576291695039313</v>
      </c>
    </row>
    <row r="309" spans="1:6">
      <c r="A309">
        <f t="shared" si="18"/>
        <v>2610</v>
      </c>
      <c r="C309" s="3">
        <f t="shared" si="19"/>
        <v>925032.56306995486</v>
      </c>
      <c r="D309" s="3">
        <f t="shared" si="20"/>
        <v>1683840.518303182</v>
      </c>
      <c r="F309" s="3">
        <f t="shared" si="21"/>
        <v>17.576291695039313</v>
      </c>
    </row>
    <row r="310" spans="1:6">
      <c r="A310">
        <f t="shared" si="18"/>
        <v>2620</v>
      </c>
      <c r="C310" s="3">
        <f t="shared" si="19"/>
        <v>925032.56306995486</v>
      </c>
      <c r="D310" s="3">
        <f t="shared" si="20"/>
        <v>1684076.4305570454</v>
      </c>
      <c r="F310" s="3">
        <f t="shared" si="21"/>
        <v>17.576291695039313</v>
      </c>
    </row>
    <row r="311" spans="1:6">
      <c r="A311">
        <f t="shared" ref="A311:A374" si="22">+$A310+10</f>
        <v>2630</v>
      </c>
      <c r="C311" s="3">
        <f t="shared" si="19"/>
        <v>925032.56306995486</v>
      </c>
      <c r="D311" s="3">
        <f t="shared" si="20"/>
        <v>1684311.061569992</v>
      </c>
      <c r="F311" s="3">
        <f t="shared" si="21"/>
        <v>17.576291695039313</v>
      </c>
    </row>
    <row r="312" spans="1:6">
      <c r="A312">
        <f t="shared" si="22"/>
        <v>2640</v>
      </c>
      <c r="C312" s="3">
        <f t="shared" si="19"/>
        <v>925032.56306995486</v>
      </c>
      <c r="D312" s="3">
        <f t="shared" si="20"/>
        <v>1684544.4230179628</v>
      </c>
      <c r="F312" s="3">
        <f t="shared" si="21"/>
        <v>17.576291695039313</v>
      </c>
    </row>
    <row r="313" spans="1:6">
      <c r="A313">
        <f t="shared" si="22"/>
        <v>2650</v>
      </c>
      <c r="C313" s="3">
        <f t="shared" si="19"/>
        <v>925032.56306995486</v>
      </c>
      <c r="D313" s="3">
        <f t="shared" si="20"/>
        <v>1684776.5264275982</v>
      </c>
      <c r="F313" s="3">
        <f t="shared" si="21"/>
        <v>17.576291695039313</v>
      </c>
    </row>
    <row r="314" spans="1:6">
      <c r="A314">
        <f t="shared" si="22"/>
        <v>2660</v>
      </c>
      <c r="C314" s="3">
        <f t="shared" si="19"/>
        <v>925032.56306995486</v>
      </c>
      <c r="D314" s="3">
        <f t="shared" si="20"/>
        <v>1685007.3831786921</v>
      </c>
      <c r="F314" s="3">
        <f t="shared" si="21"/>
        <v>17.576291695039313</v>
      </c>
    </row>
    <row r="315" spans="1:6">
      <c r="A315">
        <f t="shared" si="22"/>
        <v>2670</v>
      </c>
      <c r="C315" s="3">
        <f t="shared" si="19"/>
        <v>925032.56306995486</v>
      </c>
      <c r="D315" s="3">
        <f t="shared" si="20"/>
        <v>1685237.0045065968</v>
      </c>
      <c r="F315" s="3">
        <f t="shared" si="21"/>
        <v>17.576291695039313</v>
      </c>
    </row>
    <row r="316" spans="1:6">
      <c r="A316">
        <f t="shared" si="22"/>
        <v>2680</v>
      </c>
      <c r="C316" s="3">
        <f t="shared" si="19"/>
        <v>925032.56306995486</v>
      </c>
      <c r="D316" s="3">
        <f t="shared" si="20"/>
        <v>1685465.4015045832</v>
      </c>
      <c r="F316" s="3">
        <f t="shared" si="21"/>
        <v>17.576291695039313</v>
      </c>
    </row>
    <row r="317" spans="1:6">
      <c r="A317">
        <f t="shared" si="22"/>
        <v>2690</v>
      </c>
      <c r="C317" s="3">
        <f t="shared" si="19"/>
        <v>925032.56306995486</v>
      </c>
      <c r="D317" s="3">
        <f t="shared" si="20"/>
        <v>1685692.5851261488</v>
      </c>
      <c r="F317" s="3">
        <f t="shared" si="21"/>
        <v>17.576291695039313</v>
      </c>
    </row>
    <row r="318" spans="1:6">
      <c r="A318">
        <f t="shared" si="22"/>
        <v>2700</v>
      </c>
      <c r="C318" s="3">
        <f t="shared" si="19"/>
        <v>925032.56306995486</v>
      </c>
      <c r="D318" s="3">
        <f t="shared" si="20"/>
        <v>1685918.5661872856</v>
      </c>
      <c r="F318" s="3">
        <f t="shared" si="21"/>
        <v>17.576291695039313</v>
      </c>
    </row>
    <row r="319" spans="1:6">
      <c r="A319">
        <f t="shared" si="22"/>
        <v>2710</v>
      </c>
      <c r="C319" s="3">
        <f t="shared" si="19"/>
        <v>925032.56306995486</v>
      </c>
      <c r="D319" s="3">
        <f t="shared" si="20"/>
        <v>1686143.3553686969</v>
      </c>
      <c r="F319" s="3">
        <f t="shared" si="21"/>
        <v>17.576291695039313</v>
      </c>
    </row>
    <row r="320" spans="1:6">
      <c r="A320">
        <f t="shared" si="22"/>
        <v>2720</v>
      </c>
      <c r="C320" s="3">
        <f t="shared" si="19"/>
        <v>925032.56306995486</v>
      </c>
      <c r="D320" s="3">
        <f t="shared" si="20"/>
        <v>1686366.9632179772</v>
      </c>
      <c r="F320" s="3">
        <f t="shared" si="21"/>
        <v>17.576291695039313</v>
      </c>
    </row>
    <row r="321" spans="1:6">
      <c r="A321">
        <f t="shared" si="22"/>
        <v>2730</v>
      </c>
      <c r="C321" s="3">
        <f t="shared" si="19"/>
        <v>925032.56306995486</v>
      </c>
      <c r="D321" s="3">
        <f t="shared" si="20"/>
        <v>1686589.4001517429</v>
      </c>
      <c r="F321" s="3">
        <f t="shared" si="21"/>
        <v>17.576291695039313</v>
      </c>
    </row>
    <row r="322" spans="1:6">
      <c r="A322">
        <f t="shared" si="22"/>
        <v>2740</v>
      </c>
      <c r="C322" s="3">
        <f t="shared" si="19"/>
        <v>925032.56306995486</v>
      </c>
      <c r="D322" s="3">
        <f t="shared" si="20"/>
        <v>1686810.6764577252</v>
      </c>
      <c r="F322" s="3">
        <f t="shared" si="21"/>
        <v>17.576291695039313</v>
      </c>
    </row>
    <row r="323" spans="1:6">
      <c r="A323">
        <f t="shared" si="22"/>
        <v>2750</v>
      </c>
      <c r="C323" s="3">
        <f t="shared" si="19"/>
        <v>925032.56306995486</v>
      </c>
      <c r="D323" s="3">
        <f t="shared" si="20"/>
        <v>1687030.8022968215</v>
      </c>
      <c r="F323" s="3">
        <f t="shared" si="21"/>
        <v>17.576291695039313</v>
      </c>
    </row>
    <row r="324" spans="1:6">
      <c r="A324">
        <f t="shared" si="22"/>
        <v>2760</v>
      </c>
      <c r="C324" s="3">
        <f t="shared" si="19"/>
        <v>925032.56306995486</v>
      </c>
      <c r="D324" s="3">
        <f t="shared" si="20"/>
        <v>1687249.787705106</v>
      </c>
      <c r="F324" s="3">
        <f t="shared" si="21"/>
        <v>17.576291695039313</v>
      </c>
    </row>
    <row r="325" spans="1:6">
      <c r="A325">
        <f t="shared" si="22"/>
        <v>2770</v>
      </c>
      <c r="C325" s="3">
        <f t="shared" ref="C325:C388" si="23">+$C$1/(1+1/SQRT($C$2*$F325))</f>
        <v>925032.56306995486</v>
      </c>
      <c r="D325" s="3">
        <f t="shared" ref="D325:D388" si="24">+$C$1/(1+1/SQRT($C$2*$A325))</f>
        <v>1687467.642595802</v>
      </c>
      <c r="F325" s="3">
        <f t="shared" ref="F325:F388" si="25">+(1-EXP(-$F$1*$A325))/$F$1</f>
        <v>17.576291695039313</v>
      </c>
    </row>
    <row r="326" spans="1:6">
      <c r="A326">
        <f t="shared" si="22"/>
        <v>2780</v>
      </c>
      <c r="C326" s="3">
        <f t="shared" si="23"/>
        <v>925032.56306995486</v>
      </c>
      <c r="D326" s="3">
        <f t="shared" si="24"/>
        <v>1687684.376761216</v>
      </c>
      <c r="F326" s="3">
        <f t="shared" si="25"/>
        <v>17.576291695039313</v>
      </c>
    </row>
    <row r="327" spans="1:6">
      <c r="A327">
        <f t="shared" si="22"/>
        <v>2790</v>
      </c>
      <c r="C327" s="3">
        <f t="shared" si="23"/>
        <v>925032.56306995486</v>
      </c>
      <c r="D327" s="3">
        <f t="shared" si="24"/>
        <v>1687899.9998746344</v>
      </c>
      <c r="F327" s="3">
        <f t="shared" si="25"/>
        <v>17.576291695039313</v>
      </c>
    </row>
    <row r="328" spans="1:6">
      <c r="A328">
        <f t="shared" si="22"/>
        <v>2800</v>
      </c>
      <c r="C328" s="3">
        <f t="shared" si="23"/>
        <v>925032.56306995486</v>
      </c>
      <c r="D328" s="3">
        <f t="shared" si="24"/>
        <v>1688114.5214921851</v>
      </c>
      <c r="F328" s="3">
        <f t="shared" si="25"/>
        <v>17.576291695039313</v>
      </c>
    </row>
    <row r="329" spans="1:6">
      <c r="A329">
        <f t="shared" si="22"/>
        <v>2810</v>
      </c>
      <c r="C329" s="3">
        <f t="shared" si="23"/>
        <v>925032.56306995486</v>
      </c>
      <c r="D329" s="3">
        <f t="shared" si="24"/>
        <v>1688327.9510546613</v>
      </c>
      <c r="F329" s="3">
        <f t="shared" si="25"/>
        <v>17.576291695039313</v>
      </c>
    </row>
    <row r="330" spans="1:6">
      <c r="A330">
        <f t="shared" si="22"/>
        <v>2820</v>
      </c>
      <c r="C330" s="3">
        <f t="shared" si="23"/>
        <v>925032.56306995486</v>
      </c>
      <c r="D330" s="3">
        <f t="shared" si="24"/>
        <v>1688540.297889313</v>
      </c>
      <c r="F330" s="3">
        <f t="shared" si="25"/>
        <v>17.576291695039313</v>
      </c>
    </row>
    <row r="331" spans="1:6">
      <c r="A331">
        <f t="shared" si="22"/>
        <v>2830</v>
      </c>
      <c r="C331" s="3">
        <f t="shared" si="23"/>
        <v>925032.56306995486</v>
      </c>
      <c r="D331" s="3">
        <f t="shared" si="24"/>
        <v>1688751.5712116021</v>
      </c>
      <c r="F331" s="3">
        <f t="shared" si="25"/>
        <v>17.576291695039313</v>
      </c>
    </row>
    <row r="332" spans="1:6">
      <c r="A332">
        <f t="shared" si="22"/>
        <v>2840</v>
      </c>
      <c r="C332" s="3">
        <f t="shared" si="23"/>
        <v>925032.56306995486</v>
      </c>
      <c r="D332" s="3">
        <f t="shared" si="24"/>
        <v>1688961.7801269263</v>
      </c>
      <c r="F332" s="3">
        <f t="shared" si="25"/>
        <v>17.576291695039313</v>
      </c>
    </row>
    <row r="333" spans="1:6">
      <c r="A333">
        <f t="shared" si="22"/>
        <v>2850</v>
      </c>
      <c r="C333" s="3">
        <f t="shared" si="23"/>
        <v>925032.56306995486</v>
      </c>
      <c r="D333" s="3">
        <f t="shared" si="24"/>
        <v>1689170.9336323107</v>
      </c>
      <c r="F333" s="3">
        <f t="shared" si="25"/>
        <v>17.576291695039313</v>
      </c>
    </row>
    <row r="334" spans="1:6">
      <c r="A334">
        <f t="shared" si="22"/>
        <v>2860</v>
      </c>
      <c r="C334" s="3">
        <f t="shared" si="23"/>
        <v>925032.56306995486</v>
      </c>
      <c r="D334" s="3">
        <f t="shared" si="24"/>
        <v>1689379.040618066</v>
      </c>
      <c r="F334" s="3">
        <f t="shared" si="25"/>
        <v>17.576291695039313</v>
      </c>
    </row>
    <row r="335" spans="1:6">
      <c r="A335">
        <f t="shared" si="22"/>
        <v>2870</v>
      </c>
      <c r="C335" s="3">
        <f t="shared" si="23"/>
        <v>925032.56306995486</v>
      </c>
      <c r="D335" s="3">
        <f t="shared" si="24"/>
        <v>1689586.1098694154</v>
      </c>
      <c r="F335" s="3">
        <f t="shared" si="25"/>
        <v>17.576291695039313</v>
      </c>
    </row>
    <row r="336" spans="1:6">
      <c r="A336">
        <f t="shared" si="22"/>
        <v>2880</v>
      </c>
      <c r="C336" s="3">
        <f t="shared" si="23"/>
        <v>925032.56306995486</v>
      </c>
      <c r="D336" s="3">
        <f t="shared" si="24"/>
        <v>1689792.1500680952</v>
      </c>
      <c r="F336" s="3">
        <f t="shared" si="25"/>
        <v>17.576291695039313</v>
      </c>
    </row>
    <row r="337" spans="1:6">
      <c r="A337">
        <f t="shared" si="22"/>
        <v>2890</v>
      </c>
      <c r="C337" s="3">
        <f t="shared" si="23"/>
        <v>925032.56306995486</v>
      </c>
      <c r="D337" s="3">
        <f t="shared" si="24"/>
        <v>1689997.1697939192</v>
      </c>
      <c r="F337" s="3">
        <f t="shared" si="25"/>
        <v>17.576291695039313</v>
      </c>
    </row>
    <row r="338" spans="1:6">
      <c r="A338">
        <f t="shared" si="22"/>
        <v>2900</v>
      </c>
      <c r="C338" s="3">
        <f t="shared" si="23"/>
        <v>925032.56306995486</v>
      </c>
      <c r="D338" s="3">
        <f t="shared" si="24"/>
        <v>1690201.1775263217</v>
      </c>
      <c r="F338" s="3">
        <f t="shared" si="25"/>
        <v>17.576291695039313</v>
      </c>
    </row>
    <row r="339" spans="1:6">
      <c r="A339">
        <f t="shared" si="22"/>
        <v>2910</v>
      </c>
      <c r="C339" s="3">
        <f t="shared" si="23"/>
        <v>925032.56306995486</v>
      </c>
      <c r="D339" s="3">
        <f t="shared" si="24"/>
        <v>1690404.1816458644</v>
      </c>
      <c r="F339" s="3">
        <f t="shared" si="25"/>
        <v>17.576291695039313</v>
      </c>
    </row>
    <row r="340" spans="1:6">
      <c r="A340">
        <f t="shared" si="22"/>
        <v>2920</v>
      </c>
      <c r="C340" s="3">
        <f t="shared" si="23"/>
        <v>925032.56306995486</v>
      </c>
      <c r="D340" s="3">
        <f t="shared" si="24"/>
        <v>1690606.1904357218</v>
      </c>
      <c r="F340" s="3">
        <f t="shared" si="25"/>
        <v>17.576291695039313</v>
      </c>
    </row>
    <row r="341" spans="1:6">
      <c r="A341">
        <f t="shared" si="22"/>
        <v>2930</v>
      </c>
      <c r="C341" s="3">
        <f t="shared" si="23"/>
        <v>925032.56306995486</v>
      </c>
      <c r="D341" s="3">
        <f t="shared" si="24"/>
        <v>1690807.2120831353</v>
      </c>
      <c r="F341" s="3">
        <f t="shared" si="25"/>
        <v>17.576291695039313</v>
      </c>
    </row>
    <row r="342" spans="1:6">
      <c r="A342">
        <f t="shared" si="22"/>
        <v>2940</v>
      </c>
      <c r="C342" s="3">
        <f t="shared" si="23"/>
        <v>925032.56306995486</v>
      </c>
      <c r="D342" s="3">
        <f t="shared" si="24"/>
        <v>1691007.2546808436</v>
      </c>
      <c r="F342" s="3">
        <f t="shared" si="25"/>
        <v>17.576291695039313</v>
      </c>
    </row>
    <row r="343" spans="1:6">
      <c r="A343">
        <f t="shared" si="22"/>
        <v>2950</v>
      </c>
      <c r="C343" s="3">
        <f t="shared" si="23"/>
        <v>925032.56306995486</v>
      </c>
      <c r="D343" s="3">
        <f t="shared" si="24"/>
        <v>1691206.3262284847</v>
      </c>
      <c r="F343" s="3">
        <f t="shared" si="25"/>
        <v>17.576291695039313</v>
      </c>
    </row>
    <row r="344" spans="1:6">
      <c r="A344">
        <f t="shared" si="22"/>
        <v>2960</v>
      </c>
      <c r="C344" s="3">
        <f t="shared" si="23"/>
        <v>925032.56306995486</v>
      </c>
      <c r="D344" s="3">
        <f t="shared" si="24"/>
        <v>1691404.4346339745</v>
      </c>
      <c r="F344" s="3">
        <f t="shared" si="25"/>
        <v>17.576291695039313</v>
      </c>
    </row>
    <row r="345" spans="1:6">
      <c r="A345">
        <f t="shared" si="22"/>
        <v>2970</v>
      </c>
      <c r="C345" s="3">
        <f t="shared" si="23"/>
        <v>925032.56306995486</v>
      </c>
      <c r="D345" s="3">
        <f t="shared" si="24"/>
        <v>1691601.5877148584</v>
      </c>
      <c r="F345" s="3">
        <f t="shared" si="25"/>
        <v>17.576291695039313</v>
      </c>
    </row>
    <row r="346" spans="1:6">
      <c r="A346">
        <f t="shared" si="22"/>
        <v>2980</v>
      </c>
      <c r="C346" s="3">
        <f t="shared" si="23"/>
        <v>925032.56306995486</v>
      </c>
      <c r="D346" s="3">
        <f t="shared" si="24"/>
        <v>1691797.7931996412</v>
      </c>
      <c r="F346" s="3">
        <f t="shared" si="25"/>
        <v>17.576291695039313</v>
      </c>
    </row>
    <row r="347" spans="1:6">
      <c r="A347">
        <f t="shared" si="22"/>
        <v>2990</v>
      </c>
      <c r="C347" s="3">
        <f t="shared" si="23"/>
        <v>925032.56306995486</v>
      </c>
      <c r="D347" s="3">
        <f t="shared" si="24"/>
        <v>1691993.0587290903</v>
      </c>
      <c r="F347" s="3">
        <f t="shared" si="25"/>
        <v>17.576291695039313</v>
      </c>
    </row>
    <row r="348" spans="1:6">
      <c r="A348">
        <f t="shared" si="22"/>
        <v>3000</v>
      </c>
      <c r="C348" s="3">
        <f t="shared" si="23"/>
        <v>925032.56306995486</v>
      </c>
      <c r="D348" s="3">
        <f t="shared" si="24"/>
        <v>1692187.3918575172</v>
      </c>
      <c r="F348" s="3">
        <f t="shared" si="25"/>
        <v>17.576291695039313</v>
      </c>
    </row>
    <row r="349" spans="1:6">
      <c r="A349">
        <f t="shared" si="22"/>
        <v>3010</v>
      </c>
      <c r="C349" s="3">
        <f t="shared" si="23"/>
        <v>925032.56306995486</v>
      </c>
      <c r="D349" s="3">
        <f t="shared" si="24"/>
        <v>1692380.8000540365</v>
      </c>
      <c r="F349" s="3">
        <f t="shared" si="25"/>
        <v>17.576291695039313</v>
      </c>
    </row>
    <row r="350" spans="1:6">
      <c r="A350">
        <f t="shared" si="22"/>
        <v>3020</v>
      </c>
      <c r="C350" s="3">
        <f t="shared" si="23"/>
        <v>925032.56306995486</v>
      </c>
      <c r="D350" s="3">
        <f t="shared" si="24"/>
        <v>1692573.2907038017</v>
      </c>
      <c r="F350" s="3">
        <f t="shared" si="25"/>
        <v>17.576291695039313</v>
      </c>
    </row>
    <row r="351" spans="1:6">
      <c r="A351">
        <f t="shared" si="22"/>
        <v>3030</v>
      </c>
      <c r="C351" s="3">
        <f t="shared" si="23"/>
        <v>925032.56306995486</v>
      </c>
      <c r="D351" s="3">
        <f t="shared" si="24"/>
        <v>1692764.8711092179</v>
      </c>
      <c r="F351" s="3">
        <f t="shared" si="25"/>
        <v>17.576291695039313</v>
      </c>
    </row>
    <row r="352" spans="1:6">
      <c r="A352">
        <f t="shared" si="22"/>
        <v>3040</v>
      </c>
      <c r="C352" s="3">
        <f t="shared" si="23"/>
        <v>925032.56306995486</v>
      </c>
      <c r="D352" s="3">
        <f t="shared" si="24"/>
        <v>1692955.5484911362</v>
      </c>
      <c r="F352" s="3">
        <f t="shared" si="25"/>
        <v>17.576291695039313</v>
      </c>
    </row>
    <row r="353" spans="1:6">
      <c r="A353">
        <f t="shared" si="22"/>
        <v>3050</v>
      </c>
      <c r="C353" s="3">
        <f t="shared" si="23"/>
        <v>925032.56306995486</v>
      </c>
      <c r="D353" s="3">
        <f t="shared" si="24"/>
        <v>1693145.3299900249</v>
      </c>
      <c r="F353" s="3">
        <f t="shared" si="25"/>
        <v>17.576291695039313</v>
      </c>
    </row>
    <row r="354" spans="1:6">
      <c r="A354">
        <f t="shared" si="22"/>
        <v>3060</v>
      </c>
      <c r="C354" s="3">
        <f t="shared" si="23"/>
        <v>925032.56306995486</v>
      </c>
      <c r="D354" s="3">
        <f t="shared" si="24"/>
        <v>1693334.2226671192</v>
      </c>
      <c r="F354" s="3">
        <f t="shared" si="25"/>
        <v>17.576291695039313</v>
      </c>
    </row>
    <row r="355" spans="1:6">
      <c r="A355">
        <f t="shared" si="22"/>
        <v>3070</v>
      </c>
      <c r="C355" s="3">
        <f t="shared" si="23"/>
        <v>925032.56306995486</v>
      </c>
      <c r="D355" s="3">
        <f t="shared" si="24"/>
        <v>1693522.233505554</v>
      </c>
      <c r="F355" s="3">
        <f t="shared" si="25"/>
        <v>17.576291695039313</v>
      </c>
    </row>
    <row r="356" spans="1:6">
      <c r="A356">
        <f t="shared" si="22"/>
        <v>3080</v>
      </c>
      <c r="C356" s="3">
        <f t="shared" si="23"/>
        <v>925032.56306995486</v>
      </c>
      <c r="D356" s="3">
        <f t="shared" si="24"/>
        <v>1693709.3694114736</v>
      </c>
      <c r="F356" s="3">
        <f t="shared" si="25"/>
        <v>17.576291695039313</v>
      </c>
    </row>
    <row r="357" spans="1:6">
      <c r="A357">
        <f t="shared" si="22"/>
        <v>3090</v>
      </c>
      <c r="C357" s="3">
        <f t="shared" si="23"/>
        <v>925032.56306995486</v>
      </c>
      <c r="D357" s="3">
        <f t="shared" si="24"/>
        <v>1693895.6372151256</v>
      </c>
      <c r="F357" s="3">
        <f t="shared" si="25"/>
        <v>17.576291695039313</v>
      </c>
    </row>
    <row r="358" spans="1:6">
      <c r="A358">
        <f t="shared" si="22"/>
        <v>3100</v>
      </c>
      <c r="C358" s="3">
        <f t="shared" si="23"/>
        <v>925032.56306995486</v>
      </c>
      <c r="D358" s="3">
        <f t="shared" si="24"/>
        <v>1694081.0436719307</v>
      </c>
      <c r="F358" s="3">
        <f t="shared" si="25"/>
        <v>17.576291695039313</v>
      </c>
    </row>
    <row r="359" spans="1:6">
      <c r="A359">
        <f t="shared" si="22"/>
        <v>3110</v>
      </c>
      <c r="C359" s="3">
        <f t="shared" si="23"/>
        <v>925032.56306995486</v>
      </c>
      <c r="D359" s="3">
        <f t="shared" si="24"/>
        <v>1694265.5954635399</v>
      </c>
      <c r="F359" s="3">
        <f t="shared" si="25"/>
        <v>17.576291695039313</v>
      </c>
    </row>
    <row r="360" spans="1:6">
      <c r="A360">
        <f t="shared" si="22"/>
        <v>3120</v>
      </c>
      <c r="C360" s="3">
        <f t="shared" si="23"/>
        <v>925032.56306995486</v>
      </c>
      <c r="D360" s="3">
        <f t="shared" si="24"/>
        <v>1694449.2991988703</v>
      </c>
      <c r="F360" s="3">
        <f t="shared" si="25"/>
        <v>17.576291695039313</v>
      </c>
    </row>
    <row r="361" spans="1:6">
      <c r="A361">
        <f t="shared" si="22"/>
        <v>3130</v>
      </c>
      <c r="C361" s="3">
        <f t="shared" si="23"/>
        <v>925032.56306995486</v>
      </c>
      <c r="D361" s="3">
        <f t="shared" si="24"/>
        <v>1694632.1614151224</v>
      </c>
      <c r="F361" s="3">
        <f t="shared" si="25"/>
        <v>17.576291695039313</v>
      </c>
    </row>
    <row r="362" spans="1:6">
      <c r="A362">
        <f t="shared" si="22"/>
        <v>3140</v>
      </c>
      <c r="C362" s="3">
        <f t="shared" si="23"/>
        <v>925032.56306995486</v>
      </c>
      <c r="D362" s="3">
        <f t="shared" si="24"/>
        <v>1694814.1885787824</v>
      </c>
      <c r="F362" s="3">
        <f t="shared" si="25"/>
        <v>17.576291695039313</v>
      </c>
    </row>
    <row r="363" spans="1:6">
      <c r="A363">
        <f t="shared" si="22"/>
        <v>3150</v>
      </c>
      <c r="C363" s="3">
        <f t="shared" si="23"/>
        <v>925032.56306995486</v>
      </c>
      <c r="D363" s="3">
        <f t="shared" si="24"/>
        <v>1694995.3870866052</v>
      </c>
      <c r="F363" s="3">
        <f t="shared" si="25"/>
        <v>17.576291695039313</v>
      </c>
    </row>
    <row r="364" spans="1:6">
      <c r="A364">
        <f t="shared" si="22"/>
        <v>3160</v>
      </c>
      <c r="C364" s="3">
        <f t="shared" si="23"/>
        <v>925032.56306995486</v>
      </c>
      <c r="D364" s="3">
        <f t="shared" si="24"/>
        <v>1695175.763266583</v>
      </c>
      <c r="F364" s="3">
        <f t="shared" si="25"/>
        <v>17.576291695039313</v>
      </c>
    </row>
    <row r="365" spans="1:6">
      <c r="A365">
        <f t="shared" si="22"/>
        <v>3170</v>
      </c>
      <c r="C365" s="3">
        <f t="shared" si="23"/>
        <v>925032.56306995486</v>
      </c>
      <c r="D365" s="3">
        <f t="shared" si="24"/>
        <v>1695355.3233788947</v>
      </c>
      <c r="F365" s="3">
        <f t="shared" si="25"/>
        <v>17.576291695039313</v>
      </c>
    </row>
    <row r="366" spans="1:6">
      <c r="A366">
        <f t="shared" si="22"/>
        <v>3180</v>
      </c>
      <c r="C366" s="3">
        <f t="shared" si="23"/>
        <v>925032.56306995486</v>
      </c>
      <c r="D366" s="3">
        <f t="shared" si="24"/>
        <v>1695534.0736168418</v>
      </c>
      <c r="F366" s="3">
        <f t="shared" si="25"/>
        <v>17.576291695039313</v>
      </c>
    </row>
    <row r="367" spans="1:6">
      <c r="A367">
        <f t="shared" si="22"/>
        <v>3190</v>
      </c>
      <c r="C367" s="3">
        <f t="shared" si="23"/>
        <v>925032.56306995486</v>
      </c>
      <c r="D367" s="3">
        <f t="shared" si="24"/>
        <v>1695712.0201077675</v>
      </c>
      <c r="F367" s="3">
        <f t="shared" si="25"/>
        <v>17.576291695039313</v>
      </c>
    </row>
    <row r="368" spans="1:6">
      <c r="A368">
        <f t="shared" si="22"/>
        <v>3200</v>
      </c>
      <c r="C368" s="3">
        <f t="shared" si="23"/>
        <v>925032.56306995486</v>
      </c>
      <c r="D368" s="3">
        <f t="shared" si="24"/>
        <v>1695889.1689139595</v>
      </c>
      <c r="F368" s="3">
        <f t="shared" si="25"/>
        <v>17.576291695039313</v>
      </c>
    </row>
    <row r="369" spans="1:6">
      <c r="A369">
        <f t="shared" si="22"/>
        <v>3210</v>
      </c>
      <c r="C369" s="3">
        <f t="shared" si="23"/>
        <v>925032.56306995486</v>
      </c>
      <c r="D369" s="3">
        <f t="shared" si="24"/>
        <v>1696065.5260335393</v>
      </c>
      <c r="F369" s="3">
        <f t="shared" si="25"/>
        <v>17.576291695039313</v>
      </c>
    </row>
    <row r="370" spans="1:6">
      <c r="A370">
        <f t="shared" si="22"/>
        <v>3220</v>
      </c>
      <c r="C370" s="3">
        <f t="shared" si="23"/>
        <v>925032.56306995486</v>
      </c>
      <c r="D370" s="3">
        <f t="shared" si="24"/>
        <v>1696241.0974013351</v>
      </c>
      <c r="F370" s="3">
        <f t="shared" si="25"/>
        <v>17.576291695039313</v>
      </c>
    </row>
    <row r="371" spans="1:6">
      <c r="A371">
        <f t="shared" si="22"/>
        <v>3230</v>
      </c>
      <c r="C371" s="3">
        <f t="shared" si="23"/>
        <v>925032.56306995486</v>
      </c>
      <c r="D371" s="3">
        <f t="shared" si="24"/>
        <v>1696415.8888897423</v>
      </c>
      <c r="F371" s="3">
        <f t="shared" si="25"/>
        <v>17.576291695039313</v>
      </c>
    </row>
    <row r="372" spans="1:6">
      <c r="A372">
        <f t="shared" si="22"/>
        <v>3240</v>
      </c>
      <c r="C372" s="3">
        <f t="shared" si="23"/>
        <v>925032.56306995486</v>
      </c>
      <c r="D372" s="3">
        <f t="shared" si="24"/>
        <v>1696589.9063095667</v>
      </c>
      <c r="F372" s="3">
        <f t="shared" si="25"/>
        <v>17.576291695039313</v>
      </c>
    </row>
    <row r="373" spans="1:6">
      <c r="A373">
        <f t="shared" si="22"/>
        <v>3250</v>
      </c>
      <c r="C373" s="3">
        <f t="shared" si="23"/>
        <v>925032.56306995486</v>
      </c>
      <c r="D373" s="3">
        <f t="shared" si="24"/>
        <v>1696763.1554108579</v>
      </c>
      <c r="F373" s="3">
        <f t="shared" si="25"/>
        <v>17.576291695039313</v>
      </c>
    </row>
    <row r="374" spans="1:6">
      <c r="A374">
        <f t="shared" si="22"/>
        <v>3260</v>
      </c>
      <c r="C374" s="3">
        <f t="shared" si="23"/>
        <v>925032.56306995486</v>
      </c>
      <c r="D374" s="3">
        <f t="shared" si="24"/>
        <v>1696935.641883723</v>
      </c>
      <c r="F374" s="3">
        <f t="shared" si="25"/>
        <v>17.576291695039313</v>
      </c>
    </row>
    <row r="375" spans="1:6">
      <c r="A375">
        <f t="shared" ref="A375:A438" si="26">+$A374+10</f>
        <v>3270</v>
      </c>
      <c r="C375" s="3">
        <f t="shared" si="23"/>
        <v>925032.56306995486</v>
      </c>
      <c r="D375" s="3">
        <f t="shared" si="24"/>
        <v>1697107.3713591339</v>
      </c>
      <c r="F375" s="3">
        <f t="shared" si="25"/>
        <v>17.576291695039313</v>
      </c>
    </row>
    <row r="376" spans="1:6">
      <c r="A376">
        <f t="shared" si="26"/>
        <v>3280</v>
      </c>
      <c r="C376" s="3">
        <f t="shared" si="23"/>
        <v>925032.56306995486</v>
      </c>
      <c r="D376" s="3">
        <f t="shared" si="24"/>
        <v>1697278.3494097162</v>
      </c>
      <c r="F376" s="3">
        <f t="shared" si="25"/>
        <v>17.576291695039313</v>
      </c>
    </row>
    <row r="377" spans="1:6">
      <c r="A377">
        <f t="shared" si="26"/>
        <v>3290</v>
      </c>
      <c r="C377" s="3">
        <f t="shared" si="23"/>
        <v>925032.56306995486</v>
      </c>
      <c r="D377" s="3">
        <f t="shared" si="24"/>
        <v>1697448.5815505271</v>
      </c>
      <c r="F377" s="3">
        <f t="shared" si="25"/>
        <v>17.576291695039313</v>
      </c>
    </row>
    <row r="378" spans="1:6">
      <c r="A378">
        <f t="shared" si="26"/>
        <v>3300</v>
      </c>
      <c r="C378" s="3">
        <f t="shared" si="23"/>
        <v>925032.56306995486</v>
      </c>
      <c r="D378" s="3">
        <f t="shared" si="24"/>
        <v>1697618.0732398203</v>
      </c>
      <c r="F378" s="3">
        <f t="shared" si="25"/>
        <v>17.576291695039313</v>
      </c>
    </row>
    <row r="379" spans="1:6">
      <c r="A379">
        <f t="shared" si="26"/>
        <v>3310</v>
      </c>
      <c r="C379" s="3">
        <f t="shared" si="23"/>
        <v>925032.56306995486</v>
      </c>
      <c r="D379" s="3">
        <f t="shared" si="24"/>
        <v>1697786.8298797999</v>
      </c>
      <c r="F379" s="3">
        <f t="shared" si="25"/>
        <v>17.576291695039313</v>
      </c>
    </row>
    <row r="380" spans="1:6">
      <c r="A380">
        <f t="shared" si="26"/>
        <v>3320</v>
      </c>
      <c r="C380" s="3">
        <f t="shared" si="23"/>
        <v>925032.56306995486</v>
      </c>
      <c r="D380" s="3">
        <f t="shared" si="24"/>
        <v>1697954.8568173584</v>
      </c>
      <c r="F380" s="3">
        <f t="shared" si="25"/>
        <v>17.576291695039313</v>
      </c>
    </row>
    <row r="381" spans="1:6">
      <c r="A381">
        <f t="shared" si="26"/>
        <v>3330</v>
      </c>
      <c r="C381" s="3">
        <f t="shared" si="23"/>
        <v>925032.56306995486</v>
      </c>
      <c r="D381" s="3">
        <f t="shared" si="24"/>
        <v>1698122.1593448089</v>
      </c>
      <c r="F381" s="3">
        <f t="shared" si="25"/>
        <v>17.576291695039313</v>
      </c>
    </row>
    <row r="382" spans="1:6">
      <c r="A382">
        <f t="shared" si="26"/>
        <v>3340</v>
      </c>
      <c r="C382" s="3">
        <f t="shared" si="23"/>
        <v>925032.56306995486</v>
      </c>
      <c r="D382" s="3">
        <f t="shared" si="24"/>
        <v>1698288.7427005975</v>
      </c>
      <c r="F382" s="3">
        <f t="shared" si="25"/>
        <v>17.576291695039313</v>
      </c>
    </row>
    <row r="383" spans="1:6">
      <c r="A383">
        <f t="shared" si="26"/>
        <v>3350</v>
      </c>
      <c r="C383" s="3">
        <f t="shared" si="23"/>
        <v>925032.56306995486</v>
      </c>
      <c r="D383" s="3">
        <f t="shared" si="24"/>
        <v>1698454.6120700126</v>
      </c>
      <c r="F383" s="3">
        <f t="shared" si="25"/>
        <v>17.576291695039313</v>
      </c>
    </row>
    <row r="384" spans="1:6">
      <c r="A384">
        <f t="shared" si="26"/>
        <v>3360</v>
      </c>
      <c r="C384" s="3">
        <f t="shared" si="23"/>
        <v>925032.56306995486</v>
      </c>
      <c r="D384" s="3">
        <f t="shared" si="24"/>
        <v>1698619.7725858756</v>
      </c>
      <c r="F384" s="3">
        <f t="shared" si="25"/>
        <v>17.576291695039313</v>
      </c>
    </row>
    <row r="385" spans="1:6">
      <c r="A385">
        <f t="shared" si="26"/>
        <v>3370</v>
      </c>
      <c r="C385" s="3">
        <f t="shared" si="23"/>
        <v>925032.56306995486</v>
      </c>
      <c r="D385" s="3">
        <f t="shared" si="24"/>
        <v>1698784.229329227</v>
      </c>
      <c r="F385" s="3">
        <f t="shared" si="25"/>
        <v>17.576291695039313</v>
      </c>
    </row>
    <row r="386" spans="1:6">
      <c r="A386">
        <f t="shared" si="26"/>
        <v>3380</v>
      </c>
      <c r="C386" s="3">
        <f t="shared" si="23"/>
        <v>925032.56306995486</v>
      </c>
      <c r="D386" s="3">
        <f t="shared" si="24"/>
        <v>1698947.9873299962</v>
      </c>
      <c r="F386" s="3">
        <f t="shared" si="25"/>
        <v>17.576291695039313</v>
      </c>
    </row>
    <row r="387" spans="1:6">
      <c r="A387">
        <f t="shared" si="26"/>
        <v>3390</v>
      </c>
      <c r="C387" s="3">
        <f t="shared" si="23"/>
        <v>925032.56306995486</v>
      </c>
      <c r="D387" s="3">
        <f t="shared" si="24"/>
        <v>1699111.0515676625</v>
      </c>
      <c r="F387" s="3">
        <f t="shared" si="25"/>
        <v>17.576291695039313</v>
      </c>
    </row>
    <row r="388" spans="1:6">
      <c r="A388">
        <f t="shared" si="26"/>
        <v>3400</v>
      </c>
      <c r="C388" s="3">
        <f t="shared" si="23"/>
        <v>925032.56306995486</v>
      </c>
      <c r="D388" s="3">
        <f t="shared" si="24"/>
        <v>1699273.4269719089</v>
      </c>
      <c r="F388" s="3">
        <f t="shared" si="25"/>
        <v>17.576291695039313</v>
      </c>
    </row>
    <row r="389" spans="1:6">
      <c r="A389">
        <f t="shared" si="26"/>
        <v>3410</v>
      </c>
      <c r="C389" s="3">
        <f t="shared" ref="C389:C452" si="27">+$C$1/(1+1/SQRT($C$2*$F389))</f>
        <v>925032.56306995486</v>
      </c>
      <c r="D389" s="3">
        <f t="shared" ref="D389:D452" si="28">+$C$1/(1+1/SQRT($C$2*$A389))</f>
        <v>1699435.1184232598</v>
      </c>
      <c r="F389" s="3">
        <f t="shared" ref="F389:F452" si="29">+(1-EXP(-$F$1*$A389))/$F$1</f>
        <v>17.576291695039313</v>
      </c>
    </row>
    <row r="390" spans="1:6">
      <c r="A390">
        <f t="shared" si="26"/>
        <v>3420</v>
      </c>
      <c r="C390" s="3">
        <f t="shared" si="27"/>
        <v>925032.56306995486</v>
      </c>
      <c r="D390" s="3">
        <f t="shared" si="28"/>
        <v>1699596.1307537137</v>
      </c>
      <c r="F390" s="3">
        <f t="shared" si="29"/>
        <v>17.576291695039313</v>
      </c>
    </row>
    <row r="391" spans="1:6">
      <c r="A391">
        <f t="shared" si="26"/>
        <v>3430</v>
      </c>
      <c r="C391" s="3">
        <f t="shared" si="27"/>
        <v>925032.56306995486</v>
      </c>
      <c r="D391" s="3">
        <f t="shared" si="28"/>
        <v>1699756.4687473623</v>
      </c>
      <c r="F391" s="3">
        <f t="shared" si="29"/>
        <v>17.576291695039313</v>
      </c>
    </row>
    <row r="392" spans="1:6">
      <c r="A392">
        <f t="shared" si="26"/>
        <v>3440</v>
      </c>
      <c r="C392" s="3">
        <f t="shared" si="27"/>
        <v>925032.56306995486</v>
      </c>
      <c r="D392" s="3">
        <f t="shared" si="28"/>
        <v>1699916.1371410028</v>
      </c>
      <c r="F392" s="3">
        <f t="shared" si="29"/>
        <v>17.576291695039313</v>
      </c>
    </row>
    <row r="393" spans="1:6">
      <c r="A393">
        <f t="shared" si="26"/>
        <v>3450</v>
      </c>
      <c r="C393" s="3">
        <f t="shared" si="27"/>
        <v>925032.56306995486</v>
      </c>
      <c r="D393" s="3">
        <f t="shared" si="28"/>
        <v>1700075.140624739</v>
      </c>
      <c r="F393" s="3">
        <f t="shared" si="29"/>
        <v>17.576291695039313</v>
      </c>
    </row>
    <row r="394" spans="1:6">
      <c r="A394">
        <f t="shared" si="26"/>
        <v>3460</v>
      </c>
      <c r="C394" s="3">
        <f t="shared" si="27"/>
        <v>925032.56306995486</v>
      </c>
      <c r="D394" s="3">
        <f t="shared" si="28"/>
        <v>1700233.4838425741</v>
      </c>
      <c r="F394" s="3">
        <f t="shared" si="29"/>
        <v>17.576291695039313</v>
      </c>
    </row>
    <row r="395" spans="1:6">
      <c r="A395">
        <f t="shared" si="26"/>
        <v>3470</v>
      </c>
      <c r="C395" s="3">
        <f t="shared" si="27"/>
        <v>925032.56306995486</v>
      </c>
      <c r="D395" s="3">
        <f t="shared" si="28"/>
        <v>1700391.1713929907</v>
      </c>
      <c r="F395" s="3">
        <f t="shared" si="29"/>
        <v>17.576291695039313</v>
      </c>
    </row>
    <row r="396" spans="1:6">
      <c r="A396">
        <f t="shared" si="26"/>
        <v>3480</v>
      </c>
      <c r="C396" s="3">
        <f t="shared" si="27"/>
        <v>925032.56306995486</v>
      </c>
      <c r="D396" s="3">
        <f t="shared" si="28"/>
        <v>1700548.2078295301</v>
      </c>
      <c r="F396" s="3">
        <f t="shared" si="29"/>
        <v>17.576291695039313</v>
      </c>
    </row>
    <row r="397" spans="1:6">
      <c r="A397">
        <f t="shared" si="26"/>
        <v>3490</v>
      </c>
      <c r="C397" s="3">
        <f t="shared" si="27"/>
        <v>925032.56306995486</v>
      </c>
      <c r="D397" s="3">
        <f t="shared" si="28"/>
        <v>1700704.5976613532</v>
      </c>
      <c r="F397" s="3">
        <f t="shared" si="29"/>
        <v>17.576291695039313</v>
      </c>
    </row>
    <row r="398" spans="1:6">
      <c r="A398">
        <f t="shared" si="26"/>
        <v>3500</v>
      </c>
      <c r="C398" s="3">
        <f t="shared" si="27"/>
        <v>925032.56306995486</v>
      </c>
      <c r="D398" s="3">
        <f t="shared" si="28"/>
        <v>1700860.3453537968</v>
      </c>
      <c r="F398" s="3">
        <f t="shared" si="29"/>
        <v>17.576291695039313</v>
      </c>
    </row>
    <row r="399" spans="1:6">
      <c r="A399">
        <f t="shared" si="26"/>
        <v>3510</v>
      </c>
      <c r="C399" s="3">
        <f t="shared" si="27"/>
        <v>925032.56306995486</v>
      </c>
      <c r="D399" s="3">
        <f t="shared" si="28"/>
        <v>1701015.4553289257</v>
      </c>
      <c r="F399" s="3">
        <f t="shared" si="29"/>
        <v>17.576291695039313</v>
      </c>
    </row>
    <row r="400" spans="1:6">
      <c r="A400">
        <f t="shared" si="26"/>
        <v>3520</v>
      </c>
      <c r="C400" s="3">
        <f t="shared" si="27"/>
        <v>925032.56306995486</v>
      </c>
      <c r="D400" s="3">
        <f t="shared" si="28"/>
        <v>1701169.9319660675</v>
      </c>
      <c r="F400" s="3">
        <f t="shared" si="29"/>
        <v>17.576291695039313</v>
      </c>
    </row>
    <row r="401" spans="1:6">
      <c r="A401">
        <f t="shared" si="26"/>
        <v>3530</v>
      </c>
      <c r="C401" s="3">
        <f t="shared" si="27"/>
        <v>925032.56306995486</v>
      </c>
      <c r="D401" s="3">
        <f t="shared" si="28"/>
        <v>1701323.7796023465</v>
      </c>
      <c r="F401" s="3">
        <f t="shared" si="29"/>
        <v>17.576291695039313</v>
      </c>
    </row>
    <row r="402" spans="1:6">
      <c r="A402">
        <f t="shared" si="26"/>
        <v>3540</v>
      </c>
      <c r="C402" s="3">
        <f t="shared" si="27"/>
        <v>925032.56306995486</v>
      </c>
      <c r="D402" s="3">
        <f t="shared" si="28"/>
        <v>1701477.0025332067</v>
      </c>
      <c r="F402" s="3">
        <f t="shared" si="29"/>
        <v>17.576291695039313</v>
      </c>
    </row>
    <row r="403" spans="1:6">
      <c r="A403">
        <f t="shared" si="26"/>
        <v>3550</v>
      </c>
      <c r="C403" s="3">
        <f t="shared" si="27"/>
        <v>925032.56306995486</v>
      </c>
      <c r="D403" s="3">
        <f t="shared" si="28"/>
        <v>1701629.605012927</v>
      </c>
      <c r="F403" s="3">
        <f t="shared" si="29"/>
        <v>17.576291695039313</v>
      </c>
    </row>
    <row r="404" spans="1:6">
      <c r="A404">
        <f t="shared" si="26"/>
        <v>3560</v>
      </c>
      <c r="C404" s="3">
        <f t="shared" si="27"/>
        <v>925032.56306995486</v>
      </c>
      <c r="D404" s="3">
        <f t="shared" si="28"/>
        <v>1701781.5912551279</v>
      </c>
      <c r="F404" s="3">
        <f t="shared" si="29"/>
        <v>17.576291695039313</v>
      </c>
    </row>
    <row r="405" spans="1:6">
      <c r="A405">
        <f t="shared" si="26"/>
        <v>3570</v>
      </c>
      <c r="C405" s="3">
        <f t="shared" si="27"/>
        <v>925032.56306995486</v>
      </c>
      <c r="D405" s="3">
        <f t="shared" si="28"/>
        <v>1701932.9654332728</v>
      </c>
      <c r="F405" s="3">
        <f t="shared" si="29"/>
        <v>17.576291695039313</v>
      </c>
    </row>
    <row r="406" spans="1:6">
      <c r="A406">
        <f t="shared" si="26"/>
        <v>3580</v>
      </c>
      <c r="C406" s="3">
        <f t="shared" si="27"/>
        <v>925032.56306995486</v>
      </c>
      <c r="D406" s="3">
        <f t="shared" si="28"/>
        <v>1702083.7316811599</v>
      </c>
      <c r="F406" s="3">
        <f t="shared" si="29"/>
        <v>17.576291695039313</v>
      </c>
    </row>
    <row r="407" spans="1:6">
      <c r="A407">
        <f t="shared" si="26"/>
        <v>3590</v>
      </c>
      <c r="C407" s="3">
        <f t="shared" si="27"/>
        <v>925032.56306995486</v>
      </c>
      <c r="D407" s="3">
        <f t="shared" si="28"/>
        <v>1702233.8940934066</v>
      </c>
      <c r="F407" s="3">
        <f t="shared" si="29"/>
        <v>17.576291695039313</v>
      </c>
    </row>
    <row r="408" spans="1:6">
      <c r="A408">
        <f t="shared" si="26"/>
        <v>3600</v>
      </c>
      <c r="C408" s="3">
        <f t="shared" si="27"/>
        <v>925032.56306995486</v>
      </c>
      <c r="D408" s="3">
        <f t="shared" si="28"/>
        <v>1702383.4567259278</v>
      </c>
      <c r="F408" s="3">
        <f t="shared" si="29"/>
        <v>17.576291695039313</v>
      </c>
    </row>
    <row r="409" spans="1:6">
      <c r="A409">
        <f t="shared" si="26"/>
        <v>3610</v>
      </c>
      <c r="C409" s="3">
        <f t="shared" si="27"/>
        <v>925032.56306995486</v>
      </c>
      <c r="D409" s="3">
        <f t="shared" si="28"/>
        <v>1702532.4235964068</v>
      </c>
      <c r="F409" s="3">
        <f t="shared" si="29"/>
        <v>17.576291695039313</v>
      </c>
    </row>
    <row r="410" spans="1:6">
      <c r="A410">
        <f t="shared" si="26"/>
        <v>3620</v>
      </c>
      <c r="C410" s="3">
        <f t="shared" si="27"/>
        <v>925032.56306995486</v>
      </c>
      <c r="D410" s="3">
        <f t="shared" si="28"/>
        <v>1702680.7986847586</v>
      </c>
      <c r="F410" s="3">
        <f t="shared" si="29"/>
        <v>17.576291695039313</v>
      </c>
    </row>
    <row r="411" spans="1:6">
      <c r="A411">
        <f t="shared" si="26"/>
        <v>3630</v>
      </c>
      <c r="C411" s="3">
        <f t="shared" si="27"/>
        <v>925032.56306995486</v>
      </c>
      <c r="D411" s="3">
        <f t="shared" si="28"/>
        <v>1702828.5859335863</v>
      </c>
      <c r="F411" s="3">
        <f t="shared" si="29"/>
        <v>17.576291695039313</v>
      </c>
    </row>
    <row r="412" spans="1:6">
      <c r="A412">
        <f t="shared" si="26"/>
        <v>3640</v>
      </c>
      <c r="C412" s="3">
        <f t="shared" si="27"/>
        <v>925032.56306995486</v>
      </c>
      <c r="D412" s="3">
        <f t="shared" si="28"/>
        <v>1702975.7892486327</v>
      </c>
      <c r="F412" s="3">
        <f t="shared" si="29"/>
        <v>17.576291695039313</v>
      </c>
    </row>
    <row r="413" spans="1:6">
      <c r="A413">
        <f t="shared" si="26"/>
        <v>3650</v>
      </c>
      <c r="C413" s="3">
        <f t="shared" si="27"/>
        <v>925032.56306995486</v>
      </c>
      <c r="D413" s="3">
        <f t="shared" si="28"/>
        <v>1703122.412499222</v>
      </c>
      <c r="F413" s="3">
        <f t="shared" si="29"/>
        <v>17.576291695039313</v>
      </c>
    </row>
    <row r="414" spans="1:6">
      <c r="A414">
        <f t="shared" si="26"/>
        <v>3660</v>
      </c>
      <c r="C414" s="3">
        <f t="shared" si="27"/>
        <v>925032.56306995486</v>
      </c>
      <c r="D414" s="3">
        <f t="shared" si="28"/>
        <v>1703268.4595186964</v>
      </c>
      <c r="F414" s="3">
        <f t="shared" si="29"/>
        <v>17.576291695039313</v>
      </c>
    </row>
    <row r="415" spans="1:6">
      <c r="A415">
        <f t="shared" si="26"/>
        <v>3670</v>
      </c>
      <c r="C415" s="3">
        <f t="shared" si="27"/>
        <v>925032.56306995486</v>
      </c>
      <c r="D415" s="3">
        <f t="shared" si="28"/>
        <v>1703413.9341048491</v>
      </c>
      <c r="F415" s="3">
        <f t="shared" si="29"/>
        <v>17.576291695039313</v>
      </c>
    </row>
    <row r="416" spans="1:6">
      <c r="A416">
        <f t="shared" si="26"/>
        <v>3680</v>
      </c>
      <c r="C416" s="3">
        <f t="shared" si="27"/>
        <v>925032.56306995486</v>
      </c>
      <c r="D416" s="3">
        <f t="shared" si="28"/>
        <v>1703558.8400203462</v>
      </c>
      <c r="F416" s="3">
        <f t="shared" si="29"/>
        <v>17.576291695039313</v>
      </c>
    </row>
    <row r="417" spans="1:6">
      <c r="A417">
        <f t="shared" si="26"/>
        <v>3690</v>
      </c>
      <c r="C417" s="3">
        <f t="shared" si="27"/>
        <v>925032.56306995486</v>
      </c>
      <c r="D417" s="3">
        <f t="shared" si="28"/>
        <v>1703703.1809931453</v>
      </c>
      <c r="F417" s="3">
        <f t="shared" si="29"/>
        <v>17.576291695039313</v>
      </c>
    </row>
    <row r="418" spans="1:6">
      <c r="A418">
        <f t="shared" si="26"/>
        <v>3700</v>
      </c>
      <c r="C418" s="3">
        <f t="shared" si="27"/>
        <v>925032.56306995486</v>
      </c>
      <c r="D418" s="3">
        <f t="shared" si="28"/>
        <v>1703846.9607169076</v>
      </c>
      <c r="F418" s="3">
        <f t="shared" si="29"/>
        <v>17.576291695039313</v>
      </c>
    </row>
    <row r="419" spans="1:6">
      <c r="A419">
        <f t="shared" si="26"/>
        <v>3710</v>
      </c>
      <c r="C419" s="3">
        <f t="shared" si="27"/>
        <v>925032.56306995486</v>
      </c>
      <c r="D419" s="3">
        <f t="shared" si="28"/>
        <v>1703990.1828514042</v>
      </c>
      <c r="F419" s="3">
        <f t="shared" si="29"/>
        <v>17.576291695039313</v>
      </c>
    </row>
    <row r="420" spans="1:6">
      <c r="A420">
        <f t="shared" si="26"/>
        <v>3720</v>
      </c>
      <c r="C420" s="3">
        <f t="shared" si="27"/>
        <v>925032.56306995486</v>
      </c>
      <c r="D420" s="3">
        <f t="shared" si="28"/>
        <v>1704132.8510229145</v>
      </c>
      <c r="F420" s="3">
        <f t="shared" si="29"/>
        <v>17.576291695039313</v>
      </c>
    </row>
    <row r="421" spans="1:6">
      <c r="A421">
        <f t="shared" si="26"/>
        <v>3730</v>
      </c>
      <c r="C421" s="3">
        <f t="shared" si="27"/>
        <v>925032.56306995486</v>
      </c>
      <c r="D421" s="3">
        <f t="shared" si="28"/>
        <v>1704274.9688246239</v>
      </c>
      <c r="F421" s="3">
        <f t="shared" si="29"/>
        <v>17.576291695039313</v>
      </c>
    </row>
    <row r="422" spans="1:6">
      <c r="A422">
        <f t="shared" si="26"/>
        <v>3740</v>
      </c>
      <c r="C422" s="3">
        <f t="shared" si="27"/>
        <v>925032.56306995486</v>
      </c>
      <c r="D422" s="3">
        <f t="shared" si="28"/>
        <v>1704416.5398170084</v>
      </c>
      <c r="F422" s="3">
        <f t="shared" si="29"/>
        <v>17.576291695039313</v>
      </c>
    </row>
    <row r="423" spans="1:6">
      <c r="A423">
        <f t="shared" si="26"/>
        <v>3750</v>
      </c>
      <c r="C423" s="3">
        <f t="shared" si="27"/>
        <v>925032.56306995486</v>
      </c>
      <c r="D423" s="3">
        <f t="shared" si="28"/>
        <v>1704557.5675282211</v>
      </c>
      <c r="F423" s="3">
        <f t="shared" si="29"/>
        <v>17.576291695039313</v>
      </c>
    </row>
    <row r="424" spans="1:6">
      <c r="A424">
        <f t="shared" si="26"/>
        <v>3760</v>
      </c>
      <c r="C424" s="3">
        <f t="shared" si="27"/>
        <v>925032.56306995486</v>
      </c>
      <c r="D424" s="3">
        <f t="shared" si="28"/>
        <v>1704698.0554544667</v>
      </c>
      <c r="F424" s="3">
        <f t="shared" si="29"/>
        <v>17.576291695039313</v>
      </c>
    </row>
    <row r="425" spans="1:6">
      <c r="A425">
        <f t="shared" si="26"/>
        <v>3770</v>
      </c>
      <c r="C425" s="3">
        <f t="shared" si="27"/>
        <v>925032.56306995486</v>
      </c>
      <c r="D425" s="3">
        <f t="shared" si="28"/>
        <v>1704838.0070603765</v>
      </c>
      <c r="F425" s="3">
        <f t="shared" si="29"/>
        <v>17.576291695039313</v>
      </c>
    </row>
    <row r="426" spans="1:6">
      <c r="A426">
        <f t="shared" si="26"/>
        <v>3780</v>
      </c>
      <c r="C426" s="3">
        <f t="shared" si="27"/>
        <v>925032.56306995486</v>
      </c>
      <c r="D426" s="3">
        <f t="shared" si="28"/>
        <v>1704977.4257793734</v>
      </c>
      <c r="F426" s="3">
        <f t="shared" si="29"/>
        <v>17.576291695039313</v>
      </c>
    </row>
    <row r="427" spans="1:6">
      <c r="A427">
        <f t="shared" si="26"/>
        <v>3790</v>
      </c>
      <c r="C427" s="3">
        <f t="shared" si="27"/>
        <v>925032.56306995486</v>
      </c>
      <c r="D427" s="3">
        <f t="shared" si="28"/>
        <v>1705116.3150140347</v>
      </c>
      <c r="F427" s="3">
        <f t="shared" si="29"/>
        <v>17.576291695039313</v>
      </c>
    </row>
    <row r="428" spans="1:6">
      <c r="A428">
        <f t="shared" si="26"/>
        <v>3800</v>
      </c>
      <c r="C428" s="3">
        <f t="shared" si="27"/>
        <v>925032.56306995486</v>
      </c>
      <c r="D428" s="3">
        <f t="shared" si="28"/>
        <v>1705254.6781364481</v>
      </c>
      <c r="F428" s="3">
        <f t="shared" si="29"/>
        <v>17.576291695039313</v>
      </c>
    </row>
    <row r="429" spans="1:6">
      <c r="A429">
        <f t="shared" si="26"/>
        <v>3810</v>
      </c>
      <c r="C429" s="3">
        <f t="shared" si="27"/>
        <v>925032.56306995486</v>
      </c>
      <c r="D429" s="3">
        <f t="shared" si="28"/>
        <v>1705392.5184885634</v>
      </c>
      <c r="F429" s="3">
        <f t="shared" si="29"/>
        <v>17.576291695039313</v>
      </c>
    </row>
    <row r="430" spans="1:6">
      <c r="A430">
        <f t="shared" si="26"/>
        <v>3820</v>
      </c>
      <c r="C430" s="3">
        <f t="shared" si="27"/>
        <v>925032.56306995486</v>
      </c>
      <c r="D430" s="3">
        <f t="shared" si="28"/>
        <v>1705529.8393825386</v>
      </c>
      <c r="F430" s="3">
        <f t="shared" si="29"/>
        <v>17.576291695039313</v>
      </c>
    </row>
    <row r="431" spans="1:6">
      <c r="A431">
        <f t="shared" si="26"/>
        <v>3830</v>
      </c>
      <c r="C431" s="3">
        <f t="shared" si="27"/>
        <v>925032.56306995486</v>
      </c>
      <c r="D431" s="3">
        <f t="shared" si="28"/>
        <v>1705666.6441010821</v>
      </c>
      <c r="F431" s="3">
        <f t="shared" si="29"/>
        <v>17.576291695039313</v>
      </c>
    </row>
    <row r="432" spans="1:6">
      <c r="A432">
        <f t="shared" si="26"/>
        <v>3840</v>
      </c>
      <c r="C432" s="3">
        <f t="shared" si="27"/>
        <v>925032.56306995486</v>
      </c>
      <c r="D432" s="3">
        <f t="shared" si="28"/>
        <v>1705802.9358977904</v>
      </c>
      <c r="F432" s="3">
        <f t="shared" si="29"/>
        <v>17.576291695039313</v>
      </c>
    </row>
    <row r="433" spans="1:6">
      <c r="A433">
        <f t="shared" si="26"/>
        <v>3850</v>
      </c>
      <c r="C433" s="3">
        <f t="shared" si="27"/>
        <v>925032.56306995486</v>
      </c>
      <c r="D433" s="3">
        <f t="shared" si="28"/>
        <v>1705938.7179974776</v>
      </c>
      <c r="F433" s="3">
        <f t="shared" si="29"/>
        <v>17.576291695039313</v>
      </c>
    </row>
    <row r="434" spans="1:6">
      <c r="A434">
        <f t="shared" si="26"/>
        <v>3860</v>
      </c>
      <c r="C434" s="3">
        <f t="shared" si="27"/>
        <v>925032.56306995486</v>
      </c>
      <c r="D434" s="3">
        <f t="shared" si="28"/>
        <v>1706073.9935965065</v>
      </c>
      <c r="F434" s="3">
        <f t="shared" si="29"/>
        <v>17.576291695039313</v>
      </c>
    </row>
    <row r="435" spans="1:6">
      <c r="A435">
        <f t="shared" si="26"/>
        <v>3870</v>
      </c>
      <c r="C435" s="3">
        <f t="shared" si="27"/>
        <v>925032.56306995486</v>
      </c>
      <c r="D435" s="3">
        <f t="shared" si="28"/>
        <v>1706208.7658631094</v>
      </c>
      <c r="F435" s="3">
        <f t="shared" si="29"/>
        <v>17.576291695039313</v>
      </c>
    </row>
    <row r="436" spans="1:6">
      <c r="A436">
        <f t="shared" si="26"/>
        <v>3880</v>
      </c>
      <c r="C436" s="3">
        <f t="shared" si="27"/>
        <v>925032.56306995486</v>
      </c>
      <c r="D436" s="3">
        <f t="shared" si="28"/>
        <v>1706343.0379377068</v>
      </c>
      <c r="F436" s="3">
        <f t="shared" si="29"/>
        <v>17.576291695039313</v>
      </c>
    </row>
    <row r="437" spans="1:6">
      <c r="A437">
        <f t="shared" si="26"/>
        <v>3890</v>
      </c>
      <c r="C437" s="3">
        <f t="shared" si="27"/>
        <v>925032.56306995486</v>
      </c>
      <c r="D437" s="3">
        <f t="shared" si="28"/>
        <v>1706476.8129332219</v>
      </c>
      <c r="F437" s="3">
        <f t="shared" si="29"/>
        <v>17.576291695039313</v>
      </c>
    </row>
    <row r="438" spans="1:6">
      <c r="A438">
        <f t="shared" si="26"/>
        <v>3900</v>
      </c>
      <c r="C438" s="3">
        <f t="shared" si="27"/>
        <v>925032.56306995486</v>
      </c>
      <c r="D438" s="3">
        <f t="shared" si="28"/>
        <v>1706610.0939353909</v>
      </c>
      <c r="F438" s="3">
        <f t="shared" si="29"/>
        <v>17.576291695039313</v>
      </c>
    </row>
    <row r="439" spans="1:6">
      <c r="A439">
        <f t="shared" ref="A439:A502" si="30">+$A438+10</f>
        <v>3910</v>
      </c>
      <c r="C439" s="3">
        <f t="shared" si="27"/>
        <v>925032.56306995486</v>
      </c>
      <c r="D439" s="3">
        <f t="shared" si="28"/>
        <v>1706742.8840030674</v>
      </c>
      <c r="F439" s="3">
        <f t="shared" si="29"/>
        <v>17.576291695039313</v>
      </c>
    </row>
    <row r="440" spans="1:6">
      <c r="A440">
        <f t="shared" si="30"/>
        <v>3920</v>
      </c>
      <c r="C440" s="3">
        <f t="shared" si="27"/>
        <v>925032.56306995486</v>
      </c>
      <c r="D440" s="3">
        <f t="shared" si="28"/>
        <v>1706875.1861685242</v>
      </c>
      <c r="F440" s="3">
        <f t="shared" si="29"/>
        <v>17.576291695039313</v>
      </c>
    </row>
    <row r="441" spans="1:6">
      <c r="A441">
        <f t="shared" si="30"/>
        <v>3930</v>
      </c>
      <c r="C441" s="3">
        <f t="shared" si="27"/>
        <v>925032.56306995486</v>
      </c>
      <c r="D441" s="3">
        <f t="shared" si="28"/>
        <v>1707007.003437751</v>
      </c>
      <c r="F441" s="3">
        <f t="shared" si="29"/>
        <v>17.576291695039313</v>
      </c>
    </row>
    <row r="442" spans="1:6">
      <c r="A442">
        <f t="shared" si="30"/>
        <v>3940</v>
      </c>
      <c r="C442" s="3">
        <f t="shared" si="27"/>
        <v>925032.56306995486</v>
      </c>
      <c r="D442" s="3">
        <f t="shared" si="28"/>
        <v>1707138.3387907471</v>
      </c>
      <c r="F442" s="3">
        <f t="shared" si="29"/>
        <v>17.576291695039313</v>
      </c>
    </row>
    <row r="443" spans="1:6">
      <c r="A443">
        <f t="shared" si="30"/>
        <v>3950</v>
      </c>
      <c r="C443" s="3">
        <f t="shared" si="27"/>
        <v>925032.56306995486</v>
      </c>
      <c r="D443" s="3">
        <f t="shared" si="28"/>
        <v>1707269.1951818105</v>
      </c>
      <c r="F443" s="3">
        <f t="shared" si="29"/>
        <v>17.576291695039313</v>
      </c>
    </row>
    <row r="444" spans="1:6">
      <c r="A444">
        <f t="shared" si="30"/>
        <v>3960</v>
      </c>
      <c r="C444" s="3">
        <f t="shared" si="27"/>
        <v>925032.56306995486</v>
      </c>
      <c r="D444" s="3">
        <f t="shared" si="28"/>
        <v>1707399.5755398229</v>
      </c>
      <c r="F444" s="3">
        <f t="shared" si="29"/>
        <v>17.576291695039313</v>
      </c>
    </row>
    <row r="445" spans="1:6">
      <c r="A445">
        <f t="shared" si="30"/>
        <v>3970</v>
      </c>
      <c r="C445" s="3">
        <f t="shared" si="27"/>
        <v>925032.56306995486</v>
      </c>
      <c r="D445" s="3">
        <f t="shared" si="28"/>
        <v>1707529.4827685319</v>
      </c>
      <c r="F445" s="3">
        <f t="shared" si="29"/>
        <v>17.576291695039313</v>
      </c>
    </row>
    <row r="446" spans="1:6">
      <c r="A446">
        <f t="shared" si="30"/>
        <v>3980</v>
      </c>
      <c r="C446" s="3">
        <f t="shared" si="27"/>
        <v>925032.56306995486</v>
      </c>
      <c r="D446" s="3">
        <f t="shared" si="28"/>
        <v>1707658.9197468273</v>
      </c>
      <c r="F446" s="3">
        <f t="shared" si="29"/>
        <v>17.576291695039313</v>
      </c>
    </row>
    <row r="447" spans="1:6">
      <c r="A447">
        <f t="shared" si="30"/>
        <v>3990</v>
      </c>
      <c r="C447" s="3">
        <f t="shared" si="27"/>
        <v>925032.56306995486</v>
      </c>
      <c r="D447" s="3">
        <f t="shared" si="28"/>
        <v>1707787.8893290164</v>
      </c>
      <c r="F447" s="3">
        <f t="shared" si="29"/>
        <v>17.576291695039313</v>
      </c>
    </row>
    <row r="448" spans="1:6">
      <c r="A448">
        <f t="shared" si="30"/>
        <v>4000</v>
      </c>
      <c r="C448" s="3">
        <f t="shared" si="27"/>
        <v>925032.56306995486</v>
      </c>
      <c r="D448" s="3">
        <f t="shared" si="28"/>
        <v>1707916.3943450921</v>
      </c>
      <c r="F448" s="3">
        <f t="shared" si="29"/>
        <v>17.576291695039313</v>
      </c>
    </row>
    <row r="449" spans="1:6">
      <c r="A449">
        <f t="shared" si="30"/>
        <v>4010</v>
      </c>
      <c r="C449" s="3">
        <f t="shared" si="27"/>
        <v>925032.56306995486</v>
      </c>
      <c r="D449" s="3">
        <f t="shared" si="28"/>
        <v>1708044.4376010022</v>
      </c>
      <c r="F449" s="3">
        <f t="shared" si="29"/>
        <v>17.576291695039313</v>
      </c>
    </row>
    <row r="450" spans="1:6">
      <c r="A450">
        <f t="shared" si="30"/>
        <v>4020</v>
      </c>
      <c r="C450" s="3">
        <f t="shared" si="27"/>
        <v>925032.56306995486</v>
      </c>
      <c r="D450" s="3">
        <f t="shared" si="28"/>
        <v>1708172.0218789091</v>
      </c>
      <c r="F450" s="3">
        <f t="shared" si="29"/>
        <v>17.576291695039313</v>
      </c>
    </row>
    <row r="451" spans="1:6">
      <c r="A451">
        <f t="shared" si="30"/>
        <v>4030</v>
      </c>
      <c r="C451" s="3">
        <f t="shared" si="27"/>
        <v>925032.56306995486</v>
      </c>
      <c r="D451" s="3">
        <f t="shared" si="28"/>
        <v>1708299.1499374511</v>
      </c>
      <c r="F451" s="3">
        <f t="shared" si="29"/>
        <v>17.576291695039313</v>
      </c>
    </row>
    <row r="452" spans="1:6">
      <c r="A452">
        <f t="shared" si="30"/>
        <v>4040</v>
      </c>
      <c r="C452" s="3">
        <f t="shared" si="27"/>
        <v>925032.56306995486</v>
      </c>
      <c r="D452" s="3">
        <f t="shared" si="28"/>
        <v>1708425.8245119993</v>
      </c>
      <c r="F452" s="3">
        <f t="shared" si="29"/>
        <v>17.576291695039313</v>
      </c>
    </row>
    <row r="453" spans="1:6">
      <c r="A453">
        <f t="shared" si="30"/>
        <v>4050</v>
      </c>
      <c r="C453" s="3">
        <f t="shared" ref="C453:C516" si="31">+$C$1/(1+1/SQRT($C$2*$F453))</f>
        <v>925032.56306995486</v>
      </c>
      <c r="D453" s="3">
        <f t="shared" ref="D453:D516" si="32">+$C$1/(1+1/SQRT($C$2*$A453))</f>
        <v>1708552.0483149071</v>
      </c>
      <c r="F453" s="3">
        <f t="shared" ref="F453:F516" si="33">+(1-EXP(-$F$1*$A453))/$F$1</f>
        <v>17.576291695039313</v>
      </c>
    </row>
    <row r="454" spans="1:6">
      <c r="A454">
        <f t="shared" si="30"/>
        <v>4060</v>
      </c>
      <c r="C454" s="3">
        <f t="shared" si="31"/>
        <v>925032.56306995486</v>
      </c>
      <c r="D454" s="3">
        <f t="shared" si="32"/>
        <v>1708677.8240357621</v>
      </c>
      <c r="F454" s="3">
        <f t="shared" si="33"/>
        <v>17.576291695039313</v>
      </c>
    </row>
    <row r="455" spans="1:6">
      <c r="A455">
        <f t="shared" si="30"/>
        <v>4070</v>
      </c>
      <c r="C455" s="3">
        <f t="shared" si="31"/>
        <v>925032.56306995486</v>
      </c>
      <c r="D455" s="3">
        <f t="shared" si="32"/>
        <v>1708803.1543416306</v>
      </c>
      <c r="F455" s="3">
        <f t="shared" si="33"/>
        <v>17.576291695039313</v>
      </c>
    </row>
    <row r="456" spans="1:6">
      <c r="A456">
        <f t="shared" si="30"/>
        <v>4080</v>
      </c>
      <c r="C456" s="3">
        <f t="shared" si="31"/>
        <v>925032.56306995486</v>
      </c>
      <c r="D456" s="3">
        <f t="shared" si="32"/>
        <v>1708928.0418773012</v>
      </c>
      <c r="F456" s="3">
        <f t="shared" si="33"/>
        <v>17.576291695039313</v>
      </c>
    </row>
    <row r="457" spans="1:6">
      <c r="A457">
        <f t="shared" si="30"/>
        <v>4090</v>
      </c>
      <c r="C457" s="3">
        <f t="shared" si="31"/>
        <v>925032.56306995486</v>
      </c>
      <c r="D457" s="3">
        <f t="shared" si="32"/>
        <v>1709052.4892655236</v>
      </c>
      <c r="F457" s="3">
        <f t="shared" si="33"/>
        <v>17.576291695039313</v>
      </c>
    </row>
    <row r="458" spans="1:6">
      <c r="A458">
        <f t="shared" si="30"/>
        <v>4100</v>
      </c>
      <c r="C458" s="3">
        <f t="shared" si="31"/>
        <v>925032.56306995486</v>
      </c>
      <c r="D458" s="3">
        <f t="shared" si="32"/>
        <v>1709176.499107244</v>
      </c>
      <c r="F458" s="3">
        <f t="shared" si="33"/>
        <v>17.576291695039313</v>
      </c>
    </row>
    <row r="459" spans="1:6">
      <c r="A459">
        <f t="shared" si="30"/>
        <v>4110</v>
      </c>
      <c r="C459" s="3">
        <f t="shared" si="31"/>
        <v>925032.56306995486</v>
      </c>
      <c r="D459" s="3">
        <f t="shared" si="32"/>
        <v>1709300.0739818411</v>
      </c>
      <c r="F459" s="3">
        <f t="shared" si="33"/>
        <v>17.576291695039313</v>
      </c>
    </row>
    <row r="460" spans="1:6">
      <c r="A460">
        <f t="shared" si="30"/>
        <v>4120</v>
      </c>
      <c r="C460" s="3">
        <f t="shared" si="31"/>
        <v>925032.56306995486</v>
      </c>
      <c r="D460" s="3">
        <f t="shared" si="32"/>
        <v>1709423.2164473531</v>
      </c>
      <c r="F460" s="3">
        <f t="shared" si="33"/>
        <v>17.576291695039313</v>
      </c>
    </row>
    <row r="461" spans="1:6">
      <c r="A461">
        <f t="shared" si="30"/>
        <v>4130</v>
      </c>
      <c r="C461" s="3">
        <f t="shared" si="31"/>
        <v>925032.56306995486</v>
      </c>
      <c r="D461" s="3">
        <f t="shared" si="32"/>
        <v>1709545.9290407067</v>
      </c>
      <c r="F461" s="3">
        <f t="shared" si="33"/>
        <v>17.576291695039313</v>
      </c>
    </row>
    <row r="462" spans="1:6">
      <c r="A462">
        <f t="shared" si="30"/>
        <v>4140</v>
      </c>
      <c r="C462" s="3">
        <f t="shared" si="31"/>
        <v>925032.56306995486</v>
      </c>
      <c r="D462" s="3">
        <f t="shared" si="32"/>
        <v>1709668.2142779408</v>
      </c>
      <c r="F462" s="3">
        <f t="shared" si="33"/>
        <v>17.576291695039313</v>
      </c>
    </row>
    <row r="463" spans="1:6">
      <c r="A463">
        <f t="shared" si="30"/>
        <v>4150</v>
      </c>
      <c r="C463" s="3">
        <f t="shared" si="31"/>
        <v>925032.56306995486</v>
      </c>
      <c r="D463" s="3">
        <f t="shared" si="32"/>
        <v>1709790.0746544285</v>
      </c>
      <c r="F463" s="3">
        <f t="shared" si="33"/>
        <v>17.576291695039313</v>
      </c>
    </row>
    <row r="464" spans="1:6">
      <c r="A464">
        <f t="shared" si="30"/>
        <v>4160</v>
      </c>
      <c r="C464" s="3">
        <f t="shared" si="31"/>
        <v>925032.56306995486</v>
      </c>
      <c r="D464" s="3">
        <f t="shared" si="32"/>
        <v>1709911.5126450937</v>
      </c>
      <c r="F464" s="3">
        <f t="shared" si="33"/>
        <v>17.576291695039313</v>
      </c>
    </row>
    <row r="465" spans="1:6">
      <c r="A465">
        <f t="shared" si="30"/>
        <v>4170</v>
      </c>
      <c r="C465" s="3">
        <f t="shared" si="31"/>
        <v>925032.56306995486</v>
      </c>
      <c r="D465" s="3">
        <f t="shared" si="32"/>
        <v>1710032.5307046289</v>
      </c>
      <c r="F465" s="3">
        <f t="shared" si="33"/>
        <v>17.576291695039313</v>
      </c>
    </row>
    <row r="466" spans="1:6">
      <c r="A466">
        <f t="shared" si="30"/>
        <v>4180</v>
      </c>
      <c r="C466" s="3">
        <f t="shared" si="31"/>
        <v>925032.56306995486</v>
      </c>
      <c r="D466" s="3">
        <f t="shared" si="32"/>
        <v>1710153.1312677066</v>
      </c>
      <c r="F466" s="3">
        <f t="shared" si="33"/>
        <v>17.576291695039313</v>
      </c>
    </row>
    <row r="467" spans="1:6">
      <c r="A467">
        <f t="shared" si="30"/>
        <v>4190</v>
      </c>
      <c r="C467" s="3">
        <f t="shared" si="31"/>
        <v>925032.56306995486</v>
      </c>
      <c r="D467" s="3">
        <f t="shared" si="32"/>
        <v>1710273.3167491893</v>
      </c>
      <c r="F467" s="3">
        <f t="shared" si="33"/>
        <v>17.576291695039313</v>
      </c>
    </row>
    <row r="468" spans="1:6">
      <c r="A468">
        <f t="shared" si="30"/>
        <v>4200</v>
      </c>
      <c r="C468" s="3">
        <f t="shared" si="31"/>
        <v>925032.56306995486</v>
      </c>
      <c r="D468" s="3">
        <f t="shared" si="32"/>
        <v>1710393.0895443386</v>
      </c>
      <c r="F468" s="3">
        <f t="shared" si="33"/>
        <v>17.576291695039313</v>
      </c>
    </row>
    <row r="469" spans="1:6">
      <c r="A469">
        <f t="shared" si="30"/>
        <v>4210</v>
      </c>
      <c r="C469" s="3">
        <f t="shared" si="31"/>
        <v>925032.56306995486</v>
      </c>
      <c r="D469" s="3">
        <f t="shared" si="32"/>
        <v>1710512.4520290182</v>
      </c>
      <c r="F469" s="3">
        <f t="shared" si="33"/>
        <v>17.576291695039313</v>
      </c>
    </row>
    <row r="470" spans="1:6">
      <c r="A470">
        <f t="shared" si="30"/>
        <v>4220</v>
      </c>
      <c r="C470" s="3">
        <f t="shared" si="31"/>
        <v>925032.56306995486</v>
      </c>
      <c r="D470" s="3">
        <f t="shared" si="32"/>
        <v>1710631.4065598962</v>
      </c>
      <c r="F470" s="3">
        <f t="shared" si="33"/>
        <v>17.576291695039313</v>
      </c>
    </row>
    <row r="471" spans="1:6">
      <c r="A471">
        <f t="shared" si="30"/>
        <v>4230</v>
      </c>
      <c r="C471" s="3">
        <f t="shared" si="31"/>
        <v>925032.56306995486</v>
      </c>
      <c r="D471" s="3">
        <f t="shared" si="32"/>
        <v>1710749.9554746447</v>
      </c>
      <c r="F471" s="3">
        <f t="shared" si="33"/>
        <v>17.576291695039313</v>
      </c>
    </row>
    <row r="472" spans="1:6">
      <c r="A472">
        <f t="shared" si="30"/>
        <v>4240</v>
      </c>
      <c r="C472" s="3">
        <f t="shared" si="31"/>
        <v>925032.56306995486</v>
      </c>
      <c r="D472" s="3">
        <f t="shared" si="32"/>
        <v>1710868.101092139</v>
      </c>
      <c r="F472" s="3">
        <f t="shared" si="33"/>
        <v>17.576291695039313</v>
      </c>
    </row>
    <row r="473" spans="1:6">
      <c r="A473">
        <f t="shared" si="30"/>
        <v>4250</v>
      </c>
      <c r="C473" s="3">
        <f t="shared" si="31"/>
        <v>925032.56306995486</v>
      </c>
      <c r="D473" s="3">
        <f t="shared" si="32"/>
        <v>1710985.8457126482</v>
      </c>
      <c r="F473" s="3">
        <f t="shared" si="33"/>
        <v>17.576291695039313</v>
      </c>
    </row>
    <row r="474" spans="1:6">
      <c r="A474">
        <f t="shared" si="30"/>
        <v>4260</v>
      </c>
      <c r="C474" s="3">
        <f t="shared" si="31"/>
        <v>925032.56306995486</v>
      </c>
      <c r="D474" s="3">
        <f t="shared" si="32"/>
        <v>1711103.1916180307</v>
      </c>
      <c r="F474" s="3">
        <f t="shared" si="33"/>
        <v>17.576291695039313</v>
      </c>
    </row>
    <row r="475" spans="1:6">
      <c r="A475">
        <f t="shared" si="30"/>
        <v>4270</v>
      </c>
      <c r="C475" s="3">
        <f t="shared" si="31"/>
        <v>925032.56306995486</v>
      </c>
      <c r="D475" s="3">
        <f t="shared" si="32"/>
        <v>1711220.1410719214</v>
      </c>
      <c r="F475" s="3">
        <f t="shared" si="33"/>
        <v>17.576291695039313</v>
      </c>
    </row>
    <row r="476" spans="1:6">
      <c r="A476">
        <f t="shared" si="30"/>
        <v>4280</v>
      </c>
      <c r="C476" s="3">
        <f t="shared" si="31"/>
        <v>925032.56306995486</v>
      </c>
      <c r="D476" s="3">
        <f t="shared" si="32"/>
        <v>1711336.6963199209</v>
      </c>
      <c r="F476" s="3">
        <f t="shared" si="33"/>
        <v>17.576291695039313</v>
      </c>
    </row>
    <row r="477" spans="1:6">
      <c r="A477">
        <f t="shared" si="30"/>
        <v>4290</v>
      </c>
      <c r="C477" s="3">
        <f t="shared" si="31"/>
        <v>925032.56306995486</v>
      </c>
      <c r="D477" s="3">
        <f t="shared" si="32"/>
        <v>1711452.8595897795</v>
      </c>
      <c r="F477" s="3">
        <f t="shared" si="33"/>
        <v>17.576291695039313</v>
      </c>
    </row>
    <row r="478" spans="1:6">
      <c r="A478">
        <f t="shared" si="30"/>
        <v>4300</v>
      </c>
      <c r="C478" s="3">
        <f t="shared" si="31"/>
        <v>925032.56306995486</v>
      </c>
      <c r="D478" s="3">
        <f t="shared" si="32"/>
        <v>1711568.6330915792</v>
      </c>
      <c r="F478" s="3">
        <f t="shared" si="33"/>
        <v>17.576291695039313</v>
      </c>
    </row>
    <row r="479" spans="1:6">
      <c r="A479">
        <f t="shared" si="30"/>
        <v>4310</v>
      </c>
      <c r="C479" s="3">
        <f t="shared" si="31"/>
        <v>925032.56306995486</v>
      </c>
      <c r="D479" s="3">
        <f t="shared" si="32"/>
        <v>1711684.0190179157</v>
      </c>
      <c r="F479" s="3">
        <f t="shared" si="33"/>
        <v>17.576291695039313</v>
      </c>
    </row>
    <row r="480" spans="1:6">
      <c r="A480">
        <f t="shared" si="30"/>
        <v>4320</v>
      </c>
      <c r="C480" s="3">
        <f t="shared" si="31"/>
        <v>925032.56306995486</v>
      </c>
      <c r="D480" s="3">
        <f t="shared" si="32"/>
        <v>1711799.0195440736</v>
      </c>
      <c r="F480" s="3">
        <f t="shared" si="33"/>
        <v>17.576291695039313</v>
      </c>
    </row>
    <row r="481" spans="1:6">
      <c r="A481">
        <f t="shared" si="30"/>
        <v>4330</v>
      </c>
      <c r="C481" s="3">
        <f t="shared" si="31"/>
        <v>925032.56306995486</v>
      </c>
      <c r="D481" s="3">
        <f t="shared" si="32"/>
        <v>1711913.6368282062</v>
      </c>
      <c r="F481" s="3">
        <f t="shared" si="33"/>
        <v>17.576291695039313</v>
      </c>
    </row>
    <row r="482" spans="1:6">
      <c r="A482">
        <f t="shared" si="30"/>
        <v>4340</v>
      </c>
      <c r="C482" s="3">
        <f t="shared" si="31"/>
        <v>925032.56306995486</v>
      </c>
      <c r="D482" s="3">
        <f t="shared" si="32"/>
        <v>1712027.873011505</v>
      </c>
      <c r="F482" s="3">
        <f t="shared" si="33"/>
        <v>17.576291695039313</v>
      </c>
    </row>
    <row r="483" spans="1:6">
      <c r="A483">
        <f t="shared" si="30"/>
        <v>4350</v>
      </c>
      <c r="C483" s="3">
        <f t="shared" si="31"/>
        <v>925032.56306995486</v>
      </c>
      <c r="D483" s="3">
        <f t="shared" si="32"/>
        <v>1712141.7302183744</v>
      </c>
      <c r="F483" s="3">
        <f t="shared" si="33"/>
        <v>17.576291695039313</v>
      </c>
    </row>
    <row r="484" spans="1:6">
      <c r="A484">
        <f t="shared" si="30"/>
        <v>4360</v>
      </c>
      <c r="C484" s="3">
        <f t="shared" si="31"/>
        <v>925032.56306995486</v>
      </c>
      <c r="D484" s="3">
        <f t="shared" si="32"/>
        <v>1712255.2105565998</v>
      </c>
      <c r="F484" s="3">
        <f t="shared" si="33"/>
        <v>17.576291695039313</v>
      </c>
    </row>
    <row r="485" spans="1:6">
      <c r="A485">
        <f t="shared" si="30"/>
        <v>4370</v>
      </c>
      <c r="C485" s="3">
        <f t="shared" si="31"/>
        <v>925032.56306995486</v>
      </c>
      <c r="D485" s="3">
        <f t="shared" si="32"/>
        <v>1712368.3161175142</v>
      </c>
      <c r="F485" s="3">
        <f t="shared" si="33"/>
        <v>17.576291695039313</v>
      </c>
    </row>
    <row r="486" spans="1:6">
      <c r="A486">
        <f t="shared" si="30"/>
        <v>4380</v>
      </c>
      <c r="C486" s="3">
        <f t="shared" si="31"/>
        <v>925032.56306995486</v>
      </c>
      <c r="D486" s="3">
        <f t="shared" si="32"/>
        <v>1712481.0489761643</v>
      </c>
      <c r="F486" s="3">
        <f t="shared" si="33"/>
        <v>17.576291695039313</v>
      </c>
    </row>
    <row r="487" spans="1:6">
      <c r="A487">
        <f t="shared" si="30"/>
        <v>4390</v>
      </c>
      <c r="C487" s="3">
        <f t="shared" si="31"/>
        <v>925032.56306995486</v>
      </c>
      <c r="D487" s="3">
        <f t="shared" si="32"/>
        <v>1712593.4111914744</v>
      </c>
      <c r="F487" s="3">
        <f t="shared" si="33"/>
        <v>17.576291695039313</v>
      </c>
    </row>
    <row r="488" spans="1:6">
      <c r="A488">
        <f t="shared" si="30"/>
        <v>4400</v>
      </c>
      <c r="C488" s="3">
        <f t="shared" si="31"/>
        <v>925032.56306995486</v>
      </c>
      <c r="D488" s="3">
        <f t="shared" si="32"/>
        <v>1712705.404806406</v>
      </c>
      <c r="F488" s="3">
        <f t="shared" si="33"/>
        <v>17.576291695039313</v>
      </c>
    </row>
    <row r="489" spans="1:6">
      <c r="A489">
        <f t="shared" si="30"/>
        <v>4410</v>
      </c>
      <c r="C489" s="3">
        <f t="shared" si="31"/>
        <v>925032.56306995486</v>
      </c>
      <c r="D489" s="3">
        <f t="shared" si="32"/>
        <v>1712817.0318481186</v>
      </c>
      <c r="F489" s="3">
        <f t="shared" si="33"/>
        <v>17.576291695039313</v>
      </c>
    </row>
    <row r="490" spans="1:6">
      <c r="A490">
        <f t="shared" si="30"/>
        <v>4420</v>
      </c>
      <c r="C490" s="3">
        <f t="shared" si="31"/>
        <v>925032.56306995486</v>
      </c>
      <c r="D490" s="3">
        <f t="shared" si="32"/>
        <v>1712928.2943281252</v>
      </c>
      <c r="F490" s="3">
        <f t="shared" si="33"/>
        <v>17.576291695039313</v>
      </c>
    </row>
    <row r="491" spans="1:6">
      <c r="A491">
        <f t="shared" si="30"/>
        <v>4430</v>
      </c>
      <c r="C491" s="3">
        <f t="shared" si="31"/>
        <v>925032.56306995486</v>
      </c>
      <c r="D491" s="3">
        <f t="shared" si="32"/>
        <v>1713039.1942424492</v>
      </c>
      <c r="F491" s="3">
        <f t="shared" si="33"/>
        <v>17.576291695039313</v>
      </c>
    </row>
    <row r="492" spans="1:6">
      <c r="A492">
        <f t="shared" si="30"/>
        <v>4440</v>
      </c>
      <c r="C492" s="3">
        <f t="shared" si="31"/>
        <v>925032.56306995486</v>
      </c>
      <c r="D492" s="3">
        <f t="shared" si="32"/>
        <v>1713149.7335717781</v>
      </c>
      <c r="F492" s="3">
        <f t="shared" si="33"/>
        <v>17.576291695039313</v>
      </c>
    </row>
    <row r="493" spans="1:6">
      <c r="A493">
        <f t="shared" si="30"/>
        <v>4450</v>
      </c>
      <c r="C493" s="3">
        <f t="shared" si="31"/>
        <v>925032.56306995486</v>
      </c>
      <c r="D493" s="3">
        <f t="shared" si="32"/>
        <v>1713259.914281613</v>
      </c>
      <c r="F493" s="3">
        <f t="shared" si="33"/>
        <v>17.576291695039313</v>
      </c>
    </row>
    <row r="494" spans="1:6">
      <c r="A494">
        <f t="shared" si="30"/>
        <v>4460</v>
      </c>
      <c r="C494" s="3">
        <f t="shared" si="31"/>
        <v>925032.56306995486</v>
      </c>
      <c r="D494" s="3">
        <f t="shared" si="32"/>
        <v>1713369.7383224214</v>
      </c>
      <c r="F494" s="3">
        <f t="shared" si="33"/>
        <v>17.576291695039313</v>
      </c>
    </row>
    <row r="495" spans="1:6">
      <c r="A495">
        <f t="shared" si="30"/>
        <v>4470</v>
      </c>
      <c r="C495" s="3">
        <f t="shared" si="31"/>
        <v>925032.56306995486</v>
      </c>
      <c r="D495" s="3">
        <f t="shared" si="32"/>
        <v>1713479.2076297828</v>
      </c>
      <c r="F495" s="3">
        <f t="shared" si="33"/>
        <v>17.576291695039313</v>
      </c>
    </row>
    <row r="496" spans="1:6">
      <c r="A496">
        <f t="shared" si="30"/>
        <v>4480</v>
      </c>
      <c r="C496" s="3">
        <f t="shared" si="31"/>
        <v>925032.56306995486</v>
      </c>
      <c r="D496" s="3">
        <f t="shared" si="32"/>
        <v>1713588.3241245353</v>
      </c>
      <c r="F496" s="3">
        <f t="shared" si="33"/>
        <v>17.576291695039313</v>
      </c>
    </row>
    <row r="497" spans="1:6">
      <c r="A497">
        <f t="shared" si="30"/>
        <v>4490</v>
      </c>
      <c r="C497" s="3">
        <f t="shared" si="31"/>
        <v>925032.56306995486</v>
      </c>
      <c r="D497" s="3">
        <f t="shared" si="32"/>
        <v>1713697.089712922</v>
      </c>
      <c r="F497" s="3">
        <f t="shared" si="33"/>
        <v>17.576291695039313</v>
      </c>
    </row>
    <row r="498" spans="1:6">
      <c r="A498">
        <f t="shared" si="30"/>
        <v>4500</v>
      </c>
      <c r="C498" s="3">
        <f t="shared" si="31"/>
        <v>925032.56306995486</v>
      </c>
      <c r="D498" s="3">
        <f t="shared" si="32"/>
        <v>1713805.5062867308</v>
      </c>
      <c r="F498" s="3">
        <f t="shared" si="33"/>
        <v>17.576291695039313</v>
      </c>
    </row>
    <row r="499" spans="1:6">
      <c r="A499">
        <f t="shared" si="30"/>
        <v>4510</v>
      </c>
      <c r="C499" s="3">
        <f t="shared" si="31"/>
        <v>925032.56306995486</v>
      </c>
      <c r="D499" s="3">
        <f t="shared" si="32"/>
        <v>1713913.5757234374</v>
      </c>
      <c r="F499" s="3">
        <f t="shared" si="33"/>
        <v>17.576291695039313</v>
      </c>
    </row>
    <row r="500" spans="1:6">
      <c r="A500">
        <f t="shared" si="30"/>
        <v>4520</v>
      </c>
      <c r="C500" s="3">
        <f t="shared" si="31"/>
        <v>925032.56306995486</v>
      </c>
      <c r="D500" s="3">
        <f t="shared" si="32"/>
        <v>1714021.2998863449</v>
      </c>
      <c r="F500" s="3">
        <f t="shared" si="33"/>
        <v>17.576291695039313</v>
      </c>
    </row>
    <row r="501" spans="1:6">
      <c r="A501">
        <f t="shared" si="30"/>
        <v>4530</v>
      </c>
      <c r="C501" s="3">
        <f t="shared" si="31"/>
        <v>925032.56306995486</v>
      </c>
      <c r="D501" s="3">
        <f t="shared" si="32"/>
        <v>1714128.6806247195</v>
      </c>
      <c r="F501" s="3">
        <f t="shared" si="33"/>
        <v>17.576291695039313</v>
      </c>
    </row>
    <row r="502" spans="1:6">
      <c r="A502">
        <f t="shared" si="30"/>
        <v>4540</v>
      </c>
      <c r="C502" s="3">
        <f t="shared" si="31"/>
        <v>925032.56306995486</v>
      </c>
      <c r="D502" s="3">
        <f t="shared" si="32"/>
        <v>1714235.7197739286</v>
      </c>
      <c r="F502" s="3">
        <f t="shared" si="33"/>
        <v>17.576291695039313</v>
      </c>
    </row>
    <row r="503" spans="1:6">
      <c r="A503">
        <f t="shared" ref="A503:A525" si="34">+$A502+10</f>
        <v>4550</v>
      </c>
      <c r="C503" s="3">
        <f t="shared" si="31"/>
        <v>925032.56306995486</v>
      </c>
      <c r="D503" s="3">
        <f t="shared" si="32"/>
        <v>1714342.4191555739</v>
      </c>
      <c r="F503" s="3">
        <f t="shared" si="33"/>
        <v>17.576291695039313</v>
      </c>
    </row>
    <row r="504" spans="1:6">
      <c r="A504">
        <f t="shared" si="34"/>
        <v>4560</v>
      </c>
      <c r="C504" s="3">
        <f t="shared" si="31"/>
        <v>925032.56306995486</v>
      </c>
      <c r="D504" s="3">
        <f t="shared" si="32"/>
        <v>1714448.7805776254</v>
      </c>
      <c r="F504" s="3">
        <f t="shared" si="33"/>
        <v>17.576291695039313</v>
      </c>
    </row>
    <row r="505" spans="1:6">
      <c r="A505">
        <f t="shared" si="34"/>
        <v>4570</v>
      </c>
      <c r="C505" s="3">
        <f t="shared" si="31"/>
        <v>925032.56306995486</v>
      </c>
      <c r="D505" s="3">
        <f t="shared" si="32"/>
        <v>1714554.8058345513</v>
      </c>
      <c r="F505" s="3">
        <f t="shared" si="33"/>
        <v>17.576291695039313</v>
      </c>
    </row>
    <row r="506" spans="1:6">
      <c r="A506">
        <f t="shared" si="34"/>
        <v>4580</v>
      </c>
      <c r="C506" s="3">
        <f t="shared" si="31"/>
        <v>925032.56306995486</v>
      </c>
      <c r="D506" s="3">
        <f t="shared" si="32"/>
        <v>1714660.4967074492</v>
      </c>
      <c r="F506" s="3">
        <f t="shared" si="33"/>
        <v>17.576291695039313</v>
      </c>
    </row>
    <row r="507" spans="1:6">
      <c r="A507">
        <f t="shared" si="34"/>
        <v>4590</v>
      </c>
      <c r="C507" s="3">
        <f t="shared" si="31"/>
        <v>925032.56306995486</v>
      </c>
      <c r="D507" s="3">
        <f t="shared" si="32"/>
        <v>1714765.8549641729</v>
      </c>
      <c r="F507" s="3">
        <f t="shared" si="33"/>
        <v>17.576291695039313</v>
      </c>
    </row>
    <row r="508" spans="1:6">
      <c r="A508">
        <f t="shared" si="34"/>
        <v>4600</v>
      </c>
      <c r="C508" s="3">
        <f t="shared" si="31"/>
        <v>925032.56306995486</v>
      </c>
      <c r="D508" s="3">
        <f t="shared" si="32"/>
        <v>1714870.8823594607</v>
      </c>
      <c r="F508" s="3">
        <f t="shared" si="33"/>
        <v>17.576291695039313</v>
      </c>
    </row>
    <row r="509" spans="1:6">
      <c r="A509">
        <f t="shared" si="34"/>
        <v>4610</v>
      </c>
      <c r="C509" s="3">
        <f t="shared" si="31"/>
        <v>925032.56306995486</v>
      </c>
      <c r="D509" s="3">
        <f t="shared" si="32"/>
        <v>1714975.5806350589</v>
      </c>
      <c r="F509" s="3">
        <f t="shared" si="33"/>
        <v>17.576291695039313</v>
      </c>
    </row>
    <row r="510" spans="1:6">
      <c r="A510">
        <f t="shared" si="34"/>
        <v>4620</v>
      </c>
      <c r="C510" s="3">
        <f t="shared" si="31"/>
        <v>925032.56306995486</v>
      </c>
      <c r="D510" s="3">
        <f t="shared" si="32"/>
        <v>1715079.9515198469</v>
      </c>
      <c r="F510" s="3">
        <f t="shared" si="33"/>
        <v>17.576291695039313</v>
      </c>
    </row>
    <row r="511" spans="1:6">
      <c r="A511">
        <f t="shared" si="34"/>
        <v>4630</v>
      </c>
      <c r="C511" s="3">
        <f t="shared" si="31"/>
        <v>925032.56306995486</v>
      </c>
      <c r="D511" s="3">
        <f t="shared" si="32"/>
        <v>1715183.9967299588</v>
      </c>
      <c r="F511" s="3">
        <f t="shared" si="33"/>
        <v>17.576291695039313</v>
      </c>
    </row>
    <row r="512" spans="1:6">
      <c r="A512">
        <f t="shared" si="34"/>
        <v>4640</v>
      </c>
      <c r="C512" s="3">
        <f t="shared" si="31"/>
        <v>925032.56306995486</v>
      </c>
      <c r="D512" s="3">
        <f t="shared" si="32"/>
        <v>1715287.7179689046</v>
      </c>
      <c r="F512" s="3">
        <f t="shared" si="33"/>
        <v>17.576291695039313</v>
      </c>
    </row>
    <row r="513" spans="1:6">
      <c r="A513">
        <f t="shared" si="34"/>
        <v>4650</v>
      </c>
      <c r="C513" s="3">
        <f t="shared" si="31"/>
        <v>925032.56306995486</v>
      </c>
      <c r="D513" s="3">
        <f t="shared" si="32"/>
        <v>1715391.1169276896</v>
      </c>
      <c r="F513" s="3">
        <f t="shared" si="33"/>
        <v>17.576291695039313</v>
      </c>
    </row>
    <row r="514" spans="1:6">
      <c r="A514">
        <f t="shared" si="34"/>
        <v>4660</v>
      </c>
      <c r="C514" s="3">
        <f t="shared" si="31"/>
        <v>925032.56306995486</v>
      </c>
      <c r="D514" s="3">
        <f t="shared" si="32"/>
        <v>1715494.1952849333</v>
      </c>
      <c r="F514" s="3">
        <f t="shared" si="33"/>
        <v>17.576291695039313</v>
      </c>
    </row>
    <row r="515" spans="1:6">
      <c r="A515">
        <f t="shared" si="34"/>
        <v>4670</v>
      </c>
      <c r="C515" s="3">
        <f t="shared" si="31"/>
        <v>925032.56306995486</v>
      </c>
      <c r="D515" s="3">
        <f t="shared" si="32"/>
        <v>1715596.9547069839</v>
      </c>
      <c r="F515" s="3">
        <f t="shared" si="33"/>
        <v>17.576291695039313</v>
      </c>
    </row>
    <row r="516" spans="1:6">
      <c r="A516">
        <f t="shared" si="34"/>
        <v>4680</v>
      </c>
      <c r="C516" s="3">
        <f t="shared" si="31"/>
        <v>925032.56306995486</v>
      </c>
      <c r="D516" s="3">
        <f t="shared" si="32"/>
        <v>1715699.3968480369</v>
      </c>
      <c r="F516" s="3">
        <f t="shared" si="33"/>
        <v>17.576291695039313</v>
      </c>
    </row>
    <row r="517" spans="1:6">
      <c r="A517">
        <f t="shared" si="34"/>
        <v>4690</v>
      </c>
      <c r="C517" s="3">
        <f t="shared" ref="C517:C525" si="35">+$C$1/(1+1/SQRT($C$2*$F517))</f>
        <v>925032.56306995486</v>
      </c>
      <c r="D517" s="3">
        <f t="shared" ref="D517:D525" si="36">+$C$1/(1+1/SQRT($C$2*$A517))</f>
        <v>1715801.5233502458</v>
      </c>
      <c r="F517" s="3">
        <f t="shared" ref="F517:F525" si="37">+(1-EXP(-$F$1*$A517))/$F$1</f>
        <v>17.576291695039313</v>
      </c>
    </row>
    <row r="518" spans="1:6">
      <c r="A518">
        <f t="shared" si="34"/>
        <v>4700</v>
      </c>
      <c r="C518" s="3">
        <f t="shared" si="35"/>
        <v>925032.56306995486</v>
      </c>
      <c r="D518" s="3">
        <f t="shared" si="36"/>
        <v>1715903.335843839</v>
      </c>
      <c r="F518" s="3">
        <f t="shared" si="37"/>
        <v>17.576291695039313</v>
      </c>
    </row>
    <row r="519" spans="1:6">
      <c r="A519">
        <f t="shared" si="34"/>
        <v>4710</v>
      </c>
      <c r="C519" s="3">
        <f t="shared" si="35"/>
        <v>925032.56306995486</v>
      </c>
      <c r="D519" s="3">
        <f t="shared" si="36"/>
        <v>1716004.8359472263</v>
      </c>
      <c r="F519" s="3">
        <f t="shared" si="37"/>
        <v>17.576291695039313</v>
      </c>
    </row>
    <row r="520" spans="1:6">
      <c r="A520">
        <f t="shared" si="34"/>
        <v>4720</v>
      </c>
      <c r="C520" s="3">
        <f t="shared" si="35"/>
        <v>925032.56306995486</v>
      </c>
      <c r="D520" s="3">
        <f t="shared" si="36"/>
        <v>1716106.0252671132</v>
      </c>
      <c r="F520" s="3">
        <f t="shared" si="37"/>
        <v>17.576291695039313</v>
      </c>
    </row>
    <row r="521" spans="1:6">
      <c r="A521">
        <f t="shared" si="34"/>
        <v>4730</v>
      </c>
      <c r="C521" s="3">
        <f t="shared" si="35"/>
        <v>925032.56306995486</v>
      </c>
      <c r="D521" s="3">
        <f t="shared" si="36"/>
        <v>1716206.905398608</v>
      </c>
      <c r="F521" s="3">
        <f t="shared" si="37"/>
        <v>17.576291695039313</v>
      </c>
    </row>
    <row r="522" spans="1:6">
      <c r="A522">
        <f t="shared" si="34"/>
        <v>4740</v>
      </c>
      <c r="C522" s="3">
        <f t="shared" si="35"/>
        <v>925032.56306995486</v>
      </c>
      <c r="D522" s="3">
        <f t="shared" si="36"/>
        <v>1716307.4779253299</v>
      </c>
      <c r="F522" s="3">
        <f t="shared" si="37"/>
        <v>17.576291695039313</v>
      </c>
    </row>
    <row r="523" spans="1:6">
      <c r="A523">
        <f t="shared" si="34"/>
        <v>4750</v>
      </c>
      <c r="C523" s="3">
        <f t="shared" si="35"/>
        <v>925032.56306995486</v>
      </c>
      <c r="D523" s="3">
        <f t="shared" si="36"/>
        <v>1716407.7444195156</v>
      </c>
      <c r="F523" s="3">
        <f t="shared" si="37"/>
        <v>17.576291695039313</v>
      </c>
    </row>
    <row r="524" spans="1:6">
      <c r="A524">
        <f t="shared" si="34"/>
        <v>4760</v>
      </c>
      <c r="C524" s="3">
        <f t="shared" si="35"/>
        <v>925032.56306995486</v>
      </c>
      <c r="D524" s="3">
        <f t="shared" si="36"/>
        <v>1716507.706442124</v>
      </c>
      <c r="F524" s="3">
        <f t="shared" si="37"/>
        <v>17.576291695039313</v>
      </c>
    </row>
    <row r="525" spans="1:6">
      <c r="A525">
        <f t="shared" si="34"/>
        <v>4770</v>
      </c>
      <c r="C525" s="3">
        <f t="shared" si="35"/>
        <v>925032.56306995486</v>
      </c>
      <c r="D525" s="3">
        <f t="shared" si="36"/>
        <v>1716607.3655429415</v>
      </c>
      <c r="F525" s="3">
        <f t="shared" si="37"/>
        <v>17.576291695039313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"/>
  <sheetViews>
    <sheetView topLeftCell="B4" zoomScaleNormal="100" workbookViewId="0">
      <selection activeCell="G11" sqref="G11"/>
    </sheetView>
  </sheetViews>
  <sheetFormatPr defaultRowHeight="15"/>
  <cols>
    <col min="3" max="3" width="11.28515625" bestFit="1" customWidth="1"/>
  </cols>
  <sheetData>
    <row r="1" spans="1:9">
      <c r="C1">
        <v>1361642</v>
      </c>
    </row>
    <row r="2" spans="1:9">
      <c r="C2">
        <v>8.3000000000000007</v>
      </c>
    </row>
    <row r="3" spans="1:9">
      <c r="A3" s="15" t="s">
        <v>23</v>
      </c>
      <c r="B3" s="15"/>
      <c r="C3" s="15"/>
      <c r="D3" s="15"/>
      <c r="E3" s="15" t="s">
        <v>24</v>
      </c>
      <c r="F3" s="15" t="s">
        <v>25</v>
      </c>
    </row>
    <row r="4" spans="1:9">
      <c r="A4" s="16">
        <v>0</v>
      </c>
      <c r="B4" s="16"/>
      <c r="C4" s="16"/>
      <c r="D4" s="16"/>
      <c r="E4" s="16">
        <v>0</v>
      </c>
      <c r="F4" s="16">
        <v>1.4938565114167199E-2</v>
      </c>
    </row>
    <row r="5" spans="1:9">
      <c r="A5" s="16">
        <v>1</v>
      </c>
      <c r="B5" s="16">
        <f>1/SQRT($A5)</f>
        <v>1</v>
      </c>
      <c r="C5" s="16">
        <f>1/$C$1+SQRT($C$2/$A5)/$C$1</f>
        <v>2.8502147100174544E-6</v>
      </c>
      <c r="D5" s="16">
        <f>1/$E5</f>
        <v>3.0306703842890049E-6</v>
      </c>
      <c r="E5" s="16">
        <v>329960</v>
      </c>
      <c r="F5" s="16">
        <v>350721.829365062</v>
      </c>
      <c r="I5" s="17" t="s">
        <v>26</v>
      </c>
    </row>
    <row r="6" spans="1:9">
      <c r="A6" s="16">
        <v>2</v>
      </c>
      <c r="B6" s="16">
        <f t="shared" ref="B6:B50" si="0">1/SQRT($A6)</f>
        <v>0.70710678118654746</v>
      </c>
      <c r="C6" s="16">
        <f t="shared" ref="C6:C50" si="1">1/$C$1+SQRT($C$2/$A6)/$C$1</f>
        <v>2.2305091049970082E-6</v>
      </c>
      <c r="D6" s="16">
        <f t="shared" ref="D6:D50" si="2">1/$E6</f>
        <v>2.0583967147988433E-6</v>
      </c>
      <c r="E6" s="16">
        <v>485815</v>
      </c>
      <c r="F6" s="16">
        <v>448179.26662908698</v>
      </c>
    </row>
    <row r="7" spans="1:9">
      <c r="A7" s="16">
        <v>3</v>
      </c>
      <c r="B7" s="16">
        <f t="shared" si="0"/>
        <v>0.57735026918962584</v>
      </c>
      <c r="C7" s="16">
        <f t="shared" si="1"/>
        <v>1.9559693321127135E-6</v>
      </c>
      <c r="D7" s="16">
        <f t="shared" si="2"/>
        <v>1.8511662347278786E-6</v>
      </c>
      <c r="E7" s="16">
        <v>540200</v>
      </c>
      <c r="F7" s="16">
        <v>511097.37969672802</v>
      </c>
    </row>
    <row r="8" spans="1:9">
      <c r="A8" s="16">
        <v>4</v>
      </c>
      <c r="B8" s="16">
        <f t="shared" si="0"/>
        <v>0.5</v>
      </c>
      <c r="C8" s="16">
        <f t="shared" si="1"/>
        <v>1.7923110693477384E-6</v>
      </c>
      <c r="D8" s="16">
        <f t="shared" si="2"/>
        <v>1.7285337712285554E-6</v>
      </c>
      <c r="E8" s="16">
        <v>578525</v>
      </c>
      <c r="F8" s="16">
        <v>557775.813167413</v>
      </c>
    </row>
    <row r="9" spans="1:9">
      <c r="A9" s="16">
        <v>5</v>
      </c>
      <c r="B9" s="16">
        <f t="shared" si="0"/>
        <v>0.44721359549995793</v>
      </c>
      <c r="C9" s="16">
        <f t="shared" si="1"/>
        <v>1.680625210350821E-6</v>
      </c>
      <c r="D9" s="16">
        <f t="shared" si="2"/>
        <v>1.6435069150553451E-6</v>
      </c>
      <c r="E9" s="16">
        <v>608455</v>
      </c>
      <c r="F9" s="16">
        <v>594850.79224169301</v>
      </c>
    </row>
    <row r="10" spans="1:9">
      <c r="A10" s="16">
        <v>6</v>
      </c>
      <c r="B10" s="16">
        <f t="shared" si="0"/>
        <v>0.40824829046386307</v>
      </c>
      <c r="C10" s="16">
        <f t="shared" si="1"/>
        <v>1.5981821342358394E-6</v>
      </c>
      <c r="D10" s="16">
        <f t="shared" si="2"/>
        <v>1.5818279603910279E-6</v>
      </c>
      <c r="E10" s="16">
        <v>632180</v>
      </c>
      <c r="F10" s="16">
        <v>625543.46633431397</v>
      </c>
    </row>
    <row r="11" spans="1:9">
      <c r="A11" s="16">
        <v>7</v>
      </c>
      <c r="B11" s="16">
        <f t="shared" si="0"/>
        <v>0.3779644730092272</v>
      </c>
      <c r="C11" s="16">
        <f t="shared" si="1"/>
        <v>1.5341074127585668E-6</v>
      </c>
      <c r="D11" s="16">
        <f t="shared" si="2"/>
        <v>1.5331427125894014E-6</v>
      </c>
      <c r="E11" s="16">
        <v>652255</v>
      </c>
      <c r="F11" s="16">
        <v>651676.59121872403</v>
      </c>
    </row>
    <row r="12" spans="1:9">
      <c r="A12" s="16">
        <v>8</v>
      </c>
      <c r="B12" s="16">
        <f t="shared" si="0"/>
        <v>0.35355339059327373</v>
      </c>
      <c r="C12" s="16">
        <f t="shared" si="1"/>
        <v>1.4824582668375155E-6</v>
      </c>
      <c r="D12" s="16">
        <f t="shared" si="2"/>
        <v>1.4914131885668264E-6</v>
      </c>
      <c r="E12" s="16">
        <v>670505</v>
      </c>
      <c r="F12" s="16">
        <v>674386.70276175498</v>
      </c>
    </row>
    <row r="13" spans="1:9">
      <c r="A13" s="16">
        <v>9</v>
      </c>
      <c r="B13" s="16">
        <f t="shared" si="0"/>
        <v>0.33333333333333331</v>
      </c>
      <c r="C13" s="16">
        <f t="shared" si="1"/>
        <v>1.4396765224578333E-6</v>
      </c>
      <c r="D13" s="16">
        <f t="shared" si="2"/>
        <v>1.4557524056308504E-6</v>
      </c>
      <c r="E13" s="16">
        <v>686930</v>
      </c>
      <c r="F13" s="16">
        <v>694431.98646320496</v>
      </c>
    </row>
    <row r="14" spans="1:9">
      <c r="A14" s="16">
        <v>10</v>
      </c>
      <c r="B14" s="16">
        <f t="shared" si="0"/>
        <v>0.31622776601683794</v>
      </c>
      <c r="C14" s="16">
        <f t="shared" si="1"/>
        <v>1.4034844385781502E-6</v>
      </c>
      <c r="D14" s="16">
        <f t="shared" si="2"/>
        <v>1.4232342999466288E-6</v>
      </c>
      <c r="E14" s="16">
        <v>702625</v>
      </c>
      <c r="F14" s="16">
        <v>712344.15534916299</v>
      </c>
    </row>
    <row r="15" spans="1:9">
      <c r="A15" s="16">
        <v>11</v>
      </c>
      <c r="B15" s="16">
        <f t="shared" si="0"/>
        <v>0.30151134457776363</v>
      </c>
      <c r="C15" s="16">
        <f t="shared" si="1"/>
        <v>1.3723473269420973E-6</v>
      </c>
      <c r="D15" s="16">
        <f t="shared" si="2"/>
        <v>1.3935534218704274E-6</v>
      </c>
      <c r="E15" s="16">
        <v>717590</v>
      </c>
      <c r="F15" s="16">
        <v>728510.773142925</v>
      </c>
    </row>
    <row r="16" spans="1:9">
      <c r="A16" s="16">
        <v>12</v>
      </c>
      <c r="B16" s="16">
        <f t="shared" si="0"/>
        <v>0.28867513459481292</v>
      </c>
      <c r="C16" s="16">
        <f t="shared" si="1"/>
        <v>1.3451883803953681E-6</v>
      </c>
      <c r="D16" s="16">
        <f t="shared" si="2"/>
        <v>1.3664468964574863E-6</v>
      </c>
      <c r="E16" s="16">
        <v>731825</v>
      </c>
      <c r="F16" s="16">
        <v>743223.16002420802</v>
      </c>
    </row>
    <row r="17" spans="1:6">
      <c r="A17" s="16">
        <v>13</v>
      </c>
      <c r="B17" s="16">
        <f t="shared" si="0"/>
        <v>0.27735009811261457</v>
      </c>
      <c r="C17" s="16">
        <f t="shared" si="1"/>
        <v>1.3212267857448984E-6</v>
      </c>
      <c r="D17" s="16">
        <f t="shared" si="2"/>
        <v>1.3416875746313714E-6</v>
      </c>
      <c r="E17" s="16">
        <v>745330</v>
      </c>
      <c r="F17" s="16">
        <v>756705.86574465095</v>
      </c>
    </row>
    <row r="18" spans="1:6">
      <c r="A18" s="16">
        <v>14</v>
      </c>
      <c r="B18" s="16">
        <f t="shared" si="0"/>
        <v>0.2672612419124244</v>
      </c>
      <c r="C18" s="16">
        <f t="shared" si="1"/>
        <v>1.2998807103361494E-6</v>
      </c>
      <c r="D18" s="16">
        <f t="shared" si="2"/>
        <v>1.3190784917656526E-6</v>
      </c>
      <c r="E18" s="16">
        <v>758105</v>
      </c>
      <c r="F18" s="16">
        <v>769135.63528864505</v>
      </c>
    </row>
    <row r="19" spans="1:6">
      <c r="A19" s="16">
        <v>15</v>
      </c>
      <c r="B19" s="16">
        <f t="shared" si="0"/>
        <v>0.2581988897471611</v>
      </c>
      <c r="C19" s="16">
        <f t="shared" si="1"/>
        <v>1.2807065196388233E-6</v>
      </c>
      <c r="D19" s="16">
        <f t="shared" si="2"/>
        <v>1.298448354216711E-6</v>
      </c>
      <c r="E19" s="16">
        <v>770150</v>
      </c>
      <c r="F19" s="16">
        <v>780654.07383433904</v>
      </c>
    </row>
    <row r="20" spans="1:6">
      <c r="A20" s="16">
        <v>16</v>
      </c>
      <c r="B20" s="16">
        <f t="shared" si="0"/>
        <v>0.25</v>
      </c>
      <c r="C20" s="16">
        <f t="shared" si="1"/>
        <v>1.2633592490128803E-6</v>
      </c>
      <c r="D20" s="16">
        <f t="shared" si="2"/>
        <v>1.2796478409141803E-6</v>
      </c>
      <c r="E20" s="16">
        <v>781465</v>
      </c>
      <c r="F20" s="16">
        <v>791376.37167782604</v>
      </c>
    </row>
    <row r="21" spans="1:6">
      <c r="A21" s="16">
        <v>17</v>
      </c>
      <c r="B21" s="16">
        <f t="shared" si="0"/>
        <v>0.24253562503633297</v>
      </c>
      <c r="C21" s="16">
        <f t="shared" si="1"/>
        <v>1.247566070114106E-6</v>
      </c>
      <c r="D21" s="16">
        <f t="shared" si="2"/>
        <v>1.2619650057103917E-6</v>
      </c>
      <c r="E21" s="16">
        <v>792415</v>
      </c>
      <c r="F21" s="16">
        <v>801397.47657583002</v>
      </c>
    </row>
    <row r="22" spans="1:6">
      <c r="A22" s="16">
        <v>18</v>
      </c>
      <c r="B22" s="16">
        <f t="shared" si="0"/>
        <v>0.23570226039551587</v>
      </c>
      <c r="C22" s="16">
        <f t="shared" si="1"/>
        <v>1.2331079874510179E-6</v>
      </c>
      <c r="D22" s="16">
        <f t="shared" si="2"/>
        <v>1.2458963289664667E-6</v>
      </c>
      <c r="E22" s="16">
        <v>802635</v>
      </c>
      <c r="F22" s="16">
        <v>810796.56154582405</v>
      </c>
    </row>
    <row r="23" spans="1:6">
      <c r="A23" s="16">
        <v>19</v>
      </c>
      <c r="B23" s="16">
        <f t="shared" si="0"/>
        <v>0.22941573387056174</v>
      </c>
      <c r="C23" s="16">
        <f t="shared" si="1"/>
        <v>1.2198069088551863E-6</v>
      </c>
      <c r="D23" s="16">
        <f t="shared" si="2"/>
        <v>1.2307843788846632E-6</v>
      </c>
      <c r="E23" s="16">
        <v>812490</v>
      </c>
      <c r="F23" s="16">
        <v>819640.32418339502</v>
      </c>
    </row>
    <row r="24" spans="1:6">
      <c r="A24" s="16">
        <v>20</v>
      </c>
      <c r="B24" s="16">
        <f t="shared" si="0"/>
        <v>0.22360679774997896</v>
      </c>
      <c r="C24" s="16">
        <f t="shared" si="1"/>
        <v>1.2075163195144216E-6</v>
      </c>
      <c r="D24" s="16">
        <f t="shared" si="2"/>
        <v>1.216574612520986E-6</v>
      </c>
      <c r="E24" s="16">
        <v>821980</v>
      </c>
      <c r="F24" s="16">
        <v>827985.46638712601</v>
      </c>
    </row>
    <row r="25" spans="1:6">
      <c r="A25" s="16">
        <v>21</v>
      </c>
      <c r="B25" s="16">
        <f t="shared" si="0"/>
        <v>0.21821789023599239</v>
      </c>
      <c r="C25" s="16">
        <f t="shared" si="1"/>
        <v>1.1961144297578641E-6</v>
      </c>
      <c r="D25" s="16">
        <f t="shared" si="2"/>
        <v>1.203746057731661E-6</v>
      </c>
      <c r="E25" s="16">
        <v>830740</v>
      </c>
      <c r="F25" s="16">
        <v>835880.58745199197</v>
      </c>
    </row>
    <row r="26" spans="1:6">
      <c r="A26" s="16">
        <v>22</v>
      </c>
      <c r="B26" s="16">
        <f t="shared" si="0"/>
        <v>0.21320071635561041</v>
      </c>
      <c r="C26" s="16">
        <f t="shared" si="1"/>
        <v>1.1854990567300059E-6</v>
      </c>
      <c r="D26" s="16">
        <f t="shared" si="2"/>
        <v>1.1917033611993303E-6</v>
      </c>
      <c r="E26" s="16">
        <v>839135</v>
      </c>
      <c r="F26" s="16">
        <v>843367.649646729</v>
      </c>
    </row>
    <row r="27" spans="1:6">
      <c r="A27" s="16">
        <v>23</v>
      </c>
      <c r="B27" s="16">
        <f t="shared" si="0"/>
        <v>0.20851441405707477</v>
      </c>
      <c r="C27" s="16">
        <f t="shared" si="1"/>
        <v>1.1755837442042064E-6</v>
      </c>
      <c r="D27" s="16">
        <f t="shared" si="2"/>
        <v>1.1804075947424646E-6</v>
      </c>
      <c r="E27" s="16">
        <v>847165</v>
      </c>
      <c r="F27" s="16">
        <v>850483.12716874795</v>
      </c>
    </row>
    <row r="28" spans="1:6">
      <c r="A28" s="16">
        <v>24</v>
      </c>
      <c r="B28" s="16">
        <f t="shared" si="0"/>
        <v>0.20412414523193154</v>
      </c>
      <c r="C28" s="16">
        <f t="shared" si="1"/>
        <v>1.1662947814569308E-6</v>
      </c>
      <c r="D28" s="16">
        <f t="shared" si="2"/>
        <v>1.1698232397084801E-6</v>
      </c>
      <c r="E28" s="16">
        <v>854830</v>
      </c>
      <c r="F28" s="16">
        <v>857258.91717446805</v>
      </c>
    </row>
    <row r="29" spans="1:6">
      <c r="A29" s="16">
        <v>25</v>
      </c>
      <c r="B29" s="16">
        <f t="shared" si="0"/>
        <v>0.2</v>
      </c>
      <c r="C29" s="16">
        <f t="shared" si="1"/>
        <v>1.1575688849459089E-6</v>
      </c>
      <c r="D29" s="16">
        <f t="shared" si="2"/>
        <v>1.1599178778142507E-6</v>
      </c>
      <c r="E29" s="16">
        <v>862130</v>
      </c>
      <c r="F29" s="16">
        <v>863723.06965451501</v>
      </c>
    </row>
    <row r="30" spans="1:6">
      <c r="A30" s="16">
        <v>26</v>
      </c>
      <c r="B30" s="16">
        <f t="shared" si="0"/>
        <v>0.19611613513818404</v>
      </c>
      <c r="C30" s="16">
        <f t="shared" si="1"/>
        <v>1.1493513753915404E-6</v>
      </c>
      <c r="D30" s="16">
        <f t="shared" si="2"/>
        <v>1.150661918268484E-6</v>
      </c>
      <c r="E30" s="16">
        <v>869065</v>
      </c>
      <c r="F30" s="16">
        <v>869900.37771632499</v>
      </c>
    </row>
    <row r="31" spans="1:6">
      <c r="A31" s="16">
        <v>27</v>
      </c>
      <c r="B31" s="16">
        <f t="shared" si="0"/>
        <v>0.19245008972987526</v>
      </c>
      <c r="C31" s="16">
        <f t="shared" si="1"/>
        <v>1.1415947298229197E-6</v>
      </c>
      <c r="D31" s="16">
        <f t="shared" si="2"/>
        <v>1.1420283565640934E-6</v>
      </c>
      <c r="E31" s="16">
        <v>875635</v>
      </c>
      <c r="F31" s="16">
        <v>875812.85911704903</v>
      </c>
    </row>
    <row r="32" spans="1:6">
      <c r="A32" s="16">
        <v>28</v>
      </c>
      <c r="B32" s="16">
        <f t="shared" si="0"/>
        <v>0.1889822365046136</v>
      </c>
      <c r="C32" s="16">
        <f t="shared" si="1"/>
        <v>1.1342574207182945E-6</v>
      </c>
      <c r="D32" s="16">
        <f t="shared" si="2"/>
        <v>1.1339925610087997E-6</v>
      </c>
      <c r="E32" s="16">
        <v>881840</v>
      </c>
      <c r="F32" s="16">
        <v>881480.15221946104</v>
      </c>
    </row>
    <row r="33" spans="1:6">
      <c r="A33" s="16">
        <v>29</v>
      </c>
      <c r="B33" s="16">
        <f t="shared" si="0"/>
        <v>0.18569533817705186</v>
      </c>
      <c r="C33" s="16">
        <f t="shared" si="1"/>
        <v>1.127302977303817E-6</v>
      </c>
      <c r="D33" s="16">
        <f t="shared" si="2"/>
        <v>1.126532083633742E-6</v>
      </c>
      <c r="E33" s="16">
        <v>887680</v>
      </c>
      <c r="F33" s="16">
        <v>886919.84397976706</v>
      </c>
    </row>
    <row r="34" spans="1:6">
      <c r="A34" s="16">
        <v>30</v>
      </c>
      <c r="B34" s="16">
        <f t="shared" si="0"/>
        <v>0.18257418583505536</v>
      </c>
      <c r="C34" s="16">
        <f t="shared" si="1"/>
        <v>1.1206992204524512E-6</v>
      </c>
      <c r="D34" s="16">
        <f t="shared" si="2"/>
        <v>1.1196264926020679E-6</v>
      </c>
      <c r="E34" s="16">
        <v>893155</v>
      </c>
      <c r="F34" s="16">
        <v>892147.74348914495</v>
      </c>
    </row>
    <row r="35" spans="1:6">
      <c r="A35" s="16">
        <v>31</v>
      </c>
      <c r="B35" s="16">
        <f t="shared" si="0"/>
        <v>0.17960530202677491</v>
      </c>
      <c r="C35" s="16">
        <f t="shared" si="1"/>
        <v>1.1144176344734407E-6</v>
      </c>
      <c r="D35" s="16">
        <f t="shared" si="2"/>
        <v>1.1128050476836964E-6</v>
      </c>
      <c r="E35" s="16">
        <v>898630</v>
      </c>
      <c r="F35" s="16">
        <v>897178.11155354499</v>
      </c>
    </row>
    <row r="36" spans="1:6">
      <c r="A36" s="16">
        <v>32</v>
      </c>
      <c r="B36" s="16">
        <f t="shared" si="0"/>
        <v>0.17677669529663687</v>
      </c>
      <c r="C36" s="16">
        <f t="shared" si="1"/>
        <v>1.1084328477577689E-6</v>
      </c>
      <c r="D36" s="16">
        <f t="shared" si="2"/>
        <v>1.1065129351362117E-6</v>
      </c>
      <c r="E36" s="16">
        <v>903740</v>
      </c>
      <c r="F36" s="16">
        <v>902023.85451460897</v>
      </c>
    </row>
    <row r="37" spans="1:6">
      <c r="A37" s="16">
        <v>33</v>
      </c>
      <c r="B37" s="16">
        <f t="shared" si="0"/>
        <v>0.17407765595569785</v>
      </c>
      <c r="C37" s="16">
        <f t="shared" si="1"/>
        <v>1.1027222006675885E-6</v>
      </c>
      <c r="D37" s="16">
        <f t="shared" si="2"/>
        <v>1.1007336389703738E-6</v>
      </c>
      <c r="E37" s="16">
        <v>908485</v>
      </c>
      <c r="F37" s="16">
        <v>906696.68878344505</v>
      </c>
    </row>
    <row r="38" spans="1:6">
      <c r="A38" s="16">
        <v>34</v>
      </c>
      <c r="B38" s="16">
        <f t="shared" si="0"/>
        <v>0.17149858514250882</v>
      </c>
      <c r="C38" s="16">
        <f t="shared" si="1"/>
        <v>1.0972653838619532E-6</v>
      </c>
      <c r="D38" s="16">
        <f t="shared" si="2"/>
        <v>1.0954522300668773E-6</v>
      </c>
      <c r="E38" s="16">
        <v>912865</v>
      </c>
      <c r="F38" s="16">
        <v>911207.28123311605</v>
      </c>
    </row>
    <row r="39" spans="1:6">
      <c r="A39" s="16">
        <v>35</v>
      </c>
      <c r="B39" s="16">
        <f t="shared" si="0"/>
        <v>0.1690308509457033</v>
      </c>
      <c r="C39" s="16">
        <f t="shared" si="1"/>
        <v>1.0920441338799419E-6</v>
      </c>
      <c r="D39" s="16">
        <f t="shared" si="2"/>
        <v>1.0902212604047992E-6</v>
      </c>
      <c r="E39" s="16">
        <v>917245</v>
      </c>
      <c r="F39" s="16">
        <v>915565.36957153399</v>
      </c>
    </row>
    <row r="40" spans="1:6">
      <c r="A40" s="16">
        <v>36</v>
      </c>
      <c r="B40" s="16">
        <f t="shared" si="0"/>
        <v>0.16666666666666666</v>
      </c>
      <c r="C40" s="16">
        <f t="shared" si="1"/>
        <v>1.0870419755679278E-6</v>
      </c>
      <c r="D40" s="16">
        <f t="shared" si="2"/>
        <v>1.0854698999196751E-6</v>
      </c>
      <c r="E40" s="16">
        <v>921260</v>
      </c>
      <c r="F40" s="16">
        <v>919779.86601873196</v>
      </c>
    </row>
    <row r="41" spans="1:6">
      <c r="A41" s="16">
        <v>37</v>
      </c>
      <c r="B41" s="16">
        <f t="shared" si="0"/>
        <v>0.16439898730535729</v>
      </c>
      <c r="C41" s="16">
        <f t="shared" si="1"/>
        <v>1.0822440030635263E-6</v>
      </c>
      <c r="D41" s="16">
        <f t="shared" si="2"/>
        <v>1.0807597741212071E-6</v>
      </c>
      <c r="E41" s="16">
        <v>925275</v>
      </c>
      <c r="F41" s="16">
        <v>923858.946986467</v>
      </c>
    </row>
    <row r="42" spans="1:6">
      <c r="A42" s="16">
        <v>38</v>
      </c>
      <c r="B42" s="16">
        <f t="shared" si="0"/>
        <v>0.16222142113076254</v>
      </c>
      <c r="C42" s="16">
        <f t="shared" si="1"/>
        <v>1.0776366926957202E-6</v>
      </c>
      <c r="D42" s="16">
        <f t="shared" si="2"/>
        <v>1.0765131738299648E-6</v>
      </c>
      <c r="E42" s="16">
        <v>928925</v>
      </c>
      <c r="F42" s="16">
        <v>927810.13096323796</v>
      </c>
    </row>
    <row r="43" spans="1:6">
      <c r="A43" s="16">
        <v>39</v>
      </c>
      <c r="B43" s="16">
        <f t="shared" si="0"/>
        <v>0.16012815380508713</v>
      </c>
      <c r="C43" s="16">
        <f t="shared" si="1"/>
        <v>1.0732077424462664E-6</v>
      </c>
      <c r="D43" s="16">
        <f t="shared" si="2"/>
        <v>1.072299815028282E-6</v>
      </c>
      <c r="E43" s="16">
        <v>932575</v>
      </c>
      <c r="F43" s="16">
        <v>931640.34641405498</v>
      </c>
    </row>
    <row r="44" spans="1:6">
      <c r="A44" s="16">
        <v>40</v>
      </c>
      <c r="B44" s="16">
        <f t="shared" si="0"/>
        <v>0.15811388300841897</v>
      </c>
      <c r="C44" s="16">
        <f t="shared" si="1"/>
        <v>1.0689459336280865E-6</v>
      </c>
      <c r="D44" s="16">
        <f t="shared" si="2"/>
        <v>1.0685358921206164E-6</v>
      </c>
      <c r="E44" s="16">
        <v>935860</v>
      </c>
      <c r="F44" s="16">
        <v>935355.99118887202</v>
      </c>
    </row>
    <row r="45" spans="1:6">
      <c r="A45" s="16">
        <v>41</v>
      </c>
      <c r="B45" s="16">
        <f t="shared" si="0"/>
        <v>0.15617376188860607</v>
      </c>
      <c r="C45" s="16">
        <f t="shared" si="1"/>
        <v>1.0648410112361059E-6</v>
      </c>
      <c r="D45" s="16">
        <f t="shared" si="2"/>
        <v>1.0647983005819122E-6</v>
      </c>
      <c r="E45" s="16">
        <v>939145</v>
      </c>
      <c r="F45" s="16">
        <v>938962.98467950604</v>
      </c>
    </row>
    <row r="46" spans="1:6">
      <c r="A46" s="16">
        <v>42</v>
      </c>
      <c r="B46" s="16">
        <f t="shared" si="0"/>
        <v>0.15430334996209191</v>
      </c>
      <c r="C46" s="16">
        <f t="shared" si="1"/>
        <v>1.0608835800628831E-6</v>
      </c>
      <c r="D46" s="16">
        <f t="shared" si="2"/>
        <v>1.0614978796579853E-6</v>
      </c>
      <c r="E46" s="16">
        <v>942065</v>
      </c>
      <c r="F46" s="16">
        <v>942466.81375895895</v>
      </c>
    </row>
    <row r="47" spans="1:6">
      <c r="A47" s="16">
        <v>43</v>
      </c>
      <c r="B47" s="16">
        <f t="shared" si="0"/>
        <v>0.15249857033260467</v>
      </c>
      <c r="C47" s="16">
        <f t="shared" si="1"/>
        <v>1.0570650141816008E-6</v>
      </c>
      <c r="D47" s="16">
        <f t="shared" si="2"/>
        <v>1.0582178553098726E-6</v>
      </c>
      <c r="E47" s="16">
        <v>944985</v>
      </c>
      <c r="F47" s="16">
        <v>945872.57336929406</v>
      </c>
    </row>
    <row r="48" spans="1:6">
      <c r="A48" s="16">
        <v>44</v>
      </c>
      <c r="B48" s="16">
        <f t="shared" si="0"/>
        <v>0.15075567228888181</v>
      </c>
      <c r="C48" s="16">
        <f t="shared" si="1"/>
        <v>1.0533773778100599E-6</v>
      </c>
      <c r="D48" s="16">
        <f t="shared" si="2"/>
        <v>1.0553644173333052E-6</v>
      </c>
      <c r="E48" s="16">
        <v>947540</v>
      </c>
      <c r="F48" s="16">
        <v>949185.00248684897</v>
      </c>
    </row>
    <row r="49" spans="1:6">
      <c r="A49" s="16">
        <v>45</v>
      </c>
      <c r="B49" s="16">
        <f t="shared" si="0"/>
        <v>0.14907119849998599</v>
      </c>
      <c r="C49" s="16">
        <f t="shared" si="1"/>
        <v>1.0498133559022887E-6</v>
      </c>
      <c r="D49" s="16">
        <f t="shared" si="2"/>
        <v>1.052526326314737E-6</v>
      </c>
      <c r="E49" s="16">
        <v>950095</v>
      </c>
      <c r="F49" s="16">
        <v>952408.51608054503</v>
      </c>
    </row>
    <row r="50" spans="1:6">
      <c r="A50" s="16">
        <v>46</v>
      </c>
      <c r="B50" s="16">
        <f t="shared" si="0"/>
        <v>0.14744195615489714</v>
      </c>
      <c r="C50" s="16">
        <f t="shared" si="1"/>
        <v>1.0463661930854831E-6</v>
      </c>
      <c r="D50" s="16">
        <f t="shared" si="2"/>
        <v>1.0497034587728967E-6</v>
      </c>
      <c r="E50" s="16">
        <v>952650</v>
      </c>
      <c r="F50" s="16">
        <v>955547.23358555697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Ornstein-Uhlenback Diffusion</vt:lpstr>
      <vt:lpstr>Hyperbolic</vt:lpstr>
      <vt:lpstr>NDIC Typical yearly</vt:lpstr>
      <vt:lpstr>NDIC Typical cumulative</vt:lpstr>
      <vt:lpstr>Diffusion Linearization</vt:lpstr>
    </vt:vector>
  </TitlesOfParts>
  <Company>Maine School of Science and Mathematics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</dc:creator>
  <cp:lastModifiedBy>pukitepa</cp:lastModifiedBy>
  <cp:lastPrinted>2013-02-12T23:50:33Z</cp:lastPrinted>
  <dcterms:created xsi:type="dcterms:W3CDTF">2013-02-12T19:24:01Z</dcterms:created>
  <dcterms:modified xsi:type="dcterms:W3CDTF">2013-03-11T20:56:55Z</dcterms:modified>
</cp:coreProperties>
</file>